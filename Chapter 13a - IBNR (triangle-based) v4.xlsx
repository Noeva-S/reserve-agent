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codeName="ThisWorkbook" defaultThemeVersion="124226"/>
  <mc:AlternateContent xmlns:mc="http://schemas.openxmlformats.org/markup-compatibility/2006">
    <mc:Choice Requires="x15">
      <x15ac:absPath xmlns:x15ac="http://schemas.microsoft.com/office/spreadsheetml/2010/11/ac" url="D:\xiao\讲义\非寿险精算实务研究生\非寿精算实务的讲义2024\案例数据、附录和习题答案\pricing in genaral inssurance\"/>
    </mc:Choice>
  </mc:AlternateContent>
  <xr:revisionPtr revIDLastSave="0" documentId="13_ncr:1_{64E8E380-1811-4DFD-B8A7-535E4DE27D4C}" xr6:coauthVersionLast="47" xr6:coauthVersionMax="47" xr10:uidLastSave="{00000000-0000-0000-0000-000000000000}"/>
  <bookViews>
    <workbookView xWindow="-98" yWindow="-98" windowWidth="23596" windowHeight="15076" firstSheet="4" activeTab="6" xr2:uid="{00000000-000D-0000-FFFF-FFFF00000000}"/>
  </bookViews>
  <sheets>
    <sheet name="00. DISCLAIMER" sheetId="29" r:id="rId1"/>
    <sheet name="0. Disclaimer" sheetId="28" r:id="rId2"/>
    <sheet name="1. Exposure data" sheetId="11" r:id="rId3"/>
    <sheet name="2. Claims data" sheetId="9" r:id="rId4"/>
    <sheet name="3. Projection - Methods 1 and 2" sheetId="12" r:id="rId5"/>
    <sheet name="4. Projection - Method 3" sheetId="13" r:id="rId6"/>
    <sheet name="5. Projection - Method 4" sheetId="26" r:id="rId7"/>
    <sheet name="6. Comparison of methods" sheetId="14"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tdRecalcBehavior" hidden="1">0</definedName>
    <definedName name="_AtRisk_SimSetting_StdRecalcWithoutRiskStatic" hidden="1">0</definedName>
    <definedName name="_AtRisk_SimSetting_StdRecalcWithoutRiskStaticPercentile" hidden="1">0.5</definedName>
    <definedName name="_b2" localSheetId="6">#REF!</definedName>
    <definedName name="_b2">#REF!</definedName>
    <definedName name="_xlnm._FilterDatabase" localSheetId="3" hidden="1">'2. Claims data'!$A$12:$Z$1730</definedName>
    <definedName name="_Order1" hidden="1">255</definedName>
    <definedName name="a" localSheetId="6">#REF!</definedName>
    <definedName name="a">#REF!</definedName>
    <definedName name="AccountList2007" localSheetId="6">#REF!</definedName>
    <definedName name="AccountList2007">#REF!</definedName>
    <definedName name="AccountList2008" localSheetId="6">#REF!</definedName>
    <definedName name="AccountList2008">#REF!</definedName>
    <definedName name="Agg_Marman_Claims" localSheetId="6">#REF!</definedName>
    <definedName name="Agg_Marman_Claims">#REF!</definedName>
    <definedName name="Agg_Marman_Summary" localSheetId="6">#REF!</definedName>
    <definedName name="Agg_Marman_Summary">#REF!</definedName>
    <definedName name="Aggregate_Summary" localSheetId="6">#REF!</definedName>
    <definedName name="Aggregate_Summary">#REF!</definedName>
    <definedName name="Avg_Delay">'[1]Frequency analysis'!$X$14</definedName>
    <definedName name="Binder_Table">[2]Console!$B$156:$C$172</definedName>
    <definedName name="binder_table_mid">[2]Console!$B$156:$G$172</definedName>
    <definedName name="biz_type_table">[2]Console!$B$70:$C$71</definedName>
    <definedName name="biz_type_table_mid">[2]Console!$B$70:$G$71</definedName>
    <definedName name="Claims_Inflation">'2. Claims data'!$D$6</definedName>
    <definedName name="cli_output2" localSheetId="6">#REF!</definedName>
    <definedName name="cli_output2">#REF!</definedName>
    <definedName name="COB_BT_Combo_Table">[2]Console!$B$176:$C$194</definedName>
    <definedName name="COB_BT_Combo_Table_mid">[2]Console!$B$176:$G$194</definedName>
    <definedName name="COB_table">[2]Console!$B$75:$C$86</definedName>
    <definedName name="COB_table_mid">[2]Console!$B$75:$G$86</definedName>
    <definedName name="Company" localSheetId="6">#REF!</definedName>
    <definedName name="Company">#REF!</definedName>
    <definedName name="Contract_Basis">[3]Assumptions!$L$7</definedName>
    <definedName name="Contract_length_table">[2]Console!$B$90:$C$93</definedName>
    <definedName name="Contract_length_table_mid">[2]Console!$B$90:$G$93</definedName>
    <definedName name="Corr_Factor">[3]Assumptions!$L$13</definedName>
    <definedName name="country_table">[2]Console!$K$74:$L$182</definedName>
    <definedName name="country_table_mid">[2]Console!$K$74:$P$182</definedName>
    <definedName name="csi">[4]Assumptions!$C$28</definedName>
    <definedName name="csi_client" localSheetId="6">#REF!</definedName>
    <definedName name="csi_client">#REF!</definedName>
    <definedName name="csi_market" localSheetId="6">#REF!</definedName>
    <definedName name="csi_market">#REF!</definedName>
    <definedName name="csi_mkt" localSheetId="6">[4]Aggregation!#REF!</definedName>
    <definedName name="csi_mkt">[4]Aggregation!#REF!</definedName>
    <definedName name="csi_old" localSheetId="6">#REF!</definedName>
    <definedName name="csi_old">#REF!</definedName>
    <definedName name="csi_orig">[4]Aggregation!$D$35</definedName>
    <definedName name="csi_std_client" localSheetId="6">#REF!</definedName>
    <definedName name="csi_std_client">#REF!</definedName>
    <definedName name="CurrentYear" localSheetId="6">#REF!</definedName>
    <definedName name="CurrentYear">#REF!</definedName>
    <definedName name="Data_as_at_date">'2. Claims data'!$D$3</definedName>
    <definedName name="Data_Set">'[5]1. IBNR Calculations'!$W$7</definedName>
    <definedName name="_xlnm.Database" localSheetId="5">#REF!</definedName>
    <definedName name="_xlnm.Database" localSheetId="6">#REF!</definedName>
    <definedName name="_xlnm.Database">#REF!</definedName>
    <definedName name="database1">'[6]2007 vs 2008 (2)'!$A$8:$T$130</definedName>
    <definedName name="Database2">'[6]2007 vs 2008'!$A$8:$T$130</definedName>
    <definedName name="Dcsi_mkt" localSheetId="6">[4]Aggregation!#REF!</definedName>
    <definedName name="Dcsi_mkt">[4]Aggregation!#REF!</definedName>
    <definedName name="Default_Inflation">[3]Assumptions!$L$9</definedName>
    <definedName name="disct_rate_cli" localSheetId="6">#REF!</definedName>
    <definedName name="disct_rate_cli">#REF!</definedName>
    <definedName name="disct_rate_mkt" localSheetId="6">#REF!</definedName>
    <definedName name="disct_rate_mkt">#REF!</definedName>
    <definedName name="dlambda_client" localSheetId="6">#REF!</definedName>
    <definedName name="dlambda_client">#REF!</definedName>
    <definedName name="Dlambda_het" localSheetId="6">[4]Aggregation!#REF!</definedName>
    <definedName name="Dlambda_het">[4]Aggregation!#REF!</definedName>
    <definedName name="dlambda_market" localSheetId="6">#REF!</definedName>
    <definedName name="dlambda_market">#REF!</definedName>
    <definedName name="Dlambda_mkt" localSheetId="6">[4]Aggregation!#REF!</definedName>
    <definedName name="Dlambda_mkt">[4]Aggregation!#REF!</definedName>
    <definedName name="Dlambda_mkt_2m" localSheetId="6">[4]Aggregation!#REF!</definedName>
    <definedName name="Dlambda_mkt_2m">[4]Aggregation!#REF!</definedName>
    <definedName name="Dlambda_orig">[4]Aggregation!$F$34</definedName>
    <definedName name="DropOffFlag" localSheetId="6">#REF!</definedName>
    <definedName name="DropOffFlag">#REF!</definedName>
    <definedName name="Dsigma_mkt" localSheetId="6">[4]Aggregation!#REF!</definedName>
    <definedName name="Dsigma_mkt">[4]Aggregation!#REF!</definedName>
    <definedName name="Dtau_het" localSheetId="6">[4]Aggregation!#REF!</definedName>
    <definedName name="Dtau_het">[4]Aggregation!#REF!</definedName>
    <definedName name="Dtau_mkt" localSheetId="6">[4]Aggregation!#REF!</definedName>
    <definedName name="Dtau_mkt">[4]Aggregation!#REF!</definedName>
    <definedName name="dump" localSheetId="6">[4]Aggregation!#REF!</definedName>
    <definedName name="dump">[4]Aggregation!#REF!</definedName>
    <definedName name="duration_cli" localSheetId="6">#REF!</definedName>
    <definedName name="duration_cli">#REF!</definedName>
    <definedName name="duration_mkt" localSheetId="6">#REF!</definedName>
    <definedName name="duration_mkt">#REF!</definedName>
    <definedName name="Earliest_Month">'2. Claims data'!$G$7</definedName>
    <definedName name="Earliest_Year">'2. Claims data'!$G$3</definedName>
    <definedName name="Earliest_Year_Shifted">'2. Claims data'!$G$5</definedName>
    <definedName name="EarliestLossYear">[3]Assumptions!$L$11</definedName>
    <definedName name="eff_no_losses" localSheetId="6">[4]Aggregation!#REF!</definedName>
    <definedName name="eff_no_losses">[4]Aggregation!#REF!</definedName>
    <definedName name="Endpoint">'[5]1. IBNR Calculations'!$F$6</definedName>
    <definedName name="ERS" localSheetId="6">#REF!</definedName>
    <definedName name="ERS">#REF!</definedName>
    <definedName name="ExceedanceLevel" localSheetId="6">#REF!</definedName>
    <definedName name="ExceedanceLevel">#REF!</definedName>
    <definedName name="Excess" localSheetId="6">#REF!</definedName>
    <definedName name="Excess">#REF!</definedName>
    <definedName name="excess10">[4]Aggregation!$M$27</definedName>
    <definedName name="excess2">[4]Aggregation!$E$27</definedName>
    <definedName name="excess3">[4]Aggregation!$F$27</definedName>
    <definedName name="excess4">[4]Aggregation!$G$27</definedName>
    <definedName name="excess5">[4]Aggregation!$H$27</definedName>
    <definedName name="excess6">[4]Aggregation!$I$27</definedName>
    <definedName name="excess7">[4]Aggregation!$J$27</definedName>
    <definedName name="excess8">[4]Aggregation!$K$27</definedName>
    <definedName name="excess9">[4]Aggregation!$L$27</definedName>
    <definedName name="Exchange_Rate">'2. Claims data'!$D$8</definedName>
    <definedName name="Exit" localSheetId="6">#REF!</definedName>
    <definedName name="Exit">#REF!</definedName>
    <definedName name="Exit1" localSheetId="6">#REF!</definedName>
    <definedName name="Exit1">#REF!</definedName>
    <definedName name="Exit2" localSheetId="6">#REF!</definedName>
    <definedName name="Exit2">#REF!</definedName>
    <definedName name="Exit3" localSheetId="6">#REF!</definedName>
    <definedName name="Exit3">#REF!</definedName>
    <definedName name="Exit4" localSheetId="6">#REF!</definedName>
    <definedName name="Exit4">#REF!</definedName>
    <definedName name="exposure_client" localSheetId="6">[4]Aggregation!#REF!</definedName>
    <definedName name="exposure_client">[4]Aggregation!#REF!</definedName>
    <definedName name="exposure_m" localSheetId="6">[4]Aggregation!#REF!</definedName>
    <definedName name="exposure_m">[4]Aggregation!#REF!</definedName>
    <definedName name="exposure_market" localSheetId="6">#REF!</definedName>
    <definedName name="exposure_market">#REF!</definedName>
    <definedName name="exposure_table">'1. Exposure data'!$D$4:$F$1048576</definedName>
    <definedName name="Exposure_Weighted">'[5]1. IBNR Calculations'!$W$6</definedName>
    <definedName name="Exposure_Year" localSheetId="6">#REF!</definedName>
    <definedName name="Exposure_Year">#REF!</definedName>
    <definedName name="Formulae">'[7]Motor Claims'!$C$10:$C$12,'[7]Motor Claims'!$AC$10:$AC$12,'[7]Motor Claims'!$AD$10:$AD$12,'[7]Motor Claims'!$AF$10:$BI$12,'[7]Motor Claims'!$BK$10:$DI$12</definedName>
    <definedName name="Full_Claims_List" localSheetId="6">#REF!</definedName>
    <definedName name="Full_Claims_List">#REF!</definedName>
    <definedName name="full_prem_max">[2]Console!$M$67</definedName>
    <definedName name="full_prem_max_mid">[2]Console!$Q$67</definedName>
    <definedName name="full_prem_min">[2]Console!$L$67</definedName>
    <definedName name="full_prem_min_mid">[2]Console!$P$67</definedName>
    <definedName name="future_inflation" localSheetId="6">#REF!</definedName>
    <definedName name="future_inflation">#REF!</definedName>
    <definedName name="gamma" localSheetId="6">#REF!</definedName>
    <definedName name="gamma">#REF!</definedName>
    <definedName name="GOP_max">[2]Console!$M$64</definedName>
    <definedName name="GOP_max_mid">[2]Console!$Q$64</definedName>
    <definedName name="GOP_min">[2]Console!$L$64</definedName>
    <definedName name="GOP_min_mid">[2]Console!$P$64</definedName>
    <definedName name="i_FI">[4]Assumptions!$C$10</definedName>
    <definedName name="IBNER_Table">'[8]IBNER scratchpad'!$C$6:$D$19</definedName>
    <definedName name="IBNERFactors" localSheetId="6">#REF!</definedName>
    <definedName name="IBNERFactors">#REF!</definedName>
    <definedName name="IncludeFinalColumn" localSheetId="6">#REF!</definedName>
    <definedName name="IncludeFinalColumn">#REF!</definedName>
    <definedName name="Incurreds" localSheetId="6">OFFSET('[7]Motor Claims'!#REF!,0,0,COUNTA('[7]Motor Claims'!#REF!)-2,51)</definedName>
    <definedName name="Incurreds">OFFSET('[7]Motor Claims'!#REF!,0,0,COUNTA('[7]Motor Claims'!#REF!)-2,51)</definedName>
    <definedName name="industry_table">[2]Console!$B$97:$C$152</definedName>
    <definedName name="industry_table_mid">[2]Console!$B$97:$G$152</definedName>
    <definedName name="Inflation" localSheetId="6">#REF!</definedName>
    <definedName name="Inflation">#REF!</definedName>
    <definedName name="InflDrivers">[3]Assumptions!$L$19:$M$27</definedName>
    <definedName name="inscope_table" localSheetId="5">[2]Console!#REF!</definedName>
    <definedName name="inscope_table" localSheetId="6">[2]Console!#REF!</definedName>
    <definedName name="inscope_table">[2]Console!#REF!</definedName>
    <definedName name="inv_rate_cli" localSheetId="6">#REF!</definedName>
    <definedName name="inv_rate_cli">#REF!</definedName>
    <definedName name="inv_rate_mkt" localSheetId="6">#REF!</definedName>
    <definedName name="inv_rate_mkt">#REF!</definedName>
    <definedName name="L2formula">'[9]Layer 2'!$E$9:$Q$9,'[9]Layer 2'!$D$11:$Q$11,'[9]Layer 2'!$E$12:$Q$12,'[9]Layer 2'!$D$15:$Q$15,'[9]Layer 2'!$E$20:$Q$20,'[9]Layer 2'!$C$21:$Q$119</definedName>
    <definedName name="L3formula">'[9]Layer 3'!$E$9:$Q$9,'[9]Layer 3'!$D$11:$Q$11,'[9]Layer 3'!$E$12:$Q$12,'[9]Layer 3'!$D$15:$Q$15,'[9]Layer 3'!$E$20:$Q$20,'[9]Layer 3'!$C$21:$Q$119</definedName>
    <definedName name="L4formula">'[9]Layer 4'!$E$9:$Q$9,'[9]Layer 4'!$D$11:$Q$11,'[9]Layer 4'!$E$12:$Q$12,'[9]Layer 4'!$D$15:$Q$15,'[9]Layer 4'!$E$20:$Q$20,'[9]Layer 4'!$C$21:$Q$119</definedName>
    <definedName name="L5formula">'[9]Layer 5'!$E$9:$Q$9,'[9]Layer 5'!$D$11:$Q$11,'[9]Layer 5'!$E$12:$Q$12,'[9]Layer 5'!$D$15:$Q$15,'[9]Layer 5'!$E$20:$Q$20,'[9]Layer 5'!$C$21:$Q$119</definedName>
    <definedName name="L6formula">'[9]Layer 6'!$E$9:$Q$9,'[9]Layer 6'!$D$11:$Q$11,'[9]Layer 6'!$E$12:$Q$12,'[9]Layer 6'!$D$15:$Q$15,'[9]Layer 6'!$E$20:$Q$20,'[9]Layer 6'!$C$21:$Q$119</definedName>
    <definedName name="L7formula">'[9]Layer 7'!$E$9:$Q$9,'[9]Layer 7'!$D$11:$Q$11,'[9]Layer 7'!$E$12:$Q$12,'[9]Layer 7'!$D$15:$Q$15,'[9]Layer 7'!$E$20:$Q$20,'[9]Layer 7'!$C$21:$Q$119</definedName>
    <definedName name="L8formula">'[9]Layer 8'!$E$9:$Q$9,'[9]Layer 8'!$D$11:$Q$11,'[9]Layer 8'!$E$12:$Q$12,'[9]Layer 8'!$D$15:$Q$15,'[9]Layer 8'!$E$20:$Q$20,'[9]Layer 8'!$C$21:$Q$119</definedName>
    <definedName name="lambda_client" localSheetId="6">#REF!</definedName>
    <definedName name="lambda_client">#REF!</definedName>
    <definedName name="lambda_market" localSheetId="6">#REF!</definedName>
    <definedName name="lambda_market">#REF!</definedName>
    <definedName name="lambda_mkt" localSheetId="6">[4]Aggregation!#REF!</definedName>
    <definedName name="lambda_mkt">[4]Aggregation!#REF!</definedName>
    <definedName name="lambda_old" localSheetId="6">#REF!</definedName>
    <definedName name="lambda_old">#REF!</definedName>
    <definedName name="lambda_orig">[4]Aggregation!$D$34</definedName>
    <definedName name="lambda_surv">[4]Aggregation!$F$37</definedName>
    <definedName name="Latest_Third">'2. Claims data'!$G$8</definedName>
    <definedName name="Latest_Year">'2. Claims data'!$G$4</definedName>
    <definedName name="Latest_Year_Shifted">'2. Claims data'!$G$6</definedName>
    <definedName name="LatestLUp" localSheetId="6">#REF!</definedName>
    <definedName name="LatestLUp">#REF!</definedName>
    <definedName name="Lim_max">[2]Console!$M$65</definedName>
    <definedName name="Lim_max_mid">[2]Console!$Q$65</definedName>
    <definedName name="Lim_min">[2]Console!$L$65</definedName>
    <definedName name="Lim_min_mid">[2]Console!$P$65</definedName>
    <definedName name="Limit" localSheetId="6">#REF!</definedName>
    <definedName name="Limit">#REF!</definedName>
    <definedName name="limit10">[4]Aggregation!$M$26</definedName>
    <definedName name="limit2">[4]Aggregation!$E$26</definedName>
    <definedName name="limit3">[4]Aggregation!$F$26</definedName>
    <definedName name="limit4">[4]Aggregation!$G$26</definedName>
    <definedName name="limit5">[4]Aggregation!$H$26</definedName>
    <definedName name="limit6">[4]Aggregation!$I$26</definedName>
    <definedName name="limit7">[4]Aggregation!$J$26</definedName>
    <definedName name="limit8">[4]Aggregation!$K$26</definedName>
    <definedName name="limit9">[4]Aggregation!$L$26</definedName>
    <definedName name="LOB" localSheetId="6">#REF!</definedName>
    <definedName name="LOB">#REF!</definedName>
    <definedName name="LookupBlue" localSheetId="5">#REF!</definedName>
    <definedName name="LookupBlue" localSheetId="6">#REF!</definedName>
    <definedName name="LookupBlue">#REF!</definedName>
    <definedName name="MaxYoEAge" localSheetId="6">#REF!</definedName>
    <definedName name="MaxYoEAge">#REF!</definedName>
    <definedName name="MeanSD" localSheetId="6">#REF!</definedName>
    <definedName name="MeanSD">#REF!</definedName>
    <definedName name="MLE_Input">[1]MLE!$A$12:$A$65532</definedName>
    <definedName name="MPD_Days" localSheetId="0">'[5]1. IBNR Calculations'!$F$7</definedName>
    <definedName name="MPD_days">'[1]Frequency analysis'!$AN$17</definedName>
    <definedName name="MPD_months">'[1]Frequency analysis'!$AV$17</definedName>
    <definedName name="MPD_years">'[1]Frequency analysis'!$AR$17</definedName>
    <definedName name="mu">[4]Assumptions!$C$27</definedName>
    <definedName name="mu_client" localSheetId="6">#REF!</definedName>
    <definedName name="mu_client">#REF!</definedName>
    <definedName name="mu_market" localSheetId="6">#REF!</definedName>
    <definedName name="mu_market">#REF!</definedName>
    <definedName name="mu_mkt" localSheetId="6">[4]Aggregation!#REF!</definedName>
    <definedName name="mu_mkt">[4]Aggregation!#REF!</definedName>
    <definedName name="mu_old" localSheetId="6">#REF!</definedName>
    <definedName name="mu_old">#REF!</definedName>
    <definedName name="mu_orig">[4]Aggregation!$D$37</definedName>
    <definedName name="mu_use_mkt">[4]Aggregation!$H$44</definedName>
    <definedName name="mult_fact" localSheetId="6">#REF!</definedName>
    <definedName name="mult_fact">#REF!</definedName>
    <definedName name="mult_factor" localSheetId="6">#REF!</definedName>
    <definedName name="mult_factor">#REF!</definedName>
    <definedName name="n_losses">[4]Assumptions!$C$24</definedName>
    <definedName name="N_losses_client" localSheetId="6">#REF!</definedName>
    <definedName name="N_losses_client">#REF!</definedName>
    <definedName name="n_losses_market" localSheetId="6">#REF!</definedName>
    <definedName name="n_losses_market">#REF!</definedName>
    <definedName name="no_losses_mkt" localSheetId="6">[4]Aggregation!#REF!</definedName>
    <definedName name="no_losses_mkt">[4]Aggregation!#REF!</definedName>
    <definedName name="no_losses_orig">[4]Aggregation!$D$38</definedName>
    <definedName name="no_of_months_for_latest_year" localSheetId="6">[4]CapeCod!#REF!</definedName>
    <definedName name="no_of_months_for_latest_year">[4]CapeCod!#REF!</definedName>
    <definedName name="noIterations" localSheetId="6">#REF!</definedName>
    <definedName name="noIterations">#REF!</definedName>
    <definedName name="noYears" localSheetId="6">#REF!</definedName>
    <definedName name="noYears">#REF!</definedName>
    <definedName name="Option1">[10]Fit!$D$12</definedName>
    <definedName name="overall_risk_lim_max">[2]Console!$M$68</definedName>
    <definedName name="overall_risk_lim_max_mid">[2]Console!$Q$68</definedName>
    <definedName name="overall_risk_lim_min">[2]Console!$L$68</definedName>
    <definedName name="overall_risk_lim_min_mid">[2]Console!$P$68</definedName>
    <definedName name="PDF_tot_d">'[1]Frequency analysis'!$AN$18</definedName>
    <definedName name="PDF_tot_m">'[1]Frequency analysis'!$AV$18</definedName>
    <definedName name="PDF_tot_y">'[1]Frequency analysis'!$AR$18</definedName>
    <definedName name="Percentiles" localSheetId="6">#REF!</definedName>
    <definedName name="Percentiles">#REF!</definedName>
    <definedName name="PercValues" localSheetId="6">#REF!</definedName>
    <definedName name="PercValues">#REF!</definedName>
    <definedName name="Pol_Inc_Month_Shifted">'2. Claims data'!$D$9</definedName>
    <definedName name="Policy_Inc_Day">'[8]Input data'!$F$7</definedName>
    <definedName name="Policy_Inc_Month">'[8]Input data'!$F$5</definedName>
    <definedName name="Policy_Inception_Month">'2. Claims data'!$D$4</definedName>
    <definedName name="PrevLUp" localSheetId="6">#REF!</definedName>
    <definedName name="PrevLUp">#REF!</definedName>
    <definedName name="primary_xs_table">[2]Console!$B$64:$C$66</definedName>
    <definedName name="primary_xs_table_mid">[2]Console!$B$64:$G$66</definedName>
    <definedName name="r_inv">[4]Assumptions!$C$9</definedName>
    <definedName name="rel_freq_client" localSheetId="6">#REF!</definedName>
    <definedName name="rel_freq_client">#REF!</definedName>
    <definedName name="rel_freq_market" localSheetId="6">#REF!</definedName>
    <definedName name="rel_freq_market">#REF!</definedName>
    <definedName name="ReportingLevel" localSheetId="6">#REF!</definedName>
    <definedName name="ReportingLevel">#REF!</definedName>
    <definedName name="Result">[10]Fit!$B$16:$I$26</definedName>
    <definedName name="Revalue_at_date">'2. Claims data'!$D$5</definedName>
    <definedName name="right_endpoint">[4]Aggregation!$F$39</definedName>
    <definedName name="right_endpt_old" localSheetId="6">#REF!</definedName>
    <definedName name="right_endpt_old">#REF!</definedName>
    <definedName name="right_ep_client" localSheetId="6">#REF!</definedName>
    <definedName name="right_ep_client">#REF!</definedName>
    <definedName name="RiskAfterRecalcMacro" hidden="1">""</definedName>
    <definedName name="RiskAfterSimMacro" hidden="1">""</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TRUE</definedName>
    <definedName name="RiskUseMultipleCPUs">FALSE</definedName>
    <definedName name="RNI">10000</definedName>
    <definedName name="Section_1" localSheetId="6">#REF!</definedName>
    <definedName name="Section_1">#REF!</definedName>
    <definedName name="Section_2" localSheetId="6">#REF!</definedName>
    <definedName name="Section_2">#REF!</definedName>
    <definedName name="Section_2_bis" localSheetId="6">#REF!</definedName>
    <definedName name="Section_2_bis">#REF!</definedName>
    <definedName name="Section_3" localSheetId="6">#REF!</definedName>
    <definedName name="Section_3">#REF!</definedName>
    <definedName name="Section_4" localSheetId="6">#REF!</definedName>
    <definedName name="Section_4">#REF!</definedName>
    <definedName name="Section_5" localSheetId="6">#REF!</definedName>
    <definedName name="Section_5">#REF!</definedName>
    <definedName name="SECTION_V" localSheetId="6">#REF!</definedName>
    <definedName name="SECTION_V">#REF!</definedName>
    <definedName name="SectionII_bis" localSheetId="6">#REF!</definedName>
    <definedName name="SectionII_bis">#REF!</definedName>
    <definedName name="Seed" localSheetId="6">#REF!</definedName>
    <definedName name="Seed">#REF!</definedName>
    <definedName name="sigma">[4]Assumptions!$C$29</definedName>
    <definedName name="sigma_client" localSheetId="6">#REF!</definedName>
    <definedName name="sigma_client">#REF!</definedName>
    <definedName name="sigma_market" localSheetId="6">#REF!</definedName>
    <definedName name="sigma_market">#REF!</definedName>
    <definedName name="sigma_mkt" localSheetId="6">[4]Aggregation!#REF!</definedName>
    <definedName name="sigma_mkt">[4]Aggregation!#REF!</definedName>
    <definedName name="sigma_old" localSheetId="6">#REF!</definedName>
    <definedName name="sigma_old">#REF!</definedName>
    <definedName name="sigma_orig">[4]Aggregation!$D$36</definedName>
    <definedName name="sigma_std_client" localSheetId="6">#REF!</definedName>
    <definedName name="sigma_std_client">#REF!</definedName>
    <definedName name="Start_Column">'[5]1. IBNR Calculations'!$W$9</definedName>
    <definedName name="Start_Row">'[5]1. IBNR Calculations'!$W$8</definedName>
    <definedName name="Startpoint">'[5]1. IBNR Calculations'!$F$5</definedName>
    <definedName name="table_claims_type" localSheetId="6">#REF!</definedName>
    <definedName name="table_claims_type">#REF!</definedName>
    <definedName name="Tail_Factor" localSheetId="0">'[5]1. IBNR Calculations'!$AQ$10</definedName>
    <definedName name="Tail_Factor">'[1]Frequency analysis'!$X$16</definedName>
    <definedName name="tau" localSheetId="6">#REF!</definedName>
    <definedName name="tau">#REF!</definedName>
    <definedName name="tau_client">[4]Aggregation!$F$40</definedName>
    <definedName name="tau_mkt" localSheetId="6">[4]Aggregation!#REF!</definedName>
    <definedName name="tau_mkt">[4]Aggregation!#REF!</definedName>
    <definedName name="TEP_1">[4]Aggregation!$H$37</definedName>
    <definedName name="u_1" localSheetId="6">[4]Aggregation!#REF!</definedName>
    <definedName name="u_1">[4]Aggregation!#REF!</definedName>
    <definedName name="u_1_mkt" localSheetId="6">[4]Aggregation!#REF!</definedName>
    <definedName name="u_1_mkt">[4]Aggregation!#REF!</definedName>
    <definedName name="u_2" localSheetId="6">[4]Aggregation!#REF!</definedName>
    <definedName name="u_2">[4]Aggregation!#REF!</definedName>
    <definedName name="u_2_mkt" localSheetId="6">[4]Aggregation!#REF!</definedName>
    <definedName name="u_2_mkt">[4]Aggregation!#REF!</definedName>
    <definedName name="u1_het" localSheetId="6">[4]Aggregation!#REF!</definedName>
    <definedName name="u1_het">[4]Aggregation!#REF!</definedName>
    <definedName name="u1_orig" localSheetId="6">[4]Aggregation!#REF!</definedName>
    <definedName name="u1_orig">[4]Aggregation!#REF!</definedName>
    <definedName name="u2_het" localSheetId="6">[4]Aggregation!#REF!</definedName>
    <definedName name="u2_het">[4]Aggregation!#REF!</definedName>
    <definedName name="u2_orig" localSheetId="6">[4]Aggregation!#REF!</definedName>
    <definedName name="u2_orig">[4]Aggregation!#REF!</definedName>
    <definedName name="Uffa" localSheetId="6">#REF!</definedName>
    <definedName name="Uffa">#REF!</definedName>
    <definedName name="Weighted" localSheetId="6">#REF!</definedName>
    <definedName name="Weighted">#REF!</definedName>
    <definedName name="Willis">[2]Console!$I$22</definedName>
    <definedName name="window_size">'[1]Frequency analysis'!$B$17</definedName>
    <definedName name="x">#REF!</definedName>
    <definedName name="X_axis">OFFSET('[5]1. IBNR Calculations'!$A$1,Start_Row-1,Start_Column-1,'00. DISCLAIMER'!MPD_Days,1)</definedName>
    <definedName name="Xs_max">[2]Console!$M$66</definedName>
    <definedName name="Xs_max_mid">[2]Console!$Q$66</definedName>
    <definedName name="Xs_min">[2]Console!$L$66</definedName>
    <definedName name="Xs_min_mid">[2]Console!$P$66</definedName>
    <definedName name="y">#REF!</definedName>
    <definedName name="Y_axis_corr">OFFSET('[5]1. IBNR Calculations'!$A$1,Start_Row-1,Start_Column+8,'00. DISCLAIMER'!MPD_Days,1)</definedName>
    <definedName name="Y_axis_uncorr">OFFSET('[5]1. IBNR Calculations'!$A$1,Start_Row-1,Start_Column+6,'00. DISCLAIMER'!MPD_Days,1)</definedName>
    <definedName name="YoE" localSheetId="6">#REF!</definedName>
    <definedName name="YoE">#REF!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3" i="9" l="1"/>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AC125" i="9"/>
  <c r="AC126" i="9"/>
  <c r="AC127" i="9"/>
  <c r="AC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C509" i="9"/>
  <c r="AC510" i="9"/>
  <c r="AC511" i="9"/>
  <c r="AC512" i="9"/>
  <c r="AC513" i="9"/>
  <c r="AC514" i="9"/>
  <c r="AC515" i="9"/>
  <c r="AC516" i="9"/>
  <c r="AC517" i="9"/>
  <c r="AC518" i="9"/>
  <c r="AC519" i="9"/>
  <c r="AC520" i="9"/>
  <c r="AC521" i="9"/>
  <c r="AC522" i="9"/>
  <c r="AC523" i="9"/>
  <c r="AC524" i="9"/>
  <c r="AC525" i="9"/>
  <c r="AC526" i="9"/>
  <c r="AC527" i="9"/>
  <c r="AC528" i="9"/>
  <c r="AC529" i="9"/>
  <c r="AC530" i="9"/>
  <c r="AC531" i="9"/>
  <c r="AC532" i="9"/>
  <c r="AC533" i="9"/>
  <c r="AC534" i="9"/>
  <c r="AC535" i="9"/>
  <c r="AC536" i="9"/>
  <c r="AC537" i="9"/>
  <c r="AC538" i="9"/>
  <c r="AC539" i="9"/>
  <c r="AC540" i="9"/>
  <c r="AC541" i="9"/>
  <c r="AC542" i="9"/>
  <c r="AC543" i="9"/>
  <c r="AC544" i="9"/>
  <c r="AC545" i="9"/>
  <c r="AC546" i="9"/>
  <c r="AC547" i="9"/>
  <c r="AC548" i="9"/>
  <c r="AC549" i="9"/>
  <c r="AC550" i="9"/>
  <c r="AC551" i="9"/>
  <c r="AC552" i="9"/>
  <c r="AC553" i="9"/>
  <c r="AC554" i="9"/>
  <c r="AC555" i="9"/>
  <c r="AC556" i="9"/>
  <c r="AC557" i="9"/>
  <c r="AC558" i="9"/>
  <c r="AC559" i="9"/>
  <c r="AC560" i="9"/>
  <c r="AC561" i="9"/>
  <c r="AC562" i="9"/>
  <c r="AC563" i="9"/>
  <c r="AC564" i="9"/>
  <c r="AC565" i="9"/>
  <c r="AC566" i="9"/>
  <c r="AC567" i="9"/>
  <c r="AC568" i="9"/>
  <c r="AC569" i="9"/>
  <c r="AC570" i="9"/>
  <c r="AC571" i="9"/>
  <c r="AC572" i="9"/>
  <c r="AC573" i="9"/>
  <c r="AC574" i="9"/>
  <c r="AC575" i="9"/>
  <c r="AC576" i="9"/>
  <c r="AC577" i="9"/>
  <c r="AC578" i="9"/>
  <c r="AC579" i="9"/>
  <c r="AC580" i="9"/>
  <c r="AC581" i="9"/>
  <c r="AC582" i="9"/>
  <c r="AC583" i="9"/>
  <c r="AC584" i="9"/>
  <c r="AC585" i="9"/>
  <c r="AC586" i="9"/>
  <c r="AC587" i="9"/>
  <c r="AC588" i="9"/>
  <c r="AC589" i="9"/>
  <c r="AC590" i="9"/>
  <c r="AC591" i="9"/>
  <c r="AC592" i="9"/>
  <c r="AC593" i="9"/>
  <c r="AC594" i="9"/>
  <c r="AC595" i="9"/>
  <c r="AC596" i="9"/>
  <c r="AC597" i="9"/>
  <c r="AC598" i="9"/>
  <c r="AC599" i="9"/>
  <c r="AC600" i="9"/>
  <c r="AC601" i="9"/>
  <c r="AC602" i="9"/>
  <c r="AC603" i="9"/>
  <c r="AC604" i="9"/>
  <c r="AC605" i="9"/>
  <c r="AC606" i="9"/>
  <c r="AC607" i="9"/>
  <c r="AC608" i="9"/>
  <c r="AC609" i="9"/>
  <c r="AC610" i="9"/>
  <c r="AC611" i="9"/>
  <c r="AC612" i="9"/>
  <c r="AC613" i="9"/>
  <c r="AC614" i="9"/>
  <c r="AC615" i="9"/>
  <c r="AC616" i="9"/>
  <c r="AC617" i="9"/>
  <c r="AC618" i="9"/>
  <c r="AC619" i="9"/>
  <c r="AC620" i="9"/>
  <c r="AC621" i="9"/>
  <c r="AC622" i="9"/>
  <c r="AC623" i="9"/>
  <c r="AC624" i="9"/>
  <c r="AC625" i="9"/>
  <c r="AC626" i="9"/>
  <c r="AC627" i="9"/>
  <c r="AC628" i="9"/>
  <c r="AC629" i="9"/>
  <c r="AC630" i="9"/>
  <c r="AC631" i="9"/>
  <c r="AC632" i="9"/>
  <c r="AC633" i="9"/>
  <c r="AC634" i="9"/>
  <c r="AC635" i="9"/>
  <c r="AC636" i="9"/>
  <c r="AC637" i="9"/>
  <c r="AC638" i="9"/>
  <c r="AC639" i="9"/>
  <c r="AC640" i="9"/>
  <c r="AC641" i="9"/>
  <c r="AC642" i="9"/>
  <c r="AC643" i="9"/>
  <c r="AC644" i="9"/>
  <c r="AC645" i="9"/>
  <c r="AC646" i="9"/>
  <c r="AC647" i="9"/>
  <c r="AC648" i="9"/>
  <c r="AC649" i="9"/>
  <c r="AC650" i="9"/>
  <c r="AC651" i="9"/>
  <c r="AC652" i="9"/>
  <c r="AC653" i="9"/>
  <c r="AC654" i="9"/>
  <c r="AC655" i="9"/>
  <c r="AC656" i="9"/>
  <c r="AC657" i="9"/>
  <c r="AC658" i="9"/>
  <c r="AC659" i="9"/>
  <c r="AC660" i="9"/>
  <c r="AC661" i="9"/>
  <c r="AC662" i="9"/>
  <c r="AC663" i="9"/>
  <c r="AC664" i="9"/>
  <c r="AC665" i="9"/>
  <c r="AC666" i="9"/>
  <c r="AC667" i="9"/>
  <c r="AC668" i="9"/>
  <c r="AC669" i="9"/>
  <c r="AC670" i="9"/>
  <c r="AC671" i="9"/>
  <c r="AC672" i="9"/>
  <c r="AC673" i="9"/>
  <c r="AC674" i="9"/>
  <c r="AC675" i="9"/>
  <c r="AC676" i="9"/>
  <c r="AC677" i="9"/>
  <c r="AC678" i="9"/>
  <c r="AC679" i="9"/>
  <c r="AC680" i="9"/>
  <c r="AC681" i="9"/>
  <c r="AC682" i="9"/>
  <c r="AC683" i="9"/>
  <c r="AC684" i="9"/>
  <c r="AC685" i="9"/>
  <c r="AC686" i="9"/>
  <c r="AC687" i="9"/>
  <c r="AC688" i="9"/>
  <c r="AC689" i="9"/>
  <c r="AC690" i="9"/>
  <c r="AC691" i="9"/>
  <c r="AC692" i="9"/>
  <c r="AC693" i="9"/>
  <c r="AC694" i="9"/>
  <c r="AC695" i="9"/>
  <c r="AC696" i="9"/>
  <c r="AC697" i="9"/>
  <c r="AC698" i="9"/>
  <c r="AC699" i="9"/>
  <c r="AC700" i="9"/>
  <c r="AC701" i="9"/>
  <c r="AC702" i="9"/>
  <c r="AC703" i="9"/>
  <c r="AC704" i="9"/>
  <c r="AC705" i="9"/>
  <c r="AC706" i="9"/>
  <c r="AC707" i="9"/>
  <c r="AC708" i="9"/>
  <c r="AC709" i="9"/>
  <c r="AC710" i="9"/>
  <c r="AC711" i="9"/>
  <c r="AC712" i="9"/>
  <c r="AC713" i="9"/>
  <c r="AC714" i="9"/>
  <c r="AC715" i="9"/>
  <c r="AC716" i="9"/>
  <c r="AC717" i="9"/>
  <c r="AC718" i="9"/>
  <c r="AC719" i="9"/>
  <c r="AC720" i="9"/>
  <c r="AC721" i="9"/>
  <c r="AC722" i="9"/>
  <c r="AC723" i="9"/>
  <c r="AC724" i="9"/>
  <c r="AC725" i="9"/>
  <c r="AC726" i="9"/>
  <c r="AC727" i="9"/>
  <c r="AC728" i="9"/>
  <c r="AC729" i="9"/>
  <c r="AC730" i="9"/>
  <c r="AC731" i="9"/>
  <c r="AC732" i="9"/>
  <c r="AC733" i="9"/>
  <c r="AC734" i="9"/>
  <c r="AC735" i="9"/>
  <c r="AC736" i="9"/>
  <c r="AC737" i="9"/>
  <c r="AC738" i="9"/>
  <c r="AC739" i="9"/>
  <c r="AC740" i="9"/>
  <c r="AC741" i="9"/>
  <c r="AC742" i="9"/>
  <c r="AC743" i="9"/>
  <c r="AC744" i="9"/>
  <c r="AC745" i="9"/>
  <c r="AC746" i="9"/>
  <c r="AC747" i="9"/>
  <c r="AC748" i="9"/>
  <c r="AC749" i="9"/>
  <c r="AC750" i="9"/>
  <c r="AC751" i="9"/>
  <c r="AC752" i="9"/>
  <c r="AC753" i="9"/>
  <c r="AC754" i="9"/>
  <c r="AC755" i="9"/>
  <c r="AC756" i="9"/>
  <c r="AC757" i="9"/>
  <c r="AC758" i="9"/>
  <c r="AC759" i="9"/>
  <c r="AC760" i="9"/>
  <c r="AC761" i="9"/>
  <c r="AC762" i="9"/>
  <c r="AC763" i="9"/>
  <c r="AC764" i="9"/>
  <c r="AC765" i="9"/>
  <c r="AC766" i="9"/>
  <c r="AC767" i="9"/>
  <c r="AC768" i="9"/>
  <c r="AC769" i="9"/>
  <c r="AC770" i="9"/>
  <c r="AC771" i="9"/>
  <c r="AC772" i="9"/>
  <c r="AC773" i="9"/>
  <c r="AC774" i="9"/>
  <c r="AC775" i="9"/>
  <c r="AC776" i="9"/>
  <c r="AC777" i="9"/>
  <c r="AC778" i="9"/>
  <c r="AC779" i="9"/>
  <c r="AC780" i="9"/>
  <c r="AC781" i="9"/>
  <c r="AC782" i="9"/>
  <c r="AC783" i="9"/>
  <c r="AC784" i="9"/>
  <c r="AC785" i="9"/>
  <c r="AC786" i="9"/>
  <c r="AC787" i="9"/>
  <c r="AC788" i="9"/>
  <c r="AC789" i="9"/>
  <c r="AC790" i="9"/>
  <c r="AC791" i="9"/>
  <c r="AC792" i="9"/>
  <c r="AC793" i="9"/>
  <c r="AC794" i="9"/>
  <c r="AC795" i="9"/>
  <c r="AC796" i="9"/>
  <c r="AC797" i="9"/>
  <c r="AC798" i="9"/>
  <c r="AC799" i="9"/>
  <c r="AC800" i="9"/>
  <c r="AC801" i="9"/>
  <c r="AC802" i="9"/>
  <c r="AC803" i="9"/>
  <c r="AC804" i="9"/>
  <c r="AC805" i="9"/>
  <c r="AC806" i="9"/>
  <c r="AC807" i="9"/>
  <c r="AC808" i="9"/>
  <c r="AC809" i="9"/>
  <c r="AC810" i="9"/>
  <c r="AC811" i="9"/>
  <c r="AC812" i="9"/>
  <c r="AC813" i="9"/>
  <c r="AC814" i="9"/>
  <c r="AC815" i="9"/>
  <c r="AC816" i="9"/>
  <c r="AC817" i="9"/>
  <c r="AC818" i="9"/>
  <c r="AC819" i="9"/>
  <c r="AC820" i="9"/>
  <c r="AC821" i="9"/>
  <c r="AC822" i="9"/>
  <c r="AC823" i="9"/>
  <c r="AC824" i="9"/>
  <c r="AC825" i="9"/>
  <c r="AC826" i="9"/>
  <c r="AC827" i="9"/>
  <c r="AC828" i="9"/>
  <c r="AC829" i="9"/>
  <c r="AC830" i="9"/>
  <c r="AC831" i="9"/>
  <c r="AC832" i="9"/>
  <c r="AC833" i="9"/>
  <c r="AC834" i="9"/>
  <c r="AC835" i="9"/>
  <c r="AC836" i="9"/>
  <c r="AC837" i="9"/>
  <c r="AC838" i="9"/>
  <c r="AC839" i="9"/>
  <c r="AC840" i="9"/>
  <c r="AC841" i="9"/>
  <c r="AC842" i="9"/>
  <c r="AC843" i="9"/>
  <c r="AC844" i="9"/>
  <c r="AC845" i="9"/>
  <c r="AC846" i="9"/>
  <c r="AC847" i="9"/>
  <c r="AC848" i="9"/>
  <c r="AC849" i="9"/>
  <c r="AC850" i="9"/>
  <c r="AC851" i="9"/>
  <c r="AC852" i="9"/>
  <c r="AC853" i="9"/>
  <c r="AC854" i="9"/>
  <c r="AC855" i="9"/>
  <c r="AC856" i="9"/>
  <c r="AC857" i="9"/>
  <c r="AC858" i="9"/>
  <c r="AC859" i="9"/>
  <c r="AC860" i="9"/>
  <c r="AC861" i="9"/>
  <c r="AC862" i="9"/>
  <c r="AC863" i="9"/>
  <c r="AC864" i="9"/>
  <c r="AC865" i="9"/>
  <c r="AC866" i="9"/>
  <c r="AC867" i="9"/>
  <c r="AC868" i="9"/>
  <c r="AC869" i="9"/>
  <c r="AC870" i="9"/>
  <c r="AC871" i="9"/>
  <c r="AC872" i="9"/>
  <c r="AC873" i="9"/>
  <c r="AC874" i="9"/>
  <c r="AC875" i="9"/>
  <c r="AC876" i="9"/>
  <c r="AC877" i="9"/>
  <c r="AC878" i="9"/>
  <c r="AC879" i="9"/>
  <c r="AC880" i="9"/>
  <c r="AC881" i="9"/>
  <c r="AC882" i="9"/>
  <c r="AC883" i="9"/>
  <c r="AC884" i="9"/>
  <c r="AC885" i="9"/>
  <c r="AC886" i="9"/>
  <c r="AC887" i="9"/>
  <c r="AC888" i="9"/>
  <c r="AC889" i="9"/>
  <c r="AC890" i="9"/>
  <c r="AC891" i="9"/>
  <c r="AC892" i="9"/>
  <c r="AC893" i="9"/>
  <c r="AC894" i="9"/>
  <c r="AC895" i="9"/>
  <c r="AC896" i="9"/>
  <c r="AC897" i="9"/>
  <c r="AC898" i="9"/>
  <c r="AC899" i="9"/>
  <c r="AC900" i="9"/>
  <c r="AC901" i="9"/>
  <c r="AC902" i="9"/>
  <c r="AC903" i="9"/>
  <c r="AC904" i="9"/>
  <c r="AC905" i="9"/>
  <c r="AC906" i="9"/>
  <c r="AC907" i="9"/>
  <c r="AC908" i="9"/>
  <c r="AC909" i="9"/>
  <c r="AC910" i="9"/>
  <c r="AC911" i="9"/>
  <c r="AC912" i="9"/>
  <c r="AC913" i="9"/>
  <c r="AC914" i="9"/>
  <c r="AC915" i="9"/>
  <c r="AC916" i="9"/>
  <c r="AC917" i="9"/>
  <c r="AC918" i="9"/>
  <c r="AC919" i="9"/>
  <c r="AC920" i="9"/>
  <c r="AC921" i="9"/>
  <c r="AC922" i="9"/>
  <c r="AC923" i="9"/>
  <c r="AC924" i="9"/>
  <c r="AC925" i="9"/>
  <c r="AC926" i="9"/>
  <c r="AC927" i="9"/>
  <c r="AC928" i="9"/>
  <c r="AC929" i="9"/>
  <c r="AC930" i="9"/>
  <c r="AC931" i="9"/>
  <c r="AC932" i="9"/>
  <c r="AC933" i="9"/>
  <c r="AC934" i="9"/>
  <c r="AC935" i="9"/>
  <c r="AC936" i="9"/>
  <c r="AC937" i="9"/>
  <c r="AC938" i="9"/>
  <c r="AC939" i="9"/>
  <c r="AC940" i="9"/>
  <c r="AC941" i="9"/>
  <c r="AC942" i="9"/>
  <c r="AC943" i="9"/>
  <c r="AC944" i="9"/>
  <c r="AC945" i="9"/>
  <c r="AC946" i="9"/>
  <c r="AC947" i="9"/>
  <c r="AC948" i="9"/>
  <c r="AC949" i="9"/>
  <c r="AC950" i="9"/>
  <c r="AC951" i="9"/>
  <c r="AC952" i="9"/>
  <c r="AC953" i="9"/>
  <c r="AC954" i="9"/>
  <c r="AC955" i="9"/>
  <c r="AC956" i="9"/>
  <c r="AC957" i="9"/>
  <c r="AC958" i="9"/>
  <c r="AC959" i="9"/>
  <c r="AC960" i="9"/>
  <c r="AC961" i="9"/>
  <c r="AC962" i="9"/>
  <c r="AC963" i="9"/>
  <c r="AC964" i="9"/>
  <c r="AC965" i="9"/>
  <c r="AC966" i="9"/>
  <c r="AC967" i="9"/>
  <c r="AC968" i="9"/>
  <c r="AC969" i="9"/>
  <c r="AC970" i="9"/>
  <c r="AC971" i="9"/>
  <c r="AC972" i="9"/>
  <c r="AC973" i="9"/>
  <c r="AC974" i="9"/>
  <c r="AC975" i="9"/>
  <c r="AC976" i="9"/>
  <c r="AC977" i="9"/>
  <c r="AC978" i="9"/>
  <c r="AC979" i="9"/>
  <c r="AC980" i="9"/>
  <c r="AC981" i="9"/>
  <c r="AC982" i="9"/>
  <c r="AC983" i="9"/>
  <c r="AC984" i="9"/>
  <c r="AC985" i="9"/>
  <c r="AC986" i="9"/>
  <c r="AC987" i="9"/>
  <c r="AC988" i="9"/>
  <c r="AC989" i="9"/>
  <c r="AC990" i="9"/>
  <c r="AC991" i="9"/>
  <c r="AC992" i="9"/>
  <c r="AC993" i="9"/>
  <c r="AC994" i="9"/>
  <c r="AC995" i="9"/>
  <c r="AC996" i="9"/>
  <c r="AC997" i="9"/>
  <c r="AC998" i="9"/>
  <c r="AC999" i="9"/>
  <c r="AC1000" i="9"/>
  <c r="AC1001" i="9"/>
  <c r="AC1002" i="9"/>
  <c r="AC1003" i="9"/>
  <c r="AC1004" i="9"/>
  <c r="AC1005" i="9"/>
  <c r="AC1006" i="9"/>
  <c r="AC1007" i="9"/>
  <c r="AC1008" i="9"/>
  <c r="AC1009" i="9"/>
  <c r="AC1010" i="9"/>
  <c r="AC1011" i="9"/>
  <c r="AC1012" i="9"/>
  <c r="AC1013" i="9"/>
  <c r="AC1014" i="9"/>
  <c r="AC1015" i="9"/>
  <c r="AC1016" i="9"/>
  <c r="AC1017" i="9"/>
  <c r="AC1018" i="9"/>
  <c r="AC1019" i="9"/>
  <c r="AC1020" i="9"/>
  <c r="AC1021" i="9"/>
  <c r="AC1022" i="9"/>
  <c r="AC1023" i="9"/>
  <c r="AC1024" i="9"/>
  <c r="AC1025" i="9"/>
  <c r="AC1026" i="9"/>
  <c r="AC1027" i="9"/>
  <c r="AC1028" i="9"/>
  <c r="AC1029" i="9"/>
  <c r="AC1030" i="9"/>
  <c r="AC1031" i="9"/>
  <c r="AC1032" i="9"/>
  <c r="AC1033" i="9"/>
  <c r="AC1034" i="9"/>
  <c r="AC1035" i="9"/>
  <c r="AC1036" i="9"/>
  <c r="AC1037" i="9"/>
  <c r="AC1038" i="9"/>
  <c r="AC1039" i="9"/>
  <c r="AC1040" i="9"/>
  <c r="AC1041" i="9"/>
  <c r="AC1042" i="9"/>
  <c r="AC1043" i="9"/>
  <c r="AC1044" i="9"/>
  <c r="AC1045" i="9"/>
  <c r="AC1046" i="9"/>
  <c r="AC1047" i="9"/>
  <c r="AC1048" i="9"/>
  <c r="AC1049" i="9"/>
  <c r="AC1050" i="9"/>
  <c r="AC1051" i="9"/>
  <c r="AC1052" i="9"/>
  <c r="AC1053" i="9"/>
  <c r="AC1054" i="9"/>
  <c r="AC1055" i="9"/>
  <c r="AC1056" i="9"/>
  <c r="AC1057" i="9"/>
  <c r="AC1058" i="9"/>
  <c r="AC1059" i="9"/>
  <c r="AC1060" i="9"/>
  <c r="AC1061" i="9"/>
  <c r="AC1062" i="9"/>
  <c r="AC1063" i="9"/>
  <c r="AC1064" i="9"/>
  <c r="AC1065" i="9"/>
  <c r="AC1066" i="9"/>
  <c r="AC1067" i="9"/>
  <c r="AC1068" i="9"/>
  <c r="AC1069" i="9"/>
  <c r="AC1070" i="9"/>
  <c r="AC1071" i="9"/>
  <c r="AC1072" i="9"/>
  <c r="AC1073" i="9"/>
  <c r="AC1074" i="9"/>
  <c r="AC1075" i="9"/>
  <c r="AC1076" i="9"/>
  <c r="AC1077" i="9"/>
  <c r="AC1078" i="9"/>
  <c r="AC1079" i="9"/>
  <c r="AC1080" i="9"/>
  <c r="AC1081" i="9"/>
  <c r="AC1082" i="9"/>
  <c r="AC1083" i="9"/>
  <c r="AC1084" i="9"/>
  <c r="AC1085" i="9"/>
  <c r="AC1086" i="9"/>
  <c r="AC1087" i="9"/>
  <c r="AC1088" i="9"/>
  <c r="AC1089" i="9"/>
  <c r="AC1090" i="9"/>
  <c r="AC1091" i="9"/>
  <c r="AC1092" i="9"/>
  <c r="AC1093" i="9"/>
  <c r="AC1094" i="9"/>
  <c r="AC1095" i="9"/>
  <c r="AC1096" i="9"/>
  <c r="AC1097" i="9"/>
  <c r="AC1098" i="9"/>
  <c r="AC1099" i="9"/>
  <c r="AC1100" i="9"/>
  <c r="AC1101" i="9"/>
  <c r="AC1102" i="9"/>
  <c r="AC1103" i="9"/>
  <c r="AC1104" i="9"/>
  <c r="AC1105" i="9"/>
  <c r="AC1106" i="9"/>
  <c r="AC1107" i="9"/>
  <c r="AC1108" i="9"/>
  <c r="AC1109" i="9"/>
  <c r="AC1110" i="9"/>
  <c r="AC1111" i="9"/>
  <c r="AC1112" i="9"/>
  <c r="AC1113" i="9"/>
  <c r="AC1114" i="9"/>
  <c r="AC1115" i="9"/>
  <c r="AC1116" i="9"/>
  <c r="AC1117" i="9"/>
  <c r="AC1118" i="9"/>
  <c r="AC1119" i="9"/>
  <c r="AC1120" i="9"/>
  <c r="AC1121" i="9"/>
  <c r="AC1122" i="9"/>
  <c r="AC1123" i="9"/>
  <c r="AC1124" i="9"/>
  <c r="AC1125" i="9"/>
  <c r="AC1126" i="9"/>
  <c r="AC1127" i="9"/>
  <c r="AC1128" i="9"/>
  <c r="AC1129" i="9"/>
  <c r="AC1130" i="9"/>
  <c r="AC1131" i="9"/>
  <c r="AC1132" i="9"/>
  <c r="AC1133" i="9"/>
  <c r="AC1134" i="9"/>
  <c r="AC1135" i="9"/>
  <c r="AC1136" i="9"/>
  <c r="AC1137" i="9"/>
  <c r="AC1138" i="9"/>
  <c r="AC1139" i="9"/>
  <c r="AC1140" i="9"/>
  <c r="AC1141" i="9"/>
  <c r="AC1142" i="9"/>
  <c r="AC1143" i="9"/>
  <c r="AC1144" i="9"/>
  <c r="AC1145" i="9"/>
  <c r="AC1146" i="9"/>
  <c r="AC1147" i="9"/>
  <c r="AC1148" i="9"/>
  <c r="AC1149" i="9"/>
  <c r="AC1150" i="9"/>
  <c r="AC1151" i="9"/>
  <c r="AC1152" i="9"/>
  <c r="AC1153" i="9"/>
  <c r="AC1154" i="9"/>
  <c r="AC1155" i="9"/>
  <c r="AC1156" i="9"/>
  <c r="AC1157" i="9"/>
  <c r="AC1158" i="9"/>
  <c r="AC1159" i="9"/>
  <c r="AC1160" i="9"/>
  <c r="AC1161" i="9"/>
  <c r="AC1162" i="9"/>
  <c r="AC1163" i="9"/>
  <c r="AC1164" i="9"/>
  <c r="AC1165" i="9"/>
  <c r="AC1166" i="9"/>
  <c r="AC1167" i="9"/>
  <c r="AC1168" i="9"/>
  <c r="AC1169" i="9"/>
  <c r="AC1170" i="9"/>
  <c r="AC1171" i="9"/>
  <c r="AC1172" i="9"/>
  <c r="AC1173" i="9"/>
  <c r="AC1174" i="9"/>
  <c r="AC1175" i="9"/>
  <c r="AC1176" i="9"/>
  <c r="AC1177" i="9"/>
  <c r="AC1178" i="9"/>
  <c r="AC1179" i="9"/>
  <c r="AC1180" i="9"/>
  <c r="AC1181" i="9"/>
  <c r="AC1182" i="9"/>
  <c r="AC1183" i="9"/>
  <c r="AC1184" i="9"/>
  <c r="AC1185" i="9"/>
  <c r="AC1186" i="9"/>
  <c r="AC1187" i="9"/>
  <c r="AC1188" i="9"/>
  <c r="AC1189" i="9"/>
  <c r="AC1190" i="9"/>
  <c r="AC1191" i="9"/>
  <c r="AC1192" i="9"/>
  <c r="AC1193" i="9"/>
  <c r="AC1194" i="9"/>
  <c r="AC1195" i="9"/>
  <c r="AC1196" i="9"/>
  <c r="AC1197" i="9"/>
  <c r="AC1198" i="9"/>
  <c r="AC1199" i="9"/>
  <c r="AC1200" i="9"/>
  <c r="AC1201" i="9"/>
  <c r="AC1202" i="9"/>
  <c r="AC1203" i="9"/>
  <c r="AC1204" i="9"/>
  <c r="AC1205" i="9"/>
  <c r="AC1206" i="9"/>
  <c r="AC1207" i="9"/>
  <c r="AC1208" i="9"/>
  <c r="AC1209" i="9"/>
  <c r="AC1210" i="9"/>
  <c r="AC1211" i="9"/>
  <c r="AC1212" i="9"/>
  <c r="AC1213" i="9"/>
  <c r="AC1214" i="9"/>
  <c r="AC1215" i="9"/>
  <c r="AC1216" i="9"/>
  <c r="AC1217" i="9"/>
  <c r="AC1218" i="9"/>
  <c r="AC1219" i="9"/>
  <c r="AC1220" i="9"/>
  <c r="AC1221" i="9"/>
  <c r="AC1222" i="9"/>
  <c r="AC1223" i="9"/>
  <c r="AC1224" i="9"/>
  <c r="AC1225" i="9"/>
  <c r="AC1226" i="9"/>
  <c r="AC1227" i="9"/>
  <c r="AC1228" i="9"/>
  <c r="AC1229" i="9"/>
  <c r="AC1230" i="9"/>
  <c r="AC1231" i="9"/>
  <c r="AC1232" i="9"/>
  <c r="AC1233" i="9"/>
  <c r="AC1234" i="9"/>
  <c r="AC1235" i="9"/>
  <c r="AC1236" i="9"/>
  <c r="AC1237" i="9"/>
  <c r="AC1238" i="9"/>
  <c r="AC1239" i="9"/>
  <c r="AC1240" i="9"/>
  <c r="AC1241" i="9"/>
  <c r="AC1242" i="9"/>
  <c r="AC1243" i="9"/>
  <c r="AC1244" i="9"/>
  <c r="AC1245" i="9"/>
  <c r="AC1246" i="9"/>
  <c r="AC1247" i="9"/>
  <c r="AC1248" i="9"/>
  <c r="AC1249" i="9"/>
  <c r="AC1250" i="9"/>
  <c r="AC1251" i="9"/>
  <c r="AC1252" i="9"/>
  <c r="AC1253" i="9"/>
  <c r="AC1254" i="9"/>
  <c r="AC1255" i="9"/>
  <c r="AC1256" i="9"/>
  <c r="AC1257" i="9"/>
  <c r="AC1258" i="9"/>
  <c r="AC1259" i="9"/>
  <c r="AC1260" i="9"/>
  <c r="AC1261" i="9"/>
  <c r="AC1262" i="9"/>
  <c r="AC1263" i="9"/>
  <c r="AC1264" i="9"/>
  <c r="AC1265" i="9"/>
  <c r="AC1266" i="9"/>
  <c r="AC1267" i="9"/>
  <c r="AC1268" i="9"/>
  <c r="AC1269" i="9"/>
  <c r="AC1270" i="9"/>
  <c r="AC1271" i="9"/>
  <c r="AC1272" i="9"/>
  <c r="AC1273" i="9"/>
  <c r="AC1274" i="9"/>
  <c r="AC1275" i="9"/>
  <c r="AC1276" i="9"/>
  <c r="AC1277" i="9"/>
  <c r="AC1278" i="9"/>
  <c r="AC1279" i="9"/>
  <c r="AC1280" i="9"/>
  <c r="AC1281" i="9"/>
  <c r="AC1282" i="9"/>
  <c r="AC1283" i="9"/>
  <c r="AC1284" i="9"/>
  <c r="AC1285" i="9"/>
  <c r="AC1286" i="9"/>
  <c r="AC1287" i="9"/>
  <c r="AC1288" i="9"/>
  <c r="AC1289" i="9"/>
  <c r="AC1290" i="9"/>
  <c r="AC1291" i="9"/>
  <c r="AC1292" i="9"/>
  <c r="AC1293" i="9"/>
  <c r="AC1294" i="9"/>
  <c r="AC1295" i="9"/>
  <c r="AC1296" i="9"/>
  <c r="AC1297" i="9"/>
  <c r="AC1298" i="9"/>
  <c r="AC1299" i="9"/>
  <c r="AC1300" i="9"/>
  <c r="AC1301" i="9"/>
  <c r="AC1302" i="9"/>
  <c r="AC1303" i="9"/>
  <c r="AC1304" i="9"/>
  <c r="AC1305" i="9"/>
  <c r="AC1306" i="9"/>
  <c r="AC1307" i="9"/>
  <c r="AC1308" i="9"/>
  <c r="AC1309" i="9"/>
  <c r="AC1310" i="9"/>
  <c r="AC1311" i="9"/>
  <c r="AC1312" i="9"/>
  <c r="AC1313" i="9"/>
  <c r="AC1314" i="9"/>
  <c r="AC1315" i="9"/>
  <c r="AC1316" i="9"/>
  <c r="AC1317" i="9"/>
  <c r="AC1318" i="9"/>
  <c r="AC1319" i="9"/>
  <c r="AC1320" i="9"/>
  <c r="AC1321" i="9"/>
  <c r="AC1322" i="9"/>
  <c r="AC1323" i="9"/>
  <c r="AC1324" i="9"/>
  <c r="AC1325" i="9"/>
  <c r="AC1326" i="9"/>
  <c r="AC1327" i="9"/>
  <c r="AC1328" i="9"/>
  <c r="AC1329" i="9"/>
  <c r="AC1330" i="9"/>
  <c r="AC1331" i="9"/>
  <c r="AC1332" i="9"/>
  <c r="AC1333" i="9"/>
  <c r="AC1334" i="9"/>
  <c r="AC1335" i="9"/>
  <c r="AC1336" i="9"/>
  <c r="AC1337" i="9"/>
  <c r="AC1338" i="9"/>
  <c r="AC1339" i="9"/>
  <c r="AC1340" i="9"/>
  <c r="AC1341" i="9"/>
  <c r="AC1342" i="9"/>
  <c r="AC1343" i="9"/>
  <c r="AC1344" i="9"/>
  <c r="AC1345" i="9"/>
  <c r="AC1346" i="9"/>
  <c r="AC1347" i="9"/>
  <c r="AC1348" i="9"/>
  <c r="AC1349" i="9"/>
  <c r="AC1350" i="9"/>
  <c r="AC1351" i="9"/>
  <c r="AC1352" i="9"/>
  <c r="AC1353" i="9"/>
  <c r="AC1354" i="9"/>
  <c r="AC1355" i="9"/>
  <c r="AC1356" i="9"/>
  <c r="AC1357" i="9"/>
  <c r="AC1358" i="9"/>
  <c r="AC1359" i="9"/>
  <c r="AC1360" i="9"/>
  <c r="AC1361" i="9"/>
  <c r="AC1362" i="9"/>
  <c r="AC1363" i="9"/>
  <c r="AC1364" i="9"/>
  <c r="AC1365" i="9"/>
  <c r="AC1366" i="9"/>
  <c r="AC1367" i="9"/>
  <c r="AC1368" i="9"/>
  <c r="AC1369" i="9"/>
  <c r="AC1370" i="9"/>
  <c r="AC1371" i="9"/>
  <c r="AC1372" i="9"/>
  <c r="AC1373" i="9"/>
  <c r="AC1374" i="9"/>
  <c r="AC1375" i="9"/>
  <c r="AC1376" i="9"/>
  <c r="AC1377" i="9"/>
  <c r="AC1378" i="9"/>
  <c r="AC1379" i="9"/>
  <c r="AC1380" i="9"/>
  <c r="AC1381" i="9"/>
  <c r="AC1382" i="9"/>
  <c r="AC1383" i="9"/>
  <c r="AC1384" i="9"/>
  <c r="AC1385" i="9"/>
  <c r="AC1386" i="9"/>
  <c r="AC1387" i="9"/>
  <c r="AC1388" i="9"/>
  <c r="AC1389" i="9"/>
  <c r="AC1390" i="9"/>
  <c r="AC1391" i="9"/>
  <c r="AC1392" i="9"/>
  <c r="AC1393" i="9"/>
  <c r="AC1394" i="9"/>
  <c r="AC1395" i="9"/>
  <c r="AC1396" i="9"/>
  <c r="AC1397" i="9"/>
  <c r="AC1398" i="9"/>
  <c r="AC1399" i="9"/>
  <c r="AC1400" i="9"/>
  <c r="AC1401" i="9"/>
  <c r="AC1402" i="9"/>
  <c r="AC1403" i="9"/>
  <c r="AC1404" i="9"/>
  <c r="AC1405" i="9"/>
  <c r="AC1406" i="9"/>
  <c r="AC1407" i="9"/>
  <c r="AC1408" i="9"/>
  <c r="AC1409" i="9"/>
  <c r="AC1410" i="9"/>
  <c r="AC1411" i="9"/>
  <c r="AC1412" i="9"/>
  <c r="AC1413" i="9"/>
  <c r="AC1414" i="9"/>
  <c r="AC1415" i="9"/>
  <c r="AC1416" i="9"/>
  <c r="AC1417" i="9"/>
  <c r="AC1418" i="9"/>
  <c r="AC1419" i="9"/>
  <c r="AC1420" i="9"/>
  <c r="AC1421" i="9"/>
  <c r="AC1422" i="9"/>
  <c r="AC1423" i="9"/>
  <c r="AC1424" i="9"/>
  <c r="AC1425" i="9"/>
  <c r="AC1426" i="9"/>
  <c r="AC1427" i="9"/>
  <c r="AC1428" i="9"/>
  <c r="AC1429" i="9"/>
  <c r="AC1430" i="9"/>
  <c r="AC1431" i="9"/>
  <c r="AC1432" i="9"/>
  <c r="AC1433" i="9"/>
  <c r="AC1434" i="9"/>
  <c r="AC1435" i="9"/>
  <c r="AC1436" i="9"/>
  <c r="AC1437" i="9"/>
  <c r="AC1438" i="9"/>
  <c r="AC1439" i="9"/>
  <c r="AC1440" i="9"/>
  <c r="AC1441" i="9"/>
  <c r="AC1442" i="9"/>
  <c r="AC1443" i="9"/>
  <c r="AC1444" i="9"/>
  <c r="AC1445" i="9"/>
  <c r="AC1446" i="9"/>
  <c r="AC1447" i="9"/>
  <c r="AC1448" i="9"/>
  <c r="AC1449" i="9"/>
  <c r="AC1450" i="9"/>
  <c r="AC1451" i="9"/>
  <c r="AC1452" i="9"/>
  <c r="AC1453" i="9"/>
  <c r="AC1454" i="9"/>
  <c r="AC1455" i="9"/>
  <c r="AC1456" i="9"/>
  <c r="AC1457" i="9"/>
  <c r="AC1458" i="9"/>
  <c r="AC1459" i="9"/>
  <c r="AC1460" i="9"/>
  <c r="AC1461" i="9"/>
  <c r="AC1462" i="9"/>
  <c r="AC1463" i="9"/>
  <c r="AC1464" i="9"/>
  <c r="AC1465" i="9"/>
  <c r="AC1466" i="9"/>
  <c r="AC1467" i="9"/>
  <c r="AC1468" i="9"/>
  <c r="AC1469" i="9"/>
  <c r="AC1470" i="9"/>
  <c r="AC1471" i="9"/>
  <c r="AC1472" i="9"/>
  <c r="AC1473" i="9"/>
  <c r="AC1474" i="9"/>
  <c r="AC1475" i="9"/>
  <c r="AC1476" i="9"/>
  <c r="AC1477" i="9"/>
  <c r="AC1478" i="9"/>
  <c r="AC1479" i="9"/>
  <c r="AC1480" i="9"/>
  <c r="AC1481" i="9"/>
  <c r="AC1482" i="9"/>
  <c r="AC1483" i="9"/>
  <c r="AC1484" i="9"/>
  <c r="AC1485" i="9"/>
  <c r="AC1486" i="9"/>
  <c r="AC1487" i="9"/>
  <c r="AC1488" i="9"/>
  <c r="AC1489" i="9"/>
  <c r="AC1490" i="9"/>
  <c r="AC1491" i="9"/>
  <c r="AC1492" i="9"/>
  <c r="AC1493" i="9"/>
  <c r="AC1494" i="9"/>
  <c r="AC1495" i="9"/>
  <c r="AC1496" i="9"/>
  <c r="AC1497" i="9"/>
  <c r="AC1498" i="9"/>
  <c r="AC1499" i="9"/>
  <c r="AC1500" i="9"/>
  <c r="AC1501" i="9"/>
  <c r="AC1502" i="9"/>
  <c r="AC1503" i="9"/>
  <c r="AC1504" i="9"/>
  <c r="AC1505" i="9"/>
  <c r="AC1506" i="9"/>
  <c r="AC1507" i="9"/>
  <c r="AC1508" i="9"/>
  <c r="AC1509" i="9"/>
  <c r="AC1510" i="9"/>
  <c r="AC1511" i="9"/>
  <c r="AC1512" i="9"/>
  <c r="AC1513" i="9"/>
  <c r="AC1514" i="9"/>
  <c r="AC1515" i="9"/>
  <c r="AC1516" i="9"/>
  <c r="AC1517" i="9"/>
  <c r="AC1518" i="9"/>
  <c r="AC1519" i="9"/>
  <c r="AC1520" i="9"/>
  <c r="AC1521" i="9"/>
  <c r="AC1522" i="9"/>
  <c r="AC1523" i="9"/>
  <c r="AC1524" i="9"/>
  <c r="AC1525" i="9"/>
  <c r="AC1526" i="9"/>
  <c r="AC1527" i="9"/>
  <c r="AC1528" i="9"/>
  <c r="AC1529" i="9"/>
  <c r="AC1530" i="9"/>
  <c r="AC1531" i="9"/>
  <c r="AC1532" i="9"/>
  <c r="AC1533" i="9"/>
  <c r="AC1534" i="9"/>
  <c r="AC1535" i="9"/>
  <c r="AC1536" i="9"/>
  <c r="AC1537" i="9"/>
  <c r="AC1538" i="9"/>
  <c r="AC1539" i="9"/>
  <c r="AC1540" i="9"/>
  <c r="AC1541" i="9"/>
  <c r="AC1542" i="9"/>
  <c r="AC1543" i="9"/>
  <c r="AC1544" i="9"/>
  <c r="AC1545" i="9"/>
  <c r="AC1546" i="9"/>
  <c r="AC1547" i="9"/>
  <c r="AC1548" i="9"/>
  <c r="AC1549" i="9"/>
  <c r="AC1550" i="9"/>
  <c r="AC1551" i="9"/>
  <c r="AC1552" i="9"/>
  <c r="AC1553" i="9"/>
  <c r="AC1554" i="9"/>
  <c r="AC1555" i="9"/>
  <c r="AC1556" i="9"/>
  <c r="AC1557" i="9"/>
  <c r="AC1558" i="9"/>
  <c r="AC1559" i="9"/>
  <c r="AC1560" i="9"/>
  <c r="AC1561" i="9"/>
  <c r="AC1562" i="9"/>
  <c r="AC1563" i="9"/>
  <c r="AC1564" i="9"/>
  <c r="AC1565" i="9"/>
  <c r="AC1566" i="9"/>
  <c r="AC1567" i="9"/>
  <c r="AC1568" i="9"/>
  <c r="AC1569" i="9"/>
  <c r="AC1570" i="9"/>
  <c r="AC1571" i="9"/>
  <c r="AC1572" i="9"/>
  <c r="AC1573" i="9"/>
  <c r="AC1574" i="9"/>
  <c r="AC1575" i="9"/>
  <c r="AC1576" i="9"/>
  <c r="AC1577" i="9"/>
  <c r="AC1578" i="9"/>
  <c r="AC1579" i="9"/>
  <c r="AC1580" i="9"/>
  <c r="AC1581" i="9"/>
  <c r="AC1582" i="9"/>
  <c r="AC1583" i="9"/>
  <c r="AC1584" i="9"/>
  <c r="AC1585" i="9"/>
  <c r="AC1586" i="9"/>
  <c r="AC1587" i="9"/>
  <c r="AC1588" i="9"/>
  <c r="AC1589" i="9"/>
  <c r="AC1590" i="9"/>
  <c r="AC1591" i="9"/>
  <c r="AC1592" i="9"/>
  <c r="AC1593" i="9"/>
  <c r="AC1594" i="9"/>
  <c r="AC1595" i="9"/>
  <c r="AC1596" i="9"/>
  <c r="AC1597" i="9"/>
  <c r="AC1598" i="9"/>
  <c r="AC1599" i="9"/>
  <c r="AC1600" i="9"/>
  <c r="AC1601" i="9"/>
  <c r="AC1602" i="9"/>
  <c r="AC1603" i="9"/>
  <c r="AC1604" i="9"/>
  <c r="AC1605" i="9"/>
  <c r="AC1606" i="9"/>
  <c r="AC1607" i="9"/>
  <c r="AC1608" i="9"/>
  <c r="AC1609" i="9"/>
  <c r="AC1610" i="9"/>
  <c r="AC1611" i="9"/>
  <c r="AC1612" i="9"/>
  <c r="AC1613" i="9"/>
  <c r="AC1614" i="9"/>
  <c r="AC1615" i="9"/>
  <c r="AC1616" i="9"/>
  <c r="AC1617" i="9"/>
  <c r="AC1618" i="9"/>
  <c r="AC1619" i="9"/>
  <c r="AC1620" i="9"/>
  <c r="AC1621" i="9"/>
  <c r="AC1622" i="9"/>
  <c r="AC1623" i="9"/>
  <c r="AC1624" i="9"/>
  <c r="AC1625" i="9"/>
  <c r="AC1626" i="9"/>
  <c r="AC1627" i="9"/>
  <c r="AC1628" i="9"/>
  <c r="AC1629" i="9"/>
  <c r="AC1630" i="9"/>
  <c r="AC1631" i="9"/>
  <c r="AC1632" i="9"/>
  <c r="AC1633" i="9"/>
  <c r="AC1634" i="9"/>
  <c r="AC1635" i="9"/>
  <c r="AC1636" i="9"/>
  <c r="AC1637" i="9"/>
  <c r="AC1638" i="9"/>
  <c r="AC1639" i="9"/>
  <c r="AC1640" i="9"/>
  <c r="AC1641" i="9"/>
  <c r="AC1642" i="9"/>
  <c r="AC1643" i="9"/>
  <c r="AC1644" i="9"/>
  <c r="AC1645" i="9"/>
  <c r="AC1646" i="9"/>
  <c r="AC1647" i="9"/>
  <c r="AC1648" i="9"/>
  <c r="AC1649" i="9"/>
  <c r="AC1650" i="9"/>
  <c r="AC1651" i="9"/>
  <c r="AC1652" i="9"/>
  <c r="AC1653" i="9"/>
  <c r="AC1654" i="9"/>
  <c r="AC1655" i="9"/>
  <c r="AC1656" i="9"/>
  <c r="AC1657" i="9"/>
  <c r="AC1658" i="9"/>
  <c r="AC1659" i="9"/>
  <c r="AC1660" i="9"/>
  <c r="AC1661" i="9"/>
  <c r="AC1662" i="9"/>
  <c r="AC1663" i="9"/>
  <c r="AC1664" i="9"/>
  <c r="AC1665" i="9"/>
  <c r="AC1666" i="9"/>
  <c r="AC1667" i="9"/>
  <c r="AC1668" i="9"/>
  <c r="AC1669" i="9"/>
  <c r="AC1670" i="9"/>
  <c r="AC1671" i="9"/>
  <c r="AC1672" i="9"/>
  <c r="AC1673" i="9"/>
  <c r="AC1674" i="9"/>
  <c r="AC1675" i="9"/>
  <c r="AC1676" i="9"/>
  <c r="AC1677" i="9"/>
  <c r="AC1678" i="9"/>
  <c r="AC1679" i="9"/>
  <c r="AC1680" i="9"/>
  <c r="AC1681" i="9"/>
  <c r="AC1682" i="9"/>
  <c r="AC1683" i="9"/>
  <c r="AC1684" i="9"/>
  <c r="AC1685" i="9"/>
  <c r="AC1686" i="9"/>
  <c r="AC1687" i="9"/>
  <c r="AC1688" i="9"/>
  <c r="AC1689" i="9"/>
  <c r="AC1690" i="9"/>
  <c r="AC1691" i="9"/>
  <c r="AC1692" i="9"/>
  <c r="AC1693" i="9"/>
  <c r="AC1694" i="9"/>
  <c r="AC1695" i="9"/>
  <c r="AC1696" i="9"/>
  <c r="AC1697" i="9"/>
  <c r="AC1698" i="9"/>
  <c r="AC1699" i="9"/>
  <c r="AC1700" i="9"/>
  <c r="AC1701" i="9"/>
  <c r="AC1702" i="9"/>
  <c r="AC1703" i="9"/>
  <c r="AC1704" i="9"/>
  <c r="AC1705" i="9"/>
  <c r="AC1706" i="9"/>
  <c r="AC1707" i="9"/>
  <c r="AC1708" i="9"/>
  <c r="AC1709" i="9"/>
  <c r="AC1710" i="9"/>
  <c r="AC1711" i="9"/>
  <c r="AC1712" i="9"/>
  <c r="AC1713" i="9"/>
  <c r="AC1714" i="9"/>
  <c r="AC1715" i="9"/>
  <c r="AC1716" i="9"/>
  <c r="AC1717" i="9"/>
  <c r="AC1718" i="9"/>
  <c r="AC1719" i="9"/>
  <c r="AC1720" i="9"/>
  <c r="AC1721" i="9"/>
  <c r="AC1722" i="9"/>
  <c r="AC1723" i="9"/>
  <c r="AC1724" i="9"/>
  <c r="AC1725" i="9"/>
  <c r="AC1726" i="9"/>
  <c r="AC1727" i="9"/>
  <c r="AC1728" i="9"/>
  <c r="AC1729" i="9"/>
  <c r="AC1730" i="9"/>
  <c r="H15" i="14" l="1"/>
  <c r="B122" i="13" l="1"/>
  <c r="B123" i="13" s="1"/>
  <c r="B124" i="13" s="1"/>
  <c r="B125" i="13" s="1"/>
  <c r="B126" i="13" s="1"/>
  <c r="B127" i="13" s="1"/>
  <c r="B128" i="13" s="1"/>
  <c r="B129" i="13" s="1"/>
  <c r="B130" i="13" s="1"/>
  <c r="A85" i="13"/>
  <c r="A45" i="13"/>
  <c r="A12" i="13" l="1"/>
  <c r="A48" i="13" s="1"/>
  <c r="A88" i="13" s="1"/>
  <c r="A11" i="13"/>
  <c r="A47" i="13" s="1"/>
  <c r="A87" i="13" s="1"/>
  <c r="A10" i="13"/>
  <c r="A46" i="13" s="1"/>
  <c r="A86" i="13" s="1"/>
  <c r="A13" i="13" l="1"/>
  <c r="A14" i="13"/>
  <c r="A15" i="13"/>
  <c r="AB13" i="9"/>
  <c r="AB14" i="9"/>
  <c r="AB15" i="9"/>
  <c r="AB16" i="9"/>
  <c r="AB17" i="9"/>
  <c r="AB18" i="9"/>
  <c r="AB19" i="9"/>
  <c r="AB20" i="9"/>
  <c r="AB21" i="9"/>
  <c r="AB22" i="9"/>
  <c r="AB23" i="9"/>
  <c r="AB24" i="9"/>
  <c r="AB25" i="9"/>
  <c r="AB26" i="9"/>
  <c r="AB27" i="9"/>
  <c r="AB28" i="9"/>
  <c r="AB29" i="9"/>
  <c r="AB30" i="9"/>
  <c r="AB31" i="9"/>
  <c r="AB32" i="9"/>
  <c r="AB33" i="9"/>
  <c r="AB34" i="9"/>
  <c r="AB35" i="9"/>
  <c r="AB36" i="9"/>
  <c r="AB37" i="9"/>
  <c r="AB38" i="9"/>
  <c r="AB39" i="9"/>
  <c r="AB40" i="9"/>
  <c r="AB41" i="9"/>
  <c r="AB42" i="9"/>
  <c r="AB43" i="9"/>
  <c r="AB44" i="9"/>
  <c r="AB45" i="9"/>
  <c r="AB46" i="9"/>
  <c r="AB47" i="9"/>
  <c r="AB48" i="9"/>
  <c r="AB49" i="9"/>
  <c r="AB50" i="9"/>
  <c r="AB51" i="9"/>
  <c r="AB52" i="9"/>
  <c r="AB53" i="9"/>
  <c r="AB54" i="9"/>
  <c r="AB55" i="9"/>
  <c r="AB56" i="9"/>
  <c r="AB57" i="9"/>
  <c r="AB58" i="9"/>
  <c r="AB59" i="9"/>
  <c r="AB60" i="9"/>
  <c r="AB61" i="9"/>
  <c r="AB62" i="9"/>
  <c r="AB63" i="9"/>
  <c r="AB64" i="9"/>
  <c r="AB65" i="9"/>
  <c r="AB66" i="9"/>
  <c r="AB67" i="9"/>
  <c r="AB68" i="9"/>
  <c r="AB69" i="9"/>
  <c r="AB70" i="9"/>
  <c r="AB71" i="9"/>
  <c r="AB72" i="9"/>
  <c r="AB73" i="9"/>
  <c r="AB74" i="9"/>
  <c r="AB75" i="9"/>
  <c r="AB76" i="9"/>
  <c r="AB77" i="9"/>
  <c r="AB78" i="9"/>
  <c r="AB79" i="9"/>
  <c r="AB80" i="9"/>
  <c r="AB81" i="9"/>
  <c r="AB82" i="9"/>
  <c r="AB83" i="9"/>
  <c r="AB84" i="9"/>
  <c r="AB85" i="9"/>
  <c r="AB86" i="9"/>
  <c r="AB87" i="9"/>
  <c r="AB88" i="9"/>
  <c r="AB89" i="9"/>
  <c r="AB90" i="9"/>
  <c r="AB91" i="9"/>
  <c r="AB92" i="9"/>
  <c r="AB93" i="9"/>
  <c r="AB94" i="9"/>
  <c r="AB95" i="9"/>
  <c r="AB96" i="9"/>
  <c r="AB97" i="9"/>
  <c r="AB98" i="9"/>
  <c r="AB99" i="9"/>
  <c r="AB100" i="9"/>
  <c r="AB101" i="9"/>
  <c r="AB102" i="9"/>
  <c r="AB103" i="9"/>
  <c r="AB104" i="9"/>
  <c r="AB105" i="9"/>
  <c r="AB106" i="9"/>
  <c r="AB107" i="9"/>
  <c r="AB108" i="9"/>
  <c r="AB109" i="9"/>
  <c r="AB110" i="9"/>
  <c r="AB111" i="9"/>
  <c r="AB112" i="9"/>
  <c r="AB113" i="9"/>
  <c r="AB114" i="9"/>
  <c r="AB115" i="9"/>
  <c r="AB116" i="9"/>
  <c r="AB117" i="9"/>
  <c r="AB118" i="9"/>
  <c r="AB119" i="9"/>
  <c r="AB120" i="9"/>
  <c r="AB121" i="9"/>
  <c r="AB122" i="9"/>
  <c r="AB123" i="9"/>
  <c r="AB124" i="9"/>
  <c r="AB125" i="9"/>
  <c r="AB126" i="9"/>
  <c r="AB127" i="9"/>
  <c r="AB128" i="9"/>
  <c r="AB129" i="9"/>
  <c r="AB130" i="9"/>
  <c r="AB131" i="9"/>
  <c r="AB132" i="9"/>
  <c r="AB133" i="9"/>
  <c r="AB134" i="9"/>
  <c r="AB135" i="9"/>
  <c r="AB136" i="9"/>
  <c r="AB137" i="9"/>
  <c r="AB138" i="9"/>
  <c r="AB139" i="9"/>
  <c r="AB140" i="9"/>
  <c r="AB141" i="9"/>
  <c r="AB142" i="9"/>
  <c r="AB143" i="9"/>
  <c r="AB144" i="9"/>
  <c r="AB145" i="9"/>
  <c r="AB146" i="9"/>
  <c r="AB147" i="9"/>
  <c r="AB148" i="9"/>
  <c r="AB149" i="9"/>
  <c r="AB150" i="9"/>
  <c r="AB151" i="9"/>
  <c r="AB152" i="9"/>
  <c r="AB153" i="9"/>
  <c r="AB154" i="9"/>
  <c r="AB155" i="9"/>
  <c r="AB156" i="9"/>
  <c r="AB157" i="9"/>
  <c r="AB158" i="9"/>
  <c r="AB159" i="9"/>
  <c r="AB160" i="9"/>
  <c r="AB161" i="9"/>
  <c r="AB162" i="9"/>
  <c r="AB163" i="9"/>
  <c r="AB164" i="9"/>
  <c r="AB165" i="9"/>
  <c r="AB166" i="9"/>
  <c r="AB167" i="9"/>
  <c r="AB168" i="9"/>
  <c r="AB169" i="9"/>
  <c r="AB170" i="9"/>
  <c r="AB171" i="9"/>
  <c r="AB172" i="9"/>
  <c r="AB173" i="9"/>
  <c r="AB174" i="9"/>
  <c r="AB175" i="9"/>
  <c r="AB176" i="9"/>
  <c r="AB177" i="9"/>
  <c r="AB178" i="9"/>
  <c r="AB179" i="9"/>
  <c r="AB180" i="9"/>
  <c r="AB181" i="9"/>
  <c r="AB182" i="9"/>
  <c r="AB183" i="9"/>
  <c r="AB184" i="9"/>
  <c r="AB185" i="9"/>
  <c r="AB186" i="9"/>
  <c r="AB187" i="9"/>
  <c r="AB188" i="9"/>
  <c r="AB189" i="9"/>
  <c r="AB190" i="9"/>
  <c r="AB191" i="9"/>
  <c r="AB192" i="9"/>
  <c r="AB193" i="9"/>
  <c r="AB194" i="9"/>
  <c r="AB195" i="9"/>
  <c r="AB196" i="9"/>
  <c r="AB197" i="9"/>
  <c r="AB198" i="9"/>
  <c r="AB199" i="9"/>
  <c r="AB200" i="9"/>
  <c r="AB201" i="9"/>
  <c r="AB202" i="9"/>
  <c r="AB203" i="9"/>
  <c r="AB204" i="9"/>
  <c r="AB205" i="9"/>
  <c r="AB206" i="9"/>
  <c r="AB207" i="9"/>
  <c r="AB208" i="9"/>
  <c r="AB209" i="9"/>
  <c r="AB210" i="9"/>
  <c r="AB211" i="9"/>
  <c r="AB212" i="9"/>
  <c r="AB213" i="9"/>
  <c r="AB214" i="9"/>
  <c r="AB215" i="9"/>
  <c r="AB216" i="9"/>
  <c r="AB217" i="9"/>
  <c r="AB218" i="9"/>
  <c r="AB219" i="9"/>
  <c r="AB220" i="9"/>
  <c r="AB221" i="9"/>
  <c r="AB222" i="9"/>
  <c r="AB223" i="9"/>
  <c r="AB224" i="9"/>
  <c r="AB225" i="9"/>
  <c r="AB226" i="9"/>
  <c r="AB227" i="9"/>
  <c r="AB228" i="9"/>
  <c r="AB229" i="9"/>
  <c r="AB230" i="9"/>
  <c r="AB231" i="9"/>
  <c r="AB232" i="9"/>
  <c r="AB233" i="9"/>
  <c r="AB234" i="9"/>
  <c r="AB235" i="9"/>
  <c r="AB236" i="9"/>
  <c r="AB237" i="9"/>
  <c r="AB238" i="9"/>
  <c r="AB239" i="9"/>
  <c r="AB240" i="9"/>
  <c r="AB241" i="9"/>
  <c r="AB242" i="9"/>
  <c r="AB243" i="9"/>
  <c r="AB244" i="9"/>
  <c r="AB245" i="9"/>
  <c r="AB246" i="9"/>
  <c r="AB247" i="9"/>
  <c r="AB248" i="9"/>
  <c r="AB249" i="9"/>
  <c r="AB250" i="9"/>
  <c r="AB251" i="9"/>
  <c r="AB252" i="9"/>
  <c r="AB253" i="9"/>
  <c r="AB254" i="9"/>
  <c r="AB255" i="9"/>
  <c r="AB256" i="9"/>
  <c r="AB257" i="9"/>
  <c r="AB258" i="9"/>
  <c r="AB259" i="9"/>
  <c r="AB260"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B509" i="9"/>
  <c r="AB510" i="9"/>
  <c r="AB511" i="9"/>
  <c r="AB512" i="9"/>
  <c r="AB513" i="9"/>
  <c r="AB514" i="9"/>
  <c r="AB515" i="9"/>
  <c r="AB516" i="9"/>
  <c r="AB517" i="9"/>
  <c r="AB518" i="9"/>
  <c r="AB519" i="9"/>
  <c r="AB520" i="9"/>
  <c r="AB521" i="9"/>
  <c r="AB522" i="9"/>
  <c r="AB523" i="9"/>
  <c r="AB524" i="9"/>
  <c r="AB525" i="9"/>
  <c r="AB526" i="9"/>
  <c r="AB527" i="9"/>
  <c r="AB528" i="9"/>
  <c r="AB529" i="9"/>
  <c r="AB530" i="9"/>
  <c r="AB531" i="9"/>
  <c r="AB532" i="9"/>
  <c r="AB533" i="9"/>
  <c r="AB534" i="9"/>
  <c r="AB535" i="9"/>
  <c r="AB536" i="9"/>
  <c r="AB537" i="9"/>
  <c r="AB538" i="9"/>
  <c r="AB539" i="9"/>
  <c r="AB540" i="9"/>
  <c r="AB541" i="9"/>
  <c r="AB542" i="9"/>
  <c r="AB543" i="9"/>
  <c r="AB544" i="9"/>
  <c r="AB545" i="9"/>
  <c r="AB546" i="9"/>
  <c r="AB547" i="9"/>
  <c r="AB548" i="9"/>
  <c r="AB549" i="9"/>
  <c r="AB550" i="9"/>
  <c r="AB551" i="9"/>
  <c r="AB552" i="9"/>
  <c r="AB553" i="9"/>
  <c r="AB554" i="9"/>
  <c r="AB555" i="9"/>
  <c r="AB556" i="9"/>
  <c r="AB557" i="9"/>
  <c r="AB558" i="9"/>
  <c r="AB559" i="9"/>
  <c r="AB560" i="9"/>
  <c r="AB561" i="9"/>
  <c r="AB562" i="9"/>
  <c r="AB563" i="9"/>
  <c r="AB564" i="9"/>
  <c r="AB565" i="9"/>
  <c r="AB566" i="9"/>
  <c r="AB567" i="9"/>
  <c r="AB568" i="9"/>
  <c r="AB569" i="9"/>
  <c r="AB570" i="9"/>
  <c r="AB571" i="9"/>
  <c r="AB572" i="9"/>
  <c r="AB573" i="9"/>
  <c r="AB574" i="9"/>
  <c r="AB575" i="9"/>
  <c r="AB576" i="9"/>
  <c r="AB577" i="9"/>
  <c r="AB578" i="9"/>
  <c r="AB579" i="9"/>
  <c r="AB580" i="9"/>
  <c r="AB581" i="9"/>
  <c r="AB582" i="9"/>
  <c r="AB583" i="9"/>
  <c r="AB584" i="9"/>
  <c r="AB585" i="9"/>
  <c r="AB586" i="9"/>
  <c r="AB587" i="9"/>
  <c r="AB588" i="9"/>
  <c r="AB589" i="9"/>
  <c r="AB590" i="9"/>
  <c r="AB591" i="9"/>
  <c r="AB592" i="9"/>
  <c r="AB593" i="9"/>
  <c r="AB594" i="9"/>
  <c r="AB595" i="9"/>
  <c r="AB596" i="9"/>
  <c r="AB597" i="9"/>
  <c r="AB598" i="9"/>
  <c r="AB599" i="9"/>
  <c r="AB600" i="9"/>
  <c r="AB601" i="9"/>
  <c r="AB602" i="9"/>
  <c r="AB603" i="9"/>
  <c r="AB604" i="9"/>
  <c r="AB605" i="9"/>
  <c r="AB606" i="9"/>
  <c r="AB607" i="9"/>
  <c r="AB608" i="9"/>
  <c r="AB609" i="9"/>
  <c r="AB610" i="9"/>
  <c r="AB611" i="9"/>
  <c r="AB612" i="9"/>
  <c r="AB613" i="9"/>
  <c r="AB614" i="9"/>
  <c r="AB615" i="9"/>
  <c r="AB616" i="9"/>
  <c r="AB617" i="9"/>
  <c r="AB618" i="9"/>
  <c r="AB619" i="9"/>
  <c r="AB620" i="9"/>
  <c r="AB621" i="9"/>
  <c r="AB622" i="9"/>
  <c r="AB623" i="9"/>
  <c r="AB624" i="9"/>
  <c r="AB625" i="9"/>
  <c r="AB626" i="9"/>
  <c r="AB627" i="9"/>
  <c r="AB628" i="9"/>
  <c r="AB629" i="9"/>
  <c r="AB630" i="9"/>
  <c r="AB631" i="9"/>
  <c r="AB632" i="9"/>
  <c r="AB633" i="9"/>
  <c r="AB634" i="9"/>
  <c r="AB635" i="9"/>
  <c r="AB636" i="9"/>
  <c r="AB637" i="9"/>
  <c r="AB638" i="9"/>
  <c r="AB639" i="9"/>
  <c r="AB640" i="9"/>
  <c r="AB641" i="9"/>
  <c r="AB642" i="9"/>
  <c r="AB643" i="9"/>
  <c r="AB644" i="9"/>
  <c r="AB645" i="9"/>
  <c r="AB646" i="9"/>
  <c r="AB647" i="9"/>
  <c r="AB648" i="9"/>
  <c r="AB649" i="9"/>
  <c r="AB650" i="9"/>
  <c r="AB651" i="9"/>
  <c r="AB652" i="9"/>
  <c r="AB653" i="9"/>
  <c r="AB654" i="9"/>
  <c r="AB655" i="9"/>
  <c r="AB656" i="9"/>
  <c r="AB657" i="9"/>
  <c r="AB658" i="9"/>
  <c r="AB659" i="9"/>
  <c r="AB660" i="9"/>
  <c r="AB661" i="9"/>
  <c r="AB662" i="9"/>
  <c r="AB663" i="9"/>
  <c r="AB664" i="9"/>
  <c r="AB665" i="9"/>
  <c r="AB666" i="9"/>
  <c r="AB667" i="9"/>
  <c r="AB668" i="9"/>
  <c r="AB669" i="9"/>
  <c r="AB670" i="9"/>
  <c r="AB671" i="9"/>
  <c r="AB672" i="9"/>
  <c r="AB673" i="9"/>
  <c r="AB674" i="9"/>
  <c r="AB675" i="9"/>
  <c r="AB676" i="9"/>
  <c r="AB677" i="9"/>
  <c r="AB678" i="9"/>
  <c r="AB679" i="9"/>
  <c r="AB680" i="9"/>
  <c r="AB681" i="9"/>
  <c r="AB682" i="9"/>
  <c r="AB683" i="9"/>
  <c r="AB684" i="9"/>
  <c r="AB685" i="9"/>
  <c r="AB686" i="9"/>
  <c r="AB687" i="9"/>
  <c r="AB688" i="9"/>
  <c r="AB689" i="9"/>
  <c r="AB690" i="9"/>
  <c r="AB691" i="9"/>
  <c r="AB692" i="9"/>
  <c r="AB693" i="9"/>
  <c r="AB694" i="9"/>
  <c r="AB695" i="9"/>
  <c r="AB696" i="9"/>
  <c r="AB697" i="9"/>
  <c r="AB698" i="9"/>
  <c r="AB699" i="9"/>
  <c r="AB700" i="9"/>
  <c r="AB701" i="9"/>
  <c r="AB702" i="9"/>
  <c r="AB703" i="9"/>
  <c r="AB704" i="9"/>
  <c r="AB705" i="9"/>
  <c r="AB706" i="9"/>
  <c r="AB707" i="9"/>
  <c r="AB708" i="9"/>
  <c r="AB709" i="9"/>
  <c r="AB710" i="9"/>
  <c r="AB711" i="9"/>
  <c r="AB712" i="9"/>
  <c r="AB713" i="9"/>
  <c r="AB714" i="9"/>
  <c r="AB715" i="9"/>
  <c r="AB716" i="9"/>
  <c r="AB717" i="9"/>
  <c r="AB718" i="9"/>
  <c r="AB719" i="9"/>
  <c r="AB720" i="9"/>
  <c r="AB721" i="9"/>
  <c r="AB722" i="9"/>
  <c r="AB723" i="9"/>
  <c r="AB724" i="9"/>
  <c r="AB725" i="9"/>
  <c r="AB726" i="9"/>
  <c r="AB727" i="9"/>
  <c r="AB728" i="9"/>
  <c r="AB729" i="9"/>
  <c r="AB730" i="9"/>
  <c r="AB731" i="9"/>
  <c r="AB732" i="9"/>
  <c r="AB733" i="9"/>
  <c r="AB734" i="9"/>
  <c r="AB735" i="9"/>
  <c r="AB736" i="9"/>
  <c r="AB737" i="9"/>
  <c r="AB738" i="9"/>
  <c r="AB739" i="9"/>
  <c r="AB740" i="9"/>
  <c r="AB741" i="9"/>
  <c r="AB742" i="9"/>
  <c r="AB743" i="9"/>
  <c r="AB744" i="9"/>
  <c r="AB745" i="9"/>
  <c r="AB746" i="9"/>
  <c r="AB747" i="9"/>
  <c r="AB748" i="9"/>
  <c r="AB749" i="9"/>
  <c r="AB750" i="9"/>
  <c r="AB751" i="9"/>
  <c r="AB752" i="9"/>
  <c r="AB753" i="9"/>
  <c r="AB754" i="9"/>
  <c r="AB755" i="9"/>
  <c r="AB756" i="9"/>
  <c r="AB757" i="9"/>
  <c r="AB758" i="9"/>
  <c r="AB759" i="9"/>
  <c r="AB760" i="9"/>
  <c r="AB761" i="9"/>
  <c r="AB762" i="9"/>
  <c r="AB763" i="9"/>
  <c r="AB764" i="9"/>
  <c r="AB765" i="9"/>
  <c r="AB766" i="9"/>
  <c r="AB767" i="9"/>
  <c r="AB768" i="9"/>
  <c r="AB769" i="9"/>
  <c r="AB770" i="9"/>
  <c r="AB771" i="9"/>
  <c r="AB772" i="9"/>
  <c r="AB773" i="9"/>
  <c r="AB774" i="9"/>
  <c r="AB775" i="9"/>
  <c r="AB776" i="9"/>
  <c r="AB777" i="9"/>
  <c r="AB778" i="9"/>
  <c r="AB779" i="9"/>
  <c r="AB780" i="9"/>
  <c r="AB781" i="9"/>
  <c r="AB782" i="9"/>
  <c r="AB783" i="9"/>
  <c r="AB784" i="9"/>
  <c r="AB785" i="9"/>
  <c r="AB786" i="9"/>
  <c r="AB787" i="9"/>
  <c r="AB788" i="9"/>
  <c r="AB789" i="9"/>
  <c r="AB790" i="9"/>
  <c r="AB791" i="9"/>
  <c r="AB792" i="9"/>
  <c r="AB793" i="9"/>
  <c r="AB794" i="9"/>
  <c r="AB795" i="9"/>
  <c r="AB796" i="9"/>
  <c r="AB797" i="9"/>
  <c r="AB798" i="9"/>
  <c r="AB799" i="9"/>
  <c r="AB800" i="9"/>
  <c r="AB801" i="9"/>
  <c r="AB802" i="9"/>
  <c r="AB803" i="9"/>
  <c r="AB804" i="9"/>
  <c r="AB805" i="9"/>
  <c r="AB806" i="9"/>
  <c r="AB807" i="9"/>
  <c r="AB808" i="9"/>
  <c r="AB809" i="9"/>
  <c r="AB810" i="9"/>
  <c r="AB811" i="9"/>
  <c r="AB812" i="9"/>
  <c r="AB813" i="9"/>
  <c r="AB814" i="9"/>
  <c r="AB815" i="9"/>
  <c r="AB816" i="9"/>
  <c r="AB817" i="9"/>
  <c r="AB818" i="9"/>
  <c r="AB819" i="9"/>
  <c r="AB820" i="9"/>
  <c r="AB821" i="9"/>
  <c r="AB822" i="9"/>
  <c r="AB823" i="9"/>
  <c r="AB824" i="9"/>
  <c r="AB825" i="9"/>
  <c r="AB826" i="9"/>
  <c r="AB827" i="9"/>
  <c r="AB828" i="9"/>
  <c r="AB829" i="9"/>
  <c r="AB830" i="9"/>
  <c r="AB831" i="9"/>
  <c r="AB832" i="9"/>
  <c r="AB833" i="9"/>
  <c r="AB834" i="9"/>
  <c r="AB835" i="9"/>
  <c r="AB836" i="9"/>
  <c r="AB837" i="9"/>
  <c r="AB838" i="9"/>
  <c r="AB839" i="9"/>
  <c r="AB840" i="9"/>
  <c r="AB841" i="9"/>
  <c r="AB842" i="9"/>
  <c r="AB843" i="9"/>
  <c r="AB844" i="9"/>
  <c r="AB845" i="9"/>
  <c r="AB846" i="9"/>
  <c r="AB847" i="9"/>
  <c r="AB848" i="9"/>
  <c r="AB849" i="9"/>
  <c r="AB850" i="9"/>
  <c r="AB851" i="9"/>
  <c r="AB852" i="9"/>
  <c r="AB853" i="9"/>
  <c r="AB854" i="9"/>
  <c r="AB855" i="9"/>
  <c r="AB856" i="9"/>
  <c r="AB857" i="9"/>
  <c r="AB858" i="9"/>
  <c r="AB859" i="9"/>
  <c r="AB860" i="9"/>
  <c r="AB861" i="9"/>
  <c r="AB862" i="9"/>
  <c r="AB863" i="9"/>
  <c r="AB864" i="9"/>
  <c r="AB865" i="9"/>
  <c r="AB866" i="9"/>
  <c r="AB867" i="9"/>
  <c r="AB868" i="9"/>
  <c r="AB869" i="9"/>
  <c r="AB870" i="9"/>
  <c r="AB871" i="9"/>
  <c r="AB872" i="9"/>
  <c r="AB873" i="9"/>
  <c r="AB874" i="9"/>
  <c r="AB875" i="9"/>
  <c r="AB876" i="9"/>
  <c r="AB877" i="9"/>
  <c r="AB878" i="9"/>
  <c r="AB879" i="9"/>
  <c r="AB880" i="9"/>
  <c r="AB881" i="9"/>
  <c r="AB882" i="9"/>
  <c r="AB883" i="9"/>
  <c r="AB884" i="9"/>
  <c r="AB885" i="9"/>
  <c r="AB886" i="9"/>
  <c r="AB887" i="9"/>
  <c r="AB888" i="9"/>
  <c r="AB889" i="9"/>
  <c r="AB890" i="9"/>
  <c r="AB891" i="9"/>
  <c r="AB892" i="9"/>
  <c r="AB893" i="9"/>
  <c r="AB894" i="9"/>
  <c r="AB895" i="9"/>
  <c r="AB896" i="9"/>
  <c r="AB897" i="9"/>
  <c r="AB898" i="9"/>
  <c r="AB899" i="9"/>
  <c r="AB900" i="9"/>
  <c r="AB901" i="9"/>
  <c r="AB902" i="9"/>
  <c r="AB903" i="9"/>
  <c r="AB904" i="9"/>
  <c r="AB905" i="9"/>
  <c r="AB906" i="9"/>
  <c r="AB907" i="9"/>
  <c r="AB908" i="9"/>
  <c r="AB909" i="9"/>
  <c r="AB910" i="9"/>
  <c r="AB911" i="9"/>
  <c r="AB912" i="9"/>
  <c r="AB913" i="9"/>
  <c r="AB914" i="9"/>
  <c r="AB915" i="9"/>
  <c r="AB916" i="9"/>
  <c r="AB917" i="9"/>
  <c r="AB918" i="9"/>
  <c r="AB919" i="9"/>
  <c r="AB920" i="9"/>
  <c r="AB921" i="9"/>
  <c r="AB922" i="9"/>
  <c r="AB923" i="9"/>
  <c r="AB924" i="9"/>
  <c r="AB925" i="9"/>
  <c r="AB926" i="9"/>
  <c r="AB927" i="9"/>
  <c r="AB928" i="9"/>
  <c r="AB929" i="9"/>
  <c r="AB930" i="9"/>
  <c r="AB931" i="9"/>
  <c r="AB932" i="9"/>
  <c r="AB933" i="9"/>
  <c r="AB934" i="9"/>
  <c r="AB935" i="9"/>
  <c r="AB936" i="9"/>
  <c r="AB937" i="9"/>
  <c r="AB938" i="9"/>
  <c r="AB939" i="9"/>
  <c r="AB940" i="9"/>
  <c r="AB941" i="9"/>
  <c r="AB942" i="9"/>
  <c r="AB943" i="9"/>
  <c r="AB944" i="9"/>
  <c r="AB945" i="9"/>
  <c r="AB946" i="9"/>
  <c r="AB947" i="9"/>
  <c r="AB948" i="9"/>
  <c r="AB949" i="9"/>
  <c r="AB950" i="9"/>
  <c r="AB951" i="9"/>
  <c r="AB952" i="9"/>
  <c r="AB953" i="9"/>
  <c r="AB954" i="9"/>
  <c r="AB955" i="9"/>
  <c r="AB956" i="9"/>
  <c r="AB957" i="9"/>
  <c r="AB958" i="9"/>
  <c r="AB959" i="9"/>
  <c r="AB960" i="9"/>
  <c r="AB961" i="9"/>
  <c r="AB962" i="9"/>
  <c r="AB963" i="9"/>
  <c r="AB964" i="9"/>
  <c r="AB965" i="9"/>
  <c r="AB966" i="9"/>
  <c r="AB967" i="9"/>
  <c r="AB968" i="9"/>
  <c r="AB969" i="9"/>
  <c r="AB970" i="9"/>
  <c r="AB971" i="9"/>
  <c r="AB972" i="9"/>
  <c r="AB973" i="9"/>
  <c r="AB974" i="9"/>
  <c r="AB975" i="9"/>
  <c r="AB976" i="9"/>
  <c r="AB977" i="9"/>
  <c r="AB978" i="9"/>
  <c r="AB979" i="9"/>
  <c r="AB980" i="9"/>
  <c r="AB981" i="9"/>
  <c r="AB982" i="9"/>
  <c r="AB983" i="9"/>
  <c r="AB984" i="9"/>
  <c r="AB985" i="9"/>
  <c r="AB986" i="9"/>
  <c r="AB987" i="9"/>
  <c r="AB988" i="9"/>
  <c r="AB989" i="9"/>
  <c r="AB990" i="9"/>
  <c r="AB991" i="9"/>
  <c r="AB992" i="9"/>
  <c r="AB993" i="9"/>
  <c r="AB994" i="9"/>
  <c r="AB995" i="9"/>
  <c r="AB996" i="9"/>
  <c r="AB997" i="9"/>
  <c r="AB998" i="9"/>
  <c r="AB999" i="9"/>
  <c r="AB1000" i="9"/>
  <c r="AB1001" i="9"/>
  <c r="AB1002" i="9"/>
  <c r="AB1003" i="9"/>
  <c r="AB1004" i="9"/>
  <c r="AB1005" i="9"/>
  <c r="AB1006" i="9"/>
  <c r="AB1007" i="9"/>
  <c r="AB1008" i="9"/>
  <c r="AB1009" i="9"/>
  <c r="AB1010" i="9"/>
  <c r="AB1011" i="9"/>
  <c r="AB1012" i="9"/>
  <c r="AB1013" i="9"/>
  <c r="AB1014" i="9"/>
  <c r="AB1015" i="9"/>
  <c r="AB1016" i="9"/>
  <c r="AB1017" i="9"/>
  <c r="AB1018" i="9"/>
  <c r="AB1019" i="9"/>
  <c r="AB1020" i="9"/>
  <c r="AB1021" i="9"/>
  <c r="AB1022" i="9"/>
  <c r="AB1023" i="9"/>
  <c r="AB1024" i="9"/>
  <c r="AB1025" i="9"/>
  <c r="AB1026" i="9"/>
  <c r="AB1027" i="9"/>
  <c r="AB1028" i="9"/>
  <c r="AB1029" i="9"/>
  <c r="AB1030" i="9"/>
  <c r="AB1031" i="9"/>
  <c r="AB1032" i="9"/>
  <c r="AB1033" i="9"/>
  <c r="AB1034" i="9"/>
  <c r="AB1035" i="9"/>
  <c r="AB1036" i="9"/>
  <c r="AB1037" i="9"/>
  <c r="AB1038" i="9"/>
  <c r="AB1039" i="9"/>
  <c r="AB1040" i="9"/>
  <c r="AB1041" i="9"/>
  <c r="AB1042" i="9"/>
  <c r="AB1043" i="9"/>
  <c r="AB1044" i="9"/>
  <c r="AB1045" i="9"/>
  <c r="AB1046" i="9"/>
  <c r="AB1047" i="9"/>
  <c r="AB1048" i="9"/>
  <c r="AB1049" i="9"/>
  <c r="AB1050" i="9"/>
  <c r="AB1051" i="9"/>
  <c r="AB1052" i="9"/>
  <c r="AB1053" i="9"/>
  <c r="AB1054" i="9"/>
  <c r="AB1055" i="9"/>
  <c r="AB1056" i="9"/>
  <c r="AB1057" i="9"/>
  <c r="AB1058" i="9"/>
  <c r="AB1059" i="9"/>
  <c r="AB1060" i="9"/>
  <c r="AB1061" i="9"/>
  <c r="AB1062" i="9"/>
  <c r="AB1063" i="9"/>
  <c r="AB1064" i="9"/>
  <c r="AB1065" i="9"/>
  <c r="AB1066" i="9"/>
  <c r="AB1067" i="9"/>
  <c r="AB1068" i="9"/>
  <c r="AB1069" i="9"/>
  <c r="AB1070" i="9"/>
  <c r="AB1071" i="9"/>
  <c r="AB1072" i="9"/>
  <c r="AB1073" i="9"/>
  <c r="AB1074" i="9"/>
  <c r="AB1075" i="9"/>
  <c r="AB1076" i="9"/>
  <c r="AB1077" i="9"/>
  <c r="AB1078" i="9"/>
  <c r="AB1079" i="9"/>
  <c r="AB1080" i="9"/>
  <c r="AB1081" i="9"/>
  <c r="AB1082" i="9"/>
  <c r="AB1083" i="9"/>
  <c r="AB1084" i="9"/>
  <c r="AB1085" i="9"/>
  <c r="AB1086" i="9"/>
  <c r="AB1087" i="9"/>
  <c r="AB1088" i="9"/>
  <c r="AB1089" i="9"/>
  <c r="AB1090" i="9"/>
  <c r="AB1091" i="9"/>
  <c r="AB1092" i="9"/>
  <c r="AB1093" i="9"/>
  <c r="AB1094" i="9"/>
  <c r="AB1095" i="9"/>
  <c r="AB1096" i="9"/>
  <c r="AB1097" i="9"/>
  <c r="AB1098" i="9"/>
  <c r="AB1099" i="9"/>
  <c r="AB1100" i="9"/>
  <c r="AB1101" i="9"/>
  <c r="AB1102" i="9"/>
  <c r="AB1103" i="9"/>
  <c r="AB1104" i="9"/>
  <c r="AB1105" i="9"/>
  <c r="AB1106" i="9"/>
  <c r="AB1107" i="9"/>
  <c r="AB1108" i="9"/>
  <c r="AB1109" i="9"/>
  <c r="AB1110" i="9"/>
  <c r="AB1111" i="9"/>
  <c r="AB1112" i="9"/>
  <c r="AB1113" i="9"/>
  <c r="AB1114" i="9"/>
  <c r="AB1115" i="9"/>
  <c r="AB1116" i="9"/>
  <c r="AB1117" i="9"/>
  <c r="AB1118" i="9"/>
  <c r="AB1119" i="9"/>
  <c r="AB1120" i="9"/>
  <c r="AB1121" i="9"/>
  <c r="AB1122" i="9"/>
  <c r="AB1123" i="9"/>
  <c r="AB1124" i="9"/>
  <c r="AB1125" i="9"/>
  <c r="AB1126" i="9"/>
  <c r="AB1127" i="9"/>
  <c r="AB1128" i="9"/>
  <c r="AB1129" i="9"/>
  <c r="AB1130" i="9"/>
  <c r="AB1131" i="9"/>
  <c r="AB1132" i="9"/>
  <c r="AB1133" i="9"/>
  <c r="AB1134" i="9"/>
  <c r="AB1135" i="9"/>
  <c r="AB1136" i="9"/>
  <c r="AB1137" i="9"/>
  <c r="AB1138" i="9"/>
  <c r="AB1139" i="9"/>
  <c r="AB1140" i="9"/>
  <c r="AB1141" i="9"/>
  <c r="AB1142" i="9"/>
  <c r="AB1143" i="9"/>
  <c r="AB1144" i="9"/>
  <c r="AB1145" i="9"/>
  <c r="AB1146" i="9"/>
  <c r="AB1147" i="9"/>
  <c r="AB1148" i="9"/>
  <c r="AB1149" i="9"/>
  <c r="AB1150" i="9"/>
  <c r="AB1151" i="9"/>
  <c r="AB1152" i="9"/>
  <c r="AB1153" i="9"/>
  <c r="AB1154" i="9"/>
  <c r="AB1155" i="9"/>
  <c r="AB1156" i="9"/>
  <c r="AB1157" i="9"/>
  <c r="AB1158" i="9"/>
  <c r="AB1159" i="9"/>
  <c r="AB1160" i="9"/>
  <c r="AB1161" i="9"/>
  <c r="AB1162" i="9"/>
  <c r="AB1163" i="9"/>
  <c r="AB1164" i="9"/>
  <c r="AB1165" i="9"/>
  <c r="AB1166" i="9"/>
  <c r="AB1167" i="9"/>
  <c r="AB1168" i="9"/>
  <c r="AB1169" i="9"/>
  <c r="AB1170" i="9"/>
  <c r="AB1171" i="9"/>
  <c r="AB1172" i="9"/>
  <c r="AB1173" i="9"/>
  <c r="AB1174" i="9"/>
  <c r="AB1175" i="9"/>
  <c r="AB1176" i="9"/>
  <c r="AB1177" i="9"/>
  <c r="AB1178" i="9"/>
  <c r="AB1179" i="9"/>
  <c r="AB1180" i="9"/>
  <c r="AB1181" i="9"/>
  <c r="AB1182" i="9"/>
  <c r="AB1183" i="9"/>
  <c r="AB1184" i="9"/>
  <c r="AB1185" i="9"/>
  <c r="AB1186" i="9"/>
  <c r="AB1187" i="9"/>
  <c r="AB1188" i="9"/>
  <c r="AB1189" i="9"/>
  <c r="AB1190" i="9"/>
  <c r="AB1191" i="9"/>
  <c r="AB1192" i="9"/>
  <c r="AB1193" i="9"/>
  <c r="AB1194" i="9"/>
  <c r="AB1195" i="9"/>
  <c r="AB1196" i="9"/>
  <c r="AB1197" i="9"/>
  <c r="AB1198" i="9"/>
  <c r="AB1199" i="9"/>
  <c r="AB1200" i="9"/>
  <c r="AB1201" i="9"/>
  <c r="AB1202" i="9"/>
  <c r="AB1203" i="9"/>
  <c r="AB1204" i="9"/>
  <c r="AB1205" i="9"/>
  <c r="AB1206" i="9"/>
  <c r="AB1207" i="9"/>
  <c r="AB1208" i="9"/>
  <c r="AB1209" i="9"/>
  <c r="AB1210" i="9"/>
  <c r="AB1211" i="9"/>
  <c r="AB1212" i="9"/>
  <c r="AB1213" i="9"/>
  <c r="AB1214" i="9"/>
  <c r="AB1215" i="9"/>
  <c r="AB1216" i="9"/>
  <c r="AB1217" i="9"/>
  <c r="AB1218" i="9"/>
  <c r="AB1219" i="9"/>
  <c r="AB1220" i="9"/>
  <c r="AB1221" i="9"/>
  <c r="AB1222" i="9"/>
  <c r="AB1223" i="9"/>
  <c r="AB1224" i="9"/>
  <c r="AB1225" i="9"/>
  <c r="AB1226" i="9"/>
  <c r="AB1227" i="9"/>
  <c r="AB1228" i="9"/>
  <c r="AB1229" i="9"/>
  <c r="AB1230" i="9"/>
  <c r="AB1231" i="9"/>
  <c r="AB1232" i="9"/>
  <c r="AB1233" i="9"/>
  <c r="AB1234" i="9"/>
  <c r="AB1235" i="9"/>
  <c r="AB1236" i="9"/>
  <c r="AB1237" i="9"/>
  <c r="AB1238" i="9"/>
  <c r="AB1239" i="9"/>
  <c r="AB1240" i="9"/>
  <c r="AB1241" i="9"/>
  <c r="AB1242" i="9"/>
  <c r="AB1243" i="9"/>
  <c r="AB1244" i="9"/>
  <c r="AB1245" i="9"/>
  <c r="AB1246" i="9"/>
  <c r="AB1247" i="9"/>
  <c r="AB1248" i="9"/>
  <c r="AB1249" i="9"/>
  <c r="AB1250" i="9"/>
  <c r="AB1251" i="9"/>
  <c r="AB1252" i="9"/>
  <c r="AB1253" i="9"/>
  <c r="AB1254" i="9"/>
  <c r="AB1255" i="9"/>
  <c r="AB1256" i="9"/>
  <c r="AB1257" i="9"/>
  <c r="AB1258" i="9"/>
  <c r="AB1259" i="9"/>
  <c r="AB1260" i="9"/>
  <c r="AB1261" i="9"/>
  <c r="AB1262" i="9"/>
  <c r="AB1263" i="9"/>
  <c r="AB1264" i="9"/>
  <c r="AB1265" i="9"/>
  <c r="AB1266" i="9"/>
  <c r="AB1267" i="9"/>
  <c r="AB1268" i="9"/>
  <c r="AB1269" i="9"/>
  <c r="AB1270" i="9"/>
  <c r="AB1271" i="9"/>
  <c r="AB1272" i="9"/>
  <c r="AB1273" i="9"/>
  <c r="AB1274" i="9"/>
  <c r="AB1275" i="9"/>
  <c r="AB1276" i="9"/>
  <c r="AB1277" i="9"/>
  <c r="AB1278" i="9"/>
  <c r="AB1279" i="9"/>
  <c r="AB1280" i="9"/>
  <c r="AB1281" i="9"/>
  <c r="AB1282" i="9"/>
  <c r="AB1283" i="9"/>
  <c r="AB1284" i="9"/>
  <c r="AB1285" i="9"/>
  <c r="AB1286" i="9"/>
  <c r="AB1287" i="9"/>
  <c r="AB1288" i="9"/>
  <c r="AB1289" i="9"/>
  <c r="AB1290" i="9"/>
  <c r="AB1291" i="9"/>
  <c r="AB1292" i="9"/>
  <c r="AB1293" i="9"/>
  <c r="AB1294" i="9"/>
  <c r="AB1295" i="9"/>
  <c r="AB1296" i="9"/>
  <c r="AB1297" i="9"/>
  <c r="AB1298" i="9"/>
  <c r="AB1299" i="9"/>
  <c r="AB1300" i="9"/>
  <c r="AB1301" i="9"/>
  <c r="AB1302" i="9"/>
  <c r="AB1303" i="9"/>
  <c r="AB1304" i="9"/>
  <c r="AB1305" i="9"/>
  <c r="AB1306" i="9"/>
  <c r="AB1307" i="9"/>
  <c r="AB1308" i="9"/>
  <c r="AB1309" i="9"/>
  <c r="AB1310" i="9"/>
  <c r="AB1311" i="9"/>
  <c r="AB1312" i="9"/>
  <c r="AB1313" i="9"/>
  <c r="AB1314" i="9"/>
  <c r="AB1315" i="9"/>
  <c r="AB1316" i="9"/>
  <c r="AB1317" i="9"/>
  <c r="AB1318" i="9"/>
  <c r="AB1319" i="9"/>
  <c r="AB1320" i="9"/>
  <c r="AB1321" i="9"/>
  <c r="AB1322" i="9"/>
  <c r="AB1323" i="9"/>
  <c r="AB1324" i="9"/>
  <c r="AB1325" i="9"/>
  <c r="AB1326" i="9"/>
  <c r="AB1327" i="9"/>
  <c r="AB1328" i="9"/>
  <c r="AB1329" i="9"/>
  <c r="AB1330" i="9"/>
  <c r="AB1331" i="9"/>
  <c r="AB1332" i="9"/>
  <c r="AB1333" i="9"/>
  <c r="AB1334" i="9"/>
  <c r="AB1335" i="9"/>
  <c r="AB1336" i="9"/>
  <c r="AB1337" i="9"/>
  <c r="AB1338" i="9"/>
  <c r="AB1339" i="9"/>
  <c r="AB1340" i="9"/>
  <c r="AB1341" i="9"/>
  <c r="AB1342" i="9"/>
  <c r="AB1343" i="9"/>
  <c r="AB1344" i="9"/>
  <c r="AB1345" i="9"/>
  <c r="AB1346" i="9"/>
  <c r="AB1347" i="9"/>
  <c r="AB1348" i="9"/>
  <c r="AB1349" i="9"/>
  <c r="AB1350" i="9"/>
  <c r="AB1351" i="9"/>
  <c r="AB1352" i="9"/>
  <c r="AB1353" i="9"/>
  <c r="AB1354" i="9"/>
  <c r="AB1355" i="9"/>
  <c r="AB1356" i="9"/>
  <c r="AB1357" i="9"/>
  <c r="AB1358" i="9"/>
  <c r="AB1359" i="9"/>
  <c r="AB1360" i="9"/>
  <c r="AB1361" i="9"/>
  <c r="AB1362" i="9"/>
  <c r="AB1363" i="9"/>
  <c r="AB1364" i="9"/>
  <c r="AB1365" i="9"/>
  <c r="AB1366" i="9"/>
  <c r="AB1367" i="9"/>
  <c r="AB1368" i="9"/>
  <c r="AB1369" i="9"/>
  <c r="AB1370" i="9"/>
  <c r="AB1371" i="9"/>
  <c r="AB1372" i="9"/>
  <c r="AB1373" i="9"/>
  <c r="AB1374" i="9"/>
  <c r="AB1375" i="9"/>
  <c r="AB1376" i="9"/>
  <c r="AB1377" i="9"/>
  <c r="AB1378" i="9"/>
  <c r="AB1379" i="9"/>
  <c r="AB1380" i="9"/>
  <c r="AB1381" i="9"/>
  <c r="AB1382" i="9"/>
  <c r="AB1383" i="9"/>
  <c r="AB1384" i="9"/>
  <c r="AB1385" i="9"/>
  <c r="AB1386" i="9"/>
  <c r="AB1387" i="9"/>
  <c r="AB1388" i="9"/>
  <c r="AB1389" i="9"/>
  <c r="AB1390" i="9"/>
  <c r="AB1391" i="9"/>
  <c r="AB1392" i="9"/>
  <c r="AB1393" i="9"/>
  <c r="AB1394" i="9"/>
  <c r="AB1395" i="9"/>
  <c r="AB1396" i="9"/>
  <c r="AB1397" i="9"/>
  <c r="AB1398" i="9"/>
  <c r="AB1399" i="9"/>
  <c r="AB1400" i="9"/>
  <c r="AB1401" i="9"/>
  <c r="AB1402" i="9"/>
  <c r="AB1403" i="9"/>
  <c r="AB1404" i="9"/>
  <c r="AB1405" i="9"/>
  <c r="AB1406" i="9"/>
  <c r="AB1407" i="9"/>
  <c r="AB1408" i="9"/>
  <c r="AB1409" i="9"/>
  <c r="AB1410" i="9"/>
  <c r="AB1411" i="9"/>
  <c r="AB1412" i="9"/>
  <c r="AB1413" i="9"/>
  <c r="AB1414" i="9"/>
  <c r="AB1415" i="9"/>
  <c r="AB1416" i="9"/>
  <c r="AB1417" i="9"/>
  <c r="AB1418" i="9"/>
  <c r="AB1419" i="9"/>
  <c r="AB1420" i="9"/>
  <c r="AB1421" i="9"/>
  <c r="AB1422" i="9"/>
  <c r="AB1423" i="9"/>
  <c r="AB1424" i="9"/>
  <c r="AB1425" i="9"/>
  <c r="AB1426" i="9"/>
  <c r="AB1427" i="9"/>
  <c r="AB1428" i="9"/>
  <c r="AB1429" i="9"/>
  <c r="AB1430" i="9"/>
  <c r="AB1431" i="9"/>
  <c r="AB1432" i="9"/>
  <c r="AB1433" i="9"/>
  <c r="AB1434" i="9"/>
  <c r="AB1435" i="9"/>
  <c r="AB1436" i="9"/>
  <c r="AB1437" i="9"/>
  <c r="AB1438" i="9"/>
  <c r="AB1439" i="9"/>
  <c r="AB1440" i="9"/>
  <c r="AB1441" i="9"/>
  <c r="AB1442" i="9"/>
  <c r="AB1443" i="9"/>
  <c r="AB1444" i="9"/>
  <c r="AB1445" i="9"/>
  <c r="AB1446" i="9"/>
  <c r="AB1447" i="9"/>
  <c r="AB1448" i="9"/>
  <c r="AB1449" i="9"/>
  <c r="AB1450" i="9"/>
  <c r="AB1451" i="9"/>
  <c r="AB1452" i="9"/>
  <c r="AB1453" i="9"/>
  <c r="AB1454" i="9"/>
  <c r="AB1455" i="9"/>
  <c r="AB1456" i="9"/>
  <c r="AB1457" i="9"/>
  <c r="AB1458" i="9"/>
  <c r="AB1459" i="9"/>
  <c r="AB1460" i="9"/>
  <c r="AB1461" i="9"/>
  <c r="AB1462" i="9"/>
  <c r="AB1463" i="9"/>
  <c r="AB1464" i="9"/>
  <c r="AB1465" i="9"/>
  <c r="AB1466" i="9"/>
  <c r="AB1467" i="9"/>
  <c r="AB1468" i="9"/>
  <c r="AB1469" i="9"/>
  <c r="AB1470" i="9"/>
  <c r="AB1471" i="9"/>
  <c r="AB1472" i="9"/>
  <c r="AB1473" i="9"/>
  <c r="AB1474" i="9"/>
  <c r="AB1475" i="9"/>
  <c r="AB1476" i="9"/>
  <c r="AB1477" i="9"/>
  <c r="AB1478" i="9"/>
  <c r="AB1479" i="9"/>
  <c r="AB1480" i="9"/>
  <c r="AB1481" i="9"/>
  <c r="AB1482" i="9"/>
  <c r="AB1483" i="9"/>
  <c r="AB1484" i="9"/>
  <c r="AB1485" i="9"/>
  <c r="AB1486" i="9"/>
  <c r="AB1487" i="9"/>
  <c r="AB1488" i="9"/>
  <c r="AB1489" i="9"/>
  <c r="AB1490" i="9"/>
  <c r="AB1491" i="9"/>
  <c r="AB1492" i="9"/>
  <c r="AB1493" i="9"/>
  <c r="AB1494" i="9"/>
  <c r="AB1495" i="9"/>
  <c r="AB1496" i="9"/>
  <c r="AB1497" i="9"/>
  <c r="AB1498" i="9"/>
  <c r="AB1499" i="9"/>
  <c r="AB1500" i="9"/>
  <c r="AB1501" i="9"/>
  <c r="AB1502" i="9"/>
  <c r="AB1503" i="9"/>
  <c r="AB1504" i="9"/>
  <c r="AB1505" i="9"/>
  <c r="AB1506" i="9"/>
  <c r="AB1507" i="9"/>
  <c r="AB1508" i="9"/>
  <c r="AB1509" i="9"/>
  <c r="AB1510" i="9"/>
  <c r="AB1511" i="9"/>
  <c r="AB1512" i="9"/>
  <c r="AB1513" i="9"/>
  <c r="AB1514" i="9"/>
  <c r="AB1515" i="9"/>
  <c r="AB1516" i="9"/>
  <c r="AB1517" i="9"/>
  <c r="AB1518" i="9"/>
  <c r="AB1519" i="9"/>
  <c r="AB1520" i="9"/>
  <c r="AB1521" i="9"/>
  <c r="AB1522" i="9"/>
  <c r="AB1523" i="9"/>
  <c r="AB1524" i="9"/>
  <c r="AB1525" i="9"/>
  <c r="AB1526" i="9"/>
  <c r="AB1527" i="9"/>
  <c r="AB1528" i="9"/>
  <c r="AB1529" i="9"/>
  <c r="AB1530" i="9"/>
  <c r="AB1531" i="9"/>
  <c r="AB1532" i="9"/>
  <c r="AB1533" i="9"/>
  <c r="AB1534" i="9"/>
  <c r="AB1535" i="9"/>
  <c r="AB1536" i="9"/>
  <c r="AB1537" i="9"/>
  <c r="AB1538" i="9"/>
  <c r="AB1539" i="9"/>
  <c r="AB1540" i="9"/>
  <c r="AB1541" i="9"/>
  <c r="AB1542" i="9"/>
  <c r="AB1543" i="9"/>
  <c r="AB1544" i="9"/>
  <c r="AB1545" i="9"/>
  <c r="AB1546" i="9"/>
  <c r="AB1547" i="9"/>
  <c r="AB1548" i="9"/>
  <c r="AB1549" i="9"/>
  <c r="AB1550" i="9"/>
  <c r="AB1551" i="9"/>
  <c r="AB1552" i="9"/>
  <c r="AB1553" i="9"/>
  <c r="AB1554" i="9"/>
  <c r="AB1555" i="9"/>
  <c r="AB1556" i="9"/>
  <c r="AB1557" i="9"/>
  <c r="AB1558" i="9"/>
  <c r="AB1559" i="9"/>
  <c r="AB1560" i="9"/>
  <c r="AB1561" i="9"/>
  <c r="AB1562" i="9"/>
  <c r="AB1563" i="9"/>
  <c r="AB1564" i="9"/>
  <c r="AB1565" i="9"/>
  <c r="AB1566" i="9"/>
  <c r="AB1567" i="9"/>
  <c r="AB1568" i="9"/>
  <c r="AB1569" i="9"/>
  <c r="AB1570" i="9"/>
  <c r="AB1571" i="9"/>
  <c r="AB1572" i="9"/>
  <c r="AB1573" i="9"/>
  <c r="AB1574" i="9"/>
  <c r="AB1575" i="9"/>
  <c r="AB1576" i="9"/>
  <c r="AB1577" i="9"/>
  <c r="AB1578" i="9"/>
  <c r="AB1579" i="9"/>
  <c r="AB1580" i="9"/>
  <c r="AB1581" i="9"/>
  <c r="AB1582" i="9"/>
  <c r="AB1583" i="9"/>
  <c r="AB1584" i="9"/>
  <c r="AB1585" i="9"/>
  <c r="AB1586" i="9"/>
  <c r="AB1587" i="9"/>
  <c r="AB1588" i="9"/>
  <c r="AB1589" i="9"/>
  <c r="AB1590" i="9"/>
  <c r="AB1591" i="9"/>
  <c r="AB1592" i="9"/>
  <c r="AB1593" i="9"/>
  <c r="AB1594" i="9"/>
  <c r="AB1595" i="9"/>
  <c r="AB1596" i="9"/>
  <c r="AB1597" i="9"/>
  <c r="AB1598" i="9"/>
  <c r="AB1599" i="9"/>
  <c r="AB1600" i="9"/>
  <c r="AB1601" i="9"/>
  <c r="AB1602" i="9"/>
  <c r="AB1603" i="9"/>
  <c r="AB1604" i="9"/>
  <c r="AB1605" i="9"/>
  <c r="AB1606" i="9"/>
  <c r="AB1607" i="9"/>
  <c r="AB1608" i="9"/>
  <c r="AB1609" i="9"/>
  <c r="AB1610" i="9"/>
  <c r="AB1611" i="9"/>
  <c r="AB1612" i="9"/>
  <c r="AB1613" i="9"/>
  <c r="AB1614" i="9"/>
  <c r="AB1615" i="9"/>
  <c r="AB1616" i="9"/>
  <c r="AB1617" i="9"/>
  <c r="AB1618" i="9"/>
  <c r="AB1619" i="9"/>
  <c r="AB1620" i="9"/>
  <c r="AB1621" i="9"/>
  <c r="AB1622" i="9"/>
  <c r="AB1623" i="9"/>
  <c r="AB1624" i="9"/>
  <c r="AB1625" i="9"/>
  <c r="AB1626" i="9"/>
  <c r="AB1627" i="9"/>
  <c r="AB1628" i="9"/>
  <c r="AB1629" i="9"/>
  <c r="AB1630" i="9"/>
  <c r="AB1631" i="9"/>
  <c r="AB1632" i="9"/>
  <c r="AB1633" i="9"/>
  <c r="AB1634" i="9"/>
  <c r="AB1635" i="9"/>
  <c r="AB1636" i="9"/>
  <c r="AB1637" i="9"/>
  <c r="AB1638" i="9"/>
  <c r="AB1639" i="9"/>
  <c r="AB1640" i="9"/>
  <c r="AB1641" i="9"/>
  <c r="AB1642" i="9"/>
  <c r="AB1643" i="9"/>
  <c r="AB1644" i="9"/>
  <c r="AB1645" i="9"/>
  <c r="AB1646" i="9"/>
  <c r="AB1647" i="9"/>
  <c r="AB1648" i="9"/>
  <c r="AB1649" i="9"/>
  <c r="AB1650" i="9"/>
  <c r="AB1651" i="9"/>
  <c r="AB1652" i="9"/>
  <c r="AB1653" i="9"/>
  <c r="AB1654" i="9"/>
  <c r="AB1655" i="9"/>
  <c r="AB1656" i="9"/>
  <c r="AB1657" i="9"/>
  <c r="AB1658" i="9"/>
  <c r="AB1659" i="9"/>
  <c r="AB1660" i="9"/>
  <c r="AB1661" i="9"/>
  <c r="AB1662" i="9"/>
  <c r="AB1663" i="9"/>
  <c r="AB1664" i="9"/>
  <c r="AB1665" i="9"/>
  <c r="AB1666" i="9"/>
  <c r="AB1667" i="9"/>
  <c r="AB1668" i="9"/>
  <c r="AB1669" i="9"/>
  <c r="AB1670" i="9"/>
  <c r="AB1671" i="9"/>
  <c r="AB1672" i="9"/>
  <c r="AB1673" i="9"/>
  <c r="AB1674" i="9"/>
  <c r="AB1675" i="9"/>
  <c r="AB1676" i="9"/>
  <c r="AB1677" i="9"/>
  <c r="AB1678" i="9"/>
  <c r="AB1679" i="9"/>
  <c r="AB1680" i="9"/>
  <c r="AB1681" i="9"/>
  <c r="AB1682" i="9"/>
  <c r="AB1683" i="9"/>
  <c r="AB1684" i="9"/>
  <c r="AB1685" i="9"/>
  <c r="AB1686" i="9"/>
  <c r="AB1687" i="9"/>
  <c r="AB1688" i="9"/>
  <c r="AB1689" i="9"/>
  <c r="AB1690" i="9"/>
  <c r="AB1691" i="9"/>
  <c r="AB1692" i="9"/>
  <c r="AB1693" i="9"/>
  <c r="AB1694" i="9"/>
  <c r="AB1695" i="9"/>
  <c r="AB1696" i="9"/>
  <c r="AB1697" i="9"/>
  <c r="AB1698" i="9"/>
  <c r="AB1699" i="9"/>
  <c r="AB1700" i="9"/>
  <c r="AB1701" i="9"/>
  <c r="AB1702" i="9"/>
  <c r="AB1703" i="9"/>
  <c r="AB1704" i="9"/>
  <c r="AB1705" i="9"/>
  <c r="AB1706" i="9"/>
  <c r="AB1707" i="9"/>
  <c r="AB1708" i="9"/>
  <c r="AB1709" i="9"/>
  <c r="AB1710" i="9"/>
  <c r="AB1711" i="9"/>
  <c r="AB1712" i="9"/>
  <c r="AB1713" i="9"/>
  <c r="AB1714" i="9"/>
  <c r="AB1715" i="9"/>
  <c r="AB1716" i="9"/>
  <c r="AB1717" i="9"/>
  <c r="AB1718" i="9"/>
  <c r="AB1719" i="9"/>
  <c r="AB1720" i="9"/>
  <c r="AB1721" i="9"/>
  <c r="AB1722" i="9"/>
  <c r="AB1723" i="9"/>
  <c r="AB1724" i="9"/>
  <c r="AB1725" i="9"/>
  <c r="AB1726" i="9"/>
  <c r="AB1727" i="9"/>
  <c r="AB1728" i="9"/>
  <c r="AB1729" i="9"/>
  <c r="AB1730"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AA177" i="9"/>
  <c r="AA178" i="9"/>
  <c r="AA179" i="9"/>
  <c r="AA180" i="9"/>
  <c r="AA181" i="9"/>
  <c r="AA182" i="9"/>
  <c r="AA183" i="9"/>
  <c r="AA184" i="9"/>
  <c r="AA185" i="9"/>
  <c r="AA186" i="9"/>
  <c r="AA187" i="9"/>
  <c r="AA188" i="9"/>
  <c r="AA189" i="9"/>
  <c r="AA190" i="9"/>
  <c r="AA191" i="9"/>
  <c r="AA192" i="9"/>
  <c r="AA193" i="9"/>
  <c r="AA194" i="9"/>
  <c r="AA195" i="9"/>
  <c r="AA196" i="9"/>
  <c r="AA197" i="9"/>
  <c r="AA198" i="9"/>
  <c r="AA199" i="9"/>
  <c r="AA200" i="9"/>
  <c r="AA201" i="9"/>
  <c r="AA202" i="9"/>
  <c r="AA203" i="9"/>
  <c r="AA204" i="9"/>
  <c r="AA205" i="9"/>
  <c r="AA206" i="9"/>
  <c r="AA207" i="9"/>
  <c r="AA208" i="9"/>
  <c r="AA209" i="9"/>
  <c r="AA210" i="9"/>
  <c r="AA211" i="9"/>
  <c r="AA212" i="9"/>
  <c r="AA213" i="9"/>
  <c r="AA214" i="9"/>
  <c r="AA215" i="9"/>
  <c r="AA216" i="9"/>
  <c r="AA217" i="9"/>
  <c r="AA218" i="9"/>
  <c r="AA219" i="9"/>
  <c r="AA220" i="9"/>
  <c r="AA221" i="9"/>
  <c r="AA222" i="9"/>
  <c r="AA223" i="9"/>
  <c r="AA224" i="9"/>
  <c r="AA225" i="9"/>
  <c r="AA226" i="9"/>
  <c r="AA227" i="9"/>
  <c r="AA228" i="9"/>
  <c r="AA229" i="9"/>
  <c r="AA230" i="9"/>
  <c r="AA231" i="9"/>
  <c r="AA232" i="9"/>
  <c r="AA233" i="9"/>
  <c r="AA234" i="9"/>
  <c r="AA235" i="9"/>
  <c r="AA236" i="9"/>
  <c r="AA237" i="9"/>
  <c r="AA238" i="9"/>
  <c r="AA239" i="9"/>
  <c r="AA240" i="9"/>
  <c r="AA241" i="9"/>
  <c r="AA242" i="9"/>
  <c r="AA243" i="9"/>
  <c r="AA244" i="9"/>
  <c r="AA245" i="9"/>
  <c r="AA246" i="9"/>
  <c r="AA247" i="9"/>
  <c r="AA248" i="9"/>
  <c r="AA249" i="9"/>
  <c r="AA250" i="9"/>
  <c r="AA251" i="9"/>
  <c r="AA252" i="9"/>
  <c r="AA253" i="9"/>
  <c r="AA254" i="9"/>
  <c r="AA255" i="9"/>
  <c r="AA256" i="9"/>
  <c r="AA257" i="9"/>
  <c r="AA258" i="9"/>
  <c r="AA259" i="9"/>
  <c r="AA260"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A509" i="9"/>
  <c r="AA510" i="9"/>
  <c r="AA511" i="9"/>
  <c r="AA512" i="9"/>
  <c r="AA513" i="9"/>
  <c r="AA514" i="9"/>
  <c r="AA515" i="9"/>
  <c r="AA516" i="9"/>
  <c r="AA517" i="9"/>
  <c r="AA518" i="9"/>
  <c r="AA519" i="9"/>
  <c r="AA520" i="9"/>
  <c r="AA521" i="9"/>
  <c r="AA522" i="9"/>
  <c r="AA523" i="9"/>
  <c r="AA524" i="9"/>
  <c r="AA525" i="9"/>
  <c r="AA526" i="9"/>
  <c r="AA527" i="9"/>
  <c r="AA528" i="9"/>
  <c r="AA529" i="9"/>
  <c r="AA530" i="9"/>
  <c r="AA531" i="9"/>
  <c r="AA532" i="9"/>
  <c r="AA533" i="9"/>
  <c r="AA534" i="9"/>
  <c r="AA535" i="9"/>
  <c r="AA536" i="9"/>
  <c r="AA537" i="9"/>
  <c r="AA538" i="9"/>
  <c r="AA539" i="9"/>
  <c r="AA540" i="9"/>
  <c r="AA541" i="9"/>
  <c r="AA542" i="9"/>
  <c r="AA543" i="9"/>
  <c r="AA544" i="9"/>
  <c r="AA545" i="9"/>
  <c r="AA546" i="9"/>
  <c r="AA547" i="9"/>
  <c r="AA548" i="9"/>
  <c r="AA549" i="9"/>
  <c r="AA550" i="9"/>
  <c r="AA551" i="9"/>
  <c r="AA552" i="9"/>
  <c r="AA553" i="9"/>
  <c r="AA554" i="9"/>
  <c r="AA555" i="9"/>
  <c r="AA556" i="9"/>
  <c r="AA557" i="9"/>
  <c r="AA558" i="9"/>
  <c r="AA559" i="9"/>
  <c r="AA560" i="9"/>
  <c r="AA561" i="9"/>
  <c r="AA562" i="9"/>
  <c r="AA563" i="9"/>
  <c r="AA564" i="9"/>
  <c r="AA565" i="9"/>
  <c r="AA566" i="9"/>
  <c r="AA567" i="9"/>
  <c r="AA568" i="9"/>
  <c r="AA569" i="9"/>
  <c r="AA570" i="9"/>
  <c r="AA571" i="9"/>
  <c r="AA572" i="9"/>
  <c r="AA573" i="9"/>
  <c r="AA574" i="9"/>
  <c r="AA575" i="9"/>
  <c r="AA576" i="9"/>
  <c r="AA577" i="9"/>
  <c r="AA578" i="9"/>
  <c r="AA579" i="9"/>
  <c r="AA580" i="9"/>
  <c r="AA581" i="9"/>
  <c r="AA582" i="9"/>
  <c r="AA583" i="9"/>
  <c r="AA584" i="9"/>
  <c r="AA585" i="9"/>
  <c r="AA586" i="9"/>
  <c r="AA587" i="9"/>
  <c r="AA588" i="9"/>
  <c r="AA589" i="9"/>
  <c r="AA590" i="9"/>
  <c r="AA591" i="9"/>
  <c r="AA592" i="9"/>
  <c r="AA593" i="9"/>
  <c r="AA594" i="9"/>
  <c r="AA595" i="9"/>
  <c r="AA596" i="9"/>
  <c r="AA597" i="9"/>
  <c r="AA598" i="9"/>
  <c r="AA599" i="9"/>
  <c r="AA600" i="9"/>
  <c r="AA601" i="9"/>
  <c r="AA602" i="9"/>
  <c r="AA603" i="9"/>
  <c r="AA604" i="9"/>
  <c r="AA605" i="9"/>
  <c r="AA606" i="9"/>
  <c r="AA607" i="9"/>
  <c r="AA608" i="9"/>
  <c r="AA609" i="9"/>
  <c r="AA610" i="9"/>
  <c r="AA611" i="9"/>
  <c r="AA612" i="9"/>
  <c r="AA613" i="9"/>
  <c r="AA614" i="9"/>
  <c r="AA615" i="9"/>
  <c r="AA616" i="9"/>
  <c r="AA617" i="9"/>
  <c r="AA618" i="9"/>
  <c r="AA619" i="9"/>
  <c r="AA620" i="9"/>
  <c r="AA621" i="9"/>
  <c r="AA622" i="9"/>
  <c r="AA623" i="9"/>
  <c r="AA624" i="9"/>
  <c r="AA625" i="9"/>
  <c r="AA626" i="9"/>
  <c r="AA627" i="9"/>
  <c r="AA628" i="9"/>
  <c r="AA629" i="9"/>
  <c r="AA630" i="9"/>
  <c r="AA631" i="9"/>
  <c r="AA632" i="9"/>
  <c r="AA633" i="9"/>
  <c r="AA634" i="9"/>
  <c r="AA635" i="9"/>
  <c r="AA636" i="9"/>
  <c r="AA637" i="9"/>
  <c r="AA638" i="9"/>
  <c r="AA639" i="9"/>
  <c r="AA640" i="9"/>
  <c r="AA641" i="9"/>
  <c r="AA642" i="9"/>
  <c r="AA643" i="9"/>
  <c r="AA644" i="9"/>
  <c r="AA645" i="9"/>
  <c r="AA646" i="9"/>
  <c r="AA647" i="9"/>
  <c r="AA648" i="9"/>
  <c r="AA649" i="9"/>
  <c r="AA650" i="9"/>
  <c r="AA651" i="9"/>
  <c r="AA652" i="9"/>
  <c r="AA653" i="9"/>
  <c r="AA654" i="9"/>
  <c r="AA655" i="9"/>
  <c r="AA656" i="9"/>
  <c r="AA657" i="9"/>
  <c r="AA658" i="9"/>
  <c r="AA659" i="9"/>
  <c r="AA660" i="9"/>
  <c r="AA661" i="9"/>
  <c r="AA662" i="9"/>
  <c r="AA663" i="9"/>
  <c r="AA664" i="9"/>
  <c r="AA665" i="9"/>
  <c r="AA666" i="9"/>
  <c r="AA667" i="9"/>
  <c r="AA668" i="9"/>
  <c r="AA669" i="9"/>
  <c r="AA670" i="9"/>
  <c r="AA671" i="9"/>
  <c r="AA672" i="9"/>
  <c r="AA673" i="9"/>
  <c r="AA674" i="9"/>
  <c r="AA675" i="9"/>
  <c r="AA676" i="9"/>
  <c r="AA677" i="9"/>
  <c r="AA678" i="9"/>
  <c r="AA679" i="9"/>
  <c r="AA680" i="9"/>
  <c r="AA681" i="9"/>
  <c r="AA682" i="9"/>
  <c r="AA683" i="9"/>
  <c r="AA684" i="9"/>
  <c r="AA685" i="9"/>
  <c r="AA686" i="9"/>
  <c r="AA687" i="9"/>
  <c r="AA688" i="9"/>
  <c r="AA689" i="9"/>
  <c r="AA690" i="9"/>
  <c r="AA691" i="9"/>
  <c r="AA692" i="9"/>
  <c r="AA693" i="9"/>
  <c r="AA694" i="9"/>
  <c r="AA695" i="9"/>
  <c r="AA696" i="9"/>
  <c r="AA697" i="9"/>
  <c r="AA698" i="9"/>
  <c r="AA699" i="9"/>
  <c r="AA700" i="9"/>
  <c r="AA701" i="9"/>
  <c r="AA702" i="9"/>
  <c r="AA703" i="9"/>
  <c r="AA704" i="9"/>
  <c r="AA705" i="9"/>
  <c r="AA706" i="9"/>
  <c r="AA707" i="9"/>
  <c r="AA708" i="9"/>
  <c r="AA709" i="9"/>
  <c r="AA710" i="9"/>
  <c r="AA711" i="9"/>
  <c r="AA712" i="9"/>
  <c r="AA713" i="9"/>
  <c r="AA714" i="9"/>
  <c r="AA715" i="9"/>
  <c r="AA716" i="9"/>
  <c r="AA717" i="9"/>
  <c r="AA718" i="9"/>
  <c r="AA719" i="9"/>
  <c r="AA720" i="9"/>
  <c r="AA721" i="9"/>
  <c r="AA722" i="9"/>
  <c r="AA723" i="9"/>
  <c r="AA724" i="9"/>
  <c r="AA725" i="9"/>
  <c r="AA726" i="9"/>
  <c r="AA727" i="9"/>
  <c r="AA728" i="9"/>
  <c r="AA729" i="9"/>
  <c r="AA730" i="9"/>
  <c r="AA731" i="9"/>
  <c r="AA732" i="9"/>
  <c r="AA733" i="9"/>
  <c r="AA734" i="9"/>
  <c r="AA735" i="9"/>
  <c r="AA736" i="9"/>
  <c r="AA737" i="9"/>
  <c r="AA738" i="9"/>
  <c r="AA739" i="9"/>
  <c r="AA740" i="9"/>
  <c r="AA741" i="9"/>
  <c r="AA742" i="9"/>
  <c r="AA743" i="9"/>
  <c r="AA744" i="9"/>
  <c r="AA745" i="9"/>
  <c r="AA746" i="9"/>
  <c r="AA747" i="9"/>
  <c r="AA748" i="9"/>
  <c r="AA749" i="9"/>
  <c r="AA750" i="9"/>
  <c r="AA751" i="9"/>
  <c r="AA752" i="9"/>
  <c r="AA753" i="9"/>
  <c r="AA754" i="9"/>
  <c r="AA755" i="9"/>
  <c r="AA756" i="9"/>
  <c r="AA757" i="9"/>
  <c r="AA758" i="9"/>
  <c r="AA759" i="9"/>
  <c r="AA760" i="9"/>
  <c r="AA761" i="9"/>
  <c r="AA762" i="9"/>
  <c r="AA763" i="9"/>
  <c r="AA764" i="9"/>
  <c r="AA765" i="9"/>
  <c r="AA766" i="9"/>
  <c r="AA767" i="9"/>
  <c r="AA768" i="9"/>
  <c r="AA769" i="9"/>
  <c r="AA770" i="9"/>
  <c r="AA771" i="9"/>
  <c r="AA772" i="9"/>
  <c r="AA773" i="9"/>
  <c r="AA774" i="9"/>
  <c r="AA775" i="9"/>
  <c r="AA776" i="9"/>
  <c r="AA777" i="9"/>
  <c r="AA778" i="9"/>
  <c r="AA779" i="9"/>
  <c r="AA780" i="9"/>
  <c r="AA781" i="9"/>
  <c r="AA782" i="9"/>
  <c r="AA783" i="9"/>
  <c r="AA784" i="9"/>
  <c r="AA785" i="9"/>
  <c r="AA786" i="9"/>
  <c r="AA787" i="9"/>
  <c r="AA788" i="9"/>
  <c r="AA789" i="9"/>
  <c r="AA790" i="9"/>
  <c r="AA791" i="9"/>
  <c r="AA792" i="9"/>
  <c r="AA793" i="9"/>
  <c r="AA794" i="9"/>
  <c r="AA795" i="9"/>
  <c r="AA796" i="9"/>
  <c r="AA797" i="9"/>
  <c r="AA798" i="9"/>
  <c r="AA799" i="9"/>
  <c r="AA800" i="9"/>
  <c r="AA801" i="9"/>
  <c r="AA802" i="9"/>
  <c r="AA803" i="9"/>
  <c r="AA804" i="9"/>
  <c r="AA805" i="9"/>
  <c r="AA806" i="9"/>
  <c r="AA807" i="9"/>
  <c r="AA808" i="9"/>
  <c r="AA809" i="9"/>
  <c r="AA810" i="9"/>
  <c r="AA811" i="9"/>
  <c r="AA812" i="9"/>
  <c r="AA813" i="9"/>
  <c r="AA814" i="9"/>
  <c r="AA815" i="9"/>
  <c r="AA816" i="9"/>
  <c r="AA817" i="9"/>
  <c r="AA818" i="9"/>
  <c r="AA819" i="9"/>
  <c r="AA820" i="9"/>
  <c r="AA821" i="9"/>
  <c r="AA822" i="9"/>
  <c r="AA823" i="9"/>
  <c r="AA824" i="9"/>
  <c r="AA825" i="9"/>
  <c r="AA826" i="9"/>
  <c r="AA827" i="9"/>
  <c r="AA828" i="9"/>
  <c r="AA829" i="9"/>
  <c r="AA830" i="9"/>
  <c r="AA831" i="9"/>
  <c r="AA832" i="9"/>
  <c r="AA833" i="9"/>
  <c r="AA834" i="9"/>
  <c r="AA835" i="9"/>
  <c r="AA836" i="9"/>
  <c r="AA837" i="9"/>
  <c r="AA838" i="9"/>
  <c r="AA839" i="9"/>
  <c r="AA840" i="9"/>
  <c r="AA841" i="9"/>
  <c r="AA842" i="9"/>
  <c r="AA843" i="9"/>
  <c r="AA844" i="9"/>
  <c r="AA845" i="9"/>
  <c r="AA846" i="9"/>
  <c r="AA847" i="9"/>
  <c r="AA848" i="9"/>
  <c r="AA849" i="9"/>
  <c r="AA850" i="9"/>
  <c r="AA851" i="9"/>
  <c r="AA852" i="9"/>
  <c r="AA853" i="9"/>
  <c r="AA854" i="9"/>
  <c r="AA855" i="9"/>
  <c r="AA856" i="9"/>
  <c r="AA857" i="9"/>
  <c r="AA858" i="9"/>
  <c r="AA859" i="9"/>
  <c r="AA860" i="9"/>
  <c r="AA861" i="9"/>
  <c r="AA862" i="9"/>
  <c r="AA863" i="9"/>
  <c r="AA864" i="9"/>
  <c r="AA865" i="9"/>
  <c r="AA866" i="9"/>
  <c r="AA867" i="9"/>
  <c r="AA868" i="9"/>
  <c r="AA869" i="9"/>
  <c r="AA870" i="9"/>
  <c r="AA871" i="9"/>
  <c r="AA872" i="9"/>
  <c r="AA873" i="9"/>
  <c r="AA874" i="9"/>
  <c r="AA875" i="9"/>
  <c r="AA876" i="9"/>
  <c r="AA877" i="9"/>
  <c r="AA878" i="9"/>
  <c r="AA879" i="9"/>
  <c r="AA880" i="9"/>
  <c r="AA881" i="9"/>
  <c r="AA882" i="9"/>
  <c r="AA883" i="9"/>
  <c r="AA884" i="9"/>
  <c r="AA885" i="9"/>
  <c r="AA886" i="9"/>
  <c r="AA887" i="9"/>
  <c r="AA888" i="9"/>
  <c r="AA889" i="9"/>
  <c r="AA890" i="9"/>
  <c r="AA891" i="9"/>
  <c r="AA892" i="9"/>
  <c r="AA893" i="9"/>
  <c r="AA894" i="9"/>
  <c r="AA895" i="9"/>
  <c r="AA896" i="9"/>
  <c r="AA897" i="9"/>
  <c r="AA898" i="9"/>
  <c r="AA899" i="9"/>
  <c r="AA900" i="9"/>
  <c r="AA901" i="9"/>
  <c r="AA902" i="9"/>
  <c r="AA903" i="9"/>
  <c r="AA904" i="9"/>
  <c r="AA905" i="9"/>
  <c r="AA906" i="9"/>
  <c r="AA907" i="9"/>
  <c r="AA908" i="9"/>
  <c r="AA909" i="9"/>
  <c r="AA910" i="9"/>
  <c r="AA911" i="9"/>
  <c r="AA912" i="9"/>
  <c r="AA913" i="9"/>
  <c r="AA914" i="9"/>
  <c r="AA915" i="9"/>
  <c r="AA916" i="9"/>
  <c r="AA917" i="9"/>
  <c r="AA918" i="9"/>
  <c r="AA919" i="9"/>
  <c r="AA920" i="9"/>
  <c r="AA921" i="9"/>
  <c r="AA922" i="9"/>
  <c r="AA923" i="9"/>
  <c r="AA924" i="9"/>
  <c r="AA925" i="9"/>
  <c r="AA926" i="9"/>
  <c r="AA927" i="9"/>
  <c r="AA928" i="9"/>
  <c r="AA929" i="9"/>
  <c r="AA930" i="9"/>
  <c r="AA931" i="9"/>
  <c r="AA932" i="9"/>
  <c r="AA933" i="9"/>
  <c r="AA934" i="9"/>
  <c r="AA935" i="9"/>
  <c r="AA936" i="9"/>
  <c r="AA937" i="9"/>
  <c r="AA938" i="9"/>
  <c r="AA939" i="9"/>
  <c r="AA940" i="9"/>
  <c r="AA941" i="9"/>
  <c r="AA942" i="9"/>
  <c r="AA943" i="9"/>
  <c r="AA944" i="9"/>
  <c r="AA945" i="9"/>
  <c r="AA946" i="9"/>
  <c r="AA947" i="9"/>
  <c r="AA948" i="9"/>
  <c r="AA949" i="9"/>
  <c r="AA950" i="9"/>
  <c r="AA951" i="9"/>
  <c r="AA952" i="9"/>
  <c r="AA953" i="9"/>
  <c r="AA954" i="9"/>
  <c r="AA955" i="9"/>
  <c r="AA956" i="9"/>
  <c r="AA957" i="9"/>
  <c r="AA958" i="9"/>
  <c r="AA959" i="9"/>
  <c r="AA960" i="9"/>
  <c r="AA961" i="9"/>
  <c r="AA962" i="9"/>
  <c r="AA963" i="9"/>
  <c r="AA964" i="9"/>
  <c r="AA965" i="9"/>
  <c r="AA966" i="9"/>
  <c r="AA967" i="9"/>
  <c r="AA968" i="9"/>
  <c r="AA969" i="9"/>
  <c r="AA970" i="9"/>
  <c r="AA971" i="9"/>
  <c r="AA972" i="9"/>
  <c r="AA973" i="9"/>
  <c r="AA974" i="9"/>
  <c r="AA975" i="9"/>
  <c r="AA976" i="9"/>
  <c r="AA977" i="9"/>
  <c r="AA978" i="9"/>
  <c r="AA979" i="9"/>
  <c r="AA980" i="9"/>
  <c r="AA981" i="9"/>
  <c r="AA982" i="9"/>
  <c r="AA983" i="9"/>
  <c r="AA984" i="9"/>
  <c r="AA985" i="9"/>
  <c r="AA986" i="9"/>
  <c r="AA987" i="9"/>
  <c r="AA988" i="9"/>
  <c r="AA989" i="9"/>
  <c r="AA990" i="9"/>
  <c r="AA991" i="9"/>
  <c r="AA992" i="9"/>
  <c r="AA993" i="9"/>
  <c r="AA994" i="9"/>
  <c r="AA995" i="9"/>
  <c r="AA996" i="9"/>
  <c r="AA997" i="9"/>
  <c r="AA998" i="9"/>
  <c r="AA999" i="9"/>
  <c r="AA1000" i="9"/>
  <c r="AA1001" i="9"/>
  <c r="AA1002" i="9"/>
  <c r="AA1003" i="9"/>
  <c r="AA1004" i="9"/>
  <c r="AA1005" i="9"/>
  <c r="AA1006" i="9"/>
  <c r="AA1007" i="9"/>
  <c r="AA1008" i="9"/>
  <c r="AA1009" i="9"/>
  <c r="AA1010" i="9"/>
  <c r="AA1011" i="9"/>
  <c r="AA1012" i="9"/>
  <c r="AA1013" i="9"/>
  <c r="AA1014" i="9"/>
  <c r="AA1015" i="9"/>
  <c r="AA1016" i="9"/>
  <c r="AA1017" i="9"/>
  <c r="AA1018" i="9"/>
  <c r="AA1019" i="9"/>
  <c r="AA1020" i="9"/>
  <c r="AA1021" i="9"/>
  <c r="AA1022" i="9"/>
  <c r="AA1023" i="9"/>
  <c r="AA1024" i="9"/>
  <c r="AA1025" i="9"/>
  <c r="AA1026" i="9"/>
  <c r="AA1027" i="9"/>
  <c r="AA1028" i="9"/>
  <c r="AA1029" i="9"/>
  <c r="AA1030" i="9"/>
  <c r="AA1031" i="9"/>
  <c r="AA1032" i="9"/>
  <c r="AA1033" i="9"/>
  <c r="AA1034" i="9"/>
  <c r="AA1035" i="9"/>
  <c r="AA1036" i="9"/>
  <c r="AA1037" i="9"/>
  <c r="AA1038" i="9"/>
  <c r="AA1039" i="9"/>
  <c r="AA1040" i="9"/>
  <c r="AA1041" i="9"/>
  <c r="AA1042" i="9"/>
  <c r="AA1043" i="9"/>
  <c r="AA1044" i="9"/>
  <c r="AA1045" i="9"/>
  <c r="AA1046" i="9"/>
  <c r="AA1047" i="9"/>
  <c r="AA1048" i="9"/>
  <c r="AA1049" i="9"/>
  <c r="AA1050" i="9"/>
  <c r="AA1051" i="9"/>
  <c r="AA1052" i="9"/>
  <c r="AA1053" i="9"/>
  <c r="AA1054" i="9"/>
  <c r="AA1055" i="9"/>
  <c r="AA1056" i="9"/>
  <c r="AA1057" i="9"/>
  <c r="AA1058" i="9"/>
  <c r="AA1059" i="9"/>
  <c r="AA1060" i="9"/>
  <c r="AA1061" i="9"/>
  <c r="AA1062" i="9"/>
  <c r="AA1063" i="9"/>
  <c r="AA1064" i="9"/>
  <c r="AA1065" i="9"/>
  <c r="AA1066" i="9"/>
  <c r="AA1067" i="9"/>
  <c r="AA1068" i="9"/>
  <c r="AA1069" i="9"/>
  <c r="AA1070" i="9"/>
  <c r="AA1071" i="9"/>
  <c r="AA1072" i="9"/>
  <c r="AA1073" i="9"/>
  <c r="AA1074" i="9"/>
  <c r="AA1075" i="9"/>
  <c r="AA1076" i="9"/>
  <c r="AA1077" i="9"/>
  <c r="AA1078" i="9"/>
  <c r="AA1079" i="9"/>
  <c r="AA1080" i="9"/>
  <c r="AA1081" i="9"/>
  <c r="AA1082" i="9"/>
  <c r="AA1083" i="9"/>
  <c r="AA1084" i="9"/>
  <c r="AA1085" i="9"/>
  <c r="AA1086" i="9"/>
  <c r="AA1087" i="9"/>
  <c r="AA1088" i="9"/>
  <c r="AA1089" i="9"/>
  <c r="AA1090" i="9"/>
  <c r="AA1091" i="9"/>
  <c r="AA1092" i="9"/>
  <c r="AA1093" i="9"/>
  <c r="AA1094" i="9"/>
  <c r="AA1095" i="9"/>
  <c r="AA1096" i="9"/>
  <c r="AA1097" i="9"/>
  <c r="AA1098" i="9"/>
  <c r="AA1099" i="9"/>
  <c r="AA1100" i="9"/>
  <c r="AA1101" i="9"/>
  <c r="AA1102" i="9"/>
  <c r="AA1103" i="9"/>
  <c r="AA1104" i="9"/>
  <c r="AA1105" i="9"/>
  <c r="AA1106" i="9"/>
  <c r="AA1107" i="9"/>
  <c r="AA1108" i="9"/>
  <c r="AA1109" i="9"/>
  <c r="AA1110" i="9"/>
  <c r="AA1111" i="9"/>
  <c r="AA1112" i="9"/>
  <c r="AA1113" i="9"/>
  <c r="AA1114" i="9"/>
  <c r="AA1115" i="9"/>
  <c r="AA1116" i="9"/>
  <c r="AA1117" i="9"/>
  <c r="AA1118" i="9"/>
  <c r="AA1119" i="9"/>
  <c r="AA1120" i="9"/>
  <c r="AA1121" i="9"/>
  <c r="AA1122" i="9"/>
  <c r="AA1123" i="9"/>
  <c r="AA1124" i="9"/>
  <c r="AA1125" i="9"/>
  <c r="AA1126" i="9"/>
  <c r="AA1127" i="9"/>
  <c r="AA1128" i="9"/>
  <c r="AA1129" i="9"/>
  <c r="AA1130" i="9"/>
  <c r="AA1131" i="9"/>
  <c r="AA1132" i="9"/>
  <c r="AA1133" i="9"/>
  <c r="AA1134" i="9"/>
  <c r="AA1135" i="9"/>
  <c r="AA1136" i="9"/>
  <c r="AA1137" i="9"/>
  <c r="AA1138" i="9"/>
  <c r="AA1139" i="9"/>
  <c r="AA1140" i="9"/>
  <c r="AA1141" i="9"/>
  <c r="AA1142" i="9"/>
  <c r="AA1143" i="9"/>
  <c r="AA1144" i="9"/>
  <c r="AA1145" i="9"/>
  <c r="AA1146" i="9"/>
  <c r="AA1147" i="9"/>
  <c r="AA1148" i="9"/>
  <c r="AA1149" i="9"/>
  <c r="AA1150" i="9"/>
  <c r="AA1151" i="9"/>
  <c r="AA1152" i="9"/>
  <c r="AA1153" i="9"/>
  <c r="AA1154" i="9"/>
  <c r="AA1155" i="9"/>
  <c r="AA1156" i="9"/>
  <c r="AA1157" i="9"/>
  <c r="AA1158" i="9"/>
  <c r="AA1159" i="9"/>
  <c r="AA1160" i="9"/>
  <c r="AA1161" i="9"/>
  <c r="AA1162" i="9"/>
  <c r="AA1163" i="9"/>
  <c r="AA1164" i="9"/>
  <c r="AA1165" i="9"/>
  <c r="AA1166" i="9"/>
  <c r="AA1167" i="9"/>
  <c r="AA1168" i="9"/>
  <c r="AA1169" i="9"/>
  <c r="AA1170" i="9"/>
  <c r="AA1171" i="9"/>
  <c r="AA1172" i="9"/>
  <c r="AA1173" i="9"/>
  <c r="AA1174" i="9"/>
  <c r="AA1175" i="9"/>
  <c r="AA1176" i="9"/>
  <c r="AA1177" i="9"/>
  <c r="AA1178" i="9"/>
  <c r="AA1179" i="9"/>
  <c r="AA1180" i="9"/>
  <c r="AA1181" i="9"/>
  <c r="AA1182" i="9"/>
  <c r="AA1183" i="9"/>
  <c r="AA1184" i="9"/>
  <c r="AA1185" i="9"/>
  <c r="AA1186" i="9"/>
  <c r="AA1187" i="9"/>
  <c r="AA1188" i="9"/>
  <c r="AA1189" i="9"/>
  <c r="AA1190" i="9"/>
  <c r="AA1191" i="9"/>
  <c r="AA1192" i="9"/>
  <c r="AA1193" i="9"/>
  <c r="AA1194" i="9"/>
  <c r="AA1195" i="9"/>
  <c r="AA1196" i="9"/>
  <c r="AA1197" i="9"/>
  <c r="AA1198" i="9"/>
  <c r="AA1199" i="9"/>
  <c r="AA1200" i="9"/>
  <c r="AA1201" i="9"/>
  <c r="AA1202" i="9"/>
  <c r="AA1203" i="9"/>
  <c r="AA1204" i="9"/>
  <c r="AA1205" i="9"/>
  <c r="AA1206" i="9"/>
  <c r="AA1207" i="9"/>
  <c r="AA1208" i="9"/>
  <c r="AA1209" i="9"/>
  <c r="AA1210" i="9"/>
  <c r="AA1211" i="9"/>
  <c r="AA1212" i="9"/>
  <c r="AA1213" i="9"/>
  <c r="AA1214" i="9"/>
  <c r="AA1215" i="9"/>
  <c r="AA1216" i="9"/>
  <c r="AA1217" i="9"/>
  <c r="AA1218" i="9"/>
  <c r="AA1219" i="9"/>
  <c r="AA1220" i="9"/>
  <c r="AA1221" i="9"/>
  <c r="AA1222" i="9"/>
  <c r="AA1223" i="9"/>
  <c r="AA1224" i="9"/>
  <c r="AA1225" i="9"/>
  <c r="AA1226" i="9"/>
  <c r="AA1227" i="9"/>
  <c r="AA1228" i="9"/>
  <c r="AA1229" i="9"/>
  <c r="AA1230" i="9"/>
  <c r="AA1231" i="9"/>
  <c r="AA1232" i="9"/>
  <c r="AA1233" i="9"/>
  <c r="AA1234" i="9"/>
  <c r="AA1235" i="9"/>
  <c r="AA1236" i="9"/>
  <c r="AA1237" i="9"/>
  <c r="AA1238" i="9"/>
  <c r="AA1239" i="9"/>
  <c r="AA1240" i="9"/>
  <c r="AA1241" i="9"/>
  <c r="AA1242" i="9"/>
  <c r="AA1243" i="9"/>
  <c r="AA1244" i="9"/>
  <c r="AA1245" i="9"/>
  <c r="AA1246" i="9"/>
  <c r="AA1247" i="9"/>
  <c r="AA1248" i="9"/>
  <c r="AA1249" i="9"/>
  <c r="AA1250" i="9"/>
  <c r="AA1251" i="9"/>
  <c r="AA1252" i="9"/>
  <c r="AA1253" i="9"/>
  <c r="AA1254" i="9"/>
  <c r="AA1255" i="9"/>
  <c r="AA1256" i="9"/>
  <c r="AA1257" i="9"/>
  <c r="AA1258" i="9"/>
  <c r="AA1259" i="9"/>
  <c r="AA1260" i="9"/>
  <c r="AA1261" i="9"/>
  <c r="AA1262" i="9"/>
  <c r="AA1263" i="9"/>
  <c r="AA1264" i="9"/>
  <c r="AA1265" i="9"/>
  <c r="AA1266" i="9"/>
  <c r="AA1267" i="9"/>
  <c r="AA1268" i="9"/>
  <c r="AA1269" i="9"/>
  <c r="AA1270" i="9"/>
  <c r="AA1271" i="9"/>
  <c r="AA1272" i="9"/>
  <c r="AA1273" i="9"/>
  <c r="AA1274" i="9"/>
  <c r="AA1275" i="9"/>
  <c r="AA1276" i="9"/>
  <c r="AA1277" i="9"/>
  <c r="AA1278" i="9"/>
  <c r="AA1279" i="9"/>
  <c r="AA1280" i="9"/>
  <c r="AA1281" i="9"/>
  <c r="AA1282" i="9"/>
  <c r="AA1283" i="9"/>
  <c r="AA1284" i="9"/>
  <c r="AA1285" i="9"/>
  <c r="AA1286" i="9"/>
  <c r="AA1287" i="9"/>
  <c r="AA1288" i="9"/>
  <c r="AA1289" i="9"/>
  <c r="AA1290" i="9"/>
  <c r="AA1291" i="9"/>
  <c r="AA1292" i="9"/>
  <c r="AA1293" i="9"/>
  <c r="AA1294" i="9"/>
  <c r="AA1295" i="9"/>
  <c r="AA1296" i="9"/>
  <c r="AA1297" i="9"/>
  <c r="AA1298" i="9"/>
  <c r="AA1299" i="9"/>
  <c r="AA1300" i="9"/>
  <c r="AA1301" i="9"/>
  <c r="AA1302" i="9"/>
  <c r="AA1303" i="9"/>
  <c r="AA1304" i="9"/>
  <c r="AA1305" i="9"/>
  <c r="AA1306" i="9"/>
  <c r="AA1307" i="9"/>
  <c r="AA1308" i="9"/>
  <c r="AA1309" i="9"/>
  <c r="AA1310" i="9"/>
  <c r="AA1311" i="9"/>
  <c r="AA1312" i="9"/>
  <c r="AA1313" i="9"/>
  <c r="AA1314" i="9"/>
  <c r="AA1315" i="9"/>
  <c r="AA1316" i="9"/>
  <c r="AA1317" i="9"/>
  <c r="AA1318" i="9"/>
  <c r="AA1319" i="9"/>
  <c r="AA1320" i="9"/>
  <c r="AA1321" i="9"/>
  <c r="AA1322" i="9"/>
  <c r="AA1323" i="9"/>
  <c r="AA1324" i="9"/>
  <c r="AA1325" i="9"/>
  <c r="AA1326" i="9"/>
  <c r="AA1327" i="9"/>
  <c r="AA1328" i="9"/>
  <c r="AA1329" i="9"/>
  <c r="AA1330" i="9"/>
  <c r="AA1331" i="9"/>
  <c r="AA1332" i="9"/>
  <c r="AA1333" i="9"/>
  <c r="AA1334" i="9"/>
  <c r="AA1335" i="9"/>
  <c r="AA1336" i="9"/>
  <c r="AA1337" i="9"/>
  <c r="AA1338" i="9"/>
  <c r="AA1339" i="9"/>
  <c r="AA1340" i="9"/>
  <c r="AA1341" i="9"/>
  <c r="AA1342" i="9"/>
  <c r="AA1343" i="9"/>
  <c r="AA1344" i="9"/>
  <c r="AA1345" i="9"/>
  <c r="AA1346" i="9"/>
  <c r="AA1347" i="9"/>
  <c r="AA1348" i="9"/>
  <c r="AA1349" i="9"/>
  <c r="AA1350" i="9"/>
  <c r="AA1351" i="9"/>
  <c r="AA1352" i="9"/>
  <c r="AA1353" i="9"/>
  <c r="AA1354" i="9"/>
  <c r="AA1355" i="9"/>
  <c r="AA1356" i="9"/>
  <c r="AA1357" i="9"/>
  <c r="AA1358" i="9"/>
  <c r="AA1359" i="9"/>
  <c r="AA1360" i="9"/>
  <c r="AA1361" i="9"/>
  <c r="AA1362" i="9"/>
  <c r="AA1363" i="9"/>
  <c r="AA1364" i="9"/>
  <c r="AA1365" i="9"/>
  <c r="AA1366" i="9"/>
  <c r="AA1367" i="9"/>
  <c r="AA1368" i="9"/>
  <c r="AA1369" i="9"/>
  <c r="AA1370" i="9"/>
  <c r="AA1371" i="9"/>
  <c r="AA1372" i="9"/>
  <c r="AA1373" i="9"/>
  <c r="AA1374" i="9"/>
  <c r="AA1375" i="9"/>
  <c r="AA1376" i="9"/>
  <c r="AA1377" i="9"/>
  <c r="AA1378" i="9"/>
  <c r="AA1379" i="9"/>
  <c r="AA1380" i="9"/>
  <c r="AA1381" i="9"/>
  <c r="AA1382" i="9"/>
  <c r="AA1383" i="9"/>
  <c r="AA1384" i="9"/>
  <c r="AA1385" i="9"/>
  <c r="AA1386" i="9"/>
  <c r="AA1387" i="9"/>
  <c r="AA1388" i="9"/>
  <c r="AA1389" i="9"/>
  <c r="AA1390" i="9"/>
  <c r="AA1391" i="9"/>
  <c r="AA1392" i="9"/>
  <c r="AA1393" i="9"/>
  <c r="AA1394" i="9"/>
  <c r="AA1395" i="9"/>
  <c r="AA1396" i="9"/>
  <c r="AA1397" i="9"/>
  <c r="AA1398" i="9"/>
  <c r="AA1399" i="9"/>
  <c r="AA1400" i="9"/>
  <c r="AA1401" i="9"/>
  <c r="AA1402" i="9"/>
  <c r="AA1403" i="9"/>
  <c r="AA1404" i="9"/>
  <c r="AA1405" i="9"/>
  <c r="AA1406" i="9"/>
  <c r="AA1407" i="9"/>
  <c r="AA1408" i="9"/>
  <c r="AA1409" i="9"/>
  <c r="AA1410" i="9"/>
  <c r="AA1411" i="9"/>
  <c r="AA1412" i="9"/>
  <c r="AA1413" i="9"/>
  <c r="AA1414" i="9"/>
  <c r="AA1415" i="9"/>
  <c r="AA1416" i="9"/>
  <c r="AA1417" i="9"/>
  <c r="AA1418" i="9"/>
  <c r="AA1419" i="9"/>
  <c r="AA1420" i="9"/>
  <c r="AA1421" i="9"/>
  <c r="AA1422" i="9"/>
  <c r="AA1423" i="9"/>
  <c r="AA1424" i="9"/>
  <c r="AA1425" i="9"/>
  <c r="AA1426" i="9"/>
  <c r="AA1427" i="9"/>
  <c r="AA1428" i="9"/>
  <c r="AA1429" i="9"/>
  <c r="AA1430" i="9"/>
  <c r="AA1431" i="9"/>
  <c r="AA1432" i="9"/>
  <c r="AA1433" i="9"/>
  <c r="AA1434" i="9"/>
  <c r="AA1435" i="9"/>
  <c r="AA1436" i="9"/>
  <c r="AA1437" i="9"/>
  <c r="AA1438" i="9"/>
  <c r="AA1439" i="9"/>
  <c r="AA1440" i="9"/>
  <c r="AA1441" i="9"/>
  <c r="AA1442" i="9"/>
  <c r="AA1443" i="9"/>
  <c r="AA1444" i="9"/>
  <c r="AA1445" i="9"/>
  <c r="AA1446" i="9"/>
  <c r="AA1447" i="9"/>
  <c r="AA1448" i="9"/>
  <c r="AA1449" i="9"/>
  <c r="AA1450" i="9"/>
  <c r="AA1451" i="9"/>
  <c r="AA1452" i="9"/>
  <c r="AA1453" i="9"/>
  <c r="AA1454" i="9"/>
  <c r="AA1455" i="9"/>
  <c r="AA1456" i="9"/>
  <c r="AA1457" i="9"/>
  <c r="AA1458" i="9"/>
  <c r="AA1459" i="9"/>
  <c r="AA1460" i="9"/>
  <c r="AA1461" i="9"/>
  <c r="AA1462" i="9"/>
  <c r="AA1463" i="9"/>
  <c r="AA1464" i="9"/>
  <c r="AA1465" i="9"/>
  <c r="AA1466" i="9"/>
  <c r="AA1467" i="9"/>
  <c r="AA1468" i="9"/>
  <c r="AA1469" i="9"/>
  <c r="AA1470" i="9"/>
  <c r="AA1471" i="9"/>
  <c r="AA1472" i="9"/>
  <c r="AA1473" i="9"/>
  <c r="AA1474" i="9"/>
  <c r="AA1475" i="9"/>
  <c r="AA1476" i="9"/>
  <c r="AA1477" i="9"/>
  <c r="AA1478" i="9"/>
  <c r="AA1479" i="9"/>
  <c r="AA1480" i="9"/>
  <c r="AA1481" i="9"/>
  <c r="AA1482" i="9"/>
  <c r="AA1483" i="9"/>
  <c r="AA1484" i="9"/>
  <c r="AA1485" i="9"/>
  <c r="AA1486" i="9"/>
  <c r="AA1487" i="9"/>
  <c r="AA1488" i="9"/>
  <c r="AA1489" i="9"/>
  <c r="AA1490" i="9"/>
  <c r="AA1491" i="9"/>
  <c r="AA1492" i="9"/>
  <c r="AA1493" i="9"/>
  <c r="AA1494" i="9"/>
  <c r="AA1495" i="9"/>
  <c r="AA1496" i="9"/>
  <c r="AA1497" i="9"/>
  <c r="AA1498" i="9"/>
  <c r="AA1499" i="9"/>
  <c r="AA1500" i="9"/>
  <c r="AA1501" i="9"/>
  <c r="AA1502" i="9"/>
  <c r="AA1503" i="9"/>
  <c r="AA1504" i="9"/>
  <c r="AA1505" i="9"/>
  <c r="AA1506" i="9"/>
  <c r="AA1507" i="9"/>
  <c r="AA1508" i="9"/>
  <c r="AA1509" i="9"/>
  <c r="AA1510" i="9"/>
  <c r="AA1511" i="9"/>
  <c r="AA1512" i="9"/>
  <c r="AA1513" i="9"/>
  <c r="AA1514" i="9"/>
  <c r="AA1515" i="9"/>
  <c r="AA1516" i="9"/>
  <c r="AA1517" i="9"/>
  <c r="AA1518" i="9"/>
  <c r="AA1519" i="9"/>
  <c r="AA1520" i="9"/>
  <c r="AA1521" i="9"/>
  <c r="AA1522" i="9"/>
  <c r="AA1523" i="9"/>
  <c r="AA1524" i="9"/>
  <c r="AA1525" i="9"/>
  <c r="AA1526" i="9"/>
  <c r="AA1527" i="9"/>
  <c r="AA1528" i="9"/>
  <c r="AA1529" i="9"/>
  <c r="AA1530" i="9"/>
  <c r="AA1531" i="9"/>
  <c r="AA1532" i="9"/>
  <c r="AA1533" i="9"/>
  <c r="AA1534" i="9"/>
  <c r="AA1535" i="9"/>
  <c r="AA1536" i="9"/>
  <c r="AA1537" i="9"/>
  <c r="AA1538" i="9"/>
  <c r="AA1539" i="9"/>
  <c r="AA1540" i="9"/>
  <c r="AA1541" i="9"/>
  <c r="AA1542" i="9"/>
  <c r="AA1543" i="9"/>
  <c r="AA1544" i="9"/>
  <c r="AA1545" i="9"/>
  <c r="AA1546" i="9"/>
  <c r="AA1547" i="9"/>
  <c r="AA1548" i="9"/>
  <c r="AA1549" i="9"/>
  <c r="AA1550" i="9"/>
  <c r="AA1551" i="9"/>
  <c r="AA1552" i="9"/>
  <c r="AA1553" i="9"/>
  <c r="AA1554" i="9"/>
  <c r="AA1555" i="9"/>
  <c r="AA1556" i="9"/>
  <c r="AA1557" i="9"/>
  <c r="AA1558" i="9"/>
  <c r="AA1559" i="9"/>
  <c r="AA1560" i="9"/>
  <c r="AA1561" i="9"/>
  <c r="AA1562" i="9"/>
  <c r="AA1563" i="9"/>
  <c r="AA1564" i="9"/>
  <c r="AA1565" i="9"/>
  <c r="AA1566" i="9"/>
  <c r="AA1567" i="9"/>
  <c r="AA1568" i="9"/>
  <c r="AA1569" i="9"/>
  <c r="AA1570" i="9"/>
  <c r="AA1571" i="9"/>
  <c r="AA1572" i="9"/>
  <c r="AA1573" i="9"/>
  <c r="AA1574" i="9"/>
  <c r="AA1575" i="9"/>
  <c r="AA1576" i="9"/>
  <c r="AA1577" i="9"/>
  <c r="AA1578" i="9"/>
  <c r="AA1579" i="9"/>
  <c r="AA1580" i="9"/>
  <c r="AA1581" i="9"/>
  <c r="AA1582" i="9"/>
  <c r="AA1583" i="9"/>
  <c r="AA1584" i="9"/>
  <c r="AA1585" i="9"/>
  <c r="AA1586" i="9"/>
  <c r="AA1587" i="9"/>
  <c r="AA1588" i="9"/>
  <c r="AA1589" i="9"/>
  <c r="AA1590" i="9"/>
  <c r="AA1591" i="9"/>
  <c r="AA1592" i="9"/>
  <c r="AA1593" i="9"/>
  <c r="AA1594" i="9"/>
  <c r="AA1595" i="9"/>
  <c r="AA1596" i="9"/>
  <c r="AA1597" i="9"/>
  <c r="AA1598" i="9"/>
  <c r="AA1599" i="9"/>
  <c r="AA1600" i="9"/>
  <c r="AA1601" i="9"/>
  <c r="AA1602" i="9"/>
  <c r="AA1603" i="9"/>
  <c r="AA1604" i="9"/>
  <c r="AA1605" i="9"/>
  <c r="AA1606" i="9"/>
  <c r="AA1607" i="9"/>
  <c r="AA1608" i="9"/>
  <c r="AA1609" i="9"/>
  <c r="AA1610" i="9"/>
  <c r="AA1611" i="9"/>
  <c r="AA1612" i="9"/>
  <c r="AA1613" i="9"/>
  <c r="AA1614" i="9"/>
  <c r="AA1615" i="9"/>
  <c r="AA1616" i="9"/>
  <c r="AA1617" i="9"/>
  <c r="AA1618" i="9"/>
  <c r="AA1619" i="9"/>
  <c r="AA1620" i="9"/>
  <c r="AA1621" i="9"/>
  <c r="AA1622" i="9"/>
  <c r="AA1623" i="9"/>
  <c r="AA1624" i="9"/>
  <c r="AA1625" i="9"/>
  <c r="AA1626" i="9"/>
  <c r="AA1627" i="9"/>
  <c r="AA1628" i="9"/>
  <c r="AA1629" i="9"/>
  <c r="AA1630" i="9"/>
  <c r="AA1631" i="9"/>
  <c r="AA1632" i="9"/>
  <c r="AA1633" i="9"/>
  <c r="AA1634" i="9"/>
  <c r="AA1635" i="9"/>
  <c r="AA1636" i="9"/>
  <c r="AA1637" i="9"/>
  <c r="AA1638" i="9"/>
  <c r="AA1639" i="9"/>
  <c r="AA1640" i="9"/>
  <c r="AA1641" i="9"/>
  <c r="AA1642" i="9"/>
  <c r="AA1643" i="9"/>
  <c r="AA1644" i="9"/>
  <c r="AA1645" i="9"/>
  <c r="AA1646" i="9"/>
  <c r="AA1647" i="9"/>
  <c r="AA1648" i="9"/>
  <c r="AA1649" i="9"/>
  <c r="AA1650" i="9"/>
  <c r="AA1651" i="9"/>
  <c r="AA1652" i="9"/>
  <c r="AA1653" i="9"/>
  <c r="AA1654" i="9"/>
  <c r="AA1655" i="9"/>
  <c r="AA1656" i="9"/>
  <c r="AA1657" i="9"/>
  <c r="AA1658" i="9"/>
  <c r="AA1659" i="9"/>
  <c r="AA1660" i="9"/>
  <c r="AA1661" i="9"/>
  <c r="AA1662" i="9"/>
  <c r="AA1663" i="9"/>
  <c r="AA1664" i="9"/>
  <c r="AA1665" i="9"/>
  <c r="AA1666" i="9"/>
  <c r="AA1667" i="9"/>
  <c r="AA1668" i="9"/>
  <c r="AA1669" i="9"/>
  <c r="AA1670" i="9"/>
  <c r="AA1671" i="9"/>
  <c r="AA1672" i="9"/>
  <c r="AA1673" i="9"/>
  <c r="AA1674" i="9"/>
  <c r="AA1675" i="9"/>
  <c r="AA1676" i="9"/>
  <c r="AA1677" i="9"/>
  <c r="AA1678" i="9"/>
  <c r="AA1679" i="9"/>
  <c r="AA1680" i="9"/>
  <c r="AA1681" i="9"/>
  <c r="AA1682" i="9"/>
  <c r="AA1683" i="9"/>
  <c r="AA1684" i="9"/>
  <c r="AA1685" i="9"/>
  <c r="AA1686" i="9"/>
  <c r="AA1687" i="9"/>
  <c r="AA1688" i="9"/>
  <c r="AA1689" i="9"/>
  <c r="AA1690" i="9"/>
  <c r="AA1691" i="9"/>
  <c r="AA1692" i="9"/>
  <c r="AA1693" i="9"/>
  <c r="AA1694" i="9"/>
  <c r="AA1695" i="9"/>
  <c r="AA1696" i="9"/>
  <c r="AA1697" i="9"/>
  <c r="AA1698" i="9"/>
  <c r="AA1699" i="9"/>
  <c r="AA1700" i="9"/>
  <c r="AA1701" i="9"/>
  <c r="AA1702" i="9"/>
  <c r="AA1703" i="9"/>
  <c r="AA1704" i="9"/>
  <c r="AA1705" i="9"/>
  <c r="AA1706" i="9"/>
  <c r="AA1707" i="9"/>
  <c r="AA1708" i="9"/>
  <c r="AA1709" i="9"/>
  <c r="AA1710" i="9"/>
  <c r="AA1711" i="9"/>
  <c r="AA1712" i="9"/>
  <c r="AA1713" i="9"/>
  <c r="AA1714" i="9"/>
  <c r="AA1715" i="9"/>
  <c r="AA1716" i="9"/>
  <c r="AA1717" i="9"/>
  <c r="AA1718" i="9"/>
  <c r="AA1719" i="9"/>
  <c r="AA1720" i="9"/>
  <c r="AA1721" i="9"/>
  <c r="AA1722" i="9"/>
  <c r="AA1723" i="9"/>
  <c r="AA1724" i="9"/>
  <c r="AA1725" i="9"/>
  <c r="AA1726" i="9"/>
  <c r="AA1727" i="9"/>
  <c r="AA1728" i="9"/>
  <c r="AA1729" i="9"/>
  <c r="AA1730" i="9"/>
  <c r="A18" i="13" l="1"/>
  <c r="A51" i="13"/>
  <c r="A91" i="13" s="1"/>
  <c r="A50" i="13"/>
  <c r="A90" i="13" s="1"/>
  <c r="A17" i="13"/>
  <c r="A49" i="13"/>
  <c r="A89" i="13" s="1"/>
  <c r="A16" i="13"/>
  <c r="G5" i="9"/>
  <c r="B8" i="26" s="1"/>
  <c r="G6" i="9"/>
  <c r="B9" i="26" l="1"/>
  <c r="B24" i="26"/>
  <c r="A19" i="13"/>
  <c r="A52" i="13"/>
  <c r="A92" i="13" s="1"/>
  <c r="A20" i="13"/>
  <c r="A53" i="13"/>
  <c r="A93" i="13" s="1"/>
  <c r="A21" i="13"/>
  <c r="A54" i="13"/>
  <c r="A94" i="13" s="1"/>
  <c r="C42" i="26"/>
  <c r="B42" i="26" s="1"/>
  <c r="A23" i="13" l="1"/>
  <c r="A56" i="13"/>
  <c r="A96" i="13" s="1"/>
  <c r="A24" i="13"/>
  <c r="A57" i="13"/>
  <c r="A97" i="13" s="1"/>
  <c r="A22" i="13"/>
  <c r="A55" i="13"/>
  <c r="A95" i="13" s="1"/>
  <c r="B25" i="26"/>
  <c r="L25" i="26" s="1"/>
  <c r="B10" i="26"/>
  <c r="C44" i="26" s="1"/>
  <c r="B44" i="26" s="1"/>
  <c r="C43" i="26"/>
  <c r="B43" i="26" s="1"/>
  <c r="L9" i="26"/>
  <c r="K10" i="26"/>
  <c r="B11" i="26" l="1"/>
  <c r="L11" i="26" s="1"/>
  <c r="B26" i="26"/>
  <c r="L10" i="26"/>
  <c r="A25" i="13"/>
  <c r="A58" i="13"/>
  <c r="A98" i="13" s="1"/>
  <c r="A27" i="13"/>
  <c r="A60" i="13"/>
  <c r="A100" i="13" s="1"/>
  <c r="A26" i="13"/>
  <c r="A59" i="13"/>
  <c r="A99" i="13" s="1"/>
  <c r="J11" i="26"/>
  <c r="K11" i="26"/>
  <c r="C45" i="26"/>
  <c r="B45" i="26" s="1"/>
  <c r="A30" i="13" l="1"/>
  <c r="A63" i="13"/>
  <c r="A103" i="13" s="1"/>
  <c r="A29" i="13"/>
  <c r="A62" i="13"/>
  <c r="A102" i="13" s="1"/>
  <c r="A28" i="13"/>
  <c r="A61" i="13"/>
  <c r="A101" i="13" s="1"/>
  <c r="L26" i="26"/>
  <c r="K26" i="26"/>
  <c r="B12" i="26"/>
  <c r="K12" i="26" s="1"/>
  <c r="B27" i="26"/>
  <c r="L27" i="26" s="1"/>
  <c r="K27" i="26" l="1"/>
  <c r="I12" i="26"/>
  <c r="J12" i="26"/>
  <c r="C46" i="26"/>
  <c r="B46" i="26" s="1"/>
  <c r="L12" i="26"/>
  <c r="J27" i="26"/>
  <c r="A31" i="13"/>
  <c r="A64" i="13"/>
  <c r="A104" i="13" s="1"/>
  <c r="A32" i="13"/>
  <c r="A65" i="13"/>
  <c r="A105" i="13" s="1"/>
  <c r="B13" i="26"/>
  <c r="B28" i="26"/>
  <c r="K28" i="26" s="1"/>
  <c r="A33" i="13"/>
  <c r="A66" i="13"/>
  <c r="A106" i="13" s="1"/>
  <c r="L28" i="26"/>
  <c r="I28" i="26"/>
  <c r="J28" i="26" l="1"/>
  <c r="B29" i="26"/>
  <c r="B14" i="26"/>
  <c r="A36" i="13"/>
  <c r="A72" i="13" s="1"/>
  <c r="A112" i="13" s="1"/>
  <c r="A69" i="13"/>
  <c r="A109" i="13" s="1"/>
  <c r="H13" i="26"/>
  <c r="L13" i="26"/>
  <c r="J13" i="26"/>
  <c r="A35" i="13"/>
  <c r="A71" i="13" s="1"/>
  <c r="A111" i="13" s="1"/>
  <c r="A68" i="13"/>
  <c r="A108" i="13" s="1"/>
  <c r="C47" i="26"/>
  <c r="B47" i="26" s="1"/>
  <c r="K13" i="26"/>
  <c r="I13" i="26"/>
  <c r="A34" i="13"/>
  <c r="A67" i="13"/>
  <c r="A107" i="13" s="1"/>
  <c r="K14" i="26"/>
  <c r="G14" i="26"/>
  <c r="I14" i="26"/>
  <c r="L14" i="26"/>
  <c r="H14" i="26"/>
  <c r="J14" i="26"/>
  <c r="C48" i="26"/>
  <c r="B48" i="26" s="1"/>
  <c r="L29" i="26" l="1"/>
  <c r="I29" i="26"/>
  <c r="J29" i="26"/>
  <c r="H29" i="26"/>
  <c r="K29" i="26"/>
  <c r="A37" i="13"/>
  <c r="A73" i="13" s="1"/>
  <c r="A113" i="13" s="1"/>
  <c r="A70" i="13"/>
  <c r="A110" i="13" s="1"/>
  <c r="B15" i="26"/>
  <c r="G15" i="26" s="1"/>
  <c r="B30" i="26"/>
  <c r="G30" i="26" s="1"/>
  <c r="J15" i="26"/>
  <c r="J30" i="26"/>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W43" i="9"/>
  <c r="W44" i="9"/>
  <c r="W45" i="9"/>
  <c r="W46" i="9"/>
  <c r="W47" i="9"/>
  <c r="W48" i="9"/>
  <c r="W49" i="9"/>
  <c r="W50" i="9"/>
  <c r="W51"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96" i="9"/>
  <c r="W97" i="9"/>
  <c r="W98" i="9"/>
  <c r="W99" i="9"/>
  <c r="W100" i="9"/>
  <c r="W101" i="9"/>
  <c r="W102" i="9"/>
  <c r="W103" i="9"/>
  <c r="W104" i="9"/>
  <c r="W105" i="9"/>
  <c r="W106" i="9"/>
  <c r="W107" i="9"/>
  <c r="W108" i="9"/>
  <c r="W109" i="9"/>
  <c r="W110" i="9"/>
  <c r="W111" i="9"/>
  <c r="W112" i="9"/>
  <c r="W113" i="9"/>
  <c r="W114" i="9"/>
  <c r="W115" i="9"/>
  <c r="W116" i="9"/>
  <c r="W117" i="9"/>
  <c r="W118" i="9"/>
  <c r="W119" i="9"/>
  <c r="W120" i="9"/>
  <c r="W121" i="9"/>
  <c r="W122" i="9"/>
  <c r="W123" i="9"/>
  <c r="W124" i="9"/>
  <c r="W125" i="9"/>
  <c r="W126" i="9"/>
  <c r="W127" i="9"/>
  <c r="W128" i="9"/>
  <c r="W129" i="9"/>
  <c r="W130" i="9"/>
  <c r="W131" i="9"/>
  <c r="W132" i="9"/>
  <c r="W133" i="9"/>
  <c r="W134" i="9"/>
  <c r="W135" i="9"/>
  <c r="W136" i="9"/>
  <c r="W137" i="9"/>
  <c r="W138" i="9"/>
  <c r="W139" i="9"/>
  <c r="W140" i="9"/>
  <c r="W141" i="9"/>
  <c r="W142" i="9"/>
  <c r="W143" i="9"/>
  <c r="W144" i="9"/>
  <c r="W145" i="9"/>
  <c r="W146" i="9"/>
  <c r="W147" i="9"/>
  <c r="W148" i="9"/>
  <c r="W149" i="9"/>
  <c r="W150" i="9"/>
  <c r="W151" i="9"/>
  <c r="W152" i="9"/>
  <c r="W153" i="9"/>
  <c r="W154" i="9"/>
  <c r="W155" i="9"/>
  <c r="W156" i="9"/>
  <c r="W157" i="9"/>
  <c r="W158" i="9"/>
  <c r="W159" i="9"/>
  <c r="W160" i="9"/>
  <c r="W161" i="9"/>
  <c r="W162" i="9"/>
  <c r="W163" i="9"/>
  <c r="W164" i="9"/>
  <c r="W165" i="9"/>
  <c r="W166" i="9"/>
  <c r="W167" i="9"/>
  <c r="W168" i="9"/>
  <c r="W169" i="9"/>
  <c r="W170" i="9"/>
  <c r="W171" i="9"/>
  <c r="W172" i="9"/>
  <c r="W173" i="9"/>
  <c r="W174" i="9"/>
  <c r="W175" i="9"/>
  <c r="W176" i="9"/>
  <c r="W177" i="9"/>
  <c r="W178" i="9"/>
  <c r="W179" i="9"/>
  <c r="W180" i="9"/>
  <c r="W181" i="9"/>
  <c r="W182" i="9"/>
  <c r="W183" i="9"/>
  <c r="W184" i="9"/>
  <c r="W185" i="9"/>
  <c r="W186" i="9"/>
  <c r="W187" i="9"/>
  <c r="W188" i="9"/>
  <c r="W189" i="9"/>
  <c r="W190" i="9"/>
  <c r="W191" i="9"/>
  <c r="W192" i="9"/>
  <c r="W193" i="9"/>
  <c r="W194" i="9"/>
  <c r="W195" i="9"/>
  <c r="W196" i="9"/>
  <c r="W197" i="9"/>
  <c r="W198" i="9"/>
  <c r="W199" i="9"/>
  <c r="W200" i="9"/>
  <c r="W201" i="9"/>
  <c r="W202" i="9"/>
  <c r="W203" i="9"/>
  <c r="W204" i="9"/>
  <c r="W205" i="9"/>
  <c r="W206" i="9"/>
  <c r="W207" i="9"/>
  <c r="W208" i="9"/>
  <c r="W209" i="9"/>
  <c r="W210" i="9"/>
  <c r="W211" i="9"/>
  <c r="W212" i="9"/>
  <c r="W213" i="9"/>
  <c r="W214" i="9"/>
  <c r="W215" i="9"/>
  <c r="W216" i="9"/>
  <c r="W217" i="9"/>
  <c r="W218" i="9"/>
  <c r="W219" i="9"/>
  <c r="W220" i="9"/>
  <c r="W221" i="9"/>
  <c r="W222" i="9"/>
  <c r="W223" i="9"/>
  <c r="W224" i="9"/>
  <c r="W225" i="9"/>
  <c r="W226" i="9"/>
  <c r="W227" i="9"/>
  <c r="W228" i="9"/>
  <c r="W229" i="9"/>
  <c r="W230" i="9"/>
  <c r="W231" i="9"/>
  <c r="W232" i="9"/>
  <c r="W233" i="9"/>
  <c r="W234" i="9"/>
  <c r="W235" i="9"/>
  <c r="W236" i="9"/>
  <c r="W237" i="9"/>
  <c r="W238" i="9"/>
  <c r="W239" i="9"/>
  <c r="W240" i="9"/>
  <c r="W241" i="9"/>
  <c r="W242" i="9"/>
  <c r="W243" i="9"/>
  <c r="W244" i="9"/>
  <c r="W245" i="9"/>
  <c r="W246" i="9"/>
  <c r="W247" i="9"/>
  <c r="W248" i="9"/>
  <c r="W249" i="9"/>
  <c r="W250" i="9"/>
  <c r="W251" i="9"/>
  <c r="W252" i="9"/>
  <c r="W253" i="9"/>
  <c r="W254" i="9"/>
  <c r="W255" i="9"/>
  <c r="W256" i="9"/>
  <c r="W257" i="9"/>
  <c r="W258" i="9"/>
  <c r="W259" i="9"/>
  <c r="W260" i="9"/>
  <c r="W261" i="9"/>
  <c r="W262" i="9"/>
  <c r="W263" i="9"/>
  <c r="W264" i="9"/>
  <c r="W265" i="9"/>
  <c r="W266" i="9"/>
  <c r="W267" i="9"/>
  <c r="W268" i="9"/>
  <c r="W269" i="9"/>
  <c r="W270" i="9"/>
  <c r="W271" i="9"/>
  <c r="W272" i="9"/>
  <c r="W273" i="9"/>
  <c r="W274" i="9"/>
  <c r="W275" i="9"/>
  <c r="W276" i="9"/>
  <c r="W277" i="9"/>
  <c r="W278" i="9"/>
  <c r="W279" i="9"/>
  <c r="W280" i="9"/>
  <c r="W281" i="9"/>
  <c r="W282" i="9"/>
  <c r="W283" i="9"/>
  <c r="W284" i="9"/>
  <c r="W285" i="9"/>
  <c r="W286" i="9"/>
  <c r="W287" i="9"/>
  <c r="W288" i="9"/>
  <c r="W289" i="9"/>
  <c r="W290" i="9"/>
  <c r="W291" i="9"/>
  <c r="W292" i="9"/>
  <c r="W293" i="9"/>
  <c r="W294" i="9"/>
  <c r="W295" i="9"/>
  <c r="W296" i="9"/>
  <c r="W297" i="9"/>
  <c r="W298" i="9"/>
  <c r="W299" i="9"/>
  <c r="W300" i="9"/>
  <c r="W301" i="9"/>
  <c r="W302" i="9"/>
  <c r="W303" i="9"/>
  <c r="W304" i="9"/>
  <c r="W305" i="9"/>
  <c r="W306" i="9"/>
  <c r="W307" i="9"/>
  <c r="W308" i="9"/>
  <c r="W309" i="9"/>
  <c r="W310" i="9"/>
  <c r="W311" i="9"/>
  <c r="W312" i="9"/>
  <c r="W313" i="9"/>
  <c r="W314" i="9"/>
  <c r="W315" i="9"/>
  <c r="W316" i="9"/>
  <c r="W317" i="9"/>
  <c r="W318" i="9"/>
  <c r="W319" i="9"/>
  <c r="W320" i="9"/>
  <c r="W321" i="9"/>
  <c r="W322" i="9"/>
  <c r="W323" i="9"/>
  <c r="W324" i="9"/>
  <c r="W325" i="9"/>
  <c r="W326" i="9"/>
  <c r="W327" i="9"/>
  <c r="W328" i="9"/>
  <c r="W329" i="9"/>
  <c r="W330" i="9"/>
  <c r="W331" i="9"/>
  <c r="W332" i="9"/>
  <c r="W333" i="9"/>
  <c r="W334" i="9"/>
  <c r="W335" i="9"/>
  <c r="W336" i="9"/>
  <c r="W337" i="9"/>
  <c r="W338" i="9"/>
  <c r="W339" i="9"/>
  <c r="W340" i="9"/>
  <c r="W341" i="9"/>
  <c r="W342" i="9"/>
  <c r="W343" i="9"/>
  <c r="W344" i="9"/>
  <c r="W345" i="9"/>
  <c r="W346" i="9"/>
  <c r="W347" i="9"/>
  <c r="W348" i="9"/>
  <c r="W349" i="9"/>
  <c r="W350" i="9"/>
  <c r="W351" i="9"/>
  <c r="W352" i="9"/>
  <c r="W353" i="9"/>
  <c r="W354" i="9"/>
  <c r="W355" i="9"/>
  <c r="W356" i="9"/>
  <c r="W357" i="9"/>
  <c r="W358" i="9"/>
  <c r="W359" i="9"/>
  <c r="W360" i="9"/>
  <c r="W361" i="9"/>
  <c r="W362" i="9"/>
  <c r="W363" i="9"/>
  <c r="W364" i="9"/>
  <c r="W365" i="9"/>
  <c r="W366" i="9"/>
  <c r="W367" i="9"/>
  <c r="W368" i="9"/>
  <c r="W369" i="9"/>
  <c r="W370" i="9"/>
  <c r="W371" i="9"/>
  <c r="W372" i="9"/>
  <c r="W373" i="9"/>
  <c r="W374" i="9"/>
  <c r="W375" i="9"/>
  <c r="W376" i="9"/>
  <c r="W377" i="9"/>
  <c r="W378" i="9"/>
  <c r="W379" i="9"/>
  <c r="W380" i="9"/>
  <c r="W381" i="9"/>
  <c r="W382" i="9"/>
  <c r="W383" i="9"/>
  <c r="W384" i="9"/>
  <c r="W385" i="9"/>
  <c r="W386" i="9"/>
  <c r="W387" i="9"/>
  <c r="W388" i="9"/>
  <c r="W389" i="9"/>
  <c r="W390" i="9"/>
  <c r="W391" i="9"/>
  <c r="W392" i="9"/>
  <c r="W393" i="9"/>
  <c r="W394" i="9"/>
  <c r="W395" i="9"/>
  <c r="W396" i="9"/>
  <c r="W397" i="9"/>
  <c r="W398" i="9"/>
  <c r="W399" i="9"/>
  <c r="W400" i="9"/>
  <c r="W401" i="9"/>
  <c r="W402" i="9"/>
  <c r="W403" i="9"/>
  <c r="W404" i="9"/>
  <c r="W405" i="9"/>
  <c r="W406" i="9"/>
  <c r="W407" i="9"/>
  <c r="W408" i="9"/>
  <c r="W409" i="9"/>
  <c r="W410" i="9"/>
  <c r="W411" i="9"/>
  <c r="W412" i="9"/>
  <c r="W413" i="9"/>
  <c r="W414" i="9"/>
  <c r="W415" i="9"/>
  <c r="W416" i="9"/>
  <c r="W417" i="9"/>
  <c r="W418" i="9"/>
  <c r="W419" i="9"/>
  <c r="W420" i="9"/>
  <c r="W421" i="9"/>
  <c r="W422" i="9"/>
  <c r="W423" i="9"/>
  <c r="W424" i="9"/>
  <c r="W425" i="9"/>
  <c r="W426" i="9"/>
  <c r="W427" i="9"/>
  <c r="W428" i="9"/>
  <c r="W429" i="9"/>
  <c r="W430" i="9"/>
  <c r="W431" i="9"/>
  <c r="W432" i="9"/>
  <c r="W433" i="9"/>
  <c r="W434" i="9"/>
  <c r="W435" i="9"/>
  <c r="W436" i="9"/>
  <c r="W437" i="9"/>
  <c r="W438" i="9"/>
  <c r="W439" i="9"/>
  <c r="W440" i="9"/>
  <c r="W441" i="9"/>
  <c r="W442" i="9"/>
  <c r="W443" i="9"/>
  <c r="W444" i="9"/>
  <c r="W445" i="9"/>
  <c r="W446" i="9"/>
  <c r="W447" i="9"/>
  <c r="W448" i="9"/>
  <c r="W449" i="9"/>
  <c r="W450" i="9"/>
  <c r="W451" i="9"/>
  <c r="W452" i="9"/>
  <c r="W453" i="9"/>
  <c r="W454" i="9"/>
  <c r="W455" i="9"/>
  <c r="W456" i="9"/>
  <c r="W457" i="9"/>
  <c r="W458" i="9"/>
  <c r="W459" i="9"/>
  <c r="W460" i="9"/>
  <c r="W461" i="9"/>
  <c r="W462" i="9"/>
  <c r="W463" i="9"/>
  <c r="W464" i="9"/>
  <c r="W465" i="9"/>
  <c r="W466" i="9"/>
  <c r="W467" i="9"/>
  <c r="W468" i="9"/>
  <c r="W469" i="9"/>
  <c r="W470" i="9"/>
  <c r="W471" i="9"/>
  <c r="W472" i="9"/>
  <c r="W473" i="9"/>
  <c r="W474" i="9"/>
  <c r="W475" i="9"/>
  <c r="W476" i="9"/>
  <c r="W477" i="9"/>
  <c r="W478" i="9"/>
  <c r="W479" i="9"/>
  <c r="W480" i="9"/>
  <c r="W481" i="9"/>
  <c r="W482" i="9"/>
  <c r="W483" i="9"/>
  <c r="W484" i="9"/>
  <c r="W485" i="9"/>
  <c r="W486" i="9"/>
  <c r="W487" i="9"/>
  <c r="W488" i="9"/>
  <c r="W489" i="9"/>
  <c r="W490" i="9"/>
  <c r="W491" i="9"/>
  <c r="W492" i="9"/>
  <c r="W493" i="9"/>
  <c r="W494" i="9"/>
  <c r="W495" i="9"/>
  <c r="W496" i="9"/>
  <c r="W497" i="9"/>
  <c r="W498" i="9"/>
  <c r="W499" i="9"/>
  <c r="W500" i="9"/>
  <c r="W501" i="9"/>
  <c r="W502" i="9"/>
  <c r="W503" i="9"/>
  <c r="W504" i="9"/>
  <c r="W505" i="9"/>
  <c r="W506" i="9"/>
  <c r="W507" i="9"/>
  <c r="W508" i="9"/>
  <c r="W509" i="9"/>
  <c r="W510" i="9"/>
  <c r="W511" i="9"/>
  <c r="W512" i="9"/>
  <c r="W513" i="9"/>
  <c r="W514" i="9"/>
  <c r="W515" i="9"/>
  <c r="W516" i="9"/>
  <c r="W517" i="9"/>
  <c r="W518" i="9"/>
  <c r="W519" i="9"/>
  <c r="W520" i="9"/>
  <c r="W521" i="9"/>
  <c r="W522" i="9"/>
  <c r="W523" i="9"/>
  <c r="W524" i="9"/>
  <c r="W525" i="9"/>
  <c r="W526" i="9"/>
  <c r="W527" i="9"/>
  <c r="W528" i="9"/>
  <c r="W529" i="9"/>
  <c r="W530" i="9"/>
  <c r="W531" i="9"/>
  <c r="W532" i="9"/>
  <c r="W533" i="9"/>
  <c r="W534" i="9"/>
  <c r="W535" i="9"/>
  <c r="W536" i="9"/>
  <c r="W537" i="9"/>
  <c r="W538" i="9"/>
  <c r="W539" i="9"/>
  <c r="W540" i="9"/>
  <c r="W541" i="9"/>
  <c r="W542" i="9"/>
  <c r="W543" i="9"/>
  <c r="W544" i="9"/>
  <c r="W545" i="9"/>
  <c r="W546" i="9"/>
  <c r="W547" i="9"/>
  <c r="W548" i="9"/>
  <c r="W549" i="9"/>
  <c r="W550" i="9"/>
  <c r="W551" i="9"/>
  <c r="W552" i="9"/>
  <c r="W553" i="9"/>
  <c r="W554" i="9"/>
  <c r="W555" i="9"/>
  <c r="W556" i="9"/>
  <c r="W557" i="9"/>
  <c r="W558" i="9"/>
  <c r="W559" i="9"/>
  <c r="W560" i="9"/>
  <c r="W561" i="9"/>
  <c r="W562" i="9"/>
  <c r="W563" i="9"/>
  <c r="W564" i="9"/>
  <c r="W565" i="9"/>
  <c r="W566" i="9"/>
  <c r="W567" i="9"/>
  <c r="W568" i="9"/>
  <c r="W569" i="9"/>
  <c r="W570" i="9"/>
  <c r="W571" i="9"/>
  <c r="W572" i="9"/>
  <c r="W573" i="9"/>
  <c r="W574" i="9"/>
  <c r="W575" i="9"/>
  <c r="W576" i="9"/>
  <c r="W577" i="9"/>
  <c r="W578" i="9"/>
  <c r="W579" i="9"/>
  <c r="W580" i="9"/>
  <c r="W581" i="9"/>
  <c r="W582" i="9"/>
  <c r="W583" i="9"/>
  <c r="W584" i="9"/>
  <c r="W585" i="9"/>
  <c r="W586" i="9"/>
  <c r="W587" i="9"/>
  <c r="W588" i="9"/>
  <c r="W589" i="9"/>
  <c r="W590" i="9"/>
  <c r="W591" i="9"/>
  <c r="W592" i="9"/>
  <c r="W593" i="9"/>
  <c r="W594" i="9"/>
  <c r="W595" i="9"/>
  <c r="W596" i="9"/>
  <c r="W597" i="9"/>
  <c r="W598" i="9"/>
  <c r="W599" i="9"/>
  <c r="W600" i="9"/>
  <c r="W601" i="9"/>
  <c r="W602" i="9"/>
  <c r="W603" i="9"/>
  <c r="W604" i="9"/>
  <c r="W605" i="9"/>
  <c r="W606" i="9"/>
  <c r="W607" i="9"/>
  <c r="W608" i="9"/>
  <c r="W609" i="9"/>
  <c r="W610" i="9"/>
  <c r="W611" i="9"/>
  <c r="W612" i="9"/>
  <c r="W613" i="9"/>
  <c r="W614" i="9"/>
  <c r="W615" i="9"/>
  <c r="W616" i="9"/>
  <c r="W617" i="9"/>
  <c r="W618" i="9"/>
  <c r="W619" i="9"/>
  <c r="W620" i="9"/>
  <c r="W621" i="9"/>
  <c r="W622" i="9"/>
  <c r="W623" i="9"/>
  <c r="W624" i="9"/>
  <c r="W625" i="9"/>
  <c r="W626" i="9"/>
  <c r="W627" i="9"/>
  <c r="W628" i="9"/>
  <c r="W629" i="9"/>
  <c r="W630" i="9"/>
  <c r="W631" i="9"/>
  <c r="W632" i="9"/>
  <c r="W633" i="9"/>
  <c r="W634" i="9"/>
  <c r="W635" i="9"/>
  <c r="W636" i="9"/>
  <c r="W637" i="9"/>
  <c r="W638" i="9"/>
  <c r="W639" i="9"/>
  <c r="W640" i="9"/>
  <c r="W641" i="9"/>
  <c r="W642" i="9"/>
  <c r="W643" i="9"/>
  <c r="W644" i="9"/>
  <c r="W645" i="9"/>
  <c r="W646" i="9"/>
  <c r="W647" i="9"/>
  <c r="W648" i="9"/>
  <c r="W649" i="9"/>
  <c r="W650" i="9"/>
  <c r="W651" i="9"/>
  <c r="W652" i="9"/>
  <c r="W653" i="9"/>
  <c r="W654" i="9"/>
  <c r="W655" i="9"/>
  <c r="W656" i="9"/>
  <c r="W657" i="9"/>
  <c r="W658" i="9"/>
  <c r="W659" i="9"/>
  <c r="W660" i="9"/>
  <c r="W661" i="9"/>
  <c r="W662" i="9"/>
  <c r="W663" i="9"/>
  <c r="W664" i="9"/>
  <c r="W665" i="9"/>
  <c r="W666" i="9"/>
  <c r="W667" i="9"/>
  <c r="W668" i="9"/>
  <c r="W669" i="9"/>
  <c r="W670" i="9"/>
  <c r="W671" i="9"/>
  <c r="W672" i="9"/>
  <c r="W673" i="9"/>
  <c r="W674" i="9"/>
  <c r="W675" i="9"/>
  <c r="W676" i="9"/>
  <c r="W677" i="9"/>
  <c r="W678" i="9"/>
  <c r="W679" i="9"/>
  <c r="W680" i="9"/>
  <c r="W681" i="9"/>
  <c r="W682" i="9"/>
  <c r="W683" i="9"/>
  <c r="W684" i="9"/>
  <c r="W685" i="9"/>
  <c r="W686" i="9"/>
  <c r="W687" i="9"/>
  <c r="W688" i="9"/>
  <c r="W689" i="9"/>
  <c r="W690" i="9"/>
  <c r="W691" i="9"/>
  <c r="W692" i="9"/>
  <c r="W693" i="9"/>
  <c r="W694" i="9"/>
  <c r="W695" i="9"/>
  <c r="W696" i="9"/>
  <c r="W697" i="9"/>
  <c r="W698" i="9"/>
  <c r="W699" i="9"/>
  <c r="W700" i="9"/>
  <c r="W701" i="9"/>
  <c r="W702" i="9"/>
  <c r="W703" i="9"/>
  <c r="W704" i="9"/>
  <c r="W705" i="9"/>
  <c r="W706" i="9"/>
  <c r="W707" i="9"/>
  <c r="W708" i="9"/>
  <c r="W709" i="9"/>
  <c r="W710" i="9"/>
  <c r="W711" i="9"/>
  <c r="W712" i="9"/>
  <c r="W713" i="9"/>
  <c r="W714" i="9"/>
  <c r="W715" i="9"/>
  <c r="W716" i="9"/>
  <c r="W717" i="9"/>
  <c r="W718" i="9"/>
  <c r="W719" i="9"/>
  <c r="W720" i="9"/>
  <c r="W721" i="9"/>
  <c r="W722" i="9"/>
  <c r="W723" i="9"/>
  <c r="W724" i="9"/>
  <c r="W725" i="9"/>
  <c r="W726" i="9"/>
  <c r="W727" i="9"/>
  <c r="W728" i="9"/>
  <c r="W729" i="9"/>
  <c r="W730" i="9"/>
  <c r="W731" i="9"/>
  <c r="W732" i="9"/>
  <c r="W733" i="9"/>
  <c r="W734" i="9"/>
  <c r="W735" i="9"/>
  <c r="W736" i="9"/>
  <c r="W737" i="9"/>
  <c r="W738" i="9"/>
  <c r="W739" i="9"/>
  <c r="W740" i="9"/>
  <c r="W741" i="9"/>
  <c r="W742" i="9"/>
  <c r="W743" i="9"/>
  <c r="W744" i="9"/>
  <c r="W745" i="9"/>
  <c r="W746" i="9"/>
  <c r="W747" i="9"/>
  <c r="W748" i="9"/>
  <c r="W749" i="9"/>
  <c r="W750" i="9"/>
  <c r="W751" i="9"/>
  <c r="W752" i="9"/>
  <c r="W753" i="9"/>
  <c r="W754" i="9"/>
  <c r="W755" i="9"/>
  <c r="W756" i="9"/>
  <c r="W757" i="9"/>
  <c r="W758" i="9"/>
  <c r="W759" i="9"/>
  <c r="W760" i="9"/>
  <c r="W761" i="9"/>
  <c r="W762" i="9"/>
  <c r="W763" i="9"/>
  <c r="W764" i="9"/>
  <c r="W765" i="9"/>
  <c r="W766" i="9"/>
  <c r="W767" i="9"/>
  <c r="W768" i="9"/>
  <c r="W769" i="9"/>
  <c r="W770" i="9"/>
  <c r="W771" i="9"/>
  <c r="W772" i="9"/>
  <c r="W773" i="9"/>
  <c r="W774" i="9"/>
  <c r="W775" i="9"/>
  <c r="W776" i="9"/>
  <c r="W777" i="9"/>
  <c r="W778" i="9"/>
  <c r="W779" i="9"/>
  <c r="W780" i="9"/>
  <c r="W781" i="9"/>
  <c r="W782" i="9"/>
  <c r="W783" i="9"/>
  <c r="W784" i="9"/>
  <c r="W785" i="9"/>
  <c r="W786" i="9"/>
  <c r="W787" i="9"/>
  <c r="W788" i="9"/>
  <c r="W789" i="9"/>
  <c r="W790" i="9"/>
  <c r="W791" i="9"/>
  <c r="W792" i="9"/>
  <c r="W793" i="9"/>
  <c r="W794" i="9"/>
  <c r="W795" i="9"/>
  <c r="W796" i="9"/>
  <c r="W797" i="9"/>
  <c r="W798" i="9"/>
  <c r="W799" i="9"/>
  <c r="W800" i="9"/>
  <c r="W801" i="9"/>
  <c r="W802" i="9"/>
  <c r="W803" i="9"/>
  <c r="W804" i="9"/>
  <c r="W805" i="9"/>
  <c r="W806" i="9"/>
  <c r="W807" i="9"/>
  <c r="W808" i="9"/>
  <c r="W809" i="9"/>
  <c r="W810" i="9"/>
  <c r="W811" i="9"/>
  <c r="W812" i="9"/>
  <c r="W813" i="9"/>
  <c r="W814" i="9"/>
  <c r="W815" i="9"/>
  <c r="W816" i="9"/>
  <c r="W817" i="9"/>
  <c r="W818" i="9"/>
  <c r="W819" i="9"/>
  <c r="W820" i="9"/>
  <c r="W821" i="9"/>
  <c r="W822" i="9"/>
  <c r="W823" i="9"/>
  <c r="W824" i="9"/>
  <c r="W825" i="9"/>
  <c r="W826" i="9"/>
  <c r="W827" i="9"/>
  <c r="W828" i="9"/>
  <c r="W829" i="9"/>
  <c r="W830" i="9"/>
  <c r="W831" i="9"/>
  <c r="W832" i="9"/>
  <c r="W833" i="9"/>
  <c r="W834" i="9"/>
  <c r="W835" i="9"/>
  <c r="W836" i="9"/>
  <c r="W837" i="9"/>
  <c r="W838" i="9"/>
  <c r="W839" i="9"/>
  <c r="W840" i="9"/>
  <c r="W841" i="9"/>
  <c r="W842" i="9"/>
  <c r="W843" i="9"/>
  <c r="W844" i="9"/>
  <c r="W845" i="9"/>
  <c r="W846" i="9"/>
  <c r="W847" i="9"/>
  <c r="W848" i="9"/>
  <c r="W849" i="9"/>
  <c r="W850" i="9"/>
  <c r="W851" i="9"/>
  <c r="W852" i="9"/>
  <c r="W853" i="9"/>
  <c r="W854" i="9"/>
  <c r="W855" i="9"/>
  <c r="W856" i="9"/>
  <c r="W857" i="9"/>
  <c r="W858" i="9"/>
  <c r="W859" i="9"/>
  <c r="W860" i="9"/>
  <c r="W861" i="9"/>
  <c r="W862" i="9"/>
  <c r="W863" i="9"/>
  <c r="W864" i="9"/>
  <c r="W865" i="9"/>
  <c r="W866" i="9"/>
  <c r="W867" i="9"/>
  <c r="W868" i="9"/>
  <c r="W869" i="9"/>
  <c r="W870" i="9"/>
  <c r="W871" i="9"/>
  <c r="W872" i="9"/>
  <c r="W873" i="9"/>
  <c r="W874" i="9"/>
  <c r="W875" i="9"/>
  <c r="W876" i="9"/>
  <c r="W877" i="9"/>
  <c r="W878" i="9"/>
  <c r="W879" i="9"/>
  <c r="W880" i="9"/>
  <c r="W881" i="9"/>
  <c r="W882" i="9"/>
  <c r="W883" i="9"/>
  <c r="W884" i="9"/>
  <c r="W885" i="9"/>
  <c r="W886" i="9"/>
  <c r="W887" i="9"/>
  <c r="W888" i="9"/>
  <c r="W889" i="9"/>
  <c r="W890" i="9"/>
  <c r="W891" i="9"/>
  <c r="W892" i="9"/>
  <c r="W893" i="9"/>
  <c r="W894" i="9"/>
  <c r="W895" i="9"/>
  <c r="W896" i="9"/>
  <c r="W897" i="9"/>
  <c r="W898" i="9"/>
  <c r="W899" i="9"/>
  <c r="W900" i="9"/>
  <c r="W901" i="9"/>
  <c r="W902" i="9"/>
  <c r="W903" i="9"/>
  <c r="W904" i="9"/>
  <c r="W905" i="9"/>
  <c r="W906" i="9"/>
  <c r="W907" i="9"/>
  <c r="W908" i="9"/>
  <c r="W909" i="9"/>
  <c r="W910" i="9"/>
  <c r="W911" i="9"/>
  <c r="W912" i="9"/>
  <c r="W913" i="9"/>
  <c r="W914" i="9"/>
  <c r="W915" i="9"/>
  <c r="W916" i="9"/>
  <c r="W917" i="9"/>
  <c r="W918" i="9"/>
  <c r="W919" i="9"/>
  <c r="W920" i="9"/>
  <c r="W921" i="9"/>
  <c r="W922" i="9"/>
  <c r="W923" i="9"/>
  <c r="W924" i="9"/>
  <c r="W925" i="9"/>
  <c r="W926" i="9"/>
  <c r="W927" i="9"/>
  <c r="W928" i="9"/>
  <c r="W929" i="9"/>
  <c r="W930" i="9"/>
  <c r="W931" i="9"/>
  <c r="W932" i="9"/>
  <c r="W933" i="9"/>
  <c r="W934" i="9"/>
  <c r="W935" i="9"/>
  <c r="W936" i="9"/>
  <c r="W937" i="9"/>
  <c r="W938" i="9"/>
  <c r="W939" i="9"/>
  <c r="W940" i="9"/>
  <c r="W941" i="9"/>
  <c r="W942" i="9"/>
  <c r="W943" i="9"/>
  <c r="W944" i="9"/>
  <c r="W945" i="9"/>
  <c r="W946" i="9"/>
  <c r="W947" i="9"/>
  <c r="W948" i="9"/>
  <c r="W949" i="9"/>
  <c r="W950" i="9"/>
  <c r="W951" i="9"/>
  <c r="W952" i="9"/>
  <c r="W953" i="9"/>
  <c r="W954" i="9"/>
  <c r="W955" i="9"/>
  <c r="W956" i="9"/>
  <c r="W957" i="9"/>
  <c r="W958" i="9"/>
  <c r="W959" i="9"/>
  <c r="W960" i="9"/>
  <c r="W961" i="9"/>
  <c r="W962" i="9"/>
  <c r="W963" i="9"/>
  <c r="W964" i="9"/>
  <c r="W965" i="9"/>
  <c r="W966" i="9"/>
  <c r="W967" i="9"/>
  <c r="W968" i="9"/>
  <c r="W969" i="9"/>
  <c r="W970" i="9"/>
  <c r="W971" i="9"/>
  <c r="W972" i="9"/>
  <c r="W973" i="9"/>
  <c r="W974" i="9"/>
  <c r="W975" i="9"/>
  <c r="W976" i="9"/>
  <c r="W977" i="9"/>
  <c r="W978" i="9"/>
  <c r="W979" i="9"/>
  <c r="W980" i="9"/>
  <c r="W981" i="9"/>
  <c r="W982" i="9"/>
  <c r="W983" i="9"/>
  <c r="W984" i="9"/>
  <c r="W985" i="9"/>
  <c r="W986" i="9"/>
  <c r="W987" i="9"/>
  <c r="W988" i="9"/>
  <c r="W989" i="9"/>
  <c r="W990" i="9"/>
  <c r="W991" i="9"/>
  <c r="W992" i="9"/>
  <c r="W993" i="9"/>
  <c r="W994" i="9"/>
  <c r="W995" i="9"/>
  <c r="W996" i="9"/>
  <c r="W997" i="9"/>
  <c r="W998" i="9"/>
  <c r="W999" i="9"/>
  <c r="W1000" i="9"/>
  <c r="W1001" i="9"/>
  <c r="W1002" i="9"/>
  <c r="W1003" i="9"/>
  <c r="W1004" i="9"/>
  <c r="W1005" i="9"/>
  <c r="W1006" i="9"/>
  <c r="W1007" i="9"/>
  <c r="W1008" i="9"/>
  <c r="W1009" i="9"/>
  <c r="W1010" i="9"/>
  <c r="W1011" i="9"/>
  <c r="W1012" i="9"/>
  <c r="W1013" i="9"/>
  <c r="W1014" i="9"/>
  <c r="W1015" i="9"/>
  <c r="W1016" i="9"/>
  <c r="W1017" i="9"/>
  <c r="W1018" i="9"/>
  <c r="W1019" i="9"/>
  <c r="W1020" i="9"/>
  <c r="W1021" i="9"/>
  <c r="W1022" i="9"/>
  <c r="W1023" i="9"/>
  <c r="W1024" i="9"/>
  <c r="W1025" i="9"/>
  <c r="W1026" i="9"/>
  <c r="W1027" i="9"/>
  <c r="W1028" i="9"/>
  <c r="W1029" i="9"/>
  <c r="W1030" i="9"/>
  <c r="W1031" i="9"/>
  <c r="W1032" i="9"/>
  <c r="W1033" i="9"/>
  <c r="W1034" i="9"/>
  <c r="W1035" i="9"/>
  <c r="W1036" i="9"/>
  <c r="W1037" i="9"/>
  <c r="W1038" i="9"/>
  <c r="W1039" i="9"/>
  <c r="W1040" i="9"/>
  <c r="W1041" i="9"/>
  <c r="W1042" i="9"/>
  <c r="W1043" i="9"/>
  <c r="W1044" i="9"/>
  <c r="W1045" i="9"/>
  <c r="W1046" i="9"/>
  <c r="W1047" i="9"/>
  <c r="W1048" i="9"/>
  <c r="W1049" i="9"/>
  <c r="W1050" i="9"/>
  <c r="W1051" i="9"/>
  <c r="W1052" i="9"/>
  <c r="W1053" i="9"/>
  <c r="W1054" i="9"/>
  <c r="W1055" i="9"/>
  <c r="W1056" i="9"/>
  <c r="W1057" i="9"/>
  <c r="W1058" i="9"/>
  <c r="W1059" i="9"/>
  <c r="W1060" i="9"/>
  <c r="W1061" i="9"/>
  <c r="W1062" i="9"/>
  <c r="W1063" i="9"/>
  <c r="W1064" i="9"/>
  <c r="W1065" i="9"/>
  <c r="W1066" i="9"/>
  <c r="W1067" i="9"/>
  <c r="W1068" i="9"/>
  <c r="W1069" i="9"/>
  <c r="W1070" i="9"/>
  <c r="W1071" i="9"/>
  <c r="W1072" i="9"/>
  <c r="W1073" i="9"/>
  <c r="W1074" i="9"/>
  <c r="W1075" i="9"/>
  <c r="W1076" i="9"/>
  <c r="W1077" i="9"/>
  <c r="W1078" i="9"/>
  <c r="W1079" i="9"/>
  <c r="W1080" i="9"/>
  <c r="W1081" i="9"/>
  <c r="W1082" i="9"/>
  <c r="W1083" i="9"/>
  <c r="W1084" i="9"/>
  <c r="W1085" i="9"/>
  <c r="W1086" i="9"/>
  <c r="W1087" i="9"/>
  <c r="W1088" i="9"/>
  <c r="W1089" i="9"/>
  <c r="W1090" i="9"/>
  <c r="W1091" i="9"/>
  <c r="W1092" i="9"/>
  <c r="W1093" i="9"/>
  <c r="W1094" i="9"/>
  <c r="W1095" i="9"/>
  <c r="W1096" i="9"/>
  <c r="W1097" i="9"/>
  <c r="W1098" i="9"/>
  <c r="W1099" i="9"/>
  <c r="W1100" i="9"/>
  <c r="W1101" i="9"/>
  <c r="W1102" i="9"/>
  <c r="W1103" i="9"/>
  <c r="W1104" i="9"/>
  <c r="W1105" i="9"/>
  <c r="W1106" i="9"/>
  <c r="W1107" i="9"/>
  <c r="W1108" i="9"/>
  <c r="W1109" i="9"/>
  <c r="W1110" i="9"/>
  <c r="W1111" i="9"/>
  <c r="W1112" i="9"/>
  <c r="W1113" i="9"/>
  <c r="W1114" i="9"/>
  <c r="W1115" i="9"/>
  <c r="W1116" i="9"/>
  <c r="W1117" i="9"/>
  <c r="W1118" i="9"/>
  <c r="W1119" i="9"/>
  <c r="W1120" i="9"/>
  <c r="W1121" i="9"/>
  <c r="W1122" i="9"/>
  <c r="W1123" i="9"/>
  <c r="W1124" i="9"/>
  <c r="W1125" i="9"/>
  <c r="W1126" i="9"/>
  <c r="W1127" i="9"/>
  <c r="W1128" i="9"/>
  <c r="W1129" i="9"/>
  <c r="W1130" i="9"/>
  <c r="W1131" i="9"/>
  <c r="W1132" i="9"/>
  <c r="W1133" i="9"/>
  <c r="W1134" i="9"/>
  <c r="W1135" i="9"/>
  <c r="W1136" i="9"/>
  <c r="W1137" i="9"/>
  <c r="W1138" i="9"/>
  <c r="W1139" i="9"/>
  <c r="W1140" i="9"/>
  <c r="W1141" i="9"/>
  <c r="W1142" i="9"/>
  <c r="W1143" i="9"/>
  <c r="W1144" i="9"/>
  <c r="W1145" i="9"/>
  <c r="W1146" i="9"/>
  <c r="W1147" i="9"/>
  <c r="W1148" i="9"/>
  <c r="W1149" i="9"/>
  <c r="W1150" i="9"/>
  <c r="W1151" i="9"/>
  <c r="W1152" i="9"/>
  <c r="W1153" i="9"/>
  <c r="W1154" i="9"/>
  <c r="W1155" i="9"/>
  <c r="W1156" i="9"/>
  <c r="W1157" i="9"/>
  <c r="W1158" i="9"/>
  <c r="W1159" i="9"/>
  <c r="W1160" i="9"/>
  <c r="W1161" i="9"/>
  <c r="W1162" i="9"/>
  <c r="W1163" i="9"/>
  <c r="W1164" i="9"/>
  <c r="W1165" i="9"/>
  <c r="W1166" i="9"/>
  <c r="W1167" i="9"/>
  <c r="W1168" i="9"/>
  <c r="W1169" i="9"/>
  <c r="W1170" i="9"/>
  <c r="W1171" i="9"/>
  <c r="W1172" i="9"/>
  <c r="W1173" i="9"/>
  <c r="W1174" i="9"/>
  <c r="W1175" i="9"/>
  <c r="W1176" i="9"/>
  <c r="W1177" i="9"/>
  <c r="W1178" i="9"/>
  <c r="W1179" i="9"/>
  <c r="W1180" i="9"/>
  <c r="W1181" i="9"/>
  <c r="W1182" i="9"/>
  <c r="W1183" i="9"/>
  <c r="W1184" i="9"/>
  <c r="W1185" i="9"/>
  <c r="W1186" i="9"/>
  <c r="W1187" i="9"/>
  <c r="W1188" i="9"/>
  <c r="W1189" i="9"/>
  <c r="W1190" i="9"/>
  <c r="W1191" i="9"/>
  <c r="W1192" i="9"/>
  <c r="W1193" i="9"/>
  <c r="W1194" i="9"/>
  <c r="W1195" i="9"/>
  <c r="W1196" i="9"/>
  <c r="W1197" i="9"/>
  <c r="W1198" i="9"/>
  <c r="W1199" i="9"/>
  <c r="W1200" i="9"/>
  <c r="W1201" i="9"/>
  <c r="W1202" i="9"/>
  <c r="W1203" i="9"/>
  <c r="W1204" i="9"/>
  <c r="W1205" i="9"/>
  <c r="W1206" i="9"/>
  <c r="W1207" i="9"/>
  <c r="W1208" i="9"/>
  <c r="W1209" i="9"/>
  <c r="W1210" i="9"/>
  <c r="W1211" i="9"/>
  <c r="W1212" i="9"/>
  <c r="W1213" i="9"/>
  <c r="W1214" i="9"/>
  <c r="W1215" i="9"/>
  <c r="W1216" i="9"/>
  <c r="W1217" i="9"/>
  <c r="W1218" i="9"/>
  <c r="W1219" i="9"/>
  <c r="W1220" i="9"/>
  <c r="W1221" i="9"/>
  <c r="W1222" i="9"/>
  <c r="W1223" i="9"/>
  <c r="W1224" i="9"/>
  <c r="W1225" i="9"/>
  <c r="W1226" i="9"/>
  <c r="W1227" i="9"/>
  <c r="W1228" i="9"/>
  <c r="W1229" i="9"/>
  <c r="W1230" i="9"/>
  <c r="W1231" i="9"/>
  <c r="W1232" i="9"/>
  <c r="W1233" i="9"/>
  <c r="W1234" i="9"/>
  <c r="W1235" i="9"/>
  <c r="W1236" i="9"/>
  <c r="W1237" i="9"/>
  <c r="W1238" i="9"/>
  <c r="W1239" i="9"/>
  <c r="W1240" i="9"/>
  <c r="W1241" i="9"/>
  <c r="W1242" i="9"/>
  <c r="W1243" i="9"/>
  <c r="W1244" i="9"/>
  <c r="W1245" i="9"/>
  <c r="W1246" i="9"/>
  <c r="W1247" i="9"/>
  <c r="W1248" i="9"/>
  <c r="W1249" i="9"/>
  <c r="W1250" i="9"/>
  <c r="W1251" i="9"/>
  <c r="W1252" i="9"/>
  <c r="W1253" i="9"/>
  <c r="W1254" i="9"/>
  <c r="W1255" i="9"/>
  <c r="W1256" i="9"/>
  <c r="W1257" i="9"/>
  <c r="W1258" i="9"/>
  <c r="W1259" i="9"/>
  <c r="W1260" i="9"/>
  <c r="W1261" i="9"/>
  <c r="W1262" i="9"/>
  <c r="W1263" i="9"/>
  <c r="W1264" i="9"/>
  <c r="W1265" i="9"/>
  <c r="W1266" i="9"/>
  <c r="W1267" i="9"/>
  <c r="W1268" i="9"/>
  <c r="W1269" i="9"/>
  <c r="W1270" i="9"/>
  <c r="W1271" i="9"/>
  <c r="W1272" i="9"/>
  <c r="W1273" i="9"/>
  <c r="W1274" i="9"/>
  <c r="W1275" i="9"/>
  <c r="W1276" i="9"/>
  <c r="W1277" i="9"/>
  <c r="W1278" i="9"/>
  <c r="W1279" i="9"/>
  <c r="W1280" i="9"/>
  <c r="W1281" i="9"/>
  <c r="W1282" i="9"/>
  <c r="W1283" i="9"/>
  <c r="W1284" i="9"/>
  <c r="W1285" i="9"/>
  <c r="W1286" i="9"/>
  <c r="W1287" i="9"/>
  <c r="W1288" i="9"/>
  <c r="W1289" i="9"/>
  <c r="W1290" i="9"/>
  <c r="W1291" i="9"/>
  <c r="W1292" i="9"/>
  <c r="W1293" i="9"/>
  <c r="W1294" i="9"/>
  <c r="W1295" i="9"/>
  <c r="W1296" i="9"/>
  <c r="W1297" i="9"/>
  <c r="W1298" i="9"/>
  <c r="W1299" i="9"/>
  <c r="W1300" i="9"/>
  <c r="W1301" i="9"/>
  <c r="W1302" i="9"/>
  <c r="W1303" i="9"/>
  <c r="W1304" i="9"/>
  <c r="W1305" i="9"/>
  <c r="W1306" i="9"/>
  <c r="W1307" i="9"/>
  <c r="W1308" i="9"/>
  <c r="W1309" i="9"/>
  <c r="W1310" i="9"/>
  <c r="W1311" i="9"/>
  <c r="W1312" i="9"/>
  <c r="W1313" i="9"/>
  <c r="W1314" i="9"/>
  <c r="W1315" i="9"/>
  <c r="W1316" i="9"/>
  <c r="W1317" i="9"/>
  <c r="W1318" i="9"/>
  <c r="W1319" i="9"/>
  <c r="W1320" i="9"/>
  <c r="W1321" i="9"/>
  <c r="W1322" i="9"/>
  <c r="W1323" i="9"/>
  <c r="W1324" i="9"/>
  <c r="W1325" i="9"/>
  <c r="W1326" i="9"/>
  <c r="W1327" i="9"/>
  <c r="W1328" i="9"/>
  <c r="W1329" i="9"/>
  <c r="W1330" i="9"/>
  <c r="W1331" i="9"/>
  <c r="W1332" i="9"/>
  <c r="W1333" i="9"/>
  <c r="W1334" i="9"/>
  <c r="W1335" i="9"/>
  <c r="W1336" i="9"/>
  <c r="W1337" i="9"/>
  <c r="W1338" i="9"/>
  <c r="W1339" i="9"/>
  <c r="W1340" i="9"/>
  <c r="W1341" i="9"/>
  <c r="W1342" i="9"/>
  <c r="W1343" i="9"/>
  <c r="W1344" i="9"/>
  <c r="W1345" i="9"/>
  <c r="W1346" i="9"/>
  <c r="W1347" i="9"/>
  <c r="W1348" i="9"/>
  <c r="W1349" i="9"/>
  <c r="W1350" i="9"/>
  <c r="W1351" i="9"/>
  <c r="W1352" i="9"/>
  <c r="W1353" i="9"/>
  <c r="W1354" i="9"/>
  <c r="W1355" i="9"/>
  <c r="W1356" i="9"/>
  <c r="W1357" i="9"/>
  <c r="W1358" i="9"/>
  <c r="W1359" i="9"/>
  <c r="W1360" i="9"/>
  <c r="W1361" i="9"/>
  <c r="W1362" i="9"/>
  <c r="W1363" i="9"/>
  <c r="W1364" i="9"/>
  <c r="W1365" i="9"/>
  <c r="W1366" i="9"/>
  <c r="W1367" i="9"/>
  <c r="W1368" i="9"/>
  <c r="W1369" i="9"/>
  <c r="W1370" i="9"/>
  <c r="W1371" i="9"/>
  <c r="W1372" i="9"/>
  <c r="W1373" i="9"/>
  <c r="W1374" i="9"/>
  <c r="W1375" i="9"/>
  <c r="W1376" i="9"/>
  <c r="W1377" i="9"/>
  <c r="W1378" i="9"/>
  <c r="W1379" i="9"/>
  <c r="W1380" i="9"/>
  <c r="W1381" i="9"/>
  <c r="W1382" i="9"/>
  <c r="W1383" i="9"/>
  <c r="W1384" i="9"/>
  <c r="W1385" i="9"/>
  <c r="W1386" i="9"/>
  <c r="W1387" i="9"/>
  <c r="W1388" i="9"/>
  <c r="W1389" i="9"/>
  <c r="W1390" i="9"/>
  <c r="W1391" i="9"/>
  <c r="W1392" i="9"/>
  <c r="W1393" i="9"/>
  <c r="W1394" i="9"/>
  <c r="W1395" i="9"/>
  <c r="W1396" i="9"/>
  <c r="W1397" i="9"/>
  <c r="W1398" i="9"/>
  <c r="W1399" i="9"/>
  <c r="W1400" i="9"/>
  <c r="W1401" i="9"/>
  <c r="W1402" i="9"/>
  <c r="W1403" i="9"/>
  <c r="W1404" i="9"/>
  <c r="W1405" i="9"/>
  <c r="W1406" i="9"/>
  <c r="W1407" i="9"/>
  <c r="W1408" i="9"/>
  <c r="W1409" i="9"/>
  <c r="W1410" i="9"/>
  <c r="W1411" i="9"/>
  <c r="W1412" i="9"/>
  <c r="W1413" i="9"/>
  <c r="W1414" i="9"/>
  <c r="W1415" i="9"/>
  <c r="W1416" i="9"/>
  <c r="W1417" i="9"/>
  <c r="W1418" i="9"/>
  <c r="W1419" i="9"/>
  <c r="W1420" i="9"/>
  <c r="W1421" i="9"/>
  <c r="W1422" i="9"/>
  <c r="W1423" i="9"/>
  <c r="W1424" i="9"/>
  <c r="W1425" i="9"/>
  <c r="W1426" i="9"/>
  <c r="W1427" i="9"/>
  <c r="W1428" i="9"/>
  <c r="W1429" i="9"/>
  <c r="W1430" i="9"/>
  <c r="W1431" i="9"/>
  <c r="W1432" i="9"/>
  <c r="W1433" i="9"/>
  <c r="W1434" i="9"/>
  <c r="W1435" i="9"/>
  <c r="W1436" i="9"/>
  <c r="W1437" i="9"/>
  <c r="W1438" i="9"/>
  <c r="W1439" i="9"/>
  <c r="W1440" i="9"/>
  <c r="W1441" i="9"/>
  <c r="W1442" i="9"/>
  <c r="W1443" i="9"/>
  <c r="W1444" i="9"/>
  <c r="W1445" i="9"/>
  <c r="W1446" i="9"/>
  <c r="W1447" i="9"/>
  <c r="W1448" i="9"/>
  <c r="W1449" i="9"/>
  <c r="W1450" i="9"/>
  <c r="W1451" i="9"/>
  <c r="W1452" i="9"/>
  <c r="W1453" i="9"/>
  <c r="W1454" i="9"/>
  <c r="W1455" i="9"/>
  <c r="W1456" i="9"/>
  <c r="W1457" i="9"/>
  <c r="W1458" i="9"/>
  <c r="W1459" i="9"/>
  <c r="W1460" i="9"/>
  <c r="W1461" i="9"/>
  <c r="W1462" i="9"/>
  <c r="W1463" i="9"/>
  <c r="W1464" i="9"/>
  <c r="W1465" i="9"/>
  <c r="W1466" i="9"/>
  <c r="W1467" i="9"/>
  <c r="W1468" i="9"/>
  <c r="W1469" i="9"/>
  <c r="W1470" i="9"/>
  <c r="W1471" i="9"/>
  <c r="W1472" i="9"/>
  <c r="W1473" i="9"/>
  <c r="W1474" i="9"/>
  <c r="W1475" i="9"/>
  <c r="W1476" i="9"/>
  <c r="W1477" i="9"/>
  <c r="W1478" i="9"/>
  <c r="W1479" i="9"/>
  <c r="W1480" i="9"/>
  <c r="W1481" i="9"/>
  <c r="W1482" i="9"/>
  <c r="W1483" i="9"/>
  <c r="W1484" i="9"/>
  <c r="W1485" i="9"/>
  <c r="W1486" i="9"/>
  <c r="W1487" i="9"/>
  <c r="W1488" i="9"/>
  <c r="W1489" i="9"/>
  <c r="W1490" i="9"/>
  <c r="W1491" i="9"/>
  <c r="W1492" i="9"/>
  <c r="W1493" i="9"/>
  <c r="W1494" i="9"/>
  <c r="W1495" i="9"/>
  <c r="W1496" i="9"/>
  <c r="W1497" i="9"/>
  <c r="W1498" i="9"/>
  <c r="W1499" i="9"/>
  <c r="W1500" i="9"/>
  <c r="W1501" i="9"/>
  <c r="W1502" i="9"/>
  <c r="W1503" i="9"/>
  <c r="W1504" i="9"/>
  <c r="W1505" i="9"/>
  <c r="W1506" i="9"/>
  <c r="W1507" i="9"/>
  <c r="W1508" i="9"/>
  <c r="W1509" i="9"/>
  <c r="W1510" i="9"/>
  <c r="W1511" i="9"/>
  <c r="W1512" i="9"/>
  <c r="W1513" i="9"/>
  <c r="W1514" i="9"/>
  <c r="W1515" i="9"/>
  <c r="W1516" i="9"/>
  <c r="W1517" i="9"/>
  <c r="W1518" i="9"/>
  <c r="W1519" i="9"/>
  <c r="W1520" i="9"/>
  <c r="W1521" i="9"/>
  <c r="W1522" i="9"/>
  <c r="W1523" i="9"/>
  <c r="W1524" i="9"/>
  <c r="W1525" i="9"/>
  <c r="W1526" i="9"/>
  <c r="W1527" i="9"/>
  <c r="W1528" i="9"/>
  <c r="W1529" i="9"/>
  <c r="W1530" i="9"/>
  <c r="W1531" i="9"/>
  <c r="W1532" i="9"/>
  <c r="W1533" i="9"/>
  <c r="W1534" i="9"/>
  <c r="W1535" i="9"/>
  <c r="W1536" i="9"/>
  <c r="W1537" i="9"/>
  <c r="W1538" i="9"/>
  <c r="W1539" i="9"/>
  <c r="W1540" i="9"/>
  <c r="W1541" i="9"/>
  <c r="W1542" i="9"/>
  <c r="W1543" i="9"/>
  <c r="W1544" i="9"/>
  <c r="W1545" i="9"/>
  <c r="W1546" i="9"/>
  <c r="W1547" i="9"/>
  <c r="W1548" i="9"/>
  <c r="W1549" i="9"/>
  <c r="W1550" i="9"/>
  <c r="W1551" i="9"/>
  <c r="W1552" i="9"/>
  <c r="W1553" i="9"/>
  <c r="W1554" i="9"/>
  <c r="W1555" i="9"/>
  <c r="W1556" i="9"/>
  <c r="W1557" i="9"/>
  <c r="W1558" i="9"/>
  <c r="W1559" i="9"/>
  <c r="W1560" i="9"/>
  <c r="W1561" i="9"/>
  <c r="W1562" i="9"/>
  <c r="W1563" i="9"/>
  <c r="W1564" i="9"/>
  <c r="W1565" i="9"/>
  <c r="W1566" i="9"/>
  <c r="W1567" i="9"/>
  <c r="W1568" i="9"/>
  <c r="W1569" i="9"/>
  <c r="W1570" i="9"/>
  <c r="W1571" i="9"/>
  <c r="W1572" i="9"/>
  <c r="W1573" i="9"/>
  <c r="W1574" i="9"/>
  <c r="W1575" i="9"/>
  <c r="W1576" i="9"/>
  <c r="W1577" i="9"/>
  <c r="W1578" i="9"/>
  <c r="W1579" i="9"/>
  <c r="W1580" i="9"/>
  <c r="W1581" i="9"/>
  <c r="W1582" i="9"/>
  <c r="W1583" i="9"/>
  <c r="W1584" i="9"/>
  <c r="W1585" i="9"/>
  <c r="W1586" i="9"/>
  <c r="W1587" i="9"/>
  <c r="W1588" i="9"/>
  <c r="W1589" i="9"/>
  <c r="W1590" i="9"/>
  <c r="W1591" i="9"/>
  <c r="W1592" i="9"/>
  <c r="W1593" i="9"/>
  <c r="W1594" i="9"/>
  <c r="W1595" i="9"/>
  <c r="W1596" i="9"/>
  <c r="W1597" i="9"/>
  <c r="W1598" i="9"/>
  <c r="W1599" i="9"/>
  <c r="W1600" i="9"/>
  <c r="W1601" i="9"/>
  <c r="W1602" i="9"/>
  <c r="W1603" i="9"/>
  <c r="W1604" i="9"/>
  <c r="W1605" i="9"/>
  <c r="W1606" i="9"/>
  <c r="W1607" i="9"/>
  <c r="W1608" i="9"/>
  <c r="W1609" i="9"/>
  <c r="W1610" i="9"/>
  <c r="W1611" i="9"/>
  <c r="W1612" i="9"/>
  <c r="W1613" i="9"/>
  <c r="W1614" i="9"/>
  <c r="W1615" i="9"/>
  <c r="W1616" i="9"/>
  <c r="W1617" i="9"/>
  <c r="W1618" i="9"/>
  <c r="W1619" i="9"/>
  <c r="W1620" i="9"/>
  <c r="W1621" i="9"/>
  <c r="W1622" i="9"/>
  <c r="W1623" i="9"/>
  <c r="W1624" i="9"/>
  <c r="W1625" i="9"/>
  <c r="W1626" i="9"/>
  <c r="W1627" i="9"/>
  <c r="W1628" i="9"/>
  <c r="W1629" i="9"/>
  <c r="W1630" i="9"/>
  <c r="W1631" i="9"/>
  <c r="W1632" i="9"/>
  <c r="W1633" i="9"/>
  <c r="W1634" i="9"/>
  <c r="W1635" i="9"/>
  <c r="W1636" i="9"/>
  <c r="W1637" i="9"/>
  <c r="W1638" i="9"/>
  <c r="W1639" i="9"/>
  <c r="W1640" i="9"/>
  <c r="W1641" i="9"/>
  <c r="W1642" i="9"/>
  <c r="W1643" i="9"/>
  <c r="W1644" i="9"/>
  <c r="W1645" i="9"/>
  <c r="W1646" i="9"/>
  <c r="W1647" i="9"/>
  <c r="W1648" i="9"/>
  <c r="W1649" i="9"/>
  <c r="W1650" i="9"/>
  <c r="W1651" i="9"/>
  <c r="W1652" i="9"/>
  <c r="W1653" i="9"/>
  <c r="W1654" i="9"/>
  <c r="W1655" i="9"/>
  <c r="W1656" i="9"/>
  <c r="W1657" i="9"/>
  <c r="W1658" i="9"/>
  <c r="W1659" i="9"/>
  <c r="W1660" i="9"/>
  <c r="W1661" i="9"/>
  <c r="W1662" i="9"/>
  <c r="W1663" i="9"/>
  <c r="W1664" i="9"/>
  <c r="W1665" i="9"/>
  <c r="W1666" i="9"/>
  <c r="W1667" i="9"/>
  <c r="W1668" i="9"/>
  <c r="W1669" i="9"/>
  <c r="W1670" i="9"/>
  <c r="W1671" i="9"/>
  <c r="W1672" i="9"/>
  <c r="W1673" i="9"/>
  <c r="W1674" i="9"/>
  <c r="W1675" i="9"/>
  <c r="W1676" i="9"/>
  <c r="W1677" i="9"/>
  <c r="W1678" i="9"/>
  <c r="W1679" i="9"/>
  <c r="W1680" i="9"/>
  <c r="W1681" i="9"/>
  <c r="W1682" i="9"/>
  <c r="W1683" i="9"/>
  <c r="W1684" i="9"/>
  <c r="W1685" i="9"/>
  <c r="W1686" i="9"/>
  <c r="W1687" i="9"/>
  <c r="W1688" i="9"/>
  <c r="W1689" i="9"/>
  <c r="W1690" i="9"/>
  <c r="W1691" i="9"/>
  <c r="W1692" i="9"/>
  <c r="W1693" i="9"/>
  <c r="W1694" i="9"/>
  <c r="W1695" i="9"/>
  <c r="W1696" i="9"/>
  <c r="W1697" i="9"/>
  <c r="W1698" i="9"/>
  <c r="W1699" i="9"/>
  <c r="W1700" i="9"/>
  <c r="W1701" i="9"/>
  <c r="W1702" i="9"/>
  <c r="W1703" i="9"/>
  <c r="W1704" i="9"/>
  <c r="W1705" i="9"/>
  <c r="W1706" i="9"/>
  <c r="W1707" i="9"/>
  <c r="W1708" i="9"/>
  <c r="W1709" i="9"/>
  <c r="W1710" i="9"/>
  <c r="W1711" i="9"/>
  <c r="W1712" i="9"/>
  <c r="W1713" i="9"/>
  <c r="W1714" i="9"/>
  <c r="W1715" i="9"/>
  <c r="W1716" i="9"/>
  <c r="W1717" i="9"/>
  <c r="W1718" i="9"/>
  <c r="W1719" i="9"/>
  <c r="W1720" i="9"/>
  <c r="W1721" i="9"/>
  <c r="W1722" i="9"/>
  <c r="W1723" i="9"/>
  <c r="W1724" i="9"/>
  <c r="W1725" i="9"/>
  <c r="W1726" i="9"/>
  <c r="W1727" i="9"/>
  <c r="W1728" i="9"/>
  <c r="W1729" i="9"/>
  <c r="W1730"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U502" i="9"/>
  <c r="U503" i="9"/>
  <c r="U504" i="9"/>
  <c r="U505" i="9"/>
  <c r="U506" i="9"/>
  <c r="U507" i="9"/>
  <c r="U508" i="9"/>
  <c r="U509" i="9"/>
  <c r="U510" i="9"/>
  <c r="U511" i="9"/>
  <c r="U512" i="9"/>
  <c r="U513" i="9"/>
  <c r="U514" i="9"/>
  <c r="U515" i="9"/>
  <c r="U516" i="9"/>
  <c r="U517" i="9"/>
  <c r="U518" i="9"/>
  <c r="U519" i="9"/>
  <c r="U520" i="9"/>
  <c r="U521" i="9"/>
  <c r="U522" i="9"/>
  <c r="U523" i="9"/>
  <c r="U524" i="9"/>
  <c r="U525" i="9"/>
  <c r="U526" i="9"/>
  <c r="U527" i="9"/>
  <c r="U528" i="9"/>
  <c r="U529" i="9"/>
  <c r="U530" i="9"/>
  <c r="U531" i="9"/>
  <c r="U532" i="9"/>
  <c r="U533" i="9"/>
  <c r="U534" i="9"/>
  <c r="U535" i="9"/>
  <c r="U536" i="9"/>
  <c r="U537" i="9"/>
  <c r="U538" i="9"/>
  <c r="U539" i="9"/>
  <c r="U540" i="9"/>
  <c r="U541" i="9"/>
  <c r="U542" i="9"/>
  <c r="U543" i="9"/>
  <c r="U544" i="9"/>
  <c r="U545" i="9"/>
  <c r="U546" i="9"/>
  <c r="U547" i="9"/>
  <c r="U548" i="9"/>
  <c r="U549" i="9"/>
  <c r="U550" i="9"/>
  <c r="U551" i="9"/>
  <c r="U552" i="9"/>
  <c r="U553" i="9"/>
  <c r="U554" i="9"/>
  <c r="U555" i="9"/>
  <c r="U556" i="9"/>
  <c r="U557" i="9"/>
  <c r="U558" i="9"/>
  <c r="U559" i="9"/>
  <c r="U560" i="9"/>
  <c r="U561" i="9"/>
  <c r="U562" i="9"/>
  <c r="U563" i="9"/>
  <c r="U564" i="9"/>
  <c r="U565" i="9"/>
  <c r="U566" i="9"/>
  <c r="U567" i="9"/>
  <c r="U568" i="9"/>
  <c r="U569" i="9"/>
  <c r="U570" i="9"/>
  <c r="U571" i="9"/>
  <c r="U572" i="9"/>
  <c r="U573" i="9"/>
  <c r="U574" i="9"/>
  <c r="U575" i="9"/>
  <c r="U576" i="9"/>
  <c r="U577" i="9"/>
  <c r="U578" i="9"/>
  <c r="U579" i="9"/>
  <c r="U580" i="9"/>
  <c r="U581" i="9"/>
  <c r="U582" i="9"/>
  <c r="U583" i="9"/>
  <c r="U584" i="9"/>
  <c r="U585" i="9"/>
  <c r="U586" i="9"/>
  <c r="U587" i="9"/>
  <c r="U588" i="9"/>
  <c r="U589" i="9"/>
  <c r="U590" i="9"/>
  <c r="U591" i="9"/>
  <c r="U592" i="9"/>
  <c r="U593" i="9"/>
  <c r="U594" i="9"/>
  <c r="U595" i="9"/>
  <c r="U596" i="9"/>
  <c r="U597" i="9"/>
  <c r="U598" i="9"/>
  <c r="U599" i="9"/>
  <c r="U600" i="9"/>
  <c r="U601" i="9"/>
  <c r="U602" i="9"/>
  <c r="U603" i="9"/>
  <c r="U604" i="9"/>
  <c r="U605" i="9"/>
  <c r="U606" i="9"/>
  <c r="U607" i="9"/>
  <c r="U608" i="9"/>
  <c r="U609" i="9"/>
  <c r="U610" i="9"/>
  <c r="U611" i="9"/>
  <c r="U612" i="9"/>
  <c r="U613" i="9"/>
  <c r="U614" i="9"/>
  <c r="U615" i="9"/>
  <c r="U616" i="9"/>
  <c r="U617" i="9"/>
  <c r="U618" i="9"/>
  <c r="U619" i="9"/>
  <c r="U620" i="9"/>
  <c r="U621" i="9"/>
  <c r="U622" i="9"/>
  <c r="U623" i="9"/>
  <c r="U624" i="9"/>
  <c r="U625" i="9"/>
  <c r="U626" i="9"/>
  <c r="U627" i="9"/>
  <c r="U628" i="9"/>
  <c r="U629" i="9"/>
  <c r="U630" i="9"/>
  <c r="U631" i="9"/>
  <c r="U632" i="9"/>
  <c r="U633" i="9"/>
  <c r="U634" i="9"/>
  <c r="U635" i="9"/>
  <c r="U636" i="9"/>
  <c r="U637" i="9"/>
  <c r="U638" i="9"/>
  <c r="U639" i="9"/>
  <c r="U640" i="9"/>
  <c r="U641" i="9"/>
  <c r="U642" i="9"/>
  <c r="U643" i="9"/>
  <c r="U644" i="9"/>
  <c r="U645" i="9"/>
  <c r="U646" i="9"/>
  <c r="U647" i="9"/>
  <c r="U648" i="9"/>
  <c r="U649" i="9"/>
  <c r="U650" i="9"/>
  <c r="U651" i="9"/>
  <c r="U652" i="9"/>
  <c r="U653" i="9"/>
  <c r="U654" i="9"/>
  <c r="U655" i="9"/>
  <c r="U656" i="9"/>
  <c r="U657" i="9"/>
  <c r="U658" i="9"/>
  <c r="U659" i="9"/>
  <c r="U660" i="9"/>
  <c r="U661" i="9"/>
  <c r="U662" i="9"/>
  <c r="U663" i="9"/>
  <c r="U664" i="9"/>
  <c r="U665" i="9"/>
  <c r="U666" i="9"/>
  <c r="U667" i="9"/>
  <c r="U668" i="9"/>
  <c r="U669" i="9"/>
  <c r="U670" i="9"/>
  <c r="U671" i="9"/>
  <c r="U672" i="9"/>
  <c r="U673" i="9"/>
  <c r="U674" i="9"/>
  <c r="U675" i="9"/>
  <c r="U676" i="9"/>
  <c r="U677" i="9"/>
  <c r="U678" i="9"/>
  <c r="U679" i="9"/>
  <c r="U680" i="9"/>
  <c r="U681" i="9"/>
  <c r="U682" i="9"/>
  <c r="U683" i="9"/>
  <c r="U684" i="9"/>
  <c r="U685" i="9"/>
  <c r="U686" i="9"/>
  <c r="U687" i="9"/>
  <c r="U688" i="9"/>
  <c r="U689" i="9"/>
  <c r="U690" i="9"/>
  <c r="U691" i="9"/>
  <c r="U692" i="9"/>
  <c r="U693" i="9"/>
  <c r="U694" i="9"/>
  <c r="U695" i="9"/>
  <c r="U696" i="9"/>
  <c r="U697" i="9"/>
  <c r="U698" i="9"/>
  <c r="U699" i="9"/>
  <c r="U700" i="9"/>
  <c r="U701" i="9"/>
  <c r="U702" i="9"/>
  <c r="U703" i="9"/>
  <c r="U704" i="9"/>
  <c r="U705" i="9"/>
  <c r="U706" i="9"/>
  <c r="U707" i="9"/>
  <c r="U708" i="9"/>
  <c r="U709" i="9"/>
  <c r="U710" i="9"/>
  <c r="U711" i="9"/>
  <c r="U712" i="9"/>
  <c r="U713" i="9"/>
  <c r="U714" i="9"/>
  <c r="U715" i="9"/>
  <c r="U716" i="9"/>
  <c r="U717" i="9"/>
  <c r="U718" i="9"/>
  <c r="U719" i="9"/>
  <c r="U720" i="9"/>
  <c r="U721" i="9"/>
  <c r="U722" i="9"/>
  <c r="U723" i="9"/>
  <c r="U724" i="9"/>
  <c r="U725" i="9"/>
  <c r="U726" i="9"/>
  <c r="U727" i="9"/>
  <c r="U728" i="9"/>
  <c r="U729" i="9"/>
  <c r="U730" i="9"/>
  <c r="U731" i="9"/>
  <c r="U732" i="9"/>
  <c r="U733" i="9"/>
  <c r="U734" i="9"/>
  <c r="U735" i="9"/>
  <c r="U736" i="9"/>
  <c r="U737" i="9"/>
  <c r="U738" i="9"/>
  <c r="U739" i="9"/>
  <c r="U740" i="9"/>
  <c r="U741" i="9"/>
  <c r="U742" i="9"/>
  <c r="U743" i="9"/>
  <c r="U744" i="9"/>
  <c r="U745" i="9"/>
  <c r="U746" i="9"/>
  <c r="U747" i="9"/>
  <c r="U748" i="9"/>
  <c r="U749" i="9"/>
  <c r="U750" i="9"/>
  <c r="U751" i="9"/>
  <c r="U752" i="9"/>
  <c r="U753" i="9"/>
  <c r="U754" i="9"/>
  <c r="U755" i="9"/>
  <c r="U756" i="9"/>
  <c r="U757" i="9"/>
  <c r="U758" i="9"/>
  <c r="U759" i="9"/>
  <c r="U760" i="9"/>
  <c r="U761" i="9"/>
  <c r="U762" i="9"/>
  <c r="U763" i="9"/>
  <c r="U764" i="9"/>
  <c r="U765" i="9"/>
  <c r="U766" i="9"/>
  <c r="U767" i="9"/>
  <c r="U768" i="9"/>
  <c r="U769" i="9"/>
  <c r="U770" i="9"/>
  <c r="U771" i="9"/>
  <c r="U772" i="9"/>
  <c r="U773" i="9"/>
  <c r="U774" i="9"/>
  <c r="U775" i="9"/>
  <c r="U776" i="9"/>
  <c r="U777" i="9"/>
  <c r="U778" i="9"/>
  <c r="U779" i="9"/>
  <c r="U780" i="9"/>
  <c r="U781" i="9"/>
  <c r="U782" i="9"/>
  <c r="U783" i="9"/>
  <c r="U784" i="9"/>
  <c r="U785" i="9"/>
  <c r="U786" i="9"/>
  <c r="U787" i="9"/>
  <c r="U788" i="9"/>
  <c r="U789" i="9"/>
  <c r="U790" i="9"/>
  <c r="U791" i="9"/>
  <c r="U792" i="9"/>
  <c r="U793" i="9"/>
  <c r="U794" i="9"/>
  <c r="U795" i="9"/>
  <c r="U796" i="9"/>
  <c r="U797" i="9"/>
  <c r="U798" i="9"/>
  <c r="U799" i="9"/>
  <c r="U800" i="9"/>
  <c r="U801" i="9"/>
  <c r="U802" i="9"/>
  <c r="U803" i="9"/>
  <c r="U804" i="9"/>
  <c r="U805" i="9"/>
  <c r="U806" i="9"/>
  <c r="U807" i="9"/>
  <c r="U808" i="9"/>
  <c r="U809" i="9"/>
  <c r="U810" i="9"/>
  <c r="U811" i="9"/>
  <c r="U812" i="9"/>
  <c r="U813" i="9"/>
  <c r="U814" i="9"/>
  <c r="U815" i="9"/>
  <c r="U816" i="9"/>
  <c r="U817" i="9"/>
  <c r="U818" i="9"/>
  <c r="U819" i="9"/>
  <c r="U820" i="9"/>
  <c r="U821" i="9"/>
  <c r="U822" i="9"/>
  <c r="U823" i="9"/>
  <c r="U824" i="9"/>
  <c r="U825" i="9"/>
  <c r="U826" i="9"/>
  <c r="U827" i="9"/>
  <c r="U828" i="9"/>
  <c r="U829" i="9"/>
  <c r="U830" i="9"/>
  <c r="U831" i="9"/>
  <c r="U832" i="9"/>
  <c r="U833" i="9"/>
  <c r="U834" i="9"/>
  <c r="U835" i="9"/>
  <c r="U836" i="9"/>
  <c r="U837" i="9"/>
  <c r="U838" i="9"/>
  <c r="U839" i="9"/>
  <c r="U840" i="9"/>
  <c r="U841" i="9"/>
  <c r="U842" i="9"/>
  <c r="U843" i="9"/>
  <c r="U844" i="9"/>
  <c r="U845" i="9"/>
  <c r="U846" i="9"/>
  <c r="U847" i="9"/>
  <c r="U848" i="9"/>
  <c r="U849" i="9"/>
  <c r="U850" i="9"/>
  <c r="U851" i="9"/>
  <c r="U852" i="9"/>
  <c r="U853" i="9"/>
  <c r="U854" i="9"/>
  <c r="U855" i="9"/>
  <c r="U856" i="9"/>
  <c r="U857" i="9"/>
  <c r="U858" i="9"/>
  <c r="U859" i="9"/>
  <c r="U860" i="9"/>
  <c r="U861" i="9"/>
  <c r="U862" i="9"/>
  <c r="U863" i="9"/>
  <c r="U864" i="9"/>
  <c r="U865" i="9"/>
  <c r="U866" i="9"/>
  <c r="U867" i="9"/>
  <c r="U868" i="9"/>
  <c r="U869" i="9"/>
  <c r="U870" i="9"/>
  <c r="U871" i="9"/>
  <c r="U872" i="9"/>
  <c r="U873" i="9"/>
  <c r="U874" i="9"/>
  <c r="U875" i="9"/>
  <c r="U876" i="9"/>
  <c r="U877" i="9"/>
  <c r="U878" i="9"/>
  <c r="U879" i="9"/>
  <c r="U880" i="9"/>
  <c r="U881" i="9"/>
  <c r="U882" i="9"/>
  <c r="U883" i="9"/>
  <c r="U884" i="9"/>
  <c r="U885" i="9"/>
  <c r="U886" i="9"/>
  <c r="U887" i="9"/>
  <c r="U888" i="9"/>
  <c r="U889" i="9"/>
  <c r="U890" i="9"/>
  <c r="U891" i="9"/>
  <c r="U892" i="9"/>
  <c r="U893" i="9"/>
  <c r="U894" i="9"/>
  <c r="U895" i="9"/>
  <c r="U896" i="9"/>
  <c r="U897" i="9"/>
  <c r="U898" i="9"/>
  <c r="U899" i="9"/>
  <c r="U900" i="9"/>
  <c r="U901" i="9"/>
  <c r="U902" i="9"/>
  <c r="U903" i="9"/>
  <c r="U904" i="9"/>
  <c r="U905" i="9"/>
  <c r="U906" i="9"/>
  <c r="U907" i="9"/>
  <c r="U908" i="9"/>
  <c r="U909" i="9"/>
  <c r="U910" i="9"/>
  <c r="U911" i="9"/>
  <c r="U912" i="9"/>
  <c r="U913" i="9"/>
  <c r="U914" i="9"/>
  <c r="U915" i="9"/>
  <c r="U916" i="9"/>
  <c r="U917" i="9"/>
  <c r="U918" i="9"/>
  <c r="U919" i="9"/>
  <c r="U920" i="9"/>
  <c r="U921" i="9"/>
  <c r="U922" i="9"/>
  <c r="U923" i="9"/>
  <c r="U924" i="9"/>
  <c r="U925" i="9"/>
  <c r="U926" i="9"/>
  <c r="U927" i="9"/>
  <c r="U928" i="9"/>
  <c r="U929" i="9"/>
  <c r="U930" i="9"/>
  <c r="U931" i="9"/>
  <c r="U932" i="9"/>
  <c r="U933" i="9"/>
  <c r="U934" i="9"/>
  <c r="U935" i="9"/>
  <c r="U936" i="9"/>
  <c r="U937" i="9"/>
  <c r="U938" i="9"/>
  <c r="U939" i="9"/>
  <c r="U940" i="9"/>
  <c r="U941" i="9"/>
  <c r="U942" i="9"/>
  <c r="U943" i="9"/>
  <c r="U944" i="9"/>
  <c r="U945" i="9"/>
  <c r="U946" i="9"/>
  <c r="U947" i="9"/>
  <c r="U948" i="9"/>
  <c r="U949" i="9"/>
  <c r="U950" i="9"/>
  <c r="U951" i="9"/>
  <c r="U952" i="9"/>
  <c r="U953" i="9"/>
  <c r="U954" i="9"/>
  <c r="U955" i="9"/>
  <c r="U956" i="9"/>
  <c r="U957" i="9"/>
  <c r="U958" i="9"/>
  <c r="U959" i="9"/>
  <c r="U960" i="9"/>
  <c r="U961" i="9"/>
  <c r="U962" i="9"/>
  <c r="U963" i="9"/>
  <c r="U964" i="9"/>
  <c r="U965" i="9"/>
  <c r="U966" i="9"/>
  <c r="U967" i="9"/>
  <c r="U968" i="9"/>
  <c r="U969" i="9"/>
  <c r="U970" i="9"/>
  <c r="U971" i="9"/>
  <c r="U972" i="9"/>
  <c r="U973" i="9"/>
  <c r="U974" i="9"/>
  <c r="U975" i="9"/>
  <c r="U976" i="9"/>
  <c r="U977" i="9"/>
  <c r="U978" i="9"/>
  <c r="U979" i="9"/>
  <c r="U980" i="9"/>
  <c r="U981" i="9"/>
  <c r="U982" i="9"/>
  <c r="U983" i="9"/>
  <c r="U984" i="9"/>
  <c r="U985" i="9"/>
  <c r="U986" i="9"/>
  <c r="U987" i="9"/>
  <c r="U988" i="9"/>
  <c r="U989" i="9"/>
  <c r="U990" i="9"/>
  <c r="U991" i="9"/>
  <c r="U992" i="9"/>
  <c r="U993" i="9"/>
  <c r="U994" i="9"/>
  <c r="U995" i="9"/>
  <c r="U996" i="9"/>
  <c r="U997" i="9"/>
  <c r="U998" i="9"/>
  <c r="U999" i="9"/>
  <c r="U1000" i="9"/>
  <c r="U1001" i="9"/>
  <c r="U1002" i="9"/>
  <c r="U1003" i="9"/>
  <c r="U1004" i="9"/>
  <c r="U1005" i="9"/>
  <c r="U1006" i="9"/>
  <c r="U1007" i="9"/>
  <c r="U1008" i="9"/>
  <c r="U1009" i="9"/>
  <c r="U1010" i="9"/>
  <c r="U1011" i="9"/>
  <c r="U1012" i="9"/>
  <c r="U1013" i="9"/>
  <c r="U1014" i="9"/>
  <c r="U1015" i="9"/>
  <c r="U1016" i="9"/>
  <c r="U1017" i="9"/>
  <c r="U1018" i="9"/>
  <c r="U1019" i="9"/>
  <c r="U1020" i="9"/>
  <c r="U1021" i="9"/>
  <c r="U1022" i="9"/>
  <c r="U1023" i="9"/>
  <c r="U1024" i="9"/>
  <c r="U1025" i="9"/>
  <c r="U1026" i="9"/>
  <c r="U1027" i="9"/>
  <c r="U1028" i="9"/>
  <c r="U1029" i="9"/>
  <c r="U1030" i="9"/>
  <c r="U1031" i="9"/>
  <c r="U1032" i="9"/>
  <c r="U1033" i="9"/>
  <c r="U1034" i="9"/>
  <c r="U1035" i="9"/>
  <c r="U1036" i="9"/>
  <c r="U1037" i="9"/>
  <c r="U1038" i="9"/>
  <c r="U1039" i="9"/>
  <c r="U1040" i="9"/>
  <c r="U1041" i="9"/>
  <c r="U1042" i="9"/>
  <c r="U1043" i="9"/>
  <c r="U1044" i="9"/>
  <c r="U1045" i="9"/>
  <c r="U1046" i="9"/>
  <c r="U1047" i="9"/>
  <c r="U1048" i="9"/>
  <c r="U1049" i="9"/>
  <c r="U1050" i="9"/>
  <c r="U1051" i="9"/>
  <c r="U1052" i="9"/>
  <c r="U1053" i="9"/>
  <c r="U1054" i="9"/>
  <c r="U1055" i="9"/>
  <c r="U1056" i="9"/>
  <c r="U1057" i="9"/>
  <c r="U1058" i="9"/>
  <c r="U1059" i="9"/>
  <c r="U1060" i="9"/>
  <c r="U1061" i="9"/>
  <c r="U1062" i="9"/>
  <c r="U1063" i="9"/>
  <c r="U1064" i="9"/>
  <c r="U1065" i="9"/>
  <c r="U1066" i="9"/>
  <c r="U1067" i="9"/>
  <c r="U1068" i="9"/>
  <c r="U1069" i="9"/>
  <c r="U1070" i="9"/>
  <c r="U1071" i="9"/>
  <c r="U1072" i="9"/>
  <c r="U1073" i="9"/>
  <c r="U1074" i="9"/>
  <c r="U1075" i="9"/>
  <c r="U1076" i="9"/>
  <c r="U1077" i="9"/>
  <c r="U1078" i="9"/>
  <c r="U1079" i="9"/>
  <c r="U1080" i="9"/>
  <c r="U1081" i="9"/>
  <c r="U1082" i="9"/>
  <c r="U1083" i="9"/>
  <c r="U1084" i="9"/>
  <c r="U1085" i="9"/>
  <c r="U1086" i="9"/>
  <c r="U1087" i="9"/>
  <c r="U1088" i="9"/>
  <c r="U1089" i="9"/>
  <c r="U1090" i="9"/>
  <c r="U1091" i="9"/>
  <c r="U1092" i="9"/>
  <c r="U1093" i="9"/>
  <c r="U1094" i="9"/>
  <c r="U1095" i="9"/>
  <c r="U1096" i="9"/>
  <c r="U1097" i="9"/>
  <c r="U1098" i="9"/>
  <c r="U1099" i="9"/>
  <c r="U1100" i="9"/>
  <c r="U1101" i="9"/>
  <c r="U1102" i="9"/>
  <c r="U1103" i="9"/>
  <c r="U1104" i="9"/>
  <c r="U1105" i="9"/>
  <c r="U1106" i="9"/>
  <c r="U1107" i="9"/>
  <c r="U1108" i="9"/>
  <c r="U1109" i="9"/>
  <c r="U1110" i="9"/>
  <c r="U1111" i="9"/>
  <c r="U1112" i="9"/>
  <c r="U1113" i="9"/>
  <c r="U1114" i="9"/>
  <c r="U1115" i="9"/>
  <c r="U1116" i="9"/>
  <c r="U1117" i="9"/>
  <c r="U1118" i="9"/>
  <c r="U1119" i="9"/>
  <c r="U1120" i="9"/>
  <c r="U1121" i="9"/>
  <c r="U1122" i="9"/>
  <c r="U1123" i="9"/>
  <c r="U1124" i="9"/>
  <c r="U1125" i="9"/>
  <c r="U1126" i="9"/>
  <c r="U1127" i="9"/>
  <c r="U1128" i="9"/>
  <c r="U1129" i="9"/>
  <c r="U1130" i="9"/>
  <c r="U1131" i="9"/>
  <c r="U1132" i="9"/>
  <c r="U1133" i="9"/>
  <c r="U1134" i="9"/>
  <c r="U1135" i="9"/>
  <c r="U1136" i="9"/>
  <c r="U1137" i="9"/>
  <c r="U1138" i="9"/>
  <c r="U1139" i="9"/>
  <c r="U1140" i="9"/>
  <c r="U1141" i="9"/>
  <c r="U1142" i="9"/>
  <c r="U1143" i="9"/>
  <c r="U1144" i="9"/>
  <c r="U1145" i="9"/>
  <c r="U1146" i="9"/>
  <c r="U1147" i="9"/>
  <c r="U1148" i="9"/>
  <c r="U1149" i="9"/>
  <c r="U1150" i="9"/>
  <c r="U1151" i="9"/>
  <c r="U1152" i="9"/>
  <c r="U1153" i="9"/>
  <c r="U1154" i="9"/>
  <c r="U1155" i="9"/>
  <c r="U1156" i="9"/>
  <c r="U1157" i="9"/>
  <c r="U1158" i="9"/>
  <c r="U1159" i="9"/>
  <c r="U1160" i="9"/>
  <c r="U1161" i="9"/>
  <c r="U1162" i="9"/>
  <c r="U1163" i="9"/>
  <c r="U1164" i="9"/>
  <c r="U1165" i="9"/>
  <c r="U1166" i="9"/>
  <c r="U1167" i="9"/>
  <c r="U1168" i="9"/>
  <c r="U1169" i="9"/>
  <c r="U1170" i="9"/>
  <c r="U1171" i="9"/>
  <c r="U1172" i="9"/>
  <c r="U1173" i="9"/>
  <c r="U1174" i="9"/>
  <c r="U1175" i="9"/>
  <c r="U1176" i="9"/>
  <c r="U1177" i="9"/>
  <c r="U1178" i="9"/>
  <c r="U1179" i="9"/>
  <c r="U1180" i="9"/>
  <c r="U1181" i="9"/>
  <c r="U1182" i="9"/>
  <c r="U1183" i="9"/>
  <c r="U1184" i="9"/>
  <c r="U1185" i="9"/>
  <c r="U1186" i="9"/>
  <c r="U1187" i="9"/>
  <c r="U1188" i="9"/>
  <c r="U1189" i="9"/>
  <c r="U1190" i="9"/>
  <c r="U1191" i="9"/>
  <c r="U1192" i="9"/>
  <c r="U1193" i="9"/>
  <c r="U1194" i="9"/>
  <c r="U1195" i="9"/>
  <c r="U1196" i="9"/>
  <c r="U1197" i="9"/>
  <c r="U1198" i="9"/>
  <c r="U1199" i="9"/>
  <c r="U1200" i="9"/>
  <c r="U1201" i="9"/>
  <c r="U1202" i="9"/>
  <c r="U1203" i="9"/>
  <c r="U1204" i="9"/>
  <c r="U1205" i="9"/>
  <c r="U1206" i="9"/>
  <c r="U1207" i="9"/>
  <c r="U1208" i="9"/>
  <c r="U1209" i="9"/>
  <c r="U1210" i="9"/>
  <c r="U1211" i="9"/>
  <c r="U1212" i="9"/>
  <c r="U1213" i="9"/>
  <c r="U1214" i="9"/>
  <c r="U1215" i="9"/>
  <c r="U1216" i="9"/>
  <c r="U1217" i="9"/>
  <c r="U1218" i="9"/>
  <c r="U1219" i="9"/>
  <c r="U1220" i="9"/>
  <c r="U1221" i="9"/>
  <c r="U1222" i="9"/>
  <c r="U1223" i="9"/>
  <c r="U1224" i="9"/>
  <c r="U1225" i="9"/>
  <c r="U1226" i="9"/>
  <c r="U1227" i="9"/>
  <c r="U1228" i="9"/>
  <c r="U1229" i="9"/>
  <c r="U1230" i="9"/>
  <c r="U1231" i="9"/>
  <c r="U1232" i="9"/>
  <c r="U1233" i="9"/>
  <c r="U1234" i="9"/>
  <c r="U1235" i="9"/>
  <c r="U1236" i="9"/>
  <c r="U1237" i="9"/>
  <c r="U1238" i="9"/>
  <c r="U1239" i="9"/>
  <c r="U1240" i="9"/>
  <c r="U1241" i="9"/>
  <c r="U1242" i="9"/>
  <c r="U1243" i="9"/>
  <c r="U1244" i="9"/>
  <c r="U1245" i="9"/>
  <c r="U1246" i="9"/>
  <c r="U1247" i="9"/>
  <c r="U1248" i="9"/>
  <c r="U1249" i="9"/>
  <c r="U1250" i="9"/>
  <c r="U1251" i="9"/>
  <c r="U1252" i="9"/>
  <c r="U1253" i="9"/>
  <c r="U1254" i="9"/>
  <c r="U1255" i="9"/>
  <c r="U1256" i="9"/>
  <c r="U1257" i="9"/>
  <c r="U1258" i="9"/>
  <c r="U1259" i="9"/>
  <c r="U1260" i="9"/>
  <c r="U1261" i="9"/>
  <c r="U1262" i="9"/>
  <c r="U1263" i="9"/>
  <c r="U1264" i="9"/>
  <c r="U1265" i="9"/>
  <c r="U1266" i="9"/>
  <c r="U1267" i="9"/>
  <c r="U1268" i="9"/>
  <c r="U1269" i="9"/>
  <c r="U1270" i="9"/>
  <c r="U1271" i="9"/>
  <c r="U1272" i="9"/>
  <c r="U1273" i="9"/>
  <c r="U1274" i="9"/>
  <c r="U1275" i="9"/>
  <c r="U1276" i="9"/>
  <c r="U1277" i="9"/>
  <c r="U1278" i="9"/>
  <c r="U1279" i="9"/>
  <c r="U1280" i="9"/>
  <c r="U1281" i="9"/>
  <c r="U1282" i="9"/>
  <c r="U1283" i="9"/>
  <c r="U1284" i="9"/>
  <c r="U1285" i="9"/>
  <c r="U1286" i="9"/>
  <c r="U1287" i="9"/>
  <c r="U1288" i="9"/>
  <c r="U1289" i="9"/>
  <c r="U1290" i="9"/>
  <c r="U1291" i="9"/>
  <c r="U1292" i="9"/>
  <c r="U1293" i="9"/>
  <c r="U1294" i="9"/>
  <c r="U1295" i="9"/>
  <c r="U1296" i="9"/>
  <c r="U1297" i="9"/>
  <c r="U1298" i="9"/>
  <c r="U1299" i="9"/>
  <c r="U1300" i="9"/>
  <c r="U1301" i="9"/>
  <c r="U1302" i="9"/>
  <c r="U1303" i="9"/>
  <c r="U1304" i="9"/>
  <c r="U1305" i="9"/>
  <c r="U1306" i="9"/>
  <c r="U1307" i="9"/>
  <c r="U1308" i="9"/>
  <c r="U1309" i="9"/>
  <c r="U1310" i="9"/>
  <c r="U1311" i="9"/>
  <c r="U1312" i="9"/>
  <c r="U1313" i="9"/>
  <c r="U1314" i="9"/>
  <c r="U1315" i="9"/>
  <c r="U1316" i="9"/>
  <c r="U1317" i="9"/>
  <c r="U1318" i="9"/>
  <c r="U1319" i="9"/>
  <c r="U1320" i="9"/>
  <c r="U1321" i="9"/>
  <c r="U1322" i="9"/>
  <c r="U1323" i="9"/>
  <c r="U1324" i="9"/>
  <c r="U1325" i="9"/>
  <c r="U1326" i="9"/>
  <c r="U1327" i="9"/>
  <c r="U1328" i="9"/>
  <c r="U1329" i="9"/>
  <c r="U1330" i="9"/>
  <c r="U1331" i="9"/>
  <c r="U1332" i="9"/>
  <c r="U1333" i="9"/>
  <c r="U1334" i="9"/>
  <c r="U1335" i="9"/>
  <c r="U1336" i="9"/>
  <c r="U1337" i="9"/>
  <c r="U1338" i="9"/>
  <c r="U1339" i="9"/>
  <c r="U1340" i="9"/>
  <c r="U1341" i="9"/>
  <c r="U1342" i="9"/>
  <c r="U1343" i="9"/>
  <c r="U1344" i="9"/>
  <c r="U1345" i="9"/>
  <c r="U1346" i="9"/>
  <c r="U1347" i="9"/>
  <c r="U1348" i="9"/>
  <c r="U1349" i="9"/>
  <c r="U1350" i="9"/>
  <c r="U1351" i="9"/>
  <c r="U1352" i="9"/>
  <c r="U1353" i="9"/>
  <c r="U1354" i="9"/>
  <c r="U1355" i="9"/>
  <c r="U1356" i="9"/>
  <c r="U1357" i="9"/>
  <c r="U1358" i="9"/>
  <c r="U1359" i="9"/>
  <c r="U1360" i="9"/>
  <c r="U1361" i="9"/>
  <c r="U1362" i="9"/>
  <c r="U1363" i="9"/>
  <c r="U1364" i="9"/>
  <c r="U1365" i="9"/>
  <c r="U1366" i="9"/>
  <c r="U1367" i="9"/>
  <c r="U1368" i="9"/>
  <c r="U1369" i="9"/>
  <c r="U1370" i="9"/>
  <c r="U1371" i="9"/>
  <c r="U1372" i="9"/>
  <c r="U1373" i="9"/>
  <c r="U1374" i="9"/>
  <c r="U1375" i="9"/>
  <c r="U1376" i="9"/>
  <c r="U1377" i="9"/>
  <c r="U1378" i="9"/>
  <c r="U1379" i="9"/>
  <c r="U1380" i="9"/>
  <c r="U1381" i="9"/>
  <c r="U1382" i="9"/>
  <c r="U1383" i="9"/>
  <c r="U1384" i="9"/>
  <c r="U1385" i="9"/>
  <c r="U1386" i="9"/>
  <c r="U1387" i="9"/>
  <c r="U1388" i="9"/>
  <c r="U1389" i="9"/>
  <c r="U1390" i="9"/>
  <c r="U1391" i="9"/>
  <c r="U1392" i="9"/>
  <c r="U1393" i="9"/>
  <c r="U1394" i="9"/>
  <c r="U1395" i="9"/>
  <c r="U1396" i="9"/>
  <c r="U1397" i="9"/>
  <c r="U1398" i="9"/>
  <c r="U1399" i="9"/>
  <c r="U1400" i="9"/>
  <c r="U1401" i="9"/>
  <c r="U1402" i="9"/>
  <c r="U1403" i="9"/>
  <c r="U1404" i="9"/>
  <c r="U1405" i="9"/>
  <c r="U1406" i="9"/>
  <c r="U1407" i="9"/>
  <c r="U1408" i="9"/>
  <c r="U1409" i="9"/>
  <c r="U1410" i="9"/>
  <c r="U1411" i="9"/>
  <c r="U1412" i="9"/>
  <c r="U1413" i="9"/>
  <c r="U1414" i="9"/>
  <c r="U1415" i="9"/>
  <c r="U1416" i="9"/>
  <c r="U1417" i="9"/>
  <c r="U1418" i="9"/>
  <c r="U1419" i="9"/>
  <c r="U1420" i="9"/>
  <c r="U1421" i="9"/>
  <c r="U1422" i="9"/>
  <c r="U1423" i="9"/>
  <c r="U1424" i="9"/>
  <c r="U1425" i="9"/>
  <c r="U1426" i="9"/>
  <c r="U1427" i="9"/>
  <c r="U1428" i="9"/>
  <c r="U1429" i="9"/>
  <c r="U1430" i="9"/>
  <c r="U1431" i="9"/>
  <c r="U1432" i="9"/>
  <c r="U1433" i="9"/>
  <c r="U1434" i="9"/>
  <c r="U1435" i="9"/>
  <c r="U1436" i="9"/>
  <c r="U1437" i="9"/>
  <c r="U1438" i="9"/>
  <c r="U1439" i="9"/>
  <c r="U1440" i="9"/>
  <c r="U1441" i="9"/>
  <c r="U1442" i="9"/>
  <c r="U1443" i="9"/>
  <c r="U1444" i="9"/>
  <c r="U1445" i="9"/>
  <c r="U1446" i="9"/>
  <c r="U1447" i="9"/>
  <c r="U1448" i="9"/>
  <c r="U1449" i="9"/>
  <c r="U1450" i="9"/>
  <c r="U1451" i="9"/>
  <c r="U1452" i="9"/>
  <c r="U1453" i="9"/>
  <c r="U1454" i="9"/>
  <c r="U1455" i="9"/>
  <c r="U1456" i="9"/>
  <c r="U1457" i="9"/>
  <c r="U1458" i="9"/>
  <c r="U1459" i="9"/>
  <c r="U1460" i="9"/>
  <c r="U1461" i="9"/>
  <c r="U1462" i="9"/>
  <c r="U1463" i="9"/>
  <c r="U1464" i="9"/>
  <c r="U1465" i="9"/>
  <c r="U1466" i="9"/>
  <c r="U1467" i="9"/>
  <c r="U1468" i="9"/>
  <c r="U1469" i="9"/>
  <c r="U1470" i="9"/>
  <c r="U1471" i="9"/>
  <c r="U1472" i="9"/>
  <c r="U1473" i="9"/>
  <c r="U1474" i="9"/>
  <c r="U1475" i="9"/>
  <c r="U1476" i="9"/>
  <c r="U1477" i="9"/>
  <c r="U1478" i="9"/>
  <c r="U1479" i="9"/>
  <c r="U1480" i="9"/>
  <c r="U1481" i="9"/>
  <c r="U1482" i="9"/>
  <c r="U1483" i="9"/>
  <c r="U1484" i="9"/>
  <c r="U1485" i="9"/>
  <c r="U1486" i="9"/>
  <c r="U1487" i="9"/>
  <c r="U1488" i="9"/>
  <c r="U1489" i="9"/>
  <c r="U1490" i="9"/>
  <c r="U1491" i="9"/>
  <c r="U1492" i="9"/>
  <c r="U1493" i="9"/>
  <c r="U1494" i="9"/>
  <c r="U1495" i="9"/>
  <c r="U1496" i="9"/>
  <c r="U1497" i="9"/>
  <c r="U1498" i="9"/>
  <c r="U1499" i="9"/>
  <c r="U1500" i="9"/>
  <c r="U1501" i="9"/>
  <c r="U1502" i="9"/>
  <c r="U1503" i="9"/>
  <c r="U1504" i="9"/>
  <c r="U1505" i="9"/>
  <c r="U1506" i="9"/>
  <c r="U1507" i="9"/>
  <c r="U1508" i="9"/>
  <c r="U1509" i="9"/>
  <c r="U1510" i="9"/>
  <c r="U1511" i="9"/>
  <c r="U1512" i="9"/>
  <c r="U1513" i="9"/>
  <c r="U1514" i="9"/>
  <c r="U1515" i="9"/>
  <c r="U1516" i="9"/>
  <c r="U1517" i="9"/>
  <c r="U1518" i="9"/>
  <c r="U1519" i="9"/>
  <c r="U1520" i="9"/>
  <c r="U1521" i="9"/>
  <c r="U1522" i="9"/>
  <c r="U1523" i="9"/>
  <c r="U1524" i="9"/>
  <c r="U1525" i="9"/>
  <c r="U1526" i="9"/>
  <c r="U1527" i="9"/>
  <c r="U1528" i="9"/>
  <c r="U1529" i="9"/>
  <c r="U1530" i="9"/>
  <c r="U1531" i="9"/>
  <c r="U1532" i="9"/>
  <c r="U1533" i="9"/>
  <c r="U1534" i="9"/>
  <c r="U1535" i="9"/>
  <c r="U1536" i="9"/>
  <c r="U1537" i="9"/>
  <c r="U1538" i="9"/>
  <c r="U1539" i="9"/>
  <c r="U1540" i="9"/>
  <c r="U1541" i="9"/>
  <c r="U1542" i="9"/>
  <c r="U1543" i="9"/>
  <c r="U1544" i="9"/>
  <c r="U1545" i="9"/>
  <c r="U1546" i="9"/>
  <c r="U1547" i="9"/>
  <c r="U1548" i="9"/>
  <c r="U1549" i="9"/>
  <c r="U1550" i="9"/>
  <c r="U1551" i="9"/>
  <c r="U1552" i="9"/>
  <c r="U1553" i="9"/>
  <c r="U1554" i="9"/>
  <c r="U1555" i="9"/>
  <c r="U1556" i="9"/>
  <c r="U1557" i="9"/>
  <c r="U1558" i="9"/>
  <c r="U1559" i="9"/>
  <c r="U1560" i="9"/>
  <c r="U1561" i="9"/>
  <c r="U1562" i="9"/>
  <c r="U1563" i="9"/>
  <c r="U1564" i="9"/>
  <c r="U1565" i="9"/>
  <c r="U1566" i="9"/>
  <c r="U1567" i="9"/>
  <c r="U1568" i="9"/>
  <c r="U1569" i="9"/>
  <c r="U1570" i="9"/>
  <c r="U1571" i="9"/>
  <c r="U1572" i="9"/>
  <c r="U1573" i="9"/>
  <c r="U1574" i="9"/>
  <c r="U1575" i="9"/>
  <c r="U1576" i="9"/>
  <c r="U1577" i="9"/>
  <c r="U1578" i="9"/>
  <c r="U1579" i="9"/>
  <c r="U1580" i="9"/>
  <c r="U1581" i="9"/>
  <c r="U1582" i="9"/>
  <c r="U1583" i="9"/>
  <c r="U1584" i="9"/>
  <c r="U1585" i="9"/>
  <c r="U1586" i="9"/>
  <c r="U1587" i="9"/>
  <c r="U1588" i="9"/>
  <c r="U1589" i="9"/>
  <c r="U1590" i="9"/>
  <c r="U1591" i="9"/>
  <c r="U1592" i="9"/>
  <c r="U1593" i="9"/>
  <c r="U1594" i="9"/>
  <c r="U1595" i="9"/>
  <c r="U1596" i="9"/>
  <c r="U1597" i="9"/>
  <c r="U1598" i="9"/>
  <c r="U1599" i="9"/>
  <c r="U1600" i="9"/>
  <c r="U1601" i="9"/>
  <c r="U1602" i="9"/>
  <c r="U1603" i="9"/>
  <c r="U1604" i="9"/>
  <c r="U1605" i="9"/>
  <c r="U1606" i="9"/>
  <c r="U1607" i="9"/>
  <c r="U1608" i="9"/>
  <c r="U1609" i="9"/>
  <c r="U1610" i="9"/>
  <c r="U1611" i="9"/>
  <c r="U1612" i="9"/>
  <c r="U1613" i="9"/>
  <c r="U1614" i="9"/>
  <c r="U1615" i="9"/>
  <c r="U1616" i="9"/>
  <c r="U1617" i="9"/>
  <c r="U1618" i="9"/>
  <c r="U1619" i="9"/>
  <c r="U1620" i="9"/>
  <c r="U1621" i="9"/>
  <c r="U1622" i="9"/>
  <c r="U1623" i="9"/>
  <c r="U1624" i="9"/>
  <c r="U1625" i="9"/>
  <c r="U1626" i="9"/>
  <c r="U1627" i="9"/>
  <c r="U1628" i="9"/>
  <c r="U1629" i="9"/>
  <c r="U1630" i="9"/>
  <c r="U1631" i="9"/>
  <c r="U1632" i="9"/>
  <c r="U1633" i="9"/>
  <c r="U1634" i="9"/>
  <c r="U1635" i="9"/>
  <c r="U1636" i="9"/>
  <c r="U1637" i="9"/>
  <c r="U1638" i="9"/>
  <c r="U1639" i="9"/>
  <c r="U1640" i="9"/>
  <c r="U1641" i="9"/>
  <c r="U1642" i="9"/>
  <c r="U1643" i="9"/>
  <c r="U1644" i="9"/>
  <c r="U1645" i="9"/>
  <c r="U1646" i="9"/>
  <c r="U1647" i="9"/>
  <c r="U1648" i="9"/>
  <c r="U1649" i="9"/>
  <c r="U1650" i="9"/>
  <c r="U1651" i="9"/>
  <c r="U1652" i="9"/>
  <c r="U1653" i="9"/>
  <c r="U1654" i="9"/>
  <c r="U1655" i="9"/>
  <c r="U1656" i="9"/>
  <c r="U1657" i="9"/>
  <c r="U1658" i="9"/>
  <c r="U1659" i="9"/>
  <c r="U1660" i="9"/>
  <c r="U1661" i="9"/>
  <c r="U1662" i="9"/>
  <c r="U1663" i="9"/>
  <c r="U1664" i="9"/>
  <c r="U1665" i="9"/>
  <c r="U1666" i="9"/>
  <c r="U1667" i="9"/>
  <c r="U1668" i="9"/>
  <c r="U1669" i="9"/>
  <c r="U1670" i="9"/>
  <c r="U1671" i="9"/>
  <c r="U1672" i="9"/>
  <c r="U1673" i="9"/>
  <c r="U1674" i="9"/>
  <c r="U1675" i="9"/>
  <c r="U1676" i="9"/>
  <c r="U1677" i="9"/>
  <c r="U1678" i="9"/>
  <c r="U1679" i="9"/>
  <c r="U1680" i="9"/>
  <c r="U1681" i="9"/>
  <c r="U1682" i="9"/>
  <c r="U1683" i="9"/>
  <c r="U1684" i="9"/>
  <c r="U1685" i="9"/>
  <c r="U1686" i="9"/>
  <c r="U1687" i="9"/>
  <c r="U1688" i="9"/>
  <c r="U1689" i="9"/>
  <c r="U1690" i="9"/>
  <c r="U1691" i="9"/>
  <c r="U1692" i="9"/>
  <c r="U1693" i="9"/>
  <c r="U1694" i="9"/>
  <c r="U1695" i="9"/>
  <c r="U1696" i="9"/>
  <c r="U1697" i="9"/>
  <c r="U1698" i="9"/>
  <c r="U1699" i="9"/>
  <c r="U1700" i="9"/>
  <c r="U1701" i="9"/>
  <c r="U1702" i="9"/>
  <c r="U1703" i="9"/>
  <c r="U1704" i="9"/>
  <c r="U1705" i="9"/>
  <c r="U1706" i="9"/>
  <c r="U1707" i="9"/>
  <c r="U1708" i="9"/>
  <c r="U1709" i="9"/>
  <c r="U1710" i="9"/>
  <c r="U1711" i="9"/>
  <c r="U1712" i="9"/>
  <c r="U1713" i="9"/>
  <c r="U1714" i="9"/>
  <c r="U1715" i="9"/>
  <c r="U1716" i="9"/>
  <c r="U1717" i="9"/>
  <c r="U1718" i="9"/>
  <c r="U1719" i="9"/>
  <c r="U1720" i="9"/>
  <c r="U1721" i="9"/>
  <c r="U1722" i="9"/>
  <c r="U1723" i="9"/>
  <c r="U1724" i="9"/>
  <c r="U1725" i="9"/>
  <c r="U1726" i="9"/>
  <c r="U1727" i="9"/>
  <c r="U1728" i="9"/>
  <c r="U1729" i="9"/>
  <c r="U1730"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439" i="9"/>
  <c r="R440" i="9"/>
  <c r="R441"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1"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501" i="9"/>
  <c r="R502" i="9"/>
  <c r="R503" i="9"/>
  <c r="R504" i="9"/>
  <c r="R505" i="9"/>
  <c r="R506" i="9"/>
  <c r="R507" i="9"/>
  <c r="R508" i="9"/>
  <c r="R509" i="9"/>
  <c r="R510" i="9"/>
  <c r="R511" i="9"/>
  <c r="R512" i="9"/>
  <c r="R513" i="9"/>
  <c r="R514" i="9"/>
  <c r="R515" i="9"/>
  <c r="R516" i="9"/>
  <c r="R517" i="9"/>
  <c r="R518" i="9"/>
  <c r="R519" i="9"/>
  <c r="R520" i="9"/>
  <c r="R521" i="9"/>
  <c r="R522" i="9"/>
  <c r="R523" i="9"/>
  <c r="R524" i="9"/>
  <c r="R525" i="9"/>
  <c r="R526" i="9"/>
  <c r="R527" i="9"/>
  <c r="R528" i="9"/>
  <c r="R529" i="9"/>
  <c r="R530" i="9"/>
  <c r="R531" i="9"/>
  <c r="R532" i="9"/>
  <c r="R533" i="9"/>
  <c r="R534" i="9"/>
  <c r="R535" i="9"/>
  <c r="R536" i="9"/>
  <c r="R537" i="9"/>
  <c r="R538" i="9"/>
  <c r="R539" i="9"/>
  <c r="R540" i="9"/>
  <c r="R541" i="9"/>
  <c r="R542" i="9"/>
  <c r="R543" i="9"/>
  <c r="R544" i="9"/>
  <c r="R545" i="9"/>
  <c r="R546" i="9"/>
  <c r="R547" i="9"/>
  <c r="R548" i="9"/>
  <c r="R549" i="9"/>
  <c r="R550" i="9"/>
  <c r="R551" i="9"/>
  <c r="R552" i="9"/>
  <c r="R553" i="9"/>
  <c r="R554" i="9"/>
  <c r="R555" i="9"/>
  <c r="R556" i="9"/>
  <c r="R557" i="9"/>
  <c r="R558" i="9"/>
  <c r="R559" i="9"/>
  <c r="R560" i="9"/>
  <c r="R561" i="9"/>
  <c r="R562" i="9"/>
  <c r="R563" i="9"/>
  <c r="R564" i="9"/>
  <c r="R565" i="9"/>
  <c r="R566" i="9"/>
  <c r="R567" i="9"/>
  <c r="R568" i="9"/>
  <c r="R569" i="9"/>
  <c r="R570" i="9"/>
  <c r="R571" i="9"/>
  <c r="R572" i="9"/>
  <c r="R573" i="9"/>
  <c r="R574" i="9"/>
  <c r="R575" i="9"/>
  <c r="R576" i="9"/>
  <c r="R577" i="9"/>
  <c r="R578" i="9"/>
  <c r="R579" i="9"/>
  <c r="R580" i="9"/>
  <c r="R581" i="9"/>
  <c r="R582" i="9"/>
  <c r="R583" i="9"/>
  <c r="R584" i="9"/>
  <c r="R585" i="9"/>
  <c r="R586" i="9"/>
  <c r="R587" i="9"/>
  <c r="R588" i="9"/>
  <c r="R589" i="9"/>
  <c r="R590" i="9"/>
  <c r="R591" i="9"/>
  <c r="R592" i="9"/>
  <c r="R593" i="9"/>
  <c r="R594" i="9"/>
  <c r="R595" i="9"/>
  <c r="R596" i="9"/>
  <c r="R597" i="9"/>
  <c r="R598" i="9"/>
  <c r="R599" i="9"/>
  <c r="R600" i="9"/>
  <c r="R601" i="9"/>
  <c r="R602" i="9"/>
  <c r="R603" i="9"/>
  <c r="R604" i="9"/>
  <c r="R605" i="9"/>
  <c r="R606" i="9"/>
  <c r="R607" i="9"/>
  <c r="R608" i="9"/>
  <c r="R609" i="9"/>
  <c r="R610" i="9"/>
  <c r="R611" i="9"/>
  <c r="R612" i="9"/>
  <c r="R613" i="9"/>
  <c r="R614" i="9"/>
  <c r="R615" i="9"/>
  <c r="R616" i="9"/>
  <c r="R617" i="9"/>
  <c r="R618" i="9"/>
  <c r="R619" i="9"/>
  <c r="R620" i="9"/>
  <c r="R621" i="9"/>
  <c r="R622" i="9"/>
  <c r="R623" i="9"/>
  <c r="R624" i="9"/>
  <c r="R625" i="9"/>
  <c r="R626" i="9"/>
  <c r="R627" i="9"/>
  <c r="R628" i="9"/>
  <c r="R629" i="9"/>
  <c r="R630" i="9"/>
  <c r="R631" i="9"/>
  <c r="R632" i="9"/>
  <c r="R633" i="9"/>
  <c r="R634" i="9"/>
  <c r="R635" i="9"/>
  <c r="R636" i="9"/>
  <c r="R637" i="9"/>
  <c r="R638" i="9"/>
  <c r="R639" i="9"/>
  <c r="R640" i="9"/>
  <c r="R641" i="9"/>
  <c r="R642" i="9"/>
  <c r="R643" i="9"/>
  <c r="R644" i="9"/>
  <c r="R645" i="9"/>
  <c r="R646" i="9"/>
  <c r="R647" i="9"/>
  <c r="R648" i="9"/>
  <c r="R649" i="9"/>
  <c r="R650" i="9"/>
  <c r="R651" i="9"/>
  <c r="R652" i="9"/>
  <c r="R653" i="9"/>
  <c r="R654" i="9"/>
  <c r="R655" i="9"/>
  <c r="R656" i="9"/>
  <c r="R657" i="9"/>
  <c r="R658" i="9"/>
  <c r="R659" i="9"/>
  <c r="R660" i="9"/>
  <c r="R661" i="9"/>
  <c r="R662" i="9"/>
  <c r="R663" i="9"/>
  <c r="R664" i="9"/>
  <c r="R665" i="9"/>
  <c r="R666" i="9"/>
  <c r="R667" i="9"/>
  <c r="R668" i="9"/>
  <c r="R669" i="9"/>
  <c r="R670" i="9"/>
  <c r="R671" i="9"/>
  <c r="R672" i="9"/>
  <c r="R673" i="9"/>
  <c r="R674" i="9"/>
  <c r="R675" i="9"/>
  <c r="R676" i="9"/>
  <c r="R677" i="9"/>
  <c r="R678" i="9"/>
  <c r="R679" i="9"/>
  <c r="R680" i="9"/>
  <c r="R681" i="9"/>
  <c r="R682" i="9"/>
  <c r="R683" i="9"/>
  <c r="R684" i="9"/>
  <c r="R685" i="9"/>
  <c r="R686" i="9"/>
  <c r="R687" i="9"/>
  <c r="R688" i="9"/>
  <c r="R689" i="9"/>
  <c r="R690" i="9"/>
  <c r="R691" i="9"/>
  <c r="R692" i="9"/>
  <c r="R693" i="9"/>
  <c r="R694" i="9"/>
  <c r="R695" i="9"/>
  <c r="R696" i="9"/>
  <c r="R697" i="9"/>
  <c r="R698" i="9"/>
  <c r="R699" i="9"/>
  <c r="R700" i="9"/>
  <c r="R701" i="9"/>
  <c r="R702" i="9"/>
  <c r="R703" i="9"/>
  <c r="R704" i="9"/>
  <c r="R705" i="9"/>
  <c r="R706" i="9"/>
  <c r="R707" i="9"/>
  <c r="R708" i="9"/>
  <c r="R709" i="9"/>
  <c r="R710" i="9"/>
  <c r="R711" i="9"/>
  <c r="R712" i="9"/>
  <c r="R713" i="9"/>
  <c r="R714" i="9"/>
  <c r="R715" i="9"/>
  <c r="R716" i="9"/>
  <c r="R717" i="9"/>
  <c r="R718" i="9"/>
  <c r="R719" i="9"/>
  <c r="R720" i="9"/>
  <c r="R721" i="9"/>
  <c r="R722" i="9"/>
  <c r="R723" i="9"/>
  <c r="R724" i="9"/>
  <c r="R725" i="9"/>
  <c r="R726" i="9"/>
  <c r="R727" i="9"/>
  <c r="R728" i="9"/>
  <c r="R729" i="9"/>
  <c r="R730" i="9"/>
  <c r="R731" i="9"/>
  <c r="R732" i="9"/>
  <c r="R733" i="9"/>
  <c r="R734" i="9"/>
  <c r="R735" i="9"/>
  <c r="R736" i="9"/>
  <c r="R737" i="9"/>
  <c r="R738" i="9"/>
  <c r="R739" i="9"/>
  <c r="R740" i="9"/>
  <c r="R741" i="9"/>
  <c r="R742" i="9"/>
  <c r="R743" i="9"/>
  <c r="R744" i="9"/>
  <c r="R745" i="9"/>
  <c r="R746" i="9"/>
  <c r="R747" i="9"/>
  <c r="R748" i="9"/>
  <c r="R749" i="9"/>
  <c r="R750" i="9"/>
  <c r="R751" i="9"/>
  <c r="R752" i="9"/>
  <c r="R753" i="9"/>
  <c r="R754" i="9"/>
  <c r="R755" i="9"/>
  <c r="R756" i="9"/>
  <c r="R757" i="9"/>
  <c r="R758" i="9"/>
  <c r="R759" i="9"/>
  <c r="R760" i="9"/>
  <c r="R761" i="9"/>
  <c r="R762" i="9"/>
  <c r="R763" i="9"/>
  <c r="R764" i="9"/>
  <c r="R765" i="9"/>
  <c r="R766" i="9"/>
  <c r="R767" i="9"/>
  <c r="R768" i="9"/>
  <c r="R769" i="9"/>
  <c r="R770" i="9"/>
  <c r="R771" i="9"/>
  <c r="R772" i="9"/>
  <c r="R773" i="9"/>
  <c r="R774" i="9"/>
  <c r="R775" i="9"/>
  <c r="R776" i="9"/>
  <c r="R777" i="9"/>
  <c r="R778" i="9"/>
  <c r="R779" i="9"/>
  <c r="R780" i="9"/>
  <c r="R781" i="9"/>
  <c r="R782" i="9"/>
  <c r="R783" i="9"/>
  <c r="R784" i="9"/>
  <c r="R785" i="9"/>
  <c r="R786" i="9"/>
  <c r="R787" i="9"/>
  <c r="R788" i="9"/>
  <c r="R789" i="9"/>
  <c r="R790" i="9"/>
  <c r="R791" i="9"/>
  <c r="R792" i="9"/>
  <c r="R793" i="9"/>
  <c r="R794" i="9"/>
  <c r="R795" i="9"/>
  <c r="R796" i="9"/>
  <c r="R797" i="9"/>
  <c r="R798" i="9"/>
  <c r="R799" i="9"/>
  <c r="R800" i="9"/>
  <c r="R801" i="9"/>
  <c r="R802" i="9"/>
  <c r="R803" i="9"/>
  <c r="R804" i="9"/>
  <c r="R805" i="9"/>
  <c r="R806" i="9"/>
  <c r="R807" i="9"/>
  <c r="R808" i="9"/>
  <c r="R809" i="9"/>
  <c r="R810" i="9"/>
  <c r="R811" i="9"/>
  <c r="R812" i="9"/>
  <c r="R813" i="9"/>
  <c r="R814" i="9"/>
  <c r="R815" i="9"/>
  <c r="R816" i="9"/>
  <c r="R817" i="9"/>
  <c r="R818" i="9"/>
  <c r="R819" i="9"/>
  <c r="R820" i="9"/>
  <c r="R821" i="9"/>
  <c r="R822" i="9"/>
  <c r="R823" i="9"/>
  <c r="R824" i="9"/>
  <c r="R825" i="9"/>
  <c r="R826" i="9"/>
  <c r="R827" i="9"/>
  <c r="R828" i="9"/>
  <c r="R829" i="9"/>
  <c r="R830" i="9"/>
  <c r="R831" i="9"/>
  <c r="R832" i="9"/>
  <c r="R833" i="9"/>
  <c r="R834" i="9"/>
  <c r="R835" i="9"/>
  <c r="R836" i="9"/>
  <c r="R837" i="9"/>
  <c r="R838" i="9"/>
  <c r="R839" i="9"/>
  <c r="R840" i="9"/>
  <c r="R841" i="9"/>
  <c r="R842" i="9"/>
  <c r="R843" i="9"/>
  <c r="R844" i="9"/>
  <c r="R845" i="9"/>
  <c r="R846" i="9"/>
  <c r="R847" i="9"/>
  <c r="R848" i="9"/>
  <c r="R849" i="9"/>
  <c r="R850" i="9"/>
  <c r="R851" i="9"/>
  <c r="R852" i="9"/>
  <c r="R853" i="9"/>
  <c r="R854" i="9"/>
  <c r="R855" i="9"/>
  <c r="R856" i="9"/>
  <c r="R857" i="9"/>
  <c r="R858" i="9"/>
  <c r="R859" i="9"/>
  <c r="R860" i="9"/>
  <c r="R861" i="9"/>
  <c r="R862" i="9"/>
  <c r="R863" i="9"/>
  <c r="R864" i="9"/>
  <c r="R865" i="9"/>
  <c r="R866" i="9"/>
  <c r="R867" i="9"/>
  <c r="R868" i="9"/>
  <c r="R869" i="9"/>
  <c r="R870" i="9"/>
  <c r="R871" i="9"/>
  <c r="R872" i="9"/>
  <c r="R873" i="9"/>
  <c r="R874" i="9"/>
  <c r="R875" i="9"/>
  <c r="R876" i="9"/>
  <c r="R877" i="9"/>
  <c r="R878" i="9"/>
  <c r="R879" i="9"/>
  <c r="R880" i="9"/>
  <c r="R881" i="9"/>
  <c r="R882" i="9"/>
  <c r="R883" i="9"/>
  <c r="R884" i="9"/>
  <c r="R885" i="9"/>
  <c r="R886" i="9"/>
  <c r="R887" i="9"/>
  <c r="R888" i="9"/>
  <c r="R889" i="9"/>
  <c r="R890" i="9"/>
  <c r="R891" i="9"/>
  <c r="R892" i="9"/>
  <c r="R893" i="9"/>
  <c r="R894" i="9"/>
  <c r="R895" i="9"/>
  <c r="R896" i="9"/>
  <c r="R897" i="9"/>
  <c r="R898" i="9"/>
  <c r="R899" i="9"/>
  <c r="R900" i="9"/>
  <c r="R901" i="9"/>
  <c r="R902" i="9"/>
  <c r="R903" i="9"/>
  <c r="R904" i="9"/>
  <c r="R905" i="9"/>
  <c r="R906" i="9"/>
  <c r="R907" i="9"/>
  <c r="R908" i="9"/>
  <c r="R909" i="9"/>
  <c r="R910" i="9"/>
  <c r="R911" i="9"/>
  <c r="R912" i="9"/>
  <c r="R913" i="9"/>
  <c r="R914" i="9"/>
  <c r="R915" i="9"/>
  <c r="R916" i="9"/>
  <c r="R917" i="9"/>
  <c r="R918" i="9"/>
  <c r="R919" i="9"/>
  <c r="R920" i="9"/>
  <c r="R921" i="9"/>
  <c r="R922" i="9"/>
  <c r="R923" i="9"/>
  <c r="R924" i="9"/>
  <c r="R925" i="9"/>
  <c r="R926" i="9"/>
  <c r="R927" i="9"/>
  <c r="R928" i="9"/>
  <c r="R929" i="9"/>
  <c r="R930" i="9"/>
  <c r="R931" i="9"/>
  <c r="R932" i="9"/>
  <c r="R933" i="9"/>
  <c r="R934" i="9"/>
  <c r="R935" i="9"/>
  <c r="R936" i="9"/>
  <c r="R937" i="9"/>
  <c r="R938" i="9"/>
  <c r="R939" i="9"/>
  <c r="R940" i="9"/>
  <c r="R941" i="9"/>
  <c r="R942" i="9"/>
  <c r="R943" i="9"/>
  <c r="R944" i="9"/>
  <c r="R945" i="9"/>
  <c r="R946" i="9"/>
  <c r="R947" i="9"/>
  <c r="R948" i="9"/>
  <c r="R949" i="9"/>
  <c r="R950" i="9"/>
  <c r="R951" i="9"/>
  <c r="R952" i="9"/>
  <c r="R953" i="9"/>
  <c r="R954" i="9"/>
  <c r="R955" i="9"/>
  <c r="R956" i="9"/>
  <c r="R957" i="9"/>
  <c r="R958" i="9"/>
  <c r="R959" i="9"/>
  <c r="R960" i="9"/>
  <c r="R961" i="9"/>
  <c r="R962" i="9"/>
  <c r="R963" i="9"/>
  <c r="R964" i="9"/>
  <c r="R965" i="9"/>
  <c r="R966" i="9"/>
  <c r="R967" i="9"/>
  <c r="R968" i="9"/>
  <c r="R969" i="9"/>
  <c r="R970" i="9"/>
  <c r="R971" i="9"/>
  <c r="R972" i="9"/>
  <c r="R973" i="9"/>
  <c r="R974" i="9"/>
  <c r="R975" i="9"/>
  <c r="R976" i="9"/>
  <c r="R977" i="9"/>
  <c r="R978" i="9"/>
  <c r="R979" i="9"/>
  <c r="R980" i="9"/>
  <c r="R981" i="9"/>
  <c r="R982" i="9"/>
  <c r="R983" i="9"/>
  <c r="R984" i="9"/>
  <c r="R985" i="9"/>
  <c r="R986" i="9"/>
  <c r="R987" i="9"/>
  <c r="R988" i="9"/>
  <c r="R989" i="9"/>
  <c r="R990" i="9"/>
  <c r="R991" i="9"/>
  <c r="R992" i="9"/>
  <c r="R993" i="9"/>
  <c r="R994" i="9"/>
  <c r="R995" i="9"/>
  <c r="R996" i="9"/>
  <c r="R997" i="9"/>
  <c r="R998" i="9"/>
  <c r="R999" i="9"/>
  <c r="R1000" i="9"/>
  <c r="R1001" i="9"/>
  <c r="R1002" i="9"/>
  <c r="R1003" i="9"/>
  <c r="R1004" i="9"/>
  <c r="R1005" i="9"/>
  <c r="R1006" i="9"/>
  <c r="R1007" i="9"/>
  <c r="R1008" i="9"/>
  <c r="R1009" i="9"/>
  <c r="R1010" i="9"/>
  <c r="R1011" i="9"/>
  <c r="R1012" i="9"/>
  <c r="R1013" i="9"/>
  <c r="R1014" i="9"/>
  <c r="R1015" i="9"/>
  <c r="R1016" i="9"/>
  <c r="R1017" i="9"/>
  <c r="R1018" i="9"/>
  <c r="R1019" i="9"/>
  <c r="R1020" i="9"/>
  <c r="R1021" i="9"/>
  <c r="R1022" i="9"/>
  <c r="R1023" i="9"/>
  <c r="R1024" i="9"/>
  <c r="R1025" i="9"/>
  <c r="R1026" i="9"/>
  <c r="R1027" i="9"/>
  <c r="R1028" i="9"/>
  <c r="R1029" i="9"/>
  <c r="R1030" i="9"/>
  <c r="R1031" i="9"/>
  <c r="R1032" i="9"/>
  <c r="R1033" i="9"/>
  <c r="R1034" i="9"/>
  <c r="R1035" i="9"/>
  <c r="R1036" i="9"/>
  <c r="R1037" i="9"/>
  <c r="R1038" i="9"/>
  <c r="R1039" i="9"/>
  <c r="R1040" i="9"/>
  <c r="R1041" i="9"/>
  <c r="R1042" i="9"/>
  <c r="R1043" i="9"/>
  <c r="R1044" i="9"/>
  <c r="R1045" i="9"/>
  <c r="R1046" i="9"/>
  <c r="R1047" i="9"/>
  <c r="R1048" i="9"/>
  <c r="R1049" i="9"/>
  <c r="R1050" i="9"/>
  <c r="R1051" i="9"/>
  <c r="R1052" i="9"/>
  <c r="R1053" i="9"/>
  <c r="R1054" i="9"/>
  <c r="R1055" i="9"/>
  <c r="R1056" i="9"/>
  <c r="R1057" i="9"/>
  <c r="R1058" i="9"/>
  <c r="R1059" i="9"/>
  <c r="R1060" i="9"/>
  <c r="R1061" i="9"/>
  <c r="R1062" i="9"/>
  <c r="R1063" i="9"/>
  <c r="R1064" i="9"/>
  <c r="R1065" i="9"/>
  <c r="R1066" i="9"/>
  <c r="R1067" i="9"/>
  <c r="R1068" i="9"/>
  <c r="R1069" i="9"/>
  <c r="R1070" i="9"/>
  <c r="R1071" i="9"/>
  <c r="R1072" i="9"/>
  <c r="R1073" i="9"/>
  <c r="R1074" i="9"/>
  <c r="R1075" i="9"/>
  <c r="R1076" i="9"/>
  <c r="R1077" i="9"/>
  <c r="R1078" i="9"/>
  <c r="R1079" i="9"/>
  <c r="R1080" i="9"/>
  <c r="R1081" i="9"/>
  <c r="R1082" i="9"/>
  <c r="R1083" i="9"/>
  <c r="R1084" i="9"/>
  <c r="R1085" i="9"/>
  <c r="R1086" i="9"/>
  <c r="R1087" i="9"/>
  <c r="R1088" i="9"/>
  <c r="R1089" i="9"/>
  <c r="R1090" i="9"/>
  <c r="R1091" i="9"/>
  <c r="R1092" i="9"/>
  <c r="R1093" i="9"/>
  <c r="R1094" i="9"/>
  <c r="R1095" i="9"/>
  <c r="R1096" i="9"/>
  <c r="R1097" i="9"/>
  <c r="R1098" i="9"/>
  <c r="R1099" i="9"/>
  <c r="R1100" i="9"/>
  <c r="R1101" i="9"/>
  <c r="R1102" i="9"/>
  <c r="R1103" i="9"/>
  <c r="R1104" i="9"/>
  <c r="R1105" i="9"/>
  <c r="R1106" i="9"/>
  <c r="R1107" i="9"/>
  <c r="R1108" i="9"/>
  <c r="R1109" i="9"/>
  <c r="R1110" i="9"/>
  <c r="R1111" i="9"/>
  <c r="R1112" i="9"/>
  <c r="R1113" i="9"/>
  <c r="R1114" i="9"/>
  <c r="R1115" i="9"/>
  <c r="R1116" i="9"/>
  <c r="R1117" i="9"/>
  <c r="R1118" i="9"/>
  <c r="R1119" i="9"/>
  <c r="R1120" i="9"/>
  <c r="R1121" i="9"/>
  <c r="R1122" i="9"/>
  <c r="R1123" i="9"/>
  <c r="R1124" i="9"/>
  <c r="R1125" i="9"/>
  <c r="R1126" i="9"/>
  <c r="R1127" i="9"/>
  <c r="R1128" i="9"/>
  <c r="R1129" i="9"/>
  <c r="R1130" i="9"/>
  <c r="R1131" i="9"/>
  <c r="R1132" i="9"/>
  <c r="R1133" i="9"/>
  <c r="R1134" i="9"/>
  <c r="R1135" i="9"/>
  <c r="R1136" i="9"/>
  <c r="R1137" i="9"/>
  <c r="R1138" i="9"/>
  <c r="R1139" i="9"/>
  <c r="R1140" i="9"/>
  <c r="R1141" i="9"/>
  <c r="R1142" i="9"/>
  <c r="R1143" i="9"/>
  <c r="R1144" i="9"/>
  <c r="R1145" i="9"/>
  <c r="R1146" i="9"/>
  <c r="R1147" i="9"/>
  <c r="R1148" i="9"/>
  <c r="R1149" i="9"/>
  <c r="R1150" i="9"/>
  <c r="R1151" i="9"/>
  <c r="R1152" i="9"/>
  <c r="R1153" i="9"/>
  <c r="R1154" i="9"/>
  <c r="R1155" i="9"/>
  <c r="R1156" i="9"/>
  <c r="R1157" i="9"/>
  <c r="R1158" i="9"/>
  <c r="R1159" i="9"/>
  <c r="R1160" i="9"/>
  <c r="R1161" i="9"/>
  <c r="R1162" i="9"/>
  <c r="R1163" i="9"/>
  <c r="R1164" i="9"/>
  <c r="R1165" i="9"/>
  <c r="R1166" i="9"/>
  <c r="R1167" i="9"/>
  <c r="R1168" i="9"/>
  <c r="R1169" i="9"/>
  <c r="R1170" i="9"/>
  <c r="R1171" i="9"/>
  <c r="R1172" i="9"/>
  <c r="R1173" i="9"/>
  <c r="R1174" i="9"/>
  <c r="R1175" i="9"/>
  <c r="R1176" i="9"/>
  <c r="R1177" i="9"/>
  <c r="R1178" i="9"/>
  <c r="R1179" i="9"/>
  <c r="R1180" i="9"/>
  <c r="R1181" i="9"/>
  <c r="R1182" i="9"/>
  <c r="R1183" i="9"/>
  <c r="R1184" i="9"/>
  <c r="R1185" i="9"/>
  <c r="R1186" i="9"/>
  <c r="R1187" i="9"/>
  <c r="R1188" i="9"/>
  <c r="R1189" i="9"/>
  <c r="R1190" i="9"/>
  <c r="R1191" i="9"/>
  <c r="R1192" i="9"/>
  <c r="R1193" i="9"/>
  <c r="R1194" i="9"/>
  <c r="R1195" i="9"/>
  <c r="R1196" i="9"/>
  <c r="R1197" i="9"/>
  <c r="R1198" i="9"/>
  <c r="R1199" i="9"/>
  <c r="R1200" i="9"/>
  <c r="R1201" i="9"/>
  <c r="R1202" i="9"/>
  <c r="R1203" i="9"/>
  <c r="R1204" i="9"/>
  <c r="R1205" i="9"/>
  <c r="R1206" i="9"/>
  <c r="R1207" i="9"/>
  <c r="R1208" i="9"/>
  <c r="R1209" i="9"/>
  <c r="R1210" i="9"/>
  <c r="R1211" i="9"/>
  <c r="R1212" i="9"/>
  <c r="R1213" i="9"/>
  <c r="R1214" i="9"/>
  <c r="R1215" i="9"/>
  <c r="R1216" i="9"/>
  <c r="R1217" i="9"/>
  <c r="R1218" i="9"/>
  <c r="R1219" i="9"/>
  <c r="R1220" i="9"/>
  <c r="R1221" i="9"/>
  <c r="R1222" i="9"/>
  <c r="R1223" i="9"/>
  <c r="R1224" i="9"/>
  <c r="R1225" i="9"/>
  <c r="R1226" i="9"/>
  <c r="R1227" i="9"/>
  <c r="R1228" i="9"/>
  <c r="R1229" i="9"/>
  <c r="R1230" i="9"/>
  <c r="R1231" i="9"/>
  <c r="R1232" i="9"/>
  <c r="R1233" i="9"/>
  <c r="R1234" i="9"/>
  <c r="R1235" i="9"/>
  <c r="R1236" i="9"/>
  <c r="R1237" i="9"/>
  <c r="R1238" i="9"/>
  <c r="R1239" i="9"/>
  <c r="R1240" i="9"/>
  <c r="R1241" i="9"/>
  <c r="R1242" i="9"/>
  <c r="R1243" i="9"/>
  <c r="R1244" i="9"/>
  <c r="R1245" i="9"/>
  <c r="R1246" i="9"/>
  <c r="R1247" i="9"/>
  <c r="R1248" i="9"/>
  <c r="R1249" i="9"/>
  <c r="R1250" i="9"/>
  <c r="R1251" i="9"/>
  <c r="R1252" i="9"/>
  <c r="R1253" i="9"/>
  <c r="R1254" i="9"/>
  <c r="R1255" i="9"/>
  <c r="R1256" i="9"/>
  <c r="R1257" i="9"/>
  <c r="R1258" i="9"/>
  <c r="R1259" i="9"/>
  <c r="R1260" i="9"/>
  <c r="R1261" i="9"/>
  <c r="R1262" i="9"/>
  <c r="R1263" i="9"/>
  <c r="R1264" i="9"/>
  <c r="R1265" i="9"/>
  <c r="R1266" i="9"/>
  <c r="R1267" i="9"/>
  <c r="R1268" i="9"/>
  <c r="R1269" i="9"/>
  <c r="R1270" i="9"/>
  <c r="R1271" i="9"/>
  <c r="R1272" i="9"/>
  <c r="R1273" i="9"/>
  <c r="R1274" i="9"/>
  <c r="R1275" i="9"/>
  <c r="R1276" i="9"/>
  <c r="R1277" i="9"/>
  <c r="R1278" i="9"/>
  <c r="R1279" i="9"/>
  <c r="R1280" i="9"/>
  <c r="R1281" i="9"/>
  <c r="R1282" i="9"/>
  <c r="R1283" i="9"/>
  <c r="R1284" i="9"/>
  <c r="R1285" i="9"/>
  <c r="R1286" i="9"/>
  <c r="R1287" i="9"/>
  <c r="R1288" i="9"/>
  <c r="R1289" i="9"/>
  <c r="R1290" i="9"/>
  <c r="R1291" i="9"/>
  <c r="R1292" i="9"/>
  <c r="R1293" i="9"/>
  <c r="R1294" i="9"/>
  <c r="R1295" i="9"/>
  <c r="R1296" i="9"/>
  <c r="R1297" i="9"/>
  <c r="R1298" i="9"/>
  <c r="R1299" i="9"/>
  <c r="R1300" i="9"/>
  <c r="R1301" i="9"/>
  <c r="R1302" i="9"/>
  <c r="R1303" i="9"/>
  <c r="R1304" i="9"/>
  <c r="R1305" i="9"/>
  <c r="R1306" i="9"/>
  <c r="R1307" i="9"/>
  <c r="R1308" i="9"/>
  <c r="R1309" i="9"/>
  <c r="R1310" i="9"/>
  <c r="R1311" i="9"/>
  <c r="R1312" i="9"/>
  <c r="R1313" i="9"/>
  <c r="R1314" i="9"/>
  <c r="R1315" i="9"/>
  <c r="R1316" i="9"/>
  <c r="R1317" i="9"/>
  <c r="R1318" i="9"/>
  <c r="R1319" i="9"/>
  <c r="R1320" i="9"/>
  <c r="R1321" i="9"/>
  <c r="R1322" i="9"/>
  <c r="R1323" i="9"/>
  <c r="R1324" i="9"/>
  <c r="R1325" i="9"/>
  <c r="R1326" i="9"/>
  <c r="R1327" i="9"/>
  <c r="R1328" i="9"/>
  <c r="R1329" i="9"/>
  <c r="R1330" i="9"/>
  <c r="R1331" i="9"/>
  <c r="R1332" i="9"/>
  <c r="R1333" i="9"/>
  <c r="R1334" i="9"/>
  <c r="R1335" i="9"/>
  <c r="R1336" i="9"/>
  <c r="R1337" i="9"/>
  <c r="R1338" i="9"/>
  <c r="R1339" i="9"/>
  <c r="R1340" i="9"/>
  <c r="R1341" i="9"/>
  <c r="R1342" i="9"/>
  <c r="R1343" i="9"/>
  <c r="R1344" i="9"/>
  <c r="R1345" i="9"/>
  <c r="R1346" i="9"/>
  <c r="R1347" i="9"/>
  <c r="R1348" i="9"/>
  <c r="R1349" i="9"/>
  <c r="R1350" i="9"/>
  <c r="R1351" i="9"/>
  <c r="R1352" i="9"/>
  <c r="R1353" i="9"/>
  <c r="R1354" i="9"/>
  <c r="R1355" i="9"/>
  <c r="R1356" i="9"/>
  <c r="R1357" i="9"/>
  <c r="R1358" i="9"/>
  <c r="R1359" i="9"/>
  <c r="R1360" i="9"/>
  <c r="R1361" i="9"/>
  <c r="R1362" i="9"/>
  <c r="R1363" i="9"/>
  <c r="R1364" i="9"/>
  <c r="R1365" i="9"/>
  <c r="R1366" i="9"/>
  <c r="R1367" i="9"/>
  <c r="R1368" i="9"/>
  <c r="R1369" i="9"/>
  <c r="R1370" i="9"/>
  <c r="R1371" i="9"/>
  <c r="R1372" i="9"/>
  <c r="R1373" i="9"/>
  <c r="R1374" i="9"/>
  <c r="R1375" i="9"/>
  <c r="R1376" i="9"/>
  <c r="R1377" i="9"/>
  <c r="R1378" i="9"/>
  <c r="R1379" i="9"/>
  <c r="R1380" i="9"/>
  <c r="R1381" i="9"/>
  <c r="R1382" i="9"/>
  <c r="R1383" i="9"/>
  <c r="R1384" i="9"/>
  <c r="R1385" i="9"/>
  <c r="R1386" i="9"/>
  <c r="R1387" i="9"/>
  <c r="R1388" i="9"/>
  <c r="R1389" i="9"/>
  <c r="R1390" i="9"/>
  <c r="R1391" i="9"/>
  <c r="R1392" i="9"/>
  <c r="R1393" i="9"/>
  <c r="R1394" i="9"/>
  <c r="R1395" i="9"/>
  <c r="R1396" i="9"/>
  <c r="R1397" i="9"/>
  <c r="R1398" i="9"/>
  <c r="R1399" i="9"/>
  <c r="R1400" i="9"/>
  <c r="R1401" i="9"/>
  <c r="R1402" i="9"/>
  <c r="R1403" i="9"/>
  <c r="R1404" i="9"/>
  <c r="R1405" i="9"/>
  <c r="R1406" i="9"/>
  <c r="R1407" i="9"/>
  <c r="R1408" i="9"/>
  <c r="R1409" i="9"/>
  <c r="R1410" i="9"/>
  <c r="R1411" i="9"/>
  <c r="R1412" i="9"/>
  <c r="R1413" i="9"/>
  <c r="R1414" i="9"/>
  <c r="R1415" i="9"/>
  <c r="R1416" i="9"/>
  <c r="R1417" i="9"/>
  <c r="R1418" i="9"/>
  <c r="R1419" i="9"/>
  <c r="R1420" i="9"/>
  <c r="R1421" i="9"/>
  <c r="R1422" i="9"/>
  <c r="R1423" i="9"/>
  <c r="R1424" i="9"/>
  <c r="R1425" i="9"/>
  <c r="R1426" i="9"/>
  <c r="R1427" i="9"/>
  <c r="R1428" i="9"/>
  <c r="R1429" i="9"/>
  <c r="R1430" i="9"/>
  <c r="R1431" i="9"/>
  <c r="R1432" i="9"/>
  <c r="R1433" i="9"/>
  <c r="R1434" i="9"/>
  <c r="R1435" i="9"/>
  <c r="R1436" i="9"/>
  <c r="R1437" i="9"/>
  <c r="R1438" i="9"/>
  <c r="R1439" i="9"/>
  <c r="R1440" i="9"/>
  <c r="R1441" i="9"/>
  <c r="R1442" i="9"/>
  <c r="R1443" i="9"/>
  <c r="R1444" i="9"/>
  <c r="R1445" i="9"/>
  <c r="R1446" i="9"/>
  <c r="R1447" i="9"/>
  <c r="R1448" i="9"/>
  <c r="R1449" i="9"/>
  <c r="R1450" i="9"/>
  <c r="R1451" i="9"/>
  <c r="R1452" i="9"/>
  <c r="R1453" i="9"/>
  <c r="R1454" i="9"/>
  <c r="R1455" i="9"/>
  <c r="R1456" i="9"/>
  <c r="R1457" i="9"/>
  <c r="R1458" i="9"/>
  <c r="R1459" i="9"/>
  <c r="R1460" i="9"/>
  <c r="R1461" i="9"/>
  <c r="R1462" i="9"/>
  <c r="R1463" i="9"/>
  <c r="R1464" i="9"/>
  <c r="R1465" i="9"/>
  <c r="R1466" i="9"/>
  <c r="R1467" i="9"/>
  <c r="R1468" i="9"/>
  <c r="R1469" i="9"/>
  <c r="R1470" i="9"/>
  <c r="R1471" i="9"/>
  <c r="R1472" i="9"/>
  <c r="R1473" i="9"/>
  <c r="R1474" i="9"/>
  <c r="R1475" i="9"/>
  <c r="R1476" i="9"/>
  <c r="R1477" i="9"/>
  <c r="R1478" i="9"/>
  <c r="R1479" i="9"/>
  <c r="R1480" i="9"/>
  <c r="R1481" i="9"/>
  <c r="R1482" i="9"/>
  <c r="R1483" i="9"/>
  <c r="R1484" i="9"/>
  <c r="R1485" i="9"/>
  <c r="R1486" i="9"/>
  <c r="R1487" i="9"/>
  <c r="R1488" i="9"/>
  <c r="R1489" i="9"/>
  <c r="R1490" i="9"/>
  <c r="R1491" i="9"/>
  <c r="R1492" i="9"/>
  <c r="R1493" i="9"/>
  <c r="R1494" i="9"/>
  <c r="R1495" i="9"/>
  <c r="R1496" i="9"/>
  <c r="R1497" i="9"/>
  <c r="R1498" i="9"/>
  <c r="R1499" i="9"/>
  <c r="R1500" i="9"/>
  <c r="R1501" i="9"/>
  <c r="R1502" i="9"/>
  <c r="R1503" i="9"/>
  <c r="R1504" i="9"/>
  <c r="R1505" i="9"/>
  <c r="R1506" i="9"/>
  <c r="R1507" i="9"/>
  <c r="R1508" i="9"/>
  <c r="R1509" i="9"/>
  <c r="R1510" i="9"/>
  <c r="R1511" i="9"/>
  <c r="R1512" i="9"/>
  <c r="R1513" i="9"/>
  <c r="R1514" i="9"/>
  <c r="R1515" i="9"/>
  <c r="R1516" i="9"/>
  <c r="R1517" i="9"/>
  <c r="R1518" i="9"/>
  <c r="R1519" i="9"/>
  <c r="R1520" i="9"/>
  <c r="R1521" i="9"/>
  <c r="R1522" i="9"/>
  <c r="R1523" i="9"/>
  <c r="R1524" i="9"/>
  <c r="R1525" i="9"/>
  <c r="R1526" i="9"/>
  <c r="R1527" i="9"/>
  <c r="R1528" i="9"/>
  <c r="R1529" i="9"/>
  <c r="R1530" i="9"/>
  <c r="R1531" i="9"/>
  <c r="R1532" i="9"/>
  <c r="R1533" i="9"/>
  <c r="R1534" i="9"/>
  <c r="R1535" i="9"/>
  <c r="R1536" i="9"/>
  <c r="R1537" i="9"/>
  <c r="R1538" i="9"/>
  <c r="R1539" i="9"/>
  <c r="R1540" i="9"/>
  <c r="R1541" i="9"/>
  <c r="R1542" i="9"/>
  <c r="R1543" i="9"/>
  <c r="R1544" i="9"/>
  <c r="R1545" i="9"/>
  <c r="R1546" i="9"/>
  <c r="R1547" i="9"/>
  <c r="R1548" i="9"/>
  <c r="R1549" i="9"/>
  <c r="R1550" i="9"/>
  <c r="R1551" i="9"/>
  <c r="R1552" i="9"/>
  <c r="R1553" i="9"/>
  <c r="R1554" i="9"/>
  <c r="R1555" i="9"/>
  <c r="R1556" i="9"/>
  <c r="R1557" i="9"/>
  <c r="R1558" i="9"/>
  <c r="R1559" i="9"/>
  <c r="R1560" i="9"/>
  <c r="R1561" i="9"/>
  <c r="R1562" i="9"/>
  <c r="R1563" i="9"/>
  <c r="R1564" i="9"/>
  <c r="R1565" i="9"/>
  <c r="R1566" i="9"/>
  <c r="R1567" i="9"/>
  <c r="R1568" i="9"/>
  <c r="R1569" i="9"/>
  <c r="R1570" i="9"/>
  <c r="R1571" i="9"/>
  <c r="R1572" i="9"/>
  <c r="R1573" i="9"/>
  <c r="R1574" i="9"/>
  <c r="R1575" i="9"/>
  <c r="R1576" i="9"/>
  <c r="R1577" i="9"/>
  <c r="R1578" i="9"/>
  <c r="R1579" i="9"/>
  <c r="R1580" i="9"/>
  <c r="R1581" i="9"/>
  <c r="R1582" i="9"/>
  <c r="R1583" i="9"/>
  <c r="R1584" i="9"/>
  <c r="R1585" i="9"/>
  <c r="R1586" i="9"/>
  <c r="R1587" i="9"/>
  <c r="R1588" i="9"/>
  <c r="R1589" i="9"/>
  <c r="R1590" i="9"/>
  <c r="R1591" i="9"/>
  <c r="R1592" i="9"/>
  <c r="R1593" i="9"/>
  <c r="R1594" i="9"/>
  <c r="R1595" i="9"/>
  <c r="R1596" i="9"/>
  <c r="R1597" i="9"/>
  <c r="R1598" i="9"/>
  <c r="R1599" i="9"/>
  <c r="R1600" i="9"/>
  <c r="R1601" i="9"/>
  <c r="R1602" i="9"/>
  <c r="R1603" i="9"/>
  <c r="R1604" i="9"/>
  <c r="R1605" i="9"/>
  <c r="R1606" i="9"/>
  <c r="R1607" i="9"/>
  <c r="R1608" i="9"/>
  <c r="R1609" i="9"/>
  <c r="R1610" i="9"/>
  <c r="R1611" i="9"/>
  <c r="R1612" i="9"/>
  <c r="R1613" i="9"/>
  <c r="R1614" i="9"/>
  <c r="R1615" i="9"/>
  <c r="R1616" i="9"/>
  <c r="R1617" i="9"/>
  <c r="R1618" i="9"/>
  <c r="R1619" i="9"/>
  <c r="R1620" i="9"/>
  <c r="R1621" i="9"/>
  <c r="R1622" i="9"/>
  <c r="R1623" i="9"/>
  <c r="R1624" i="9"/>
  <c r="R1625" i="9"/>
  <c r="R1626" i="9"/>
  <c r="R1627" i="9"/>
  <c r="R1628" i="9"/>
  <c r="R1629" i="9"/>
  <c r="R1630" i="9"/>
  <c r="R1631" i="9"/>
  <c r="R1632" i="9"/>
  <c r="R1633" i="9"/>
  <c r="R1634" i="9"/>
  <c r="R1635" i="9"/>
  <c r="R1636" i="9"/>
  <c r="R1637" i="9"/>
  <c r="R1638" i="9"/>
  <c r="R1639" i="9"/>
  <c r="R1640" i="9"/>
  <c r="R1641" i="9"/>
  <c r="R1642" i="9"/>
  <c r="R1643" i="9"/>
  <c r="R1644" i="9"/>
  <c r="R1645" i="9"/>
  <c r="R1646" i="9"/>
  <c r="R1647" i="9"/>
  <c r="R1648" i="9"/>
  <c r="R1649" i="9"/>
  <c r="R1650" i="9"/>
  <c r="R1651" i="9"/>
  <c r="R1652" i="9"/>
  <c r="R1653" i="9"/>
  <c r="R1654" i="9"/>
  <c r="R1655" i="9"/>
  <c r="R1656" i="9"/>
  <c r="R1657" i="9"/>
  <c r="R1658" i="9"/>
  <c r="R1659" i="9"/>
  <c r="R1660" i="9"/>
  <c r="R1661" i="9"/>
  <c r="R1662" i="9"/>
  <c r="R1663" i="9"/>
  <c r="R1664" i="9"/>
  <c r="R1665" i="9"/>
  <c r="R1666" i="9"/>
  <c r="R1667" i="9"/>
  <c r="R1668" i="9"/>
  <c r="R1669" i="9"/>
  <c r="R1670" i="9"/>
  <c r="R1671" i="9"/>
  <c r="R1672" i="9"/>
  <c r="R1673" i="9"/>
  <c r="R1674" i="9"/>
  <c r="R1675" i="9"/>
  <c r="R1676" i="9"/>
  <c r="R1677" i="9"/>
  <c r="R1678" i="9"/>
  <c r="R1679" i="9"/>
  <c r="R1680" i="9"/>
  <c r="R1681" i="9"/>
  <c r="R1682" i="9"/>
  <c r="R1683" i="9"/>
  <c r="R1684" i="9"/>
  <c r="R1685" i="9"/>
  <c r="R1686" i="9"/>
  <c r="R1687" i="9"/>
  <c r="R1688" i="9"/>
  <c r="R1689" i="9"/>
  <c r="R1690" i="9"/>
  <c r="R1691" i="9"/>
  <c r="R1692" i="9"/>
  <c r="R1693" i="9"/>
  <c r="R1694" i="9"/>
  <c r="R1695" i="9"/>
  <c r="R1696" i="9"/>
  <c r="R1697" i="9"/>
  <c r="R1698" i="9"/>
  <c r="R1699" i="9"/>
  <c r="R1700" i="9"/>
  <c r="R1701" i="9"/>
  <c r="R1702" i="9"/>
  <c r="R1703" i="9"/>
  <c r="R1704" i="9"/>
  <c r="R1705" i="9"/>
  <c r="R1706" i="9"/>
  <c r="R1707" i="9"/>
  <c r="R1708" i="9"/>
  <c r="R1709" i="9"/>
  <c r="R1710" i="9"/>
  <c r="R1711" i="9"/>
  <c r="R1712" i="9"/>
  <c r="R1713" i="9"/>
  <c r="R1714" i="9"/>
  <c r="R1715" i="9"/>
  <c r="R1716" i="9"/>
  <c r="R1717" i="9"/>
  <c r="R1718" i="9"/>
  <c r="R1719" i="9"/>
  <c r="R1720" i="9"/>
  <c r="R1721" i="9"/>
  <c r="R1722" i="9"/>
  <c r="R1723" i="9"/>
  <c r="R1724" i="9"/>
  <c r="R1725" i="9"/>
  <c r="R1726" i="9"/>
  <c r="R1727" i="9"/>
  <c r="R1728" i="9"/>
  <c r="R1729" i="9"/>
  <c r="R1730" i="9"/>
  <c r="P13" i="9"/>
  <c r="Q13" i="9" s="1"/>
  <c r="P14" i="9"/>
  <c r="Q14" i="9" s="1"/>
  <c r="P15" i="9"/>
  <c r="Q15" i="9" s="1"/>
  <c r="P16" i="9"/>
  <c r="Q16" i="9" s="1"/>
  <c r="P17" i="9"/>
  <c r="Q17" i="9" s="1"/>
  <c r="P18" i="9"/>
  <c r="Q18" i="9" s="1"/>
  <c r="P19" i="9"/>
  <c r="Q19" i="9" s="1"/>
  <c r="P20" i="9"/>
  <c r="Q20" i="9" s="1"/>
  <c r="P21" i="9"/>
  <c r="Q21" i="9" s="1"/>
  <c r="P22" i="9"/>
  <c r="Q22" i="9" s="1"/>
  <c r="P23" i="9"/>
  <c r="Q23" i="9" s="1"/>
  <c r="P24" i="9"/>
  <c r="Q24" i="9" s="1"/>
  <c r="P25" i="9"/>
  <c r="Q25" i="9" s="1"/>
  <c r="P26" i="9"/>
  <c r="Q26" i="9" s="1"/>
  <c r="P27" i="9"/>
  <c r="Q27" i="9" s="1"/>
  <c r="P28" i="9"/>
  <c r="Q28" i="9" s="1"/>
  <c r="P29" i="9"/>
  <c r="Q29" i="9" s="1"/>
  <c r="P30" i="9"/>
  <c r="Q30" i="9" s="1"/>
  <c r="P31" i="9"/>
  <c r="Q31" i="9" s="1"/>
  <c r="P32" i="9"/>
  <c r="Q32" i="9" s="1"/>
  <c r="P33" i="9"/>
  <c r="Q33" i="9" s="1"/>
  <c r="P34" i="9"/>
  <c r="Q34" i="9" s="1"/>
  <c r="P35" i="9"/>
  <c r="Q35" i="9" s="1"/>
  <c r="P36" i="9"/>
  <c r="Q36" i="9" s="1"/>
  <c r="P37" i="9"/>
  <c r="Q37" i="9" s="1"/>
  <c r="P38" i="9"/>
  <c r="Q38" i="9" s="1"/>
  <c r="P39" i="9"/>
  <c r="Q39" i="9" s="1"/>
  <c r="P40" i="9"/>
  <c r="Q40" i="9" s="1"/>
  <c r="P41" i="9"/>
  <c r="Q41" i="9" s="1"/>
  <c r="P42" i="9"/>
  <c r="Q42" i="9" s="1"/>
  <c r="P43" i="9"/>
  <c r="Q43" i="9" s="1"/>
  <c r="P44" i="9"/>
  <c r="Q44" i="9" s="1"/>
  <c r="P45" i="9"/>
  <c r="Q45" i="9" s="1"/>
  <c r="P46" i="9"/>
  <c r="Q46" i="9" s="1"/>
  <c r="P47" i="9"/>
  <c r="Q47" i="9" s="1"/>
  <c r="P48" i="9"/>
  <c r="Q48" i="9" s="1"/>
  <c r="P49" i="9"/>
  <c r="Q49" i="9" s="1"/>
  <c r="P50" i="9"/>
  <c r="Q50" i="9" s="1"/>
  <c r="P51" i="9"/>
  <c r="Q51" i="9" s="1"/>
  <c r="P52" i="9"/>
  <c r="Q52" i="9" s="1"/>
  <c r="P53" i="9"/>
  <c r="Q53" i="9" s="1"/>
  <c r="P54" i="9"/>
  <c r="Q54" i="9" s="1"/>
  <c r="P55" i="9"/>
  <c r="Q55" i="9" s="1"/>
  <c r="P56" i="9"/>
  <c r="Q56" i="9" s="1"/>
  <c r="P57" i="9"/>
  <c r="Q57" i="9" s="1"/>
  <c r="P58" i="9"/>
  <c r="Q58" i="9" s="1"/>
  <c r="P59" i="9"/>
  <c r="Q59" i="9" s="1"/>
  <c r="P60" i="9"/>
  <c r="Q60" i="9" s="1"/>
  <c r="P61" i="9"/>
  <c r="Q61" i="9" s="1"/>
  <c r="P62" i="9"/>
  <c r="Q62" i="9" s="1"/>
  <c r="P63" i="9"/>
  <c r="Q63" i="9" s="1"/>
  <c r="P64" i="9"/>
  <c r="Q64" i="9" s="1"/>
  <c r="P65" i="9"/>
  <c r="Q65" i="9" s="1"/>
  <c r="P66" i="9"/>
  <c r="Q66" i="9" s="1"/>
  <c r="P67" i="9"/>
  <c r="Q67" i="9" s="1"/>
  <c r="P68" i="9"/>
  <c r="Q68" i="9" s="1"/>
  <c r="P69" i="9"/>
  <c r="Q69" i="9" s="1"/>
  <c r="P70" i="9"/>
  <c r="Q70" i="9" s="1"/>
  <c r="P71" i="9"/>
  <c r="Q71" i="9" s="1"/>
  <c r="P72" i="9"/>
  <c r="Q72" i="9" s="1"/>
  <c r="P73" i="9"/>
  <c r="Q73" i="9" s="1"/>
  <c r="P74" i="9"/>
  <c r="Q74" i="9" s="1"/>
  <c r="P75" i="9"/>
  <c r="Q75" i="9" s="1"/>
  <c r="P76" i="9"/>
  <c r="Q76" i="9" s="1"/>
  <c r="P77" i="9"/>
  <c r="Q77" i="9" s="1"/>
  <c r="P78" i="9"/>
  <c r="Q78" i="9" s="1"/>
  <c r="P79" i="9"/>
  <c r="Q79" i="9" s="1"/>
  <c r="P80" i="9"/>
  <c r="Q80" i="9" s="1"/>
  <c r="P81" i="9"/>
  <c r="Q81" i="9" s="1"/>
  <c r="P82" i="9"/>
  <c r="Q82" i="9" s="1"/>
  <c r="P83" i="9"/>
  <c r="Q83" i="9" s="1"/>
  <c r="P84" i="9"/>
  <c r="Q84" i="9" s="1"/>
  <c r="P85" i="9"/>
  <c r="Q85" i="9" s="1"/>
  <c r="P86" i="9"/>
  <c r="Q86" i="9" s="1"/>
  <c r="P87" i="9"/>
  <c r="Q87" i="9" s="1"/>
  <c r="P88" i="9"/>
  <c r="Q88" i="9" s="1"/>
  <c r="P89" i="9"/>
  <c r="Q89" i="9" s="1"/>
  <c r="P90" i="9"/>
  <c r="Q90" i="9" s="1"/>
  <c r="P91" i="9"/>
  <c r="Q91" i="9" s="1"/>
  <c r="P92" i="9"/>
  <c r="Q92" i="9" s="1"/>
  <c r="P93" i="9"/>
  <c r="Q93" i="9" s="1"/>
  <c r="P94" i="9"/>
  <c r="Q94" i="9" s="1"/>
  <c r="P95" i="9"/>
  <c r="Q95" i="9" s="1"/>
  <c r="P96" i="9"/>
  <c r="Q96" i="9" s="1"/>
  <c r="P97" i="9"/>
  <c r="Q97" i="9" s="1"/>
  <c r="P98" i="9"/>
  <c r="Q98" i="9" s="1"/>
  <c r="P99" i="9"/>
  <c r="Q99" i="9" s="1"/>
  <c r="P100" i="9"/>
  <c r="Q100" i="9" s="1"/>
  <c r="P101" i="9"/>
  <c r="Q101" i="9" s="1"/>
  <c r="P102" i="9"/>
  <c r="Q102" i="9" s="1"/>
  <c r="P103" i="9"/>
  <c r="Q103" i="9" s="1"/>
  <c r="P104" i="9"/>
  <c r="Q104" i="9" s="1"/>
  <c r="P105" i="9"/>
  <c r="Q105" i="9" s="1"/>
  <c r="P106" i="9"/>
  <c r="Q106" i="9" s="1"/>
  <c r="P107" i="9"/>
  <c r="Q107" i="9" s="1"/>
  <c r="P108" i="9"/>
  <c r="Q108" i="9" s="1"/>
  <c r="P109" i="9"/>
  <c r="Q109" i="9" s="1"/>
  <c r="P110" i="9"/>
  <c r="Q110" i="9" s="1"/>
  <c r="P111" i="9"/>
  <c r="Q111" i="9" s="1"/>
  <c r="P112" i="9"/>
  <c r="Q112" i="9" s="1"/>
  <c r="P113" i="9"/>
  <c r="Q113" i="9" s="1"/>
  <c r="P114" i="9"/>
  <c r="Q114" i="9" s="1"/>
  <c r="P115" i="9"/>
  <c r="Q115" i="9" s="1"/>
  <c r="P116" i="9"/>
  <c r="Q116" i="9" s="1"/>
  <c r="P117" i="9"/>
  <c r="Q117" i="9" s="1"/>
  <c r="P118" i="9"/>
  <c r="Q118" i="9" s="1"/>
  <c r="P119" i="9"/>
  <c r="Q119" i="9" s="1"/>
  <c r="P120" i="9"/>
  <c r="Q120" i="9" s="1"/>
  <c r="P121" i="9"/>
  <c r="Q121" i="9" s="1"/>
  <c r="P122" i="9"/>
  <c r="Q122" i="9" s="1"/>
  <c r="P123" i="9"/>
  <c r="Q123" i="9" s="1"/>
  <c r="P124" i="9"/>
  <c r="Q124" i="9" s="1"/>
  <c r="P125" i="9"/>
  <c r="Q125" i="9" s="1"/>
  <c r="P126" i="9"/>
  <c r="Q126" i="9" s="1"/>
  <c r="P127" i="9"/>
  <c r="Q127" i="9" s="1"/>
  <c r="P128" i="9"/>
  <c r="Q128" i="9" s="1"/>
  <c r="P129" i="9"/>
  <c r="Q129" i="9" s="1"/>
  <c r="P130" i="9"/>
  <c r="Q130" i="9" s="1"/>
  <c r="P131" i="9"/>
  <c r="Q131" i="9" s="1"/>
  <c r="P132" i="9"/>
  <c r="Q132" i="9" s="1"/>
  <c r="P133" i="9"/>
  <c r="Q133" i="9" s="1"/>
  <c r="P134" i="9"/>
  <c r="Q134" i="9" s="1"/>
  <c r="P135" i="9"/>
  <c r="Q135" i="9" s="1"/>
  <c r="P136" i="9"/>
  <c r="Q136" i="9" s="1"/>
  <c r="P137" i="9"/>
  <c r="Q137" i="9" s="1"/>
  <c r="P138" i="9"/>
  <c r="Q138" i="9" s="1"/>
  <c r="P139" i="9"/>
  <c r="Q139" i="9" s="1"/>
  <c r="P140" i="9"/>
  <c r="Q140" i="9" s="1"/>
  <c r="P141" i="9"/>
  <c r="Q141" i="9" s="1"/>
  <c r="P142" i="9"/>
  <c r="Q142" i="9" s="1"/>
  <c r="P143" i="9"/>
  <c r="Q143" i="9" s="1"/>
  <c r="P144" i="9"/>
  <c r="Q144" i="9" s="1"/>
  <c r="P145" i="9"/>
  <c r="Q145" i="9" s="1"/>
  <c r="P146" i="9"/>
  <c r="Q146" i="9" s="1"/>
  <c r="P147" i="9"/>
  <c r="Q147" i="9" s="1"/>
  <c r="P148" i="9"/>
  <c r="Q148" i="9" s="1"/>
  <c r="P149" i="9"/>
  <c r="Q149" i="9" s="1"/>
  <c r="P150" i="9"/>
  <c r="Q150" i="9" s="1"/>
  <c r="P151" i="9"/>
  <c r="Q151" i="9" s="1"/>
  <c r="P152" i="9"/>
  <c r="Q152" i="9" s="1"/>
  <c r="P153" i="9"/>
  <c r="Q153" i="9" s="1"/>
  <c r="P154" i="9"/>
  <c r="Q154" i="9" s="1"/>
  <c r="P155" i="9"/>
  <c r="Q155" i="9" s="1"/>
  <c r="P156" i="9"/>
  <c r="Q156" i="9" s="1"/>
  <c r="P157" i="9"/>
  <c r="Q157" i="9" s="1"/>
  <c r="P158" i="9"/>
  <c r="Q158" i="9" s="1"/>
  <c r="P159" i="9"/>
  <c r="Q159" i="9" s="1"/>
  <c r="P160" i="9"/>
  <c r="Q160" i="9" s="1"/>
  <c r="P161" i="9"/>
  <c r="Q161" i="9" s="1"/>
  <c r="P162" i="9"/>
  <c r="Q162" i="9" s="1"/>
  <c r="P163" i="9"/>
  <c r="Q163" i="9" s="1"/>
  <c r="P164" i="9"/>
  <c r="Q164" i="9" s="1"/>
  <c r="P165" i="9"/>
  <c r="Q165" i="9" s="1"/>
  <c r="P166" i="9"/>
  <c r="Q166" i="9" s="1"/>
  <c r="P167" i="9"/>
  <c r="Q167" i="9" s="1"/>
  <c r="P168" i="9"/>
  <c r="Q168" i="9" s="1"/>
  <c r="P169" i="9"/>
  <c r="Q169" i="9" s="1"/>
  <c r="P170" i="9"/>
  <c r="Q170" i="9" s="1"/>
  <c r="P171" i="9"/>
  <c r="Q171" i="9" s="1"/>
  <c r="P172" i="9"/>
  <c r="Q172" i="9" s="1"/>
  <c r="P173" i="9"/>
  <c r="Q173" i="9" s="1"/>
  <c r="P174" i="9"/>
  <c r="Q174" i="9" s="1"/>
  <c r="P175" i="9"/>
  <c r="Q175" i="9" s="1"/>
  <c r="P176" i="9"/>
  <c r="Q176" i="9" s="1"/>
  <c r="P177" i="9"/>
  <c r="Q177" i="9" s="1"/>
  <c r="P178" i="9"/>
  <c r="Q178" i="9" s="1"/>
  <c r="P179" i="9"/>
  <c r="Q179" i="9" s="1"/>
  <c r="P180" i="9"/>
  <c r="Q180" i="9" s="1"/>
  <c r="P181" i="9"/>
  <c r="Q181" i="9" s="1"/>
  <c r="P182" i="9"/>
  <c r="Q182" i="9" s="1"/>
  <c r="P183" i="9"/>
  <c r="Q183" i="9" s="1"/>
  <c r="P184" i="9"/>
  <c r="Q184" i="9" s="1"/>
  <c r="P185" i="9"/>
  <c r="Q185" i="9" s="1"/>
  <c r="P186" i="9"/>
  <c r="Q186" i="9" s="1"/>
  <c r="P187" i="9"/>
  <c r="Q187" i="9" s="1"/>
  <c r="P188" i="9"/>
  <c r="Q188" i="9" s="1"/>
  <c r="P189" i="9"/>
  <c r="Q189" i="9" s="1"/>
  <c r="P190" i="9"/>
  <c r="Q190" i="9" s="1"/>
  <c r="P191" i="9"/>
  <c r="Q191" i="9" s="1"/>
  <c r="P192" i="9"/>
  <c r="Q192" i="9" s="1"/>
  <c r="P193" i="9"/>
  <c r="Q193" i="9" s="1"/>
  <c r="P194" i="9"/>
  <c r="Q194" i="9" s="1"/>
  <c r="P195" i="9"/>
  <c r="Q195" i="9" s="1"/>
  <c r="P196" i="9"/>
  <c r="Q196" i="9" s="1"/>
  <c r="P197" i="9"/>
  <c r="Q197" i="9" s="1"/>
  <c r="P198" i="9"/>
  <c r="Q198" i="9" s="1"/>
  <c r="P199" i="9"/>
  <c r="Q199" i="9" s="1"/>
  <c r="P200" i="9"/>
  <c r="Q200" i="9" s="1"/>
  <c r="P201" i="9"/>
  <c r="Q201" i="9" s="1"/>
  <c r="P202" i="9"/>
  <c r="Q202" i="9" s="1"/>
  <c r="P203" i="9"/>
  <c r="Q203" i="9" s="1"/>
  <c r="P204" i="9"/>
  <c r="Q204" i="9" s="1"/>
  <c r="P205" i="9"/>
  <c r="Q205" i="9" s="1"/>
  <c r="P206" i="9"/>
  <c r="Q206" i="9" s="1"/>
  <c r="P207" i="9"/>
  <c r="Q207" i="9" s="1"/>
  <c r="P208" i="9"/>
  <c r="Q208" i="9" s="1"/>
  <c r="P209" i="9"/>
  <c r="Q209" i="9" s="1"/>
  <c r="P210" i="9"/>
  <c r="Q210" i="9" s="1"/>
  <c r="P211" i="9"/>
  <c r="Q211" i="9" s="1"/>
  <c r="P212" i="9"/>
  <c r="Q212" i="9" s="1"/>
  <c r="P213" i="9"/>
  <c r="Q213" i="9" s="1"/>
  <c r="P214" i="9"/>
  <c r="Q214" i="9" s="1"/>
  <c r="P215" i="9"/>
  <c r="Q215" i="9" s="1"/>
  <c r="P216" i="9"/>
  <c r="Q216" i="9" s="1"/>
  <c r="P217" i="9"/>
  <c r="Q217" i="9" s="1"/>
  <c r="P218" i="9"/>
  <c r="Q218" i="9" s="1"/>
  <c r="P219" i="9"/>
  <c r="Q219" i="9" s="1"/>
  <c r="P220" i="9"/>
  <c r="Q220" i="9" s="1"/>
  <c r="P221" i="9"/>
  <c r="Q221" i="9" s="1"/>
  <c r="P222" i="9"/>
  <c r="Q222" i="9" s="1"/>
  <c r="P223" i="9"/>
  <c r="Q223" i="9" s="1"/>
  <c r="P224" i="9"/>
  <c r="Q224" i="9" s="1"/>
  <c r="P225" i="9"/>
  <c r="Q225" i="9" s="1"/>
  <c r="P226" i="9"/>
  <c r="Q226" i="9" s="1"/>
  <c r="P227" i="9"/>
  <c r="Q227" i="9" s="1"/>
  <c r="P228" i="9"/>
  <c r="Q228" i="9" s="1"/>
  <c r="P229" i="9"/>
  <c r="Q229" i="9" s="1"/>
  <c r="P230" i="9"/>
  <c r="Q230" i="9" s="1"/>
  <c r="P231" i="9"/>
  <c r="Q231" i="9" s="1"/>
  <c r="P232" i="9"/>
  <c r="Q232" i="9" s="1"/>
  <c r="P233" i="9"/>
  <c r="Q233" i="9" s="1"/>
  <c r="P234" i="9"/>
  <c r="Q234" i="9" s="1"/>
  <c r="P235" i="9"/>
  <c r="Q235" i="9" s="1"/>
  <c r="P236" i="9"/>
  <c r="Q236" i="9" s="1"/>
  <c r="P237" i="9"/>
  <c r="Q237" i="9" s="1"/>
  <c r="P238" i="9"/>
  <c r="Q238" i="9" s="1"/>
  <c r="P239" i="9"/>
  <c r="Q239" i="9" s="1"/>
  <c r="P240" i="9"/>
  <c r="Q240" i="9" s="1"/>
  <c r="P241" i="9"/>
  <c r="Q241" i="9" s="1"/>
  <c r="P242" i="9"/>
  <c r="Q242" i="9" s="1"/>
  <c r="P243" i="9"/>
  <c r="Q243" i="9" s="1"/>
  <c r="P244" i="9"/>
  <c r="Q244" i="9" s="1"/>
  <c r="P245" i="9"/>
  <c r="Q245" i="9" s="1"/>
  <c r="P246" i="9"/>
  <c r="Q246" i="9" s="1"/>
  <c r="P247" i="9"/>
  <c r="Q247" i="9" s="1"/>
  <c r="P248" i="9"/>
  <c r="Q248" i="9" s="1"/>
  <c r="P249" i="9"/>
  <c r="Q249" i="9" s="1"/>
  <c r="P250" i="9"/>
  <c r="Q250" i="9" s="1"/>
  <c r="P251" i="9"/>
  <c r="Q251" i="9" s="1"/>
  <c r="P252" i="9"/>
  <c r="Q252" i="9" s="1"/>
  <c r="P253" i="9"/>
  <c r="Q253" i="9" s="1"/>
  <c r="P254" i="9"/>
  <c r="Q254" i="9" s="1"/>
  <c r="P255" i="9"/>
  <c r="Q255" i="9" s="1"/>
  <c r="P256" i="9"/>
  <c r="Q256" i="9" s="1"/>
  <c r="P257" i="9"/>
  <c r="Q257" i="9" s="1"/>
  <c r="P258" i="9"/>
  <c r="Q258" i="9" s="1"/>
  <c r="P259" i="9"/>
  <c r="Q259" i="9" s="1"/>
  <c r="P260" i="9"/>
  <c r="Q260" i="9" s="1"/>
  <c r="P261" i="9"/>
  <c r="Q261" i="9" s="1"/>
  <c r="P262" i="9"/>
  <c r="Q262" i="9" s="1"/>
  <c r="P263" i="9"/>
  <c r="Q263" i="9" s="1"/>
  <c r="P264" i="9"/>
  <c r="Q264" i="9" s="1"/>
  <c r="P265" i="9"/>
  <c r="Q265" i="9" s="1"/>
  <c r="P266" i="9"/>
  <c r="Q266" i="9" s="1"/>
  <c r="P267" i="9"/>
  <c r="Q267" i="9" s="1"/>
  <c r="P268" i="9"/>
  <c r="Q268" i="9" s="1"/>
  <c r="P269" i="9"/>
  <c r="Q269" i="9" s="1"/>
  <c r="P270" i="9"/>
  <c r="Q270" i="9" s="1"/>
  <c r="P271" i="9"/>
  <c r="Q271" i="9" s="1"/>
  <c r="P272" i="9"/>
  <c r="Q272" i="9" s="1"/>
  <c r="P273" i="9"/>
  <c r="Q273" i="9" s="1"/>
  <c r="P274" i="9"/>
  <c r="Q274" i="9" s="1"/>
  <c r="P275" i="9"/>
  <c r="Q275" i="9" s="1"/>
  <c r="P276" i="9"/>
  <c r="Q276" i="9" s="1"/>
  <c r="P277" i="9"/>
  <c r="Q277" i="9" s="1"/>
  <c r="P278" i="9"/>
  <c r="Q278" i="9" s="1"/>
  <c r="P279" i="9"/>
  <c r="Q279" i="9" s="1"/>
  <c r="P280" i="9"/>
  <c r="Q280" i="9" s="1"/>
  <c r="P281" i="9"/>
  <c r="Q281" i="9" s="1"/>
  <c r="P282" i="9"/>
  <c r="Q282" i="9" s="1"/>
  <c r="P283" i="9"/>
  <c r="Q283" i="9" s="1"/>
  <c r="P284" i="9"/>
  <c r="Q284" i="9" s="1"/>
  <c r="P285" i="9"/>
  <c r="Q285" i="9" s="1"/>
  <c r="P286" i="9"/>
  <c r="Q286" i="9" s="1"/>
  <c r="P287" i="9"/>
  <c r="Q287" i="9" s="1"/>
  <c r="P288" i="9"/>
  <c r="Q288" i="9" s="1"/>
  <c r="P289" i="9"/>
  <c r="Q289" i="9" s="1"/>
  <c r="P290" i="9"/>
  <c r="Q290" i="9" s="1"/>
  <c r="P291" i="9"/>
  <c r="Q291" i="9" s="1"/>
  <c r="P292" i="9"/>
  <c r="Q292" i="9" s="1"/>
  <c r="P293" i="9"/>
  <c r="Q293" i="9" s="1"/>
  <c r="P294" i="9"/>
  <c r="Q294" i="9" s="1"/>
  <c r="P295" i="9"/>
  <c r="Q295" i="9" s="1"/>
  <c r="P296" i="9"/>
  <c r="Q296" i="9" s="1"/>
  <c r="P297" i="9"/>
  <c r="Q297" i="9" s="1"/>
  <c r="P298" i="9"/>
  <c r="Q298" i="9" s="1"/>
  <c r="P299" i="9"/>
  <c r="Q299" i="9" s="1"/>
  <c r="P300" i="9"/>
  <c r="Q300" i="9" s="1"/>
  <c r="P301" i="9"/>
  <c r="Q301" i="9" s="1"/>
  <c r="P302" i="9"/>
  <c r="Q302" i="9" s="1"/>
  <c r="P303" i="9"/>
  <c r="Q303" i="9" s="1"/>
  <c r="P304" i="9"/>
  <c r="Q304" i="9" s="1"/>
  <c r="P305" i="9"/>
  <c r="Q305" i="9" s="1"/>
  <c r="P306" i="9"/>
  <c r="Q306" i="9" s="1"/>
  <c r="P307" i="9"/>
  <c r="Q307" i="9" s="1"/>
  <c r="P308" i="9"/>
  <c r="Q308" i="9" s="1"/>
  <c r="P309" i="9"/>
  <c r="Q309" i="9" s="1"/>
  <c r="P310" i="9"/>
  <c r="Q310" i="9" s="1"/>
  <c r="P311" i="9"/>
  <c r="Q311" i="9" s="1"/>
  <c r="P312" i="9"/>
  <c r="Q312" i="9" s="1"/>
  <c r="P313" i="9"/>
  <c r="Q313" i="9" s="1"/>
  <c r="P314" i="9"/>
  <c r="Q314" i="9" s="1"/>
  <c r="P315" i="9"/>
  <c r="Q315" i="9" s="1"/>
  <c r="P316" i="9"/>
  <c r="Q316" i="9" s="1"/>
  <c r="P317" i="9"/>
  <c r="Q317" i="9" s="1"/>
  <c r="P318" i="9"/>
  <c r="Q318" i="9" s="1"/>
  <c r="P319" i="9"/>
  <c r="Q319" i="9" s="1"/>
  <c r="P320" i="9"/>
  <c r="Q320" i="9" s="1"/>
  <c r="P321" i="9"/>
  <c r="Q321" i="9" s="1"/>
  <c r="P322" i="9"/>
  <c r="Q322" i="9" s="1"/>
  <c r="P323" i="9"/>
  <c r="Q323" i="9" s="1"/>
  <c r="P324" i="9"/>
  <c r="Q324" i="9" s="1"/>
  <c r="P325" i="9"/>
  <c r="Q325" i="9" s="1"/>
  <c r="P326" i="9"/>
  <c r="Q326" i="9" s="1"/>
  <c r="P327" i="9"/>
  <c r="Q327" i="9" s="1"/>
  <c r="P328" i="9"/>
  <c r="Q328" i="9" s="1"/>
  <c r="P329" i="9"/>
  <c r="Q329" i="9" s="1"/>
  <c r="P330" i="9"/>
  <c r="Q330" i="9" s="1"/>
  <c r="P331" i="9"/>
  <c r="Q331" i="9" s="1"/>
  <c r="P332" i="9"/>
  <c r="Q332" i="9" s="1"/>
  <c r="P333" i="9"/>
  <c r="Q333" i="9" s="1"/>
  <c r="P334" i="9"/>
  <c r="Q334" i="9" s="1"/>
  <c r="P335" i="9"/>
  <c r="Q335" i="9" s="1"/>
  <c r="P336" i="9"/>
  <c r="Q336" i="9" s="1"/>
  <c r="P337" i="9"/>
  <c r="Q337" i="9" s="1"/>
  <c r="P338" i="9"/>
  <c r="Q338" i="9" s="1"/>
  <c r="P339" i="9"/>
  <c r="Q339" i="9" s="1"/>
  <c r="P340" i="9"/>
  <c r="Q340" i="9" s="1"/>
  <c r="P341" i="9"/>
  <c r="Q341" i="9" s="1"/>
  <c r="P342" i="9"/>
  <c r="Q342" i="9" s="1"/>
  <c r="P343" i="9"/>
  <c r="Q343" i="9" s="1"/>
  <c r="P344" i="9"/>
  <c r="Q344" i="9" s="1"/>
  <c r="P345" i="9"/>
  <c r="Q345" i="9" s="1"/>
  <c r="P346" i="9"/>
  <c r="Q346" i="9" s="1"/>
  <c r="P347" i="9"/>
  <c r="Q347" i="9" s="1"/>
  <c r="P348" i="9"/>
  <c r="Q348" i="9" s="1"/>
  <c r="P349" i="9"/>
  <c r="Q349" i="9" s="1"/>
  <c r="P350" i="9"/>
  <c r="Q350" i="9" s="1"/>
  <c r="P351" i="9"/>
  <c r="Q351" i="9" s="1"/>
  <c r="P352" i="9"/>
  <c r="Q352" i="9" s="1"/>
  <c r="P353" i="9"/>
  <c r="Q353" i="9" s="1"/>
  <c r="P354" i="9"/>
  <c r="Q354" i="9" s="1"/>
  <c r="P355" i="9"/>
  <c r="Q355" i="9" s="1"/>
  <c r="P356" i="9"/>
  <c r="Q356" i="9" s="1"/>
  <c r="P357" i="9"/>
  <c r="Q357" i="9" s="1"/>
  <c r="P358" i="9"/>
  <c r="Q358" i="9" s="1"/>
  <c r="P359" i="9"/>
  <c r="Q359" i="9" s="1"/>
  <c r="P360" i="9"/>
  <c r="Q360" i="9" s="1"/>
  <c r="P361" i="9"/>
  <c r="Q361" i="9" s="1"/>
  <c r="P362" i="9"/>
  <c r="Q362" i="9" s="1"/>
  <c r="P363" i="9"/>
  <c r="Q363" i="9" s="1"/>
  <c r="P364" i="9"/>
  <c r="Q364" i="9" s="1"/>
  <c r="P365" i="9"/>
  <c r="Q365" i="9" s="1"/>
  <c r="P366" i="9"/>
  <c r="Q366" i="9" s="1"/>
  <c r="P367" i="9"/>
  <c r="Q367" i="9" s="1"/>
  <c r="P368" i="9"/>
  <c r="Q368" i="9" s="1"/>
  <c r="P369" i="9"/>
  <c r="Q369" i="9" s="1"/>
  <c r="P370" i="9"/>
  <c r="Q370" i="9" s="1"/>
  <c r="P371" i="9"/>
  <c r="Q371" i="9" s="1"/>
  <c r="P372" i="9"/>
  <c r="Q372" i="9" s="1"/>
  <c r="P373" i="9"/>
  <c r="Q373" i="9" s="1"/>
  <c r="P374" i="9"/>
  <c r="Q374" i="9" s="1"/>
  <c r="P375" i="9"/>
  <c r="Q375" i="9" s="1"/>
  <c r="P376" i="9"/>
  <c r="Q376" i="9" s="1"/>
  <c r="P377" i="9"/>
  <c r="Q377" i="9" s="1"/>
  <c r="P378" i="9"/>
  <c r="Q378" i="9" s="1"/>
  <c r="P379" i="9"/>
  <c r="Q379" i="9" s="1"/>
  <c r="P380" i="9"/>
  <c r="Q380" i="9" s="1"/>
  <c r="P381" i="9"/>
  <c r="Q381" i="9" s="1"/>
  <c r="P382" i="9"/>
  <c r="Q382" i="9" s="1"/>
  <c r="P383" i="9"/>
  <c r="Q383" i="9" s="1"/>
  <c r="P384" i="9"/>
  <c r="Q384" i="9" s="1"/>
  <c r="P385" i="9"/>
  <c r="Q385" i="9" s="1"/>
  <c r="P386" i="9"/>
  <c r="Q386" i="9" s="1"/>
  <c r="P387" i="9"/>
  <c r="Q387" i="9" s="1"/>
  <c r="P388" i="9"/>
  <c r="Q388" i="9" s="1"/>
  <c r="P389" i="9"/>
  <c r="Q389" i="9" s="1"/>
  <c r="P390" i="9"/>
  <c r="Q390" i="9" s="1"/>
  <c r="P391" i="9"/>
  <c r="Q391" i="9" s="1"/>
  <c r="P392" i="9"/>
  <c r="Q392" i="9" s="1"/>
  <c r="P393" i="9"/>
  <c r="Q393" i="9" s="1"/>
  <c r="P394" i="9"/>
  <c r="Q394" i="9" s="1"/>
  <c r="P395" i="9"/>
  <c r="Q395" i="9" s="1"/>
  <c r="P396" i="9"/>
  <c r="Q396" i="9" s="1"/>
  <c r="P397" i="9"/>
  <c r="Q397" i="9" s="1"/>
  <c r="P398" i="9"/>
  <c r="Q398" i="9" s="1"/>
  <c r="P399" i="9"/>
  <c r="Q399" i="9" s="1"/>
  <c r="P400" i="9"/>
  <c r="Q400" i="9" s="1"/>
  <c r="P401" i="9"/>
  <c r="Q401" i="9" s="1"/>
  <c r="P402" i="9"/>
  <c r="Q402" i="9" s="1"/>
  <c r="P403" i="9"/>
  <c r="Q403" i="9" s="1"/>
  <c r="P404" i="9"/>
  <c r="Q404" i="9" s="1"/>
  <c r="P405" i="9"/>
  <c r="Q405" i="9" s="1"/>
  <c r="P406" i="9"/>
  <c r="Q406" i="9" s="1"/>
  <c r="P407" i="9"/>
  <c r="Q407" i="9" s="1"/>
  <c r="P408" i="9"/>
  <c r="Q408" i="9" s="1"/>
  <c r="P409" i="9"/>
  <c r="Q409" i="9" s="1"/>
  <c r="P410" i="9"/>
  <c r="Q410" i="9" s="1"/>
  <c r="P411" i="9"/>
  <c r="Q411" i="9" s="1"/>
  <c r="P412" i="9"/>
  <c r="Q412" i="9" s="1"/>
  <c r="P413" i="9"/>
  <c r="Q413" i="9" s="1"/>
  <c r="P414" i="9"/>
  <c r="Q414" i="9" s="1"/>
  <c r="P415" i="9"/>
  <c r="Q415" i="9" s="1"/>
  <c r="P416" i="9"/>
  <c r="Q416" i="9" s="1"/>
  <c r="P417" i="9"/>
  <c r="Q417" i="9" s="1"/>
  <c r="P418" i="9"/>
  <c r="Q418" i="9" s="1"/>
  <c r="P419" i="9"/>
  <c r="Q419" i="9" s="1"/>
  <c r="P420" i="9"/>
  <c r="Q420" i="9" s="1"/>
  <c r="P421" i="9"/>
  <c r="Q421" i="9" s="1"/>
  <c r="P422" i="9"/>
  <c r="Q422" i="9" s="1"/>
  <c r="P423" i="9"/>
  <c r="Q423" i="9" s="1"/>
  <c r="P424" i="9"/>
  <c r="Q424" i="9" s="1"/>
  <c r="P425" i="9"/>
  <c r="Q425" i="9" s="1"/>
  <c r="P426" i="9"/>
  <c r="Q426" i="9" s="1"/>
  <c r="P427" i="9"/>
  <c r="Q427" i="9" s="1"/>
  <c r="P428" i="9"/>
  <c r="Q428" i="9" s="1"/>
  <c r="P429" i="9"/>
  <c r="Q429" i="9" s="1"/>
  <c r="P430" i="9"/>
  <c r="Q430" i="9" s="1"/>
  <c r="P431" i="9"/>
  <c r="Q431" i="9" s="1"/>
  <c r="P432" i="9"/>
  <c r="Q432" i="9" s="1"/>
  <c r="P433" i="9"/>
  <c r="Q433" i="9" s="1"/>
  <c r="P434" i="9"/>
  <c r="Q434" i="9" s="1"/>
  <c r="P435" i="9"/>
  <c r="Q435" i="9" s="1"/>
  <c r="P436" i="9"/>
  <c r="Q436" i="9" s="1"/>
  <c r="P437" i="9"/>
  <c r="Q437" i="9" s="1"/>
  <c r="P438" i="9"/>
  <c r="Q438" i="9" s="1"/>
  <c r="P439" i="9"/>
  <c r="Q439" i="9" s="1"/>
  <c r="P440" i="9"/>
  <c r="Q440" i="9" s="1"/>
  <c r="P441" i="9"/>
  <c r="Q441" i="9" s="1"/>
  <c r="P442" i="9"/>
  <c r="Q442" i="9" s="1"/>
  <c r="P443" i="9"/>
  <c r="Q443" i="9" s="1"/>
  <c r="P444" i="9"/>
  <c r="Q444" i="9" s="1"/>
  <c r="P445" i="9"/>
  <c r="Q445" i="9" s="1"/>
  <c r="P446" i="9"/>
  <c r="Q446" i="9" s="1"/>
  <c r="P447" i="9"/>
  <c r="Q447" i="9" s="1"/>
  <c r="P448" i="9"/>
  <c r="Q448" i="9" s="1"/>
  <c r="P449" i="9"/>
  <c r="Q449" i="9" s="1"/>
  <c r="P450" i="9"/>
  <c r="Q450" i="9" s="1"/>
  <c r="P451" i="9"/>
  <c r="Q451" i="9" s="1"/>
  <c r="P452" i="9"/>
  <c r="Q452" i="9" s="1"/>
  <c r="P453" i="9"/>
  <c r="Q453" i="9" s="1"/>
  <c r="P454" i="9"/>
  <c r="Q454" i="9" s="1"/>
  <c r="P455" i="9"/>
  <c r="Q455" i="9" s="1"/>
  <c r="P456" i="9"/>
  <c r="Q456" i="9" s="1"/>
  <c r="P457" i="9"/>
  <c r="Q457" i="9" s="1"/>
  <c r="P458" i="9"/>
  <c r="Q458" i="9" s="1"/>
  <c r="P459" i="9"/>
  <c r="Q459" i="9" s="1"/>
  <c r="P460" i="9"/>
  <c r="Q460" i="9" s="1"/>
  <c r="P461" i="9"/>
  <c r="Q461" i="9" s="1"/>
  <c r="P462" i="9"/>
  <c r="Q462" i="9" s="1"/>
  <c r="P463" i="9"/>
  <c r="Q463" i="9" s="1"/>
  <c r="P464" i="9"/>
  <c r="Q464" i="9" s="1"/>
  <c r="P465" i="9"/>
  <c r="Q465" i="9" s="1"/>
  <c r="P466" i="9"/>
  <c r="Q466" i="9" s="1"/>
  <c r="P467" i="9"/>
  <c r="Q467" i="9" s="1"/>
  <c r="P468" i="9"/>
  <c r="Q468" i="9" s="1"/>
  <c r="P469" i="9"/>
  <c r="Q469" i="9" s="1"/>
  <c r="P470" i="9"/>
  <c r="Q470" i="9" s="1"/>
  <c r="P471" i="9"/>
  <c r="Q471" i="9" s="1"/>
  <c r="P472" i="9"/>
  <c r="Q472" i="9" s="1"/>
  <c r="P473" i="9"/>
  <c r="Q473" i="9" s="1"/>
  <c r="P474" i="9"/>
  <c r="Q474" i="9" s="1"/>
  <c r="P475" i="9"/>
  <c r="Q475" i="9" s="1"/>
  <c r="P476" i="9"/>
  <c r="Q476" i="9" s="1"/>
  <c r="P477" i="9"/>
  <c r="Q477" i="9" s="1"/>
  <c r="P478" i="9"/>
  <c r="Q478" i="9" s="1"/>
  <c r="P479" i="9"/>
  <c r="Q479" i="9" s="1"/>
  <c r="P480" i="9"/>
  <c r="Q480" i="9" s="1"/>
  <c r="P481" i="9"/>
  <c r="Q481" i="9" s="1"/>
  <c r="P482" i="9"/>
  <c r="Q482" i="9" s="1"/>
  <c r="P483" i="9"/>
  <c r="Q483" i="9" s="1"/>
  <c r="P484" i="9"/>
  <c r="Q484" i="9" s="1"/>
  <c r="P485" i="9"/>
  <c r="Q485" i="9" s="1"/>
  <c r="P486" i="9"/>
  <c r="Q486" i="9" s="1"/>
  <c r="P487" i="9"/>
  <c r="Q487" i="9" s="1"/>
  <c r="P488" i="9"/>
  <c r="Q488" i="9" s="1"/>
  <c r="P489" i="9"/>
  <c r="Q489" i="9" s="1"/>
  <c r="P490" i="9"/>
  <c r="Q490" i="9" s="1"/>
  <c r="P491" i="9"/>
  <c r="Q491" i="9" s="1"/>
  <c r="P492" i="9"/>
  <c r="Q492" i="9" s="1"/>
  <c r="P493" i="9"/>
  <c r="Q493" i="9" s="1"/>
  <c r="P494" i="9"/>
  <c r="Q494" i="9" s="1"/>
  <c r="P495" i="9"/>
  <c r="Q495" i="9" s="1"/>
  <c r="P496" i="9"/>
  <c r="Q496" i="9" s="1"/>
  <c r="P497" i="9"/>
  <c r="Q497" i="9" s="1"/>
  <c r="P498" i="9"/>
  <c r="Q498" i="9" s="1"/>
  <c r="P499" i="9"/>
  <c r="Q499" i="9" s="1"/>
  <c r="P500" i="9"/>
  <c r="Q500" i="9" s="1"/>
  <c r="P501" i="9"/>
  <c r="Q501" i="9" s="1"/>
  <c r="P502" i="9"/>
  <c r="Q502" i="9" s="1"/>
  <c r="P503" i="9"/>
  <c r="Q503" i="9" s="1"/>
  <c r="P504" i="9"/>
  <c r="Q504" i="9" s="1"/>
  <c r="P505" i="9"/>
  <c r="Q505" i="9" s="1"/>
  <c r="P506" i="9"/>
  <c r="Q506" i="9" s="1"/>
  <c r="P507" i="9"/>
  <c r="Q507" i="9" s="1"/>
  <c r="P508" i="9"/>
  <c r="Q508" i="9" s="1"/>
  <c r="P509" i="9"/>
  <c r="Q509" i="9" s="1"/>
  <c r="P510" i="9"/>
  <c r="Q510" i="9" s="1"/>
  <c r="P511" i="9"/>
  <c r="Q511" i="9" s="1"/>
  <c r="P512" i="9"/>
  <c r="Q512" i="9" s="1"/>
  <c r="P513" i="9"/>
  <c r="Q513" i="9" s="1"/>
  <c r="P514" i="9"/>
  <c r="Q514" i="9" s="1"/>
  <c r="P515" i="9"/>
  <c r="Q515" i="9" s="1"/>
  <c r="P516" i="9"/>
  <c r="Q516" i="9" s="1"/>
  <c r="P517" i="9"/>
  <c r="Q517" i="9" s="1"/>
  <c r="P518" i="9"/>
  <c r="Q518" i="9" s="1"/>
  <c r="P519" i="9"/>
  <c r="Q519" i="9" s="1"/>
  <c r="P520" i="9"/>
  <c r="Q520" i="9" s="1"/>
  <c r="P521" i="9"/>
  <c r="Q521" i="9" s="1"/>
  <c r="P522" i="9"/>
  <c r="Q522" i="9" s="1"/>
  <c r="P523" i="9"/>
  <c r="Q523" i="9" s="1"/>
  <c r="P524" i="9"/>
  <c r="Q524" i="9" s="1"/>
  <c r="P525" i="9"/>
  <c r="Q525" i="9" s="1"/>
  <c r="P526" i="9"/>
  <c r="Q526" i="9" s="1"/>
  <c r="P527" i="9"/>
  <c r="Q527" i="9" s="1"/>
  <c r="P528" i="9"/>
  <c r="Q528" i="9" s="1"/>
  <c r="P529" i="9"/>
  <c r="Q529" i="9" s="1"/>
  <c r="P530" i="9"/>
  <c r="Q530" i="9" s="1"/>
  <c r="P531" i="9"/>
  <c r="Q531" i="9" s="1"/>
  <c r="P532" i="9"/>
  <c r="Q532" i="9" s="1"/>
  <c r="P533" i="9"/>
  <c r="Q533" i="9" s="1"/>
  <c r="P534" i="9"/>
  <c r="Q534" i="9" s="1"/>
  <c r="P535" i="9"/>
  <c r="Q535" i="9" s="1"/>
  <c r="P536" i="9"/>
  <c r="Q536" i="9" s="1"/>
  <c r="P537" i="9"/>
  <c r="Q537" i="9" s="1"/>
  <c r="P538" i="9"/>
  <c r="Q538" i="9" s="1"/>
  <c r="P539" i="9"/>
  <c r="Q539" i="9" s="1"/>
  <c r="P540" i="9"/>
  <c r="Q540" i="9" s="1"/>
  <c r="P541" i="9"/>
  <c r="Q541" i="9" s="1"/>
  <c r="P542" i="9"/>
  <c r="Q542" i="9" s="1"/>
  <c r="P543" i="9"/>
  <c r="Q543" i="9" s="1"/>
  <c r="P544" i="9"/>
  <c r="Q544" i="9" s="1"/>
  <c r="P545" i="9"/>
  <c r="Q545" i="9" s="1"/>
  <c r="P546" i="9"/>
  <c r="Q546" i="9" s="1"/>
  <c r="P547" i="9"/>
  <c r="Q547" i="9" s="1"/>
  <c r="P548" i="9"/>
  <c r="Q548" i="9" s="1"/>
  <c r="P549" i="9"/>
  <c r="Q549" i="9" s="1"/>
  <c r="P550" i="9"/>
  <c r="Q550" i="9" s="1"/>
  <c r="P551" i="9"/>
  <c r="Q551" i="9" s="1"/>
  <c r="P552" i="9"/>
  <c r="Q552" i="9" s="1"/>
  <c r="P553" i="9"/>
  <c r="Q553" i="9" s="1"/>
  <c r="P554" i="9"/>
  <c r="Q554" i="9" s="1"/>
  <c r="P555" i="9"/>
  <c r="Q555" i="9" s="1"/>
  <c r="P556" i="9"/>
  <c r="Q556" i="9" s="1"/>
  <c r="P557" i="9"/>
  <c r="Q557" i="9" s="1"/>
  <c r="P558" i="9"/>
  <c r="Q558" i="9" s="1"/>
  <c r="P559" i="9"/>
  <c r="Q559" i="9" s="1"/>
  <c r="P560" i="9"/>
  <c r="Q560" i="9" s="1"/>
  <c r="P561" i="9"/>
  <c r="Q561" i="9" s="1"/>
  <c r="P562" i="9"/>
  <c r="Q562" i="9" s="1"/>
  <c r="P563" i="9"/>
  <c r="Q563" i="9" s="1"/>
  <c r="P564" i="9"/>
  <c r="Q564" i="9" s="1"/>
  <c r="P565" i="9"/>
  <c r="Q565" i="9" s="1"/>
  <c r="P566" i="9"/>
  <c r="Q566" i="9" s="1"/>
  <c r="P567" i="9"/>
  <c r="Q567" i="9" s="1"/>
  <c r="P568" i="9"/>
  <c r="Q568" i="9" s="1"/>
  <c r="P569" i="9"/>
  <c r="Q569" i="9" s="1"/>
  <c r="P570" i="9"/>
  <c r="Q570" i="9" s="1"/>
  <c r="P571" i="9"/>
  <c r="Q571" i="9" s="1"/>
  <c r="P572" i="9"/>
  <c r="Q572" i="9" s="1"/>
  <c r="P573" i="9"/>
  <c r="Q573" i="9" s="1"/>
  <c r="P574" i="9"/>
  <c r="Q574" i="9" s="1"/>
  <c r="P575" i="9"/>
  <c r="Q575" i="9" s="1"/>
  <c r="P576" i="9"/>
  <c r="Q576" i="9" s="1"/>
  <c r="P577" i="9"/>
  <c r="Q577" i="9" s="1"/>
  <c r="P578" i="9"/>
  <c r="Q578" i="9" s="1"/>
  <c r="P579" i="9"/>
  <c r="Q579" i="9" s="1"/>
  <c r="P580" i="9"/>
  <c r="Q580" i="9" s="1"/>
  <c r="P581" i="9"/>
  <c r="Q581" i="9" s="1"/>
  <c r="P582" i="9"/>
  <c r="Q582" i="9" s="1"/>
  <c r="P583" i="9"/>
  <c r="Q583" i="9" s="1"/>
  <c r="P584" i="9"/>
  <c r="Q584" i="9" s="1"/>
  <c r="P585" i="9"/>
  <c r="Q585" i="9" s="1"/>
  <c r="P586" i="9"/>
  <c r="Q586" i="9" s="1"/>
  <c r="P587" i="9"/>
  <c r="Q587" i="9" s="1"/>
  <c r="P588" i="9"/>
  <c r="Q588" i="9" s="1"/>
  <c r="P589" i="9"/>
  <c r="Q589" i="9" s="1"/>
  <c r="P590" i="9"/>
  <c r="Q590" i="9" s="1"/>
  <c r="P591" i="9"/>
  <c r="Q591" i="9" s="1"/>
  <c r="P592" i="9"/>
  <c r="Q592" i="9" s="1"/>
  <c r="P593" i="9"/>
  <c r="Q593" i="9" s="1"/>
  <c r="P594" i="9"/>
  <c r="Q594" i="9" s="1"/>
  <c r="P595" i="9"/>
  <c r="Q595" i="9" s="1"/>
  <c r="P596" i="9"/>
  <c r="Q596" i="9" s="1"/>
  <c r="P597" i="9"/>
  <c r="Q597" i="9" s="1"/>
  <c r="P598" i="9"/>
  <c r="Q598" i="9" s="1"/>
  <c r="P599" i="9"/>
  <c r="Q599" i="9" s="1"/>
  <c r="P600" i="9"/>
  <c r="Q600" i="9" s="1"/>
  <c r="P601" i="9"/>
  <c r="Q601" i="9" s="1"/>
  <c r="P602" i="9"/>
  <c r="Q602" i="9" s="1"/>
  <c r="P603" i="9"/>
  <c r="Q603" i="9" s="1"/>
  <c r="P604" i="9"/>
  <c r="Q604" i="9" s="1"/>
  <c r="P605" i="9"/>
  <c r="Q605" i="9" s="1"/>
  <c r="P606" i="9"/>
  <c r="Q606" i="9" s="1"/>
  <c r="P607" i="9"/>
  <c r="Q607" i="9" s="1"/>
  <c r="P608" i="9"/>
  <c r="Q608" i="9" s="1"/>
  <c r="P609" i="9"/>
  <c r="Q609" i="9" s="1"/>
  <c r="P610" i="9"/>
  <c r="Q610" i="9" s="1"/>
  <c r="P611" i="9"/>
  <c r="Q611" i="9" s="1"/>
  <c r="P612" i="9"/>
  <c r="Q612" i="9" s="1"/>
  <c r="P613" i="9"/>
  <c r="Q613" i="9" s="1"/>
  <c r="P614" i="9"/>
  <c r="Q614" i="9" s="1"/>
  <c r="P615" i="9"/>
  <c r="Q615" i="9" s="1"/>
  <c r="P616" i="9"/>
  <c r="Q616" i="9" s="1"/>
  <c r="P617" i="9"/>
  <c r="Q617" i="9" s="1"/>
  <c r="P618" i="9"/>
  <c r="Q618" i="9" s="1"/>
  <c r="P619" i="9"/>
  <c r="Q619" i="9" s="1"/>
  <c r="P620" i="9"/>
  <c r="Q620" i="9" s="1"/>
  <c r="P621" i="9"/>
  <c r="Q621" i="9" s="1"/>
  <c r="P622" i="9"/>
  <c r="Q622" i="9" s="1"/>
  <c r="P623" i="9"/>
  <c r="Q623" i="9" s="1"/>
  <c r="P624" i="9"/>
  <c r="Q624" i="9" s="1"/>
  <c r="P625" i="9"/>
  <c r="Q625" i="9" s="1"/>
  <c r="P626" i="9"/>
  <c r="Q626" i="9" s="1"/>
  <c r="P627" i="9"/>
  <c r="Q627" i="9" s="1"/>
  <c r="P628" i="9"/>
  <c r="Q628" i="9" s="1"/>
  <c r="P629" i="9"/>
  <c r="Q629" i="9" s="1"/>
  <c r="P630" i="9"/>
  <c r="Q630" i="9" s="1"/>
  <c r="P631" i="9"/>
  <c r="Q631" i="9" s="1"/>
  <c r="P632" i="9"/>
  <c r="Q632" i="9" s="1"/>
  <c r="P633" i="9"/>
  <c r="Q633" i="9" s="1"/>
  <c r="P634" i="9"/>
  <c r="Q634" i="9" s="1"/>
  <c r="P635" i="9"/>
  <c r="Q635" i="9" s="1"/>
  <c r="P636" i="9"/>
  <c r="Q636" i="9" s="1"/>
  <c r="P637" i="9"/>
  <c r="Q637" i="9" s="1"/>
  <c r="P638" i="9"/>
  <c r="Q638" i="9" s="1"/>
  <c r="P639" i="9"/>
  <c r="Q639" i="9" s="1"/>
  <c r="P640" i="9"/>
  <c r="Q640" i="9" s="1"/>
  <c r="P641" i="9"/>
  <c r="Q641" i="9" s="1"/>
  <c r="P642" i="9"/>
  <c r="Q642" i="9" s="1"/>
  <c r="P643" i="9"/>
  <c r="Q643" i="9" s="1"/>
  <c r="P644" i="9"/>
  <c r="Q644" i="9" s="1"/>
  <c r="P645" i="9"/>
  <c r="Q645" i="9" s="1"/>
  <c r="P646" i="9"/>
  <c r="Q646" i="9" s="1"/>
  <c r="P647" i="9"/>
  <c r="Q647" i="9" s="1"/>
  <c r="P648" i="9"/>
  <c r="Q648" i="9" s="1"/>
  <c r="P649" i="9"/>
  <c r="Q649" i="9" s="1"/>
  <c r="P650" i="9"/>
  <c r="Q650" i="9" s="1"/>
  <c r="P651" i="9"/>
  <c r="Q651" i="9" s="1"/>
  <c r="P652" i="9"/>
  <c r="Q652" i="9" s="1"/>
  <c r="P653" i="9"/>
  <c r="Q653" i="9" s="1"/>
  <c r="P654" i="9"/>
  <c r="Q654" i="9" s="1"/>
  <c r="P655" i="9"/>
  <c r="Q655" i="9" s="1"/>
  <c r="P656" i="9"/>
  <c r="Q656" i="9" s="1"/>
  <c r="P657" i="9"/>
  <c r="Q657" i="9" s="1"/>
  <c r="P658" i="9"/>
  <c r="Q658" i="9" s="1"/>
  <c r="P659" i="9"/>
  <c r="Q659" i="9" s="1"/>
  <c r="P660" i="9"/>
  <c r="Q660" i="9" s="1"/>
  <c r="P661" i="9"/>
  <c r="Q661" i="9" s="1"/>
  <c r="P662" i="9"/>
  <c r="Q662" i="9" s="1"/>
  <c r="P663" i="9"/>
  <c r="Q663" i="9" s="1"/>
  <c r="P664" i="9"/>
  <c r="Q664" i="9" s="1"/>
  <c r="P665" i="9"/>
  <c r="Q665" i="9" s="1"/>
  <c r="P666" i="9"/>
  <c r="Q666" i="9" s="1"/>
  <c r="P667" i="9"/>
  <c r="Q667" i="9" s="1"/>
  <c r="P668" i="9"/>
  <c r="Q668" i="9" s="1"/>
  <c r="P669" i="9"/>
  <c r="Q669" i="9" s="1"/>
  <c r="P670" i="9"/>
  <c r="Q670" i="9" s="1"/>
  <c r="P671" i="9"/>
  <c r="Q671" i="9" s="1"/>
  <c r="P672" i="9"/>
  <c r="Q672" i="9" s="1"/>
  <c r="P673" i="9"/>
  <c r="Q673" i="9" s="1"/>
  <c r="P674" i="9"/>
  <c r="Q674" i="9" s="1"/>
  <c r="P675" i="9"/>
  <c r="Q675" i="9" s="1"/>
  <c r="P676" i="9"/>
  <c r="Q676" i="9" s="1"/>
  <c r="P677" i="9"/>
  <c r="Q677" i="9" s="1"/>
  <c r="P678" i="9"/>
  <c r="Q678" i="9" s="1"/>
  <c r="P679" i="9"/>
  <c r="Q679" i="9" s="1"/>
  <c r="P680" i="9"/>
  <c r="Q680" i="9" s="1"/>
  <c r="P681" i="9"/>
  <c r="Q681" i="9" s="1"/>
  <c r="P682" i="9"/>
  <c r="Q682" i="9" s="1"/>
  <c r="P683" i="9"/>
  <c r="Q683" i="9" s="1"/>
  <c r="P684" i="9"/>
  <c r="Q684" i="9" s="1"/>
  <c r="P685" i="9"/>
  <c r="Q685" i="9" s="1"/>
  <c r="P686" i="9"/>
  <c r="Q686" i="9" s="1"/>
  <c r="P687" i="9"/>
  <c r="Q687" i="9" s="1"/>
  <c r="P688" i="9"/>
  <c r="Q688" i="9" s="1"/>
  <c r="P689" i="9"/>
  <c r="Q689" i="9" s="1"/>
  <c r="P690" i="9"/>
  <c r="Q690" i="9" s="1"/>
  <c r="P691" i="9"/>
  <c r="Q691" i="9" s="1"/>
  <c r="P692" i="9"/>
  <c r="Q692" i="9" s="1"/>
  <c r="P693" i="9"/>
  <c r="Q693" i="9" s="1"/>
  <c r="P694" i="9"/>
  <c r="Q694" i="9" s="1"/>
  <c r="P695" i="9"/>
  <c r="Q695" i="9" s="1"/>
  <c r="P696" i="9"/>
  <c r="Q696" i="9" s="1"/>
  <c r="P697" i="9"/>
  <c r="Q697" i="9" s="1"/>
  <c r="P698" i="9"/>
  <c r="Q698" i="9" s="1"/>
  <c r="P699" i="9"/>
  <c r="Q699" i="9" s="1"/>
  <c r="P700" i="9"/>
  <c r="Q700" i="9" s="1"/>
  <c r="P701" i="9"/>
  <c r="Q701" i="9" s="1"/>
  <c r="P702" i="9"/>
  <c r="Q702" i="9" s="1"/>
  <c r="P703" i="9"/>
  <c r="Q703" i="9" s="1"/>
  <c r="P704" i="9"/>
  <c r="Q704" i="9" s="1"/>
  <c r="P705" i="9"/>
  <c r="Q705" i="9" s="1"/>
  <c r="P706" i="9"/>
  <c r="Q706" i="9" s="1"/>
  <c r="P707" i="9"/>
  <c r="Q707" i="9" s="1"/>
  <c r="P708" i="9"/>
  <c r="Q708" i="9" s="1"/>
  <c r="P709" i="9"/>
  <c r="Q709" i="9" s="1"/>
  <c r="P710" i="9"/>
  <c r="Q710" i="9" s="1"/>
  <c r="P711" i="9"/>
  <c r="Q711" i="9" s="1"/>
  <c r="P712" i="9"/>
  <c r="Q712" i="9" s="1"/>
  <c r="P713" i="9"/>
  <c r="Q713" i="9" s="1"/>
  <c r="P714" i="9"/>
  <c r="Q714" i="9" s="1"/>
  <c r="P715" i="9"/>
  <c r="Q715" i="9" s="1"/>
  <c r="P716" i="9"/>
  <c r="Q716" i="9" s="1"/>
  <c r="P717" i="9"/>
  <c r="Q717" i="9" s="1"/>
  <c r="P718" i="9"/>
  <c r="Q718" i="9" s="1"/>
  <c r="P719" i="9"/>
  <c r="Q719" i="9" s="1"/>
  <c r="P720" i="9"/>
  <c r="Q720" i="9" s="1"/>
  <c r="P721" i="9"/>
  <c r="Q721" i="9" s="1"/>
  <c r="P722" i="9"/>
  <c r="Q722" i="9" s="1"/>
  <c r="P723" i="9"/>
  <c r="Q723" i="9" s="1"/>
  <c r="P724" i="9"/>
  <c r="Q724" i="9" s="1"/>
  <c r="P725" i="9"/>
  <c r="Q725" i="9" s="1"/>
  <c r="P726" i="9"/>
  <c r="Q726" i="9" s="1"/>
  <c r="P727" i="9"/>
  <c r="Q727" i="9" s="1"/>
  <c r="P728" i="9"/>
  <c r="Q728" i="9" s="1"/>
  <c r="P729" i="9"/>
  <c r="Q729" i="9" s="1"/>
  <c r="P730" i="9"/>
  <c r="Q730" i="9" s="1"/>
  <c r="P731" i="9"/>
  <c r="Q731" i="9" s="1"/>
  <c r="P732" i="9"/>
  <c r="Q732" i="9" s="1"/>
  <c r="P733" i="9"/>
  <c r="Q733" i="9" s="1"/>
  <c r="P734" i="9"/>
  <c r="Q734" i="9" s="1"/>
  <c r="P735" i="9"/>
  <c r="Q735" i="9" s="1"/>
  <c r="P736" i="9"/>
  <c r="Q736" i="9" s="1"/>
  <c r="P737" i="9"/>
  <c r="Q737" i="9" s="1"/>
  <c r="P738" i="9"/>
  <c r="Q738" i="9" s="1"/>
  <c r="P739" i="9"/>
  <c r="Q739" i="9" s="1"/>
  <c r="P740" i="9"/>
  <c r="Q740" i="9" s="1"/>
  <c r="P741" i="9"/>
  <c r="Q741" i="9" s="1"/>
  <c r="P742" i="9"/>
  <c r="Q742" i="9" s="1"/>
  <c r="P743" i="9"/>
  <c r="Q743" i="9" s="1"/>
  <c r="P744" i="9"/>
  <c r="Q744" i="9" s="1"/>
  <c r="P745" i="9"/>
  <c r="Q745" i="9" s="1"/>
  <c r="P746" i="9"/>
  <c r="Q746" i="9" s="1"/>
  <c r="P747" i="9"/>
  <c r="Q747" i="9" s="1"/>
  <c r="P748" i="9"/>
  <c r="Q748" i="9" s="1"/>
  <c r="P749" i="9"/>
  <c r="Q749" i="9" s="1"/>
  <c r="P750" i="9"/>
  <c r="Q750" i="9" s="1"/>
  <c r="P751" i="9"/>
  <c r="Q751" i="9" s="1"/>
  <c r="P752" i="9"/>
  <c r="Q752" i="9" s="1"/>
  <c r="P753" i="9"/>
  <c r="Q753" i="9" s="1"/>
  <c r="P754" i="9"/>
  <c r="Q754" i="9" s="1"/>
  <c r="P755" i="9"/>
  <c r="Q755" i="9" s="1"/>
  <c r="P756" i="9"/>
  <c r="Q756" i="9" s="1"/>
  <c r="P757" i="9"/>
  <c r="Q757" i="9" s="1"/>
  <c r="P758" i="9"/>
  <c r="Q758" i="9" s="1"/>
  <c r="P759" i="9"/>
  <c r="Q759" i="9" s="1"/>
  <c r="P760" i="9"/>
  <c r="Q760" i="9" s="1"/>
  <c r="P761" i="9"/>
  <c r="Q761" i="9" s="1"/>
  <c r="P762" i="9"/>
  <c r="Q762" i="9" s="1"/>
  <c r="P763" i="9"/>
  <c r="Q763" i="9" s="1"/>
  <c r="P764" i="9"/>
  <c r="Q764" i="9" s="1"/>
  <c r="P765" i="9"/>
  <c r="Q765" i="9" s="1"/>
  <c r="P766" i="9"/>
  <c r="Q766" i="9" s="1"/>
  <c r="P767" i="9"/>
  <c r="Q767" i="9" s="1"/>
  <c r="P768" i="9"/>
  <c r="Q768" i="9" s="1"/>
  <c r="P769" i="9"/>
  <c r="Q769" i="9" s="1"/>
  <c r="P770" i="9"/>
  <c r="Q770" i="9" s="1"/>
  <c r="P771" i="9"/>
  <c r="Q771" i="9" s="1"/>
  <c r="P772" i="9"/>
  <c r="Q772" i="9" s="1"/>
  <c r="P773" i="9"/>
  <c r="Q773" i="9" s="1"/>
  <c r="P774" i="9"/>
  <c r="Q774" i="9" s="1"/>
  <c r="P775" i="9"/>
  <c r="Q775" i="9" s="1"/>
  <c r="P776" i="9"/>
  <c r="Q776" i="9" s="1"/>
  <c r="P777" i="9"/>
  <c r="Q777" i="9" s="1"/>
  <c r="P778" i="9"/>
  <c r="Q778" i="9" s="1"/>
  <c r="P779" i="9"/>
  <c r="Q779" i="9" s="1"/>
  <c r="P780" i="9"/>
  <c r="Q780" i="9" s="1"/>
  <c r="P781" i="9"/>
  <c r="Q781" i="9" s="1"/>
  <c r="P782" i="9"/>
  <c r="Q782" i="9" s="1"/>
  <c r="P783" i="9"/>
  <c r="Q783" i="9" s="1"/>
  <c r="P784" i="9"/>
  <c r="Q784" i="9" s="1"/>
  <c r="P785" i="9"/>
  <c r="Q785" i="9" s="1"/>
  <c r="P786" i="9"/>
  <c r="Q786" i="9" s="1"/>
  <c r="P787" i="9"/>
  <c r="Q787" i="9" s="1"/>
  <c r="P788" i="9"/>
  <c r="Q788" i="9" s="1"/>
  <c r="P789" i="9"/>
  <c r="Q789" i="9" s="1"/>
  <c r="P790" i="9"/>
  <c r="Q790" i="9" s="1"/>
  <c r="P791" i="9"/>
  <c r="Q791" i="9" s="1"/>
  <c r="P792" i="9"/>
  <c r="Q792" i="9" s="1"/>
  <c r="P793" i="9"/>
  <c r="Q793" i="9" s="1"/>
  <c r="P794" i="9"/>
  <c r="Q794" i="9" s="1"/>
  <c r="P795" i="9"/>
  <c r="Q795" i="9" s="1"/>
  <c r="P796" i="9"/>
  <c r="Q796" i="9" s="1"/>
  <c r="P797" i="9"/>
  <c r="Q797" i="9" s="1"/>
  <c r="P798" i="9"/>
  <c r="Q798" i="9" s="1"/>
  <c r="P799" i="9"/>
  <c r="Q799" i="9" s="1"/>
  <c r="P800" i="9"/>
  <c r="Q800" i="9" s="1"/>
  <c r="P801" i="9"/>
  <c r="Q801" i="9" s="1"/>
  <c r="P802" i="9"/>
  <c r="Q802" i="9" s="1"/>
  <c r="P803" i="9"/>
  <c r="Q803" i="9" s="1"/>
  <c r="P804" i="9"/>
  <c r="Q804" i="9" s="1"/>
  <c r="P805" i="9"/>
  <c r="Q805" i="9" s="1"/>
  <c r="P806" i="9"/>
  <c r="Q806" i="9" s="1"/>
  <c r="P807" i="9"/>
  <c r="Q807" i="9" s="1"/>
  <c r="P808" i="9"/>
  <c r="Q808" i="9" s="1"/>
  <c r="P809" i="9"/>
  <c r="Q809" i="9" s="1"/>
  <c r="P810" i="9"/>
  <c r="Q810" i="9" s="1"/>
  <c r="P811" i="9"/>
  <c r="Q811" i="9" s="1"/>
  <c r="P812" i="9"/>
  <c r="Q812" i="9" s="1"/>
  <c r="P813" i="9"/>
  <c r="Q813" i="9" s="1"/>
  <c r="P814" i="9"/>
  <c r="Q814" i="9" s="1"/>
  <c r="P815" i="9"/>
  <c r="Q815" i="9" s="1"/>
  <c r="P816" i="9"/>
  <c r="Q816" i="9" s="1"/>
  <c r="P817" i="9"/>
  <c r="Q817" i="9" s="1"/>
  <c r="P818" i="9"/>
  <c r="Q818" i="9" s="1"/>
  <c r="P819" i="9"/>
  <c r="Q819" i="9" s="1"/>
  <c r="P820" i="9"/>
  <c r="Q820" i="9" s="1"/>
  <c r="P821" i="9"/>
  <c r="Q821" i="9" s="1"/>
  <c r="P822" i="9"/>
  <c r="Q822" i="9" s="1"/>
  <c r="P823" i="9"/>
  <c r="Q823" i="9" s="1"/>
  <c r="P824" i="9"/>
  <c r="Q824" i="9" s="1"/>
  <c r="P825" i="9"/>
  <c r="Q825" i="9" s="1"/>
  <c r="P826" i="9"/>
  <c r="Q826" i="9" s="1"/>
  <c r="P827" i="9"/>
  <c r="Q827" i="9" s="1"/>
  <c r="P828" i="9"/>
  <c r="Q828" i="9" s="1"/>
  <c r="P829" i="9"/>
  <c r="Q829" i="9" s="1"/>
  <c r="P830" i="9"/>
  <c r="Q830" i="9" s="1"/>
  <c r="P831" i="9"/>
  <c r="Q831" i="9" s="1"/>
  <c r="P832" i="9"/>
  <c r="Q832" i="9" s="1"/>
  <c r="P833" i="9"/>
  <c r="Q833" i="9" s="1"/>
  <c r="P834" i="9"/>
  <c r="Q834" i="9" s="1"/>
  <c r="P835" i="9"/>
  <c r="Q835" i="9" s="1"/>
  <c r="P836" i="9"/>
  <c r="Q836" i="9" s="1"/>
  <c r="P837" i="9"/>
  <c r="Q837" i="9" s="1"/>
  <c r="P838" i="9"/>
  <c r="Q838" i="9" s="1"/>
  <c r="P839" i="9"/>
  <c r="Q839" i="9" s="1"/>
  <c r="P840" i="9"/>
  <c r="Q840" i="9" s="1"/>
  <c r="P841" i="9"/>
  <c r="Q841" i="9" s="1"/>
  <c r="P842" i="9"/>
  <c r="Q842" i="9" s="1"/>
  <c r="P843" i="9"/>
  <c r="Q843" i="9" s="1"/>
  <c r="P844" i="9"/>
  <c r="Q844" i="9" s="1"/>
  <c r="P845" i="9"/>
  <c r="Q845" i="9" s="1"/>
  <c r="P846" i="9"/>
  <c r="Q846" i="9" s="1"/>
  <c r="P847" i="9"/>
  <c r="Q847" i="9" s="1"/>
  <c r="P848" i="9"/>
  <c r="Q848" i="9" s="1"/>
  <c r="P849" i="9"/>
  <c r="Q849" i="9" s="1"/>
  <c r="P850" i="9"/>
  <c r="Q850" i="9" s="1"/>
  <c r="P851" i="9"/>
  <c r="Q851" i="9" s="1"/>
  <c r="P852" i="9"/>
  <c r="Q852" i="9" s="1"/>
  <c r="P853" i="9"/>
  <c r="Q853" i="9" s="1"/>
  <c r="P854" i="9"/>
  <c r="Q854" i="9" s="1"/>
  <c r="P855" i="9"/>
  <c r="Q855" i="9" s="1"/>
  <c r="P856" i="9"/>
  <c r="Q856" i="9" s="1"/>
  <c r="P857" i="9"/>
  <c r="Q857" i="9" s="1"/>
  <c r="P858" i="9"/>
  <c r="Q858" i="9" s="1"/>
  <c r="P859" i="9"/>
  <c r="Q859" i="9" s="1"/>
  <c r="P860" i="9"/>
  <c r="Q860" i="9" s="1"/>
  <c r="P861" i="9"/>
  <c r="Q861" i="9" s="1"/>
  <c r="P862" i="9"/>
  <c r="Q862" i="9" s="1"/>
  <c r="P863" i="9"/>
  <c r="Q863" i="9" s="1"/>
  <c r="P864" i="9"/>
  <c r="Q864" i="9" s="1"/>
  <c r="P865" i="9"/>
  <c r="Q865" i="9" s="1"/>
  <c r="P866" i="9"/>
  <c r="Q866" i="9" s="1"/>
  <c r="P867" i="9"/>
  <c r="Q867" i="9" s="1"/>
  <c r="P868" i="9"/>
  <c r="Q868" i="9" s="1"/>
  <c r="P869" i="9"/>
  <c r="Q869" i="9" s="1"/>
  <c r="P870" i="9"/>
  <c r="Q870" i="9" s="1"/>
  <c r="P871" i="9"/>
  <c r="Q871" i="9" s="1"/>
  <c r="P872" i="9"/>
  <c r="Q872" i="9" s="1"/>
  <c r="P873" i="9"/>
  <c r="Q873" i="9" s="1"/>
  <c r="P874" i="9"/>
  <c r="Q874" i="9" s="1"/>
  <c r="P875" i="9"/>
  <c r="Q875" i="9" s="1"/>
  <c r="P876" i="9"/>
  <c r="Q876" i="9" s="1"/>
  <c r="P877" i="9"/>
  <c r="Q877" i="9" s="1"/>
  <c r="P878" i="9"/>
  <c r="Q878" i="9" s="1"/>
  <c r="P879" i="9"/>
  <c r="Q879" i="9" s="1"/>
  <c r="P880" i="9"/>
  <c r="Q880" i="9" s="1"/>
  <c r="P881" i="9"/>
  <c r="Q881" i="9" s="1"/>
  <c r="P882" i="9"/>
  <c r="Q882" i="9" s="1"/>
  <c r="P883" i="9"/>
  <c r="Q883" i="9" s="1"/>
  <c r="P884" i="9"/>
  <c r="Q884" i="9" s="1"/>
  <c r="P885" i="9"/>
  <c r="Q885" i="9" s="1"/>
  <c r="P886" i="9"/>
  <c r="Q886" i="9" s="1"/>
  <c r="P887" i="9"/>
  <c r="Q887" i="9" s="1"/>
  <c r="P888" i="9"/>
  <c r="Q888" i="9" s="1"/>
  <c r="P889" i="9"/>
  <c r="Q889" i="9" s="1"/>
  <c r="P890" i="9"/>
  <c r="Q890" i="9" s="1"/>
  <c r="P891" i="9"/>
  <c r="Q891" i="9" s="1"/>
  <c r="P892" i="9"/>
  <c r="Q892" i="9" s="1"/>
  <c r="P893" i="9"/>
  <c r="Q893" i="9" s="1"/>
  <c r="P894" i="9"/>
  <c r="Q894" i="9" s="1"/>
  <c r="P895" i="9"/>
  <c r="Q895" i="9" s="1"/>
  <c r="P896" i="9"/>
  <c r="Q896" i="9" s="1"/>
  <c r="P897" i="9"/>
  <c r="Q897" i="9" s="1"/>
  <c r="P898" i="9"/>
  <c r="Q898" i="9" s="1"/>
  <c r="P899" i="9"/>
  <c r="Q899" i="9" s="1"/>
  <c r="P900" i="9"/>
  <c r="Q900" i="9" s="1"/>
  <c r="P901" i="9"/>
  <c r="Q901" i="9" s="1"/>
  <c r="P902" i="9"/>
  <c r="Q902" i="9" s="1"/>
  <c r="P903" i="9"/>
  <c r="Q903" i="9" s="1"/>
  <c r="P904" i="9"/>
  <c r="Q904" i="9" s="1"/>
  <c r="P905" i="9"/>
  <c r="Q905" i="9" s="1"/>
  <c r="P906" i="9"/>
  <c r="Q906" i="9" s="1"/>
  <c r="P907" i="9"/>
  <c r="Q907" i="9" s="1"/>
  <c r="P908" i="9"/>
  <c r="Q908" i="9" s="1"/>
  <c r="P909" i="9"/>
  <c r="Q909" i="9" s="1"/>
  <c r="P910" i="9"/>
  <c r="Q910" i="9" s="1"/>
  <c r="P911" i="9"/>
  <c r="Q911" i="9" s="1"/>
  <c r="P912" i="9"/>
  <c r="Q912" i="9" s="1"/>
  <c r="P913" i="9"/>
  <c r="Q913" i="9" s="1"/>
  <c r="P914" i="9"/>
  <c r="Q914" i="9" s="1"/>
  <c r="P915" i="9"/>
  <c r="Q915" i="9" s="1"/>
  <c r="P916" i="9"/>
  <c r="Q916" i="9" s="1"/>
  <c r="P917" i="9"/>
  <c r="Q917" i="9" s="1"/>
  <c r="P918" i="9"/>
  <c r="Q918" i="9" s="1"/>
  <c r="P919" i="9"/>
  <c r="Q919" i="9" s="1"/>
  <c r="P920" i="9"/>
  <c r="Q920" i="9" s="1"/>
  <c r="P921" i="9"/>
  <c r="Q921" i="9" s="1"/>
  <c r="P922" i="9"/>
  <c r="Q922" i="9" s="1"/>
  <c r="P923" i="9"/>
  <c r="Q923" i="9" s="1"/>
  <c r="P924" i="9"/>
  <c r="Q924" i="9" s="1"/>
  <c r="P925" i="9"/>
  <c r="Q925" i="9" s="1"/>
  <c r="P926" i="9"/>
  <c r="Q926" i="9" s="1"/>
  <c r="P927" i="9"/>
  <c r="Q927" i="9" s="1"/>
  <c r="P928" i="9"/>
  <c r="Q928" i="9" s="1"/>
  <c r="P929" i="9"/>
  <c r="Q929" i="9" s="1"/>
  <c r="P930" i="9"/>
  <c r="Q930" i="9" s="1"/>
  <c r="P931" i="9"/>
  <c r="Q931" i="9" s="1"/>
  <c r="P932" i="9"/>
  <c r="Q932" i="9" s="1"/>
  <c r="P933" i="9"/>
  <c r="Q933" i="9" s="1"/>
  <c r="P934" i="9"/>
  <c r="Q934" i="9" s="1"/>
  <c r="P935" i="9"/>
  <c r="Q935" i="9" s="1"/>
  <c r="P936" i="9"/>
  <c r="Q936" i="9" s="1"/>
  <c r="P937" i="9"/>
  <c r="Q937" i="9" s="1"/>
  <c r="P938" i="9"/>
  <c r="Q938" i="9" s="1"/>
  <c r="P939" i="9"/>
  <c r="Q939" i="9" s="1"/>
  <c r="P940" i="9"/>
  <c r="Q940" i="9" s="1"/>
  <c r="P941" i="9"/>
  <c r="Q941" i="9" s="1"/>
  <c r="P942" i="9"/>
  <c r="Q942" i="9" s="1"/>
  <c r="P943" i="9"/>
  <c r="Q943" i="9" s="1"/>
  <c r="P944" i="9"/>
  <c r="Q944" i="9" s="1"/>
  <c r="P945" i="9"/>
  <c r="Q945" i="9" s="1"/>
  <c r="P946" i="9"/>
  <c r="Q946" i="9" s="1"/>
  <c r="P947" i="9"/>
  <c r="Q947" i="9" s="1"/>
  <c r="P948" i="9"/>
  <c r="Q948" i="9" s="1"/>
  <c r="P949" i="9"/>
  <c r="Q949" i="9" s="1"/>
  <c r="P950" i="9"/>
  <c r="Q950" i="9" s="1"/>
  <c r="P951" i="9"/>
  <c r="Q951" i="9" s="1"/>
  <c r="P952" i="9"/>
  <c r="Q952" i="9" s="1"/>
  <c r="P953" i="9"/>
  <c r="Q953" i="9" s="1"/>
  <c r="P954" i="9"/>
  <c r="Q954" i="9" s="1"/>
  <c r="P955" i="9"/>
  <c r="Q955" i="9" s="1"/>
  <c r="P956" i="9"/>
  <c r="Q956" i="9" s="1"/>
  <c r="P957" i="9"/>
  <c r="Q957" i="9" s="1"/>
  <c r="P958" i="9"/>
  <c r="Q958" i="9" s="1"/>
  <c r="P959" i="9"/>
  <c r="Q959" i="9" s="1"/>
  <c r="P960" i="9"/>
  <c r="Q960" i="9" s="1"/>
  <c r="P961" i="9"/>
  <c r="Q961" i="9" s="1"/>
  <c r="P962" i="9"/>
  <c r="Q962" i="9" s="1"/>
  <c r="P963" i="9"/>
  <c r="Q963" i="9" s="1"/>
  <c r="P964" i="9"/>
  <c r="Q964" i="9" s="1"/>
  <c r="P965" i="9"/>
  <c r="Q965" i="9" s="1"/>
  <c r="P966" i="9"/>
  <c r="Q966" i="9" s="1"/>
  <c r="P967" i="9"/>
  <c r="Q967" i="9" s="1"/>
  <c r="P968" i="9"/>
  <c r="Q968" i="9" s="1"/>
  <c r="P969" i="9"/>
  <c r="Q969" i="9" s="1"/>
  <c r="P970" i="9"/>
  <c r="Q970" i="9" s="1"/>
  <c r="P971" i="9"/>
  <c r="Q971" i="9" s="1"/>
  <c r="P972" i="9"/>
  <c r="Q972" i="9" s="1"/>
  <c r="P973" i="9"/>
  <c r="Q973" i="9" s="1"/>
  <c r="P974" i="9"/>
  <c r="Q974" i="9" s="1"/>
  <c r="P975" i="9"/>
  <c r="Q975" i="9" s="1"/>
  <c r="P976" i="9"/>
  <c r="Q976" i="9" s="1"/>
  <c r="P977" i="9"/>
  <c r="Q977" i="9" s="1"/>
  <c r="P978" i="9"/>
  <c r="Q978" i="9" s="1"/>
  <c r="P979" i="9"/>
  <c r="Q979" i="9" s="1"/>
  <c r="P980" i="9"/>
  <c r="Q980" i="9" s="1"/>
  <c r="P981" i="9"/>
  <c r="Q981" i="9" s="1"/>
  <c r="P982" i="9"/>
  <c r="Q982" i="9" s="1"/>
  <c r="P983" i="9"/>
  <c r="Q983" i="9" s="1"/>
  <c r="P984" i="9"/>
  <c r="Q984" i="9" s="1"/>
  <c r="P985" i="9"/>
  <c r="Q985" i="9" s="1"/>
  <c r="P986" i="9"/>
  <c r="Q986" i="9" s="1"/>
  <c r="P987" i="9"/>
  <c r="Q987" i="9" s="1"/>
  <c r="P988" i="9"/>
  <c r="Q988" i="9" s="1"/>
  <c r="P989" i="9"/>
  <c r="Q989" i="9" s="1"/>
  <c r="P990" i="9"/>
  <c r="Q990" i="9" s="1"/>
  <c r="P991" i="9"/>
  <c r="Q991" i="9" s="1"/>
  <c r="P992" i="9"/>
  <c r="Q992" i="9" s="1"/>
  <c r="P993" i="9"/>
  <c r="Q993" i="9" s="1"/>
  <c r="P994" i="9"/>
  <c r="Q994" i="9" s="1"/>
  <c r="P995" i="9"/>
  <c r="Q995" i="9" s="1"/>
  <c r="P996" i="9"/>
  <c r="Q996" i="9" s="1"/>
  <c r="P997" i="9"/>
  <c r="Q997" i="9" s="1"/>
  <c r="P998" i="9"/>
  <c r="Q998" i="9" s="1"/>
  <c r="P999" i="9"/>
  <c r="Q999" i="9" s="1"/>
  <c r="P1000" i="9"/>
  <c r="Q1000" i="9" s="1"/>
  <c r="P1001" i="9"/>
  <c r="Q1001" i="9" s="1"/>
  <c r="P1002" i="9"/>
  <c r="Q1002" i="9" s="1"/>
  <c r="P1003" i="9"/>
  <c r="Q1003" i="9" s="1"/>
  <c r="P1004" i="9"/>
  <c r="Q1004" i="9" s="1"/>
  <c r="P1005" i="9"/>
  <c r="Q1005" i="9" s="1"/>
  <c r="P1006" i="9"/>
  <c r="Q1006" i="9" s="1"/>
  <c r="P1007" i="9"/>
  <c r="Q1007" i="9" s="1"/>
  <c r="P1008" i="9"/>
  <c r="Q1008" i="9" s="1"/>
  <c r="P1009" i="9"/>
  <c r="Q1009" i="9" s="1"/>
  <c r="P1010" i="9"/>
  <c r="Q1010" i="9" s="1"/>
  <c r="P1011" i="9"/>
  <c r="Q1011" i="9" s="1"/>
  <c r="P1012" i="9"/>
  <c r="Q1012" i="9" s="1"/>
  <c r="P1013" i="9"/>
  <c r="Q1013" i="9" s="1"/>
  <c r="P1014" i="9"/>
  <c r="Q1014" i="9" s="1"/>
  <c r="P1015" i="9"/>
  <c r="Q1015" i="9" s="1"/>
  <c r="P1016" i="9"/>
  <c r="Q1016" i="9" s="1"/>
  <c r="P1017" i="9"/>
  <c r="Q1017" i="9" s="1"/>
  <c r="P1018" i="9"/>
  <c r="Q1018" i="9" s="1"/>
  <c r="P1019" i="9"/>
  <c r="Q1019" i="9" s="1"/>
  <c r="P1020" i="9"/>
  <c r="Q1020" i="9" s="1"/>
  <c r="P1021" i="9"/>
  <c r="Q1021" i="9" s="1"/>
  <c r="P1022" i="9"/>
  <c r="Q1022" i="9" s="1"/>
  <c r="P1023" i="9"/>
  <c r="Q1023" i="9" s="1"/>
  <c r="P1024" i="9"/>
  <c r="Q1024" i="9" s="1"/>
  <c r="P1025" i="9"/>
  <c r="Q1025" i="9" s="1"/>
  <c r="P1026" i="9"/>
  <c r="Q1026" i="9" s="1"/>
  <c r="P1027" i="9"/>
  <c r="Q1027" i="9" s="1"/>
  <c r="P1028" i="9"/>
  <c r="Q1028" i="9" s="1"/>
  <c r="P1029" i="9"/>
  <c r="Q1029" i="9" s="1"/>
  <c r="P1030" i="9"/>
  <c r="Q1030" i="9" s="1"/>
  <c r="P1031" i="9"/>
  <c r="Q1031" i="9" s="1"/>
  <c r="P1032" i="9"/>
  <c r="Q1032" i="9" s="1"/>
  <c r="P1033" i="9"/>
  <c r="Q1033" i="9" s="1"/>
  <c r="P1034" i="9"/>
  <c r="Q1034" i="9" s="1"/>
  <c r="P1035" i="9"/>
  <c r="Q1035" i="9" s="1"/>
  <c r="P1036" i="9"/>
  <c r="Q1036" i="9" s="1"/>
  <c r="P1037" i="9"/>
  <c r="Q1037" i="9" s="1"/>
  <c r="P1038" i="9"/>
  <c r="Q1038" i="9" s="1"/>
  <c r="P1039" i="9"/>
  <c r="Q1039" i="9" s="1"/>
  <c r="P1040" i="9"/>
  <c r="Q1040" i="9" s="1"/>
  <c r="P1041" i="9"/>
  <c r="Q1041" i="9" s="1"/>
  <c r="P1042" i="9"/>
  <c r="Q1042" i="9" s="1"/>
  <c r="P1043" i="9"/>
  <c r="Q1043" i="9" s="1"/>
  <c r="P1044" i="9"/>
  <c r="Q1044" i="9" s="1"/>
  <c r="P1045" i="9"/>
  <c r="Q1045" i="9" s="1"/>
  <c r="P1046" i="9"/>
  <c r="Q1046" i="9" s="1"/>
  <c r="P1047" i="9"/>
  <c r="Q1047" i="9" s="1"/>
  <c r="P1048" i="9"/>
  <c r="Q1048" i="9" s="1"/>
  <c r="P1049" i="9"/>
  <c r="Q1049" i="9" s="1"/>
  <c r="P1050" i="9"/>
  <c r="Q1050" i="9" s="1"/>
  <c r="P1051" i="9"/>
  <c r="Q1051" i="9" s="1"/>
  <c r="P1052" i="9"/>
  <c r="Q1052" i="9" s="1"/>
  <c r="P1053" i="9"/>
  <c r="Q1053" i="9" s="1"/>
  <c r="P1054" i="9"/>
  <c r="Q1054" i="9" s="1"/>
  <c r="P1055" i="9"/>
  <c r="Q1055" i="9" s="1"/>
  <c r="P1056" i="9"/>
  <c r="Q1056" i="9" s="1"/>
  <c r="P1057" i="9"/>
  <c r="Q1057" i="9" s="1"/>
  <c r="P1058" i="9"/>
  <c r="Q1058" i="9" s="1"/>
  <c r="P1059" i="9"/>
  <c r="Q1059" i="9" s="1"/>
  <c r="P1060" i="9"/>
  <c r="Q1060" i="9" s="1"/>
  <c r="P1061" i="9"/>
  <c r="Q1061" i="9" s="1"/>
  <c r="P1062" i="9"/>
  <c r="Q1062" i="9" s="1"/>
  <c r="P1063" i="9"/>
  <c r="Q1063" i="9" s="1"/>
  <c r="P1064" i="9"/>
  <c r="Q1064" i="9" s="1"/>
  <c r="P1065" i="9"/>
  <c r="Q1065" i="9" s="1"/>
  <c r="P1066" i="9"/>
  <c r="Q1066" i="9" s="1"/>
  <c r="P1067" i="9"/>
  <c r="Q1067" i="9" s="1"/>
  <c r="P1068" i="9"/>
  <c r="Q1068" i="9" s="1"/>
  <c r="P1069" i="9"/>
  <c r="Q1069" i="9" s="1"/>
  <c r="P1070" i="9"/>
  <c r="Q1070" i="9" s="1"/>
  <c r="P1071" i="9"/>
  <c r="Q1071" i="9" s="1"/>
  <c r="P1072" i="9"/>
  <c r="Q1072" i="9" s="1"/>
  <c r="P1073" i="9"/>
  <c r="Q1073" i="9" s="1"/>
  <c r="P1074" i="9"/>
  <c r="Q1074" i="9" s="1"/>
  <c r="P1075" i="9"/>
  <c r="Q1075" i="9" s="1"/>
  <c r="P1076" i="9"/>
  <c r="Q1076" i="9" s="1"/>
  <c r="P1077" i="9"/>
  <c r="Q1077" i="9" s="1"/>
  <c r="P1078" i="9"/>
  <c r="Q1078" i="9" s="1"/>
  <c r="P1079" i="9"/>
  <c r="Q1079" i="9" s="1"/>
  <c r="P1080" i="9"/>
  <c r="Q1080" i="9" s="1"/>
  <c r="P1081" i="9"/>
  <c r="Q1081" i="9" s="1"/>
  <c r="P1082" i="9"/>
  <c r="Q1082" i="9" s="1"/>
  <c r="P1083" i="9"/>
  <c r="Q1083" i="9" s="1"/>
  <c r="P1084" i="9"/>
  <c r="Q1084" i="9" s="1"/>
  <c r="P1085" i="9"/>
  <c r="Q1085" i="9" s="1"/>
  <c r="P1086" i="9"/>
  <c r="Q1086" i="9" s="1"/>
  <c r="P1087" i="9"/>
  <c r="Q1087" i="9" s="1"/>
  <c r="P1088" i="9"/>
  <c r="Q1088" i="9" s="1"/>
  <c r="P1089" i="9"/>
  <c r="Q1089" i="9" s="1"/>
  <c r="P1090" i="9"/>
  <c r="Q1090" i="9" s="1"/>
  <c r="P1091" i="9"/>
  <c r="Q1091" i="9" s="1"/>
  <c r="P1092" i="9"/>
  <c r="Q1092" i="9" s="1"/>
  <c r="P1093" i="9"/>
  <c r="Q1093" i="9" s="1"/>
  <c r="P1094" i="9"/>
  <c r="Q1094" i="9" s="1"/>
  <c r="P1095" i="9"/>
  <c r="Q1095" i="9" s="1"/>
  <c r="P1096" i="9"/>
  <c r="Q1096" i="9" s="1"/>
  <c r="P1097" i="9"/>
  <c r="Q1097" i="9" s="1"/>
  <c r="P1098" i="9"/>
  <c r="Q1098" i="9" s="1"/>
  <c r="P1099" i="9"/>
  <c r="Q1099" i="9" s="1"/>
  <c r="P1100" i="9"/>
  <c r="Q1100" i="9" s="1"/>
  <c r="P1101" i="9"/>
  <c r="Q1101" i="9" s="1"/>
  <c r="P1102" i="9"/>
  <c r="Q1102" i="9" s="1"/>
  <c r="P1103" i="9"/>
  <c r="Q1103" i="9" s="1"/>
  <c r="P1104" i="9"/>
  <c r="Q1104" i="9" s="1"/>
  <c r="P1105" i="9"/>
  <c r="Q1105" i="9" s="1"/>
  <c r="P1106" i="9"/>
  <c r="Q1106" i="9" s="1"/>
  <c r="P1107" i="9"/>
  <c r="Q1107" i="9" s="1"/>
  <c r="P1108" i="9"/>
  <c r="Q1108" i="9" s="1"/>
  <c r="P1109" i="9"/>
  <c r="Q1109" i="9" s="1"/>
  <c r="P1110" i="9"/>
  <c r="Q1110" i="9" s="1"/>
  <c r="P1111" i="9"/>
  <c r="Q1111" i="9" s="1"/>
  <c r="P1112" i="9"/>
  <c r="Q1112" i="9" s="1"/>
  <c r="P1113" i="9"/>
  <c r="Q1113" i="9" s="1"/>
  <c r="P1114" i="9"/>
  <c r="Q1114" i="9" s="1"/>
  <c r="P1115" i="9"/>
  <c r="Q1115" i="9" s="1"/>
  <c r="P1116" i="9"/>
  <c r="Q1116" i="9" s="1"/>
  <c r="P1117" i="9"/>
  <c r="Q1117" i="9" s="1"/>
  <c r="P1118" i="9"/>
  <c r="Q1118" i="9" s="1"/>
  <c r="P1119" i="9"/>
  <c r="Q1119" i="9" s="1"/>
  <c r="P1120" i="9"/>
  <c r="Q1120" i="9" s="1"/>
  <c r="P1121" i="9"/>
  <c r="Q1121" i="9" s="1"/>
  <c r="P1122" i="9"/>
  <c r="Q1122" i="9" s="1"/>
  <c r="P1123" i="9"/>
  <c r="Q1123" i="9" s="1"/>
  <c r="P1124" i="9"/>
  <c r="Q1124" i="9" s="1"/>
  <c r="P1125" i="9"/>
  <c r="Q1125" i="9" s="1"/>
  <c r="P1126" i="9"/>
  <c r="Q1126" i="9" s="1"/>
  <c r="P1127" i="9"/>
  <c r="Q1127" i="9" s="1"/>
  <c r="P1128" i="9"/>
  <c r="Q1128" i="9" s="1"/>
  <c r="P1129" i="9"/>
  <c r="Q1129" i="9" s="1"/>
  <c r="P1130" i="9"/>
  <c r="Q1130" i="9" s="1"/>
  <c r="P1131" i="9"/>
  <c r="Q1131" i="9" s="1"/>
  <c r="P1132" i="9"/>
  <c r="Q1132" i="9" s="1"/>
  <c r="P1133" i="9"/>
  <c r="Q1133" i="9" s="1"/>
  <c r="P1134" i="9"/>
  <c r="Q1134" i="9" s="1"/>
  <c r="P1135" i="9"/>
  <c r="Q1135" i="9" s="1"/>
  <c r="P1136" i="9"/>
  <c r="Q1136" i="9" s="1"/>
  <c r="P1137" i="9"/>
  <c r="Q1137" i="9" s="1"/>
  <c r="P1138" i="9"/>
  <c r="Q1138" i="9" s="1"/>
  <c r="P1139" i="9"/>
  <c r="Q1139" i="9" s="1"/>
  <c r="P1140" i="9"/>
  <c r="Q1140" i="9" s="1"/>
  <c r="P1141" i="9"/>
  <c r="Q1141" i="9" s="1"/>
  <c r="P1142" i="9"/>
  <c r="Q1142" i="9" s="1"/>
  <c r="P1143" i="9"/>
  <c r="Q1143" i="9" s="1"/>
  <c r="P1144" i="9"/>
  <c r="Q1144" i="9" s="1"/>
  <c r="P1145" i="9"/>
  <c r="Q1145" i="9" s="1"/>
  <c r="P1146" i="9"/>
  <c r="Q1146" i="9" s="1"/>
  <c r="P1147" i="9"/>
  <c r="Q1147" i="9" s="1"/>
  <c r="P1148" i="9"/>
  <c r="Q1148" i="9" s="1"/>
  <c r="P1149" i="9"/>
  <c r="Q1149" i="9" s="1"/>
  <c r="P1150" i="9"/>
  <c r="Q1150" i="9" s="1"/>
  <c r="P1151" i="9"/>
  <c r="Q1151" i="9" s="1"/>
  <c r="P1152" i="9"/>
  <c r="Q1152" i="9" s="1"/>
  <c r="P1153" i="9"/>
  <c r="Q1153" i="9" s="1"/>
  <c r="P1154" i="9"/>
  <c r="Q1154" i="9" s="1"/>
  <c r="P1155" i="9"/>
  <c r="Q1155" i="9" s="1"/>
  <c r="P1156" i="9"/>
  <c r="Q1156" i="9" s="1"/>
  <c r="P1157" i="9"/>
  <c r="Q1157" i="9" s="1"/>
  <c r="P1158" i="9"/>
  <c r="Q1158" i="9" s="1"/>
  <c r="P1159" i="9"/>
  <c r="Q1159" i="9" s="1"/>
  <c r="P1160" i="9"/>
  <c r="Q1160" i="9" s="1"/>
  <c r="P1161" i="9"/>
  <c r="Q1161" i="9" s="1"/>
  <c r="P1162" i="9"/>
  <c r="Q1162" i="9" s="1"/>
  <c r="P1163" i="9"/>
  <c r="Q1163" i="9" s="1"/>
  <c r="P1164" i="9"/>
  <c r="Q1164" i="9" s="1"/>
  <c r="P1165" i="9"/>
  <c r="Q1165" i="9" s="1"/>
  <c r="P1166" i="9"/>
  <c r="Q1166" i="9" s="1"/>
  <c r="P1167" i="9"/>
  <c r="Q1167" i="9" s="1"/>
  <c r="P1168" i="9"/>
  <c r="Q1168" i="9" s="1"/>
  <c r="P1169" i="9"/>
  <c r="Q1169" i="9" s="1"/>
  <c r="P1170" i="9"/>
  <c r="Q1170" i="9" s="1"/>
  <c r="P1171" i="9"/>
  <c r="Q1171" i="9" s="1"/>
  <c r="P1172" i="9"/>
  <c r="Q1172" i="9" s="1"/>
  <c r="P1173" i="9"/>
  <c r="Q1173" i="9" s="1"/>
  <c r="P1174" i="9"/>
  <c r="Q1174" i="9" s="1"/>
  <c r="P1175" i="9"/>
  <c r="Q1175" i="9" s="1"/>
  <c r="P1176" i="9"/>
  <c r="Q1176" i="9" s="1"/>
  <c r="P1177" i="9"/>
  <c r="Q1177" i="9" s="1"/>
  <c r="P1178" i="9"/>
  <c r="Q1178" i="9" s="1"/>
  <c r="P1179" i="9"/>
  <c r="Q1179" i="9" s="1"/>
  <c r="P1180" i="9"/>
  <c r="Q1180" i="9" s="1"/>
  <c r="P1181" i="9"/>
  <c r="Q1181" i="9" s="1"/>
  <c r="P1182" i="9"/>
  <c r="Q1182" i="9" s="1"/>
  <c r="P1183" i="9"/>
  <c r="Q1183" i="9" s="1"/>
  <c r="P1184" i="9"/>
  <c r="Q1184" i="9" s="1"/>
  <c r="P1185" i="9"/>
  <c r="Q1185" i="9" s="1"/>
  <c r="P1186" i="9"/>
  <c r="Q1186" i="9" s="1"/>
  <c r="P1187" i="9"/>
  <c r="Q1187" i="9" s="1"/>
  <c r="P1188" i="9"/>
  <c r="Q1188" i="9" s="1"/>
  <c r="P1189" i="9"/>
  <c r="Q1189" i="9" s="1"/>
  <c r="P1190" i="9"/>
  <c r="Q1190" i="9" s="1"/>
  <c r="P1191" i="9"/>
  <c r="Q1191" i="9" s="1"/>
  <c r="P1192" i="9"/>
  <c r="Q1192" i="9" s="1"/>
  <c r="P1193" i="9"/>
  <c r="Q1193" i="9" s="1"/>
  <c r="P1194" i="9"/>
  <c r="Q1194" i="9" s="1"/>
  <c r="P1195" i="9"/>
  <c r="Q1195" i="9" s="1"/>
  <c r="P1196" i="9"/>
  <c r="Q1196" i="9" s="1"/>
  <c r="P1197" i="9"/>
  <c r="Q1197" i="9" s="1"/>
  <c r="P1198" i="9"/>
  <c r="Q1198" i="9" s="1"/>
  <c r="P1199" i="9"/>
  <c r="Q1199" i="9" s="1"/>
  <c r="P1200" i="9"/>
  <c r="Q1200" i="9" s="1"/>
  <c r="P1201" i="9"/>
  <c r="Q1201" i="9" s="1"/>
  <c r="P1202" i="9"/>
  <c r="Q1202" i="9" s="1"/>
  <c r="P1203" i="9"/>
  <c r="Q1203" i="9" s="1"/>
  <c r="P1204" i="9"/>
  <c r="Q1204" i="9" s="1"/>
  <c r="P1205" i="9"/>
  <c r="Q1205" i="9" s="1"/>
  <c r="P1206" i="9"/>
  <c r="Q1206" i="9" s="1"/>
  <c r="P1207" i="9"/>
  <c r="Q1207" i="9" s="1"/>
  <c r="P1208" i="9"/>
  <c r="Q1208" i="9" s="1"/>
  <c r="P1209" i="9"/>
  <c r="Q1209" i="9" s="1"/>
  <c r="P1210" i="9"/>
  <c r="Q1210" i="9" s="1"/>
  <c r="P1211" i="9"/>
  <c r="Q1211" i="9" s="1"/>
  <c r="P1212" i="9"/>
  <c r="Q1212" i="9" s="1"/>
  <c r="P1213" i="9"/>
  <c r="Q1213" i="9" s="1"/>
  <c r="P1214" i="9"/>
  <c r="Q1214" i="9" s="1"/>
  <c r="P1215" i="9"/>
  <c r="Q1215" i="9" s="1"/>
  <c r="P1216" i="9"/>
  <c r="Q1216" i="9" s="1"/>
  <c r="P1217" i="9"/>
  <c r="Q1217" i="9" s="1"/>
  <c r="P1218" i="9"/>
  <c r="Q1218" i="9" s="1"/>
  <c r="P1219" i="9"/>
  <c r="Q1219" i="9" s="1"/>
  <c r="P1220" i="9"/>
  <c r="Q1220" i="9" s="1"/>
  <c r="P1221" i="9"/>
  <c r="Q1221" i="9" s="1"/>
  <c r="P1222" i="9"/>
  <c r="Q1222" i="9" s="1"/>
  <c r="P1223" i="9"/>
  <c r="Q1223" i="9" s="1"/>
  <c r="P1224" i="9"/>
  <c r="Q1224" i="9" s="1"/>
  <c r="P1225" i="9"/>
  <c r="Q1225" i="9" s="1"/>
  <c r="P1226" i="9"/>
  <c r="Q1226" i="9" s="1"/>
  <c r="P1227" i="9"/>
  <c r="Q1227" i="9" s="1"/>
  <c r="P1228" i="9"/>
  <c r="Q1228" i="9" s="1"/>
  <c r="P1229" i="9"/>
  <c r="Q1229" i="9" s="1"/>
  <c r="P1230" i="9"/>
  <c r="Q1230" i="9" s="1"/>
  <c r="P1231" i="9"/>
  <c r="Q1231" i="9" s="1"/>
  <c r="P1232" i="9"/>
  <c r="Q1232" i="9" s="1"/>
  <c r="P1233" i="9"/>
  <c r="Q1233" i="9" s="1"/>
  <c r="P1234" i="9"/>
  <c r="Q1234" i="9" s="1"/>
  <c r="P1235" i="9"/>
  <c r="Q1235" i="9" s="1"/>
  <c r="P1236" i="9"/>
  <c r="Q1236" i="9" s="1"/>
  <c r="P1237" i="9"/>
  <c r="Q1237" i="9" s="1"/>
  <c r="P1238" i="9"/>
  <c r="Q1238" i="9" s="1"/>
  <c r="P1239" i="9"/>
  <c r="Q1239" i="9" s="1"/>
  <c r="P1240" i="9"/>
  <c r="Q1240" i="9" s="1"/>
  <c r="P1241" i="9"/>
  <c r="Q1241" i="9" s="1"/>
  <c r="P1242" i="9"/>
  <c r="Q1242" i="9" s="1"/>
  <c r="P1243" i="9"/>
  <c r="Q1243" i="9" s="1"/>
  <c r="P1244" i="9"/>
  <c r="Q1244" i="9" s="1"/>
  <c r="P1245" i="9"/>
  <c r="Q1245" i="9" s="1"/>
  <c r="P1246" i="9"/>
  <c r="Q1246" i="9" s="1"/>
  <c r="P1247" i="9"/>
  <c r="Q1247" i="9" s="1"/>
  <c r="P1248" i="9"/>
  <c r="Q1248" i="9" s="1"/>
  <c r="P1249" i="9"/>
  <c r="Q1249" i="9" s="1"/>
  <c r="P1250" i="9"/>
  <c r="Q1250" i="9" s="1"/>
  <c r="P1251" i="9"/>
  <c r="Q1251" i="9" s="1"/>
  <c r="P1252" i="9"/>
  <c r="Q1252" i="9" s="1"/>
  <c r="P1253" i="9"/>
  <c r="Q1253" i="9" s="1"/>
  <c r="P1254" i="9"/>
  <c r="Q1254" i="9" s="1"/>
  <c r="P1255" i="9"/>
  <c r="Q1255" i="9" s="1"/>
  <c r="P1256" i="9"/>
  <c r="Q1256" i="9" s="1"/>
  <c r="P1257" i="9"/>
  <c r="Q1257" i="9" s="1"/>
  <c r="P1258" i="9"/>
  <c r="Q1258" i="9" s="1"/>
  <c r="P1259" i="9"/>
  <c r="Q1259" i="9" s="1"/>
  <c r="P1260" i="9"/>
  <c r="Q1260" i="9" s="1"/>
  <c r="P1261" i="9"/>
  <c r="Q1261" i="9" s="1"/>
  <c r="P1262" i="9"/>
  <c r="Q1262" i="9" s="1"/>
  <c r="P1263" i="9"/>
  <c r="Q1263" i="9" s="1"/>
  <c r="P1264" i="9"/>
  <c r="Q1264" i="9" s="1"/>
  <c r="P1265" i="9"/>
  <c r="Q1265" i="9" s="1"/>
  <c r="P1266" i="9"/>
  <c r="Q1266" i="9" s="1"/>
  <c r="P1267" i="9"/>
  <c r="Q1267" i="9" s="1"/>
  <c r="P1268" i="9"/>
  <c r="Q1268" i="9" s="1"/>
  <c r="P1269" i="9"/>
  <c r="Q1269" i="9" s="1"/>
  <c r="P1270" i="9"/>
  <c r="Q1270" i="9" s="1"/>
  <c r="P1271" i="9"/>
  <c r="Q1271" i="9" s="1"/>
  <c r="P1272" i="9"/>
  <c r="Q1272" i="9" s="1"/>
  <c r="P1273" i="9"/>
  <c r="Q1273" i="9" s="1"/>
  <c r="P1274" i="9"/>
  <c r="Q1274" i="9" s="1"/>
  <c r="P1275" i="9"/>
  <c r="Q1275" i="9" s="1"/>
  <c r="P1276" i="9"/>
  <c r="Q1276" i="9" s="1"/>
  <c r="P1277" i="9"/>
  <c r="Q1277" i="9" s="1"/>
  <c r="P1278" i="9"/>
  <c r="Q1278" i="9" s="1"/>
  <c r="P1279" i="9"/>
  <c r="Q1279" i="9" s="1"/>
  <c r="P1280" i="9"/>
  <c r="Q1280" i="9" s="1"/>
  <c r="P1281" i="9"/>
  <c r="Q1281" i="9" s="1"/>
  <c r="P1282" i="9"/>
  <c r="Q1282" i="9" s="1"/>
  <c r="P1283" i="9"/>
  <c r="Q1283" i="9" s="1"/>
  <c r="P1284" i="9"/>
  <c r="Q1284" i="9" s="1"/>
  <c r="P1285" i="9"/>
  <c r="Q1285" i="9" s="1"/>
  <c r="P1286" i="9"/>
  <c r="Q1286" i="9" s="1"/>
  <c r="P1287" i="9"/>
  <c r="Q1287" i="9" s="1"/>
  <c r="P1288" i="9"/>
  <c r="Q1288" i="9" s="1"/>
  <c r="P1289" i="9"/>
  <c r="Q1289" i="9" s="1"/>
  <c r="P1290" i="9"/>
  <c r="Q1290" i="9" s="1"/>
  <c r="P1291" i="9"/>
  <c r="Q1291" i="9" s="1"/>
  <c r="P1292" i="9"/>
  <c r="Q1292" i="9" s="1"/>
  <c r="P1293" i="9"/>
  <c r="Q1293" i="9" s="1"/>
  <c r="P1294" i="9"/>
  <c r="Q1294" i="9" s="1"/>
  <c r="P1295" i="9"/>
  <c r="Q1295" i="9" s="1"/>
  <c r="P1296" i="9"/>
  <c r="Q1296" i="9" s="1"/>
  <c r="P1297" i="9"/>
  <c r="Q1297" i="9" s="1"/>
  <c r="P1298" i="9"/>
  <c r="Q1298" i="9" s="1"/>
  <c r="P1299" i="9"/>
  <c r="Q1299" i="9" s="1"/>
  <c r="P1300" i="9"/>
  <c r="Q1300" i="9" s="1"/>
  <c r="P1301" i="9"/>
  <c r="Q1301" i="9" s="1"/>
  <c r="P1302" i="9"/>
  <c r="Q1302" i="9" s="1"/>
  <c r="P1303" i="9"/>
  <c r="Q1303" i="9" s="1"/>
  <c r="P1304" i="9"/>
  <c r="Q1304" i="9" s="1"/>
  <c r="P1305" i="9"/>
  <c r="Q1305" i="9" s="1"/>
  <c r="P1306" i="9"/>
  <c r="Q1306" i="9" s="1"/>
  <c r="P1307" i="9"/>
  <c r="Q1307" i="9" s="1"/>
  <c r="P1308" i="9"/>
  <c r="Q1308" i="9" s="1"/>
  <c r="P1309" i="9"/>
  <c r="Q1309" i="9" s="1"/>
  <c r="P1310" i="9"/>
  <c r="Q1310" i="9" s="1"/>
  <c r="P1311" i="9"/>
  <c r="Q1311" i="9" s="1"/>
  <c r="P1312" i="9"/>
  <c r="Q1312" i="9" s="1"/>
  <c r="P1313" i="9"/>
  <c r="Q1313" i="9" s="1"/>
  <c r="P1314" i="9"/>
  <c r="Q1314" i="9" s="1"/>
  <c r="P1315" i="9"/>
  <c r="Q1315" i="9" s="1"/>
  <c r="P1316" i="9"/>
  <c r="Q1316" i="9" s="1"/>
  <c r="P1317" i="9"/>
  <c r="Q1317" i="9" s="1"/>
  <c r="P1318" i="9"/>
  <c r="Q1318" i="9" s="1"/>
  <c r="P1319" i="9"/>
  <c r="Q1319" i="9" s="1"/>
  <c r="P1320" i="9"/>
  <c r="Q1320" i="9" s="1"/>
  <c r="P1321" i="9"/>
  <c r="Q1321" i="9" s="1"/>
  <c r="P1322" i="9"/>
  <c r="Q1322" i="9" s="1"/>
  <c r="P1323" i="9"/>
  <c r="Q1323" i="9" s="1"/>
  <c r="P1324" i="9"/>
  <c r="Q1324" i="9" s="1"/>
  <c r="P1325" i="9"/>
  <c r="Q1325" i="9" s="1"/>
  <c r="P1326" i="9"/>
  <c r="Q1326" i="9" s="1"/>
  <c r="P1327" i="9"/>
  <c r="Q1327" i="9" s="1"/>
  <c r="P1328" i="9"/>
  <c r="Q1328" i="9" s="1"/>
  <c r="P1329" i="9"/>
  <c r="Q1329" i="9" s="1"/>
  <c r="P1330" i="9"/>
  <c r="Q1330" i="9" s="1"/>
  <c r="P1331" i="9"/>
  <c r="Q1331" i="9" s="1"/>
  <c r="P1332" i="9"/>
  <c r="Q1332" i="9" s="1"/>
  <c r="P1333" i="9"/>
  <c r="Q1333" i="9" s="1"/>
  <c r="P1334" i="9"/>
  <c r="Q1334" i="9" s="1"/>
  <c r="P1335" i="9"/>
  <c r="Q1335" i="9" s="1"/>
  <c r="P1336" i="9"/>
  <c r="Q1336" i="9" s="1"/>
  <c r="P1337" i="9"/>
  <c r="Q1337" i="9" s="1"/>
  <c r="P1338" i="9"/>
  <c r="Q1338" i="9" s="1"/>
  <c r="P1339" i="9"/>
  <c r="Q1339" i="9" s="1"/>
  <c r="P1340" i="9"/>
  <c r="Q1340" i="9" s="1"/>
  <c r="P1341" i="9"/>
  <c r="Q1341" i="9" s="1"/>
  <c r="P1342" i="9"/>
  <c r="Q1342" i="9" s="1"/>
  <c r="P1343" i="9"/>
  <c r="Q1343" i="9" s="1"/>
  <c r="P1344" i="9"/>
  <c r="Q1344" i="9" s="1"/>
  <c r="P1345" i="9"/>
  <c r="Q1345" i="9" s="1"/>
  <c r="P1346" i="9"/>
  <c r="Q1346" i="9" s="1"/>
  <c r="P1347" i="9"/>
  <c r="Q1347" i="9" s="1"/>
  <c r="P1348" i="9"/>
  <c r="Q1348" i="9" s="1"/>
  <c r="P1349" i="9"/>
  <c r="Q1349" i="9" s="1"/>
  <c r="P1350" i="9"/>
  <c r="Q1350" i="9" s="1"/>
  <c r="P1351" i="9"/>
  <c r="Q1351" i="9" s="1"/>
  <c r="P1352" i="9"/>
  <c r="Q1352" i="9" s="1"/>
  <c r="P1353" i="9"/>
  <c r="Q1353" i="9" s="1"/>
  <c r="P1354" i="9"/>
  <c r="Q1354" i="9" s="1"/>
  <c r="P1355" i="9"/>
  <c r="Q1355" i="9" s="1"/>
  <c r="P1356" i="9"/>
  <c r="Q1356" i="9" s="1"/>
  <c r="P1357" i="9"/>
  <c r="Q1357" i="9" s="1"/>
  <c r="P1358" i="9"/>
  <c r="Q1358" i="9" s="1"/>
  <c r="P1359" i="9"/>
  <c r="Q1359" i="9" s="1"/>
  <c r="P1360" i="9"/>
  <c r="Q1360" i="9" s="1"/>
  <c r="P1361" i="9"/>
  <c r="Q1361" i="9" s="1"/>
  <c r="P1362" i="9"/>
  <c r="Q1362" i="9" s="1"/>
  <c r="P1363" i="9"/>
  <c r="Q1363" i="9" s="1"/>
  <c r="P1364" i="9"/>
  <c r="Q1364" i="9" s="1"/>
  <c r="P1365" i="9"/>
  <c r="Q1365" i="9" s="1"/>
  <c r="P1366" i="9"/>
  <c r="Q1366" i="9" s="1"/>
  <c r="P1367" i="9"/>
  <c r="Q1367" i="9" s="1"/>
  <c r="P1368" i="9"/>
  <c r="Q1368" i="9" s="1"/>
  <c r="P1369" i="9"/>
  <c r="Q1369" i="9" s="1"/>
  <c r="P1370" i="9"/>
  <c r="Q1370" i="9" s="1"/>
  <c r="P1371" i="9"/>
  <c r="Q1371" i="9" s="1"/>
  <c r="P1372" i="9"/>
  <c r="Q1372" i="9" s="1"/>
  <c r="P1373" i="9"/>
  <c r="Q1373" i="9" s="1"/>
  <c r="P1374" i="9"/>
  <c r="Q1374" i="9" s="1"/>
  <c r="P1375" i="9"/>
  <c r="Q1375" i="9" s="1"/>
  <c r="P1376" i="9"/>
  <c r="Q1376" i="9" s="1"/>
  <c r="P1377" i="9"/>
  <c r="Q1377" i="9" s="1"/>
  <c r="P1378" i="9"/>
  <c r="Q1378" i="9" s="1"/>
  <c r="P1379" i="9"/>
  <c r="Q1379" i="9" s="1"/>
  <c r="P1380" i="9"/>
  <c r="Q1380" i="9" s="1"/>
  <c r="P1381" i="9"/>
  <c r="Q1381" i="9" s="1"/>
  <c r="P1382" i="9"/>
  <c r="Q1382" i="9" s="1"/>
  <c r="P1383" i="9"/>
  <c r="Q1383" i="9" s="1"/>
  <c r="P1384" i="9"/>
  <c r="Q1384" i="9" s="1"/>
  <c r="P1385" i="9"/>
  <c r="Q1385" i="9" s="1"/>
  <c r="P1386" i="9"/>
  <c r="Q1386" i="9" s="1"/>
  <c r="P1387" i="9"/>
  <c r="Q1387" i="9" s="1"/>
  <c r="P1388" i="9"/>
  <c r="Q1388" i="9" s="1"/>
  <c r="P1389" i="9"/>
  <c r="Q1389" i="9" s="1"/>
  <c r="P1390" i="9"/>
  <c r="Q1390" i="9" s="1"/>
  <c r="P1391" i="9"/>
  <c r="Q1391" i="9" s="1"/>
  <c r="P1392" i="9"/>
  <c r="Q1392" i="9" s="1"/>
  <c r="P1393" i="9"/>
  <c r="Q1393" i="9" s="1"/>
  <c r="P1394" i="9"/>
  <c r="Q1394" i="9" s="1"/>
  <c r="P1395" i="9"/>
  <c r="Q1395" i="9" s="1"/>
  <c r="P1396" i="9"/>
  <c r="Q1396" i="9" s="1"/>
  <c r="P1397" i="9"/>
  <c r="Q1397" i="9" s="1"/>
  <c r="P1398" i="9"/>
  <c r="Q1398" i="9" s="1"/>
  <c r="P1399" i="9"/>
  <c r="Q1399" i="9" s="1"/>
  <c r="P1400" i="9"/>
  <c r="Q1400" i="9" s="1"/>
  <c r="P1401" i="9"/>
  <c r="Q1401" i="9" s="1"/>
  <c r="P1402" i="9"/>
  <c r="Q1402" i="9" s="1"/>
  <c r="P1403" i="9"/>
  <c r="Q1403" i="9" s="1"/>
  <c r="P1404" i="9"/>
  <c r="Q1404" i="9" s="1"/>
  <c r="P1405" i="9"/>
  <c r="Q1405" i="9" s="1"/>
  <c r="P1406" i="9"/>
  <c r="Q1406" i="9" s="1"/>
  <c r="P1407" i="9"/>
  <c r="Q1407" i="9" s="1"/>
  <c r="P1408" i="9"/>
  <c r="Q1408" i="9" s="1"/>
  <c r="P1409" i="9"/>
  <c r="Q1409" i="9" s="1"/>
  <c r="P1410" i="9"/>
  <c r="Q1410" i="9" s="1"/>
  <c r="P1411" i="9"/>
  <c r="Q1411" i="9" s="1"/>
  <c r="P1412" i="9"/>
  <c r="Q1412" i="9" s="1"/>
  <c r="P1413" i="9"/>
  <c r="Q1413" i="9" s="1"/>
  <c r="P1414" i="9"/>
  <c r="Q1414" i="9" s="1"/>
  <c r="P1415" i="9"/>
  <c r="Q1415" i="9" s="1"/>
  <c r="P1416" i="9"/>
  <c r="Q1416" i="9" s="1"/>
  <c r="P1417" i="9"/>
  <c r="Q1417" i="9" s="1"/>
  <c r="P1418" i="9"/>
  <c r="Q1418" i="9" s="1"/>
  <c r="P1419" i="9"/>
  <c r="Q1419" i="9" s="1"/>
  <c r="P1420" i="9"/>
  <c r="Q1420" i="9" s="1"/>
  <c r="P1421" i="9"/>
  <c r="Q1421" i="9" s="1"/>
  <c r="P1422" i="9"/>
  <c r="Q1422" i="9" s="1"/>
  <c r="P1423" i="9"/>
  <c r="Q1423" i="9" s="1"/>
  <c r="P1424" i="9"/>
  <c r="Q1424" i="9" s="1"/>
  <c r="P1425" i="9"/>
  <c r="Q1425" i="9" s="1"/>
  <c r="P1426" i="9"/>
  <c r="Q1426" i="9" s="1"/>
  <c r="P1427" i="9"/>
  <c r="Q1427" i="9" s="1"/>
  <c r="P1428" i="9"/>
  <c r="Q1428" i="9" s="1"/>
  <c r="P1429" i="9"/>
  <c r="Q1429" i="9" s="1"/>
  <c r="P1430" i="9"/>
  <c r="Q1430" i="9" s="1"/>
  <c r="P1431" i="9"/>
  <c r="Q1431" i="9" s="1"/>
  <c r="P1432" i="9"/>
  <c r="Q1432" i="9" s="1"/>
  <c r="P1433" i="9"/>
  <c r="Q1433" i="9" s="1"/>
  <c r="P1434" i="9"/>
  <c r="Q1434" i="9" s="1"/>
  <c r="P1435" i="9"/>
  <c r="Q1435" i="9" s="1"/>
  <c r="P1436" i="9"/>
  <c r="Q1436" i="9" s="1"/>
  <c r="P1437" i="9"/>
  <c r="Q1437" i="9" s="1"/>
  <c r="P1438" i="9"/>
  <c r="Q1438" i="9" s="1"/>
  <c r="P1439" i="9"/>
  <c r="Q1439" i="9" s="1"/>
  <c r="P1440" i="9"/>
  <c r="Q1440" i="9" s="1"/>
  <c r="P1441" i="9"/>
  <c r="Q1441" i="9" s="1"/>
  <c r="P1442" i="9"/>
  <c r="Q1442" i="9" s="1"/>
  <c r="P1443" i="9"/>
  <c r="Q1443" i="9" s="1"/>
  <c r="P1444" i="9"/>
  <c r="Q1444" i="9" s="1"/>
  <c r="P1445" i="9"/>
  <c r="Q1445" i="9" s="1"/>
  <c r="P1446" i="9"/>
  <c r="Q1446" i="9" s="1"/>
  <c r="P1447" i="9"/>
  <c r="Q1447" i="9" s="1"/>
  <c r="P1448" i="9"/>
  <c r="Q1448" i="9" s="1"/>
  <c r="P1449" i="9"/>
  <c r="Q1449" i="9" s="1"/>
  <c r="P1450" i="9"/>
  <c r="Q1450" i="9" s="1"/>
  <c r="P1451" i="9"/>
  <c r="Q1451" i="9" s="1"/>
  <c r="P1452" i="9"/>
  <c r="Q1452" i="9" s="1"/>
  <c r="P1453" i="9"/>
  <c r="Q1453" i="9" s="1"/>
  <c r="P1454" i="9"/>
  <c r="Q1454" i="9" s="1"/>
  <c r="P1455" i="9"/>
  <c r="Q1455" i="9" s="1"/>
  <c r="P1456" i="9"/>
  <c r="Q1456" i="9" s="1"/>
  <c r="P1457" i="9"/>
  <c r="Q1457" i="9" s="1"/>
  <c r="P1458" i="9"/>
  <c r="Q1458" i="9" s="1"/>
  <c r="P1459" i="9"/>
  <c r="Q1459" i="9" s="1"/>
  <c r="P1460" i="9"/>
  <c r="Q1460" i="9" s="1"/>
  <c r="P1461" i="9"/>
  <c r="Q1461" i="9" s="1"/>
  <c r="P1462" i="9"/>
  <c r="Q1462" i="9" s="1"/>
  <c r="P1463" i="9"/>
  <c r="Q1463" i="9" s="1"/>
  <c r="P1464" i="9"/>
  <c r="Q1464" i="9" s="1"/>
  <c r="P1465" i="9"/>
  <c r="Q1465" i="9" s="1"/>
  <c r="P1466" i="9"/>
  <c r="Q1466" i="9" s="1"/>
  <c r="P1467" i="9"/>
  <c r="Q1467" i="9" s="1"/>
  <c r="P1468" i="9"/>
  <c r="Q1468" i="9" s="1"/>
  <c r="P1469" i="9"/>
  <c r="Q1469" i="9" s="1"/>
  <c r="P1470" i="9"/>
  <c r="Q1470" i="9" s="1"/>
  <c r="P1471" i="9"/>
  <c r="Q1471" i="9" s="1"/>
  <c r="P1472" i="9"/>
  <c r="Q1472" i="9" s="1"/>
  <c r="P1473" i="9"/>
  <c r="Q1473" i="9" s="1"/>
  <c r="P1474" i="9"/>
  <c r="Q1474" i="9" s="1"/>
  <c r="P1475" i="9"/>
  <c r="Q1475" i="9" s="1"/>
  <c r="P1476" i="9"/>
  <c r="Q1476" i="9" s="1"/>
  <c r="P1477" i="9"/>
  <c r="Q1477" i="9" s="1"/>
  <c r="P1478" i="9"/>
  <c r="Q1478" i="9" s="1"/>
  <c r="P1479" i="9"/>
  <c r="Q1479" i="9" s="1"/>
  <c r="P1480" i="9"/>
  <c r="Q1480" i="9" s="1"/>
  <c r="P1481" i="9"/>
  <c r="Q1481" i="9" s="1"/>
  <c r="P1482" i="9"/>
  <c r="Q1482" i="9" s="1"/>
  <c r="P1483" i="9"/>
  <c r="Q1483" i="9" s="1"/>
  <c r="P1484" i="9"/>
  <c r="Q1484" i="9" s="1"/>
  <c r="P1485" i="9"/>
  <c r="Q1485" i="9" s="1"/>
  <c r="P1486" i="9"/>
  <c r="Q1486" i="9" s="1"/>
  <c r="P1487" i="9"/>
  <c r="Q1487" i="9" s="1"/>
  <c r="P1488" i="9"/>
  <c r="Q1488" i="9" s="1"/>
  <c r="P1489" i="9"/>
  <c r="Q1489" i="9" s="1"/>
  <c r="P1490" i="9"/>
  <c r="Q1490" i="9" s="1"/>
  <c r="P1491" i="9"/>
  <c r="Q1491" i="9" s="1"/>
  <c r="P1492" i="9"/>
  <c r="Q1492" i="9" s="1"/>
  <c r="P1493" i="9"/>
  <c r="Q1493" i="9" s="1"/>
  <c r="P1494" i="9"/>
  <c r="Q1494" i="9" s="1"/>
  <c r="P1495" i="9"/>
  <c r="Q1495" i="9" s="1"/>
  <c r="P1496" i="9"/>
  <c r="Q1496" i="9" s="1"/>
  <c r="P1497" i="9"/>
  <c r="Q1497" i="9" s="1"/>
  <c r="P1498" i="9"/>
  <c r="Q1498" i="9" s="1"/>
  <c r="P1499" i="9"/>
  <c r="Q1499" i="9" s="1"/>
  <c r="P1500" i="9"/>
  <c r="Q1500" i="9" s="1"/>
  <c r="P1501" i="9"/>
  <c r="Q1501" i="9" s="1"/>
  <c r="P1502" i="9"/>
  <c r="Q1502" i="9" s="1"/>
  <c r="P1503" i="9"/>
  <c r="Q1503" i="9" s="1"/>
  <c r="P1504" i="9"/>
  <c r="Q1504" i="9" s="1"/>
  <c r="P1505" i="9"/>
  <c r="Q1505" i="9" s="1"/>
  <c r="P1506" i="9"/>
  <c r="Q1506" i="9" s="1"/>
  <c r="P1507" i="9"/>
  <c r="Q1507" i="9" s="1"/>
  <c r="P1508" i="9"/>
  <c r="Q1508" i="9" s="1"/>
  <c r="P1509" i="9"/>
  <c r="Q1509" i="9" s="1"/>
  <c r="P1510" i="9"/>
  <c r="Q1510" i="9" s="1"/>
  <c r="P1511" i="9"/>
  <c r="Q1511" i="9" s="1"/>
  <c r="P1512" i="9"/>
  <c r="Q1512" i="9" s="1"/>
  <c r="P1513" i="9"/>
  <c r="Q1513" i="9" s="1"/>
  <c r="P1514" i="9"/>
  <c r="Q1514" i="9" s="1"/>
  <c r="P1515" i="9"/>
  <c r="Q1515" i="9" s="1"/>
  <c r="P1516" i="9"/>
  <c r="Q1516" i="9" s="1"/>
  <c r="P1517" i="9"/>
  <c r="Q1517" i="9" s="1"/>
  <c r="P1518" i="9"/>
  <c r="Q1518" i="9" s="1"/>
  <c r="P1519" i="9"/>
  <c r="Q1519" i="9" s="1"/>
  <c r="P1520" i="9"/>
  <c r="Q1520" i="9" s="1"/>
  <c r="P1521" i="9"/>
  <c r="Q1521" i="9" s="1"/>
  <c r="P1522" i="9"/>
  <c r="Q1522" i="9" s="1"/>
  <c r="P1523" i="9"/>
  <c r="Q1523" i="9" s="1"/>
  <c r="P1524" i="9"/>
  <c r="Q1524" i="9" s="1"/>
  <c r="P1525" i="9"/>
  <c r="Q1525" i="9" s="1"/>
  <c r="P1526" i="9"/>
  <c r="Q1526" i="9" s="1"/>
  <c r="P1527" i="9"/>
  <c r="Q1527" i="9" s="1"/>
  <c r="P1528" i="9"/>
  <c r="Q1528" i="9" s="1"/>
  <c r="P1529" i="9"/>
  <c r="Q1529" i="9" s="1"/>
  <c r="P1530" i="9"/>
  <c r="Q1530" i="9" s="1"/>
  <c r="P1531" i="9"/>
  <c r="Q1531" i="9" s="1"/>
  <c r="P1532" i="9"/>
  <c r="Q1532" i="9" s="1"/>
  <c r="P1533" i="9"/>
  <c r="Q1533" i="9" s="1"/>
  <c r="P1534" i="9"/>
  <c r="Q1534" i="9" s="1"/>
  <c r="P1535" i="9"/>
  <c r="Q1535" i="9" s="1"/>
  <c r="P1536" i="9"/>
  <c r="Q1536" i="9" s="1"/>
  <c r="P1537" i="9"/>
  <c r="Q1537" i="9" s="1"/>
  <c r="P1538" i="9"/>
  <c r="Q1538" i="9" s="1"/>
  <c r="P1539" i="9"/>
  <c r="Q1539" i="9" s="1"/>
  <c r="P1540" i="9"/>
  <c r="Q1540" i="9" s="1"/>
  <c r="P1541" i="9"/>
  <c r="Q1541" i="9" s="1"/>
  <c r="P1542" i="9"/>
  <c r="Q1542" i="9" s="1"/>
  <c r="P1543" i="9"/>
  <c r="Q1543" i="9" s="1"/>
  <c r="P1544" i="9"/>
  <c r="Q1544" i="9" s="1"/>
  <c r="P1545" i="9"/>
  <c r="Q1545" i="9" s="1"/>
  <c r="P1546" i="9"/>
  <c r="Q1546" i="9" s="1"/>
  <c r="P1547" i="9"/>
  <c r="Q1547" i="9" s="1"/>
  <c r="P1548" i="9"/>
  <c r="Q1548" i="9" s="1"/>
  <c r="P1549" i="9"/>
  <c r="Q1549" i="9" s="1"/>
  <c r="P1550" i="9"/>
  <c r="Q1550" i="9" s="1"/>
  <c r="P1551" i="9"/>
  <c r="Q1551" i="9" s="1"/>
  <c r="P1552" i="9"/>
  <c r="Q1552" i="9" s="1"/>
  <c r="P1553" i="9"/>
  <c r="Q1553" i="9" s="1"/>
  <c r="P1554" i="9"/>
  <c r="Q1554" i="9" s="1"/>
  <c r="P1555" i="9"/>
  <c r="Q1555" i="9" s="1"/>
  <c r="P1556" i="9"/>
  <c r="Q1556" i="9" s="1"/>
  <c r="P1557" i="9"/>
  <c r="Q1557" i="9" s="1"/>
  <c r="P1558" i="9"/>
  <c r="Q1558" i="9" s="1"/>
  <c r="P1559" i="9"/>
  <c r="Q1559" i="9" s="1"/>
  <c r="P1560" i="9"/>
  <c r="Q1560" i="9" s="1"/>
  <c r="P1561" i="9"/>
  <c r="Q1561" i="9" s="1"/>
  <c r="P1562" i="9"/>
  <c r="Q1562" i="9" s="1"/>
  <c r="P1563" i="9"/>
  <c r="Q1563" i="9" s="1"/>
  <c r="P1564" i="9"/>
  <c r="Q1564" i="9" s="1"/>
  <c r="P1565" i="9"/>
  <c r="Q1565" i="9" s="1"/>
  <c r="P1566" i="9"/>
  <c r="Q1566" i="9" s="1"/>
  <c r="P1567" i="9"/>
  <c r="Q1567" i="9" s="1"/>
  <c r="P1568" i="9"/>
  <c r="Q1568" i="9" s="1"/>
  <c r="P1569" i="9"/>
  <c r="Q1569" i="9" s="1"/>
  <c r="P1570" i="9"/>
  <c r="Q1570" i="9" s="1"/>
  <c r="P1571" i="9"/>
  <c r="Q1571" i="9" s="1"/>
  <c r="P1572" i="9"/>
  <c r="Q1572" i="9" s="1"/>
  <c r="P1573" i="9"/>
  <c r="Q1573" i="9" s="1"/>
  <c r="P1574" i="9"/>
  <c r="Q1574" i="9" s="1"/>
  <c r="P1575" i="9"/>
  <c r="Q1575" i="9" s="1"/>
  <c r="P1576" i="9"/>
  <c r="Q1576" i="9" s="1"/>
  <c r="P1577" i="9"/>
  <c r="Q1577" i="9" s="1"/>
  <c r="P1578" i="9"/>
  <c r="Q1578" i="9" s="1"/>
  <c r="P1579" i="9"/>
  <c r="Q1579" i="9" s="1"/>
  <c r="P1580" i="9"/>
  <c r="Q1580" i="9" s="1"/>
  <c r="P1581" i="9"/>
  <c r="Q1581" i="9" s="1"/>
  <c r="P1582" i="9"/>
  <c r="Q1582" i="9" s="1"/>
  <c r="P1583" i="9"/>
  <c r="Q1583" i="9" s="1"/>
  <c r="P1584" i="9"/>
  <c r="Q1584" i="9" s="1"/>
  <c r="P1585" i="9"/>
  <c r="Q1585" i="9" s="1"/>
  <c r="P1586" i="9"/>
  <c r="Q1586" i="9" s="1"/>
  <c r="P1587" i="9"/>
  <c r="Q1587" i="9" s="1"/>
  <c r="P1588" i="9"/>
  <c r="Q1588" i="9" s="1"/>
  <c r="P1589" i="9"/>
  <c r="Q1589" i="9" s="1"/>
  <c r="P1590" i="9"/>
  <c r="Q1590" i="9" s="1"/>
  <c r="P1591" i="9"/>
  <c r="Q1591" i="9" s="1"/>
  <c r="P1592" i="9"/>
  <c r="Q1592" i="9" s="1"/>
  <c r="P1593" i="9"/>
  <c r="Q1593" i="9" s="1"/>
  <c r="P1594" i="9"/>
  <c r="Q1594" i="9" s="1"/>
  <c r="P1595" i="9"/>
  <c r="Q1595" i="9" s="1"/>
  <c r="P1596" i="9"/>
  <c r="Q1596" i="9" s="1"/>
  <c r="P1597" i="9"/>
  <c r="Q1597" i="9" s="1"/>
  <c r="P1598" i="9"/>
  <c r="Q1598" i="9" s="1"/>
  <c r="P1599" i="9"/>
  <c r="Q1599" i="9" s="1"/>
  <c r="P1600" i="9"/>
  <c r="Q1600" i="9" s="1"/>
  <c r="P1601" i="9"/>
  <c r="Q1601" i="9" s="1"/>
  <c r="P1602" i="9"/>
  <c r="Q1602" i="9" s="1"/>
  <c r="P1603" i="9"/>
  <c r="Q1603" i="9" s="1"/>
  <c r="P1604" i="9"/>
  <c r="Q1604" i="9" s="1"/>
  <c r="P1605" i="9"/>
  <c r="Q1605" i="9" s="1"/>
  <c r="P1606" i="9"/>
  <c r="Q1606" i="9" s="1"/>
  <c r="P1607" i="9"/>
  <c r="Q1607" i="9" s="1"/>
  <c r="P1608" i="9"/>
  <c r="Q1608" i="9" s="1"/>
  <c r="P1609" i="9"/>
  <c r="Q1609" i="9" s="1"/>
  <c r="P1610" i="9"/>
  <c r="Q1610" i="9" s="1"/>
  <c r="P1611" i="9"/>
  <c r="Q1611" i="9" s="1"/>
  <c r="P1612" i="9"/>
  <c r="Q1612" i="9" s="1"/>
  <c r="P1613" i="9"/>
  <c r="Q1613" i="9" s="1"/>
  <c r="P1614" i="9"/>
  <c r="Q1614" i="9" s="1"/>
  <c r="P1615" i="9"/>
  <c r="Q1615" i="9" s="1"/>
  <c r="P1616" i="9"/>
  <c r="Q1616" i="9" s="1"/>
  <c r="P1617" i="9"/>
  <c r="Q1617" i="9" s="1"/>
  <c r="P1618" i="9"/>
  <c r="Q1618" i="9" s="1"/>
  <c r="P1619" i="9"/>
  <c r="Q1619" i="9" s="1"/>
  <c r="P1620" i="9"/>
  <c r="Q1620" i="9" s="1"/>
  <c r="P1621" i="9"/>
  <c r="Q1621" i="9" s="1"/>
  <c r="P1622" i="9"/>
  <c r="Q1622" i="9" s="1"/>
  <c r="P1623" i="9"/>
  <c r="Q1623" i="9" s="1"/>
  <c r="P1624" i="9"/>
  <c r="Q1624" i="9" s="1"/>
  <c r="P1625" i="9"/>
  <c r="Q1625" i="9" s="1"/>
  <c r="P1626" i="9"/>
  <c r="Q1626" i="9" s="1"/>
  <c r="P1627" i="9"/>
  <c r="Q1627" i="9" s="1"/>
  <c r="P1628" i="9"/>
  <c r="Q1628" i="9" s="1"/>
  <c r="P1629" i="9"/>
  <c r="Q1629" i="9" s="1"/>
  <c r="P1630" i="9"/>
  <c r="Q1630" i="9" s="1"/>
  <c r="P1631" i="9"/>
  <c r="Q1631" i="9" s="1"/>
  <c r="P1632" i="9"/>
  <c r="Q1632" i="9" s="1"/>
  <c r="P1633" i="9"/>
  <c r="Q1633" i="9" s="1"/>
  <c r="P1634" i="9"/>
  <c r="Q1634" i="9" s="1"/>
  <c r="P1635" i="9"/>
  <c r="Q1635" i="9" s="1"/>
  <c r="P1636" i="9"/>
  <c r="Q1636" i="9" s="1"/>
  <c r="P1637" i="9"/>
  <c r="Q1637" i="9" s="1"/>
  <c r="P1638" i="9"/>
  <c r="Q1638" i="9" s="1"/>
  <c r="P1639" i="9"/>
  <c r="Q1639" i="9" s="1"/>
  <c r="P1640" i="9"/>
  <c r="Q1640" i="9" s="1"/>
  <c r="P1641" i="9"/>
  <c r="Q1641" i="9" s="1"/>
  <c r="P1642" i="9"/>
  <c r="Q1642" i="9" s="1"/>
  <c r="P1643" i="9"/>
  <c r="Q1643" i="9" s="1"/>
  <c r="P1644" i="9"/>
  <c r="Q1644" i="9" s="1"/>
  <c r="P1645" i="9"/>
  <c r="Q1645" i="9" s="1"/>
  <c r="P1646" i="9"/>
  <c r="Q1646" i="9" s="1"/>
  <c r="P1647" i="9"/>
  <c r="Q1647" i="9" s="1"/>
  <c r="P1648" i="9"/>
  <c r="Q1648" i="9" s="1"/>
  <c r="P1649" i="9"/>
  <c r="Q1649" i="9" s="1"/>
  <c r="P1650" i="9"/>
  <c r="Q1650" i="9" s="1"/>
  <c r="P1651" i="9"/>
  <c r="Q1651" i="9" s="1"/>
  <c r="P1652" i="9"/>
  <c r="Q1652" i="9" s="1"/>
  <c r="P1653" i="9"/>
  <c r="Q1653" i="9" s="1"/>
  <c r="P1654" i="9"/>
  <c r="Q1654" i="9" s="1"/>
  <c r="P1655" i="9"/>
  <c r="Q1655" i="9" s="1"/>
  <c r="P1656" i="9"/>
  <c r="Q1656" i="9" s="1"/>
  <c r="P1657" i="9"/>
  <c r="Q1657" i="9" s="1"/>
  <c r="P1658" i="9"/>
  <c r="Q1658" i="9" s="1"/>
  <c r="P1659" i="9"/>
  <c r="Q1659" i="9" s="1"/>
  <c r="P1660" i="9"/>
  <c r="Q1660" i="9" s="1"/>
  <c r="P1661" i="9"/>
  <c r="Q1661" i="9" s="1"/>
  <c r="P1662" i="9"/>
  <c r="Q1662" i="9" s="1"/>
  <c r="P1663" i="9"/>
  <c r="Q1663" i="9" s="1"/>
  <c r="P1664" i="9"/>
  <c r="Q1664" i="9" s="1"/>
  <c r="P1665" i="9"/>
  <c r="Q1665" i="9" s="1"/>
  <c r="P1666" i="9"/>
  <c r="Q1666" i="9" s="1"/>
  <c r="P1667" i="9"/>
  <c r="Q1667" i="9" s="1"/>
  <c r="P1668" i="9"/>
  <c r="Q1668" i="9" s="1"/>
  <c r="P1669" i="9"/>
  <c r="Q1669" i="9" s="1"/>
  <c r="P1670" i="9"/>
  <c r="Q1670" i="9" s="1"/>
  <c r="P1671" i="9"/>
  <c r="Q1671" i="9" s="1"/>
  <c r="P1672" i="9"/>
  <c r="Q1672" i="9" s="1"/>
  <c r="P1673" i="9"/>
  <c r="Q1673" i="9" s="1"/>
  <c r="P1674" i="9"/>
  <c r="Q1674" i="9" s="1"/>
  <c r="P1675" i="9"/>
  <c r="Q1675" i="9" s="1"/>
  <c r="P1676" i="9"/>
  <c r="Q1676" i="9" s="1"/>
  <c r="P1677" i="9"/>
  <c r="Q1677" i="9" s="1"/>
  <c r="P1678" i="9"/>
  <c r="Q1678" i="9" s="1"/>
  <c r="P1679" i="9"/>
  <c r="Q1679" i="9" s="1"/>
  <c r="P1680" i="9"/>
  <c r="Q1680" i="9" s="1"/>
  <c r="P1681" i="9"/>
  <c r="Q1681" i="9" s="1"/>
  <c r="P1682" i="9"/>
  <c r="Q1682" i="9" s="1"/>
  <c r="P1683" i="9"/>
  <c r="Q1683" i="9" s="1"/>
  <c r="P1684" i="9"/>
  <c r="Q1684" i="9" s="1"/>
  <c r="P1685" i="9"/>
  <c r="Q1685" i="9" s="1"/>
  <c r="P1686" i="9"/>
  <c r="Q1686" i="9" s="1"/>
  <c r="P1687" i="9"/>
  <c r="Q1687" i="9" s="1"/>
  <c r="P1688" i="9"/>
  <c r="Q1688" i="9" s="1"/>
  <c r="P1689" i="9"/>
  <c r="Q1689" i="9" s="1"/>
  <c r="P1690" i="9"/>
  <c r="Q1690" i="9" s="1"/>
  <c r="P1691" i="9"/>
  <c r="Q1691" i="9" s="1"/>
  <c r="P1692" i="9"/>
  <c r="Q1692" i="9" s="1"/>
  <c r="P1693" i="9"/>
  <c r="Q1693" i="9" s="1"/>
  <c r="P1694" i="9"/>
  <c r="Q1694" i="9" s="1"/>
  <c r="P1695" i="9"/>
  <c r="Q1695" i="9" s="1"/>
  <c r="P1696" i="9"/>
  <c r="Q1696" i="9" s="1"/>
  <c r="P1697" i="9"/>
  <c r="Q1697" i="9" s="1"/>
  <c r="P1698" i="9"/>
  <c r="Q1698" i="9" s="1"/>
  <c r="P1699" i="9"/>
  <c r="Q1699" i="9" s="1"/>
  <c r="P1700" i="9"/>
  <c r="Q1700" i="9" s="1"/>
  <c r="P1701" i="9"/>
  <c r="Q1701" i="9" s="1"/>
  <c r="P1702" i="9"/>
  <c r="Q1702" i="9" s="1"/>
  <c r="P1703" i="9"/>
  <c r="Q1703" i="9" s="1"/>
  <c r="P1704" i="9"/>
  <c r="Q1704" i="9" s="1"/>
  <c r="P1705" i="9"/>
  <c r="Q1705" i="9" s="1"/>
  <c r="P1706" i="9"/>
  <c r="Q1706" i="9" s="1"/>
  <c r="P1707" i="9"/>
  <c r="Q1707" i="9" s="1"/>
  <c r="P1708" i="9"/>
  <c r="Q1708" i="9" s="1"/>
  <c r="P1709" i="9"/>
  <c r="Q1709" i="9" s="1"/>
  <c r="P1710" i="9"/>
  <c r="Q1710" i="9" s="1"/>
  <c r="P1711" i="9"/>
  <c r="Q1711" i="9" s="1"/>
  <c r="P1712" i="9"/>
  <c r="Q1712" i="9" s="1"/>
  <c r="P1713" i="9"/>
  <c r="Q1713" i="9" s="1"/>
  <c r="P1714" i="9"/>
  <c r="Q1714" i="9" s="1"/>
  <c r="P1715" i="9"/>
  <c r="Q1715" i="9" s="1"/>
  <c r="P1716" i="9"/>
  <c r="Q1716" i="9" s="1"/>
  <c r="P1717" i="9"/>
  <c r="Q1717" i="9" s="1"/>
  <c r="P1718" i="9"/>
  <c r="Q1718" i="9" s="1"/>
  <c r="P1719" i="9"/>
  <c r="Q1719" i="9" s="1"/>
  <c r="P1720" i="9"/>
  <c r="Q1720" i="9" s="1"/>
  <c r="P1721" i="9"/>
  <c r="Q1721" i="9" s="1"/>
  <c r="P1722" i="9"/>
  <c r="Q1722" i="9" s="1"/>
  <c r="P1723" i="9"/>
  <c r="Q1723" i="9" s="1"/>
  <c r="P1724" i="9"/>
  <c r="Q1724" i="9" s="1"/>
  <c r="P1725" i="9"/>
  <c r="Q1725" i="9" s="1"/>
  <c r="P1726" i="9"/>
  <c r="Q1726" i="9" s="1"/>
  <c r="P1727" i="9"/>
  <c r="Q1727" i="9" s="1"/>
  <c r="P1728" i="9"/>
  <c r="Q1728" i="9" s="1"/>
  <c r="P1729" i="9"/>
  <c r="Q1729" i="9" s="1"/>
  <c r="P1730" i="9"/>
  <c r="Q1730" i="9" s="1"/>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F14" i="9"/>
  <c r="F15" i="9"/>
  <c r="F16" i="9"/>
  <c r="F17" i="9"/>
  <c r="F18" i="9"/>
  <c r="F19" i="9"/>
  <c r="F20" i="9"/>
  <c r="F21" i="9"/>
  <c r="F22" i="9"/>
  <c r="AD22" i="9" s="1"/>
  <c r="F23" i="9"/>
  <c r="F24" i="9"/>
  <c r="F25" i="9"/>
  <c r="F26" i="9"/>
  <c r="F27" i="9"/>
  <c r="F28" i="9"/>
  <c r="F29" i="9"/>
  <c r="F30" i="9"/>
  <c r="F31" i="9"/>
  <c r="F32" i="9"/>
  <c r="F33" i="9"/>
  <c r="F34" i="9"/>
  <c r="F35" i="9"/>
  <c r="F36" i="9"/>
  <c r="F37" i="9"/>
  <c r="F38" i="9"/>
  <c r="AD38" i="9" s="1"/>
  <c r="F39" i="9"/>
  <c r="F40" i="9"/>
  <c r="F41" i="9"/>
  <c r="F42" i="9"/>
  <c r="F43" i="9"/>
  <c r="F44" i="9"/>
  <c r="F45" i="9"/>
  <c r="F46" i="9"/>
  <c r="F47" i="9"/>
  <c r="F48" i="9"/>
  <c r="F49" i="9"/>
  <c r="F50" i="9"/>
  <c r="F51" i="9"/>
  <c r="F52" i="9"/>
  <c r="F53" i="9"/>
  <c r="F54" i="9"/>
  <c r="AD54" i="9" s="1"/>
  <c r="F55" i="9"/>
  <c r="F56" i="9"/>
  <c r="F57" i="9"/>
  <c r="F58" i="9"/>
  <c r="F59" i="9"/>
  <c r="F60" i="9"/>
  <c r="F61" i="9"/>
  <c r="F62" i="9"/>
  <c r="F63" i="9"/>
  <c r="F64" i="9"/>
  <c r="F65" i="9"/>
  <c r="F66" i="9"/>
  <c r="F67" i="9"/>
  <c r="F68" i="9"/>
  <c r="F69" i="9"/>
  <c r="F70" i="9"/>
  <c r="AD70" i="9" s="1"/>
  <c r="F71" i="9"/>
  <c r="F72" i="9"/>
  <c r="F73" i="9"/>
  <c r="F74" i="9"/>
  <c r="F75" i="9"/>
  <c r="F76" i="9"/>
  <c r="F77" i="9"/>
  <c r="F78" i="9"/>
  <c r="F79" i="9"/>
  <c r="F80" i="9"/>
  <c r="F81" i="9"/>
  <c r="F82" i="9"/>
  <c r="F83" i="9"/>
  <c r="F84" i="9"/>
  <c r="F85" i="9"/>
  <c r="F86" i="9"/>
  <c r="AD86" i="9" s="1"/>
  <c r="F87" i="9"/>
  <c r="F88" i="9"/>
  <c r="F89" i="9"/>
  <c r="F90" i="9"/>
  <c r="F91" i="9"/>
  <c r="F92" i="9"/>
  <c r="F93" i="9"/>
  <c r="F94" i="9"/>
  <c r="F95" i="9"/>
  <c r="F96" i="9"/>
  <c r="F97" i="9"/>
  <c r="F98" i="9"/>
  <c r="F99" i="9"/>
  <c r="F100" i="9"/>
  <c r="F101" i="9"/>
  <c r="F102" i="9"/>
  <c r="AD102" i="9" s="1"/>
  <c r="F103" i="9"/>
  <c r="F104" i="9"/>
  <c r="F105" i="9"/>
  <c r="F106" i="9"/>
  <c r="F107" i="9"/>
  <c r="F108" i="9"/>
  <c r="F109" i="9"/>
  <c r="F110" i="9"/>
  <c r="F111" i="9"/>
  <c r="F112" i="9"/>
  <c r="F113" i="9"/>
  <c r="F114" i="9"/>
  <c r="F115" i="9"/>
  <c r="F116" i="9"/>
  <c r="F117" i="9"/>
  <c r="F118" i="9"/>
  <c r="AD118" i="9" s="1"/>
  <c r="F119" i="9"/>
  <c r="F120" i="9"/>
  <c r="F121" i="9"/>
  <c r="F122" i="9"/>
  <c r="F123" i="9"/>
  <c r="F124" i="9"/>
  <c r="F125" i="9"/>
  <c r="F126" i="9"/>
  <c r="F127" i="9"/>
  <c r="F128" i="9"/>
  <c r="F129" i="9"/>
  <c r="F130" i="9"/>
  <c r="F131" i="9"/>
  <c r="F132" i="9"/>
  <c r="F133" i="9"/>
  <c r="F134" i="9"/>
  <c r="AD134" i="9" s="1"/>
  <c r="F135" i="9"/>
  <c r="F136" i="9"/>
  <c r="F137" i="9"/>
  <c r="F138" i="9"/>
  <c r="F139" i="9"/>
  <c r="F140" i="9"/>
  <c r="F141" i="9"/>
  <c r="F142" i="9"/>
  <c r="F143" i="9"/>
  <c r="F144" i="9"/>
  <c r="F145" i="9"/>
  <c r="F146" i="9"/>
  <c r="F147" i="9"/>
  <c r="F148" i="9"/>
  <c r="F149" i="9"/>
  <c r="F150" i="9"/>
  <c r="AD150" i="9" s="1"/>
  <c r="F151" i="9"/>
  <c r="F152" i="9"/>
  <c r="F153" i="9"/>
  <c r="F154" i="9"/>
  <c r="F155" i="9"/>
  <c r="F156" i="9"/>
  <c r="F157" i="9"/>
  <c r="F158" i="9"/>
  <c r="F159" i="9"/>
  <c r="F160" i="9"/>
  <c r="F161" i="9"/>
  <c r="F162" i="9"/>
  <c r="F163" i="9"/>
  <c r="F164" i="9"/>
  <c r="F165" i="9"/>
  <c r="F166" i="9"/>
  <c r="AD166" i="9" s="1"/>
  <c r="F167" i="9"/>
  <c r="F168" i="9"/>
  <c r="F169" i="9"/>
  <c r="F170" i="9"/>
  <c r="F171" i="9"/>
  <c r="F172" i="9"/>
  <c r="F173" i="9"/>
  <c r="F174" i="9"/>
  <c r="F175" i="9"/>
  <c r="F176" i="9"/>
  <c r="F177" i="9"/>
  <c r="F178" i="9"/>
  <c r="F179" i="9"/>
  <c r="F180" i="9"/>
  <c r="F181" i="9"/>
  <c r="F182" i="9"/>
  <c r="AD182" i="9" s="1"/>
  <c r="F183" i="9"/>
  <c r="F184" i="9"/>
  <c r="F185" i="9"/>
  <c r="F186" i="9"/>
  <c r="F187" i="9"/>
  <c r="F188" i="9"/>
  <c r="F189" i="9"/>
  <c r="F190" i="9"/>
  <c r="F191" i="9"/>
  <c r="F192" i="9"/>
  <c r="F193" i="9"/>
  <c r="F194" i="9"/>
  <c r="F195" i="9"/>
  <c r="F196" i="9"/>
  <c r="F197" i="9"/>
  <c r="F198" i="9"/>
  <c r="AD198" i="9" s="1"/>
  <c r="F199" i="9"/>
  <c r="F200" i="9"/>
  <c r="F201" i="9"/>
  <c r="F202" i="9"/>
  <c r="F203" i="9"/>
  <c r="F204" i="9"/>
  <c r="F205" i="9"/>
  <c r="F206" i="9"/>
  <c r="F207" i="9"/>
  <c r="F208" i="9"/>
  <c r="F209" i="9"/>
  <c r="F210" i="9"/>
  <c r="F211" i="9"/>
  <c r="F212" i="9"/>
  <c r="F213" i="9"/>
  <c r="F214" i="9"/>
  <c r="AD214" i="9" s="1"/>
  <c r="F215" i="9"/>
  <c r="F216" i="9"/>
  <c r="F217" i="9"/>
  <c r="F218" i="9"/>
  <c r="F219" i="9"/>
  <c r="F220" i="9"/>
  <c r="F221" i="9"/>
  <c r="F222" i="9"/>
  <c r="F223" i="9"/>
  <c r="F224" i="9"/>
  <c r="F225" i="9"/>
  <c r="F226" i="9"/>
  <c r="F227" i="9"/>
  <c r="F228" i="9"/>
  <c r="F229" i="9"/>
  <c r="F230" i="9"/>
  <c r="AD230" i="9" s="1"/>
  <c r="F231" i="9"/>
  <c r="F232" i="9"/>
  <c r="F233" i="9"/>
  <c r="F234" i="9"/>
  <c r="F235" i="9"/>
  <c r="F236" i="9"/>
  <c r="F237" i="9"/>
  <c r="F238" i="9"/>
  <c r="F239" i="9"/>
  <c r="F240" i="9"/>
  <c r="F241" i="9"/>
  <c r="F242" i="9"/>
  <c r="F243" i="9"/>
  <c r="F244" i="9"/>
  <c r="F245" i="9"/>
  <c r="F246" i="9"/>
  <c r="AD246" i="9" s="1"/>
  <c r="F247" i="9"/>
  <c r="F248" i="9"/>
  <c r="F249" i="9"/>
  <c r="F250" i="9"/>
  <c r="F251" i="9"/>
  <c r="F252" i="9"/>
  <c r="F253" i="9"/>
  <c r="F254" i="9"/>
  <c r="F255" i="9"/>
  <c r="F256" i="9"/>
  <c r="F257" i="9"/>
  <c r="F258" i="9"/>
  <c r="F259" i="9"/>
  <c r="F260" i="9"/>
  <c r="F261" i="9"/>
  <c r="F262" i="9"/>
  <c r="AD262" i="9" s="1"/>
  <c r="F263" i="9"/>
  <c r="F264" i="9"/>
  <c r="F265" i="9"/>
  <c r="F266" i="9"/>
  <c r="F267" i="9"/>
  <c r="F268" i="9"/>
  <c r="F269" i="9"/>
  <c r="F270" i="9"/>
  <c r="F271" i="9"/>
  <c r="F272" i="9"/>
  <c r="F273" i="9"/>
  <c r="F274" i="9"/>
  <c r="F275" i="9"/>
  <c r="F276" i="9"/>
  <c r="F277" i="9"/>
  <c r="F278" i="9"/>
  <c r="AD278" i="9" s="1"/>
  <c r="F279" i="9"/>
  <c r="F280" i="9"/>
  <c r="F281" i="9"/>
  <c r="F282" i="9"/>
  <c r="F283" i="9"/>
  <c r="F284" i="9"/>
  <c r="F285" i="9"/>
  <c r="F286" i="9"/>
  <c r="F287" i="9"/>
  <c r="F288" i="9"/>
  <c r="F289" i="9"/>
  <c r="F290" i="9"/>
  <c r="F291" i="9"/>
  <c r="F292" i="9"/>
  <c r="F293" i="9"/>
  <c r="F294" i="9"/>
  <c r="AD294" i="9" s="1"/>
  <c r="F295" i="9"/>
  <c r="F296" i="9"/>
  <c r="F297" i="9"/>
  <c r="F298" i="9"/>
  <c r="F299" i="9"/>
  <c r="F300" i="9"/>
  <c r="F301" i="9"/>
  <c r="F302" i="9"/>
  <c r="F303" i="9"/>
  <c r="F304" i="9"/>
  <c r="F305" i="9"/>
  <c r="F306" i="9"/>
  <c r="F307" i="9"/>
  <c r="F308" i="9"/>
  <c r="F309" i="9"/>
  <c r="F310" i="9"/>
  <c r="AD310" i="9" s="1"/>
  <c r="F311" i="9"/>
  <c r="F312" i="9"/>
  <c r="F313" i="9"/>
  <c r="F314" i="9"/>
  <c r="F315" i="9"/>
  <c r="F316" i="9"/>
  <c r="F317" i="9"/>
  <c r="F318" i="9"/>
  <c r="F319" i="9"/>
  <c r="F320" i="9"/>
  <c r="F321" i="9"/>
  <c r="F322" i="9"/>
  <c r="F323" i="9"/>
  <c r="F324" i="9"/>
  <c r="F325" i="9"/>
  <c r="F326" i="9"/>
  <c r="AD326" i="9" s="1"/>
  <c r="F327" i="9"/>
  <c r="F328" i="9"/>
  <c r="F329" i="9"/>
  <c r="F330" i="9"/>
  <c r="F331" i="9"/>
  <c r="F332" i="9"/>
  <c r="F333" i="9"/>
  <c r="F334" i="9"/>
  <c r="F335" i="9"/>
  <c r="F336" i="9"/>
  <c r="F337" i="9"/>
  <c r="F338" i="9"/>
  <c r="F339" i="9"/>
  <c r="F340" i="9"/>
  <c r="F341" i="9"/>
  <c r="F342" i="9"/>
  <c r="AD342" i="9" s="1"/>
  <c r="F343" i="9"/>
  <c r="F344" i="9"/>
  <c r="F345" i="9"/>
  <c r="F346" i="9"/>
  <c r="F347" i="9"/>
  <c r="F348" i="9"/>
  <c r="F349" i="9"/>
  <c r="F350" i="9"/>
  <c r="F351" i="9"/>
  <c r="F352" i="9"/>
  <c r="F353" i="9"/>
  <c r="F354" i="9"/>
  <c r="F355" i="9"/>
  <c r="F356" i="9"/>
  <c r="F357" i="9"/>
  <c r="F358" i="9"/>
  <c r="AD358" i="9" s="1"/>
  <c r="F359" i="9"/>
  <c r="F360" i="9"/>
  <c r="F361" i="9"/>
  <c r="F362" i="9"/>
  <c r="F363" i="9"/>
  <c r="F364" i="9"/>
  <c r="F365" i="9"/>
  <c r="F366" i="9"/>
  <c r="F367" i="9"/>
  <c r="F368" i="9"/>
  <c r="F369" i="9"/>
  <c r="F370" i="9"/>
  <c r="F371" i="9"/>
  <c r="F372" i="9"/>
  <c r="F373" i="9"/>
  <c r="F374" i="9"/>
  <c r="AD374" i="9" s="1"/>
  <c r="F375" i="9"/>
  <c r="F376" i="9"/>
  <c r="F377" i="9"/>
  <c r="F378" i="9"/>
  <c r="F379" i="9"/>
  <c r="F380" i="9"/>
  <c r="F381" i="9"/>
  <c r="F382" i="9"/>
  <c r="F383" i="9"/>
  <c r="F384" i="9"/>
  <c r="F385" i="9"/>
  <c r="F386" i="9"/>
  <c r="F387" i="9"/>
  <c r="F388" i="9"/>
  <c r="F389" i="9"/>
  <c r="F390" i="9"/>
  <c r="AD390" i="9" s="1"/>
  <c r="F391" i="9"/>
  <c r="F392" i="9"/>
  <c r="F393" i="9"/>
  <c r="F394" i="9"/>
  <c r="F395" i="9"/>
  <c r="F396" i="9"/>
  <c r="F397" i="9"/>
  <c r="F398" i="9"/>
  <c r="F399" i="9"/>
  <c r="F400" i="9"/>
  <c r="F401" i="9"/>
  <c r="F402" i="9"/>
  <c r="F403" i="9"/>
  <c r="F404" i="9"/>
  <c r="F405" i="9"/>
  <c r="F406" i="9"/>
  <c r="AD406" i="9" s="1"/>
  <c r="F407" i="9"/>
  <c r="F408" i="9"/>
  <c r="F409" i="9"/>
  <c r="F410" i="9"/>
  <c r="F411" i="9"/>
  <c r="F412" i="9"/>
  <c r="F413" i="9"/>
  <c r="F414" i="9"/>
  <c r="F415" i="9"/>
  <c r="F416" i="9"/>
  <c r="F417" i="9"/>
  <c r="F418" i="9"/>
  <c r="F419" i="9"/>
  <c r="F420" i="9"/>
  <c r="F421" i="9"/>
  <c r="F422" i="9"/>
  <c r="AD422" i="9" s="1"/>
  <c r="F423" i="9"/>
  <c r="F424" i="9"/>
  <c r="F425" i="9"/>
  <c r="F426" i="9"/>
  <c r="F427" i="9"/>
  <c r="F428" i="9"/>
  <c r="F429" i="9"/>
  <c r="F430" i="9"/>
  <c r="F431" i="9"/>
  <c r="F432" i="9"/>
  <c r="F433" i="9"/>
  <c r="F434" i="9"/>
  <c r="F435" i="9"/>
  <c r="F436" i="9"/>
  <c r="F437" i="9"/>
  <c r="F438" i="9"/>
  <c r="AD438" i="9" s="1"/>
  <c r="F439" i="9"/>
  <c r="F440" i="9"/>
  <c r="F441" i="9"/>
  <c r="F442" i="9"/>
  <c r="F443" i="9"/>
  <c r="F444" i="9"/>
  <c r="F445" i="9"/>
  <c r="F446" i="9"/>
  <c r="F447" i="9"/>
  <c r="F448" i="9"/>
  <c r="F449" i="9"/>
  <c r="F450" i="9"/>
  <c r="F451" i="9"/>
  <c r="F452" i="9"/>
  <c r="F453" i="9"/>
  <c r="F454" i="9"/>
  <c r="AD454" i="9" s="1"/>
  <c r="F455" i="9"/>
  <c r="F456" i="9"/>
  <c r="F457" i="9"/>
  <c r="F458" i="9"/>
  <c r="F459" i="9"/>
  <c r="F460" i="9"/>
  <c r="F461" i="9"/>
  <c r="F462" i="9"/>
  <c r="F463" i="9"/>
  <c r="F464" i="9"/>
  <c r="F465" i="9"/>
  <c r="F466" i="9"/>
  <c r="F467" i="9"/>
  <c r="F468" i="9"/>
  <c r="F469" i="9"/>
  <c r="F470" i="9"/>
  <c r="AD470" i="9" s="1"/>
  <c r="F471" i="9"/>
  <c r="F472" i="9"/>
  <c r="F473" i="9"/>
  <c r="F474" i="9"/>
  <c r="F475" i="9"/>
  <c r="F476" i="9"/>
  <c r="F477" i="9"/>
  <c r="F478" i="9"/>
  <c r="F479" i="9"/>
  <c r="F480" i="9"/>
  <c r="F481" i="9"/>
  <c r="F482" i="9"/>
  <c r="F483" i="9"/>
  <c r="F484" i="9"/>
  <c r="F485" i="9"/>
  <c r="F486" i="9"/>
  <c r="AD486" i="9" s="1"/>
  <c r="F487" i="9"/>
  <c r="F488" i="9"/>
  <c r="F489" i="9"/>
  <c r="F490" i="9"/>
  <c r="F491" i="9"/>
  <c r="F492" i="9"/>
  <c r="F493" i="9"/>
  <c r="F494" i="9"/>
  <c r="F495" i="9"/>
  <c r="F496" i="9"/>
  <c r="F497" i="9"/>
  <c r="F498" i="9"/>
  <c r="F499" i="9"/>
  <c r="F500" i="9"/>
  <c r="F501" i="9"/>
  <c r="F502" i="9"/>
  <c r="AD502" i="9" s="1"/>
  <c r="F503" i="9"/>
  <c r="F504" i="9"/>
  <c r="F505" i="9"/>
  <c r="F506" i="9"/>
  <c r="F507" i="9"/>
  <c r="F508" i="9"/>
  <c r="F509" i="9"/>
  <c r="F510" i="9"/>
  <c r="F511" i="9"/>
  <c r="F512" i="9"/>
  <c r="F513" i="9"/>
  <c r="F514" i="9"/>
  <c r="F515" i="9"/>
  <c r="F516" i="9"/>
  <c r="F517" i="9"/>
  <c r="F518" i="9"/>
  <c r="AD518" i="9" s="1"/>
  <c r="F519" i="9"/>
  <c r="F520" i="9"/>
  <c r="F521" i="9"/>
  <c r="F522" i="9"/>
  <c r="F523" i="9"/>
  <c r="F524" i="9"/>
  <c r="F525" i="9"/>
  <c r="F526" i="9"/>
  <c r="F527" i="9"/>
  <c r="F528" i="9"/>
  <c r="F529" i="9"/>
  <c r="F530" i="9"/>
  <c r="F531" i="9"/>
  <c r="F532" i="9"/>
  <c r="F533" i="9"/>
  <c r="F534" i="9"/>
  <c r="AD534" i="9" s="1"/>
  <c r="F535" i="9"/>
  <c r="F536" i="9"/>
  <c r="F537" i="9"/>
  <c r="F538" i="9"/>
  <c r="F539" i="9"/>
  <c r="F540" i="9"/>
  <c r="F541" i="9"/>
  <c r="F542" i="9"/>
  <c r="F543" i="9"/>
  <c r="F544" i="9"/>
  <c r="F545" i="9"/>
  <c r="F546" i="9"/>
  <c r="F547" i="9"/>
  <c r="F548" i="9"/>
  <c r="F549" i="9"/>
  <c r="F550" i="9"/>
  <c r="AD550" i="9" s="1"/>
  <c r="F551" i="9"/>
  <c r="F552" i="9"/>
  <c r="F553" i="9"/>
  <c r="F554" i="9"/>
  <c r="F555" i="9"/>
  <c r="F556" i="9"/>
  <c r="F557" i="9"/>
  <c r="F558" i="9"/>
  <c r="F559" i="9"/>
  <c r="F560" i="9"/>
  <c r="F561" i="9"/>
  <c r="F562" i="9"/>
  <c r="F563" i="9"/>
  <c r="F564" i="9"/>
  <c r="F565" i="9"/>
  <c r="F566" i="9"/>
  <c r="AD566" i="9" s="1"/>
  <c r="F567" i="9"/>
  <c r="F568" i="9"/>
  <c r="F569" i="9"/>
  <c r="F570" i="9"/>
  <c r="F571" i="9"/>
  <c r="F572" i="9"/>
  <c r="F573" i="9"/>
  <c r="F574" i="9"/>
  <c r="F575" i="9"/>
  <c r="F576" i="9"/>
  <c r="F577" i="9"/>
  <c r="F578" i="9"/>
  <c r="F579" i="9"/>
  <c r="F580" i="9"/>
  <c r="F581" i="9"/>
  <c r="F582" i="9"/>
  <c r="AD582" i="9" s="1"/>
  <c r="F583" i="9"/>
  <c r="F584" i="9"/>
  <c r="F585" i="9"/>
  <c r="F586" i="9"/>
  <c r="F587" i="9"/>
  <c r="F588" i="9"/>
  <c r="F589" i="9"/>
  <c r="F590" i="9"/>
  <c r="F591" i="9"/>
  <c r="F592" i="9"/>
  <c r="F593" i="9"/>
  <c r="F594" i="9"/>
  <c r="F595" i="9"/>
  <c r="F596" i="9"/>
  <c r="F597" i="9"/>
  <c r="F598" i="9"/>
  <c r="AD598" i="9" s="1"/>
  <c r="F599" i="9"/>
  <c r="F600" i="9"/>
  <c r="F601" i="9"/>
  <c r="F602" i="9"/>
  <c r="F603" i="9"/>
  <c r="F604" i="9"/>
  <c r="F605" i="9"/>
  <c r="F606" i="9"/>
  <c r="F607" i="9"/>
  <c r="F608" i="9"/>
  <c r="F609" i="9"/>
  <c r="F610" i="9"/>
  <c r="F611" i="9"/>
  <c r="F612" i="9"/>
  <c r="F613" i="9"/>
  <c r="F614" i="9"/>
  <c r="AD614" i="9" s="1"/>
  <c r="F615" i="9"/>
  <c r="F616" i="9"/>
  <c r="F617" i="9"/>
  <c r="F618" i="9"/>
  <c r="F619" i="9"/>
  <c r="F620" i="9"/>
  <c r="F621" i="9"/>
  <c r="F622" i="9"/>
  <c r="F623" i="9"/>
  <c r="F624" i="9"/>
  <c r="F625" i="9"/>
  <c r="F626" i="9"/>
  <c r="F627" i="9"/>
  <c r="F628" i="9"/>
  <c r="F629" i="9"/>
  <c r="F630" i="9"/>
  <c r="AD630" i="9" s="1"/>
  <c r="F631" i="9"/>
  <c r="F632" i="9"/>
  <c r="F633" i="9"/>
  <c r="F634" i="9"/>
  <c r="F635" i="9"/>
  <c r="F636" i="9"/>
  <c r="F637" i="9"/>
  <c r="F638" i="9"/>
  <c r="F639" i="9"/>
  <c r="F640" i="9"/>
  <c r="F641" i="9"/>
  <c r="F642" i="9"/>
  <c r="F643" i="9"/>
  <c r="F644" i="9"/>
  <c r="F645" i="9"/>
  <c r="F646" i="9"/>
  <c r="AD646" i="9" s="1"/>
  <c r="F647" i="9"/>
  <c r="F648" i="9"/>
  <c r="F649" i="9"/>
  <c r="F650" i="9"/>
  <c r="F651" i="9"/>
  <c r="F652" i="9"/>
  <c r="F653" i="9"/>
  <c r="F654" i="9"/>
  <c r="F655" i="9"/>
  <c r="F656" i="9"/>
  <c r="F657" i="9"/>
  <c r="F658" i="9"/>
  <c r="F659" i="9"/>
  <c r="F660" i="9"/>
  <c r="F661" i="9"/>
  <c r="F662" i="9"/>
  <c r="AD662" i="9" s="1"/>
  <c r="F663" i="9"/>
  <c r="F664" i="9"/>
  <c r="F665" i="9"/>
  <c r="F666" i="9"/>
  <c r="F667" i="9"/>
  <c r="F668" i="9"/>
  <c r="F669" i="9"/>
  <c r="F670" i="9"/>
  <c r="F671" i="9"/>
  <c r="F672" i="9"/>
  <c r="F673" i="9"/>
  <c r="F674" i="9"/>
  <c r="F675" i="9"/>
  <c r="F676" i="9"/>
  <c r="F677" i="9"/>
  <c r="F678" i="9"/>
  <c r="AD678" i="9" s="1"/>
  <c r="F679" i="9"/>
  <c r="F680" i="9"/>
  <c r="F681" i="9"/>
  <c r="F682" i="9"/>
  <c r="F683" i="9"/>
  <c r="F684" i="9"/>
  <c r="F685" i="9"/>
  <c r="F686" i="9"/>
  <c r="F687" i="9"/>
  <c r="F688" i="9"/>
  <c r="F689" i="9"/>
  <c r="F690" i="9"/>
  <c r="F691" i="9"/>
  <c r="F692" i="9"/>
  <c r="F693" i="9"/>
  <c r="F694" i="9"/>
  <c r="AD694" i="9" s="1"/>
  <c r="F695" i="9"/>
  <c r="F696" i="9"/>
  <c r="F697" i="9"/>
  <c r="F698" i="9"/>
  <c r="F699" i="9"/>
  <c r="F700" i="9"/>
  <c r="F701" i="9"/>
  <c r="F702" i="9"/>
  <c r="F703" i="9"/>
  <c r="F704" i="9"/>
  <c r="F705" i="9"/>
  <c r="F706" i="9"/>
  <c r="F707" i="9"/>
  <c r="F708" i="9"/>
  <c r="F709" i="9"/>
  <c r="F710" i="9"/>
  <c r="AD710" i="9" s="1"/>
  <c r="F711" i="9"/>
  <c r="F712" i="9"/>
  <c r="F713" i="9"/>
  <c r="F714" i="9"/>
  <c r="F715" i="9"/>
  <c r="F716" i="9"/>
  <c r="F717" i="9"/>
  <c r="F718" i="9"/>
  <c r="F719" i="9"/>
  <c r="F720" i="9"/>
  <c r="F721" i="9"/>
  <c r="F722" i="9"/>
  <c r="F723" i="9"/>
  <c r="F724" i="9"/>
  <c r="F725" i="9"/>
  <c r="F726" i="9"/>
  <c r="AD726" i="9" s="1"/>
  <c r="F727" i="9"/>
  <c r="F728" i="9"/>
  <c r="F729" i="9"/>
  <c r="F730" i="9"/>
  <c r="F731" i="9"/>
  <c r="F732" i="9"/>
  <c r="F733" i="9"/>
  <c r="F734" i="9"/>
  <c r="F735" i="9"/>
  <c r="F736" i="9"/>
  <c r="F737" i="9"/>
  <c r="F738" i="9"/>
  <c r="F739" i="9"/>
  <c r="F740" i="9"/>
  <c r="F741" i="9"/>
  <c r="F742" i="9"/>
  <c r="AD742" i="9" s="1"/>
  <c r="F743" i="9"/>
  <c r="F744" i="9"/>
  <c r="F745" i="9"/>
  <c r="F746" i="9"/>
  <c r="F747" i="9"/>
  <c r="F748" i="9"/>
  <c r="F749" i="9"/>
  <c r="F750" i="9"/>
  <c r="F751" i="9"/>
  <c r="F752" i="9"/>
  <c r="F753" i="9"/>
  <c r="F754" i="9"/>
  <c r="F755" i="9"/>
  <c r="F756" i="9"/>
  <c r="F757" i="9"/>
  <c r="F758" i="9"/>
  <c r="AD758" i="9" s="1"/>
  <c r="F759" i="9"/>
  <c r="F760" i="9"/>
  <c r="F761" i="9"/>
  <c r="F762" i="9"/>
  <c r="F763" i="9"/>
  <c r="F764" i="9"/>
  <c r="F765" i="9"/>
  <c r="F766" i="9"/>
  <c r="F767" i="9"/>
  <c r="F768" i="9"/>
  <c r="F769" i="9"/>
  <c r="F770" i="9"/>
  <c r="F771" i="9"/>
  <c r="F772" i="9"/>
  <c r="F773" i="9"/>
  <c r="F774" i="9"/>
  <c r="AD774" i="9" s="1"/>
  <c r="F775" i="9"/>
  <c r="F776" i="9"/>
  <c r="F777" i="9"/>
  <c r="F778" i="9"/>
  <c r="F779" i="9"/>
  <c r="F780" i="9"/>
  <c r="F781" i="9"/>
  <c r="F782" i="9"/>
  <c r="F783" i="9"/>
  <c r="F784" i="9"/>
  <c r="F785" i="9"/>
  <c r="F786" i="9"/>
  <c r="F787" i="9"/>
  <c r="F788" i="9"/>
  <c r="F789" i="9"/>
  <c r="F790" i="9"/>
  <c r="AD790" i="9" s="1"/>
  <c r="F791" i="9"/>
  <c r="F792" i="9"/>
  <c r="F793" i="9"/>
  <c r="F794" i="9"/>
  <c r="F795" i="9"/>
  <c r="F796" i="9"/>
  <c r="F797" i="9"/>
  <c r="F798" i="9"/>
  <c r="F799" i="9"/>
  <c r="F800" i="9"/>
  <c r="F801" i="9"/>
  <c r="F802" i="9"/>
  <c r="F803" i="9"/>
  <c r="F804" i="9"/>
  <c r="F805" i="9"/>
  <c r="F806" i="9"/>
  <c r="AD806" i="9" s="1"/>
  <c r="F807" i="9"/>
  <c r="F808" i="9"/>
  <c r="F809" i="9"/>
  <c r="F810" i="9"/>
  <c r="F811" i="9"/>
  <c r="F812" i="9"/>
  <c r="F813" i="9"/>
  <c r="F814" i="9"/>
  <c r="F815" i="9"/>
  <c r="F816" i="9"/>
  <c r="F817" i="9"/>
  <c r="F818" i="9"/>
  <c r="F819" i="9"/>
  <c r="F820" i="9"/>
  <c r="F821" i="9"/>
  <c r="F822" i="9"/>
  <c r="AD822" i="9" s="1"/>
  <c r="F823" i="9"/>
  <c r="F824" i="9"/>
  <c r="F825" i="9"/>
  <c r="F826" i="9"/>
  <c r="F827" i="9"/>
  <c r="F828" i="9"/>
  <c r="F829" i="9"/>
  <c r="F830" i="9"/>
  <c r="F831" i="9"/>
  <c r="F832" i="9"/>
  <c r="F833" i="9"/>
  <c r="F834" i="9"/>
  <c r="F835" i="9"/>
  <c r="F836" i="9"/>
  <c r="F837" i="9"/>
  <c r="F838" i="9"/>
  <c r="AD838" i="9" s="1"/>
  <c r="F839" i="9"/>
  <c r="F840" i="9"/>
  <c r="F841" i="9"/>
  <c r="F842" i="9"/>
  <c r="F843" i="9"/>
  <c r="F844" i="9"/>
  <c r="F845" i="9"/>
  <c r="F846" i="9"/>
  <c r="F847" i="9"/>
  <c r="F848" i="9"/>
  <c r="F849" i="9"/>
  <c r="F850" i="9"/>
  <c r="F851" i="9"/>
  <c r="F852" i="9"/>
  <c r="F853" i="9"/>
  <c r="F854" i="9"/>
  <c r="AD854" i="9" s="1"/>
  <c r="F855" i="9"/>
  <c r="F856" i="9"/>
  <c r="F857" i="9"/>
  <c r="F858" i="9"/>
  <c r="F859" i="9"/>
  <c r="F860" i="9"/>
  <c r="F861" i="9"/>
  <c r="F862" i="9"/>
  <c r="F863" i="9"/>
  <c r="F864" i="9"/>
  <c r="F865" i="9"/>
  <c r="F866" i="9"/>
  <c r="F867" i="9"/>
  <c r="F868" i="9"/>
  <c r="F869" i="9"/>
  <c r="F870" i="9"/>
  <c r="AD870" i="9" s="1"/>
  <c r="F871" i="9"/>
  <c r="F872" i="9"/>
  <c r="F873" i="9"/>
  <c r="F874" i="9"/>
  <c r="F875" i="9"/>
  <c r="F876" i="9"/>
  <c r="F877" i="9"/>
  <c r="F878" i="9"/>
  <c r="F879" i="9"/>
  <c r="F880" i="9"/>
  <c r="F881" i="9"/>
  <c r="F882" i="9"/>
  <c r="F883" i="9"/>
  <c r="F884" i="9"/>
  <c r="F885" i="9"/>
  <c r="F886" i="9"/>
  <c r="AD886" i="9" s="1"/>
  <c r="F887" i="9"/>
  <c r="F888" i="9"/>
  <c r="F889" i="9"/>
  <c r="F890" i="9"/>
  <c r="F891" i="9"/>
  <c r="F892" i="9"/>
  <c r="F893" i="9"/>
  <c r="F894" i="9"/>
  <c r="F895" i="9"/>
  <c r="F896" i="9"/>
  <c r="F897" i="9"/>
  <c r="F898" i="9"/>
  <c r="F899" i="9"/>
  <c r="F900" i="9"/>
  <c r="F901" i="9"/>
  <c r="F902" i="9"/>
  <c r="AD902" i="9" s="1"/>
  <c r="F903" i="9"/>
  <c r="F904" i="9"/>
  <c r="F905" i="9"/>
  <c r="F906" i="9"/>
  <c r="F907" i="9"/>
  <c r="F908" i="9"/>
  <c r="F909" i="9"/>
  <c r="F910" i="9"/>
  <c r="F911" i="9"/>
  <c r="F912" i="9"/>
  <c r="F913" i="9"/>
  <c r="F914" i="9"/>
  <c r="F915" i="9"/>
  <c r="F916" i="9"/>
  <c r="F917" i="9"/>
  <c r="F918" i="9"/>
  <c r="AD918" i="9" s="1"/>
  <c r="F919" i="9"/>
  <c r="F920" i="9"/>
  <c r="F921" i="9"/>
  <c r="F922" i="9"/>
  <c r="F923" i="9"/>
  <c r="F924" i="9"/>
  <c r="F925" i="9"/>
  <c r="F926" i="9"/>
  <c r="F927" i="9"/>
  <c r="F928" i="9"/>
  <c r="F929" i="9"/>
  <c r="F930" i="9"/>
  <c r="F931" i="9"/>
  <c r="F932" i="9"/>
  <c r="F933" i="9"/>
  <c r="F934" i="9"/>
  <c r="AD934" i="9" s="1"/>
  <c r="F935" i="9"/>
  <c r="F936" i="9"/>
  <c r="F937" i="9"/>
  <c r="F938" i="9"/>
  <c r="F939" i="9"/>
  <c r="F940" i="9"/>
  <c r="F941" i="9"/>
  <c r="F942" i="9"/>
  <c r="F943" i="9"/>
  <c r="F944" i="9"/>
  <c r="F945" i="9"/>
  <c r="F946" i="9"/>
  <c r="F947" i="9"/>
  <c r="F948" i="9"/>
  <c r="F949" i="9"/>
  <c r="F950" i="9"/>
  <c r="AD950" i="9" s="1"/>
  <c r="F951" i="9"/>
  <c r="F952" i="9"/>
  <c r="F953" i="9"/>
  <c r="F954" i="9"/>
  <c r="F955" i="9"/>
  <c r="F956" i="9"/>
  <c r="F957" i="9"/>
  <c r="F958" i="9"/>
  <c r="F959" i="9"/>
  <c r="F960" i="9"/>
  <c r="F961" i="9"/>
  <c r="F962" i="9"/>
  <c r="F963" i="9"/>
  <c r="F964" i="9"/>
  <c r="F965" i="9"/>
  <c r="F966" i="9"/>
  <c r="AD966" i="9" s="1"/>
  <c r="F967" i="9"/>
  <c r="F968" i="9"/>
  <c r="F969" i="9"/>
  <c r="F970" i="9"/>
  <c r="F971" i="9"/>
  <c r="F972" i="9"/>
  <c r="F973" i="9"/>
  <c r="F974" i="9"/>
  <c r="F975" i="9"/>
  <c r="F976" i="9"/>
  <c r="F977" i="9"/>
  <c r="F978" i="9"/>
  <c r="F979" i="9"/>
  <c r="F980" i="9"/>
  <c r="F981" i="9"/>
  <c r="F982" i="9"/>
  <c r="AD982" i="9" s="1"/>
  <c r="F983" i="9"/>
  <c r="F984" i="9"/>
  <c r="F985" i="9"/>
  <c r="F986" i="9"/>
  <c r="F987" i="9"/>
  <c r="F988" i="9"/>
  <c r="F989" i="9"/>
  <c r="F990" i="9"/>
  <c r="F991" i="9"/>
  <c r="F992" i="9"/>
  <c r="F993" i="9"/>
  <c r="F994" i="9"/>
  <c r="F995" i="9"/>
  <c r="F996" i="9"/>
  <c r="F997" i="9"/>
  <c r="F998" i="9"/>
  <c r="AD998" i="9" s="1"/>
  <c r="F999" i="9"/>
  <c r="F1000" i="9"/>
  <c r="F1001" i="9"/>
  <c r="F1002" i="9"/>
  <c r="F1003" i="9"/>
  <c r="F1004" i="9"/>
  <c r="F1005" i="9"/>
  <c r="F1006" i="9"/>
  <c r="F1007" i="9"/>
  <c r="F1008" i="9"/>
  <c r="F1009" i="9"/>
  <c r="F1010" i="9"/>
  <c r="F1011" i="9"/>
  <c r="F1012" i="9"/>
  <c r="F1013" i="9"/>
  <c r="F1014" i="9"/>
  <c r="AD1014" i="9" s="1"/>
  <c r="F1015" i="9"/>
  <c r="F1016" i="9"/>
  <c r="F1017" i="9"/>
  <c r="F1018" i="9"/>
  <c r="F1019" i="9"/>
  <c r="F1020" i="9"/>
  <c r="F1021" i="9"/>
  <c r="F1022" i="9"/>
  <c r="F1023" i="9"/>
  <c r="AD1023" i="9" s="1"/>
  <c r="F1024" i="9"/>
  <c r="F1025" i="9"/>
  <c r="F1026" i="9"/>
  <c r="F1027" i="9"/>
  <c r="AD1027" i="9" s="1"/>
  <c r="F1028" i="9"/>
  <c r="F1029" i="9"/>
  <c r="AD1029" i="9" s="1"/>
  <c r="F1030" i="9"/>
  <c r="F1031" i="9"/>
  <c r="F1032" i="9"/>
  <c r="F1033" i="9"/>
  <c r="AD1033" i="9" s="1"/>
  <c r="F1034" i="9"/>
  <c r="F1035" i="9"/>
  <c r="F1036" i="9"/>
  <c r="F1037" i="9"/>
  <c r="F1038" i="9"/>
  <c r="F1039" i="9"/>
  <c r="AD1039" i="9" s="1"/>
  <c r="F1040" i="9"/>
  <c r="F1041" i="9"/>
  <c r="F1042" i="9"/>
  <c r="F1043" i="9"/>
  <c r="AD1043" i="9" s="1"/>
  <c r="F1044" i="9"/>
  <c r="F1045" i="9"/>
  <c r="AD1045" i="9" s="1"/>
  <c r="F1046" i="9"/>
  <c r="F1047" i="9"/>
  <c r="F1048" i="9"/>
  <c r="F1049" i="9"/>
  <c r="AD1049" i="9" s="1"/>
  <c r="F1050" i="9"/>
  <c r="F1051" i="9"/>
  <c r="F1052" i="9"/>
  <c r="F1053" i="9"/>
  <c r="F1054" i="9"/>
  <c r="F1055" i="9"/>
  <c r="AD1055" i="9" s="1"/>
  <c r="F1056" i="9"/>
  <c r="F1057" i="9"/>
  <c r="F1058" i="9"/>
  <c r="F1059" i="9"/>
  <c r="AD1059" i="9" s="1"/>
  <c r="F1060" i="9"/>
  <c r="F1061" i="9"/>
  <c r="AD1061" i="9" s="1"/>
  <c r="F1062" i="9"/>
  <c r="V1062" i="9" s="1"/>
  <c r="F1063" i="9"/>
  <c r="F1064" i="9"/>
  <c r="F1065" i="9"/>
  <c r="AD1065" i="9" s="1"/>
  <c r="F1066" i="9"/>
  <c r="F1067" i="9"/>
  <c r="F1068" i="9"/>
  <c r="F1069" i="9"/>
  <c r="F1070" i="9"/>
  <c r="F1071" i="9"/>
  <c r="AD1071" i="9" s="1"/>
  <c r="F1072" i="9"/>
  <c r="F1073" i="9"/>
  <c r="F1074" i="9"/>
  <c r="F1075" i="9"/>
  <c r="AD1075" i="9" s="1"/>
  <c r="F1076" i="9"/>
  <c r="F1077" i="9"/>
  <c r="AD1077" i="9" s="1"/>
  <c r="F1078" i="9"/>
  <c r="F1079" i="9"/>
  <c r="F1080" i="9"/>
  <c r="F1081" i="9"/>
  <c r="AD1081" i="9" s="1"/>
  <c r="F1082" i="9"/>
  <c r="F1083" i="9"/>
  <c r="F1084" i="9"/>
  <c r="F1085" i="9"/>
  <c r="F1086" i="9"/>
  <c r="F1087" i="9"/>
  <c r="AD1087" i="9" s="1"/>
  <c r="F1088" i="9"/>
  <c r="F1089" i="9"/>
  <c r="F1090" i="9"/>
  <c r="F1091" i="9"/>
  <c r="AD1091" i="9" s="1"/>
  <c r="F1092" i="9"/>
  <c r="F1093" i="9"/>
  <c r="AD1093" i="9" s="1"/>
  <c r="F1094" i="9"/>
  <c r="F1095" i="9"/>
  <c r="F1096" i="9"/>
  <c r="F1097" i="9"/>
  <c r="AD1097" i="9" s="1"/>
  <c r="F1098" i="9"/>
  <c r="F1099" i="9"/>
  <c r="F1100" i="9"/>
  <c r="F1101" i="9"/>
  <c r="F1102" i="9"/>
  <c r="F1103" i="9"/>
  <c r="AD1103" i="9" s="1"/>
  <c r="F1104" i="9"/>
  <c r="F1105" i="9"/>
  <c r="F1106" i="9"/>
  <c r="F1107" i="9"/>
  <c r="AD1107" i="9" s="1"/>
  <c r="F1108" i="9"/>
  <c r="F1109" i="9"/>
  <c r="AD1109" i="9" s="1"/>
  <c r="F1110" i="9"/>
  <c r="V1110" i="9" s="1"/>
  <c r="F1111" i="9"/>
  <c r="F1112" i="9"/>
  <c r="F1113" i="9"/>
  <c r="AD1113" i="9" s="1"/>
  <c r="F1114" i="9"/>
  <c r="F1115" i="9"/>
  <c r="F1116" i="9"/>
  <c r="F1117" i="9"/>
  <c r="F1118" i="9"/>
  <c r="F1119" i="9"/>
  <c r="AD1119" i="9" s="1"/>
  <c r="F1120" i="9"/>
  <c r="F1121" i="9"/>
  <c r="F1122" i="9"/>
  <c r="F1123" i="9"/>
  <c r="AD1123" i="9" s="1"/>
  <c r="F1124" i="9"/>
  <c r="F1125" i="9"/>
  <c r="AD1125" i="9" s="1"/>
  <c r="F1126" i="9"/>
  <c r="V1126" i="9" s="1"/>
  <c r="F1127" i="9"/>
  <c r="F1128" i="9"/>
  <c r="F1129" i="9"/>
  <c r="AD1129" i="9" s="1"/>
  <c r="F1130" i="9"/>
  <c r="F1131" i="9"/>
  <c r="F1132" i="9"/>
  <c r="F1133" i="9"/>
  <c r="F1134" i="9"/>
  <c r="F1135" i="9"/>
  <c r="AD1135" i="9" s="1"/>
  <c r="F1136" i="9"/>
  <c r="F1137" i="9"/>
  <c r="F1138" i="9"/>
  <c r="F1139" i="9"/>
  <c r="AD1139" i="9" s="1"/>
  <c r="F1140" i="9"/>
  <c r="F1141" i="9"/>
  <c r="AD1141" i="9" s="1"/>
  <c r="F1142" i="9"/>
  <c r="F1143" i="9"/>
  <c r="F1144" i="9"/>
  <c r="F1145" i="9"/>
  <c r="AD1145" i="9" s="1"/>
  <c r="F1146" i="9"/>
  <c r="F1147" i="9"/>
  <c r="F1148" i="9"/>
  <c r="F1149" i="9"/>
  <c r="F1150" i="9"/>
  <c r="F1151" i="9"/>
  <c r="AD1151" i="9" s="1"/>
  <c r="F1152" i="9"/>
  <c r="F1153" i="9"/>
  <c r="F1154" i="9"/>
  <c r="F1155" i="9"/>
  <c r="AD1155" i="9" s="1"/>
  <c r="F1156" i="9"/>
  <c r="F1157" i="9"/>
  <c r="AD1157" i="9" s="1"/>
  <c r="F1158" i="9"/>
  <c r="V1158" i="9" s="1"/>
  <c r="F1159" i="9"/>
  <c r="F1160" i="9"/>
  <c r="F1161" i="9"/>
  <c r="AD1161" i="9" s="1"/>
  <c r="F1162" i="9"/>
  <c r="F1163" i="9"/>
  <c r="F1164" i="9"/>
  <c r="F1165" i="9"/>
  <c r="F1166" i="9"/>
  <c r="F1167" i="9"/>
  <c r="AD1167" i="9" s="1"/>
  <c r="F1168" i="9"/>
  <c r="F1169" i="9"/>
  <c r="F1170" i="9"/>
  <c r="F1171" i="9"/>
  <c r="AD1171" i="9" s="1"/>
  <c r="F1172" i="9"/>
  <c r="F1173" i="9"/>
  <c r="AD1173" i="9" s="1"/>
  <c r="F1174" i="9"/>
  <c r="V1174" i="9" s="1"/>
  <c r="F1175" i="9"/>
  <c r="F1176" i="9"/>
  <c r="F1177" i="9"/>
  <c r="AD1177" i="9" s="1"/>
  <c r="F1178" i="9"/>
  <c r="F1179" i="9"/>
  <c r="F1180" i="9"/>
  <c r="F1181" i="9"/>
  <c r="F1182" i="9"/>
  <c r="F1183" i="9"/>
  <c r="AD1183" i="9" s="1"/>
  <c r="F1184" i="9"/>
  <c r="F1185" i="9"/>
  <c r="F1186" i="9"/>
  <c r="F1187" i="9"/>
  <c r="AD1187" i="9" s="1"/>
  <c r="F1188" i="9"/>
  <c r="F1189" i="9"/>
  <c r="AD1189" i="9" s="1"/>
  <c r="F1190" i="9"/>
  <c r="V1190" i="9" s="1"/>
  <c r="F1191" i="9"/>
  <c r="F1192" i="9"/>
  <c r="F1193" i="9"/>
  <c r="AD1193" i="9" s="1"/>
  <c r="F1194" i="9"/>
  <c r="F1195" i="9"/>
  <c r="F1196" i="9"/>
  <c r="F1197" i="9"/>
  <c r="F1198" i="9"/>
  <c r="F1199" i="9"/>
  <c r="AD1199" i="9" s="1"/>
  <c r="F1200" i="9"/>
  <c r="F1201" i="9"/>
  <c r="F1202" i="9"/>
  <c r="F1203" i="9"/>
  <c r="AD1203" i="9" s="1"/>
  <c r="F1204" i="9"/>
  <c r="F1205" i="9"/>
  <c r="AD1205" i="9" s="1"/>
  <c r="F1206" i="9"/>
  <c r="F1207" i="9"/>
  <c r="F1208" i="9"/>
  <c r="F1209" i="9"/>
  <c r="AD1209" i="9" s="1"/>
  <c r="F1210" i="9"/>
  <c r="F1211" i="9"/>
  <c r="F1212" i="9"/>
  <c r="F1213" i="9"/>
  <c r="F1214" i="9"/>
  <c r="F1215" i="9"/>
  <c r="AD1215" i="9" s="1"/>
  <c r="F1216" i="9"/>
  <c r="F1217" i="9"/>
  <c r="F1218" i="9"/>
  <c r="F1219" i="9"/>
  <c r="AD1219" i="9" s="1"/>
  <c r="F1220" i="9"/>
  <c r="F1221" i="9"/>
  <c r="AD1221" i="9" s="1"/>
  <c r="F1222" i="9"/>
  <c r="F1223" i="9"/>
  <c r="F1224" i="9"/>
  <c r="F1225" i="9"/>
  <c r="AD1225" i="9" s="1"/>
  <c r="F1226" i="9"/>
  <c r="F1227" i="9"/>
  <c r="F1228" i="9"/>
  <c r="F1229" i="9"/>
  <c r="F1230" i="9"/>
  <c r="F1231" i="9"/>
  <c r="AD1231" i="9" s="1"/>
  <c r="F1232" i="9"/>
  <c r="F1233" i="9"/>
  <c r="F1234" i="9"/>
  <c r="F1235" i="9"/>
  <c r="AD1235" i="9" s="1"/>
  <c r="F1236" i="9"/>
  <c r="F1237" i="9"/>
  <c r="AD1237" i="9" s="1"/>
  <c r="F1238" i="9"/>
  <c r="V1238" i="9" s="1"/>
  <c r="F1239" i="9"/>
  <c r="F1240" i="9"/>
  <c r="F1241" i="9"/>
  <c r="AD1241" i="9" s="1"/>
  <c r="F1242" i="9"/>
  <c r="F1243" i="9"/>
  <c r="F1244" i="9"/>
  <c r="F1245" i="9"/>
  <c r="F1246" i="9"/>
  <c r="F1247" i="9"/>
  <c r="AD1247" i="9" s="1"/>
  <c r="F1248" i="9"/>
  <c r="F1249" i="9"/>
  <c r="F1250" i="9"/>
  <c r="F1251" i="9"/>
  <c r="AD1251" i="9" s="1"/>
  <c r="F1252" i="9"/>
  <c r="F1253" i="9"/>
  <c r="AD1253" i="9" s="1"/>
  <c r="F1254" i="9"/>
  <c r="V1254" i="9" s="1"/>
  <c r="F1255" i="9"/>
  <c r="F1256" i="9"/>
  <c r="F1257" i="9"/>
  <c r="AD1257" i="9" s="1"/>
  <c r="F1258" i="9"/>
  <c r="F1259" i="9"/>
  <c r="F1260" i="9"/>
  <c r="F1261" i="9"/>
  <c r="F1262" i="9"/>
  <c r="F1263" i="9"/>
  <c r="AD1263" i="9" s="1"/>
  <c r="F1264" i="9"/>
  <c r="F1265" i="9"/>
  <c r="F1266" i="9"/>
  <c r="F1267" i="9"/>
  <c r="AD1267" i="9" s="1"/>
  <c r="F1268" i="9"/>
  <c r="F1269" i="9"/>
  <c r="AD1269" i="9" s="1"/>
  <c r="F1270" i="9"/>
  <c r="F1271" i="9"/>
  <c r="F1272" i="9"/>
  <c r="F1273" i="9"/>
  <c r="AD1273" i="9" s="1"/>
  <c r="F1274" i="9"/>
  <c r="F1275" i="9"/>
  <c r="F1276" i="9"/>
  <c r="F1277" i="9"/>
  <c r="F1278" i="9"/>
  <c r="F1279" i="9"/>
  <c r="AD1279" i="9" s="1"/>
  <c r="F1280" i="9"/>
  <c r="F1281" i="9"/>
  <c r="F1282" i="9"/>
  <c r="F1283" i="9"/>
  <c r="AD1283" i="9" s="1"/>
  <c r="F1284" i="9"/>
  <c r="F1285" i="9"/>
  <c r="AD1285" i="9" s="1"/>
  <c r="F1286" i="9"/>
  <c r="F1287" i="9"/>
  <c r="F1288" i="9"/>
  <c r="F1289" i="9"/>
  <c r="AD1289" i="9" s="1"/>
  <c r="F1290" i="9"/>
  <c r="F1291" i="9"/>
  <c r="F1292" i="9"/>
  <c r="F1293" i="9"/>
  <c r="F1294" i="9"/>
  <c r="F1295" i="9"/>
  <c r="AD1295" i="9" s="1"/>
  <c r="F1296" i="9"/>
  <c r="F1297" i="9"/>
  <c r="F1298" i="9"/>
  <c r="F1299" i="9"/>
  <c r="AD1299" i="9" s="1"/>
  <c r="F1300" i="9"/>
  <c r="F1301" i="9"/>
  <c r="AD1301" i="9" s="1"/>
  <c r="F1302" i="9"/>
  <c r="F1303" i="9"/>
  <c r="F1304" i="9"/>
  <c r="F1305" i="9"/>
  <c r="AD1305" i="9" s="1"/>
  <c r="F1306" i="9"/>
  <c r="F1307" i="9"/>
  <c r="F1308" i="9"/>
  <c r="F1309" i="9"/>
  <c r="F1310" i="9"/>
  <c r="F1311" i="9"/>
  <c r="AD1311" i="9" s="1"/>
  <c r="F1312" i="9"/>
  <c r="F1313" i="9"/>
  <c r="F1314" i="9"/>
  <c r="F1315" i="9"/>
  <c r="AD1315" i="9" s="1"/>
  <c r="F1316" i="9"/>
  <c r="F1317" i="9"/>
  <c r="AD1317" i="9" s="1"/>
  <c r="F1318" i="9"/>
  <c r="V1318" i="9" s="1"/>
  <c r="F1319" i="9"/>
  <c r="F1320" i="9"/>
  <c r="F1321" i="9"/>
  <c r="AD1321" i="9" s="1"/>
  <c r="F1322" i="9"/>
  <c r="F1323" i="9"/>
  <c r="F1324" i="9"/>
  <c r="F1325" i="9"/>
  <c r="F1326" i="9"/>
  <c r="F1327" i="9"/>
  <c r="AD1327" i="9" s="1"/>
  <c r="F1328" i="9"/>
  <c r="F1329" i="9"/>
  <c r="F1330" i="9"/>
  <c r="F1331" i="9"/>
  <c r="AD1331" i="9" s="1"/>
  <c r="F1332" i="9"/>
  <c r="F1333" i="9"/>
  <c r="AD1333" i="9" s="1"/>
  <c r="F1334" i="9"/>
  <c r="F1335" i="9"/>
  <c r="F1336" i="9"/>
  <c r="F1337" i="9"/>
  <c r="AD1337" i="9" s="1"/>
  <c r="F1338" i="9"/>
  <c r="F1339" i="9"/>
  <c r="F1340" i="9"/>
  <c r="F1341" i="9"/>
  <c r="F1342" i="9"/>
  <c r="F1343" i="9"/>
  <c r="AD1343" i="9" s="1"/>
  <c r="F1344" i="9"/>
  <c r="F1345" i="9"/>
  <c r="F1346" i="9"/>
  <c r="F1347" i="9"/>
  <c r="AD1347" i="9" s="1"/>
  <c r="F1348" i="9"/>
  <c r="F1349" i="9"/>
  <c r="AD1349" i="9" s="1"/>
  <c r="F1350" i="9"/>
  <c r="V1350" i="9" s="1"/>
  <c r="F1351" i="9"/>
  <c r="F1352" i="9"/>
  <c r="F1353" i="9"/>
  <c r="AD1353" i="9" s="1"/>
  <c r="F1354" i="9"/>
  <c r="F1355" i="9"/>
  <c r="F1356" i="9"/>
  <c r="F1357" i="9"/>
  <c r="F1358" i="9"/>
  <c r="F1359" i="9"/>
  <c r="AD1359" i="9" s="1"/>
  <c r="F1360" i="9"/>
  <c r="F1361" i="9"/>
  <c r="F1362" i="9"/>
  <c r="F1363" i="9"/>
  <c r="AD1363" i="9" s="1"/>
  <c r="F1364" i="9"/>
  <c r="F1365" i="9"/>
  <c r="AD1365" i="9" s="1"/>
  <c r="F1366" i="9"/>
  <c r="V1366" i="9" s="1"/>
  <c r="F1367" i="9"/>
  <c r="F1368" i="9"/>
  <c r="F1369" i="9"/>
  <c r="AD1369" i="9" s="1"/>
  <c r="F1370" i="9"/>
  <c r="F1371" i="9"/>
  <c r="F1372" i="9"/>
  <c r="F1373" i="9"/>
  <c r="F1374" i="9"/>
  <c r="F1375" i="9"/>
  <c r="AD1375" i="9" s="1"/>
  <c r="F1376" i="9"/>
  <c r="F1377" i="9"/>
  <c r="F1378" i="9"/>
  <c r="F1379" i="9"/>
  <c r="AD1379" i="9" s="1"/>
  <c r="F1380" i="9"/>
  <c r="F1381" i="9"/>
  <c r="AD1381" i="9" s="1"/>
  <c r="F1382" i="9"/>
  <c r="V1382" i="9" s="1"/>
  <c r="F1383" i="9"/>
  <c r="F1384" i="9"/>
  <c r="F1385" i="9"/>
  <c r="AD1385" i="9" s="1"/>
  <c r="F1386" i="9"/>
  <c r="F1387" i="9"/>
  <c r="F1388" i="9"/>
  <c r="F1389" i="9"/>
  <c r="F1390" i="9"/>
  <c r="F1391" i="9"/>
  <c r="AD1391" i="9" s="1"/>
  <c r="F1392" i="9"/>
  <c r="F1393" i="9"/>
  <c r="F1394" i="9"/>
  <c r="F1395" i="9"/>
  <c r="AD1395" i="9" s="1"/>
  <c r="F1396" i="9"/>
  <c r="F1397" i="9"/>
  <c r="AD1397" i="9" s="1"/>
  <c r="F1398" i="9"/>
  <c r="F1399" i="9"/>
  <c r="F1400" i="9"/>
  <c r="F1401" i="9"/>
  <c r="AD1401" i="9" s="1"/>
  <c r="F1402" i="9"/>
  <c r="F1403" i="9"/>
  <c r="F1404" i="9"/>
  <c r="F1405" i="9"/>
  <c r="F1406" i="9"/>
  <c r="F1407" i="9"/>
  <c r="AD1407" i="9" s="1"/>
  <c r="F1408" i="9"/>
  <c r="F1409" i="9"/>
  <c r="F1410" i="9"/>
  <c r="F1411" i="9"/>
  <c r="AD1411" i="9" s="1"/>
  <c r="F1412" i="9"/>
  <c r="F1413" i="9"/>
  <c r="AD1413" i="9" s="1"/>
  <c r="F1414" i="9"/>
  <c r="F1415" i="9"/>
  <c r="F1416" i="9"/>
  <c r="F1417" i="9"/>
  <c r="AD1417" i="9" s="1"/>
  <c r="F1418" i="9"/>
  <c r="F1419" i="9"/>
  <c r="F1420" i="9"/>
  <c r="F1421" i="9"/>
  <c r="F1422" i="9"/>
  <c r="F1423" i="9"/>
  <c r="AD1423" i="9" s="1"/>
  <c r="F1424" i="9"/>
  <c r="F1425" i="9"/>
  <c r="F1426" i="9"/>
  <c r="F1427" i="9"/>
  <c r="AD1427" i="9" s="1"/>
  <c r="F1428" i="9"/>
  <c r="F1429" i="9"/>
  <c r="AD1429" i="9" s="1"/>
  <c r="F1430" i="9"/>
  <c r="V1430" i="9" s="1"/>
  <c r="F1431" i="9"/>
  <c r="F1432" i="9"/>
  <c r="F1433" i="9"/>
  <c r="AD1433" i="9" s="1"/>
  <c r="F1434" i="9"/>
  <c r="F1435" i="9"/>
  <c r="F1436" i="9"/>
  <c r="F1437" i="9"/>
  <c r="F1438" i="9"/>
  <c r="F1439" i="9"/>
  <c r="AD1439" i="9" s="1"/>
  <c r="F1440" i="9"/>
  <c r="F1441" i="9"/>
  <c r="F1442" i="9"/>
  <c r="F1443" i="9"/>
  <c r="AD1443" i="9" s="1"/>
  <c r="F1444" i="9"/>
  <c r="F1445" i="9"/>
  <c r="AD1445" i="9" s="1"/>
  <c r="F1446" i="9"/>
  <c r="V1446" i="9" s="1"/>
  <c r="F1447" i="9"/>
  <c r="F1448" i="9"/>
  <c r="F1449" i="9"/>
  <c r="AD1449" i="9" s="1"/>
  <c r="F1450" i="9"/>
  <c r="F1451" i="9"/>
  <c r="F1452" i="9"/>
  <c r="F1453" i="9"/>
  <c r="F1454" i="9"/>
  <c r="F1455" i="9"/>
  <c r="AD1455" i="9" s="1"/>
  <c r="F1456" i="9"/>
  <c r="F1457" i="9"/>
  <c r="F1458" i="9"/>
  <c r="F1459" i="9"/>
  <c r="AD1459" i="9" s="1"/>
  <c r="F1460" i="9"/>
  <c r="F1461" i="9"/>
  <c r="AD1461" i="9" s="1"/>
  <c r="F1462" i="9"/>
  <c r="F1463" i="9"/>
  <c r="AD1463" i="9" s="1"/>
  <c r="F1464" i="9"/>
  <c r="F1465" i="9"/>
  <c r="AD1465" i="9" s="1"/>
  <c r="F1466" i="9"/>
  <c r="F1467" i="9"/>
  <c r="F1468" i="9"/>
  <c r="F1469" i="9"/>
  <c r="AD1469" i="9" s="1"/>
  <c r="F1470" i="9"/>
  <c r="F1471" i="9"/>
  <c r="AD1471" i="9" s="1"/>
  <c r="F1472" i="9"/>
  <c r="F1473" i="9"/>
  <c r="F1474" i="9"/>
  <c r="F1475" i="9"/>
  <c r="AD1475" i="9" s="1"/>
  <c r="F1476" i="9"/>
  <c r="F1477" i="9"/>
  <c r="AD1477" i="9" s="1"/>
  <c r="F1478" i="9"/>
  <c r="F1479" i="9"/>
  <c r="AD1479" i="9" s="1"/>
  <c r="F1480" i="9"/>
  <c r="F1481" i="9"/>
  <c r="AD1481" i="9" s="1"/>
  <c r="F1482" i="9"/>
  <c r="F1483" i="9"/>
  <c r="F1484" i="9"/>
  <c r="F1485" i="9"/>
  <c r="AD1485" i="9" s="1"/>
  <c r="F1486" i="9"/>
  <c r="F1487" i="9"/>
  <c r="AD1487" i="9" s="1"/>
  <c r="F1488" i="9"/>
  <c r="F1489" i="9"/>
  <c r="F1490" i="9"/>
  <c r="F1491" i="9"/>
  <c r="AD1491" i="9" s="1"/>
  <c r="F1492" i="9"/>
  <c r="F1493" i="9"/>
  <c r="AD1493" i="9" s="1"/>
  <c r="F1494" i="9"/>
  <c r="V1494" i="9" s="1"/>
  <c r="F1495" i="9"/>
  <c r="AD1495" i="9" s="1"/>
  <c r="F1496" i="9"/>
  <c r="F1497" i="9"/>
  <c r="AD1497" i="9" s="1"/>
  <c r="F1498" i="9"/>
  <c r="F1499" i="9"/>
  <c r="F1500" i="9"/>
  <c r="F1501" i="9"/>
  <c r="AD1501" i="9" s="1"/>
  <c r="F1502" i="9"/>
  <c r="F1503" i="9"/>
  <c r="AD1503" i="9" s="1"/>
  <c r="F1504" i="9"/>
  <c r="F1505" i="9"/>
  <c r="F1506" i="9"/>
  <c r="F1507" i="9"/>
  <c r="AD1507" i="9" s="1"/>
  <c r="F1508" i="9"/>
  <c r="F1509" i="9"/>
  <c r="AD1509" i="9" s="1"/>
  <c r="F1510" i="9"/>
  <c r="V1510" i="9" s="1"/>
  <c r="F1511" i="9"/>
  <c r="AD1511" i="9" s="1"/>
  <c r="F1512" i="9"/>
  <c r="F1513" i="9"/>
  <c r="AD1513" i="9" s="1"/>
  <c r="F1514" i="9"/>
  <c r="F1515" i="9"/>
  <c r="F1516" i="9"/>
  <c r="F1517" i="9"/>
  <c r="AD1517" i="9" s="1"/>
  <c r="F1518" i="9"/>
  <c r="F1519" i="9"/>
  <c r="AD1519" i="9" s="1"/>
  <c r="F1520" i="9"/>
  <c r="F1521" i="9"/>
  <c r="F1522" i="9"/>
  <c r="F1523" i="9"/>
  <c r="AD1523" i="9" s="1"/>
  <c r="F1524" i="9"/>
  <c r="F1525" i="9"/>
  <c r="AD1525" i="9" s="1"/>
  <c r="F1526" i="9"/>
  <c r="F1527" i="9"/>
  <c r="AD1527" i="9" s="1"/>
  <c r="F1528" i="9"/>
  <c r="F1529" i="9"/>
  <c r="AD1529" i="9" s="1"/>
  <c r="F1530" i="9"/>
  <c r="F1531" i="9"/>
  <c r="F1532" i="9"/>
  <c r="F1533" i="9"/>
  <c r="AD1533" i="9" s="1"/>
  <c r="F1534" i="9"/>
  <c r="F1535" i="9"/>
  <c r="AD1535" i="9" s="1"/>
  <c r="F1536" i="9"/>
  <c r="F1537" i="9"/>
  <c r="F1538" i="9"/>
  <c r="F1539" i="9"/>
  <c r="AD1539" i="9" s="1"/>
  <c r="F1540" i="9"/>
  <c r="F1541" i="9"/>
  <c r="AD1541" i="9" s="1"/>
  <c r="F1542" i="9"/>
  <c r="F1543" i="9"/>
  <c r="AD1543" i="9" s="1"/>
  <c r="F1544" i="9"/>
  <c r="F1545" i="9"/>
  <c r="AD1545" i="9" s="1"/>
  <c r="F1546" i="9"/>
  <c r="F1547" i="9"/>
  <c r="F1548" i="9"/>
  <c r="F1549" i="9"/>
  <c r="AD1549" i="9" s="1"/>
  <c r="F1550" i="9"/>
  <c r="F1551" i="9"/>
  <c r="AD1551" i="9" s="1"/>
  <c r="F1552" i="9"/>
  <c r="F1553" i="9"/>
  <c r="F1554" i="9"/>
  <c r="F1555" i="9"/>
  <c r="AD1555" i="9" s="1"/>
  <c r="F1556" i="9"/>
  <c r="F1557" i="9"/>
  <c r="AD1557" i="9" s="1"/>
  <c r="F1558" i="9"/>
  <c r="V1558" i="9" s="1"/>
  <c r="F1559" i="9"/>
  <c r="AD1559" i="9" s="1"/>
  <c r="F1560" i="9"/>
  <c r="F1561" i="9"/>
  <c r="AD1561" i="9" s="1"/>
  <c r="F1562" i="9"/>
  <c r="F1563" i="9"/>
  <c r="F1564" i="9"/>
  <c r="F1565" i="9"/>
  <c r="AD1565" i="9" s="1"/>
  <c r="F1566" i="9"/>
  <c r="F1567" i="9"/>
  <c r="AD1567" i="9" s="1"/>
  <c r="F1568" i="9"/>
  <c r="F1569" i="9"/>
  <c r="F1570" i="9"/>
  <c r="F1571" i="9"/>
  <c r="AD1571" i="9" s="1"/>
  <c r="F1572" i="9"/>
  <c r="F1573" i="9"/>
  <c r="AD1573" i="9" s="1"/>
  <c r="F1574" i="9"/>
  <c r="V1574" i="9" s="1"/>
  <c r="F1575" i="9"/>
  <c r="AD1575" i="9" s="1"/>
  <c r="F1576" i="9"/>
  <c r="F1577" i="9"/>
  <c r="AD1577" i="9" s="1"/>
  <c r="F1578" i="9"/>
  <c r="F1579" i="9"/>
  <c r="F1580" i="9"/>
  <c r="F1581" i="9"/>
  <c r="AD1581" i="9" s="1"/>
  <c r="F1582" i="9"/>
  <c r="F1583" i="9"/>
  <c r="AD1583" i="9" s="1"/>
  <c r="F1584" i="9"/>
  <c r="F1585" i="9"/>
  <c r="F1586" i="9"/>
  <c r="F1587" i="9"/>
  <c r="AD1587" i="9" s="1"/>
  <c r="F1588" i="9"/>
  <c r="F1589" i="9"/>
  <c r="AD1589" i="9" s="1"/>
  <c r="F1590" i="9"/>
  <c r="F1591" i="9"/>
  <c r="AD1591" i="9" s="1"/>
  <c r="F1592" i="9"/>
  <c r="F1593" i="9"/>
  <c r="AD1593" i="9" s="1"/>
  <c r="F1594" i="9"/>
  <c r="F1595" i="9"/>
  <c r="F1596" i="9"/>
  <c r="F1597" i="9"/>
  <c r="AD1597" i="9" s="1"/>
  <c r="F1598" i="9"/>
  <c r="F1599" i="9"/>
  <c r="AD1599" i="9" s="1"/>
  <c r="F1600" i="9"/>
  <c r="F1601" i="9"/>
  <c r="F1602" i="9"/>
  <c r="F1603" i="9"/>
  <c r="AD1603" i="9" s="1"/>
  <c r="F1604" i="9"/>
  <c r="F1605" i="9"/>
  <c r="AD1605" i="9" s="1"/>
  <c r="F1606" i="9"/>
  <c r="V1606" i="9" s="1"/>
  <c r="F1607" i="9"/>
  <c r="AD1607" i="9" s="1"/>
  <c r="F1608" i="9"/>
  <c r="F1609" i="9"/>
  <c r="AD1609" i="9" s="1"/>
  <c r="F1610" i="9"/>
  <c r="F1611" i="9"/>
  <c r="F1612" i="9"/>
  <c r="F1613" i="9"/>
  <c r="AD1613" i="9" s="1"/>
  <c r="F1614" i="9"/>
  <c r="F1615" i="9"/>
  <c r="AD1615" i="9" s="1"/>
  <c r="F1616" i="9"/>
  <c r="F1617" i="9"/>
  <c r="F1618" i="9"/>
  <c r="F1619" i="9"/>
  <c r="AD1619" i="9" s="1"/>
  <c r="F1620" i="9"/>
  <c r="F1621" i="9"/>
  <c r="AD1621" i="9" s="1"/>
  <c r="F1622" i="9"/>
  <c r="F1623" i="9"/>
  <c r="AD1623" i="9" s="1"/>
  <c r="F1624" i="9"/>
  <c r="F1625" i="9"/>
  <c r="AD1625" i="9" s="1"/>
  <c r="F1626" i="9"/>
  <c r="F1627" i="9"/>
  <c r="F1628" i="9"/>
  <c r="F1629" i="9"/>
  <c r="AD1629" i="9" s="1"/>
  <c r="F1630" i="9"/>
  <c r="F1631" i="9"/>
  <c r="AD1631" i="9" s="1"/>
  <c r="F1632" i="9"/>
  <c r="F1633" i="9"/>
  <c r="F1634" i="9"/>
  <c r="F1635" i="9"/>
  <c r="AD1635" i="9" s="1"/>
  <c r="F1636" i="9"/>
  <c r="F1637" i="9"/>
  <c r="AD1637" i="9" s="1"/>
  <c r="F1638" i="9"/>
  <c r="V1638" i="9" s="1"/>
  <c r="F1639" i="9"/>
  <c r="AD1639" i="9" s="1"/>
  <c r="F1640" i="9"/>
  <c r="F1641" i="9"/>
  <c r="AD1641" i="9" s="1"/>
  <c r="F1642" i="9"/>
  <c r="F1643" i="9"/>
  <c r="F1644" i="9"/>
  <c r="F1645" i="9"/>
  <c r="AD1645" i="9" s="1"/>
  <c r="F1646" i="9"/>
  <c r="F1647" i="9"/>
  <c r="AD1647" i="9" s="1"/>
  <c r="F1648" i="9"/>
  <c r="F1649" i="9"/>
  <c r="F1650" i="9"/>
  <c r="F1651" i="9"/>
  <c r="AD1651" i="9" s="1"/>
  <c r="F1652" i="9"/>
  <c r="F1653" i="9"/>
  <c r="AD1653" i="9" s="1"/>
  <c r="F1654" i="9"/>
  <c r="F1655" i="9"/>
  <c r="AD1655" i="9" s="1"/>
  <c r="F1656" i="9"/>
  <c r="F1657" i="9"/>
  <c r="AD1657" i="9" s="1"/>
  <c r="F1658" i="9"/>
  <c r="F1659" i="9"/>
  <c r="F1660" i="9"/>
  <c r="F1661" i="9"/>
  <c r="AD1661" i="9" s="1"/>
  <c r="F1662" i="9"/>
  <c r="F1663" i="9"/>
  <c r="AD1663" i="9" s="1"/>
  <c r="F1664" i="9"/>
  <c r="F1665" i="9"/>
  <c r="F1666" i="9"/>
  <c r="F1667" i="9"/>
  <c r="AD1667" i="9" s="1"/>
  <c r="F1668" i="9"/>
  <c r="F1669" i="9"/>
  <c r="AD1669" i="9" s="1"/>
  <c r="F1670" i="9"/>
  <c r="F1671" i="9"/>
  <c r="AD1671" i="9" s="1"/>
  <c r="F1672" i="9"/>
  <c r="F1673" i="9"/>
  <c r="AD1673" i="9" s="1"/>
  <c r="F1674" i="9"/>
  <c r="F1675" i="9"/>
  <c r="F1676" i="9"/>
  <c r="F1677" i="9"/>
  <c r="AD1677" i="9" s="1"/>
  <c r="F1678" i="9"/>
  <c r="F1679" i="9"/>
  <c r="AD1679" i="9" s="1"/>
  <c r="F1680" i="9"/>
  <c r="F1681" i="9"/>
  <c r="F1682" i="9"/>
  <c r="F1683" i="9"/>
  <c r="AD1683" i="9" s="1"/>
  <c r="F1684" i="9"/>
  <c r="F1685" i="9"/>
  <c r="AD1685" i="9" s="1"/>
  <c r="F1686" i="9"/>
  <c r="V1686" i="9" s="1"/>
  <c r="F1687" i="9"/>
  <c r="AD1687" i="9" s="1"/>
  <c r="F1688" i="9"/>
  <c r="F1689" i="9"/>
  <c r="AD1689" i="9" s="1"/>
  <c r="F1690" i="9"/>
  <c r="F1691" i="9"/>
  <c r="F1692" i="9"/>
  <c r="F1693" i="9"/>
  <c r="AD1693" i="9" s="1"/>
  <c r="F1694" i="9"/>
  <c r="F1695" i="9"/>
  <c r="AD1695" i="9" s="1"/>
  <c r="F1696" i="9"/>
  <c r="F1697" i="9"/>
  <c r="F1698" i="9"/>
  <c r="F1699" i="9"/>
  <c r="AD1699" i="9" s="1"/>
  <c r="F1700" i="9"/>
  <c r="F1701" i="9"/>
  <c r="AD1701" i="9" s="1"/>
  <c r="F1702" i="9"/>
  <c r="V1702" i="9" s="1"/>
  <c r="F1703" i="9"/>
  <c r="AD1703" i="9" s="1"/>
  <c r="F1704" i="9"/>
  <c r="F1705" i="9"/>
  <c r="AD1705" i="9" s="1"/>
  <c r="F1706" i="9"/>
  <c r="F1707" i="9"/>
  <c r="F1708" i="9"/>
  <c r="F1709" i="9"/>
  <c r="AD1709" i="9" s="1"/>
  <c r="F1710" i="9"/>
  <c r="F1711" i="9"/>
  <c r="AD1711" i="9" s="1"/>
  <c r="F1712" i="9"/>
  <c r="F1713" i="9"/>
  <c r="F1714" i="9"/>
  <c r="F1715" i="9"/>
  <c r="AD1715" i="9" s="1"/>
  <c r="F1716" i="9"/>
  <c r="F1717" i="9"/>
  <c r="AD1717" i="9" s="1"/>
  <c r="F1718" i="9"/>
  <c r="F1719" i="9"/>
  <c r="AD1719" i="9" s="1"/>
  <c r="F1720" i="9"/>
  <c r="F1721" i="9"/>
  <c r="AD1721" i="9" s="1"/>
  <c r="F1722" i="9"/>
  <c r="F1723" i="9"/>
  <c r="F1724" i="9"/>
  <c r="F1725" i="9"/>
  <c r="AD1725" i="9" s="1"/>
  <c r="F1726" i="9"/>
  <c r="F1727" i="9"/>
  <c r="AD1727" i="9" s="1"/>
  <c r="F1728" i="9"/>
  <c r="F1729" i="9"/>
  <c r="F1730" i="9"/>
  <c r="F13" i="9"/>
  <c r="H30" i="26" l="1"/>
  <c r="K15" i="26"/>
  <c r="H15" i="26"/>
  <c r="I15" i="26"/>
  <c r="K30" i="26"/>
  <c r="L30" i="26"/>
  <c r="B31" i="26"/>
  <c r="B16" i="26"/>
  <c r="I16" i="26" s="1"/>
  <c r="I30" i="26"/>
  <c r="L15" i="26"/>
  <c r="C49" i="26"/>
  <c r="B49" i="26" s="1"/>
  <c r="F15" i="26"/>
  <c r="K31" i="26"/>
  <c r="G16" i="26"/>
  <c r="AF13" i="9"/>
  <c r="L31" i="26"/>
  <c r="H31" i="26"/>
  <c r="F31" i="26"/>
  <c r="V982" i="9"/>
  <c r="V854" i="9"/>
  <c r="V662" i="9"/>
  <c r="V534" i="9"/>
  <c r="V406" i="9"/>
  <c r="V278" i="9"/>
  <c r="V150" i="9"/>
  <c r="V22" i="9"/>
  <c r="AD1729" i="9"/>
  <c r="AD1585" i="9"/>
  <c r="AD1421" i="9"/>
  <c r="AD1357" i="9"/>
  <c r="AD1293" i="9"/>
  <c r="AD1245" i="9"/>
  <c r="AD1233" i="9"/>
  <c r="AD1229" i="9"/>
  <c r="AD1181" i="9"/>
  <c r="AD1133" i="9"/>
  <c r="AD1057" i="9"/>
  <c r="G4" i="9"/>
  <c r="AD13" i="9"/>
  <c r="G3" i="9"/>
  <c r="C6" i="14" s="1"/>
  <c r="AD1723" i="9"/>
  <c r="AD1707" i="9"/>
  <c r="AD1691" i="9"/>
  <c r="AD1675" i="9"/>
  <c r="AD1659" i="9"/>
  <c r="AD1643" i="9"/>
  <c r="AD1627" i="9"/>
  <c r="AD1611" i="9"/>
  <c r="AD1595" i="9"/>
  <c r="AD1579" i="9"/>
  <c r="AD1563" i="9"/>
  <c r="AD1547" i="9"/>
  <c r="AD1531" i="9"/>
  <c r="AD1515" i="9"/>
  <c r="AD1499" i="9"/>
  <c r="AD1483" i="9"/>
  <c r="AD1467" i="9"/>
  <c r="AD1451" i="9"/>
  <c r="AD1447" i="9"/>
  <c r="AD1435" i="9"/>
  <c r="AD1431" i="9"/>
  <c r="AD1419" i="9"/>
  <c r="AD1415" i="9"/>
  <c r="AD1403" i="9"/>
  <c r="AD1399" i="9"/>
  <c r="AD1387" i="9"/>
  <c r="AD1383" i="9"/>
  <c r="AD1371" i="9"/>
  <c r="AD1367" i="9"/>
  <c r="AD1355" i="9"/>
  <c r="AD1351" i="9"/>
  <c r="AD1339" i="9"/>
  <c r="AD1335" i="9"/>
  <c r="AD1323" i="9"/>
  <c r="AD1319" i="9"/>
  <c r="AD1307" i="9"/>
  <c r="AD1303" i="9"/>
  <c r="AD1291" i="9"/>
  <c r="AD1287" i="9"/>
  <c r="AD1275" i="9"/>
  <c r="AD1271" i="9"/>
  <c r="AD1259" i="9"/>
  <c r="AD1255" i="9"/>
  <c r="AD1243" i="9"/>
  <c r="AD1239" i="9"/>
  <c r="AD1227" i="9"/>
  <c r="AD1223" i="9"/>
  <c r="AD1211" i="9"/>
  <c r="AD1207" i="9"/>
  <c r="AD1195" i="9"/>
  <c r="AD1191" i="9"/>
  <c r="AD1179" i="9"/>
  <c r="AD1175" i="9"/>
  <c r="AD1163" i="9"/>
  <c r="AD1159" i="9"/>
  <c r="AD1147" i="9"/>
  <c r="AD1143" i="9"/>
  <c r="AD1131" i="9"/>
  <c r="AD1127" i="9"/>
  <c r="AD1115" i="9"/>
  <c r="AD1111" i="9"/>
  <c r="AD1099" i="9"/>
  <c r="AD1095" i="9"/>
  <c r="AD1083" i="9"/>
  <c r="AD1079" i="9"/>
  <c r="AD1067" i="9"/>
  <c r="AD1063" i="9"/>
  <c r="AD1051" i="9"/>
  <c r="AD1047" i="9"/>
  <c r="AD1035" i="9"/>
  <c r="AD1031" i="9"/>
  <c r="AD1019" i="9"/>
  <c r="AD1015" i="9"/>
  <c r="AD1011" i="9"/>
  <c r="AD1007" i="9"/>
  <c r="AD1003" i="9"/>
  <c r="AD999" i="9"/>
  <c r="AD995" i="9"/>
  <c r="AD991" i="9"/>
  <c r="AD987" i="9"/>
  <c r="AD983" i="9"/>
  <c r="AD979" i="9"/>
  <c r="AD975" i="9"/>
  <c r="AD971" i="9"/>
  <c r="AD967" i="9"/>
  <c r="AD963" i="9"/>
  <c r="AD959" i="9"/>
  <c r="AD955" i="9"/>
  <c r="AD951" i="9"/>
  <c r="AD947" i="9"/>
  <c r="AD943" i="9"/>
  <c r="AD939" i="9"/>
  <c r="AD935" i="9"/>
  <c r="AD931" i="9"/>
  <c r="AD927" i="9"/>
  <c r="AD923" i="9"/>
  <c r="AD919" i="9"/>
  <c r="AD915" i="9"/>
  <c r="AD911" i="9"/>
  <c r="AD907" i="9"/>
  <c r="AD903" i="9"/>
  <c r="AD899" i="9"/>
  <c r="AD895" i="9"/>
  <c r="AD891" i="9"/>
  <c r="AD887" i="9"/>
  <c r="AD883" i="9"/>
  <c r="AD879" i="9"/>
  <c r="AD875" i="9"/>
  <c r="AD871" i="9"/>
  <c r="AD867" i="9"/>
  <c r="AD863" i="9"/>
  <c r="AD859" i="9"/>
  <c r="AD855" i="9"/>
  <c r="AD851" i="9"/>
  <c r="AD847" i="9"/>
  <c r="AD843" i="9"/>
  <c r="AD839" i="9"/>
  <c r="AD835" i="9"/>
  <c r="AD831" i="9"/>
  <c r="AD827" i="9"/>
  <c r="AD823" i="9"/>
  <c r="AD819" i="9"/>
  <c r="AD815" i="9"/>
  <c r="AD811" i="9"/>
  <c r="AD807" i="9"/>
  <c r="AD803" i="9"/>
  <c r="AD799" i="9"/>
  <c r="AD795" i="9"/>
  <c r="AD791" i="9"/>
  <c r="AD787" i="9"/>
  <c r="AD783" i="9"/>
  <c r="AD779" i="9"/>
  <c r="AD775" i="9"/>
  <c r="AD771" i="9"/>
  <c r="AD767" i="9"/>
  <c r="AD763" i="9"/>
  <c r="AD759" i="9"/>
  <c r="AD755" i="9"/>
  <c r="AD751" i="9"/>
  <c r="AD747" i="9"/>
  <c r="AD743" i="9"/>
  <c r="AD739" i="9"/>
  <c r="AD735" i="9"/>
  <c r="AD731" i="9"/>
  <c r="AD727" i="9"/>
  <c r="AD723" i="9"/>
  <c r="AD719" i="9"/>
  <c r="AD715" i="9"/>
  <c r="AD711" i="9"/>
  <c r="AD707" i="9"/>
  <c r="AD703" i="9"/>
  <c r="AD699" i="9"/>
  <c r="AD695" i="9"/>
  <c r="AD691" i="9"/>
  <c r="AD687" i="9"/>
  <c r="AD683" i="9"/>
  <c r="AD679" i="9"/>
  <c r="AD675" i="9"/>
  <c r="AD671" i="9"/>
  <c r="AD667" i="9"/>
  <c r="AD663" i="9"/>
  <c r="AD659" i="9"/>
  <c r="AD655" i="9"/>
  <c r="AD651" i="9"/>
  <c r="AD647" i="9"/>
  <c r="AD643" i="9"/>
  <c r="AD639" i="9"/>
  <c r="AD635" i="9"/>
  <c r="AD631" i="9"/>
  <c r="AD627" i="9"/>
  <c r="AD623" i="9"/>
  <c r="AD619" i="9"/>
  <c r="AD615" i="9"/>
  <c r="AD611" i="9"/>
  <c r="AD607" i="9"/>
  <c r="AD603" i="9"/>
  <c r="AD599" i="9"/>
  <c r="AD595" i="9"/>
  <c r="AD591" i="9"/>
  <c r="AD587" i="9"/>
  <c r="AD583" i="9"/>
  <c r="AD579" i="9"/>
  <c r="AD575" i="9"/>
  <c r="AD571" i="9"/>
  <c r="AD567" i="9"/>
  <c r="AD563" i="9"/>
  <c r="AD559" i="9"/>
  <c r="AD555" i="9"/>
  <c r="AD551" i="9"/>
  <c r="AD547" i="9"/>
  <c r="AD543" i="9"/>
  <c r="AD539" i="9"/>
  <c r="AD535" i="9"/>
  <c r="AD531" i="9"/>
  <c r="AD527" i="9"/>
  <c r="AD523" i="9"/>
  <c r="AD519" i="9"/>
  <c r="AD515" i="9"/>
  <c r="AD511" i="9"/>
  <c r="AD507" i="9"/>
  <c r="AD503" i="9"/>
  <c r="AD499" i="9"/>
  <c r="AD495" i="9"/>
  <c r="AD491" i="9"/>
  <c r="AD487" i="9"/>
  <c r="AD483" i="9"/>
  <c r="AD479" i="9"/>
  <c r="AD475" i="9"/>
  <c r="AD471" i="9"/>
  <c r="AD467" i="9"/>
  <c r="AD463" i="9"/>
  <c r="AD459" i="9"/>
  <c r="AD455" i="9"/>
  <c r="AD451" i="9"/>
  <c r="AD447" i="9"/>
  <c r="AD443" i="9"/>
  <c r="AD439" i="9"/>
  <c r="AD435" i="9"/>
  <c r="AD431" i="9"/>
  <c r="AD427" i="9"/>
  <c r="AD423" i="9"/>
  <c r="AD419" i="9"/>
  <c r="AD415" i="9"/>
  <c r="AD411" i="9"/>
  <c r="AD407" i="9"/>
  <c r="AD403" i="9"/>
  <c r="AD399" i="9"/>
  <c r="AD395" i="9"/>
  <c r="AD391" i="9"/>
  <c r="AD387" i="9"/>
  <c r="AD383" i="9"/>
  <c r="AD379" i="9"/>
  <c r="AD375" i="9"/>
  <c r="AD371" i="9"/>
  <c r="AD367" i="9"/>
  <c r="AD363" i="9"/>
  <c r="AD359" i="9"/>
  <c r="AD355" i="9"/>
  <c r="AD351" i="9"/>
  <c r="AD347" i="9"/>
  <c r="AD343" i="9"/>
  <c r="AD339" i="9"/>
  <c r="AD335" i="9"/>
  <c r="AD331" i="9"/>
  <c r="AD327" i="9"/>
  <c r="AD323" i="9"/>
  <c r="AD319" i="9"/>
  <c r="AD315" i="9"/>
  <c r="AD311" i="9"/>
  <c r="AD307" i="9"/>
  <c r="AD303" i="9"/>
  <c r="AD299" i="9"/>
  <c r="AD295" i="9"/>
  <c r="AD291" i="9"/>
  <c r="AD287" i="9"/>
  <c r="AD283" i="9"/>
  <c r="AD279" i="9"/>
  <c r="AD275" i="9"/>
  <c r="AD271" i="9"/>
  <c r="AD267" i="9"/>
  <c r="AD263" i="9"/>
  <c r="AD259" i="9"/>
  <c r="AD255" i="9"/>
  <c r="AD251" i="9"/>
  <c r="AD247" i="9"/>
  <c r="AD243" i="9"/>
  <c r="AD239" i="9"/>
  <c r="AD235" i="9"/>
  <c r="AD231" i="9"/>
  <c r="AD227" i="9"/>
  <c r="AD223" i="9"/>
  <c r="AD219" i="9"/>
  <c r="AD215" i="9"/>
  <c r="AD211" i="9"/>
  <c r="AD207" i="9"/>
  <c r="AD203" i="9"/>
  <c r="AD199" i="9"/>
  <c r="AD195" i="9"/>
  <c r="AD191" i="9"/>
  <c r="AD187" i="9"/>
  <c r="AD183" i="9"/>
  <c r="AD179" i="9"/>
  <c r="AD175" i="9"/>
  <c r="AD171" i="9"/>
  <c r="AD167" i="9"/>
  <c r="AD163" i="9"/>
  <c r="AD159" i="9"/>
  <c r="AD155" i="9"/>
  <c r="AD151" i="9"/>
  <c r="AD147" i="9"/>
  <c r="AD143" i="9"/>
  <c r="AD139" i="9"/>
  <c r="AD135" i="9"/>
  <c r="AD131" i="9"/>
  <c r="AD127" i="9"/>
  <c r="AD123" i="9"/>
  <c r="AD119" i="9"/>
  <c r="AD115" i="9"/>
  <c r="AD111" i="9"/>
  <c r="AD107" i="9"/>
  <c r="AD103" i="9"/>
  <c r="AD99" i="9"/>
  <c r="AD95" i="9"/>
  <c r="AD91" i="9"/>
  <c r="AD87" i="9"/>
  <c r="AD83" i="9"/>
  <c r="AD79" i="9"/>
  <c r="AD75" i="9"/>
  <c r="AD71" i="9"/>
  <c r="AD67" i="9"/>
  <c r="AD63" i="9"/>
  <c r="AD59" i="9"/>
  <c r="AD55" i="9"/>
  <c r="AD51" i="9"/>
  <c r="AD47" i="9"/>
  <c r="AD43" i="9"/>
  <c r="AD39" i="9"/>
  <c r="AD35" i="9"/>
  <c r="AD31" i="9"/>
  <c r="AD27" i="9"/>
  <c r="AD23" i="9"/>
  <c r="AD19" i="9"/>
  <c r="AD15" i="9"/>
  <c r="V998" i="9"/>
  <c r="V934" i="9"/>
  <c r="V870" i="9"/>
  <c r="V806" i="9"/>
  <c r="V742" i="9"/>
  <c r="V678" i="9"/>
  <c r="V614" i="9"/>
  <c r="V550" i="9"/>
  <c r="V486" i="9"/>
  <c r="V422" i="9"/>
  <c r="V358" i="9"/>
  <c r="V294" i="9"/>
  <c r="V230" i="9"/>
  <c r="V166" i="9"/>
  <c r="V102" i="9"/>
  <c r="V38" i="9"/>
  <c r="AD1730" i="9"/>
  <c r="V1730" i="9"/>
  <c r="AD1718" i="9"/>
  <c r="AD1702" i="9"/>
  <c r="AD1690" i="9"/>
  <c r="V1690" i="9"/>
  <c r="AD1674" i="9"/>
  <c r="V1674" i="9"/>
  <c r="AD1662" i="9"/>
  <c r="V1662" i="9"/>
  <c r="AD1646" i="9"/>
  <c r="V1646" i="9"/>
  <c r="AD1634" i="9"/>
  <c r="V1634" i="9"/>
  <c r="AD1618" i="9"/>
  <c r="V1618" i="9"/>
  <c r="AD1602" i="9"/>
  <c r="V1602" i="9"/>
  <c r="AD1590" i="9"/>
  <c r="AD1574" i="9"/>
  <c r="AD1562" i="9"/>
  <c r="V1562" i="9"/>
  <c r="AD1546" i="9"/>
  <c r="V1546" i="9"/>
  <c r="AD1534" i="9"/>
  <c r="V1534" i="9"/>
  <c r="AD1518" i="9"/>
  <c r="V1518" i="9"/>
  <c r="AD1502" i="9"/>
  <c r="V1502" i="9"/>
  <c r="AD1490" i="9"/>
  <c r="V1490" i="9"/>
  <c r="AD1478" i="9"/>
  <c r="AD1462" i="9"/>
  <c r="AD1446" i="9"/>
  <c r="AD1434" i="9"/>
  <c r="V1434" i="9"/>
  <c r="AD1418" i="9"/>
  <c r="V1418" i="9"/>
  <c r="AD1406" i="9"/>
  <c r="V1406" i="9"/>
  <c r="AD1390" i="9"/>
  <c r="V1390" i="9"/>
  <c r="AD1378" i="9"/>
  <c r="V1378" i="9"/>
  <c r="AD1362" i="9"/>
  <c r="V1362" i="9"/>
  <c r="AD1346" i="9"/>
  <c r="V1346" i="9"/>
  <c r="AD1334" i="9"/>
  <c r="AD1318" i="9"/>
  <c r="AD1306" i="9"/>
  <c r="V1306" i="9"/>
  <c r="AD1294" i="9"/>
  <c r="V1294" i="9"/>
  <c r="AD1278" i="9"/>
  <c r="V1278" i="9"/>
  <c r="AD1266" i="9"/>
  <c r="V1266" i="9"/>
  <c r="AD1250" i="9"/>
  <c r="V1250" i="9"/>
  <c r="AD1238" i="9"/>
  <c r="AD1218" i="9"/>
  <c r="V1218" i="9"/>
  <c r="AD1210" i="9"/>
  <c r="V1210" i="9"/>
  <c r="AD1194" i="9"/>
  <c r="V1194" i="9"/>
  <c r="AD1182" i="9"/>
  <c r="V1182" i="9"/>
  <c r="AD1170" i="9"/>
  <c r="V1170" i="9"/>
  <c r="AD1150" i="9"/>
  <c r="V1150" i="9"/>
  <c r="AD1134" i="9"/>
  <c r="V1134" i="9"/>
  <c r="AD1122" i="9"/>
  <c r="V1122" i="9"/>
  <c r="AD1110" i="9"/>
  <c r="AD1094" i="9"/>
  <c r="AD1082" i="9"/>
  <c r="V1082" i="9"/>
  <c r="AD1066" i="9"/>
  <c r="V1066" i="9"/>
  <c r="AD1050" i="9"/>
  <c r="V1050" i="9"/>
  <c r="AD1038" i="9"/>
  <c r="V1038" i="9"/>
  <c r="AD1026" i="9"/>
  <c r="V1026" i="9"/>
  <c r="AD1018" i="9"/>
  <c r="V1018" i="9"/>
  <c r="AD1006" i="9"/>
  <c r="V1006" i="9"/>
  <c r="AD994" i="9"/>
  <c r="V994" i="9"/>
  <c r="AD986" i="9"/>
  <c r="V986" i="9"/>
  <c r="AD974" i="9"/>
  <c r="V974" i="9"/>
  <c r="AD962" i="9"/>
  <c r="V962" i="9"/>
  <c r="AD954" i="9"/>
  <c r="V954" i="9"/>
  <c r="AD942" i="9"/>
  <c r="V942" i="9"/>
  <c r="AD910" i="9"/>
  <c r="V910" i="9"/>
  <c r="AD898" i="9"/>
  <c r="V898" i="9"/>
  <c r="AD890" i="9"/>
  <c r="V890" i="9"/>
  <c r="AD878" i="9"/>
  <c r="V878" i="9"/>
  <c r="AD846" i="9"/>
  <c r="V846" i="9"/>
  <c r="AD834" i="9"/>
  <c r="V834" i="9"/>
  <c r="AD826" i="9"/>
  <c r="V826" i="9"/>
  <c r="AD814" i="9"/>
  <c r="V814" i="9"/>
  <c r="AD802" i="9"/>
  <c r="V802" i="9"/>
  <c r="AD794" i="9"/>
  <c r="V794" i="9"/>
  <c r="AD782" i="9"/>
  <c r="V782" i="9"/>
  <c r="AD770" i="9"/>
  <c r="V770" i="9"/>
  <c r="AD762" i="9"/>
  <c r="V762" i="9"/>
  <c r="AD750" i="9"/>
  <c r="V750" i="9"/>
  <c r="AD738" i="9"/>
  <c r="V738" i="9"/>
  <c r="AD730" i="9"/>
  <c r="V730" i="9"/>
  <c r="AD718" i="9"/>
  <c r="V718" i="9"/>
  <c r="AD686" i="9"/>
  <c r="V686" i="9"/>
  <c r="AD674" i="9"/>
  <c r="V674" i="9"/>
  <c r="AD666" i="9"/>
  <c r="V666" i="9"/>
  <c r="AD654" i="9"/>
  <c r="V654" i="9"/>
  <c r="AD622" i="9"/>
  <c r="V622" i="9"/>
  <c r="AD606" i="9"/>
  <c r="V606" i="9"/>
  <c r="AD594" i="9"/>
  <c r="V594" i="9"/>
  <c r="AD586" i="9"/>
  <c r="V586" i="9"/>
  <c r="AD574" i="9"/>
  <c r="V574" i="9"/>
  <c r="AD562" i="9"/>
  <c r="V562" i="9"/>
  <c r="AD554" i="9"/>
  <c r="V554" i="9"/>
  <c r="AD542" i="9"/>
  <c r="V542" i="9"/>
  <c r="AD530" i="9"/>
  <c r="V530" i="9"/>
  <c r="AD522" i="9"/>
  <c r="V522" i="9"/>
  <c r="AD510" i="9"/>
  <c r="V510" i="9"/>
  <c r="AD478" i="9"/>
  <c r="V478" i="9"/>
  <c r="AD466" i="9"/>
  <c r="V466" i="9"/>
  <c r="AD458" i="9"/>
  <c r="V458" i="9"/>
  <c r="AD446" i="9"/>
  <c r="V446" i="9"/>
  <c r="AD434" i="9"/>
  <c r="V434" i="9"/>
  <c r="AD426" i="9"/>
  <c r="V426" i="9"/>
  <c r="AD414" i="9"/>
  <c r="V414" i="9"/>
  <c r="AD402" i="9"/>
  <c r="V402" i="9"/>
  <c r="AD394" i="9"/>
  <c r="V394" i="9"/>
  <c r="AD386" i="9"/>
  <c r="V386" i="9"/>
  <c r="AD370" i="9"/>
  <c r="V370" i="9"/>
  <c r="AD362" i="9"/>
  <c r="V362" i="9"/>
  <c r="AD350" i="9"/>
  <c r="V350" i="9"/>
  <c r="AD318" i="9"/>
  <c r="V318" i="9"/>
  <c r="AD306" i="9"/>
  <c r="V306" i="9"/>
  <c r="AD298" i="9"/>
  <c r="V298" i="9"/>
  <c r="AD286" i="9"/>
  <c r="V286" i="9"/>
  <c r="AD274" i="9"/>
  <c r="V274" i="9"/>
  <c r="AD266" i="9"/>
  <c r="V266" i="9"/>
  <c r="AD254" i="9"/>
  <c r="V254" i="9"/>
  <c r="AD242" i="9"/>
  <c r="V242" i="9"/>
  <c r="AD234" i="9"/>
  <c r="V234" i="9"/>
  <c r="AD222" i="9"/>
  <c r="V222" i="9"/>
  <c r="AD210" i="9"/>
  <c r="V210" i="9"/>
  <c r="AD202" i="9"/>
  <c r="V202" i="9"/>
  <c r="AD190" i="9"/>
  <c r="V190" i="9"/>
  <c r="AD158" i="9"/>
  <c r="V158" i="9"/>
  <c r="AD146" i="9"/>
  <c r="V146" i="9"/>
  <c r="AD138" i="9"/>
  <c r="V138" i="9"/>
  <c r="AD126" i="9"/>
  <c r="V126" i="9"/>
  <c r="AD90" i="9"/>
  <c r="V90" i="9"/>
  <c r="AD74" i="9"/>
  <c r="V74" i="9"/>
  <c r="AD46" i="9"/>
  <c r="V46" i="9"/>
  <c r="AD1722" i="9"/>
  <c r="V1722" i="9"/>
  <c r="AD1710" i="9"/>
  <c r="V1710" i="9"/>
  <c r="AD1698" i="9"/>
  <c r="V1698" i="9"/>
  <c r="AD1682" i="9"/>
  <c r="V1682" i="9"/>
  <c r="AD1670" i="9"/>
  <c r="AD1654" i="9"/>
  <c r="AD1642" i="9"/>
  <c r="V1642" i="9"/>
  <c r="AD1626" i="9"/>
  <c r="V1626" i="9"/>
  <c r="AD1610" i="9"/>
  <c r="V1610" i="9"/>
  <c r="AD1598" i="9"/>
  <c r="V1598" i="9"/>
  <c r="AD1582" i="9"/>
  <c r="V1582" i="9"/>
  <c r="AD1570" i="9"/>
  <c r="V1570" i="9"/>
  <c r="AD1554" i="9"/>
  <c r="V1554" i="9"/>
  <c r="AD1542" i="9"/>
  <c r="AD1526" i="9"/>
  <c r="AD1510" i="9"/>
  <c r="AD1498" i="9"/>
  <c r="V1498" i="9"/>
  <c r="AD1486" i="9"/>
  <c r="V1486" i="9"/>
  <c r="AD1470" i="9"/>
  <c r="V1470" i="9"/>
  <c r="AD1454" i="9"/>
  <c r="V1454" i="9"/>
  <c r="AD1442" i="9"/>
  <c r="V1442" i="9"/>
  <c r="AD1426" i="9"/>
  <c r="V1426" i="9"/>
  <c r="AD1414" i="9"/>
  <c r="AD1398" i="9"/>
  <c r="AD1382" i="9"/>
  <c r="AD1370" i="9"/>
  <c r="V1370" i="9"/>
  <c r="AD1354" i="9"/>
  <c r="V1354" i="9"/>
  <c r="AD1342" i="9"/>
  <c r="V1342" i="9"/>
  <c r="AD1326" i="9"/>
  <c r="V1326" i="9"/>
  <c r="AD1314" i="9"/>
  <c r="V1314" i="9"/>
  <c r="AD1302" i="9"/>
  <c r="AD1286" i="9"/>
  <c r="AD1274" i="9"/>
  <c r="V1274" i="9"/>
  <c r="AD1258" i="9"/>
  <c r="V1258" i="9"/>
  <c r="AD1246" i="9"/>
  <c r="V1246" i="9"/>
  <c r="AD1234" i="9"/>
  <c r="V1234" i="9"/>
  <c r="AD1222" i="9"/>
  <c r="AD1206" i="9"/>
  <c r="AD1190" i="9"/>
  <c r="AD1178" i="9"/>
  <c r="V1178" i="9"/>
  <c r="AD1166" i="9"/>
  <c r="V1166" i="9"/>
  <c r="AD1154" i="9"/>
  <c r="V1154" i="9"/>
  <c r="AD1142" i="9"/>
  <c r="AD1126" i="9"/>
  <c r="AD1114" i="9"/>
  <c r="V1114" i="9"/>
  <c r="AD1098" i="9"/>
  <c r="V1098" i="9"/>
  <c r="AD1086" i="9"/>
  <c r="V1086" i="9"/>
  <c r="AD1074" i="9"/>
  <c r="V1074" i="9"/>
  <c r="AD1058" i="9"/>
  <c r="V1058" i="9"/>
  <c r="AD1046" i="9"/>
  <c r="AD1030" i="9"/>
  <c r="AD1022" i="9"/>
  <c r="V1022" i="9"/>
  <c r="AD1010" i="9"/>
  <c r="V1010" i="9"/>
  <c r="AD1002" i="9"/>
  <c r="V1002" i="9"/>
  <c r="AD990" i="9"/>
  <c r="V990" i="9"/>
  <c r="AD978" i="9"/>
  <c r="V978" i="9"/>
  <c r="AD970" i="9"/>
  <c r="V970" i="9"/>
  <c r="AD958" i="9"/>
  <c r="V958" i="9"/>
  <c r="AD946" i="9"/>
  <c r="V946" i="9"/>
  <c r="AD938" i="9"/>
  <c r="V938" i="9"/>
  <c r="AD926" i="9"/>
  <c r="V926" i="9"/>
  <c r="AD914" i="9"/>
  <c r="V914" i="9"/>
  <c r="AD906" i="9"/>
  <c r="V906" i="9"/>
  <c r="AD894" i="9"/>
  <c r="V894" i="9"/>
  <c r="AD882" i="9"/>
  <c r="V882" i="9"/>
  <c r="AD874" i="9"/>
  <c r="V874" i="9"/>
  <c r="AD862" i="9"/>
  <c r="V862" i="9"/>
  <c r="AD830" i="9"/>
  <c r="V830" i="9"/>
  <c r="AD818" i="9"/>
  <c r="V818" i="9"/>
  <c r="AD810" i="9"/>
  <c r="V810" i="9"/>
  <c r="AD798" i="9"/>
  <c r="V798" i="9"/>
  <c r="AD786" i="9"/>
  <c r="V786" i="9"/>
  <c r="AD778" i="9"/>
  <c r="V778" i="9"/>
  <c r="AD766" i="9"/>
  <c r="V766" i="9"/>
  <c r="AD754" i="9"/>
  <c r="V754" i="9"/>
  <c r="AD746" i="9"/>
  <c r="V746" i="9"/>
  <c r="AD734" i="9"/>
  <c r="V734" i="9"/>
  <c r="AD722" i="9"/>
  <c r="V722" i="9"/>
  <c r="AD714" i="9"/>
  <c r="V714" i="9"/>
  <c r="AD702" i="9"/>
  <c r="V702" i="9"/>
  <c r="AD690" i="9"/>
  <c r="V690" i="9"/>
  <c r="AD682" i="9"/>
  <c r="V682" i="9"/>
  <c r="AD670" i="9"/>
  <c r="V670" i="9"/>
  <c r="AD638" i="9"/>
  <c r="V638" i="9"/>
  <c r="AD626" i="9"/>
  <c r="V626" i="9"/>
  <c r="AD618" i="9"/>
  <c r="V618" i="9"/>
  <c r="AD610" i="9"/>
  <c r="V610" i="9"/>
  <c r="AD602" i="9"/>
  <c r="V602" i="9"/>
  <c r="AD590" i="9"/>
  <c r="V590" i="9"/>
  <c r="AD578" i="9"/>
  <c r="V578" i="9"/>
  <c r="AD570" i="9"/>
  <c r="V570" i="9"/>
  <c r="AD558" i="9"/>
  <c r="V558" i="9"/>
  <c r="AD546" i="9"/>
  <c r="V546" i="9"/>
  <c r="AD538" i="9"/>
  <c r="V538" i="9"/>
  <c r="AD526" i="9"/>
  <c r="V526" i="9"/>
  <c r="AD514" i="9"/>
  <c r="V514" i="9"/>
  <c r="AD506" i="9"/>
  <c r="V506" i="9"/>
  <c r="AD498" i="9"/>
  <c r="V498" i="9"/>
  <c r="AD482" i="9"/>
  <c r="V482" i="9"/>
  <c r="AD474" i="9"/>
  <c r="V474" i="9"/>
  <c r="AD462" i="9"/>
  <c r="V462" i="9"/>
  <c r="AD450" i="9"/>
  <c r="V450" i="9"/>
  <c r="AD442" i="9"/>
  <c r="V442" i="9"/>
  <c r="AD430" i="9"/>
  <c r="V430" i="9"/>
  <c r="AD418" i="9"/>
  <c r="V418" i="9"/>
  <c r="AD410" i="9"/>
  <c r="V410" i="9"/>
  <c r="AD398" i="9"/>
  <c r="V398" i="9"/>
  <c r="AD366" i="9"/>
  <c r="V366" i="9"/>
  <c r="AD354" i="9"/>
  <c r="V354" i="9"/>
  <c r="AD346" i="9"/>
  <c r="V346" i="9"/>
  <c r="AD334" i="9"/>
  <c r="V334" i="9"/>
  <c r="AD322" i="9"/>
  <c r="V322" i="9"/>
  <c r="AD314" i="9"/>
  <c r="V314" i="9"/>
  <c r="AD302" i="9"/>
  <c r="V302" i="9"/>
  <c r="AD290" i="9"/>
  <c r="V290" i="9"/>
  <c r="AD282" i="9"/>
  <c r="V282" i="9"/>
  <c r="AD270" i="9"/>
  <c r="V270" i="9"/>
  <c r="AD258" i="9"/>
  <c r="V258" i="9"/>
  <c r="AD250" i="9"/>
  <c r="V250" i="9"/>
  <c r="AD238" i="9"/>
  <c r="V238" i="9"/>
  <c r="AD226" i="9"/>
  <c r="V226" i="9"/>
  <c r="AD218" i="9"/>
  <c r="V218" i="9"/>
  <c r="AD206" i="9"/>
  <c r="V206" i="9"/>
  <c r="AD194" i="9"/>
  <c r="V194" i="9"/>
  <c r="AD186" i="9"/>
  <c r="V186" i="9"/>
  <c r="AD174" i="9"/>
  <c r="V174" i="9"/>
  <c r="AD162" i="9"/>
  <c r="V162" i="9"/>
  <c r="AD154" i="9"/>
  <c r="V154" i="9"/>
  <c r="AD142" i="9"/>
  <c r="V142" i="9"/>
  <c r="AD130" i="9"/>
  <c r="V130" i="9"/>
  <c r="AD122" i="9"/>
  <c r="V122" i="9"/>
  <c r="AD110" i="9"/>
  <c r="V110" i="9"/>
  <c r="AD78" i="9"/>
  <c r="V78" i="9"/>
  <c r="AD66" i="9"/>
  <c r="V66" i="9"/>
  <c r="AD30" i="9"/>
  <c r="V30" i="9"/>
  <c r="AD18" i="9"/>
  <c r="V18" i="9"/>
  <c r="V1046" i="9"/>
  <c r="V918" i="9"/>
  <c r="V790" i="9"/>
  <c r="V726" i="9"/>
  <c r="V598" i="9"/>
  <c r="V470" i="9"/>
  <c r="V342" i="9"/>
  <c r="V214" i="9"/>
  <c r="V86" i="9"/>
  <c r="AD1713" i="9"/>
  <c r="AD1453" i="9"/>
  <c r="AD1405" i="9"/>
  <c r="AD1393" i="9"/>
  <c r="AD1389" i="9"/>
  <c r="AD1373" i="9"/>
  <c r="AD1345" i="9"/>
  <c r="AD1341" i="9"/>
  <c r="AD1309" i="9"/>
  <c r="AD1261" i="9"/>
  <c r="AD1213" i="9"/>
  <c r="AD1201" i="9"/>
  <c r="AD1197" i="9"/>
  <c r="AD1165" i="9"/>
  <c r="AD1153" i="9"/>
  <c r="AD1149" i="9"/>
  <c r="AD1101" i="9"/>
  <c r="AD1089" i="9"/>
  <c r="AD1021" i="9"/>
  <c r="AD1009" i="9"/>
  <c r="AD1005" i="9"/>
  <c r="AD1001" i="9"/>
  <c r="AD993" i="9"/>
  <c r="AD989" i="9"/>
  <c r="AD985" i="9"/>
  <c r="AD981" i="9"/>
  <c r="AD977" i="9"/>
  <c r="AD973" i="9"/>
  <c r="AD969" i="9"/>
  <c r="AD965" i="9"/>
  <c r="AD961" i="9"/>
  <c r="AD957" i="9"/>
  <c r="AD953" i="9"/>
  <c r="AD949" i="9"/>
  <c r="AD945" i="9"/>
  <c r="AD941" i="9"/>
  <c r="AD937" i="9"/>
  <c r="AD933" i="9"/>
  <c r="AD929" i="9"/>
  <c r="AD925" i="9"/>
  <c r="AD921" i="9"/>
  <c r="AD917" i="9"/>
  <c r="AD913" i="9"/>
  <c r="AD909" i="9"/>
  <c r="AD905" i="9"/>
  <c r="AD901" i="9"/>
  <c r="AD897" i="9"/>
  <c r="AD893" i="9"/>
  <c r="AD889" i="9"/>
  <c r="AD885" i="9"/>
  <c r="AD881" i="9"/>
  <c r="AD877" i="9"/>
  <c r="AD873" i="9"/>
  <c r="AD869" i="9"/>
  <c r="AD865" i="9"/>
  <c r="AD861" i="9"/>
  <c r="AD857" i="9"/>
  <c r="AD853" i="9"/>
  <c r="AD849" i="9"/>
  <c r="AD845" i="9"/>
  <c r="AD841" i="9"/>
  <c r="AD837" i="9"/>
  <c r="AD833" i="9"/>
  <c r="AD829" i="9"/>
  <c r="AD825" i="9"/>
  <c r="AD821" i="9"/>
  <c r="AD817" i="9"/>
  <c r="AD813" i="9"/>
  <c r="AD809" i="9"/>
  <c r="AD805" i="9"/>
  <c r="AD801" i="9"/>
  <c r="AD797" i="9"/>
  <c r="AD793" i="9"/>
  <c r="AD789" i="9"/>
  <c r="AD785" i="9"/>
  <c r="AD781" i="9"/>
  <c r="AD777" i="9"/>
  <c r="AD773" i="9"/>
  <c r="AD769" i="9"/>
  <c r="AD765" i="9"/>
  <c r="AD761" i="9"/>
  <c r="AD757" i="9"/>
  <c r="AD753" i="9"/>
  <c r="AD749" i="9"/>
  <c r="AD745" i="9"/>
  <c r="AD741" i="9"/>
  <c r="AD737" i="9"/>
  <c r="AD733" i="9"/>
  <c r="AD729" i="9"/>
  <c r="AD725" i="9"/>
  <c r="AD721" i="9"/>
  <c r="AD717" i="9"/>
  <c r="AD713" i="9"/>
  <c r="AD709" i="9"/>
  <c r="AD705" i="9"/>
  <c r="AD701" i="9"/>
  <c r="AD697" i="9"/>
  <c r="AD693" i="9"/>
  <c r="AD689" i="9"/>
  <c r="AD685" i="9"/>
  <c r="AD681" i="9"/>
  <c r="AD677" i="9"/>
  <c r="AD673" i="9"/>
  <c r="AD669" i="9"/>
  <c r="AD665" i="9"/>
  <c r="AD661" i="9"/>
  <c r="AD657" i="9"/>
  <c r="AD653" i="9"/>
  <c r="AD649" i="9"/>
  <c r="AD645" i="9"/>
  <c r="AD641" i="9"/>
  <c r="AD637" i="9"/>
  <c r="AD633" i="9"/>
  <c r="AD629" i="9"/>
  <c r="AD625" i="9"/>
  <c r="AD621" i="9"/>
  <c r="AD617" i="9"/>
  <c r="AD613" i="9"/>
  <c r="AD609" i="9"/>
  <c r="AD605" i="9"/>
  <c r="AD601" i="9"/>
  <c r="AD597" i="9"/>
  <c r="AD593" i="9"/>
  <c r="AD589" i="9"/>
  <c r="AD585" i="9"/>
  <c r="AD581" i="9"/>
  <c r="AD577" i="9"/>
  <c r="AD573" i="9"/>
  <c r="AD569" i="9"/>
  <c r="AD565" i="9"/>
  <c r="AD561" i="9"/>
  <c r="AD557" i="9"/>
  <c r="AD553" i="9"/>
  <c r="AD549" i="9"/>
  <c r="AD545" i="9"/>
  <c r="AD541" i="9"/>
  <c r="AD537" i="9"/>
  <c r="AD533" i="9"/>
  <c r="AD529" i="9"/>
  <c r="AD525" i="9"/>
  <c r="AD521" i="9"/>
  <c r="AD517" i="9"/>
  <c r="AD513" i="9"/>
  <c r="AD509" i="9"/>
  <c r="AD505" i="9"/>
  <c r="AD501" i="9"/>
  <c r="AD497" i="9"/>
  <c r="AD493" i="9"/>
  <c r="AD489" i="9"/>
  <c r="AD485" i="9"/>
  <c r="AD481" i="9"/>
  <c r="AD477" i="9"/>
  <c r="AD473" i="9"/>
  <c r="AD469" i="9"/>
  <c r="AD465" i="9"/>
  <c r="AD461" i="9"/>
  <c r="AD457" i="9"/>
  <c r="AD453" i="9"/>
  <c r="AD449" i="9"/>
  <c r="AD445" i="9"/>
  <c r="AD441" i="9"/>
  <c r="AD437" i="9"/>
  <c r="AD433" i="9"/>
  <c r="AD429" i="9"/>
  <c r="AD425" i="9"/>
  <c r="AD421" i="9"/>
  <c r="AD417" i="9"/>
  <c r="AD413" i="9"/>
  <c r="AD409" i="9"/>
  <c r="AD405" i="9"/>
  <c r="AD401" i="9"/>
  <c r="AD397" i="9"/>
  <c r="AD393" i="9"/>
  <c r="AD389" i="9"/>
  <c r="AD385" i="9"/>
  <c r="AD381" i="9"/>
  <c r="AD377" i="9"/>
  <c r="AD373" i="9"/>
  <c r="AD369" i="9"/>
  <c r="AD365" i="9"/>
  <c r="AD361" i="9"/>
  <c r="AD357" i="9"/>
  <c r="AD353" i="9"/>
  <c r="AD349" i="9"/>
  <c r="AD345" i="9"/>
  <c r="AD341" i="9"/>
  <c r="AD337" i="9"/>
  <c r="AD333" i="9"/>
  <c r="AD329" i="9"/>
  <c r="AD325" i="9"/>
  <c r="AD321" i="9"/>
  <c r="AD317" i="9"/>
  <c r="AD313" i="9"/>
  <c r="AD309" i="9"/>
  <c r="AD305" i="9"/>
  <c r="AD301" i="9"/>
  <c r="AD297" i="9"/>
  <c r="AD293" i="9"/>
  <c r="AD289" i="9"/>
  <c r="AD285" i="9"/>
  <c r="AD281" i="9"/>
  <c r="AD277" i="9"/>
  <c r="AD273" i="9"/>
  <c r="AD269" i="9"/>
  <c r="AD265" i="9"/>
  <c r="AD261" i="9"/>
  <c r="AD257" i="9"/>
  <c r="AD253" i="9"/>
  <c r="AD249" i="9"/>
  <c r="AD245" i="9"/>
  <c r="AD241" i="9"/>
  <c r="AD237" i="9"/>
  <c r="AD233" i="9"/>
  <c r="AD229" i="9"/>
  <c r="AD225" i="9"/>
  <c r="AD221" i="9"/>
  <c r="AD217" i="9"/>
  <c r="AD213" i="9"/>
  <c r="AD209" i="9"/>
  <c r="AD205" i="9"/>
  <c r="AD201" i="9"/>
  <c r="AD197" i="9"/>
  <c r="AD193" i="9"/>
  <c r="AD189" i="9"/>
  <c r="AD185" i="9"/>
  <c r="AD181" i="9"/>
  <c r="AD177" i="9"/>
  <c r="AD173" i="9"/>
  <c r="AD169" i="9"/>
  <c r="AD165" i="9"/>
  <c r="AD161" i="9"/>
  <c r="AD157" i="9"/>
  <c r="AD153" i="9"/>
  <c r="AD149" i="9"/>
  <c r="AD145" i="9"/>
  <c r="AD141" i="9"/>
  <c r="AD137" i="9"/>
  <c r="AD133" i="9"/>
  <c r="AD129" i="9"/>
  <c r="AD125" i="9"/>
  <c r="AD121" i="9"/>
  <c r="AD117" i="9"/>
  <c r="AD113" i="9"/>
  <c r="AD109" i="9"/>
  <c r="AD105" i="9"/>
  <c r="AD101" i="9"/>
  <c r="AD97" i="9"/>
  <c r="AD93" i="9"/>
  <c r="AD89" i="9"/>
  <c r="AD85" i="9"/>
  <c r="AD81" i="9"/>
  <c r="AD77" i="9"/>
  <c r="AD73" i="9"/>
  <c r="AD69" i="9"/>
  <c r="AD65" i="9"/>
  <c r="AD61" i="9"/>
  <c r="AD57" i="9"/>
  <c r="AD53" i="9"/>
  <c r="AD49" i="9"/>
  <c r="AD45" i="9"/>
  <c r="AD41" i="9"/>
  <c r="AD37" i="9"/>
  <c r="AD33" i="9"/>
  <c r="AD29" i="9"/>
  <c r="AD25" i="9"/>
  <c r="AD21" i="9"/>
  <c r="AD17" i="9"/>
  <c r="V1729" i="9"/>
  <c r="V1725" i="9"/>
  <c r="V1721" i="9"/>
  <c r="V1717" i="9"/>
  <c r="V1713" i="9"/>
  <c r="V1709" i="9"/>
  <c r="V1705" i="9"/>
  <c r="V1701" i="9"/>
  <c r="V1697" i="9"/>
  <c r="V1693" i="9"/>
  <c r="V1689" i="9"/>
  <c r="V1685" i="9"/>
  <c r="V1681" i="9"/>
  <c r="V1677" i="9"/>
  <c r="V1673" i="9"/>
  <c r="V1669" i="9"/>
  <c r="V1665" i="9"/>
  <c r="V1661" i="9"/>
  <c r="V1657" i="9"/>
  <c r="V1653" i="9"/>
  <c r="V1649" i="9"/>
  <c r="V1645" i="9"/>
  <c r="V1641" i="9"/>
  <c r="V1637" i="9"/>
  <c r="V1633" i="9"/>
  <c r="V1629" i="9"/>
  <c r="V1625" i="9"/>
  <c r="V1621" i="9"/>
  <c r="V1617" i="9"/>
  <c r="V1613" i="9"/>
  <c r="V1609" i="9"/>
  <c r="V1605" i="9"/>
  <c r="V1601" i="9"/>
  <c r="V1597" i="9"/>
  <c r="V1593" i="9"/>
  <c r="V1589" i="9"/>
  <c r="V1585" i="9"/>
  <c r="V1581" i="9"/>
  <c r="V1577" i="9"/>
  <c r="V1573" i="9"/>
  <c r="V1569" i="9"/>
  <c r="V1565" i="9"/>
  <c r="V1561" i="9"/>
  <c r="V1557" i="9"/>
  <c r="V1553" i="9"/>
  <c r="V1549" i="9"/>
  <c r="V1545" i="9"/>
  <c r="V1541" i="9"/>
  <c r="V1537" i="9"/>
  <c r="V1533" i="9"/>
  <c r="V1529" i="9"/>
  <c r="V1525" i="9"/>
  <c r="V1521" i="9"/>
  <c r="V1517" i="9"/>
  <c r="V1513" i="9"/>
  <c r="V1509" i="9"/>
  <c r="V1505" i="9"/>
  <c r="V1501" i="9"/>
  <c r="V1497" i="9"/>
  <c r="V1493" i="9"/>
  <c r="V1489" i="9"/>
  <c r="V1485" i="9"/>
  <c r="V1481" i="9"/>
  <c r="V1477" i="9"/>
  <c r="V1473" i="9"/>
  <c r="V1469" i="9"/>
  <c r="V1465" i="9"/>
  <c r="V1461" i="9"/>
  <c r="V1457" i="9"/>
  <c r="V1453" i="9"/>
  <c r="V1449" i="9"/>
  <c r="V1445" i="9"/>
  <c r="V1441" i="9"/>
  <c r="V1437" i="9"/>
  <c r="V1433" i="9"/>
  <c r="V1429" i="9"/>
  <c r="V1425" i="9"/>
  <c r="V1421" i="9"/>
  <c r="V1417" i="9"/>
  <c r="V1413" i="9"/>
  <c r="V1409" i="9"/>
  <c r="V1405" i="9"/>
  <c r="V1401" i="9"/>
  <c r="V1397" i="9"/>
  <c r="V1393" i="9"/>
  <c r="V1389" i="9"/>
  <c r="V1385" i="9"/>
  <c r="V1381" i="9"/>
  <c r="V1377" i="9"/>
  <c r="V1373" i="9"/>
  <c r="V1369" i="9"/>
  <c r="V1365" i="9"/>
  <c r="V1361" i="9"/>
  <c r="V1357" i="9"/>
  <c r="V1353" i="9"/>
  <c r="V1349" i="9"/>
  <c r="V1345" i="9"/>
  <c r="V1341" i="9"/>
  <c r="V1337" i="9"/>
  <c r="V1333" i="9"/>
  <c r="V1329" i="9"/>
  <c r="V1325" i="9"/>
  <c r="V1321" i="9"/>
  <c r="V1317" i="9"/>
  <c r="V1313" i="9"/>
  <c r="V1309" i="9"/>
  <c r="V1305" i="9"/>
  <c r="V1301" i="9"/>
  <c r="V1297" i="9"/>
  <c r="V1293" i="9"/>
  <c r="V1289" i="9"/>
  <c r="V1285" i="9"/>
  <c r="V1281" i="9"/>
  <c r="V1277" i="9"/>
  <c r="V1273" i="9"/>
  <c r="V1269" i="9"/>
  <c r="V1265" i="9"/>
  <c r="V1261" i="9"/>
  <c r="V1257" i="9"/>
  <c r="V1253" i="9"/>
  <c r="V1249" i="9"/>
  <c r="V1245" i="9"/>
  <c r="V1241" i="9"/>
  <c r="V1237" i="9"/>
  <c r="V1233" i="9"/>
  <c r="V1229" i="9"/>
  <c r="V1225" i="9"/>
  <c r="V1221" i="9"/>
  <c r="V1217" i="9"/>
  <c r="V1213" i="9"/>
  <c r="V1209" i="9"/>
  <c r="V1205" i="9"/>
  <c r="V1201" i="9"/>
  <c r="V1197" i="9"/>
  <c r="V1193" i="9"/>
  <c r="V1189" i="9"/>
  <c r="V1185" i="9"/>
  <c r="V1181" i="9"/>
  <c r="V1177" i="9"/>
  <c r="V1173" i="9"/>
  <c r="V1169" i="9"/>
  <c r="V1165" i="9"/>
  <c r="V1161" i="9"/>
  <c r="V1157" i="9"/>
  <c r="V1153" i="9"/>
  <c r="V1149" i="9"/>
  <c r="V1145" i="9"/>
  <c r="V1141" i="9"/>
  <c r="V1137" i="9"/>
  <c r="V1133" i="9"/>
  <c r="V1129" i="9"/>
  <c r="V1125" i="9"/>
  <c r="V1121" i="9"/>
  <c r="V1117" i="9"/>
  <c r="V1113" i="9"/>
  <c r="V1109" i="9"/>
  <c r="V1105" i="9"/>
  <c r="V1101" i="9"/>
  <c r="V1097" i="9"/>
  <c r="V1093" i="9"/>
  <c r="V1089" i="9"/>
  <c r="V1085" i="9"/>
  <c r="V1081" i="9"/>
  <c r="V1077" i="9"/>
  <c r="V1073" i="9"/>
  <c r="V1069" i="9"/>
  <c r="V1065" i="9"/>
  <c r="V1061" i="9"/>
  <c r="V1057" i="9"/>
  <c r="V1053" i="9"/>
  <c r="V1049" i="9"/>
  <c r="V1045" i="9"/>
  <c r="V1041" i="9"/>
  <c r="V1037" i="9"/>
  <c r="V1033" i="9"/>
  <c r="V1029" i="9"/>
  <c r="V1025" i="9"/>
  <c r="V1021" i="9"/>
  <c r="V1017" i="9"/>
  <c r="V1013" i="9"/>
  <c r="V1009" i="9"/>
  <c r="V1005" i="9"/>
  <c r="V1001" i="9"/>
  <c r="V997" i="9"/>
  <c r="V993" i="9"/>
  <c r="V989" i="9"/>
  <c r="V985" i="9"/>
  <c r="V981" i="9"/>
  <c r="V977" i="9"/>
  <c r="V973" i="9"/>
  <c r="V969" i="9"/>
  <c r="V965" i="9"/>
  <c r="V961" i="9"/>
  <c r="V957" i="9"/>
  <c r="V953" i="9"/>
  <c r="V949" i="9"/>
  <c r="V945" i="9"/>
  <c r="V941" i="9"/>
  <c r="V937" i="9"/>
  <c r="V933" i="9"/>
  <c r="V929" i="9"/>
  <c r="V925" i="9"/>
  <c r="V921" i="9"/>
  <c r="V917" i="9"/>
  <c r="V913" i="9"/>
  <c r="V909" i="9"/>
  <c r="V905" i="9"/>
  <c r="V901" i="9"/>
  <c r="V897" i="9"/>
  <c r="V893" i="9"/>
  <c r="V889" i="9"/>
  <c r="V885" i="9"/>
  <c r="V881" i="9"/>
  <c r="V877" i="9"/>
  <c r="V873" i="9"/>
  <c r="V869" i="9"/>
  <c r="V865" i="9"/>
  <c r="V861" i="9"/>
  <c r="V857" i="9"/>
  <c r="V853" i="9"/>
  <c r="V849" i="9"/>
  <c r="V845" i="9"/>
  <c r="V841" i="9"/>
  <c r="V837" i="9"/>
  <c r="V833" i="9"/>
  <c r="V829" i="9"/>
  <c r="V825" i="9"/>
  <c r="V821" i="9"/>
  <c r="V817" i="9"/>
  <c r="V813" i="9"/>
  <c r="V809" i="9"/>
  <c r="V805" i="9"/>
  <c r="V801" i="9"/>
  <c r="V797" i="9"/>
  <c r="V793" i="9"/>
  <c r="V789" i="9"/>
  <c r="V785" i="9"/>
  <c r="V781" i="9"/>
  <c r="V777" i="9"/>
  <c r="V773" i="9"/>
  <c r="V769" i="9"/>
  <c r="V765" i="9"/>
  <c r="V761" i="9"/>
  <c r="V757" i="9"/>
  <c r="V753" i="9"/>
  <c r="V749" i="9"/>
  <c r="V745" i="9"/>
  <c r="V741" i="9"/>
  <c r="V737" i="9"/>
  <c r="V733" i="9"/>
  <c r="V729" i="9"/>
  <c r="V725" i="9"/>
  <c r="V721" i="9"/>
  <c r="V717" i="9"/>
  <c r="V713" i="9"/>
  <c r="V709" i="9"/>
  <c r="V705" i="9"/>
  <c r="V701" i="9"/>
  <c r="V697" i="9"/>
  <c r="V693" i="9"/>
  <c r="V689" i="9"/>
  <c r="V685" i="9"/>
  <c r="V681" i="9"/>
  <c r="V677" i="9"/>
  <c r="V673" i="9"/>
  <c r="V669" i="9"/>
  <c r="V665" i="9"/>
  <c r="V661" i="9"/>
  <c r="V657" i="9"/>
  <c r="V653" i="9"/>
  <c r="V649" i="9"/>
  <c r="V645" i="9"/>
  <c r="V641" i="9"/>
  <c r="V637" i="9"/>
  <c r="V633" i="9"/>
  <c r="V629" i="9"/>
  <c r="V625" i="9"/>
  <c r="V621" i="9"/>
  <c r="V617" i="9"/>
  <c r="V613" i="9"/>
  <c r="V609" i="9"/>
  <c r="V605" i="9"/>
  <c r="V601" i="9"/>
  <c r="V597" i="9"/>
  <c r="V593" i="9"/>
  <c r="V589" i="9"/>
  <c r="V585" i="9"/>
  <c r="V581" i="9"/>
  <c r="V577" i="9"/>
  <c r="V573" i="9"/>
  <c r="V569" i="9"/>
  <c r="V565" i="9"/>
  <c r="V561" i="9"/>
  <c r="V557" i="9"/>
  <c r="V553" i="9"/>
  <c r="V549" i="9"/>
  <c r="V545" i="9"/>
  <c r="V541" i="9"/>
  <c r="V537" i="9"/>
  <c r="V533" i="9"/>
  <c r="V529" i="9"/>
  <c r="V525" i="9"/>
  <c r="V521" i="9"/>
  <c r="V517" i="9"/>
  <c r="V513" i="9"/>
  <c r="V509" i="9"/>
  <c r="V505" i="9"/>
  <c r="V501" i="9"/>
  <c r="V497" i="9"/>
  <c r="V493" i="9"/>
  <c r="V489" i="9"/>
  <c r="V485" i="9"/>
  <c r="V481" i="9"/>
  <c r="V477" i="9"/>
  <c r="V473" i="9"/>
  <c r="V469" i="9"/>
  <c r="V465" i="9"/>
  <c r="V461" i="9"/>
  <c r="V457" i="9"/>
  <c r="V453" i="9"/>
  <c r="V449" i="9"/>
  <c r="V445" i="9"/>
  <c r="V441" i="9"/>
  <c r="V437" i="9"/>
  <c r="V433" i="9"/>
  <c r="V429" i="9"/>
  <c r="V425" i="9"/>
  <c r="V421" i="9"/>
  <c r="V417" i="9"/>
  <c r="V413" i="9"/>
  <c r="V409" i="9"/>
  <c r="V405" i="9"/>
  <c r="V401" i="9"/>
  <c r="V397" i="9"/>
  <c r="V393" i="9"/>
  <c r="V389" i="9"/>
  <c r="V385" i="9"/>
  <c r="V381" i="9"/>
  <c r="V377" i="9"/>
  <c r="V373" i="9"/>
  <c r="V369" i="9"/>
  <c r="V365" i="9"/>
  <c r="V361" i="9"/>
  <c r="V357" i="9"/>
  <c r="V353" i="9"/>
  <c r="V349" i="9"/>
  <c r="V345" i="9"/>
  <c r="V341" i="9"/>
  <c r="V337" i="9"/>
  <c r="V333" i="9"/>
  <c r="V329" i="9"/>
  <c r="V325" i="9"/>
  <c r="V321" i="9"/>
  <c r="V317" i="9"/>
  <c r="V313" i="9"/>
  <c r="V309" i="9"/>
  <c r="V305" i="9"/>
  <c r="V301" i="9"/>
  <c r="V297" i="9"/>
  <c r="V293" i="9"/>
  <c r="V289" i="9"/>
  <c r="V285" i="9"/>
  <c r="V281" i="9"/>
  <c r="V277" i="9"/>
  <c r="V273" i="9"/>
  <c r="V269" i="9"/>
  <c r="V265" i="9"/>
  <c r="V261" i="9"/>
  <c r="V257" i="9"/>
  <c r="V253" i="9"/>
  <c r="V249" i="9"/>
  <c r="V245" i="9"/>
  <c r="V241" i="9"/>
  <c r="V237" i="9"/>
  <c r="V233" i="9"/>
  <c r="V229" i="9"/>
  <c r="V225" i="9"/>
  <c r="V221" i="9"/>
  <c r="V217" i="9"/>
  <c r="V213" i="9"/>
  <c r="V209" i="9"/>
  <c r="V205" i="9"/>
  <c r="V201" i="9"/>
  <c r="V197" i="9"/>
  <c r="V193" i="9"/>
  <c r="V189" i="9"/>
  <c r="V185" i="9"/>
  <c r="V181" i="9"/>
  <c r="V177" i="9"/>
  <c r="V173" i="9"/>
  <c r="V169" i="9"/>
  <c r="V165" i="9"/>
  <c r="V161" i="9"/>
  <c r="V157" i="9"/>
  <c r="V153" i="9"/>
  <c r="V149" i="9"/>
  <c r="V145" i="9"/>
  <c r="V141" i="9"/>
  <c r="V137" i="9"/>
  <c r="V133" i="9"/>
  <c r="V129" i="9"/>
  <c r="V125" i="9"/>
  <c r="V121" i="9"/>
  <c r="V117" i="9"/>
  <c r="V113" i="9"/>
  <c r="V109" i="9"/>
  <c r="V105" i="9"/>
  <c r="V101" i="9"/>
  <c r="V97" i="9"/>
  <c r="V93" i="9"/>
  <c r="V89" i="9"/>
  <c r="V85" i="9"/>
  <c r="V81" i="9"/>
  <c r="V77" i="9"/>
  <c r="V73" i="9"/>
  <c r="V69" i="9"/>
  <c r="V65" i="9"/>
  <c r="V61" i="9"/>
  <c r="V57" i="9"/>
  <c r="V53" i="9"/>
  <c r="V49" i="9"/>
  <c r="V45" i="9"/>
  <c r="V41" i="9"/>
  <c r="V37" i="9"/>
  <c r="V33" i="9"/>
  <c r="V29" i="9"/>
  <c r="V25" i="9"/>
  <c r="V21" i="9"/>
  <c r="V17" i="9"/>
  <c r="V13" i="9"/>
  <c r="V1670" i="9"/>
  <c r="V1542" i="9"/>
  <c r="V1478" i="9"/>
  <c r="V1414" i="9"/>
  <c r="V1286" i="9"/>
  <c r="V1222" i="9"/>
  <c r="V1094" i="9"/>
  <c r="V1030" i="9"/>
  <c r="V966" i="9"/>
  <c r="V902" i="9"/>
  <c r="V838" i="9"/>
  <c r="V774" i="9"/>
  <c r="V710" i="9"/>
  <c r="V646" i="9"/>
  <c r="V582" i="9"/>
  <c r="V518" i="9"/>
  <c r="V454" i="9"/>
  <c r="V390" i="9"/>
  <c r="V326" i="9"/>
  <c r="V262" i="9"/>
  <c r="V198" i="9"/>
  <c r="V134" i="9"/>
  <c r="V70" i="9"/>
  <c r="AD1726" i="9"/>
  <c r="V1726" i="9"/>
  <c r="AD1714" i="9"/>
  <c r="V1714" i="9"/>
  <c r="AD1706" i="9"/>
  <c r="V1706" i="9"/>
  <c r="AD1694" i="9"/>
  <c r="V1694" i="9"/>
  <c r="AD1686" i="9"/>
  <c r="AD1678" i="9"/>
  <c r="V1678" i="9"/>
  <c r="AD1666" i="9"/>
  <c r="V1666" i="9"/>
  <c r="AD1658" i="9"/>
  <c r="V1658" i="9"/>
  <c r="AD1650" i="9"/>
  <c r="V1650" i="9"/>
  <c r="AD1638" i="9"/>
  <c r="AD1630" i="9"/>
  <c r="V1630" i="9"/>
  <c r="AD1622" i="9"/>
  <c r="AD1614" i="9"/>
  <c r="V1614" i="9"/>
  <c r="AD1606" i="9"/>
  <c r="AD1594" i="9"/>
  <c r="V1594" i="9"/>
  <c r="AD1586" i="9"/>
  <c r="V1586" i="9"/>
  <c r="AD1578" i="9"/>
  <c r="V1578" i="9"/>
  <c r="AD1566" i="9"/>
  <c r="V1566" i="9"/>
  <c r="AD1558" i="9"/>
  <c r="AD1550" i="9"/>
  <c r="V1550" i="9"/>
  <c r="AD1538" i="9"/>
  <c r="V1538" i="9"/>
  <c r="AD1530" i="9"/>
  <c r="V1530" i="9"/>
  <c r="AD1522" i="9"/>
  <c r="V1522" i="9"/>
  <c r="AD1514" i="9"/>
  <c r="V1514" i="9"/>
  <c r="AD1506" i="9"/>
  <c r="V1506" i="9"/>
  <c r="AD1494" i="9"/>
  <c r="AD1482" i="9"/>
  <c r="V1482" i="9"/>
  <c r="AD1474" i="9"/>
  <c r="V1474" i="9"/>
  <c r="AD1466" i="9"/>
  <c r="V1466" i="9"/>
  <c r="AD1458" i="9"/>
  <c r="V1458" i="9"/>
  <c r="AD1450" i="9"/>
  <c r="V1450" i="9"/>
  <c r="AD1438" i="9"/>
  <c r="V1438" i="9"/>
  <c r="AD1430" i="9"/>
  <c r="AD1422" i="9"/>
  <c r="V1422" i="9"/>
  <c r="AD1410" i="9"/>
  <c r="V1410" i="9"/>
  <c r="AD1402" i="9"/>
  <c r="V1402" i="9"/>
  <c r="AD1394" i="9"/>
  <c r="V1394" i="9"/>
  <c r="AD1386" i="9"/>
  <c r="V1386" i="9"/>
  <c r="AD1374" i="9"/>
  <c r="V1374" i="9"/>
  <c r="AD1366" i="9"/>
  <c r="AD1358" i="9"/>
  <c r="V1358" i="9"/>
  <c r="AD1350" i="9"/>
  <c r="AD1338" i="9"/>
  <c r="V1338" i="9"/>
  <c r="AD1330" i="9"/>
  <c r="V1330" i="9"/>
  <c r="AD1322" i="9"/>
  <c r="V1322" i="9"/>
  <c r="AD1310" i="9"/>
  <c r="V1310" i="9"/>
  <c r="AD1298" i="9"/>
  <c r="V1298" i="9"/>
  <c r="AD1290" i="9"/>
  <c r="V1290" i="9"/>
  <c r="AD1282" i="9"/>
  <c r="V1282" i="9"/>
  <c r="AD1270" i="9"/>
  <c r="AD1262" i="9"/>
  <c r="V1262" i="9"/>
  <c r="AD1254" i="9"/>
  <c r="AD1242" i="9"/>
  <c r="V1242" i="9"/>
  <c r="AD1230" i="9"/>
  <c r="V1230" i="9"/>
  <c r="AD1226" i="9"/>
  <c r="V1226" i="9"/>
  <c r="AD1214" i="9"/>
  <c r="V1214" i="9"/>
  <c r="AD1202" i="9"/>
  <c r="V1202" i="9"/>
  <c r="AD1198" i="9"/>
  <c r="V1198" i="9"/>
  <c r="AD1186" i="9"/>
  <c r="V1186" i="9"/>
  <c r="AD1174" i="9"/>
  <c r="AD1162" i="9"/>
  <c r="V1162" i="9"/>
  <c r="AD1158" i="9"/>
  <c r="AD1146" i="9"/>
  <c r="V1146" i="9"/>
  <c r="AD1138" i="9"/>
  <c r="V1138" i="9"/>
  <c r="AD1130" i="9"/>
  <c r="V1130" i="9"/>
  <c r="AD1118" i="9"/>
  <c r="V1118" i="9"/>
  <c r="AD1106" i="9"/>
  <c r="V1106" i="9"/>
  <c r="AD1102" i="9"/>
  <c r="V1102" i="9"/>
  <c r="AD1090" i="9"/>
  <c r="V1090" i="9"/>
  <c r="AD1078" i="9"/>
  <c r="AD1070" i="9"/>
  <c r="V1070" i="9"/>
  <c r="AD1062" i="9"/>
  <c r="AD1054" i="9"/>
  <c r="V1054" i="9"/>
  <c r="AD1042" i="9"/>
  <c r="V1042" i="9"/>
  <c r="AD1034" i="9"/>
  <c r="V1034" i="9"/>
  <c r="AD930" i="9"/>
  <c r="V930" i="9"/>
  <c r="AD922" i="9"/>
  <c r="V922" i="9"/>
  <c r="AD866" i="9"/>
  <c r="V866" i="9"/>
  <c r="AD858" i="9"/>
  <c r="V858" i="9"/>
  <c r="AD850" i="9"/>
  <c r="V850" i="9"/>
  <c r="AD842" i="9"/>
  <c r="V842" i="9"/>
  <c r="AD706" i="9"/>
  <c r="V706" i="9"/>
  <c r="AD698" i="9"/>
  <c r="V698" i="9"/>
  <c r="AD658" i="9"/>
  <c r="V658" i="9"/>
  <c r="AD650" i="9"/>
  <c r="V650" i="9"/>
  <c r="AD642" i="9"/>
  <c r="V642" i="9"/>
  <c r="AD634" i="9"/>
  <c r="V634" i="9"/>
  <c r="AD494" i="9"/>
  <c r="V494" i="9"/>
  <c r="AD490" i="9"/>
  <c r="V490" i="9"/>
  <c r="AD382" i="9"/>
  <c r="V382" i="9"/>
  <c r="AD378" i="9"/>
  <c r="V378" i="9"/>
  <c r="AD338" i="9"/>
  <c r="V338" i="9"/>
  <c r="AD330" i="9"/>
  <c r="V330" i="9"/>
  <c r="AD178" i="9"/>
  <c r="V178" i="9"/>
  <c r="AD170" i="9"/>
  <c r="V170" i="9"/>
  <c r="AD114" i="9"/>
  <c r="V114" i="9"/>
  <c r="AD106" i="9"/>
  <c r="V106" i="9"/>
  <c r="AD98" i="9"/>
  <c r="V98" i="9"/>
  <c r="AD94" i="9"/>
  <c r="V94" i="9"/>
  <c r="AD82" i="9"/>
  <c r="V82" i="9"/>
  <c r="AD62" i="9"/>
  <c r="V62" i="9"/>
  <c r="AD58" i="9"/>
  <c r="V58" i="9"/>
  <c r="AD50" i="9"/>
  <c r="V50" i="9"/>
  <c r="AD42" i="9"/>
  <c r="V42" i="9"/>
  <c r="AD34" i="9"/>
  <c r="V34" i="9"/>
  <c r="AD26" i="9"/>
  <c r="V26" i="9"/>
  <c r="AD14" i="9"/>
  <c r="V14" i="9"/>
  <c r="V1622" i="9"/>
  <c r="V1302" i="9"/>
  <c r="AD1697" i="9"/>
  <c r="AD1681" i="9"/>
  <c r="AD1665" i="9"/>
  <c r="AD1649" i="9"/>
  <c r="AD1633" i="9"/>
  <c r="AD1617" i="9"/>
  <c r="AD1601" i="9"/>
  <c r="AD1569" i="9"/>
  <c r="AD1553" i="9"/>
  <c r="AD1537" i="9"/>
  <c r="AD1521" i="9"/>
  <c r="AD1505" i="9"/>
  <c r="AD1489" i="9"/>
  <c r="AD1473" i="9"/>
  <c r="AD1457" i="9"/>
  <c r="AD1441" i="9"/>
  <c r="AD1437" i="9"/>
  <c r="AD1425" i="9"/>
  <c r="AD1409" i="9"/>
  <c r="AD1377" i="9"/>
  <c r="AD1361" i="9"/>
  <c r="AD1329" i="9"/>
  <c r="AD1325" i="9"/>
  <c r="AD1313" i="9"/>
  <c r="AD1297" i="9"/>
  <c r="AD1281" i="9"/>
  <c r="AD1277" i="9"/>
  <c r="AD1265" i="9"/>
  <c r="AD1249" i="9"/>
  <c r="AD1217" i="9"/>
  <c r="AD1185" i="9"/>
  <c r="AD1169" i="9"/>
  <c r="AD1137" i="9"/>
  <c r="AD1121" i="9"/>
  <c r="AD1117" i="9"/>
  <c r="AD1105" i="9"/>
  <c r="AD1085" i="9"/>
  <c r="AD1073" i="9"/>
  <c r="AD1069" i="9"/>
  <c r="AD1053" i="9"/>
  <c r="AD1041" i="9"/>
  <c r="AD1037" i="9"/>
  <c r="AD1025" i="9"/>
  <c r="AD1017" i="9"/>
  <c r="AD1013" i="9"/>
  <c r="AD997" i="9"/>
  <c r="AD1728" i="9"/>
  <c r="AD1724" i="9"/>
  <c r="AD1720" i="9"/>
  <c r="AD1716" i="9"/>
  <c r="AD1712" i="9"/>
  <c r="AD1708" i="9"/>
  <c r="AD1704" i="9"/>
  <c r="AD1700" i="9"/>
  <c r="AD1696" i="9"/>
  <c r="AD1692" i="9"/>
  <c r="AD1688" i="9"/>
  <c r="AD1684" i="9"/>
  <c r="AD1680" i="9"/>
  <c r="AD1676" i="9"/>
  <c r="AD1672" i="9"/>
  <c r="AD1668" i="9"/>
  <c r="AD1664" i="9"/>
  <c r="AD1660" i="9"/>
  <c r="AD1656" i="9"/>
  <c r="AD1652" i="9"/>
  <c r="AD1648" i="9"/>
  <c r="AD1644" i="9"/>
  <c r="AD1640" i="9"/>
  <c r="AD1636" i="9"/>
  <c r="AD1632" i="9"/>
  <c r="AD1628" i="9"/>
  <c r="AD1624" i="9"/>
  <c r="AD1620" i="9"/>
  <c r="AD1616" i="9"/>
  <c r="AD1612" i="9"/>
  <c r="AD1608" i="9"/>
  <c r="AD1604" i="9"/>
  <c r="AD1600" i="9"/>
  <c r="AD1596" i="9"/>
  <c r="AD1592" i="9"/>
  <c r="AD1588" i="9"/>
  <c r="AD1584" i="9"/>
  <c r="AD1580" i="9"/>
  <c r="AD1576" i="9"/>
  <c r="AD1572" i="9"/>
  <c r="AD1568" i="9"/>
  <c r="AD1564" i="9"/>
  <c r="AD1560" i="9"/>
  <c r="AD1556" i="9"/>
  <c r="AD1552" i="9"/>
  <c r="AD1548" i="9"/>
  <c r="AD1544" i="9"/>
  <c r="AD1540" i="9"/>
  <c r="AD1536" i="9"/>
  <c r="AD1532" i="9"/>
  <c r="AD1528" i="9"/>
  <c r="AD1524" i="9"/>
  <c r="AD1520" i="9"/>
  <c r="AD1516" i="9"/>
  <c r="AD1512" i="9"/>
  <c r="AD1508" i="9"/>
  <c r="AD1504" i="9"/>
  <c r="AD1500" i="9"/>
  <c r="AD1496" i="9"/>
  <c r="AD1492" i="9"/>
  <c r="AD1488" i="9"/>
  <c r="AD1484" i="9"/>
  <c r="AD1480" i="9"/>
  <c r="AD1476" i="9"/>
  <c r="AD1472" i="9"/>
  <c r="AD1468" i="9"/>
  <c r="AD1464" i="9"/>
  <c r="AD1460" i="9"/>
  <c r="AD1456" i="9"/>
  <c r="AD1452" i="9"/>
  <c r="AD1448" i="9"/>
  <c r="AD1444" i="9"/>
  <c r="AD1440" i="9"/>
  <c r="AD1436" i="9"/>
  <c r="AD1432" i="9"/>
  <c r="AD1428" i="9"/>
  <c r="AD1424" i="9"/>
  <c r="AD1420" i="9"/>
  <c r="AD1416" i="9"/>
  <c r="AD1412" i="9"/>
  <c r="AD1408" i="9"/>
  <c r="AD1404" i="9"/>
  <c r="AD1400" i="9"/>
  <c r="AD1396" i="9"/>
  <c r="AD1392" i="9"/>
  <c r="AD1388" i="9"/>
  <c r="AD1384" i="9"/>
  <c r="AD1380" i="9"/>
  <c r="AD1376" i="9"/>
  <c r="AD1372" i="9"/>
  <c r="AD1368" i="9"/>
  <c r="AD1364" i="9"/>
  <c r="AD1360" i="9"/>
  <c r="AD1356" i="9"/>
  <c r="AD1352" i="9"/>
  <c r="AD1348" i="9"/>
  <c r="AD1344" i="9"/>
  <c r="AD1340" i="9"/>
  <c r="AD1336" i="9"/>
  <c r="AD1332" i="9"/>
  <c r="AD1328" i="9"/>
  <c r="AD1324" i="9"/>
  <c r="AD1320" i="9"/>
  <c r="AD1316" i="9"/>
  <c r="AD1312" i="9"/>
  <c r="AD1308" i="9"/>
  <c r="AD1304" i="9"/>
  <c r="AD1300" i="9"/>
  <c r="AD1296" i="9"/>
  <c r="AD1292" i="9"/>
  <c r="AD1288" i="9"/>
  <c r="AD1284" i="9"/>
  <c r="AD1280" i="9"/>
  <c r="AD1276" i="9"/>
  <c r="AD1272" i="9"/>
  <c r="AD1268" i="9"/>
  <c r="AD1264" i="9"/>
  <c r="AD1260" i="9"/>
  <c r="AD1256" i="9"/>
  <c r="AD1252" i="9"/>
  <c r="AD1248" i="9"/>
  <c r="AD1244" i="9"/>
  <c r="AD1240" i="9"/>
  <c r="AD1236" i="9"/>
  <c r="AD1232" i="9"/>
  <c r="AD1228" i="9"/>
  <c r="AD1224" i="9"/>
  <c r="AD1220" i="9"/>
  <c r="AD1216" i="9"/>
  <c r="AD1212" i="9"/>
  <c r="AD1208" i="9"/>
  <c r="AD1204" i="9"/>
  <c r="AD1200" i="9"/>
  <c r="AD1196" i="9"/>
  <c r="AD1192" i="9"/>
  <c r="AD1188" i="9"/>
  <c r="AD1184" i="9"/>
  <c r="AD1180" i="9"/>
  <c r="AD1176" i="9"/>
  <c r="AD1172" i="9"/>
  <c r="AD1168" i="9"/>
  <c r="AD1164" i="9"/>
  <c r="AD1160" i="9"/>
  <c r="AD1156" i="9"/>
  <c r="AD1152" i="9"/>
  <c r="AD1148" i="9"/>
  <c r="AD1144" i="9"/>
  <c r="AD1140" i="9"/>
  <c r="AD1136" i="9"/>
  <c r="AD1132" i="9"/>
  <c r="AD1128" i="9"/>
  <c r="AD1124" i="9"/>
  <c r="AD1120" i="9"/>
  <c r="AD1116" i="9"/>
  <c r="AD1112" i="9"/>
  <c r="AD1108" i="9"/>
  <c r="AD1104" i="9"/>
  <c r="AD1100" i="9"/>
  <c r="AD1096" i="9"/>
  <c r="AD1092" i="9"/>
  <c r="AD1088" i="9"/>
  <c r="AD1084" i="9"/>
  <c r="AD1080" i="9"/>
  <c r="AD1076" i="9"/>
  <c r="AD1072" i="9"/>
  <c r="AD1068" i="9"/>
  <c r="AD1064" i="9"/>
  <c r="AD1060" i="9"/>
  <c r="AD1056" i="9"/>
  <c r="AD1052" i="9"/>
  <c r="AD1048" i="9"/>
  <c r="AD1044" i="9"/>
  <c r="AD1040" i="9"/>
  <c r="AD1036" i="9"/>
  <c r="AD1032" i="9"/>
  <c r="AD1028" i="9"/>
  <c r="AD1024" i="9"/>
  <c r="AD1020" i="9"/>
  <c r="AD1016" i="9"/>
  <c r="AD1012" i="9"/>
  <c r="AD1008" i="9"/>
  <c r="AD1004" i="9"/>
  <c r="AD1000" i="9"/>
  <c r="AD996" i="9"/>
  <c r="AD992" i="9"/>
  <c r="AD988" i="9"/>
  <c r="AD984" i="9"/>
  <c r="AD980" i="9"/>
  <c r="AD976" i="9"/>
  <c r="AD972" i="9"/>
  <c r="AD968" i="9"/>
  <c r="AD964" i="9"/>
  <c r="AD960" i="9"/>
  <c r="AD956" i="9"/>
  <c r="AD952" i="9"/>
  <c r="AD948" i="9"/>
  <c r="AD944" i="9"/>
  <c r="AD940" i="9"/>
  <c r="AD936" i="9"/>
  <c r="AD932" i="9"/>
  <c r="AD928" i="9"/>
  <c r="AD924" i="9"/>
  <c r="AD920" i="9"/>
  <c r="AD916" i="9"/>
  <c r="AD912" i="9"/>
  <c r="AD908" i="9"/>
  <c r="AD904" i="9"/>
  <c r="AD900" i="9"/>
  <c r="AD896" i="9"/>
  <c r="AD892" i="9"/>
  <c r="AD888" i="9"/>
  <c r="AD884" i="9"/>
  <c r="AD880" i="9"/>
  <c r="AD876" i="9"/>
  <c r="AD872" i="9"/>
  <c r="AD868" i="9"/>
  <c r="AD864" i="9"/>
  <c r="AD860" i="9"/>
  <c r="AD856" i="9"/>
  <c r="AD852" i="9"/>
  <c r="AD848" i="9"/>
  <c r="AD844" i="9"/>
  <c r="AD840" i="9"/>
  <c r="AD836" i="9"/>
  <c r="AD832" i="9"/>
  <c r="AD828" i="9"/>
  <c r="AD824" i="9"/>
  <c r="AD820" i="9"/>
  <c r="AD816" i="9"/>
  <c r="AD812" i="9"/>
  <c r="AD808" i="9"/>
  <c r="AD804" i="9"/>
  <c r="AD800" i="9"/>
  <c r="AD796" i="9"/>
  <c r="AD792" i="9"/>
  <c r="AD788" i="9"/>
  <c r="AD784" i="9"/>
  <c r="AD780" i="9"/>
  <c r="AD776" i="9"/>
  <c r="AD772" i="9"/>
  <c r="AD768" i="9"/>
  <c r="AD764" i="9"/>
  <c r="AD760" i="9"/>
  <c r="AD756" i="9"/>
  <c r="AD752" i="9"/>
  <c r="AD748" i="9"/>
  <c r="AD744" i="9"/>
  <c r="AD740" i="9"/>
  <c r="AD736" i="9"/>
  <c r="AD732" i="9"/>
  <c r="AD728" i="9"/>
  <c r="AD724" i="9"/>
  <c r="AD720" i="9"/>
  <c r="AD716" i="9"/>
  <c r="AD712" i="9"/>
  <c r="AD708" i="9"/>
  <c r="AD704" i="9"/>
  <c r="AD700" i="9"/>
  <c r="AD696" i="9"/>
  <c r="AD692" i="9"/>
  <c r="AD688" i="9"/>
  <c r="AD684" i="9"/>
  <c r="AD680" i="9"/>
  <c r="AD676" i="9"/>
  <c r="AD672" i="9"/>
  <c r="AD668" i="9"/>
  <c r="AD664" i="9"/>
  <c r="AD660" i="9"/>
  <c r="AD656" i="9"/>
  <c r="AD652" i="9"/>
  <c r="AD648" i="9"/>
  <c r="AD644" i="9"/>
  <c r="AD640" i="9"/>
  <c r="AD636" i="9"/>
  <c r="AD632" i="9"/>
  <c r="AD628" i="9"/>
  <c r="AD624" i="9"/>
  <c r="AD620" i="9"/>
  <c r="AD616" i="9"/>
  <c r="AD612" i="9"/>
  <c r="AD608" i="9"/>
  <c r="AD604" i="9"/>
  <c r="AD600" i="9"/>
  <c r="AD596" i="9"/>
  <c r="AD592" i="9"/>
  <c r="AD588" i="9"/>
  <c r="AD584" i="9"/>
  <c r="AD580" i="9"/>
  <c r="AD576" i="9"/>
  <c r="AD572" i="9"/>
  <c r="AD568" i="9"/>
  <c r="AD564" i="9"/>
  <c r="AD560" i="9"/>
  <c r="AD556" i="9"/>
  <c r="AD552" i="9"/>
  <c r="AD548" i="9"/>
  <c r="AD544" i="9"/>
  <c r="AD540" i="9"/>
  <c r="AD536" i="9"/>
  <c r="AD532" i="9"/>
  <c r="AD528" i="9"/>
  <c r="AD524" i="9"/>
  <c r="AD520" i="9"/>
  <c r="AD516" i="9"/>
  <c r="AD512" i="9"/>
  <c r="AD508" i="9"/>
  <c r="AD504" i="9"/>
  <c r="AD500" i="9"/>
  <c r="AD496" i="9"/>
  <c r="AD492" i="9"/>
  <c r="AD488" i="9"/>
  <c r="AD484" i="9"/>
  <c r="AD480" i="9"/>
  <c r="AD476" i="9"/>
  <c r="AD472" i="9"/>
  <c r="AD468" i="9"/>
  <c r="AD464" i="9"/>
  <c r="AD460" i="9"/>
  <c r="AD456" i="9"/>
  <c r="AD452" i="9"/>
  <c r="AD448" i="9"/>
  <c r="AD444" i="9"/>
  <c r="AD440" i="9"/>
  <c r="AD436" i="9"/>
  <c r="AD432" i="9"/>
  <c r="AD428" i="9"/>
  <c r="AD424" i="9"/>
  <c r="AD420" i="9"/>
  <c r="AD416" i="9"/>
  <c r="AD412" i="9"/>
  <c r="AD408" i="9"/>
  <c r="AD404" i="9"/>
  <c r="AD400" i="9"/>
  <c r="AD396" i="9"/>
  <c r="AD392" i="9"/>
  <c r="AD388" i="9"/>
  <c r="AD384" i="9"/>
  <c r="AD380" i="9"/>
  <c r="AD376" i="9"/>
  <c r="AD372" i="9"/>
  <c r="AD368" i="9"/>
  <c r="AD364" i="9"/>
  <c r="AD360" i="9"/>
  <c r="AD356" i="9"/>
  <c r="AD352" i="9"/>
  <c r="AD348" i="9"/>
  <c r="AD344" i="9"/>
  <c r="AD340" i="9"/>
  <c r="AD336" i="9"/>
  <c r="AD332" i="9"/>
  <c r="AD328" i="9"/>
  <c r="AD324" i="9"/>
  <c r="AD320" i="9"/>
  <c r="AD316" i="9"/>
  <c r="AD312" i="9"/>
  <c r="AD308" i="9"/>
  <c r="AD304" i="9"/>
  <c r="AD300" i="9"/>
  <c r="AD296" i="9"/>
  <c r="AD292" i="9"/>
  <c r="AD288" i="9"/>
  <c r="AD284" i="9"/>
  <c r="AD280" i="9"/>
  <c r="AD276" i="9"/>
  <c r="AD272" i="9"/>
  <c r="AD268" i="9"/>
  <c r="AD264" i="9"/>
  <c r="AD260" i="9"/>
  <c r="AD256" i="9"/>
  <c r="AD252" i="9"/>
  <c r="AD248" i="9"/>
  <c r="AD244" i="9"/>
  <c r="AD240" i="9"/>
  <c r="AD236" i="9"/>
  <c r="AD232" i="9"/>
  <c r="AD228" i="9"/>
  <c r="AD224" i="9"/>
  <c r="AD220" i="9"/>
  <c r="AD216" i="9"/>
  <c r="AD212" i="9"/>
  <c r="AD208" i="9"/>
  <c r="AD204" i="9"/>
  <c r="AD200" i="9"/>
  <c r="AD196" i="9"/>
  <c r="AD192" i="9"/>
  <c r="AD188" i="9"/>
  <c r="AD184" i="9"/>
  <c r="AD180" i="9"/>
  <c r="AD176" i="9"/>
  <c r="AD172" i="9"/>
  <c r="AD168" i="9"/>
  <c r="AD164" i="9"/>
  <c r="AD160" i="9"/>
  <c r="AD156" i="9"/>
  <c r="AD152" i="9"/>
  <c r="AD148" i="9"/>
  <c r="AD144" i="9"/>
  <c r="AD140" i="9"/>
  <c r="AD136" i="9"/>
  <c r="AD132" i="9"/>
  <c r="AD128" i="9"/>
  <c r="AD124" i="9"/>
  <c r="AD120" i="9"/>
  <c r="AD116" i="9"/>
  <c r="AD112" i="9"/>
  <c r="AD108" i="9"/>
  <c r="AD104" i="9"/>
  <c r="AD100" i="9"/>
  <c r="AD96" i="9"/>
  <c r="AD92" i="9"/>
  <c r="AD88" i="9"/>
  <c r="AD84" i="9"/>
  <c r="AD80" i="9"/>
  <c r="AD76" i="9"/>
  <c r="AD72" i="9"/>
  <c r="AD68" i="9"/>
  <c r="AD64" i="9"/>
  <c r="AD60" i="9"/>
  <c r="AD56" i="9"/>
  <c r="AD52" i="9"/>
  <c r="AD48" i="9"/>
  <c r="AD44" i="9"/>
  <c r="AD40" i="9"/>
  <c r="AD36" i="9"/>
  <c r="AD32" i="9"/>
  <c r="AD28" i="9"/>
  <c r="AD24" i="9"/>
  <c r="AD20" i="9"/>
  <c r="AD16" i="9"/>
  <c r="V1728" i="9"/>
  <c r="V1724" i="9"/>
  <c r="V1720" i="9"/>
  <c r="V1716" i="9"/>
  <c r="V1712" i="9"/>
  <c r="V1708" i="9"/>
  <c r="V1704" i="9"/>
  <c r="V1700" i="9"/>
  <c r="V1696" i="9"/>
  <c r="V1692" i="9"/>
  <c r="V1688" i="9"/>
  <c r="V1684" i="9"/>
  <c r="V1680" i="9"/>
  <c r="V1676" i="9"/>
  <c r="V1672" i="9"/>
  <c r="V1668" i="9"/>
  <c r="V1664" i="9"/>
  <c r="V1660" i="9"/>
  <c r="V1656" i="9"/>
  <c r="V1652" i="9"/>
  <c r="V1648" i="9"/>
  <c r="V1644" i="9"/>
  <c r="V1640" i="9"/>
  <c r="V1636" i="9"/>
  <c r="V1632" i="9"/>
  <c r="V1628" i="9"/>
  <c r="V1624" i="9"/>
  <c r="V1620" i="9"/>
  <c r="V1616" i="9"/>
  <c r="V1612" i="9"/>
  <c r="V1608" i="9"/>
  <c r="V1604" i="9"/>
  <c r="V1600" i="9"/>
  <c r="V1596" i="9"/>
  <c r="V1592" i="9"/>
  <c r="V1588" i="9"/>
  <c r="V1584" i="9"/>
  <c r="V1580" i="9"/>
  <c r="V1576" i="9"/>
  <c r="V1572" i="9"/>
  <c r="V1568" i="9"/>
  <c r="V1564" i="9"/>
  <c r="V1560" i="9"/>
  <c r="V1556" i="9"/>
  <c r="V1552" i="9"/>
  <c r="V1548" i="9"/>
  <c r="V1544" i="9"/>
  <c r="V1540" i="9"/>
  <c r="V1536" i="9"/>
  <c r="V1532" i="9"/>
  <c r="V1528" i="9"/>
  <c r="V1524" i="9"/>
  <c r="V1520" i="9"/>
  <c r="V1516" i="9"/>
  <c r="V1512" i="9"/>
  <c r="V1508" i="9"/>
  <c r="V1504" i="9"/>
  <c r="V1500" i="9"/>
  <c r="V1496" i="9"/>
  <c r="V1492" i="9"/>
  <c r="V1488" i="9"/>
  <c r="V1484" i="9"/>
  <c r="V1480" i="9"/>
  <c r="V1476" i="9"/>
  <c r="V1472" i="9"/>
  <c r="V1468" i="9"/>
  <c r="V1464" i="9"/>
  <c r="V1460" i="9"/>
  <c r="V1456" i="9"/>
  <c r="V1452" i="9"/>
  <c r="V1448" i="9"/>
  <c r="V1444" i="9"/>
  <c r="V1440" i="9"/>
  <c r="V1436" i="9"/>
  <c r="V1432" i="9"/>
  <c r="V1428" i="9"/>
  <c r="V1424" i="9"/>
  <c r="V1420" i="9"/>
  <c r="V1416" i="9"/>
  <c r="V1412" i="9"/>
  <c r="V1408" i="9"/>
  <c r="V1404" i="9"/>
  <c r="V1400" i="9"/>
  <c r="V1396" i="9"/>
  <c r="V1392" i="9"/>
  <c r="V1388" i="9"/>
  <c r="V1384" i="9"/>
  <c r="V1380" i="9"/>
  <c r="V1376" i="9"/>
  <c r="V1372" i="9"/>
  <c r="V1368" i="9"/>
  <c r="V1364" i="9"/>
  <c r="V1360" i="9"/>
  <c r="V1356" i="9"/>
  <c r="V1352" i="9"/>
  <c r="V1348" i="9"/>
  <c r="V1344" i="9"/>
  <c r="V1340" i="9"/>
  <c r="V1336" i="9"/>
  <c r="V1332" i="9"/>
  <c r="V1328" i="9"/>
  <c r="V1324" i="9"/>
  <c r="V1320" i="9"/>
  <c r="V1316" i="9"/>
  <c r="V1312" i="9"/>
  <c r="V1308" i="9"/>
  <c r="V1304" i="9"/>
  <c r="V1300" i="9"/>
  <c r="V1296" i="9"/>
  <c r="V1292" i="9"/>
  <c r="V1288" i="9"/>
  <c r="V1284" i="9"/>
  <c r="V1280" i="9"/>
  <c r="V1276" i="9"/>
  <c r="V1272" i="9"/>
  <c r="V1268" i="9"/>
  <c r="V1264" i="9"/>
  <c r="V1260" i="9"/>
  <c r="V1256" i="9"/>
  <c r="V1252" i="9"/>
  <c r="V1248" i="9"/>
  <c r="V1244" i="9"/>
  <c r="V1240" i="9"/>
  <c r="V1236" i="9"/>
  <c r="V1232" i="9"/>
  <c r="V1228" i="9"/>
  <c r="V1224" i="9"/>
  <c r="V1220" i="9"/>
  <c r="V1216" i="9"/>
  <c r="V1212" i="9"/>
  <c r="V1208" i="9"/>
  <c r="V1204" i="9"/>
  <c r="V1200" i="9"/>
  <c r="V1196" i="9"/>
  <c r="V1192" i="9"/>
  <c r="V1188" i="9"/>
  <c r="V1184" i="9"/>
  <c r="V1180" i="9"/>
  <c r="V1176" i="9"/>
  <c r="V1172" i="9"/>
  <c r="V1168" i="9"/>
  <c r="V1164" i="9"/>
  <c r="V1160" i="9"/>
  <c r="V1156" i="9"/>
  <c r="V1152" i="9"/>
  <c r="V1148" i="9"/>
  <c r="V1144" i="9"/>
  <c r="V1140" i="9"/>
  <c r="V1136" i="9"/>
  <c r="V1132" i="9"/>
  <c r="V1128" i="9"/>
  <c r="V1124" i="9"/>
  <c r="V1120" i="9"/>
  <c r="V1116" i="9"/>
  <c r="V1112" i="9"/>
  <c r="V1108" i="9"/>
  <c r="V1104" i="9"/>
  <c r="V1100" i="9"/>
  <c r="V1096" i="9"/>
  <c r="V1092" i="9"/>
  <c r="V1088" i="9"/>
  <c r="V1084" i="9"/>
  <c r="V1080" i="9"/>
  <c r="V1076" i="9"/>
  <c r="V1072" i="9"/>
  <c r="V1068" i="9"/>
  <c r="V1064" i="9"/>
  <c r="V1060" i="9"/>
  <c r="V1056" i="9"/>
  <c r="V1052" i="9"/>
  <c r="V1048" i="9"/>
  <c r="V1044" i="9"/>
  <c r="V1040" i="9"/>
  <c r="V1036" i="9"/>
  <c r="V1032" i="9"/>
  <c r="V1028" i="9"/>
  <c r="V1024" i="9"/>
  <c r="V1020" i="9"/>
  <c r="V1016" i="9"/>
  <c r="V1012" i="9"/>
  <c r="V1008" i="9"/>
  <c r="V1004" i="9"/>
  <c r="V1000" i="9"/>
  <c r="V996" i="9"/>
  <c r="V992" i="9"/>
  <c r="V988" i="9"/>
  <c r="V984" i="9"/>
  <c r="V980" i="9"/>
  <c r="V976" i="9"/>
  <c r="V972" i="9"/>
  <c r="V968" i="9"/>
  <c r="V964" i="9"/>
  <c r="V960" i="9"/>
  <c r="V956" i="9"/>
  <c r="V952" i="9"/>
  <c r="V948" i="9"/>
  <c r="V944" i="9"/>
  <c r="V940" i="9"/>
  <c r="V936" i="9"/>
  <c r="V932" i="9"/>
  <c r="V928" i="9"/>
  <c r="V924" i="9"/>
  <c r="V920" i="9"/>
  <c r="V916" i="9"/>
  <c r="V912" i="9"/>
  <c r="V908" i="9"/>
  <c r="V904" i="9"/>
  <c r="V900" i="9"/>
  <c r="V896" i="9"/>
  <c r="V892" i="9"/>
  <c r="V888" i="9"/>
  <c r="V884" i="9"/>
  <c r="V880" i="9"/>
  <c r="V876" i="9"/>
  <c r="V872" i="9"/>
  <c r="V868" i="9"/>
  <c r="V864" i="9"/>
  <c r="V860" i="9"/>
  <c r="V856" i="9"/>
  <c r="V852" i="9"/>
  <c r="V848" i="9"/>
  <c r="V844" i="9"/>
  <c r="V840" i="9"/>
  <c r="V836" i="9"/>
  <c r="V832" i="9"/>
  <c r="V828" i="9"/>
  <c r="V824" i="9"/>
  <c r="V820" i="9"/>
  <c r="V816" i="9"/>
  <c r="V812" i="9"/>
  <c r="V808" i="9"/>
  <c r="V804" i="9"/>
  <c r="V800" i="9"/>
  <c r="V796" i="9"/>
  <c r="V792" i="9"/>
  <c r="V788" i="9"/>
  <c r="V784" i="9"/>
  <c r="V780" i="9"/>
  <c r="V776" i="9"/>
  <c r="V772" i="9"/>
  <c r="V768" i="9"/>
  <c r="V764" i="9"/>
  <c r="V760" i="9"/>
  <c r="V756" i="9"/>
  <c r="V752" i="9"/>
  <c r="V748" i="9"/>
  <c r="V744" i="9"/>
  <c r="V740" i="9"/>
  <c r="V736" i="9"/>
  <c r="V732" i="9"/>
  <c r="V728" i="9"/>
  <c r="V1718" i="9"/>
  <c r="V1654" i="9"/>
  <c r="V1590" i="9"/>
  <c r="V1526" i="9"/>
  <c r="V1462" i="9"/>
  <c r="V1398" i="9"/>
  <c r="V1334" i="9"/>
  <c r="V1270" i="9"/>
  <c r="V1206" i="9"/>
  <c r="V1142" i="9"/>
  <c r="V1078" i="9"/>
  <c r="V1014" i="9"/>
  <c r="V950" i="9"/>
  <c r="V886" i="9"/>
  <c r="V822" i="9"/>
  <c r="V758" i="9"/>
  <c r="V694" i="9"/>
  <c r="V630" i="9"/>
  <c r="V566" i="9"/>
  <c r="V502" i="9"/>
  <c r="V438" i="9"/>
  <c r="V374" i="9"/>
  <c r="V310" i="9"/>
  <c r="V246" i="9"/>
  <c r="V182" i="9"/>
  <c r="V118" i="9"/>
  <c r="V54" i="9"/>
  <c r="V1727" i="9"/>
  <c r="V1723" i="9"/>
  <c r="V1719" i="9"/>
  <c r="V1715" i="9"/>
  <c r="V1711" i="9"/>
  <c r="V1707" i="9"/>
  <c r="V1703" i="9"/>
  <c r="V1699" i="9"/>
  <c r="V1695" i="9"/>
  <c r="V1691" i="9"/>
  <c r="V1687" i="9"/>
  <c r="V1683" i="9"/>
  <c r="V1679" i="9"/>
  <c r="V1675" i="9"/>
  <c r="V1671" i="9"/>
  <c r="V1667" i="9"/>
  <c r="V1663" i="9"/>
  <c r="V1659" i="9"/>
  <c r="V1655" i="9"/>
  <c r="V1651" i="9"/>
  <c r="V1647" i="9"/>
  <c r="V1643" i="9"/>
  <c r="V1639" i="9"/>
  <c r="V1635" i="9"/>
  <c r="V1631" i="9"/>
  <c r="V1627" i="9"/>
  <c r="V1623" i="9"/>
  <c r="V1619" i="9"/>
  <c r="V1615" i="9"/>
  <c r="V1611" i="9"/>
  <c r="V1607" i="9"/>
  <c r="V1603" i="9"/>
  <c r="V1599" i="9"/>
  <c r="V1595" i="9"/>
  <c r="V1591" i="9"/>
  <c r="V1587" i="9"/>
  <c r="V1583" i="9"/>
  <c r="V1579" i="9"/>
  <c r="V1575" i="9"/>
  <c r="V1571" i="9"/>
  <c r="V1567" i="9"/>
  <c r="V1563" i="9"/>
  <c r="V1559" i="9"/>
  <c r="V1555" i="9"/>
  <c r="V1551" i="9"/>
  <c r="V1547" i="9"/>
  <c r="V1543" i="9"/>
  <c r="V1539" i="9"/>
  <c r="V1535" i="9"/>
  <c r="V1531" i="9"/>
  <c r="V1527" i="9"/>
  <c r="V1523" i="9"/>
  <c r="V1519" i="9"/>
  <c r="V1515" i="9"/>
  <c r="V1511" i="9"/>
  <c r="V1507" i="9"/>
  <c r="V1503" i="9"/>
  <c r="V1499" i="9"/>
  <c r="V1495" i="9"/>
  <c r="V1491" i="9"/>
  <c r="V1487" i="9"/>
  <c r="V1483" i="9"/>
  <c r="V1479" i="9"/>
  <c r="V1475" i="9"/>
  <c r="V1471" i="9"/>
  <c r="V1467" i="9"/>
  <c r="V1463" i="9"/>
  <c r="V1459" i="9"/>
  <c r="V1455" i="9"/>
  <c r="V1451" i="9"/>
  <c r="V1447" i="9"/>
  <c r="V1443" i="9"/>
  <c r="V1439" i="9"/>
  <c r="V1435" i="9"/>
  <c r="V1431" i="9"/>
  <c r="V1427" i="9"/>
  <c r="V1423" i="9"/>
  <c r="V1419" i="9"/>
  <c r="V1415" i="9"/>
  <c r="V1411" i="9"/>
  <c r="V1407" i="9"/>
  <c r="V1403" i="9"/>
  <c r="V1399" i="9"/>
  <c r="V1395" i="9"/>
  <c r="V1391" i="9"/>
  <c r="V1387" i="9"/>
  <c r="V1383" i="9"/>
  <c r="V1379" i="9"/>
  <c r="V1375" i="9"/>
  <c r="V1371" i="9"/>
  <c r="V1367" i="9"/>
  <c r="V1363" i="9"/>
  <c r="V1359" i="9"/>
  <c r="V1355" i="9"/>
  <c r="V1351" i="9"/>
  <c r="V1347" i="9"/>
  <c r="V1343" i="9"/>
  <c r="V1339" i="9"/>
  <c r="V1335" i="9"/>
  <c r="V1331" i="9"/>
  <c r="V1327" i="9"/>
  <c r="V1323" i="9"/>
  <c r="V1319" i="9"/>
  <c r="V1315" i="9"/>
  <c r="V1311" i="9"/>
  <c r="V1307" i="9"/>
  <c r="V1303" i="9"/>
  <c r="V1299" i="9"/>
  <c r="V1295" i="9"/>
  <c r="V1291" i="9"/>
  <c r="V1287" i="9"/>
  <c r="V1283" i="9"/>
  <c r="V1279" i="9"/>
  <c r="V1275" i="9"/>
  <c r="V1271" i="9"/>
  <c r="V1267" i="9"/>
  <c r="V1263" i="9"/>
  <c r="V1259" i="9"/>
  <c r="V1255" i="9"/>
  <c r="V1251" i="9"/>
  <c r="V1247" i="9"/>
  <c r="V1243" i="9"/>
  <c r="V1239" i="9"/>
  <c r="V1235" i="9"/>
  <c r="V1231" i="9"/>
  <c r="V1227" i="9"/>
  <c r="V1223" i="9"/>
  <c r="V1219" i="9"/>
  <c r="V1215" i="9"/>
  <c r="V1211" i="9"/>
  <c r="V1207" i="9"/>
  <c r="V1203" i="9"/>
  <c r="V1199" i="9"/>
  <c r="V1195" i="9"/>
  <c r="V1191" i="9"/>
  <c r="V1187" i="9"/>
  <c r="V1183" i="9"/>
  <c r="V1179" i="9"/>
  <c r="V1175" i="9"/>
  <c r="V1171" i="9"/>
  <c r="V1167" i="9"/>
  <c r="V1163" i="9"/>
  <c r="V1159" i="9"/>
  <c r="V1155" i="9"/>
  <c r="V1151" i="9"/>
  <c r="V1147" i="9"/>
  <c r="V1143" i="9"/>
  <c r="V1139" i="9"/>
  <c r="V1135" i="9"/>
  <c r="V1131" i="9"/>
  <c r="V1127" i="9"/>
  <c r="V1123" i="9"/>
  <c r="V1119" i="9"/>
  <c r="V1115" i="9"/>
  <c r="V1111" i="9"/>
  <c r="V1107" i="9"/>
  <c r="V1103" i="9"/>
  <c r="V1099" i="9"/>
  <c r="V1095" i="9"/>
  <c r="V1091" i="9"/>
  <c r="V1087" i="9"/>
  <c r="V1083" i="9"/>
  <c r="V1079" i="9"/>
  <c r="V1075" i="9"/>
  <c r="V1071" i="9"/>
  <c r="V1067" i="9"/>
  <c r="V1063" i="9"/>
  <c r="V1059" i="9"/>
  <c r="V1055" i="9"/>
  <c r="V1051" i="9"/>
  <c r="V1047" i="9"/>
  <c r="V1043" i="9"/>
  <c r="V1039" i="9"/>
  <c r="V1035" i="9"/>
  <c r="V1031" i="9"/>
  <c r="V1027" i="9"/>
  <c r="V1023" i="9"/>
  <c r="V1019" i="9"/>
  <c r="V1015" i="9"/>
  <c r="V1011" i="9"/>
  <c r="V1007" i="9"/>
  <c r="V1003" i="9"/>
  <c r="V999" i="9"/>
  <c r="V995" i="9"/>
  <c r="V991" i="9"/>
  <c r="V987" i="9"/>
  <c r="V983" i="9"/>
  <c r="V979" i="9"/>
  <c r="V975" i="9"/>
  <c r="V971" i="9"/>
  <c r="V967" i="9"/>
  <c r="V963" i="9"/>
  <c r="V959" i="9"/>
  <c r="V955" i="9"/>
  <c r="V951" i="9"/>
  <c r="V947" i="9"/>
  <c r="V943" i="9"/>
  <c r="V939" i="9"/>
  <c r="V935" i="9"/>
  <c r="V931" i="9"/>
  <c r="V927" i="9"/>
  <c r="V923" i="9"/>
  <c r="V919" i="9"/>
  <c r="V915" i="9"/>
  <c r="V911" i="9"/>
  <c r="V907" i="9"/>
  <c r="V903" i="9"/>
  <c r="V899" i="9"/>
  <c r="V895" i="9"/>
  <c r="V891" i="9"/>
  <c r="V887" i="9"/>
  <c r="V883" i="9"/>
  <c r="V879" i="9"/>
  <c r="V875" i="9"/>
  <c r="V871" i="9"/>
  <c r="V867" i="9"/>
  <c r="V863" i="9"/>
  <c r="V859" i="9"/>
  <c r="V855" i="9"/>
  <c r="V851" i="9"/>
  <c r="V847" i="9"/>
  <c r="V843" i="9"/>
  <c r="V839" i="9"/>
  <c r="V835" i="9"/>
  <c r="V831" i="9"/>
  <c r="V827" i="9"/>
  <c r="V823" i="9"/>
  <c r="V819" i="9"/>
  <c r="V815" i="9"/>
  <c r="V811" i="9"/>
  <c r="V807" i="9"/>
  <c r="V803" i="9"/>
  <c r="V799" i="9"/>
  <c r="V795" i="9"/>
  <c r="V791" i="9"/>
  <c r="V787" i="9"/>
  <c r="V783" i="9"/>
  <c r="V779" i="9"/>
  <c r="V775" i="9"/>
  <c r="V771" i="9"/>
  <c r="V767" i="9"/>
  <c r="V763" i="9"/>
  <c r="V759" i="9"/>
  <c r="V755" i="9"/>
  <c r="V751" i="9"/>
  <c r="V747" i="9"/>
  <c r="V743" i="9"/>
  <c r="V739" i="9"/>
  <c r="V735" i="9"/>
  <c r="V731" i="9"/>
  <c r="V727" i="9"/>
  <c r="V723" i="9"/>
  <c r="V719" i="9"/>
  <c r="V715" i="9"/>
  <c r="V711" i="9"/>
  <c r="V707" i="9"/>
  <c r="V703" i="9"/>
  <c r="V699" i="9"/>
  <c r="V695" i="9"/>
  <c r="V691" i="9"/>
  <c r="V687" i="9"/>
  <c r="V683" i="9"/>
  <c r="V679" i="9"/>
  <c r="V675" i="9"/>
  <c r="V671" i="9"/>
  <c r="V667" i="9"/>
  <c r="V663" i="9"/>
  <c r="V659" i="9"/>
  <c r="V655" i="9"/>
  <c r="V651" i="9"/>
  <c r="V647" i="9"/>
  <c r="V643" i="9"/>
  <c r="V639" i="9"/>
  <c r="V635" i="9"/>
  <c r="V631" i="9"/>
  <c r="V627" i="9"/>
  <c r="V623" i="9"/>
  <c r="V619" i="9"/>
  <c r="V615" i="9"/>
  <c r="V611" i="9"/>
  <c r="V607" i="9"/>
  <c r="V603" i="9"/>
  <c r="V599" i="9"/>
  <c r="V595" i="9"/>
  <c r="V591" i="9"/>
  <c r="V587" i="9"/>
  <c r="V583" i="9"/>
  <c r="V579" i="9"/>
  <c r="V575" i="9"/>
  <c r="V571" i="9"/>
  <c r="V567" i="9"/>
  <c r="V563" i="9"/>
  <c r="V559" i="9"/>
  <c r="V555" i="9"/>
  <c r="V551" i="9"/>
  <c r="V547" i="9"/>
  <c r="V543" i="9"/>
  <c r="V539" i="9"/>
  <c r="V535" i="9"/>
  <c r="V531" i="9"/>
  <c r="V527" i="9"/>
  <c r="V523" i="9"/>
  <c r="V519" i="9"/>
  <c r="V515" i="9"/>
  <c r="V511" i="9"/>
  <c r="V507" i="9"/>
  <c r="V503" i="9"/>
  <c r="V499" i="9"/>
  <c r="V495" i="9"/>
  <c r="V491" i="9"/>
  <c r="V487" i="9"/>
  <c r="V483" i="9"/>
  <c r="V479" i="9"/>
  <c r="V475" i="9"/>
  <c r="V471" i="9"/>
  <c r="V467" i="9"/>
  <c r="V463" i="9"/>
  <c r="V459" i="9"/>
  <c r="V455" i="9"/>
  <c r="V451" i="9"/>
  <c r="V447" i="9"/>
  <c r="V443" i="9"/>
  <c r="V439" i="9"/>
  <c r="V435" i="9"/>
  <c r="V431" i="9"/>
  <c r="V427" i="9"/>
  <c r="V423" i="9"/>
  <c r="V419" i="9"/>
  <c r="V415" i="9"/>
  <c r="V411" i="9"/>
  <c r="V407" i="9"/>
  <c r="V403" i="9"/>
  <c r="V399" i="9"/>
  <c r="V395" i="9"/>
  <c r="V391" i="9"/>
  <c r="V387" i="9"/>
  <c r="V383" i="9"/>
  <c r="V379" i="9"/>
  <c r="V375" i="9"/>
  <c r="V371" i="9"/>
  <c r="V367" i="9"/>
  <c r="V363" i="9"/>
  <c r="V359" i="9"/>
  <c r="V355" i="9"/>
  <c r="V351" i="9"/>
  <c r="V347" i="9"/>
  <c r="V343" i="9"/>
  <c r="V339" i="9"/>
  <c r="V335" i="9"/>
  <c r="V331" i="9"/>
  <c r="V327" i="9"/>
  <c r="V323" i="9"/>
  <c r="V319" i="9"/>
  <c r="V315" i="9"/>
  <c r="V311" i="9"/>
  <c r="V307" i="9"/>
  <c r="V303" i="9"/>
  <c r="V299" i="9"/>
  <c r="V295" i="9"/>
  <c r="V291" i="9"/>
  <c r="V287" i="9"/>
  <c r="V283" i="9"/>
  <c r="V279" i="9"/>
  <c r="V275" i="9"/>
  <c r="V271" i="9"/>
  <c r="V267" i="9"/>
  <c r="V263" i="9"/>
  <c r="V259" i="9"/>
  <c r="V255" i="9"/>
  <c r="V251" i="9"/>
  <c r="V247" i="9"/>
  <c r="V243" i="9"/>
  <c r="V239" i="9"/>
  <c r="V235" i="9"/>
  <c r="V231" i="9"/>
  <c r="V227" i="9"/>
  <c r="V223" i="9"/>
  <c r="V219" i="9"/>
  <c r="V215" i="9"/>
  <c r="V211" i="9"/>
  <c r="V207" i="9"/>
  <c r="V203" i="9"/>
  <c r="V199" i="9"/>
  <c r="V195" i="9"/>
  <c r="V191" i="9"/>
  <c r="V187" i="9"/>
  <c r="V183" i="9"/>
  <c r="V179" i="9"/>
  <c r="V175" i="9"/>
  <c r="V171" i="9"/>
  <c r="V167" i="9"/>
  <c r="V163" i="9"/>
  <c r="V159" i="9"/>
  <c r="V155" i="9"/>
  <c r="V151" i="9"/>
  <c r="V147" i="9"/>
  <c r="V143" i="9"/>
  <c r="V139" i="9"/>
  <c r="V135" i="9"/>
  <c r="V131" i="9"/>
  <c r="V127" i="9"/>
  <c r="V123" i="9"/>
  <c r="V119" i="9"/>
  <c r="V115" i="9"/>
  <c r="V111" i="9"/>
  <c r="V107" i="9"/>
  <c r="V103" i="9"/>
  <c r="V99" i="9"/>
  <c r="V95" i="9"/>
  <c r="V91" i="9"/>
  <c r="V87" i="9"/>
  <c r="V83" i="9"/>
  <c r="V79" i="9"/>
  <c r="V75" i="9"/>
  <c r="V71" i="9"/>
  <c r="V67" i="9"/>
  <c r="V63" i="9"/>
  <c r="V59" i="9"/>
  <c r="V55" i="9"/>
  <c r="V51" i="9"/>
  <c r="V47" i="9"/>
  <c r="V43" i="9"/>
  <c r="V39" i="9"/>
  <c r="V35" i="9"/>
  <c r="V31" i="9"/>
  <c r="V27" i="9"/>
  <c r="V23" i="9"/>
  <c r="V19" i="9"/>
  <c r="V15" i="9"/>
  <c r="V724" i="9"/>
  <c r="V720" i="9"/>
  <c r="V716" i="9"/>
  <c r="V712" i="9"/>
  <c r="V708" i="9"/>
  <c r="V704" i="9"/>
  <c r="V700" i="9"/>
  <c r="V696" i="9"/>
  <c r="V692" i="9"/>
  <c r="V688" i="9"/>
  <c r="V684" i="9"/>
  <c r="V680" i="9"/>
  <c r="V676" i="9"/>
  <c r="V672" i="9"/>
  <c r="V668" i="9"/>
  <c r="V664" i="9"/>
  <c r="V660" i="9"/>
  <c r="V656" i="9"/>
  <c r="V652" i="9"/>
  <c r="V648" i="9"/>
  <c r="V644" i="9"/>
  <c r="V640" i="9"/>
  <c r="V636" i="9"/>
  <c r="V632" i="9"/>
  <c r="V628" i="9"/>
  <c r="V624" i="9"/>
  <c r="V620" i="9"/>
  <c r="V616" i="9"/>
  <c r="V612" i="9"/>
  <c r="V608" i="9"/>
  <c r="V604" i="9"/>
  <c r="V600" i="9"/>
  <c r="V596" i="9"/>
  <c r="V592" i="9"/>
  <c r="V588" i="9"/>
  <c r="V584" i="9"/>
  <c r="V580" i="9"/>
  <c r="V576" i="9"/>
  <c r="V572" i="9"/>
  <c r="V568" i="9"/>
  <c r="V564" i="9"/>
  <c r="V560" i="9"/>
  <c r="V556" i="9"/>
  <c r="V552" i="9"/>
  <c r="V548" i="9"/>
  <c r="V544" i="9"/>
  <c r="V540" i="9"/>
  <c r="V536" i="9"/>
  <c r="V532" i="9"/>
  <c r="V528" i="9"/>
  <c r="V524" i="9"/>
  <c r="V520" i="9"/>
  <c r="V516" i="9"/>
  <c r="V512" i="9"/>
  <c r="V508" i="9"/>
  <c r="V504" i="9"/>
  <c r="V500" i="9"/>
  <c r="V496" i="9"/>
  <c r="V492" i="9"/>
  <c r="V488" i="9"/>
  <c r="V484" i="9"/>
  <c r="V480" i="9"/>
  <c r="V476" i="9"/>
  <c r="V472" i="9"/>
  <c r="V468" i="9"/>
  <c r="V464" i="9"/>
  <c r="V460" i="9"/>
  <c r="V456" i="9"/>
  <c r="V452" i="9"/>
  <c r="V448" i="9"/>
  <c r="V444" i="9"/>
  <c r="V440" i="9"/>
  <c r="V436" i="9"/>
  <c r="V432" i="9"/>
  <c r="V428" i="9"/>
  <c r="V424" i="9"/>
  <c r="V420" i="9"/>
  <c r="V416" i="9"/>
  <c r="V412" i="9"/>
  <c r="V408" i="9"/>
  <c r="V404" i="9"/>
  <c r="V400" i="9"/>
  <c r="V396" i="9"/>
  <c r="V392" i="9"/>
  <c r="V388" i="9"/>
  <c r="V384" i="9"/>
  <c r="V380" i="9"/>
  <c r="V376" i="9"/>
  <c r="V372" i="9"/>
  <c r="V368" i="9"/>
  <c r="V364" i="9"/>
  <c r="V360" i="9"/>
  <c r="V356" i="9"/>
  <c r="V352" i="9"/>
  <c r="V348" i="9"/>
  <c r="V344" i="9"/>
  <c r="V340" i="9"/>
  <c r="V336" i="9"/>
  <c r="V332" i="9"/>
  <c r="V328" i="9"/>
  <c r="V324" i="9"/>
  <c r="V320" i="9"/>
  <c r="V316" i="9"/>
  <c r="V312" i="9"/>
  <c r="V308" i="9"/>
  <c r="V304" i="9"/>
  <c r="V300" i="9"/>
  <c r="V296" i="9"/>
  <c r="V292" i="9"/>
  <c r="V288" i="9"/>
  <c r="V284" i="9"/>
  <c r="V280" i="9"/>
  <c r="V276" i="9"/>
  <c r="V272" i="9"/>
  <c r="V268" i="9"/>
  <c r="V264" i="9"/>
  <c r="V260" i="9"/>
  <c r="V256" i="9"/>
  <c r="V252" i="9"/>
  <c r="V248" i="9"/>
  <c r="V244" i="9"/>
  <c r="V240" i="9"/>
  <c r="V236" i="9"/>
  <c r="V232" i="9"/>
  <c r="V228" i="9"/>
  <c r="V224" i="9"/>
  <c r="V220" i="9"/>
  <c r="V216" i="9"/>
  <c r="V212" i="9"/>
  <c r="V208" i="9"/>
  <c r="V204" i="9"/>
  <c r="V200" i="9"/>
  <c r="V196" i="9"/>
  <c r="V192" i="9"/>
  <c r="V188" i="9"/>
  <c r="V184" i="9"/>
  <c r="V180" i="9"/>
  <c r="V176" i="9"/>
  <c r="V172" i="9"/>
  <c r="V168" i="9"/>
  <c r="V164" i="9"/>
  <c r="V160" i="9"/>
  <c r="V156" i="9"/>
  <c r="V152" i="9"/>
  <c r="V148" i="9"/>
  <c r="V144" i="9"/>
  <c r="V140" i="9"/>
  <c r="V136" i="9"/>
  <c r="V132" i="9"/>
  <c r="V128" i="9"/>
  <c r="V124" i="9"/>
  <c r="V120" i="9"/>
  <c r="V116" i="9"/>
  <c r="V112" i="9"/>
  <c r="V108" i="9"/>
  <c r="V104" i="9"/>
  <c r="V100" i="9"/>
  <c r="V96" i="9"/>
  <c r="V92" i="9"/>
  <c r="V88" i="9"/>
  <c r="V84" i="9"/>
  <c r="V80" i="9"/>
  <c r="V76" i="9"/>
  <c r="V72" i="9"/>
  <c r="V68" i="9"/>
  <c r="V64" i="9"/>
  <c r="V60" i="9"/>
  <c r="V56" i="9"/>
  <c r="V52" i="9"/>
  <c r="V48" i="9"/>
  <c r="V44" i="9"/>
  <c r="V40" i="9"/>
  <c r="V36" i="9"/>
  <c r="V32" i="9"/>
  <c r="V28" i="9"/>
  <c r="V24" i="9"/>
  <c r="V20" i="9"/>
  <c r="V16" i="9"/>
  <c r="C50" i="26"/>
  <c r="B50" i="26" s="1"/>
  <c r="G31" i="26"/>
  <c r="E16" i="26" l="1"/>
  <c r="F16" i="26"/>
  <c r="J16" i="26"/>
  <c r="H16" i="26"/>
  <c r="L16" i="26"/>
  <c r="B32" i="26"/>
  <c r="H32" i="26" s="1"/>
  <c r="B17" i="26"/>
  <c r="B33" i="26" s="1"/>
  <c r="K16" i="26"/>
  <c r="I31" i="26"/>
  <c r="J31" i="26"/>
  <c r="C16" i="26"/>
  <c r="I11" i="26"/>
  <c r="D11" i="26"/>
  <c r="F11" i="26"/>
  <c r="G11" i="26"/>
  <c r="C11" i="26"/>
  <c r="H11" i="26"/>
  <c r="E11" i="26"/>
  <c r="E12" i="26"/>
  <c r="H12" i="26"/>
  <c r="C12" i="26"/>
  <c r="F12" i="26"/>
  <c r="G12" i="26"/>
  <c r="D12" i="26"/>
  <c r="G9" i="26"/>
  <c r="D9" i="26"/>
  <c r="E9" i="26"/>
  <c r="C9" i="26"/>
  <c r="I9" i="26"/>
  <c r="J9" i="26"/>
  <c r="K9" i="26"/>
  <c r="F9" i="26"/>
  <c r="H9" i="26"/>
  <c r="D16" i="26"/>
  <c r="F14" i="26"/>
  <c r="C14" i="26"/>
  <c r="E14" i="26"/>
  <c r="D14" i="26"/>
  <c r="F8" i="26"/>
  <c r="D8" i="26"/>
  <c r="I8" i="26"/>
  <c r="J8" i="26"/>
  <c r="L8" i="26"/>
  <c r="C8" i="26"/>
  <c r="C24" i="26" s="1"/>
  <c r="H8" i="26"/>
  <c r="K8" i="26"/>
  <c r="G8" i="26"/>
  <c r="E8" i="26"/>
  <c r="D13" i="26"/>
  <c r="G13" i="26"/>
  <c r="C13" i="26"/>
  <c r="E13" i="26"/>
  <c r="F13" i="26"/>
  <c r="D15" i="26"/>
  <c r="E15" i="26"/>
  <c r="C15" i="26"/>
  <c r="G10" i="26"/>
  <c r="H10" i="26"/>
  <c r="I10" i="26"/>
  <c r="C10" i="26"/>
  <c r="D10" i="26"/>
  <c r="F10" i="26"/>
  <c r="E10" i="26"/>
  <c r="J10" i="26"/>
  <c r="I17" i="26"/>
  <c r="E17" i="26"/>
  <c r="G17" i="26"/>
  <c r="J17" i="26"/>
  <c r="F17" i="26"/>
  <c r="L17" i="26"/>
  <c r="H17" i="26"/>
  <c r="D17" i="26"/>
  <c r="K17" i="26"/>
  <c r="C17" i="26"/>
  <c r="C7" i="14"/>
  <c r="D6" i="14"/>
  <c r="I32" i="26"/>
  <c r="J32" i="26"/>
  <c r="C25" i="26"/>
  <c r="F57" i="26"/>
  <c r="F58" i="26" s="1"/>
  <c r="F59" i="26" s="1"/>
  <c r="F60" i="26" s="1"/>
  <c r="F61" i="26" s="1"/>
  <c r="F62" i="26" s="1"/>
  <c r="F63" i="26" s="1"/>
  <c r="F64" i="26" s="1"/>
  <c r="F65" i="26" s="1"/>
  <c r="A11" i="12"/>
  <c r="B11" i="12" s="1"/>
  <c r="G7" i="9"/>
  <c r="G32" i="26"/>
  <c r="E32" i="26"/>
  <c r="F32" i="26"/>
  <c r="K32" i="26"/>
  <c r="L32" i="26"/>
  <c r="G33" i="26"/>
  <c r="C51" i="26"/>
  <c r="B51" i="26" s="1"/>
  <c r="L33" i="26"/>
  <c r="D33" i="26"/>
  <c r="J33" i="26"/>
  <c r="F33" i="26"/>
  <c r="E33" i="26" l="1"/>
  <c r="D7" i="14"/>
  <c r="C8" i="14"/>
  <c r="I33" i="26"/>
  <c r="H33" i="26"/>
  <c r="K33" i="26"/>
  <c r="D25" i="26"/>
  <c r="Y13" i="9"/>
  <c r="Y17" i="9"/>
  <c r="Y21" i="9"/>
  <c r="Y25" i="9"/>
  <c r="Y29" i="9"/>
  <c r="Y33" i="9"/>
  <c r="Y37" i="9"/>
  <c r="Y41" i="9"/>
  <c r="Y45" i="9"/>
  <c r="Y49" i="9"/>
  <c r="Y53" i="9"/>
  <c r="Y57" i="9"/>
  <c r="Y61" i="9"/>
  <c r="Y65" i="9"/>
  <c r="Y69" i="9"/>
  <c r="Y73" i="9"/>
  <c r="Y77" i="9"/>
  <c r="Y81" i="9"/>
  <c r="Y85" i="9"/>
  <c r="Y89" i="9"/>
  <c r="Y93" i="9"/>
  <c r="Y97" i="9"/>
  <c r="Y101" i="9"/>
  <c r="Y105" i="9"/>
  <c r="Y109" i="9"/>
  <c r="Y113" i="9"/>
  <c r="Y117" i="9"/>
  <c r="Y121" i="9"/>
  <c r="Y125" i="9"/>
  <c r="Y129" i="9"/>
  <c r="Y133" i="9"/>
  <c r="Y137" i="9"/>
  <c r="Y141" i="9"/>
  <c r="Y145" i="9"/>
  <c r="Y149" i="9"/>
  <c r="Y153" i="9"/>
  <c r="Y157" i="9"/>
  <c r="Y161" i="9"/>
  <c r="Y165" i="9"/>
  <c r="Y169" i="9"/>
  <c r="Y173" i="9"/>
  <c r="Y177" i="9"/>
  <c r="Y181" i="9"/>
  <c r="Y185" i="9"/>
  <c r="Y189" i="9"/>
  <c r="Y193" i="9"/>
  <c r="Y197" i="9"/>
  <c r="Y201" i="9"/>
  <c r="Y205" i="9"/>
  <c r="Y209" i="9"/>
  <c r="Y213" i="9"/>
  <c r="Y217" i="9"/>
  <c r="Y221" i="9"/>
  <c r="Y225" i="9"/>
  <c r="Y229" i="9"/>
  <c r="Y233" i="9"/>
  <c r="Y237" i="9"/>
  <c r="Y241" i="9"/>
  <c r="Y245" i="9"/>
  <c r="Y249" i="9"/>
  <c r="Y253" i="9"/>
  <c r="Y257" i="9"/>
  <c r="Y261" i="9"/>
  <c r="Y265" i="9"/>
  <c r="Y269" i="9"/>
  <c r="Y273" i="9"/>
  <c r="Y277" i="9"/>
  <c r="Y281" i="9"/>
  <c r="Y285" i="9"/>
  <c r="Y289" i="9"/>
  <c r="Y293" i="9"/>
  <c r="Y297" i="9"/>
  <c r="Y301" i="9"/>
  <c r="Y305" i="9"/>
  <c r="Y309" i="9"/>
  <c r="Y313" i="9"/>
  <c r="Y317" i="9"/>
  <c r="Y321" i="9"/>
  <c r="Y325" i="9"/>
  <c r="Y329" i="9"/>
  <c r="Y333" i="9"/>
  <c r="Y337" i="9"/>
  <c r="Y341" i="9"/>
  <c r="Y345" i="9"/>
  <c r="Y349" i="9"/>
  <c r="Y353" i="9"/>
  <c r="Y357" i="9"/>
  <c r="Y361" i="9"/>
  <c r="Y365" i="9"/>
  <c r="Y369" i="9"/>
  <c r="Y373" i="9"/>
  <c r="Y377" i="9"/>
  <c r="Y381" i="9"/>
  <c r="Y385" i="9"/>
  <c r="Y389" i="9"/>
  <c r="Y393" i="9"/>
  <c r="Y397" i="9"/>
  <c r="Y401" i="9"/>
  <c r="Y405" i="9"/>
  <c r="Y409" i="9"/>
  <c r="Y413" i="9"/>
  <c r="Y417" i="9"/>
  <c r="Y421" i="9"/>
  <c r="Y14" i="9"/>
  <c r="Y18" i="9"/>
  <c r="Y22" i="9"/>
  <c r="Y26" i="9"/>
  <c r="Y30" i="9"/>
  <c r="Y34" i="9"/>
  <c r="Y38" i="9"/>
  <c r="Y42" i="9"/>
  <c r="Y46" i="9"/>
  <c r="Y50" i="9"/>
  <c r="Y54" i="9"/>
  <c r="Y58" i="9"/>
  <c r="Y62" i="9"/>
  <c r="Y66" i="9"/>
  <c r="Y70" i="9"/>
  <c r="Y74" i="9"/>
  <c r="Y78" i="9"/>
  <c r="Y82" i="9"/>
  <c r="Y86" i="9"/>
  <c r="Y90" i="9"/>
  <c r="Y94" i="9"/>
  <c r="Y98" i="9"/>
  <c r="Y102" i="9"/>
  <c r="Y106" i="9"/>
  <c r="Y110" i="9"/>
  <c r="Y114" i="9"/>
  <c r="Y118" i="9"/>
  <c r="Y122" i="9"/>
  <c r="Y126" i="9"/>
  <c r="Y130" i="9"/>
  <c r="Y134" i="9"/>
  <c r="Y138" i="9"/>
  <c r="Y142" i="9"/>
  <c r="Y146" i="9"/>
  <c r="Y150" i="9"/>
  <c r="Y154" i="9"/>
  <c r="Y158" i="9"/>
  <c r="Y162" i="9"/>
  <c r="Y166" i="9"/>
  <c r="Y170" i="9"/>
  <c r="Y174" i="9"/>
  <c r="Y178" i="9"/>
  <c r="Y182" i="9"/>
  <c r="Y186" i="9"/>
  <c r="Y190" i="9"/>
  <c r="Y194" i="9"/>
  <c r="Y198" i="9"/>
  <c r="Y202" i="9"/>
  <c r="Y206" i="9"/>
  <c r="Y210" i="9"/>
  <c r="Y214" i="9"/>
  <c r="Y218" i="9"/>
  <c r="Y222" i="9"/>
  <c r="Y226" i="9"/>
  <c r="Y230" i="9"/>
  <c r="Y234" i="9"/>
  <c r="Y238" i="9"/>
  <c r="Y242" i="9"/>
  <c r="Y246" i="9"/>
  <c r="Y250" i="9"/>
  <c r="Y254" i="9"/>
  <c r="Y258" i="9"/>
  <c r="Y262" i="9"/>
  <c r="Y266" i="9"/>
  <c r="Y270" i="9"/>
  <c r="Y274" i="9"/>
  <c r="Y278" i="9"/>
  <c r="Y282" i="9"/>
  <c r="Y286" i="9"/>
  <c r="Y290" i="9"/>
  <c r="Y294" i="9"/>
  <c r="Y298" i="9"/>
  <c r="Y302" i="9"/>
  <c r="Y306" i="9"/>
  <c r="Y310" i="9"/>
  <c r="Y314" i="9"/>
  <c r="Y318" i="9"/>
  <c r="Y19" i="9"/>
  <c r="Y27" i="9"/>
  <c r="Y35" i="9"/>
  <c r="Y43" i="9"/>
  <c r="Y51" i="9"/>
  <c r="Y59" i="9"/>
  <c r="Y67" i="9"/>
  <c r="Y75" i="9"/>
  <c r="Y83" i="9"/>
  <c r="Y91" i="9"/>
  <c r="Y99" i="9"/>
  <c r="Y107" i="9"/>
  <c r="Y115" i="9"/>
  <c r="Y123" i="9"/>
  <c r="Y131" i="9"/>
  <c r="Y139" i="9"/>
  <c r="Y147" i="9"/>
  <c r="Y155" i="9"/>
  <c r="Y163" i="9"/>
  <c r="Y171" i="9"/>
  <c r="Y179" i="9"/>
  <c r="Y187" i="9"/>
  <c r="Y195" i="9"/>
  <c r="Y203" i="9"/>
  <c r="Y211" i="9"/>
  <c r="Y219" i="9"/>
  <c r="Y227" i="9"/>
  <c r="Y235" i="9"/>
  <c r="Y243" i="9"/>
  <c r="Y251" i="9"/>
  <c r="Y259" i="9"/>
  <c r="Y267" i="9"/>
  <c r="Y275" i="9"/>
  <c r="Y283" i="9"/>
  <c r="Y291" i="9"/>
  <c r="Y299" i="9"/>
  <c r="Y307" i="9"/>
  <c r="Y315" i="9"/>
  <c r="Y322" i="9"/>
  <c r="Y327" i="9"/>
  <c r="Y332" i="9"/>
  <c r="Y338" i="9"/>
  <c r="Y343" i="9"/>
  <c r="Y348" i="9"/>
  <c r="Y354" i="9"/>
  <c r="Y359" i="9"/>
  <c r="Y364" i="9"/>
  <c r="Y370" i="9"/>
  <c r="Y375" i="9"/>
  <c r="Y380" i="9"/>
  <c r="Y386" i="9"/>
  <c r="Y391" i="9"/>
  <c r="Y396" i="9"/>
  <c r="Y402" i="9"/>
  <c r="Y407" i="9"/>
  <c r="Y412" i="9"/>
  <c r="Y418" i="9"/>
  <c r="Y423" i="9"/>
  <c r="Y427" i="9"/>
  <c r="Y431" i="9"/>
  <c r="Y435" i="9"/>
  <c r="Y439" i="9"/>
  <c r="Y443" i="9"/>
  <c r="Y447" i="9"/>
  <c r="Y451" i="9"/>
  <c r="Y455" i="9"/>
  <c r="Y459" i="9"/>
  <c r="Y463" i="9"/>
  <c r="Y467" i="9"/>
  <c r="Y471" i="9"/>
  <c r="Y475" i="9"/>
  <c r="Y479" i="9"/>
  <c r="Y483" i="9"/>
  <c r="Y487" i="9"/>
  <c r="Y491" i="9"/>
  <c r="Y495" i="9"/>
  <c r="Y499" i="9"/>
  <c r="Y503" i="9"/>
  <c r="Y507" i="9"/>
  <c r="Y511" i="9"/>
  <c r="Y515" i="9"/>
  <c r="Y519" i="9"/>
  <c r="Y523" i="9"/>
  <c r="Y527" i="9"/>
  <c r="Y531" i="9"/>
  <c r="Y535" i="9"/>
  <c r="Y539" i="9"/>
  <c r="Y543" i="9"/>
  <c r="Y547" i="9"/>
  <c r="Y551" i="9"/>
  <c r="Y555" i="9"/>
  <c r="Y559" i="9"/>
  <c r="Y563" i="9"/>
  <c r="Y567" i="9"/>
  <c r="Y571" i="9"/>
  <c r="Y575" i="9"/>
  <c r="Y579" i="9"/>
  <c r="Y583" i="9"/>
  <c r="Y587" i="9"/>
  <c r="Y591" i="9"/>
  <c r="Y595" i="9"/>
  <c r="Y599" i="9"/>
  <c r="Y603" i="9"/>
  <c r="Y607" i="9"/>
  <c r="Y611" i="9"/>
  <c r="Y615" i="9"/>
  <c r="Y619" i="9"/>
  <c r="Y623" i="9"/>
  <c r="Y627" i="9"/>
  <c r="Y631" i="9"/>
  <c r="Y635" i="9"/>
  <c r="Y639" i="9"/>
  <c r="Y643" i="9"/>
  <c r="Y647" i="9"/>
  <c r="Y651" i="9"/>
  <c r="Y655" i="9"/>
  <c r="Y659" i="9"/>
  <c r="Y663" i="9"/>
  <c r="Y667" i="9"/>
  <c r="Y671" i="9"/>
  <c r="Y675" i="9"/>
  <c r="Y679" i="9"/>
  <c r="Y683" i="9"/>
  <c r="Y687" i="9"/>
  <c r="Y691" i="9"/>
  <c r="Y695" i="9"/>
  <c r="Y699" i="9"/>
  <c r="Y703" i="9"/>
  <c r="Y707" i="9"/>
  <c r="Y711" i="9"/>
  <c r="Y715" i="9"/>
  <c r="Y719" i="9"/>
  <c r="Y723" i="9"/>
  <c r="Y727" i="9"/>
  <c r="Y731" i="9"/>
  <c r="Y735" i="9"/>
  <c r="Y739" i="9"/>
  <c r="Y743" i="9"/>
  <c r="Y747" i="9"/>
  <c r="Y751" i="9"/>
  <c r="Y755" i="9"/>
  <c r="Y759" i="9"/>
  <c r="Y763" i="9"/>
  <c r="Y767" i="9"/>
  <c r="Y771" i="9"/>
  <c r="Y775" i="9"/>
  <c r="Y779" i="9"/>
  <c r="Y783" i="9"/>
  <c r="Y787" i="9"/>
  <c r="Y791" i="9"/>
  <c r="Y795" i="9"/>
  <c r="Y799" i="9"/>
  <c r="Y803" i="9"/>
  <c r="Y807" i="9"/>
  <c r="Y811" i="9"/>
  <c r="Y815" i="9"/>
  <c r="Y819" i="9"/>
  <c r="Y823" i="9"/>
  <c r="Y827" i="9"/>
  <c r="Y831" i="9"/>
  <c r="Y835" i="9"/>
  <c r="Y839" i="9"/>
  <c r="Y843" i="9"/>
  <c r="Y847" i="9"/>
  <c r="Y851" i="9"/>
  <c r="Y855" i="9"/>
  <c r="Y859" i="9"/>
  <c r="Y863" i="9"/>
  <c r="Y867" i="9"/>
  <c r="Y871" i="9"/>
  <c r="Y875" i="9"/>
  <c r="Y879" i="9"/>
  <c r="Y883" i="9"/>
  <c r="Y887" i="9"/>
  <c r="Y891" i="9"/>
  <c r="Y895" i="9"/>
  <c r="Y899" i="9"/>
  <c r="Y903" i="9"/>
  <c r="Y907" i="9"/>
  <c r="Y911" i="9"/>
  <c r="Y915" i="9"/>
  <c r="Y919" i="9"/>
  <c r="Y923" i="9"/>
  <c r="Y927" i="9"/>
  <c r="Y931" i="9"/>
  <c r="Y935" i="9"/>
  <c r="Y939" i="9"/>
  <c r="Y943" i="9"/>
  <c r="Y947" i="9"/>
  <c r="Y951" i="9"/>
  <c r="Y955" i="9"/>
  <c r="Y959" i="9"/>
  <c r="Y963" i="9"/>
  <c r="Y967" i="9"/>
  <c r="Y971" i="9"/>
  <c r="Y975" i="9"/>
  <c r="Y979" i="9"/>
  <c r="Y983" i="9"/>
  <c r="Y987" i="9"/>
  <c r="Y991" i="9"/>
  <c r="Y995" i="9"/>
  <c r="Y999" i="9"/>
  <c r="Y1003" i="9"/>
  <c r="Y1007" i="9"/>
  <c r="Y1011" i="9"/>
  <c r="Y1015" i="9"/>
  <c r="Y1019" i="9"/>
  <c r="Y1023" i="9"/>
  <c r="Y1027" i="9"/>
  <c r="Y1031" i="9"/>
  <c r="Y1035" i="9"/>
  <c r="Y1039" i="9"/>
  <c r="Y1043" i="9"/>
  <c r="Y1047" i="9"/>
  <c r="Y1051" i="9"/>
  <c r="Y1055" i="9"/>
  <c r="Y1059" i="9"/>
  <c r="Y1063" i="9"/>
  <c r="Y1067" i="9"/>
  <c r="Y1071" i="9"/>
  <c r="Y1075" i="9"/>
  <c r="Y1079" i="9"/>
  <c r="Y1083" i="9"/>
  <c r="Y1087" i="9"/>
  <c r="Y1091" i="9"/>
  <c r="Y1095" i="9"/>
  <c r="Y1099" i="9"/>
  <c r="Y1103" i="9"/>
  <c r="Y1107" i="9"/>
  <c r="Y1111" i="9"/>
  <c r="Y1115" i="9"/>
  <c r="Y1119" i="9"/>
  <c r="Y1123" i="9"/>
  <c r="Y1127" i="9"/>
  <c r="Y1131" i="9"/>
  <c r="Y1135" i="9"/>
  <c r="Y1139" i="9"/>
  <c r="Y1143" i="9"/>
  <c r="Y1147" i="9"/>
  <c r="Y1151" i="9"/>
  <c r="Y1155" i="9"/>
  <c r="Y1159" i="9"/>
  <c r="Y1163" i="9"/>
  <c r="Y1167" i="9"/>
  <c r="Y1171" i="9"/>
  <c r="Y1175" i="9"/>
  <c r="Y1179" i="9"/>
  <c r="Y1183" i="9"/>
  <c r="Y1187" i="9"/>
  <c r="Y1191" i="9"/>
  <c r="Y1195" i="9"/>
  <c r="Y1199" i="9"/>
  <c r="Y1203" i="9"/>
  <c r="Y1207" i="9"/>
  <c r="Y1211" i="9"/>
  <c r="Y1215" i="9"/>
  <c r="Y1219" i="9"/>
  <c r="Y1223" i="9"/>
  <c r="Y1227" i="9"/>
  <c r="Y1231" i="9"/>
  <c r="Y1235" i="9"/>
  <c r="Y1239" i="9"/>
  <c r="Y1243" i="9"/>
  <c r="Y1247" i="9"/>
  <c r="Y1251" i="9"/>
  <c r="Y1255" i="9"/>
  <c r="Y1259" i="9"/>
  <c r="Y1263" i="9"/>
  <c r="Y1267" i="9"/>
  <c r="Y1271" i="9"/>
  <c r="Y1275" i="9"/>
  <c r="Y1279" i="9"/>
  <c r="Y1283" i="9"/>
  <c r="Y1287" i="9"/>
  <c r="Y1291" i="9"/>
  <c r="Y1295" i="9"/>
  <c r="Y1299" i="9"/>
  <c r="Y1303" i="9"/>
  <c r="Y1307" i="9"/>
  <c r="Y1311" i="9"/>
  <c r="Y1315" i="9"/>
  <c r="Y1319" i="9"/>
  <c r="Y1323" i="9"/>
  <c r="Y1327" i="9"/>
  <c r="Y1331" i="9"/>
  <c r="Y1335" i="9"/>
  <c r="Y1339" i="9"/>
  <c r="Y1343" i="9"/>
  <c r="Y1347" i="9"/>
  <c r="Y1351" i="9"/>
  <c r="Y1355" i="9"/>
  <c r="Y1359" i="9"/>
  <c r="Y1363" i="9"/>
  <c r="Y1367" i="9"/>
  <c r="Y1371" i="9"/>
  <c r="Y1375" i="9"/>
  <c r="Y1379" i="9"/>
  <c r="Y1383" i="9"/>
  <c r="Y1387" i="9"/>
  <c r="Y1391" i="9"/>
  <c r="Y1395" i="9"/>
  <c r="Y1399" i="9"/>
  <c r="Y1403" i="9"/>
  <c r="Y1407" i="9"/>
  <c r="Y1411" i="9"/>
  <c r="Y1415" i="9"/>
  <c r="Y1419" i="9"/>
  <c r="Y1423" i="9"/>
  <c r="Y1427" i="9"/>
  <c r="Y1431" i="9"/>
  <c r="Y1435" i="9"/>
  <c r="Y1439" i="9"/>
  <c r="Y1443" i="9"/>
  <c r="Y1447" i="9"/>
  <c r="Y1451" i="9"/>
  <c r="Y1455" i="9"/>
  <c r="Y1459" i="9"/>
  <c r="Y1463" i="9"/>
  <c r="Y1467" i="9"/>
  <c r="Y1471" i="9"/>
  <c r="Y1475" i="9"/>
  <c r="Y1479" i="9"/>
  <c r="Y1483" i="9"/>
  <c r="Y1487" i="9"/>
  <c r="Y1491" i="9"/>
  <c r="Y1495" i="9"/>
  <c r="Y1499" i="9"/>
  <c r="Y1503" i="9"/>
  <c r="Y1507" i="9"/>
  <c r="Y1511" i="9"/>
  <c r="Y1515" i="9"/>
  <c r="Y1519" i="9"/>
  <c r="Y1523" i="9"/>
  <c r="Y1527" i="9"/>
  <c r="Y1531" i="9"/>
  <c r="Y1535" i="9"/>
  <c r="Y1539" i="9"/>
  <c r="Y1543" i="9"/>
  <c r="Y1547" i="9"/>
  <c r="Y1551" i="9"/>
  <c r="Y1555" i="9"/>
  <c r="Y1559" i="9"/>
  <c r="Y1563" i="9"/>
  <c r="Y1567" i="9"/>
  <c r="Y1571" i="9"/>
  <c r="Y1575" i="9"/>
  <c r="Y1579" i="9"/>
  <c r="Y1583" i="9"/>
  <c r="Y1587" i="9"/>
  <c r="Y1591" i="9"/>
  <c r="Y1595" i="9"/>
  <c r="Y1599" i="9"/>
  <c r="Y1603" i="9"/>
  <c r="Y1607" i="9"/>
  <c r="Y1611" i="9"/>
  <c r="Y1615" i="9"/>
  <c r="Y1619" i="9"/>
  <c r="Y1623" i="9"/>
  <c r="Y1627" i="9"/>
  <c r="Y1631" i="9"/>
  <c r="Y1635" i="9"/>
  <c r="Y1639" i="9"/>
  <c r="Y1643" i="9"/>
  <c r="Y1647" i="9"/>
  <c r="Y1651" i="9"/>
  <c r="Y1655" i="9"/>
  <c r="Y1659" i="9"/>
  <c r="Y1663" i="9"/>
  <c r="Y1667" i="9"/>
  <c r="Y1671" i="9"/>
  <c r="Y1675" i="9"/>
  <c r="Y1679" i="9"/>
  <c r="Y1683" i="9"/>
  <c r="Y1687" i="9"/>
  <c r="Y1691" i="9"/>
  <c r="Y1695" i="9"/>
  <c r="Y1699" i="9"/>
  <c r="Y1703" i="9"/>
  <c r="Y1707" i="9"/>
  <c r="Y1711" i="9"/>
  <c r="Y1715" i="9"/>
  <c r="Y1719" i="9"/>
  <c r="Y1723" i="9"/>
  <c r="Y1727" i="9"/>
  <c r="X13" i="9"/>
  <c r="X17" i="9"/>
  <c r="X21" i="9"/>
  <c r="X25" i="9"/>
  <c r="X29" i="9"/>
  <c r="X33" i="9"/>
  <c r="X37" i="9"/>
  <c r="X41" i="9"/>
  <c r="X45" i="9"/>
  <c r="X49" i="9"/>
  <c r="X53" i="9"/>
  <c r="X57" i="9"/>
  <c r="X61" i="9"/>
  <c r="X65" i="9"/>
  <c r="X69" i="9"/>
  <c r="X73" i="9"/>
  <c r="X77" i="9"/>
  <c r="X81" i="9"/>
  <c r="X85" i="9"/>
  <c r="X89" i="9"/>
  <c r="X93" i="9"/>
  <c r="X97" i="9"/>
  <c r="X101" i="9"/>
  <c r="X105" i="9"/>
  <c r="X109" i="9"/>
  <c r="X113" i="9"/>
  <c r="X117" i="9"/>
  <c r="X121" i="9"/>
  <c r="X125" i="9"/>
  <c r="X129" i="9"/>
  <c r="X133" i="9"/>
  <c r="X137" i="9"/>
  <c r="X141" i="9"/>
  <c r="X145" i="9"/>
  <c r="X149" i="9"/>
  <c r="X153" i="9"/>
  <c r="X157" i="9"/>
  <c r="X161" i="9"/>
  <c r="X165" i="9"/>
  <c r="X169" i="9"/>
  <c r="X173" i="9"/>
  <c r="X177" i="9"/>
  <c r="X181" i="9"/>
  <c r="X185" i="9"/>
  <c r="X189" i="9"/>
  <c r="X193" i="9"/>
  <c r="X197" i="9"/>
  <c r="X201" i="9"/>
  <c r="X205" i="9"/>
  <c r="X209" i="9"/>
  <c r="X213" i="9"/>
  <c r="X217" i="9"/>
  <c r="X221" i="9"/>
  <c r="X225" i="9"/>
  <c r="X229" i="9"/>
  <c r="X233" i="9"/>
  <c r="X237" i="9"/>
  <c r="X241" i="9"/>
  <c r="X245" i="9"/>
  <c r="X249" i="9"/>
  <c r="X253" i="9"/>
  <c r="X257" i="9"/>
  <c r="X261" i="9"/>
  <c r="X265" i="9"/>
  <c r="X269" i="9"/>
  <c r="X273" i="9"/>
  <c r="X277" i="9"/>
  <c r="X281" i="9"/>
  <c r="X285" i="9"/>
  <c r="X289" i="9"/>
  <c r="X293" i="9"/>
  <c r="X297" i="9"/>
  <c r="X301" i="9"/>
  <c r="X305" i="9"/>
  <c r="X309" i="9"/>
  <c r="X313" i="9"/>
  <c r="X317" i="9"/>
  <c r="X321" i="9"/>
  <c r="X325" i="9"/>
  <c r="X329" i="9"/>
  <c r="X333" i="9"/>
  <c r="X337" i="9"/>
  <c r="X341" i="9"/>
  <c r="X345" i="9"/>
  <c r="X349" i="9"/>
  <c r="X353" i="9"/>
  <c r="X357" i="9"/>
  <c r="X361" i="9"/>
  <c r="X365" i="9"/>
  <c r="X369" i="9"/>
  <c r="X373" i="9"/>
  <c r="X377" i="9"/>
  <c r="X381" i="9"/>
  <c r="X385" i="9"/>
  <c r="X389" i="9"/>
  <c r="X393" i="9"/>
  <c r="X397" i="9"/>
  <c r="X401" i="9"/>
  <c r="X405" i="9"/>
  <c r="X409" i="9"/>
  <c r="X413" i="9"/>
  <c r="X417" i="9"/>
  <c r="X421" i="9"/>
  <c r="X425" i="9"/>
  <c r="X429" i="9"/>
  <c r="X433" i="9"/>
  <c r="X437" i="9"/>
  <c r="X441" i="9"/>
  <c r="X445" i="9"/>
  <c r="X449" i="9"/>
  <c r="X453" i="9"/>
  <c r="X457" i="9"/>
  <c r="X461" i="9"/>
  <c r="X465" i="9"/>
  <c r="X469" i="9"/>
  <c r="X473" i="9"/>
  <c r="X477" i="9"/>
  <c r="X481" i="9"/>
  <c r="X485" i="9"/>
  <c r="X489" i="9"/>
  <c r="X493" i="9"/>
  <c r="X497" i="9"/>
  <c r="X501" i="9"/>
  <c r="X505" i="9"/>
  <c r="X509" i="9"/>
  <c r="X513" i="9"/>
  <c r="X517" i="9"/>
  <c r="X521" i="9"/>
  <c r="X525" i="9"/>
  <c r="X529" i="9"/>
  <c r="X533" i="9"/>
  <c r="X537" i="9"/>
  <c r="X541" i="9"/>
  <c r="X545" i="9"/>
  <c r="X549" i="9"/>
  <c r="X553" i="9"/>
  <c r="X557" i="9"/>
  <c r="X561" i="9"/>
  <c r="X565" i="9"/>
  <c r="X569" i="9"/>
  <c r="X573" i="9"/>
  <c r="X577" i="9"/>
  <c r="X581" i="9"/>
  <c r="X585" i="9"/>
  <c r="X589" i="9"/>
  <c r="X593" i="9"/>
  <c r="X597" i="9"/>
  <c r="X601" i="9"/>
  <c r="X605" i="9"/>
  <c r="X609" i="9"/>
  <c r="X613" i="9"/>
  <c r="X617" i="9"/>
  <c r="X621" i="9"/>
  <c r="X625" i="9"/>
  <c r="X629" i="9"/>
  <c r="X633" i="9"/>
  <c r="X637" i="9"/>
  <c r="X641" i="9"/>
  <c r="X645" i="9"/>
  <c r="X649" i="9"/>
  <c r="X653" i="9"/>
  <c r="X657" i="9"/>
  <c r="X661" i="9"/>
  <c r="X665" i="9"/>
  <c r="X669" i="9"/>
  <c r="X673" i="9"/>
  <c r="X677" i="9"/>
  <c r="Y20" i="9"/>
  <c r="Y28" i="9"/>
  <c r="Y36" i="9"/>
  <c r="Y44" i="9"/>
  <c r="Y52" i="9"/>
  <c r="Y60" i="9"/>
  <c r="Y68" i="9"/>
  <c r="Y76" i="9"/>
  <c r="Y84" i="9"/>
  <c r="Y92" i="9"/>
  <c r="Y100" i="9"/>
  <c r="Y108" i="9"/>
  <c r="Y116" i="9"/>
  <c r="Y124" i="9"/>
  <c r="Y132" i="9"/>
  <c r="Y140" i="9"/>
  <c r="Y148" i="9"/>
  <c r="Y156" i="9"/>
  <c r="Y164" i="9"/>
  <c r="Y172" i="9"/>
  <c r="Y180" i="9"/>
  <c r="Y188" i="9"/>
  <c r="Y196" i="9"/>
  <c r="Y204" i="9"/>
  <c r="Y212" i="9"/>
  <c r="Y220" i="9"/>
  <c r="Y228" i="9"/>
  <c r="Y236" i="9"/>
  <c r="Y244" i="9"/>
  <c r="Y252" i="9"/>
  <c r="Y260" i="9"/>
  <c r="Y268" i="9"/>
  <c r="Y276" i="9"/>
  <c r="Y284" i="9"/>
  <c r="Y292" i="9"/>
  <c r="Y300" i="9"/>
  <c r="Y308" i="9"/>
  <c r="Y316" i="9"/>
  <c r="Y323" i="9"/>
  <c r="Y328" i="9"/>
  <c r="Y334" i="9"/>
  <c r="Y339" i="9"/>
  <c r="Y344" i="9"/>
  <c r="Y350" i="9"/>
  <c r="Y355" i="9"/>
  <c r="Y360" i="9"/>
  <c r="Y366" i="9"/>
  <c r="Y371" i="9"/>
  <c r="Y376" i="9"/>
  <c r="Y382" i="9"/>
  <c r="Y387" i="9"/>
  <c r="Y392" i="9"/>
  <c r="Y398" i="9"/>
  <c r="Y403" i="9"/>
  <c r="Y408" i="9"/>
  <c r="Y414" i="9"/>
  <c r="Y419" i="9"/>
  <c r="Y424" i="9"/>
  <c r="Y428" i="9"/>
  <c r="Y432" i="9"/>
  <c r="Y436" i="9"/>
  <c r="Y440" i="9"/>
  <c r="Y444" i="9"/>
  <c r="Y448" i="9"/>
  <c r="Y452" i="9"/>
  <c r="Y456" i="9"/>
  <c r="Y460" i="9"/>
  <c r="Y464" i="9"/>
  <c r="Y468" i="9"/>
  <c r="Y472" i="9"/>
  <c r="Y476" i="9"/>
  <c r="Y480" i="9"/>
  <c r="Y484" i="9"/>
  <c r="Y488" i="9"/>
  <c r="Y492" i="9"/>
  <c r="Y496" i="9"/>
  <c r="Y500" i="9"/>
  <c r="Y504" i="9"/>
  <c r="Y508" i="9"/>
  <c r="Y512" i="9"/>
  <c r="Y516" i="9"/>
  <c r="Y520" i="9"/>
  <c r="Y524" i="9"/>
  <c r="Y528" i="9"/>
  <c r="Y532" i="9"/>
  <c r="Y536" i="9"/>
  <c r="Y540" i="9"/>
  <c r="Y544" i="9"/>
  <c r="Y548" i="9"/>
  <c r="Y552" i="9"/>
  <c r="Y556" i="9"/>
  <c r="Y560" i="9"/>
  <c r="Y564" i="9"/>
  <c r="Y568" i="9"/>
  <c r="Y572" i="9"/>
  <c r="Y576" i="9"/>
  <c r="Y580" i="9"/>
  <c r="Y584" i="9"/>
  <c r="Y588" i="9"/>
  <c r="Y592" i="9"/>
  <c r="Y596" i="9"/>
  <c r="Y600" i="9"/>
  <c r="Y604" i="9"/>
  <c r="Y608" i="9"/>
  <c r="Y612" i="9"/>
  <c r="Y616" i="9"/>
  <c r="Y620" i="9"/>
  <c r="Y624" i="9"/>
  <c r="Y628" i="9"/>
  <c r="Y632" i="9"/>
  <c r="Y636" i="9"/>
  <c r="Y640" i="9"/>
  <c r="Y644" i="9"/>
  <c r="Y648" i="9"/>
  <c r="Y652" i="9"/>
  <c r="Y656" i="9"/>
  <c r="Y660" i="9"/>
  <c r="Y664" i="9"/>
  <c r="Y668" i="9"/>
  <c r="Y672" i="9"/>
  <c r="Y676" i="9"/>
  <c r="Y680" i="9"/>
  <c r="Y684" i="9"/>
  <c r="Y688" i="9"/>
  <c r="Y692" i="9"/>
  <c r="Y696" i="9"/>
  <c r="Y700" i="9"/>
  <c r="Y704" i="9"/>
  <c r="Y708" i="9"/>
  <c r="Y712" i="9"/>
  <c r="Y716" i="9"/>
  <c r="Y720" i="9"/>
  <c r="Y724" i="9"/>
  <c r="Y728" i="9"/>
  <c r="Y732" i="9"/>
  <c r="Y736" i="9"/>
  <c r="Y740" i="9"/>
  <c r="Y744" i="9"/>
  <c r="Y748" i="9"/>
  <c r="Y752" i="9"/>
  <c r="Y756" i="9"/>
  <c r="Y760" i="9"/>
  <c r="Y764" i="9"/>
  <c r="Y768" i="9"/>
  <c r="Y772" i="9"/>
  <c r="Y776" i="9"/>
  <c r="Y780" i="9"/>
  <c r="Y784" i="9"/>
  <c r="Y788" i="9"/>
  <c r="Y792" i="9"/>
  <c r="Y796" i="9"/>
  <c r="Y800" i="9"/>
  <c r="Y804" i="9"/>
  <c r="Y808" i="9"/>
  <c r="Y812" i="9"/>
  <c r="Y816" i="9"/>
  <c r="Y820" i="9"/>
  <c r="Y824" i="9"/>
  <c r="Y828" i="9"/>
  <c r="Y832" i="9"/>
  <c r="Y836" i="9"/>
  <c r="Y840" i="9"/>
  <c r="Y844" i="9"/>
  <c r="Y848" i="9"/>
  <c r="Y852" i="9"/>
  <c r="Y856" i="9"/>
  <c r="Y860" i="9"/>
  <c r="Y864" i="9"/>
  <c r="Y868" i="9"/>
  <c r="Y872" i="9"/>
  <c r="Y876" i="9"/>
  <c r="Y880" i="9"/>
  <c r="Y884" i="9"/>
  <c r="Y888" i="9"/>
  <c r="Y892" i="9"/>
  <c r="Y896" i="9"/>
  <c r="Y900" i="9"/>
  <c r="Y904" i="9"/>
  <c r="Y908" i="9"/>
  <c r="Y912" i="9"/>
  <c r="Y916" i="9"/>
  <c r="Y920" i="9"/>
  <c r="Y924" i="9"/>
  <c r="Y928" i="9"/>
  <c r="Y932" i="9"/>
  <c r="Y936" i="9"/>
  <c r="Y940" i="9"/>
  <c r="Y944" i="9"/>
  <c r="Y948" i="9"/>
  <c r="Y952" i="9"/>
  <c r="Y956" i="9"/>
  <c r="Y960" i="9"/>
  <c r="Y964" i="9"/>
  <c r="Y968" i="9"/>
  <c r="Y972" i="9"/>
  <c r="Y976" i="9"/>
  <c r="Y980" i="9"/>
  <c r="Y984" i="9"/>
  <c r="Y988" i="9"/>
  <c r="Y992" i="9"/>
  <c r="Y996" i="9"/>
  <c r="Y1000" i="9"/>
  <c r="Y1004" i="9"/>
  <c r="Y1008" i="9"/>
  <c r="Y1012" i="9"/>
  <c r="Y1016" i="9"/>
  <c r="Y1020" i="9"/>
  <c r="Y1024" i="9"/>
  <c r="Y1028" i="9"/>
  <c r="Y1032" i="9"/>
  <c r="Y1036" i="9"/>
  <c r="Y1040" i="9"/>
  <c r="Y1044" i="9"/>
  <c r="Y1048" i="9"/>
  <c r="Y1052" i="9"/>
  <c r="Y1056" i="9"/>
  <c r="Y1060" i="9"/>
  <c r="Y1064" i="9"/>
  <c r="Y1068" i="9"/>
  <c r="Y1072" i="9"/>
  <c r="Y1076" i="9"/>
  <c r="Y1080" i="9"/>
  <c r="Y1084" i="9"/>
  <c r="Y1088" i="9"/>
  <c r="Y1092" i="9"/>
  <c r="Y1096" i="9"/>
  <c r="Y1100" i="9"/>
  <c r="Y1104" i="9"/>
  <c r="Y1108" i="9"/>
  <c r="Y1112" i="9"/>
  <c r="Y1116" i="9"/>
  <c r="Y1120" i="9"/>
  <c r="Y1124" i="9"/>
  <c r="Y1128" i="9"/>
  <c r="Y1132" i="9"/>
  <c r="Y1136" i="9"/>
  <c r="Y1140" i="9"/>
  <c r="Y1144" i="9"/>
  <c r="Y1148" i="9"/>
  <c r="Y1152" i="9"/>
  <c r="Y1156" i="9"/>
  <c r="Y1160" i="9"/>
  <c r="Y1164" i="9"/>
  <c r="Y1168" i="9"/>
  <c r="Y1172" i="9"/>
  <c r="Y1176" i="9"/>
  <c r="Y1180" i="9"/>
  <c r="Y1184" i="9"/>
  <c r="Y1188" i="9"/>
  <c r="Y1192" i="9"/>
  <c r="Y1196" i="9"/>
  <c r="Y1200" i="9"/>
  <c r="Y1204" i="9"/>
  <c r="Y1208" i="9"/>
  <c r="Y1212" i="9"/>
  <c r="Y1216" i="9"/>
  <c r="Y1220" i="9"/>
  <c r="Y1224" i="9"/>
  <c r="Y1228" i="9"/>
  <c r="Y1232" i="9"/>
  <c r="Y1236" i="9"/>
  <c r="Y1240" i="9"/>
  <c r="Y1244" i="9"/>
  <c r="Y1248" i="9"/>
  <c r="Y1252" i="9"/>
  <c r="Y1256" i="9"/>
  <c r="Y1260" i="9"/>
  <c r="Y1264" i="9"/>
  <c r="Y1268" i="9"/>
  <c r="Y1272" i="9"/>
  <c r="Y1276" i="9"/>
  <c r="Y1280" i="9"/>
  <c r="Y1284" i="9"/>
  <c r="Y1288" i="9"/>
  <c r="Y1292" i="9"/>
  <c r="Y1296" i="9"/>
  <c r="Y1300" i="9"/>
  <c r="Y1304" i="9"/>
  <c r="Y1308" i="9"/>
  <c r="Y1312" i="9"/>
  <c r="Y1316" i="9"/>
  <c r="Y1320" i="9"/>
  <c r="Y1324" i="9"/>
  <c r="Y1328" i="9"/>
  <c r="Y1332" i="9"/>
  <c r="Y1336" i="9"/>
  <c r="Y1340" i="9"/>
  <c r="Y1344" i="9"/>
  <c r="Y1348" i="9"/>
  <c r="Y1352" i="9"/>
  <c r="Y1356" i="9"/>
  <c r="Y1360" i="9"/>
  <c r="Y1364" i="9"/>
  <c r="Y1368" i="9"/>
  <c r="Y1372" i="9"/>
  <c r="Y1376" i="9"/>
  <c r="Y1380" i="9"/>
  <c r="Y1384" i="9"/>
  <c r="Y1388" i="9"/>
  <c r="Y1392" i="9"/>
  <c r="Y1396" i="9"/>
  <c r="Y1400" i="9"/>
  <c r="Y1404" i="9"/>
  <c r="Y16" i="9"/>
  <c r="Y32" i="9"/>
  <c r="Y48" i="9"/>
  <c r="Y64" i="9"/>
  <c r="Y80" i="9"/>
  <c r="Y96" i="9"/>
  <c r="Y112" i="9"/>
  <c r="Y128" i="9"/>
  <c r="Y144" i="9"/>
  <c r="Y160" i="9"/>
  <c r="Y176" i="9"/>
  <c r="Y192" i="9"/>
  <c r="Y208" i="9"/>
  <c r="Y224" i="9"/>
  <c r="Y240" i="9"/>
  <c r="Y256" i="9"/>
  <c r="Y272" i="9"/>
  <c r="Y288" i="9"/>
  <c r="Y304" i="9"/>
  <c r="Y320" i="9"/>
  <c r="Y331" i="9"/>
  <c r="Y342" i="9"/>
  <c r="Y352" i="9"/>
  <c r="Y363" i="9"/>
  <c r="Y374" i="9"/>
  <c r="Y384" i="9"/>
  <c r="Y395" i="9"/>
  <c r="Y406" i="9"/>
  <c r="Y416" i="9"/>
  <c r="Y426" i="9"/>
  <c r="Y434" i="9"/>
  <c r="Y442" i="9"/>
  <c r="Y450" i="9"/>
  <c r="Y458" i="9"/>
  <c r="Y466" i="9"/>
  <c r="Y474" i="9"/>
  <c r="Y482" i="9"/>
  <c r="Y490" i="9"/>
  <c r="Y498" i="9"/>
  <c r="Y506" i="9"/>
  <c r="Y514" i="9"/>
  <c r="Y522" i="9"/>
  <c r="Y530" i="9"/>
  <c r="Y538" i="9"/>
  <c r="Y546" i="9"/>
  <c r="Y554" i="9"/>
  <c r="Y562" i="9"/>
  <c r="Y570" i="9"/>
  <c r="Y578" i="9"/>
  <c r="Y586" i="9"/>
  <c r="Y594" i="9"/>
  <c r="Y602" i="9"/>
  <c r="Y610" i="9"/>
  <c r="Y618" i="9"/>
  <c r="Y626" i="9"/>
  <c r="Y634" i="9"/>
  <c r="Y642" i="9"/>
  <c r="Y650" i="9"/>
  <c r="Y658" i="9"/>
  <c r="Y666" i="9"/>
  <c r="Y674" i="9"/>
  <c r="Y682" i="9"/>
  <c r="Y690" i="9"/>
  <c r="Y698" i="9"/>
  <c r="Y706" i="9"/>
  <c r="Y714" i="9"/>
  <c r="Y722" i="9"/>
  <c r="Y730" i="9"/>
  <c r="Y738" i="9"/>
  <c r="Y746" i="9"/>
  <c r="Y754" i="9"/>
  <c r="Y762" i="9"/>
  <c r="Y770" i="9"/>
  <c r="Y778" i="9"/>
  <c r="Y786" i="9"/>
  <c r="Y794" i="9"/>
  <c r="Y802" i="9"/>
  <c r="Y810" i="9"/>
  <c r="Y818" i="9"/>
  <c r="Y826" i="9"/>
  <c r="Y834" i="9"/>
  <c r="Y842" i="9"/>
  <c r="Y850" i="9"/>
  <c r="Y858" i="9"/>
  <c r="Y866" i="9"/>
  <c r="Y874" i="9"/>
  <c r="Y882" i="9"/>
  <c r="Y890" i="9"/>
  <c r="Y898" i="9"/>
  <c r="Y906" i="9"/>
  <c r="Y914" i="9"/>
  <c r="Y922" i="9"/>
  <c r="Y930" i="9"/>
  <c r="Y938" i="9"/>
  <c r="Y946" i="9"/>
  <c r="Y954" i="9"/>
  <c r="Y962" i="9"/>
  <c r="Y970" i="9"/>
  <c r="Y978" i="9"/>
  <c r="Y986" i="9"/>
  <c r="Y994" i="9"/>
  <c r="Y1002" i="9"/>
  <c r="Y1010" i="9"/>
  <c r="Y1018" i="9"/>
  <c r="Y1026" i="9"/>
  <c r="Y1034" i="9"/>
  <c r="Y1042" i="9"/>
  <c r="Y1050" i="9"/>
  <c r="Y1058" i="9"/>
  <c r="Y1066" i="9"/>
  <c r="Y1074" i="9"/>
  <c r="Y1082" i="9"/>
  <c r="Y1090" i="9"/>
  <c r="Y1098" i="9"/>
  <c r="Y1106" i="9"/>
  <c r="Y1114" i="9"/>
  <c r="Y1122" i="9"/>
  <c r="Y1130" i="9"/>
  <c r="Y1138" i="9"/>
  <c r="Y1146" i="9"/>
  <c r="Y1154" i="9"/>
  <c r="Y1162" i="9"/>
  <c r="Y1170" i="9"/>
  <c r="Y1178" i="9"/>
  <c r="Y1186" i="9"/>
  <c r="Y1194" i="9"/>
  <c r="Y1202" i="9"/>
  <c r="Y1210" i="9"/>
  <c r="Y1218" i="9"/>
  <c r="Y1226" i="9"/>
  <c r="Y1234" i="9"/>
  <c r="Y1242" i="9"/>
  <c r="Y1250" i="9"/>
  <c r="Y1258" i="9"/>
  <c r="Y1266" i="9"/>
  <c r="Y1274" i="9"/>
  <c r="Y1282" i="9"/>
  <c r="Y1290" i="9"/>
  <c r="Y1298" i="9"/>
  <c r="Y1306" i="9"/>
  <c r="Y1314" i="9"/>
  <c r="Y1322" i="9"/>
  <c r="Y1330" i="9"/>
  <c r="Y1338" i="9"/>
  <c r="Y1346" i="9"/>
  <c r="Y1354" i="9"/>
  <c r="Y1362" i="9"/>
  <c r="Y1370" i="9"/>
  <c r="Y1378" i="9"/>
  <c r="Y1386" i="9"/>
  <c r="Y1394" i="9"/>
  <c r="Y1402" i="9"/>
  <c r="Y1409" i="9"/>
  <c r="Y1414" i="9"/>
  <c r="Y1420" i="9"/>
  <c r="Y1425" i="9"/>
  <c r="Y1430" i="9"/>
  <c r="Y1436" i="9"/>
  <c r="Y1441" i="9"/>
  <c r="Y1446" i="9"/>
  <c r="Y1452" i="9"/>
  <c r="Y1457" i="9"/>
  <c r="Y1462" i="9"/>
  <c r="Y1468" i="9"/>
  <c r="Y1473" i="9"/>
  <c r="Y1478" i="9"/>
  <c r="Y1484" i="9"/>
  <c r="Y1489" i="9"/>
  <c r="Y1494" i="9"/>
  <c r="Y1500" i="9"/>
  <c r="Y1505" i="9"/>
  <c r="Y1510" i="9"/>
  <c r="Y1516" i="9"/>
  <c r="Y1521" i="9"/>
  <c r="Y1526" i="9"/>
  <c r="Y1532" i="9"/>
  <c r="Y1537" i="9"/>
  <c r="Y1542" i="9"/>
  <c r="Y1548" i="9"/>
  <c r="Y1553" i="9"/>
  <c r="Y1558" i="9"/>
  <c r="Y1564" i="9"/>
  <c r="Y1569" i="9"/>
  <c r="Y1574" i="9"/>
  <c r="Y1580" i="9"/>
  <c r="Y1585" i="9"/>
  <c r="Y1590" i="9"/>
  <c r="Y1596" i="9"/>
  <c r="Y1601" i="9"/>
  <c r="Y1606" i="9"/>
  <c r="Y1612" i="9"/>
  <c r="Y1617" i="9"/>
  <c r="Y1622" i="9"/>
  <c r="Y1628" i="9"/>
  <c r="Y1633" i="9"/>
  <c r="Y1638" i="9"/>
  <c r="Y1644" i="9"/>
  <c r="Y1649" i="9"/>
  <c r="Y1654" i="9"/>
  <c r="Y1660" i="9"/>
  <c r="Y1665" i="9"/>
  <c r="Y1670" i="9"/>
  <c r="Y1676" i="9"/>
  <c r="Y1681" i="9"/>
  <c r="Y1686" i="9"/>
  <c r="Y1692" i="9"/>
  <c r="Y1697" i="9"/>
  <c r="Y1702" i="9"/>
  <c r="Y1708" i="9"/>
  <c r="Y1713" i="9"/>
  <c r="Y1718" i="9"/>
  <c r="Y1724" i="9"/>
  <c r="Y1729" i="9"/>
  <c r="X16" i="9"/>
  <c r="X22" i="9"/>
  <c r="X27" i="9"/>
  <c r="X32" i="9"/>
  <c r="X38" i="9"/>
  <c r="X43" i="9"/>
  <c r="X48" i="9"/>
  <c r="X54" i="9"/>
  <c r="X59" i="9"/>
  <c r="X64" i="9"/>
  <c r="X70" i="9"/>
  <c r="X75" i="9"/>
  <c r="X80" i="9"/>
  <c r="X86" i="9"/>
  <c r="X91" i="9"/>
  <c r="X96" i="9"/>
  <c r="X102" i="9"/>
  <c r="X107" i="9"/>
  <c r="X112" i="9"/>
  <c r="X118" i="9"/>
  <c r="X123" i="9"/>
  <c r="X128" i="9"/>
  <c r="X134" i="9"/>
  <c r="X139" i="9"/>
  <c r="X144" i="9"/>
  <c r="X150" i="9"/>
  <c r="X155" i="9"/>
  <c r="X160" i="9"/>
  <c r="X166" i="9"/>
  <c r="X171" i="9"/>
  <c r="X176" i="9"/>
  <c r="X182" i="9"/>
  <c r="X187" i="9"/>
  <c r="X192" i="9"/>
  <c r="X198" i="9"/>
  <c r="X203" i="9"/>
  <c r="X208" i="9"/>
  <c r="X214" i="9"/>
  <c r="X219" i="9"/>
  <c r="X224" i="9"/>
  <c r="X230" i="9"/>
  <c r="X235" i="9"/>
  <c r="X240" i="9"/>
  <c r="X246" i="9"/>
  <c r="X251" i="9"/>
  <c r="X256" i="9"/>
  <c r="X262" i="9"/>
  <c r="X267" i="9"/>
  <c r="X272" i="9"/>
  <c r="X278" i="9"/>
  <c r="X283" i="9"/>
  <c r="X288" i="9"/>
  <c r="X294" i="9"/>
  <c r="X299" i="9"/>
  <c r="X304" i="9"/>
  <c r="X310" i="9"/>
  <c r="X315" i="9"/>
  <c r="X320" i="9"/>
  <c r="X326" i="9"/>
  <c r="X331" i="9"/>
  <c r="X336" i="9"/>
  <c r="X342" i="9"/>
  <c r="X347" i="9"/>
  <c r="X352" i="9"/>
  <c r="X358" i="9"/>
  <c r="X363" i="9"/>
  <c r="X368" i="9"/>
  <c r="X374" i="9"/>
  <c r="X379" i="9"/>
  <c r="X384" i="9"/>
  <c r="X390" i="9"/>
  <c r="X395" i="9"/>
  <c r="X400" i="9"/>
  <c r="X406" i="9"/>
  <c r="X411" i="9"/>
  <c r="X416" i="9"/>
  <c r="X422" i="9"/>
  <c r="X427" i="9"/>
  <c r="X432" i="9"/>
  <c r="X438" i="9"/>
  <c r="X443" i="9"/>
  <c r="X448" i="9"/>
  <c r="X454" i="9"/>
  <c r="X459" i="9"/>
  <c r="X464" i="9"/>
  <c r="X470" i="9"/>
  <c r="X475" i="9"/>
  <c r="X480" i="9"/>
  <c r="X486" i="9"/>
  <c r="X491" i="9"/>
  <c r="X496" i="9"/>
  <c r="X502" i="9"/>
  <c r="X507" i="9"/>
  <c r="X512" i="9"/>
  <c r="X518" i="9"/>
  <c r="X523" i="9"/>
  <c r="X528" i="9"/>
  <c r="X534" i="9"/>
  <c r="X539" i="9"/>
  <c r="X544" i="9"/>
  <c r="X550" i="9"/>
  <c r="X555" i="9"/>
  <c r="X560" i="9"/>
  <c r="X566" i="9"/>
  <c r="X571" i="9"/>
  <c r="X576" i="9"/>
  <c r="X582" i="9"/>
  <c r="X587" i="9"/>
  <c r="X592" i="9"/>
  <c r="X598" i="9"/>
  <c r="X603" i="9"/>
  <c r="X608" i="9"/>
  <c r="X614" i="9"/>
  <c r="X619" i="9"/>
  <c r="X624" i="9"/>
  <c r="X630" i="9"/>
  <c r="X635" i="9"/>
  <c r="X640" i="9"/>
  <c r="X646" i="9"/>
  <c r="X651" i="9"/>
  <c r="X656" i="9"/>
  <c r="X662" i="9"/>
  <c r="X667" i="9"/>
  <c r="X672" i="9"/>
  <c r="X678" i="9"/>
  <c r="X682" i="9"/>
  <c r="X686" i="9"/>
  <c r="X690" i="9"/>
  <c r="X694" i="9"/>
  <c r="X698" i="9"/>
  <c r="X702" i="9"/>
  <c r="X706" i="9"/>
  <c r="X710" i="9"/>
  <c r="X714" i="9"/>
  <c r="X718" i="9"/>
  <c r="X722" i="9"/>
  <c r="X726" i="9"/>
  <c r="X730" i="9"/>
  <c r="X734" i="9"/>
  <c r="Y23" i="9"/>
  <c r="Y39" i="9"/>
  <c r="Y55" i="9"/>
  <c r="Y71" i="9"/>
  <c r="Y87" i="9"/>
  <c r="Y103" i="9"/>
  <c r="Y119" i="9"/>
  <c r="Y135" i="9"/>
  <c r="Y151" i="9"/>
  <c r="Y167" i="9"/>
  <c r="Y183" i="9"/>
  <c r="Y199" i="9"/>
  <c r="Y215" i="9"/>
  <c r="Y231" i="9"/>
  <c r="Y247" i="9"/>
  <c r="Y263" i="9"/>
  <c r="Y279" i="9"/>
  <c r="Y295" i="9"/>
  <c r="Y311" i="9"/>
  <c r="Y324" i="9"/>
  <c r="Y335" i="9"/>
  <c r="Y346" i="9"/>
  <c r="Y356" i="9"/>
  <c r="Y367" i="9"/>
  <c r="Y378" i="9"/>
  <c r="Y388" i="9"/>
  <c r="Y399" i="9"/>
  <c r="Y410" i="9"/>
  <c r="Y420" i="9"/>
  <c r="Y429" i="9"/>
  <c r="Y437" i="9"/>
  <c r="Y445" i="9"/>
  <c r="Y453" i="9"/>
  <c r="Z453" i="9" s="1"/>
  <c r="Y461" i="9"/>
  <c r="Y469" i="9"/>
  <c r="Y477" i="9"/>
  <c r="Y485" i="9"/>
  <c r="Y493" i="9"/>
  <c r="Y501" i="9"/>
  <c r="Y509" i="9"/>
  <c r="Y517" i="9"/>
  <c r="Z517" i="9" s="1"/>
  <c r="Y525" i="9"/>
  <c r="Y533" i="9"/>
  <c r="Y541" i="9"/>
  <c r="Y549" i="9"/>
  <c r="Y557" i="9"/>
  <c r="Y565" i="9"/>
  <c r="Y573" i="9"/>
  <c r="Y581" i="9"/>
  <c r="Z581" i="9" s="1"/>
  <c r="Y589" i="9"/>
  <c r="Y597" i="9"/>
  <c r="Y605" i="9"/>
  <c r="Y613" i="9"/>
  <c r="Y621" i="9"/>
  <c r="Y629" i="9"/>
  <c r="Y637" i="9"/>
  <c r="Y645" i="9"/>
  <c r="Z645" i="9" s="1"/>
  <c r="Y653" i="9"/>
  <c r="Y661" i="9"/>
  <c r="Y669" i="9"/>
  <c r="Y677" i="9"/>
  <c r="Y685" i="9"/>
  <c r="Y693" i="9"/>
  <c r="Y701" i="9"/>
  <c r="Y709" i="9"/>
  <c r="Y717" i="9"/>
  <c r="Y725" i="9"/>
  <c r="Y733" i="9"/>
  <c r="Y741" i="9"/>
  <c r="Y749" i="9"/>
  <c r="Y757" i="9"/>
  <c r="Y765" i="9"/>
  <c r="Y773" i="9"/>
  <c r="Y781" i="9"/>
  <c r="Y789" i="9"/>
  <c r="Y797" i="9"/>
  <c r="Y805" i="9"/>
  <c r="Y813" i="9"/>
  <c r="Y821" i="9"/>
  <c r="Y829" i="9"/>
  <c r="Y837" i="9"/>
  <c r="Y845" i="9"/>
  <c r="Y853" i="9"/>
  <c r="Y861" i="9"/>
  <c r="Y869" i="9"/>
  <c r="Y877" i="9"/>
  <c r="Y885" i="9"/>
  <c r="Y893" i="9"/>
  <c r="Y901" i="9"/>
  <c r="Y909" i="9"/>
  <c r="Y917" i="9"/>
  <c r="Y925" i="9"/>
  <c r="Y933" i="9"/>
  <c r="Y941" i="9"/>
  <c r="Y949" i="9"/>
  <c r="Y957" i="9"/>
  <c r="Y965" i="9"/>
  <c r="Y973" i="9"/>
  <c r="Y981" i="9"/>
  <c r="Y989" i="9"/>
  <c r="Y997" i="9"/>
  <c r="Y1005" i="9"/>
  <c r="Y1013" i="9"/>
  <c r="Y1021" i="9"/>
  <c r="Y1029" i="9"/>
  <c r="Y1037" i="9"/>
  <c r="Y1045" i="9"/>
  <c r="Y1053" i="9"/>
  <c r="Y1061" i="9"/>
  <c r="Y1069" i="9"/>
  <c r="Y1077" i="9"/>
  <c r="Y1085" i="9"/>
  <c r="Y1093" i="9"/>
  <c r="Y1101" i="9"/>
  <c r="Y1109" i="9"/>
  <c r="Y1117" i="9"/>
  <c r="Y1125" i="9"/>
  <c r="Y1133" i="9"/>
  <c r="Y1141" i="9"/>
  <c r="Y1149" i="9"/>
  <c r="Y1157" i="9"/>
  <c r="Y1165" i="9"/>
  <c r="Y1173" i="9"/>
  <c r="Y1181" i="9"/>
  <c r="Y1189" i="9"/>
  <c r="Y1197" i="9"/>
  <c r="Y1205" i="9"/>
  <c r="Y1213" i="9"/>
  <c r="Y1221" i="9"/>
  <c r="Y1229" i="9"/>
  <c r="Y1237" i="9"/>
  <c r="Y1245" i="9"/>
  <c r="Y1253" i="9"/>
  <c r="Y1261" i="9"/>
  <c r="Y1269" i="9"/>
  <c r="Y1277" i="9"/>
  <c r="Y1285" i="9"/>
  <c r="Y1293" i="9"/>
  <c r="Y1301" i="9"/>
  <c r="Y1309" i="9"/>
  <c r="Y1317" i="9"/>
  <c r="Y1325" i="9"/>
  <c r="Y1333" i="9"/>
  <c r="Y1341" i="9"/>
  <c r="Y1349" i="9"/>
  <c r="Y1357" i="9"/>
  <c r="Y1365" i="9"/>
  <c r="Y1373" i="9"/>
  <c r="Y1381" i="9"/>
  <c r="Y1389" i="9"/>
  <c r="Y1397" i="9"/>
  <c r="Y1405" i="9"/>
  <c r="Y1410" i="9"/>
  <c r="Y1416" i="9"/>
  <c r="Y1421" i="9"/>
  <c r="Y1426" i="9"/>
  <c r="Y1432" i="9"/>
  <c r="Y1437" i="9"/>
  <c r="Y1442" i="9"/>
  <c r="Y1448" i="9"/>
  <c r="Y1453" i="9"/>
  <c r="Y1458" i="9"/>
  <c r="Y1464" i="9"/>
  <c r="Y1469" i="9"/>
  <c r="Y1474" i="9"/>
  <c r="Y1480" i="9"/>
  <c r="Y1485" i="9"/>
  <c r="Y1490" i="9"/>
  <c r="Y1496" i="9"/>
  <c r="Y1501" i="9"/>
  <c r="Y1506" i="9"/>
  <c r="Y1512" i="9"/>
  <c r="Y1517" i="9"/>
  <c r="Y1522" i="9"/>
  <c r="Y1528" i="9"/>
  <c r="Y1533" i="9"/>
  <c r="Y1538" i="9"/>
  <c r="Y1544" i="9"/>
  <c r="Y1549" i="9"/>
  <c r="Y1554" i="9"/>
  <c r="Y1560" i="9"/>
  <c r="Y1565" i="9"/>
  <c r="Y1570" i="9"/>
  <c r="Y1576" i="9"/>
  <c r="Y1581" i="9"/>
  <c r="Y1586" i="9"/>
  <c r="Y1592" i="9"/>
  <c r="Y1597" i="9"/>
  <c r="Y1602" i="9"/>
  <c r="Y1608" i="9"/>
  <c r="Y1613" i="9"/>
  <c r="Y1618" i="9"/>
  <c r="Y1624" i="9"/>
  <c r="Y1629" i="9"/>
  <c r="Y1634" i="9"/>
  <c r="Y1640" i="9"/>
  <c r="Y1645" i="9"/>
  <c r="Y1650" i="9"/>
  <c r="Y1656" i="9"/>
  <c r="Y1661" i="9"/>
  <c r="Y1666" i="9"/>
  <c r="Y1672" i="9"/>
  <c r="Y1677" i="9"/>
  <c r="Y1682" i="9"/>
  <c r="Y1688" i="9"/>
  <c r="Y1693" i="9"/>
  <c r="Y1698" i="9"/>
  <c r="Y1704" i="9"/>
  <c r="Y1709" i="9"/>
  <c r="Y1714" i="9"/>
  <c r="Y1720" i="9"/>
  <c r="Y1725" i="9"/>
  <c r="Y1730" i="9"/>
  <c r="X18" i="9"/>
  <c r="X23" i="9"/>
  <c r="X28" i="9"/>
  <c r="X34" i="9"/>
  <c r="X39" i="9"/>
  <c r="X44" i="9"/>
  <c r="X50" i="9"/>
  <c r="X55" i="9"/>
  <c r="X60" i="9"/>
  <c r="X66" i="9"/>
  <c r="X71" i="9"/>
  <c r="X76" i="9"/>
  <c r="X82" i="9"/>
  <c r="X87" i="9"/>
  <c r="X92" i="9"/>
  <c r="X98" i="9"/>
  <c r="X103" i="9"/>
  <c r="X108" i="9"/>
  <c r="X114" i="9"/>
  <c r="X119" i="9"/>
  <c r="X124" i="9"/>
  <c r="X130" i="9"/>
  <c r="X135" i="9"/>
  <c r="X140" i="9"/>
  <c r="X146" i="9"/>
  <c r="X151" i="9"/>
  <c r="X156" i="9"/>
  <c r="X162" i="9"/>
  <c r="X167" i="9"/>
  <c r="X172" i="9"/>
  <c r="X178" i="9"/>
  <c r="X183" i="9"/>
  <c r="X188" i="9"/>
  <c r="X194" i="9"/>
  <c r="X199" i="9"/>
  <c r="X204" i="9"/>
  <c r="X210" i="9"/>
  <c r="X215" i="9"/>
  <c r="X220" i="9"/>
  <c r="X226" i="9"/>
  <c r="X231" i="9"/>
  <c r="X236" i="9"/>
  <c r="X242" i="9"/>
  <c r="X247" i="9"/>
  <c r="X252" i="9"/>
  <c r="X258" i="9"/>
  <c r="X263" i="9"/>
  <c r="X268" i="9"/>
  <c r="X274" i="9"/>
  <c r="X279" i="9"/>
  <c r="X284" i="9"/>
  <c r="X290" i="9"/>
  <c r="X295" i="9"/>
  <c r="X300" i="9"/>
  <c r="X306" i="9"/>
  <c r="X311" i="9"/>
  <c r="X316" i="9"/>
  <c r="X322" i="9"/>
  <c r="X327" i="9"/>
  <c r="X332" i="9"/>
  <c r="X338" i="9"/>
  <c r="X343" i="9"/>
  <c r="X348" i="9"/>
  <c r="X354" i="9"/>
  <c r="Y15" i="9"/>
  <c r="Y31" i="9"/>
  <c r="Y47" i="9"/>
  <c r="Y63" i="9"/>
  <c r="Y79" i="9"/>
  <c r="Y95" i="9"/>
  <c r="Y111" i="9"/>
  <c r="Y127" i="9"/>
  <c r="Y143" i="9"/>
  <c r="Y159" i="9"/>
  <c r="Y175" i="9"/>
  <c r="Y191" i="9"/>
  <c r="Y207" i="9"/>
  <c r="Y223" i="9"/>
  <c r="Y239" i="9"/>
  <c r="Y255" i="9"/>
  <c r="Y271" i="9"/>
  <c r="Y287" i="9"/>
  <c r="Y303" i="9"/>
  <c r="Y319" i="9"/>
  <c r="Y330" i="9"/>
  <c r="Y340" i="9"/>
  <c r="Y351" i="9"/>
  <c r="Y362" i="9"/>
  <c r="Y372" i="9"/>
  <c r="Y383" i="9"/>
  <c r="Y394" i="9"/>
  <c r="Y404" i="9"/>
  <c r="Y415" i="9"/>
  <c r="Y425" i="9"/>
  <c r="Y433" i="9"/>
  <c r="Z433" i="9" s="1"/>
  <c r="Y441" i="9"/>
  <c r="Y449" i="9"/>
  <c r="Y457" i="9"/>
  <c r="Y465" i="9"/>
  <c r="Z465" i="9" s="1"/>
  <c r="Y473" i="9"/>
  <c r="Y481" i="9"/>
  <c r="Y489" i="9"/>
  <c r="Y497" i="9"/>
  <c r="Z497" i="9" s="1"/>
  <c r="Y505" i="9"/>
  <c r="Y513" i="9"/>
  <c r="Y521" i="9"/>
  <c r="Y529" i="9"/>
  <c r="Z529" i="9" s="1"/>
  <c r="Y537" i="9"/>
  <c r="Y545" i="9"/>
  <c r="Y553" i="9"/>
  <c r="Y561" i="9"/>
  <c r="Z561" i="9" s="1"/>
  <c r="Y569" i="9"/>
  <c r="Y577" i="9"/>
  <c r="Y585" i="9"/>
  <c r="Y593" i="9"/>
  <c r="Z593" i="9" s="1"/>
  <c r="Y601" i="9"/>
  <c r="Y609" i="9"/>
  <c r="Y617" i="9"/>
  <c r="Y625" i="9"/>
  <c r="Z625" i="9" s="1"/>
  <c r="Y633" i="9"/>
  <c r="Y641" i="9"/>
  <c r="Y649" i="9"/>
  <c r="Y657" i="9"/>
  <c r="Z657" i="9" s="1"/>
  <c r="Y665" i="9"/>
  <c r="Y673" i="9"/>
  <c r="Y681" i="9"/>
  <c r="Y689" i="9"/>
  <c r="Y697" i="9"/>
  <c r="Y705" i="9"/>
  <c r="Y713" i="9"/>
  <c r="Y721" i="9"/>
  <c r="Y729" i="9"/>
  <c r="Y737" i="9"/>
  <c r="Y745" i="9"/>
  <c r="Y753" i="9"/>
  <c r="Y761" i="9"/>
  <c r="Y769" i="9"/>
  <c r="Y777" i="9"/>
  <c r="Y785" i="9"/>
  <c r="Y793" i="9"/>
  <c r="Y801" i="9"/>
  <c r="Y809" i="9"/>
  <c r="Y817" i="9"/>
  <c r="Y825" i="9"/>
  <c r="Y833" i="9"/>
  <c r="Y841" i="9"/>
  <c r="Y849" i="9"/>
  <c r="Y857" i="9"/>
  <c r="Y865" i="9"/>
  <c r="Y873" i="9"/>
  <c r="Y881" i="9"/>
  <c r="Y889" i="9"/>
  <c r="Y897" i="9"/>
  <c r="Y905" i="9"/>
  <c r="Y913" i="9"/>
  <c r="Y921" i="9"/>
  <c r="Y929" i="9"/>
  <c r="Y937" i="9"/>
  <c r="Y945" i="9"/>
  <c r="Y953" i="9"/>
  <c r="Y961" i="9"/>
  <c r="Y969" i="9"/>
  <c r="Y977" i="9"/>
  <c r="Y985" i="9"/>
  <c r="Y993" i="9"/>
  <c r="Y1001" i="9"/>
  <c r="Y1009" i="9"/>
  <c r="Y1017" i="9"/>
  <c r="Y1025" i="9"/>
  <c r="Y1033" i="9"/>
  <c r="Y1041" i="9"/>
  <c r="Y1049" i="9"/>
  <c r="Y1057" i="9"/>
  <c r="Y1065" i="9"/>
  <c r="Y1073" i="9"/>
  <c r="Y1081" i="9"/>
  <c r="Y1089" i="9"/>
  <c r="Y1097" i="9"/>
  <c r="Y1105" i="9"/>
  <c r="Y1113" i="9"/>
  <c r="Y1121" i="9"/>
  <c r="Y1129" i="9"/>
  <c r="Y1137" i="9"/>
  <c r="Y1145" i="9"/>
  <c r="Y1153" i="9"/>
  <c r="Y1161" i="9"/>
  <c r="Y1169" i="9"/>
  <c r="Y1177" i="9"/>
  <c r="Y1185" i="9"/>
  <c r="Y1193" i="9"/>
  <c r="Y1201" i="9"/>
  <c r="Y1209" i="9"/>
  <c r="Y1217" i="9"/>
  <c r="Y1225" i="9"/>
  <c r="Y1233" i="9"/>
  <c r="Y1241" i="9"/>
  <c r="Y1249" i="9"/>
  <c r="Y1257" i="9"/>
  <c r="Y1265" i="9"/>
  <c r="Y1273" i="9"/>
  <c r="Y1281" i="9"/>
  <c r="Y1289" i="9"/>
  <c r="Y1297" i="9"/>
  <c r="Y1305" i="9"/>
  <c r="Y1313" i="9"/>
  <c r="Y1321" i="9"/>
  <c r="Y1329" i="9"/>
  <c r="Y1337" i="9"/>
  <c r="Y1345" i="9"/>
  <c r="Y1353" i="9"/>
  <c r="Y1361" i="9"/>
  <c r="Y1369" i="9"/>
  <c r="Y1377" i="9"/>
  <c r="Y1385" i="9"/>
  <c r="Y1393" i="9"/>
  <c r="Y1401" i="9"/>
  <c r="Y1408" i="9"/>
  <c r="Y1413" i="9"/>
  <c r="Y1418" i="9"/>
  <c r="Y1424" i="9"/>
  <c r="Y1429" i="9"/>
  <c r="Y1434" i="9"/>
  <c r="Y1440" i="9"/>
  <c r="Y1445" i="9"/>
  <c r="Y1450" i="9"/>
  <c r="Y1456" i="9"/>
  <c r="Y1461" i="9"/>
  <c r="Y1466" i="9"/>
  <c r="Y1472" i="9"/>
  <c r="Y1477" i="9"/>
  <c r="Y1482" i="9"/>
  <c r="Y1488" i="9"/>
  <c r="Y1493" i="9"/>
  <c r="Y1498" i="9"/>
  <c r="Y1504" i="9"/>
  <c r="Y1509" i="9"/>
  <c r="Y1514" i="9"/>
  <c r="Y1520" i="9"/>
  <c r="Y1525" i="9"/>
  <c r="Y1530" i="9"/>
  <c r="Y1536" i="9"/>
  <c r="Y1541" i="9"/>
  <c r="Y1546" i="9"/>
  <c r="Y1552" i="9"/>
  <c r="Y1557" i="9"/>
  <c r="Y1562" i="9"/>
  <c r="Y1568" i="9"/>
  <c r="Y1573" i="9"/>
  <c r="Y1578" i="9"/>
  <c r="Y1584" i="9"/>
  <c r="Y1589" i="9"/>
  <c r="Y1594" i="9"/>
  <c r="Y1600" i="9"/>
  <c r="Y1605" i="9"/>
  <c r="Y1610" i="9"/>
  <c r="Y1616" i="9"/>
  <c r="Y1621" i="9"/>
  <c r="Y1626" i="9"/>
  <c r="Y1632" i="9"/>
  <c r="Y1637" i="9"/>
  <c r="Y1642" i="9"/>
  <c r="Y1648" i="9"/>
  <c r="Y1653" i="9"/>
  <c r="Y1658" i="9"/>
  <c r="Y1664" i="9"/>
  <c r="Y1669" i="9"/>
  <c r="Y1674" i="9"/>
  <c r="Y1680" i="9"/>
  <c r="Y1685" i="9"/>
  <c r="Y1690" i="9"/>
  <c r="Y1696" i="9"/>
  <c r="Y1701" i="9"/>
  <c r="Y1706" i="9"/>
  <c r="Y1712" i="9"/>
  <c r="Y1717" i="9"/>
  <c r="Y1722" i="9"/>
  <c r="Y1728" i="9"/>
  <c r="X15" i="9"/>
  <c r="X20" i="9"/>
  <c r="X26" i="9"/>
  <c r="X31" i="9"/>
  <c r="X36" i="9"/>
  <c r="X42" i="9"/>
  <c r="X47" i="9"/>
  <c r="X52" i="9"/>
  <c r="X58" i="9"/>
  <c r="X63" i="9"/>
  <c r="X68" i="9"/>
  <c r="X74" i="9"/>
  <c r="X79" i="9"/>
  <c r="X84" i="9"/>
  <c r="X90" i="9"/>
  <c r="X95" i="9"/>
  <c r="X100" i="9"/>
  <c r="X106" i="9"/>
  <c r="X111" i="9"/>
  <c r="X116" i="9"/>
  <c r="X122" i="9"/>
  <c r="X127" i="9"/>
  <c r="X132" i="9"/>
  <c r="X138" i="9"/>
  <c r="X143" i="9"/>
  <c r="X148" i="9"/>
  <c r="X154" i="9"/>
  <c r="X159" i="9"/>
  <c r="X164" i="9"/>
  <c r="X170" i="9"/>
  <c r="X175" i="9"/>
  <c r="X180" i="9"/>
  <c r="X186" i="9"/>
  <c r="X191" i="9"/>
  <c r="X196" i="9"/>
  <c r="X202" i="9"/>
  <c r="X207" i="9"/>
  <c r="X212" i="9"/>
  <c r="X218" i="9"/>
  <c r="X223" i="9"/>
  <c r="X228" i="9"/>
  <c r="X234" i="9"/>
  <c r="X239" i="9"/>
  <c r="X244" i="9"/>
  <c r="X250" i="9"/>
  <c r="X255" i="9"/>
  <c r="X260" i="9"/>
  <c r="X266" i="9"/>
  <c r="X271" i="9"/>
  <c r="X276" i="9"/>
  <c r="X282" i="9"/>
  <c r="X287" i="9"/>
  <c r="X292" i="9"/>
  <c r="X298" i="9"/>
  <c r="X303" i="9"/>
  <c r="X308" i="9"/>
  <c r="X314" i="9"/>
  <c r="X319" i="9"/>
  <c r="X324" i="9"/>
  <c r="X330" i="9"/>
  <c r="X335" i="9"/>
  <c r="X340" i="9"/>
  <c r="X346" i="9"/>
  <c r="X351" i="9"/>
  <c r="Y72" i="9"/>
  <c r="Y136" i="9"/>
  <c r="Y200" i="9"/>
  <c r="Y264" i="9"/>
  <c r="Y326" i="9"/>
  <c r="Y368" i="9"/>
  <c r="Z368" i="9" s="1"/>
  <c r="Y411" i="9"/>
  <c r="Y446" i="9"/>
  <c r="Y478" i="9"/>
  <c r="Y510" i="9"/>
  <c r="Y542" i="9"/>
  <c r="Y574" i="9"/>
  <c r="Y606" i="9"/>
  <c r="Y638" i="9"/>
  <c r="Y670" i="9"/>
  <c r="Y702" i="9"/>
  <c r="Y734" i="9"/>
  <c r="Y766" i="9"/>
  <c r="Y798" i="9"/>
  <c r="Y830" i="9"/>
  <c r="Y862" i="9"/>
  <c r="Y894" i="9"/>
  <c r="Y926" i="9"/>
  <c r="Y958" i="9"/>
  <c r="Y990" i="9"/>
  <c r="Y1022" i="9"/>
  <c r="Y1054" i="9"/>
  <c r="Y1086" i="9"/>
  <c r="Y1118" i="9"/>
  <c r="Y1150" i="9"/>
  <c r="Y1182" i="9"/>
  <c r="Y1214" i="9"/>
  <c r="Y1246" i="9"/>
  <c r="Y1278" i="9"/>
  <c r="Y1310" i="9"/>
  <c r="Y1342" i="9"/>
  <c r="Y1374" i="9"/>
  <c r="Y1406" i="9"/>
  <c r="Y1428" i="9"/>
  <c r="Y1449" i="9"/>
  <c r="Y1470" i="9"/>
  <c r="Y1492" i="9"/>
  <c r="Y1513" i="9"/>
  <c r="Y1534" i="9"/>
  <c r="Y1556" i="9"/>
  <c r="Y1577" i="9"/>
  <c r="Y1598" i="9"/>
  <c r="Y1620" i="9"/>
  <c r="Y1641" i="9"/>
  <c r="Y1662" i="9"/>
  <c r="Y1684" i="9"/>
  <c r="Y1705" i="9"/>
  <c r="Y1726" i="9"/>
  <c r="X30" i="9"/>
  <c r="X51" i="9"/>
  <c r="X72" i="9"/>
  <c r="X94" i="9"/>
  <c r="X115" i="9"/>
  <c r="X136" i="9"/>
  <c r="X158" i="9"/>
  <c r="X179" i="9"/>
  <c r="X200" i="9"/>
  <c r="X222" i="9"/>
  <c r="X243" i="9"/>
  <c r="X264" i="9"/>
  <c r="X286" i="9"/>
  <c r="X307" i="9"/>
  <c r="X328" i="9"/>
  <c r="X350" i="9"/>
  <c r="X360" i="9"/>
  <c r="X367" i="9"/>
  <c r="X375" i="9"/>
  <c r="X382" i="9"/>
  <c r="X388" i="9"/>
  <c r="X396" i="9"/>
  <c r="X403" i="9"/>
  <c r="X410" i="9"/>
  <c r="X418" i="9"/>
  <c r="X424" i="9"/>
  <c r="X431" i="9"/>
  <c r="X439" i="9"/>
  <c r="X446" i="9"/>
  <c r="X452" i="9"/>
  <c r="X460" i="9"/>
  <c r="X467" i="9"/>
  <c r="X474" i="9"/>
  <c r="X482" i="9"/>
  <c r="X488" i="9"/>
  <c r="X495" i="9"/>
  <c r="X503" i="9"/>
  <c r="X510" i="9"/>
  <c r="X516" i="9"/>
  <c r="X524" i="9"/>
  <c r="X531" i="9"/>
  <c r="X538" i="9"/>
  <c r="X546" i="9"/>
  <c r="X552" i="9"/>
  <c r="X559" i="9"/>
  <c r="X567" i="9"/>
  <c r="X574" i="9"/>
  <c r="X580" i="9"/>
  <c r="X588" i="9"/>
  <c r="X595" i="9"/>
  <c r="X602" i="9"/>
  <c r="X610" i="9"/>
  <c r="X616" i="9"/>
  <c r="X623" i="9"/>
  <c r="X631" i="9"/>
  <c r="X638" i="9"/>
  <c r="X644" i="9"/>
  <c r="X652" i="9"/>
  <c r="X659" i="9"/>
  <c r="X666" i="9"/>
  <c r="X674" i="9"/>
  <c r="X680" i="9"/>
  <c r="X685" i="9"/>
  <c r="X691" i="9"/>
  <c r="X696" i="9"/>
  <c r="X701" i="9"/>
  <c r="X707" i="9"/>
  <c r="X712" i="9"/>
  <c r="X717" i="9"/>
  <c r="X723" i="9"/>
  <c r="X728" i="9"/>
  <c r="X733" i="9"/>
  <c r="X738" i="9"/>
  <c r="X742" i="9"/>
  <c r="X746" i="9"/>
  <c r="X750" i="9"/>
  <c r="X754" i="9"/>
  <c r="X758" i="9"/>
  <c r="X762" i="9"/>
  <c r="X766" i="9"/>
  <c r="X770" i="9"/>
  <c r="X774" i="9"/>
  <c r="X778" i="9"/>
  <c r="X782" i="9"/>
  <c r="X786" i="9"/>
  <c r="X790" i="9"/>
  <c r="X794" i="9"/>
  <c r="X798" i="9"/>
  <c r="X802" i="9"/>
  <c r="X806" i="9"/>
  <c r="X810" i="9"/>
  <c r="X814" i="9"/>
  <c r="X818" i="9"/>
  <c r="X822" i="9"/>
  <c r="X826" i="9"/>
  <c r="X830" i="9"/>
  <c r="X834" i="9"/>
  <c r="X838" i="9"/>
  <c r="X842" i="9"/>
  <c r="X846" i="9"/>
  <c r="X850" i="9"/>
  <c r="X854" i="9"/>
  <c r="X858" i="9"/>
  <c r="X862" i="9"/>
  <c r="X866" i="9"/>
  <c r="X870" i="9"/>
  <c r="X874" i="9"/>
  <c r="X878" i="9"/>
  <c r="X882" i="9"/>
  <c r="X886" i="9"/>
  <c r="X890" i="9"/>
  <c r="X894" i="9"/>
  <c r="X898" i="9"/>
  <c r="X902" i="9"/>
  <c r="X906" i="9"/>
  <c r="X910" i="9"/>
  <c r="X914" i="9"/>
  <c r="X918" i="9"/>
  <c r="X922" i="9"/>
  <c r="X926" i="9"/>
  <c r="X930" i="9"/>
  <c r="X934" i="9"/>
  <c r="X938" i="9"/>
  <c r="X942" i="9"/>
  <c r="X946" i="9"/>
  <c r="X950" i="9"/>
  <c r="X954" i="9"/>
  <c r="X958" i="9"/>
  <c r="X962" i="9"/>
  <c r="X966" i="9"/>
  <c r="X970" i="9"/>
  <c r="X974" i="9"/>
  <c r="X978" i="9"/>
  <c r="X982" i="9"/>
  <c r="X986" i="9"/>
  <c r="X990" i="9"/>
  <c r="X994" i="9"/>
  <c r="X998" i="9"/>
  <c r="X1002" i="9"/>
  <c r="X1006" i="9"/>
  <c r="X1010" i="9"/>
  <c r="X1014" i="9"/>
  <c r="X1018" i="9"/>
  <c r="X1022" i="9"/>
  <c r="X1026" i="9"/>
  <c r="X1030" i="9"/>
  <c r="X1034" i="9"/>
  <c r="X1038" i="9"/>
  <c r="X1042" i="9"/>
  <c r="X1046" i="9"/>
  <c r="X1050" i="9"/>
  <c r="X1054" i="9"/>
  <c r="X1058" i="9"/>
  <c r="X1062" i="9"/>
  <c r="X1066" i="9"/>
  <c r="X1070" i="9"/>
  <c r="X1074" i="9"/>
  <c r="X1078" i="9"/>
  <c r="X1082" i="9"/>
  <c r="X1086" i="9"/>
  <c r="X1090" i="9"/>
  <c r="X1094" i="9"/>
  <c r="X1098" i="9"/>
  <c r="X1102" i="9"/>
  <c r="X1106" i="9"/>
  <c r="X1110" i="9"/>
  <c r="X1114" i="9"/>
  <c r="X1118" i="9"/>
  <c r="X1122" i="9"/>
  <c r="X1126" i="9"/>
  <c r="X1130" i="9"/>
  <c r="X1134" i="9"/>
  <c r="X1138" i="9"/>
  <c r="X1142" i="9"/>
  <c r="X1146" i="9"/>
  <c r="X1150" i="9"/>
  <c r="X1154" i="9"/>
  <c r="X1158" i="9"/>
  <c r="X1162" i="9"/>
  <c r="X1166" i="9"/>
  <c r="X1170" i="9"/>
  <c r="X1174" i="9"/>
  <c r="X1178" i="9"/>
  <c r="X1182" i="9"/>
  <c r="X1186" i="9"/>
  <c r="X1190" i="9"/>
  <c r="X1194" i="9"/>
  <c r="X1198" i="9"/>
  <c r="X1202" i="9"/>
  <c r="X1206" i="9"/>
  <c r="X1210" i="9"/>
  <c r="X1214" i="9"/>
  <c r="X1218" i="9"/>
  <c r="X1222" i="9"/>
  <c r="X1226" i="9"/>
  <c r="X1230" i="9"/>
  <c r="X1234" i="9"/>
  <c r="X1238" i="9"/>
  <c r="X1242" i="9"/>
  <c r="X1246" i="9"/>
  <c r="X1250" i="9"/>
  <c r="X1254" i="9"/>
  <c r="X1258" i="9"/>
  <c r="X1262" i="9"/>
  <c r="X1266" i="9"/>
  <c r="X1270" i="9"/>
  <c r="X1274" i="9"/>
  <c r="X1278" i="9"/>
  <c r="X1282" i="9"/>
  <c r="X1286" i="9"/>
  <c r="X1290" i="9"/>
  <c r="X1294" i="9"/>
  <c r="X1298" i="9"/>
  <c r="X1302" i="9"/>
  <c r="X1306" i="9"/>
  <c r="X1310" i="9"/>
  <c r="X1314" i="9"/>
  <c r="X1318" i="9"/>
  <c r="X1322" i="9"/>
  <c r="X1326" i="9"/>
  <c r="X1330" i="9"/>
  <c r="X1334" i="9"/>
  <c r="X1338" i="9"/>
  <c r="X1342" i="9"/>
  <c r="X1346" i="9"/>
  <c r="X1350" i="9"/>
  <c r="X1354" i="9"/>
  <c r="X1358" i="9"/>
  <c r="X1362" i="9"/>
  <c r="X1366" i="9"/>
  <c r="X1370" i="9"/>
  <c r="X1374" i="9"/>
  <c r="X1378" i="9"/>
  <c r="X1382" i="9"/>
  <c r="X1386" i="9"/>
  <c r="X1390" i="9"/>
  <c r="X1394" i="9"/>
  <c r="X1398" i="9"/>
  <c r="X1402" i="9"/>
  <c r="X1406" i="9"/>
  <c r="X1410" i="9"/>
  <c r="X1414" i="9"/>
  <c r="X1418" i="9"/>
  <c r="X1422" i="9"/>
  <c r="X1426" i="9"/>
  <c r="X1430" i="9"/>
  <c r="X1434" i="9"/>
  <c r="X1438" i="9"/>
  <c r="X1442" i="9"/>
  <c r="X1446" i="9"/>
  <c r="X1450" i="9"/>
  <c r="X1454" i="9"/>
  <c r="X1458" i="9"/>
  <c r="X1462" i="9"/>
  <c r="X1466" i="9"/>
  <c r="X1470" i="9"/>
  <c r="X1474" i="9"/>
  <c r="X1478" i="9"/>
  <c r="X1482" i="9"/>
  <c r="X1486" i="9"/>
  <c r="X1490" i="9"/>
  <c r="X1494" i="9"/>
  <c r="X1498" i="9"/>
  <c r="X1502" i="9"/>
  <c r="X1506" i="9"/>
  <c r="X1510" i="9"/>
  <c r="X1514" i="9"/>
  <c r="X1518" i="9"/>
  <c r="X1522" i="9"/>
  <c r="X1526" i="9"/>
  <c r="X1530" i="9"/>
  <c r="X1534" i="9"/>
  <c r="X1538" i="9"/>
  <c r="X1542" i="9"/>
  <c r="X1546" i="9"/>
  <c r="X1550" i="9"/>
  <c r="X1554" i="9"/>
  <c r="X1558" i="9"/>
  <c r="X1562" i="9"/>
  <c r="X1566" i="9"/>
  <c r="X1570" i="9"/>
  <c r="X1574" i="9"/>
  <c r="X1578" i="9"/>
  <c r="X1582" i="9"/>
  <c r="X1586" i="9"/>
  <c r="X1590" i="9"/>
  <c r="X1594" i="9"/>
  <c r="X1598" i="9"/>
  <c r="X1602" i="9"/>
  <c r="X1606" i="9"/>
  <c r="X1610" i="9"/>
  <c r="X1614" i="9"/>
  <c r="X1618" i="9"/>
  <c r="X1622" i="9"/>
  <c r="X1626" i="9"/>
  <c r="X1630" i="9"/>
  <c r="X1634" i="9"/>
  <c r="X1638" i="9"/>
  <c r="X1642" i="9"/>
  <c r="X1646" i="9"/>
  <c r="X1650" i="9"/>
  <c r="X1654" i="9"/>
  <c r="X1658" i="9"/>
  <c r="X1662" i="9"/>
  <c r="X1666" i="9"/>
  <c r="X1670" i="9"/>
  <c r="X1674" i="9"/>
  <c r="X1678" i="9"/>
  <c r="X1682" i="9"/>
  <c r="X1686" i="9"/>
  <c r="X1690" i="9"/>
  <c r="X1694" i="9"/>
  <c r="X1698" i="9"/>
  <c r="X1702" i="9"/>
  <c r="X1706" i="9"/>
  <c r="X1710" i="9"/>
  <c r="X1714" i="9"/>
  <c r="X1718" i="9"/>
  <c r="X1722" i="9"/>
  <c r="X1726" i="9"/>
  <c r="X1730" i="9"/>
  <c r="X1727" i="9"/>
  <c r="Y40" i="9"/>
  <c r="Y232" i="9"/>
  <c r="Y296" i="9"/>
  <c r="Y430" i="9"/>
  <c r="Y462" i="9"/>
  <c r="Y558" i="9"/>
  <c r="Y590" i="9"/>
  <c r="Y622" i="9"/>
  <c r="Y718" i="9"/>
  <c r="Y750" i="9"/>
  <c r="Z750" i="9" s="1"/>
  <c r="Y846" i="9"/>
  <c r="Y878" i="9"/>
  <c r="Y974" i="9"/>
  <c r="Y1070" i="9"/>
  <c r="Z1070" i="9" s="1"/>
  <c r="Y1102" i="9"/>
  <c r="Y1198" i="9"/>
  <c r="Y1262" i="9"/>
  <c r="Y1358" i="9"/>
  <c r="Z1358" i="9" s="1"/>
  <c r="Y1417" i="9"/>
  <c r="Y1460" i="9"/>
  <c r="Y1524" i="9"/>
  <c r="Y1588" i="9"/>
  <c r="Y1609" i="9"/>
  <c r="Y1673" i="9"/>
  <c r="X19" i="9"/>
  <c r="X62" i="9"/>
  <c r="X104" i="9"/>
  <c r="X147" i="9"/>
  <c r="X190" i="9"/>
  <c r="X254" i="9"/>
  <c r="X296" i="9"/>
  <c r="X356" i="9"/>
  <c r="X371" i="9"/>
  <c r="X386" i="9"/>
  <c r="X407" i="9"/>
  <c r="X428" i="9"/>
  <c r="X442" i="9"/>
  <c r="X456" i="9"/>
  <c r="X478" i="9"/>
  <c r="X492" i="9"/>
  <c r="X506" i="9"/>
  <c r="X527" i="9"/>
  <c r="X548" i="9"/>
  <c r="X556" i="9"/>
  <c r="X578" i="9"/>
  <c r="X599" i="9"/>
  <c r="X612" i="9"/>
  <c r="X634" i="9"/>
  <c r="X648" i="9"/>
  <c r="X655" i="9"/>
  <c r="X670" i="9"/>
  <c r="X688" i="9"/>
  <c r="X699" i="9"/>
  <c r="X709" i="9"/>
  <c r="X725" i="9"/>
  <c r="X740" i="9"/>
  <c r="X752" i="9"/>
  <c r="X760" i="9"/>
  <c r="X772" i="9"/>
  <c r="X776" i="9"/>
  <c r="X788" i="9"/>
  <c r="X800" i="9"/>
  <c r="X804" i="9"/>
  <c r="X816" i="9"/>
  <c r="X828" i="9"/>
  <c r="X836" i="9"/>
  <c r="X848" i="9"/>
  <c r="X860" i="9"/>
  <c r="X864" i="9"/>
  <c r="X876" i="9"/>
  <c r="X888" i="9"/>
  <c r="X896" i="9"/>
  <c r="X904" i="9"/>
  <c r="X916" i="9"/>
  <c r="X924" i="9"/>
  <c r="X936" i="9"/>
  <c r="X948" i="9"/>
  <c r="X960" i="9"/>
  <c r="X972" i="9"/>
  <c r="X976" i="9"/>
  <c r="X988" i="9"/>
  <c r="X996" i="9"/>
  <c r="X1008" i="9"/>
  <c r="X1020" i="9"/>
  <c r="X1028" i="9"/>
  <c r="X1036" i="9"/>
  <c r="X1048" i="9"/>
  <c r="X1056" i="9"/>
  <c r="X1068" i="9"/>
  <c r="X1080" i="9"/>
  <c r="X1092" i="9"/>
  <c r="X1104" i="9"/>
  <c r="X1116" i="9"/>
  <c r="X1124" i="9"/>
  <c r="X1132" i="9"/>
  <c r="X1140" i="9"/>
  <c r="X1152" i="9"/>
  <c r="X1164" i="9"/>
  <c r="X1172" i="9"/>
  <c r="X1184" i="9"/>
  <c r="X1192" i="9"/>
  <c r="X1200" i="9"/>
  <c r="X1212" i="9"/>
  <c r="X1224" i="9"/>
  <c r="X1228" i="9"/>
  <c r="X1240" i="9"/>
  <c r="X1248" i="9"/>
  <c r="X1256" i="9"/>
  <c r="X1264" i="9"/>
  <c r="X1276" i="9"/>
  <c r="X1288" i="9"/>
  <c r="X1296" i="9"/>
  <c r="X1304" i="9"/>
  <c r="X1316" i="9"/>
  <c r="X1324" i="9"/>
  <c r="X1336" i="9"/>
  <c r="X1344" i="9"/>
  <c r="X1356" i="9"/>
  <c r="X1364" i="9"/>
  <c r="X1372" i="9"/>
  <c r="X1384" i="9"/>
  <c r="X1388" i="9"/>
  <c r="X1400" i="9"/>
  <c r="X1408" i="9"/>
  <c r="X1412" i="9"/>
  <c r="X1424" i="9"/>
  <c r="X1436" i="9"/>
  <c r="X1444" i="9"/>
  <c r="X1452" i="9"/>
  <c r="X1464" i="9"/>
  <c r="X1472" i="9"/>
  <c r="X1484" i="9"/>
  <c r="X1496" i="9"/>
  <c r="X1508" i="9"/>
  <c r="X1512" i="9"/>
  <c r="X1524" i="9"/>
  <c r="X1536" i="9"/>
  <c r="X1544" i="9"/>
  <c r="X1552" i="9"/>
  <c r="X1560" i="9"/>
  <c r="X1572" i="9"/>
  <c r="X1584" i="9"/>
  <c r="X1588" i="9"/>
  <c r="X1600" i="9"/>
  <c r="X1612" i="9"/>
  <c r="X1620" i="9"/>
  <c r="X1628" i="9"/>
  <c r="X1636" i="9"/>
  <c r="X1648" i="9"/>
  <c r="X1660" i="9"/>
  <c r="X1668" i="9"/>
  <c r="X1676" i="9"/>
  <c r="X1684" i="9"/>
  <c r="X1696" i="9"/>
  <c r="X1708" i="9"/>
  <c r="X1716" i="9"/>
  <c r="X1724" i="9"/>
  <c r="Y24" i="9"/>
  <c r="Y88" i="9"/>
  <c r="Y152" i="9"/>
  <c r="Y216" i="9"/>
  <c r="Y280" i="9"/>
  <c r="Y336" i="9"/>
  <c r="Z336" i="9" s="1"/>
  <c r="Y379" i="9"/>
  <c r="Z379" i="9" s="1"/>
  <c r="Y422" i="9"/>
  <c r="Z422" i="9" s="1"/>
  <c r="Y454" i="9"/>
  <c r="Y486" i="9"/>
  <c r="Y518" i="9"/>
  <c r="Y550" i="9"/>
  <c r="Z550" i="9" s="1"/>
  <c r="Y582" i="9"/>
  <c r="Y614" i="9"/>
  <c r="Y646" i="9"/>
  <c r="Y678" i="9"/>
  <c r="Z678" i="9" s="1"/>
  <c r="Y710" i="9"/>
  <c r="Z710" i="9" s="1"/>
  <c r="Y742" i="9"/>
  <c r="Y774" i="9"/>
  <c r="Z774" i="9" s="1"/>
  <c r="Y806" i="9"/>
  <c r="Y838" i="9"/>
  <c r="Y870" i="9"/>
  <c r="Y902" i="9"/>
  <c r="Y934" i="9"/>
  <c r="Y966" i="9"/>
  <c r="Y998" i="9"/>
  <c r="Y1030" i="9"/>
  <c r="Z1030" i="9" s="1"/>
  <c r="Y1062" i="9"/>
  <c r="Y1094" i="9"/>
  <c r="Y1126" i="9"/>
  <c r="Y1158" i="9"/>
  <c r="Y1190" i="9"/>
  <c r="Y1222" i="9"/>
  <c r="Y1254" i="9"/>
  <c r="Y1286" i="9"/>
  <c r="Z1286" i="9" s="1"/>
  <c r="Y1318" i="9"/>
  <c r="Y1350" i="9"/>
  <c r="Y1382" i="9"/>
  <c r="Y1412" i="9"/>
  <c r="Y1433" i="9"/>
  <c r="Y1454" i="9"/>
  <c r="Z1454" i="9" s="1"/>
  <c r="Y1476" i="9"/>
  <c r="Y1497" i="9"/>
  <c r="Y1518" i="9"/>
  <c r="Y1540" i="9"/>
  <c r="Y1561" i="9"/>
  <c r="Y1582" i="9"/>
  <c r="Y1604" i="9"/>
  <c r="Y1625" i="9"/>
  <c r="Y1646" i="9"/>
  <c r="Y1668" i="9"/>
  <c r="Y1689" i="9"/>
  <c r="Y1710" i="9"/>
  <c r="Z1710" i="9" s="1"/>
  <c r="X14" i="9"/>
  <c r="X35" i="9"/>
  <c r="X56" i="9"/>
  <c r="X78" i="9"/>
  <c r="X99" i="9"/>
  <c r="X120" i="9"/>
  <c r="X142" i="9"/>
  <c r="X163" i="9"/>
  <c r="X184" i="9"/>
  <c r="X206" i="9"/>
  <c r="X227" i="9"/>
  <c r="X248" i="9"/>
  <c r="X270" i="9"/>
  <c r="X291" i="9"/>
  <c r="X312" i="9"/>
  <c r="X334" i="9"/>
  <c r="X355" i="9"/>
  <c r="X362" i="9"/>
  <c r="X370" i="9"/>
  <c r="X376" i="9"/>
  <c r="X383" i="9"/>
  <c r="X391" i="9"/>
  <c r="X398" i="9"/>
  <c r="X404" i="9"/>
  <c r="X412" i="9"/>
  <c r="X419" i="9"/>
  <c r="X426" i="9"/>
  <c r="X434" i="9"/>
  <c r="X440" i="9"/>
  <c r="X447" i="9"/>
  <c r="X455" i="9"/>
  <c r="X462" i="9"/>
  <c r="X468" i="9"/>
  <c r="X476" i="9"/>
  <c r="X483" i="9"/>
  <c r="X490" i="9"/>
  <c r="X498" i="9"/>
  <c r="X504" i="9"/>
  <c r="X511" i="9"/>
  <c r="X519" i="9"/>
  <c r="X526" i="9"/>
  <c r="X532" i="9"/>
  <c r="X540" i="9"/>
  <c r="X547" i="9"/>
  <c r="X554" i="9"/>
  <c r="X562" i="9"/>
  <c r="X568" i="9"/>
  <c r="X575" i="9"/>
  <c r="X583" i="9"/>
  <c r="X590" i="9"/>
  <c r="X596" i="9"/>
  <c r="X604" i="9"/>
  <c r="X611" i="9"/>
  <c r="X618" i="9"/>
  <c r="X626" i="9"/>
  <c r="X632" i="9"/>
  <c r="X639" i="9"/>
  <c r="X647" i="9"/>
  <c r="X654" i="9"/>
  <c r="X660" i="9"/>
  <c r="X668" i="9"/>
  <c r="X675" i="9"/>
  <c r="X681" i="9"/>
  <c r="X687" i="9"/>
  <c r="X692" i="9"/>
  <c r="X697" i="9"/>
  <c r="X703" i="9"/>
  <c r="X708" i="9"/>
  <c r="X713" i="9"/>
  <c r="X719" i="9"/>
  <c r="X724" i="9"/>
  <c r="X729" i="9"/>
  <c r="X735" i="9"/>
  <c r="X739" i="9"/>
  <c r="X743" i="9"/>
  <c r="X747" i="9"/>
  <c r="X751" i="9"/>
  <c r="X755" i="9"/>
  <c r="X759" i="9"/>
  <c r="X763" i="9"/>
  <c r="X767" i="9"/>
  <c r="X771" i="9"/>
  <c r="X775" i="9"/>
  <c r="X779" i="9"/>
  <c r="X783" i="9"/>
  <c r="X787" i="9"/>
  <c r="X791" i="9"/>
  <c r="X795" i="9"/>
  <c r="X799" i="9"/>
  <c r="X803" i="9"/>
  <c r="X807" i="9"/>
  <c r="X811" i="9"/>
  <c r="X815" i="9"/>
  <c r="X819" i="9"/>
  <c r="X823" i="9"/>
  <c r="X827" i="9"/>
  <c r="X831" i="9"/>
  <c r="X835" i="9"/>
  <c r="X839" i="9"/>
  <c r="X843" i="9"/>
  <c r="X847" i="9"/>
  <c r="X851" i="9"/>
  <c r="X855" i="9"/>
  <c r="X859" i="9"/>
  <c r="X863" i="9"/>
  <c r="X867" i="9"/>
  <c r="X871" i="9"/>
  <c r="X875" i="9"/>
  <c r="X879" i="9"/>
  <c r="X883" i="9"/>
  <c r="X887" i="9"/>
  <c r="X891" i="9"/>
  <c r="X895" i="9"/>
  <c r="X899" i="9"/>
  <c r="X903" i="9"/>
  <c r="X907" i="9"/>
  <c r="X911" i="9"/>
  <c r="X915" i="9"/>
  <c r="X919" i="9"/>
  <c r="X923" i="9"/>
  <c r="X927" i="9"/>
  <c r="X931" i="9"/>
  <c r="X935" i="9"/>
  <c r="X939" i="9"/>
  <c r="X943" i="9"/>
  <c r="X947" i="9"/>
  <c r="X951" i="9"/>
  <c r="X955" i="9"/>
  <c r="X959" i="9"/>
  <c r="X963" i="9"/>
  <c r="X967" i="9"/>
  <c r="X971" i="9"/>
  <c r="X975" i="9"/>
  <c r="X979" i="9"/>
  <c r="X983" i="9"/>
  <c r="X987" i="9"/>
  <c r="X991" i="9"/>
  <c r="X995" i="9"/>
  <c r="X999" i="9"/>
  <c r="X1003" i="9"/>
  <c r="X1007" i="9"/>
  <c r="X1011" i="9"/>
  <c r="X1015" i="9"/>
  <c r="X1019" i="9"/>
  <c r="X1023" i="9"/>
  <c r="X1027" i="9"/>
  <c r="X1031" i="9"/>
  <c r="X1035" i="9"/>
  <c r="X1039" i="9"/>
  <c r="X1043" i="9"/>
  <c r="X1047" i="9"/>
  <c r="X1051" i="9"/>
  <c r="X1055" i="9"/>
  <c r="X1059" i="9"/>
  <c r="X1063" i="9"/>
  <c r="X1067" i="9"/>
  <c r="X1071" i="9"/>
  <c r="X1075" i="9"/>
  <c r="X1079" i="9"/>
  <c r="X1083" i="9"/>
  <c r="X1087" i="9"/>
  <c r="X1091" i="9"/>
  <c r="X1095" i="9"/>
  <c r="X1099" i="9"/>
  <c r="X1103" i="9"/>
  <c r="X1107" i="9"/>
  <c r="X1111" i="9"/>
  <c r="X1115" i="9"/>
  <c r="X1119" i="9"/>
  <c r="X1123" i="9"/>
  <c r="X1127" i="9"/>
  <c r="X1131" i="9"/>
  <c r="X1135" i="9"/>
  <c r="X1139" i="9"/>
  <c r="X1143" i="9"/>
  <c r="X1147" i="9"/>
  <c r="X1151" i="9"/>
  <c r="X1155" i="9"/>
  <c r="X1159" i="9"/>
  <c r="X1163" i="9"/>
  <c r="X1167" i="9"/>
  <c r="X1171" i="9"/>
  <c r="X1175" i="9"/>
  <c r="X1179" i="9"/>
  <c r="X1183" i="9"/>
  <c r="X1187" i="9"/>
  <c r="X1191" i="9"/>
  <c r="X1195" i="9"/>
  <c r="X1199" i="9"/>
  <c r="X1203" i="9"/>
  <c r="X1207" i="9"/>
  <c r="X1211" i="9"/>
  <c r="X1215" i="9"/>
  <c r="X1219" i="9"/>
  <c r="X1223" i="9"/>
  <c r="X1227" i="9"/>
  <c r="X1231" i="9"/>
  <c r="X1235" i="9"/>
  <c r="X1239" i="9"/>
  <c r="X1243" i="9"/>
  <c r="X1247" i="9"/>
  <c r="X1251" i="9"/>
  <c r="X1255" i="9"/>
  <c r="X1259" i="9"/>
  <c r="X1263" i="9"/>
  <c r="X1267" i="9"/>
  <c r="X1271" i="9"/>
  <c r="X1275" i="9"/>
  <c r="X1279" i="9"/>
  <c r="X1283" i="9"/>
  <c r="X1287" i="9"/>
  <c r="X1291" i="9"/>
  <c r="X1295" i="9"/>
  <c r="X1299" i="9"/>
  <c r="X1303" i="9"/>
  <c r="X1307" i="9"/>
  <c r="X1311" i="9"/>
  <c r="X1315" i="9"/>
  <c r="X1319" i="9"/>
  <c r="X1323" i="9"/>
  <c r="X1327" i="9"/>
  <c r="X1331" i="9"/>
  <c r="X1335" i="9"/>
  <c r="X1339" i="9"/>
  <c r="X1343" i="9"/>
  <c r="X1347" i="9"/>
  <c r="X1351" i="9"/>
  <c r="X1355" i="9"/>
  <c r="X1359" i="9"/>
  <c r="X1363" i="9"/>
  <c r="X1367" i="9"/>
  <c r="X1371" i="9"/>
  <c r="X1375" i="9"/>
  <c r="X1379" i="9"/>
  <c r="X1383" i="9"/>
  <c r="X1387" i="9"/>
  <c r="X1391" i="9"/>
  <c r="X1395" i="9"/>
  <c r="X1399" i="9"/>
  <c r="X1403" i="9"/>
  <c r="X1407" i="9"/>
  <c r="X1411" i="9"/>
  <c r="X1415" i="9"/>
  <c r="X1419" i="9"/>
  <c r="X1423" i="9"/>
  <c r="X1427" i="9"/>
  <c r="X1431" i="9"/>
  <c r="X1435" i="9"/>
  <c r="X1439" i="9"/>
  <c r="X1443" i="9"/>
  <c r="X1447" i="9"/>
  <c r="X1451" i="9"/>
  <c r="X1455" i="9"/>
  <c r="X1459" i="9"/>
  <c r="X1463" i="9"/>
  <c r="X1467" i="9"/>
  <c r="X1471" i="9"/>
  <c r="X1475" i="9"/>
  <c r="X1479" i="9"/>
  <c r="X1483" i="9"/>
  <c r="X1487" i="9"/>
  <c r="X1491" i="9"/>
  <c r="X1495" i="9"/>
  <c r="X1499" i="9"/>
  <c r="X1503" i="9"/>
  <c r="X1507" i="9"/>
  <c r="X1511" i="9"/>
  <c r="X1515" i="9"/>
  <c r="X1519" i="9"/>
  <c r="X1523" i="9"/>
  <c r="X1527" i="9"/>
  <c r="X1531" i="9"/>
  <c r="X1535" i="9"/>
  <c r="X1539" i="9"/>
  <c r="X1543" i="9"/>
  <c r="X1547" i="9"/>
  <c r="X1551" i="9"/>
  <c r="X1555" i="9"/>
  <c r="X1559" i="9"/>
  <c r="X1563" i="9"/>
  <c r="X1567" i="9"/>
  <c r="X1571" i="9"/>
  <c r="X1575" i="9"/>
  <c r="X1579" i="9"/>
  <c r="X1583" i="9"/>
  <c r="X1587" i="9"/>
  <c r="X1591" i="9"/>
  <c r="X1595" i="9"/>
  <c r="X1599" i="9"/>
  <c r="X1603" i="9"/>
  <c r="X1607" i="9"/>
  <c r="X1611" i="9"/>
  <c r="X1615" i="9"/>
  <c r="X1619" i="9"/>
  <c r="X1623" i="9"/>
  <c r="X1627" i="9"/>
  <c r="X1631" i="9"/>
  <c r="X1635" i="9"/>
  <c r="X1639" i="9"/>
  <c r="X1643" i="9"/>
  <c r="X1647" i="9"/>
  <c r="X1651" i="9"/>
  <c r="X1655" i="9"/>
  <c r="X1659" i="9"/>
  <c r="X1663" i="9"/>
  <c r="X1667" i="9"/>
  <c r="X1671" i="9"/>
  <c r="X1675" i="9"/>
  <c r="X1679" i="9"/>
  <c r="X1683" i="9"/>
  <c r="X1687" i="9"/>
  <c r="X1691" i="9"/>
  <c r="X1695" i="9"/>
  <c r="X1699" i="9"/>
  <c r="X1703" i="9"/>
  <c r="X1707" i="9"/>
  <c r="X1711" i="9"/>
  <c r="X1715" i="9"/>
  <c r="X1719" i="9"/>
  <c r="X1723" i="9"/>
  <c r="Y104" i="9"/>
  <c r="Z104" i="9" s="1"/>
  <c r="Y390" i="9"/>
  <c r="Y526" i="9"/>
  <c r="Y686" i="9"/>
  <c r="Y814" i="9"/>
  <c r="Y942" i="9"/>
  <c r="Y1038" i="9"/>
  <c r="Y1166" i="9"/>
  <c r="Z1166" i="9" s="1"/>
  <c r="Y1294" i="9"/>
  <c r="Y1390" i="9"/>
  <c r="Y1481" i="9"/>
  <c r="Y1545" i="9"/>
  <c r="Y1630" i="9"/>
  <c r="Y1716" i="9"/>
  <c r="X83" i="9"/>
  <c r="X168" i="9"/>
  <c r="X232" i="9"/>
  <c r="X318" i="9"/>
  <c r="X364" i="9"/>
  <c r="X392" i="9"/>
  <c r="X414" i="9"/>
  <c r="X435" i="9"/>
  <c r="X463" i="9"/>
  <c r="X484" i="9"/>
  <c r="X514" i="9"/>
  <c r="X535" i="9"/>
  <c r="X563" i="9"/>
  <c r="X591" i="9"/>
  <c r="X620" i="9"/>
  <c r="X642" i="9"/>
  <c r="X663" i="9"/>
  <c r="X683" i="9"/>
  <c r="X704" i="9"/>
  <c r="X720" i="9"/>
  <c r="X736" i="9"/>
  <c r="X748" i="9"/>
  <c r="X764" i="9"/>
  <c r="X784" i="9"/>
  <c r="X796" i="9"/>
  <c r="X812" i="9"/>
  <c r="X824" i="9"/>
  <c r="X840" i="9"/>
  <c r="X852" i="9"/>
  <c r="X872" i="9"/>
  <c r="X880" i="9"/>
  <c r="X892" i="9"/>
  <c r="X912" i="9"/>
  <c r="X928" i="9"/>
  <c r="X940" i="9"/>
  <c r="X956" i="9"/>
  <c r="X968" i="9"/>
  <c r="X984" i="9"/>
  <c r="X1000" i="9"/>
  <c r="X1016" i="9"/>
  <c r="X1032" i="9"/>
  <c r="X1044" i="9"/>
  <c r="X1060" i="9"/>
  <c r="X1076" i="9"/>
  <c r="X1088" i="9"/>
  <c r="X1100" i="9"/>
  <c r="X1112" i="9"/>
  <c r="X1128" i="9"/>
  <c r="X1144" i="9"/>
  <c r="X1156" i="9"/>
  <c r="X1176" i="9"/>
  <c r="X1188" i="9"/>
  <c r="X1204" i="9"/>
  <c r="X1216" i="9"/>
  <c r="X1232" i="9"/>
  <c r="X1252" i="9"/>
  <c r="X1268" i="9"/>
  <c r="X1284" i="9"/>
  <c r="X1300" i="9"/>
  <c r="X1312" i="9"/>
  <c r="X1328" i="9"/>
  <c r="X1348" i="9"/>
  <c r="X1360" i="9"/>
  <c r="X1376" i="9"/>
  <c r="X1396" i="9"/>
  <c r="X1416" i="9"/>
  <c r="X1432" i="9"/>
  <c r="X1448" i="9"/>
  <c r="X1460" i="9"/>
  <c r="X1476" i="9"/>
  <c r="X1488" i="9"/>
  <c r="X1500" i="9"/>
  <c r="X1520" i="9"/>
  <c r="X1532" i="9"/>
  <c r="X1548" i="9"/>
  <c r="X1564" i="9"/>
  <c r="X1576" i="9"/>
  <c r="X1596" i="9"/>
  <c r="X1608" i="9"/>
  <c r="X1624" i="9"/>
  <c r="X1640" i="9"/>
  <c r="X1656" i="9"/>
  <c r="X1672" i="9"/>
  <c r="X1688" i="9"/>
  <c r="X1704" i="9"/>
  <c r="X1720" i="9"/>
  <c r="Y56" i="9"/>
  <c r="Y120" i="9"/>
  <c r="Z120" i="9" s="1"/>
  <c r="Y184" i="9"/>
  <c r="Y248" i="9"/>
  <c r="Z248" i="9" s="1"/>
  <c r="Y312" i="9"/>
  <c r="Z312" i="9" s="1"/>
  <c r="Y358" i="9"/>
  <c r="Z358" i="9" s="1"/>
  <c r="Y400" i="9"/>
  <c r="Z400" i="9" s="1"/>
  <c r="Y438" i="9"/>
  <c r="Y470" i="9"/>
  <c r="Y502" i="9"/>
  <c r="Z502" i="9" s="1"/>
  <c r="Y534" i="9"/>
  <c r="Y566" i="9"/>
  <c r="Y598" i="9"/>
  <c r="Y630" i="9"/>
  <c r="Z630" i="9" s="1"/>
  <c r="Y662" i="9"/>
  <c r="Y694" i="9"/>
  <c r="Y726" i="9"/>
  <c r="Y758" i="9"/>
  <c r="Y790" i="9"/>
  <c r="Y822" i="9"/>
  <c r="Y854" i="9"/>
  <c r="Y886" i="9"/>
  <c r="Z886" i="9" s="1"/>
  <c r="Y918" i="9"/>
  <c r="Y950" i="9"/>
  <c r="Y982" i="9"/>
  <c r="Y1014" i="9"/>
  <c r="Y1046" i="9"/>
  <c r="Y1078" i="9"/>
  <c r="Y1110" i="9"/>
  <c r="Y1142" i="9"/>
  <c r="Z1142" i="9" s="1"/>
  <c r="Y1174" i="9"/>
  <c r="Y1206" i="9"/>
  <c r="Y1238" i="9"/>
  <c r="Y1270" i="9"/>
  <c r="Y1302" i="9"/>
  <c r="Y1334" i="9"/>
  <c r="Y1366" i="9"/>
  <c r="Y1398" i="9"/>
  <c r="Z1398" i="9" s="1"/>
  <c r="Y1422" i="9"/>
  <c r="Y1444" i="9"/>
  <c r="Y1465" i="9"/>
  <c r="Y1486" i="9"/>
  <c r="Y1508" i="9"/>
  <c r="Y1529" i="9"/>
  <c r="Y1550" i="9"/>
  <c r="Y1572" i="9"/>
  <c r="Y1593" i="9"/>
  <c r="Y1614" i="9"/>
  <c r="Z1614" i="9" s="1"/>
  <c r="Y1636" i="9"/>
  <c r="Y1657" i="9"/>
  <c r="Y1678" i="9"/>
  <c r="Y1700" i="9"/>
  <c r="Y1721" i="9"/>
  <c r="X24" i="9"/>
  <c r="X46" i="9"/>
  <c r="X67" i="9"/>
  <c r="X88" i="9"/>
  <c r="X110" i="9"/>
  <c r="X131" i="9"/>
  <c r="X152" i="9"/>
  <c r="X174" i="9"/>
  <c r="X195" i="9"/>
  <c r="X216" i="9"/>
  <c r="X238" i="9"/>
  <c r="X259" i="9"/>
  <c r="X280" i="9"/>
  <c r="X302" i="9"/>
  <c r="X323" i="9"/>
  <c r="X344" i="9"/>
  <c r="X359" i="9"/>
  <c r="X366" i="9"/>
  <c r="X372" i="9"/>
  <c r="X380" i="9"/>
  <c r="X387" i="9"/>
  <c r="X394" i="9"/>
  <c r="X402" i="9"/>
  <c r="X408" i="9"/>
  <c r="X415" i="9"/>
  <c r="X423" i="9"/>
  <c r="X430" i="9"/>
  <c r="X436" i="9"/>
  <c r="X444" i="9"/>
  <c r="X451" i="9"/>
  <c r="X458" i="9"/>
  <c r="X466" i="9"/>
  <c r="X472" i="9"/>
  <c r="X479" i="9"/>
  <c r="X487" i="9"/>
  <c r="X494" i="9"/>
  <c r="X500" i="9"/>
  <c r="X508" i="9"/>
  <c r="X515" i="9"/>
  <c r="X522" i="9"/>
  <c r="X530" i="9"/>
  <c r="X536" i="9"/>
  <c r="X543" i="9"/>
  <c r="X551" i="9"/>
  <c r="X558" i="9"/>
  <c r="X564" i="9"/>
  <c r="X572" i="9"/>
  <c r="X579" i="9"/>
  <c r="X586" i="9"/>
  <c r="X594" i="9"/>
  <c r="X600" i="9"/>
  <c r="X607" i="9"/>
  <c r="X615" i="9"/>
  <c r="X622" i="9"/>
  <c r="X628" i="9"/>
  <c r="X636" i="9"/>
  <c r="X643" i="9"/>
  <c r="X650" i="9"/>
  <c r="X658" i="9"/>
  <c r="X664" i="9"/>
  <c r="X671" i="9"/>
  <c r="X679" i="9"/>
  <c r="X684" i="9"/>
  <c r="X689" i="9"/>
  <c r="X695" i="9"/>
  <c r="X700" i="9"/>
  <c r="X705" i="9"/>
  <c r="X711" i="9"/>
  <c r="X716" i="9"/>
  <c r="X721" i="9"/>
  <c r="X727" i="9"/>
  <c r="X732" i="9"/>
  <c r="X737" i="9"/>
  <c r="X741" i="9"/>
  <c r="X745" i="9"/>
  <c r="X749" i="9"/>
  <c r="X753" i="9"/>
  <c r="X757" i="9"/>
  <c r="X761" i="9"/>
  <c r="X765" i="9"/>
  <c r="X769" i="9"/>
  <c r="X773" i="9"/>
  <c r="X777" i="9"/>
  <c r="X781" i="9"/>
  <c r="X785" i="9"/>
  <c r="X789" i="9"/>
  <c r="X793" i="9"/>
  <c r="X797" i="9"/>
  <c r="X801" i="9"/>
  <c r="X805" i="9"/>
  <c r="X809" i="9"/>
  <c r="X813" i="9"/>
  <c r="X817" i="9"/>
  <c r="X821" i="9"/>
  <c r="X825" i="9"/>
  <c r="X829" i="9"/>
  <c r="X833" i="9"/>
  <c r="X837" i="9"/>
  <c r="X841" i="9"/>
  <c r="X845" i="9"/>
  <c r="X849" i="9"/>
  <c r="X853" i="9"/>
  <c r="X857" i="9"/>
  <c r="X861" i="9"/>
  <c r="X865" i="9"/>
  <c r="X869" i="9"/>
  <c r="X873" i="9"/>
  <c r="X877" i="9"/>
  <c r="X881" i="9"/>
  <c r="X885" i="9"/>
  <c r="X889" i="9"/>
  <c r="X893" i="9"/>
  <c r="X897" i="9"/>
  <c r="X901" i="9"/>
  <c r="X905" i="9"/>
  <c r="X909" i="9"/>
  <c r="X913" i="9"/>
  <c r="X917" i="9"/>
  <c r="X921" i="9"/>
  <c r="X925" i="9"/>
  <c r="X929" i="9"/>
  <c r="X933" i="9"/>
  <c r="X937" i="9"/>
  <c r="X941" i="9"/>
  <c r="X945" i="9"/>
  <c r="X949" i="9"/>
  <c r="X953" i="9"/>
  <c r="X957" i="9"/>
  <c r="X961" i="9"/>
  <c r="X965" i="9"/>
  <c r="X969" i="9"/>
  <c r="X973" i="9"/>
  <c r="X977" i="9"/>
  <c r="X981" i="9"/>
  <c r="X985" i="9"/>
  <c r="X989" i="9"/>
  <c r="X993" i="9"/>
  <c r="X997" i="9"/>
  <c r="X1001" i="9"/>
  <c r="X1005" i="9"/>
  <c r="X1009" i="9"/>
  <c r="X1013" i="9"/>
  <c r="X1017" i="9"/>
  <c r="X1021" i="9"/>
  <c r="X1025" i="9"/>
  <c r="X1029" i="9"/>
  <c r="X1033" i="9"/>
  <c r="X1037" i="9"/>
  <c r="X1041" i="9"/>
  <c r="X1045" i="9"/>
  <c r="X1049" i="9"/>
  <c r="X1053" i="9"/>
  <c r="X1057" i="9"/>
  <c r="X1061" i="9"/>
  <c r="X1065" i="9"/>
  <c r="X1069" i="9"/>
  <c r="X1073" i="9"/>
  <c r="X1077" i="9"/>
  <c r="X1081" i="9"/>
  <c r="X1085" i="9"/>
  <c r="X1089" i="9"/>
  <c r="X1093" i="9"/>
  <c r="X1097" i="9"/>
  <c r="X1101" i="9"/>
  <c r="X1105" i="9"/>
  <c r="X1109" i="9"/>
  <c r="X1113" i="9"/>
  <c r="X1117" i="9"/>
  <c r="X1121" i="9"/>
  <c r="X1125" i="9"/>
  <c r="X1129" i="9"/>
  <c r="X1133" i="9"/>
  <c r="X1137" i="9"/>
  <c r="X1141" i="9"/>
  <c r="X1145" i="9"/>
  <c r="X1149" i="9"/>
  <c r="X1153" i="9"/>
  <c r="X1157" i="9"/>
  <c r="X1161" i="9"/>
  <c r="X1165" i="9"/>
  <c r="X1169" i="9"/>
  <c r="X1173" i="9"/>
  <c r="X1177" i="9"/>
  <c r="X1181" i="9"/>
  <c r="X1185" i="9"/>
  <c r="X1189" i="9"/>
  <c r="X1193" i="9"/>
  <c r="X1197" i="9"/>
  <c r="X1201" i="9"/>
  <c r="X1205" i="9"/>
  <c r="X1209" i="9"/>
  <c r="X1213" i="9"/>
  <c r="X1217" i="9"/>
  <c r="X1221" i="9"/>
  <c r="X1225" i="9"/>
  <c r="X1229" i="9"/>
  <c r="X1233" i="9"/>
  <c r="X1237" i="9"/>
  <c r="X1241" i="9"/>
  <c r="X1245" i="9"/>
  <c r="X1249" i="9"/>
  <c r="X1253" i="9"/>
  <c r="X1257" i="9"/>
  <c r="X1261" i="9"/>
  <c r="X1265" i="9"/>
  <c r="X1269" i="9"/>
  <c r="X1273" i="9"/>
  <c r="X1277" i="9"/>
  <c r="X1281" i="9"/>
  <c r="X1285" i="9"/>
  <c r="X1289" i="9"/>
  <c r="X1293" i="9"/>
  <c r="X1297" i="9"/>
  <c r="X1301" i="9"/>
  <c r="X1305" i="9"/>
  <c r="X1309" i="9"/>
  <c r="X1313" i="9"/>
  <c r="X1317" i="9"/>
  <c r="X1321" i="9"/>
  <c r="X1325" i="9"/>
  <c r="X1329" i="9"/>
  <c r="X1333" i="9"/>
  <c r="X1337" i="9"/>
  <c r="X1341" i="9"/>
  <c r="X1345" i="9"/>
  <c r="X1349" i="9"/>
  <c r="X1353" i="9"/>
  <c r="X1357" i="9"/>
  <c r="X1361" i="9"/>
  <c r="X1365" i="9"/>
  <c r="X1369" i="9"/>
  <c r="X1373" i="9"/>
  <c r="X1377" i="9"/>
  <c r="X1381" i="9"/>
  <c r="X1385" i="9"/>
  <c r="X1389" i="9"/>
  <c r="X1393" i="9"/>
  <c r="X1397" i="9"/>
  <c r="X1401" i="9"/>
  <c r="X1405" i="9"/>
  <c r="X1409" i="9"/>
  <c r="X1413" i="9"/>
  <c r="X1417" i="9"/>
  <c r="X1421" i="9"/>
  <c r="X1425" i="9"/>
  <c r="X1429" i="9"/>
  <c r="X1433" i="9"/>
  <c r="X1437" i="9"/>
  <c r="X1441" i="9"/>
  <c r="X1445" i="9"/>
  <c r="X1449" i="9"/>
  <c r="X1453" i="9"/>
  <c r="X1457" i="9"/>
  <c r="X1461" i="9"/>
  <c r="X1465" i="9"/>
  <c r="X1469" i="9"/>
  <c r="X1473" i="9"/>
  <c r="X1477" i="9"/>
  <c r="X1481" i="9"/>
  <c r="X1485" i="9"/>
  <c r="X1489" i="9"/>
  <c r="X1493" i="9"/>
  <c r="X1497" i="9"/>
  <c r="X1501" i="9"/>
  <c r="X1505" i="9"/>
  <c r="X1509" i="9"/>
  <c r="X1513" i="9"/>
  <c r="X1517" i="9"/>
  <c r="X1521" i="9"/>
  <c r="X1525" i="9"/>
  <c r="X1529" i="9"/>
  <c r="X1533" i="9"/>
  <c r="X1537" i="9"/>
  <c r="X1541" i="9"/>
  <c r="X1545" i="9"/>
  <c r="X1549" i="9"/>
  <c r="X1553" i="9"/>
  <c r="X1557" i="9"/>
  <c r="X1561" i="9"/>
  <c r="X1565" i="9"/>
  <c r="X1569" i="9"/>
  <c r="X1573" i="9"/>
  <c r="X1577" i="9"/>
  <c r="X1581" i="9"/>
  <c r="X1585" i="9"/>
  <c r="X1589" i="9"/>
  <c r="X1593" i="9"/>
  <c r="X1597" i="9"/>
  <c r="X1601" i="9"/>
  <c r="X1605" i="9"/>
  <c r="X1609" i="9"/>
  <c r="X1613" i="9"/>
  <c r="X1617" i="9"/>
  <c r="X1621" i="9"/>
  <c r="X1625" i="9"/>
  <c r="X1629" i="9"/>
  <c r="X1633" i="9"/>
  <c r="X1637" i="9"/>
  <c r="X1641" i="9"/>
  <c r="X1645" i="9"/>
  <c r="X1649" i="9"/>
  <c r="X1653" i="9"/>
  <c r="X1657" i="9"/>
  <c r="X1661" i="9"/>
  <c r="X1665" i="9"/>
  <c r="X1669" i="9"/>
  <c r="X1673" i="9"/>
  <c r="X1677" i="9"/>
  <c r="X1681" i="9"/>
  <c r="X1685" i="9"/>
  <c r="X1689" i="9"/>
  <c r="X1693" i="9"/>
  <c r="X1697" i="9"/>
  <c r="X1701" i="9"/>
  <c r="X1705" i="9"/>
  <c r="X1709" i="9"/>
  <c r="X1713" i="9"/>
  <c r="X1717" i="9"/>
  <c r="X1721" i="9"/>
  <c r="X1725" i="9"/>
  <c r="X1729" i="9"/>
  <c r="Y168" i="9"/>
  <c r="Y347" i="9"/>
  <c r="Y494" i="9"/>
  <c r="Z494" i="9" s="1"/>
  <c r="Y654" i="9"/>
  <c r="Y782" i="9"/>
  <c r="Y910" i="9"/>
  <c r="Z910" i="9" s="1"/>
  <c r="Y1006" i="9"/>
  <c r="Y1134" i="9"/>
  <c r="Y1230" i="9"/>
  <c r="Y1326" i="9"/>
  <c r="Z1326" i="9" s="1"/>
  <c r="Y1438" i="9"/>
  <c r="Y1502" i="9"/>
  <c r="Y1566" i="9"/>
  <c r="Y1652" i="9"/>
  <c r="Y1694" i="9"/>
  <c r="X40" i="9"/>
  <c r="X126" i="9"/>
  <c r="X211" i="9"/>
  <c r="X275" i="9"/>
  <c r="X339" i="9"/>
  <c r="X378" i="9"/>
  <c r="X399" i="9"/>
  <c r="X420" i="9"/>
  <c r="X450" i="9"/>
  <c r="X471" i="9"/>
  <c r="X499" i="9"/>
  <c r="X520" i="9"/>
  <c r="X542" i="9"/>
  <c r="X570" i="9"/>
  <c r="X584" i="9"/>
  <c r="X606" i="9"/>
  <c r="X627" i="9"/>
  <c r="X676" i="9"/>
  <c r="X693" i="9"/>
  <c r="X715" i="9"/>
  <c r="X731" i="9"/>
  <c r="X744" i="9"/>
  <c r="X756" i="9"/>
  <c r="X768" i="9"/>
  <c r="X780" i="9"/>
  <c r="X792" i="9"/>
  <c r="X808" i="9"/>
  <c r="X820" i="9"/>
  <c r="X832" i="9"/>
  <c r="X844" i="9"/>
  <c r="X856" i="9"/>
  <c r="X868" i="9"/>
  <c r="X884" i="9"/>
  <c r="X900" i="9"/>
  <c r="X908" i="9"/>
  <c r="X920" i="9"/>
  <c r="X932" i="9"/>
  <c r="X944" i="9"/>
  <c r="X952" i="9"/>
  <c r="X964" i="9"/>
  <c r="X980" i="9"/>
  <c r="X992" i="9"/>
  <c r="X1004" i="9"/>
  <c r="X1012" i="9"/>
  <c r="X1024" i="9"/>
  <c r="X1040" i="9"/>
  <c r="X1052" i="9"/>
  <c r="X1064" i="9"/>
  <c r="X1072" i="9"/>
  <c r="X1084" i="9"/>
  <c r="X1096" i="9"/>
  <c r="X1108" i="9"/>
  <c r="X1120" i="9"/>
  <c r="X1136" i="9"/>
  <c r="X1148" i="9"/>
  <c r="X1160" i="9"/>
  <c r="X1168" i="9"/>
  <c r="X1180" i="9"/>
  <c r="X1196" i="9"/>
  <c r="X1208" i="9"/>
  <c r="X1220" i="9"/>
  <c r="X1236" i="9"/>
  <c r="X1244" i="9"/>
  <c r="X1260" i="9"/>
  <c r="X1272" i="9"/>
  <c r="X1280" i="9"/>
  <c r="X1292" i="9"/>
  <c r="X1308" i="9"/>
  <c r="X1320" i="9"/>
  <c r="X1332" i="9"/>
  <c r="X1340" i="9"/>
  <c r="X1352" i="9"/>
  <c r="X1368" i="9"/>
  <c r="X1380" i="9"/>
  <c r="X1392" i="9"/>
  <c r="X1404" i="9"/>
  <c r="X1420" i="9"/>
  <c r="X1428" i="9"/>
  <c r="X1440" i="9"/>
  <c r="X1456" i="9"/>
  <c r="X1468" i="9"/>
  <c r="X1480" i="9"/>
  <c r="X1492" i="9"/>
  <c r="X1504" i="9"/>
  <c r="X1516" i="9"/>
  <c r="X1528" i="9"/>
  <c r="X1540" i="9"/>
  <c r="X1556" i="9"/>
  <c r="X1568" i="9"/>
  <c r="X1580" i="9"/>
  <c r="X1592" i="9"/>
  <c r="X1604" i="9"/>
  <c r="X1616" i="9"/>
  <c r="X1632" i="9"/>
  <c r="X1644" i="9"/>
  <c r="X1652" i="9"/>
  <c r="X1664" i="9"/>
  <c r="X1680" i="9"/>
  <c r="X1692" i="9"/>
  <c r="X1700" i="9"/>
  <c r="X1712" i="9"/>
  <c r="X1728" i="9"/>
  <c r="E11" i="12"/>
  <c r="J11" i="12"/>
  <c r="D11" i="12"/>
  <c r="G11" i="12"/>
  <c r="F11" i="12"/>
  <c r="I11" i="12"/>
  <c r="C11" i="12"/>
  <c r="A27" i="12"/>
  <c r="H11" i="12"/>
  <c r="K11" i="12"/>
  <c r="A12" i="12"/>
  <c r="D24" i="26"/>
  <c r="E24" i="26" s="1"/>
  <c r="F24" i="26" s="1"/>
  <c r="G24" i="26" s="1"/>
  <c r="H24" i="26" s="1"/>
  <c r="I24" i="26" s="1"/>
  <c r="J24" i="26" s="1"/>
  <c r="K24" i="26" s="1"/>
  <c r="Z654" i="9" l="1"/>
  <c r="Z1270" i="9"/>
  <c r="Z1014" i="9"/>
  <c r="Z758" i="9"/>
  <c r="Z1716" i="9"/>
  <c r="Z665" i="9"/>
  <c r="Z601" i="9"/>
  <c r="Z537" i="9"/>
  <c r="Z473" i="9"/>
  <c r="Z726" i="9"/>
  <c r="Z694" i="9"/>
  <c r="Z1572" i="9"/>
  <c r="Z1412" i="9"/>
  <c r="Z1158" i="9"/>
  <c r="Z902" i="9"/>
  <c r="Z633" i="9"/>
  <c r="Z569" i="9"/>
  <c r="Z505" i="9"/>
  <c r="Z441" i="9"/>
  <c r="Z677" i="9"/>
  <c r="Z613" i="9"/>
  <c r="Z549" i="9"/>
  <c r="Z485" i="9"/>
  <c r="Z614" i="9"/>
  <c r="Z56" i="9"/>
  <c r="Z486" i="9"/>
  <c r="L24" i="26"/>
  <c r="K35" i="26" s="1"/>
  <c r="E25" i="26"/>
  <c r="G8" i="9"/>
  <c r="D8" i="14"/>
  <c r="C9" i="14"/>
  <c r="Z1694" i="9"/>
  <c r="Z1438" i="9"/>
  <c r="Z1006" i="9"/>
  <c r="Z1550" i="9"/>
  <c r="Z598" i="9"/>
  <c r="Z470" i="9"/>
  <c r="Z1630" i="9"/>
  <c r="Z1294" i="9"/>
  <c r="Z814" i="9"/>
  <c r="Z1646" i="9"/>
  <c r="Z1102" i="9"/>
  <c r="Z846" i="9"/>
  <c r="Z669" i="9"/>
  <c r="Z637" i="9"/>
  <c r="Z605" i="9"/>
  <c r="Z573" i="9"/>
  <c r="Z541" i="9"/>
  <c r="Z509" i="9"/>
  <c r="Z477" i="9"/>
  <c r="Z445" i="9"/>
  <c r="Z1502" i="9"/>
  <c r="Z1134" i="9"/>
  <c r="Z1486" i="9"/>
  <c r="Z1390" i="9"/>
  <c r="Z942" i="9"/>
  <c r="Z390" i="9"/>
  <c r="Z1668" i="9"/>
  <c r="Z1582" i="9"/>
  <c r="Z646" i="9"/>
  <c r="Z518" i="9"/>
  <c r="Z1198" i="9"/>
  <c r="Z878" i="9"/>
  <c r="Z411" i="9"/>
  <c r="Z1566" i="9"/>
  <c r="Z1230" i="9"/>
  <c r="Z782" i="9"/>
  <c r="Z168" i="9"/>
  <c r="Z1678" i="9"/>
  <c r="Z1508" i="9"/>
  <c r="Z1422" i="9"/>
  <c r="Z662" i="9"/>
  <c r="Z534" i="9"/>
  <c r="Z1038" i="9"/>
  <c r="Z1518" i="9"/>
  <c r="Z1262" i="9"/>
  <c r="Z974" i="9"/>
  <c r="Z653" i="9"/>
  <c r="Z621" i="9"/>
  <c r="Z589" i="9"/>
  <c r="Z557" i="9"/>
  <c r="Z525" i="9"/>
  <c r="Z493" i="9"/>
  <c r="Z461" i="9"/>
  <c r="Z429" i="9"/>
  <c r="Z1366" i="9"/>
  <c r="Z1110" i="9"/>
  <c r="Z854" i="9"/>
  <c r="Z1254" i="9"/>
  <c r="Z998" i="9"/>
  <c r="Z742" i="9"/>
  <c r="Z1302" i="9"/>
  <c r="Z1174" i="9"/>
  <c r="Z1046" i="9"/>
  <c r="Z918" i="9"/>
  <c r="Z790" i="9"/>
  <c r="Z184" i="9"/>
  <c r="Z526" i="9"/>
  <c r="Z1318" i="9"/>
  <c r="Z1190" i="9"/>
  <c r="Z1062" i="9"/>
  <c r="Z934" i="9"/>
  <c r="Z806" i="9"/>
  <c r="Z718" i="9"/>
  <c r="Z702" i="9"/>
  <c r="Z673" i="9"/>
  <c r="Z641" i="9"/>
  <c r="Z609" i="9"/>
  <c r="Z577" i="9"/>
  <c r="Z545" i="9"/>
  <c r="Z513" i="9"/>
  <c r="Z481" i="9"/>
  <c r="Z449" i="9"/>
  <c r="Z1636" i="9"/>
  <c r="Z1238" i="9"/>
  <c r="Z982" i="9"/>
  <c r="Z1382" i="9"/>
  <c r="Z1126" i="9"/>
  <c r="Z870" i="9"/>
  <c r="Z347" i="9"/>
  <c r="Z1444" i="9"/>
  <c r="Z1334" i="9"/>
  <c r="Z1206" i="9"/>
  <c r="Z1078" i="9"/>
  <c r="Z950" i="9"/>
  <c r="Z822" i="9"/>
  <c r="Z566" i="9"/>
  <c r="Z438" i="9"/>
  <c r="Z686" i="9"/>
  <c r="Z1350" i="9"/>
  <c r="Z1222" i="9"/>
  <c r="Z1094" i="9"/>
  <c r="Z966" i="9"/>
  <c r="Z838" i="9"/>
  <c r="Z582" i="9"/>
  <c r="Z454" i="9"/>
  <c r="Z734" i="9"/>
  <c r="Z326" i="9"/>
  <c r="Z649" i="9"/>
  <c r="Z617" i="9"/>
  <c r="Z585" i="9"/>
  <c r="Z553" i="9"/>
  <c r="Z521" i="9"/>
  <c r="Z489" i="9"/>
  <c r="Z457" i="9"/>
  <c r="Z425" i="9"/>
  <c r="Z661" i="9"/>
  <c r="Z629" i="9"/>
  <c r="Z597" i="9"/>
  <c r="Z565" i="9"/>
  <c r="Z533" i="9"/>
  <c r="Z501" i="9"/>
  <c r="Z469" i="9"/>
  <c r="Z437" i="9"/>
  <c r="A44" i="12"/>
  <c r="A60" i="12" s="1"/>
  <c r="A77" i="12" s="1"/>
  <c r="N27" i="12"/>
  <c r="N44" i="12" s="1"/>
  <c r="D12" i="12"/>
  <c r="E12" i="12"/>
  <c r="G12" i="12"/>
  <c r="J12" i="12"/>
  <c r="K12" i="12"/>
  <c r="A28" i="12"/>
  <c r="F12" i="12"/>
  <c r="C12" i="12"/>
  <c r="A13" i="12"/>
  <c r="H12" i="12"/>
  <c r="B12" i="12"/>
  <c r="B28" i="12" s="1"/>
  <c r="I12" i="12"/>
  <c r="Z1593" i="9"/>
  <c r="Z1481" i="9"/>
  <c r="Z1689" i="9"/>
  <c r="Z1604" i="9"/>
  <c r="Z1433" i="9"/>
  <c r="Z216" i="9"/>
  <c r="Z1524" i="9"/>
  <c r="Z462" i="9"/>
  <c r="Z40" i="9"/>
  <c r="Z1705" i="9"/>
  <c r="Z1620" i="9"/>
  <c r="Z1534" i="9"/>
  <c r="Z1449" i="9"/>
  <c r="Z1342" i="9"/>
  <c r="Z1214" i="9"/>
  <c r="Z1086" i="9"/>
  <c r="Z958" i="9"/>
  <c r="Z830" i="9"/>
  <c r="Z574" i="9"/>
  <c r="Z446" i="9"/>
  <c r="Z264" i="9"/>
  <c r="Z1728" i="9"/>
  <c r="Z1706" i="9"/>
  <c r="Z1685" i="9"/>
  <c r="Z1664" i="9"/>
  <c r="Z1642" i="9"/>
  <c r="Z1621" i="9"/>
  <c r="Z1600" i="9"/>
  <c r="Z1578" i="9"/>
  <c r="Z1557" i="9"/>
  <c r="Z1536" i="9"/>
  <c r="Z1514" i="9"/>
  <c r="Z1493" i="9"/>
  <c r="Z1472" i="9"/>
  <c r="Z1450" i="9"/>
  <c r="Z1429" i="9"/>
  <c r="Z1408" i="9"/>
  <c r="Z1377" i="9"/>
  <c r="Z1345" i="9"/>
  <c r="Z1313" i="9"/>
  <c r="Z1281" i="9"/>
  <c r="Z1249" i="9"/>
  <c r="Z1217" i="9"/>
  <c r="Z1185" i="9"/>
  <c r="Z1153" i="9"/>
  <c r="Z1121" i="9"/>
  <c r="Z1089" i="9"/>
  <c r="Z1057" i="9"/>
  <c r="Z1025" i="9"/>
  <c r="Z993" i="9"/>
  <c r="Z961" i="9"/>
  <c r="Z929" i="9"/>
  <c r="Z897" i="9"/>
  <c r="Z865" i="9"/>
  <c r="Z833" i="9"/>
  <c r="Z801" i="9"/>
  <c r="Z769" i="9"/>
  <c r="Z737" i="9"/>
  <c r="Z705" i="9"/>
  <c r="Z415" i="9"/>
  <c r="Z372" i="9"/>
  <c r="Z330" i="9"/>
  <c r="Z271" i="9"/>
  <c r="Z207" i="9"/>
  <c r="Z143" i="9"/>
  <c r="Z79" i="9"/>
  <c r="Z15" i="9"/>
  <c r="Z1714" i="9"/>
  <c r="Z1693" i="9"/>
  <c r="Z1672" i="9"/>
  <c r="Z1650" i="9"/>
  <c r="Z1629" i="9"/>
  <c r="Z1608" i="9"/>
  <c r="Z1586" i="9"/>
  <c r="Z1565" i="9"/>
  <c r="Z1544" i="9"/>
  <c r="Z1522" i="9"/>
  <c r="Z1501" i="9"/>
  <c r="Z1480" i="9"/>
  <c r="Z1458" i="9"/>
  <c r="Z1437" i="9"/>
  <c r="Z1416" i="9"/>
  <c r="Z1389" i="9"/>
  <c r="Z1357" i="9"/>
  <c r="Z1325" i="9"/>
  <c r="Z1293" i="9"/>
  <c r="Z1261" i="9"/>
  <c r="Z1229" i="9"/>
  <c r="Z1197" i="9"/>
  <c r="Z1165" i="9"/>
  <c r="Z1133" i="9"/>
  <c r="Z1101" i="9"/>
  <c r="Z1069" i="9"/>
  <c r="Z1037" i="9"/>
  <c r="Z1005" i="9"/>
  <c r="Z973" i="9"/>
  <c r="Z941" i="9"/>
  <c r="Z909" i="9"/>
  <c r="Z877" i="9"/>
  <c r="Z845" i="9"/>
  <c r="Z813" i="9"/>
  <c r="Z781" i="9"/>
  <c r="Z749" i="9"/>
  <c r="Z717" i="9"/>
  <c r="Z685" i="9"/>
  <c r="Z388" i="9"/>
  <c r="Z346" i="9"/>
  <c r="Z295" i="9"/>
  <c r="Z231" i="9"/>
  <c r="Z167" i="9"/>
  <c r="Z103" i="9"/>
  <c r="Z39" i="9"/>
  <c r="Z1713" i="9"/>
  <c r="Z1692" i="9"/>
  <c r="Z1670" i="9"/>
  <c r="Z1649" i="9"/>
  <c r="Z1628" i="9"/>
  <c r="Z1606" i="9"/>
  <c r="Z1585" i="9"/>
  <c r="Z1564" i="9"/>
  <c r="Z1542" i="9"/>
  <c r="Z1521" i="9"/>
  <c r="Z1500" i="9"/>
  <c r="Z1478" i="9"/>
  <c r="Z1457" i="9"/>
  <c r="Z1436" i="9"/>
  <c r="Z1414" i="9"/>
  <c r="Z1386" i="9"/>
  <c r="Z1354" i="9"/>
  <c r="Z1322" i="9"/>
  <c r="Z1290" i="9"/>
  <c r="Z1258" i="9"/>
  <c r="Z1226" i="9"/>
  <c r="Z1194" i="9"/>
  <c r="Z1162" i="9"/>
  <c r="Z1130" i="9"/>
  <c r="Z1098" i="9"/>
  <c r="Z1066" i="9"/>
  <c r="Z1034" i="9"/>
  <c r="Z1002" i="9"/>
  <c r="Z970" i="9"/>
  <c r="Z938" i="9"/>
  <c r="Z906" i="9"/>
  <c r="Z874" i="9"/>
  <c r="Z842" i="9"/>
  <c r="Z810" i="9"/>
  <c r="Z778" i="9"/>
  <c r="Z746" i="9"/>
  <c r="Z714" i="9"/>
  <c r="Z682" i="9"/>
  <c r="Z650" i="9"/>
  <c r="Z618" i="9"/>
  <c r="Z586" i="9"/>
  <c r="Z554" i="9"/>
  <c r="Z522" i="9"/>
  <c r="Z490" i="9"/>
  <c r="Z458" i="9"/>
  <c r="Z426" i="9"/>
  <c r="Z384" i="9"/>
  <c r="Z342" i="9"/>
  <c r="Z288" i="9"/>
  <c r="Z224" i="9"/>
  <c r="Z160" i="9"/>
  <c r="Z96" i="9"/>
  <c r="Z32" i="9"/>
  <c r="Z1396" i="9"/>
  <c r="Z1380" i="9"/>
  <c r="Z1364" i="9"/>
  <c r="Z1348" i="9"/>
  <c r="Z1332" i="9"/>
  <c r="Z1316" i="9"/>
  <c r="Z1300" i="9"/>
  <c r="Z1284" i="9"/>
  <c r="Z1268" i="9"/>
  <c r="Z1252" i="9"/>
  <c r="Z1236" i="9"/>
  <c r="Z1220" i="9"/>
  <c r="Z1204" i="9"/>
  <c r="Z1188" i="9"/>
  <c r="Z1172" i="9"/>
  <c r="Z1156" i="9"/>
  <c r="Z1140" i="9"/>
  <c r="Z1124" i="9"/>
  <c r="Z1108" i="9"/>
  <c r="Z1092" i="9"/>
  <c r="Z1076" i="9"/>
  <c r="Z1060" i="9"/>
  <c r="Z1044" i="9"/>
  <c r="Z1028" i="9"/>
  <c r="Z1012" i="9"/>
  <c r="Z996" i="9"/>
  <c r="Z980" i="9"/>
  <c r="Z964" i="9"/>
  <c r="Z948" i="9"/>
  <c r="Z932" i="9"/>
  <c r="Z916" i="9"/>
  <c r="Z900" i="9"/>
  <c r="Z884" i="9"/>
  <c r="Z868" i="9"/>
  <c r="Z852" i="9"/>
  <c r="Z836" i="9"/>
  <c r="Z820" i="9"/>
  <c r="Z804" i="9"/>
  <c r="Z788" i="9"/>
  <c r="Z772" i="9"/>
  <c r="Z756" i="9"/>
  <c r="Z740" i="9"/>
  <c r="Z724" i="9"/>
  <c r="Z708" i="9"/>
  <c r="Z692" i="9"/>
  <c r="Z676" i="9"/>
  <c r="Z660" i="9"/>
  <c r="Z644" i="9"/>
  <c r="Z628" i="9"/>
  <c r="Z612" i="9"/>
  <c r="Z596" i="9"/>
  <c r="Z580" i="9"/>
  <c r="Z564" i="9"/>
  <c r="Z548" i="9"/>
  <c r="Z532" i="9"/>
  <c r="Z516" i="9"/>
  <c r="Z500" i="9"/>
  <c r="Z484" i="9"/>
  <c r="Z468" i="9"/>
  <c r="Z452" i="9"/>
  <c r="Z436" i="9"/>
  <c r="Z419" i="9"/>
  <c r="Z398" i="9"/>
  <c r="Z376" i="9"/>
  <c r="Z355" i="9"/>
  <c r="Z334" i="9"/>
  <c r="Z308" i="9"/>
  <c r="Z276" i="9"/>
  <c r="Z244" i="9"/>
  <c r="Z212" i="9"/>
  <c r="Z180" i="9"/>
  <c r="Z148" i="9"/>
  <c r="Z116" i="9"/>
  <c r="Z84" i="9"/>
  <c r="Z52" i="9"/>
  <c r="Z20" i="9"/>
  <c r="Z1727" i="9"/>
  <c r="Z1711" i="9"/>
  <c r="Z1695" i="9"/>
  <c r="Z1679" i="9"/>
  <c r="Z1663" i="9"/>
  <c r="Z1647" i="9"/>
  <c r="Z1631" i="9"/>
  <c r="Z1615" i="9"/>
  <c r="Z1599" i="9"/>
  <c r="Z1583" i="9"/>
  <c r="Z1567" i="9"/>
  <c r="Z1551" i="9"/>
  <c r="Z1535" i="9"/>
  <c r="Z1519" i="9"/>
  <c r="Z1503" i="9"/>
  <c r="Z1487" i="9"/>
  <c r="Z1471" i="9"/>
  <c r="Z1455" i="9"/>
  <c r="Z1439" i="9"/>
  <c r="Z1423" i="9"/>
  <c r="Z1407" i="9"/>
  <c r="Z1391" i="9"/>
  <c r="Z1375" i="9"/>
  <c r="Z1359" i="9"/>
  <c r="Z1343" i="9"/>
  <c r="Z1327" i="9"/>
  <c r="Z1311" i="9"/>
  <c r="Z1295" i="9"/>
  <c r="Z1279" i="9"/>
  <c r="Z1263" i="9"/>
  <c r="Z1247" i="9"/>
  <c r="Z1231" i="9"/>
  <c r="Z1215" i="9"/>
  <c r="Z1199" i="9"/>
  <c r="Z1183" i="9"/>
  <c r="Z1167" i="9"/>
  <c r="Z1151" i="9"/>
  <c r="Z1135" i="9"/>
  <c r="Z1119" i="9"/>
  <c r="Z1103" i="9"/>
  <c r="Z1087" i="9"/>
  <c r="Z1071" i="9"/>
  <c r="Z1055" i="9"/>
  <c r="Z1039" i="9"/>
  <c r="Z1023" i="9"/>
  <c r="Z1007" i="9"/>
  <c r="Z991" i="9"/>
  <c r="Z975" i="9"/>
  <c r="Z959" i="9"/>
  <c r="Z943" i="9"/>
  <c r="Z927" i="9"/>
  <c r="Z911" i="9"/>
  <c r="Z895" i="9"/>
  <c r="Z879" i="9"/>
  <c r="Z863" i="9"/>
  <c r="Z847" i="9"/>
  <c r="Z831" i="9"/>
  <c r="Z815" i="9"/>
  <c r="Z799" i="9"/>
  <c r="Z783" i="9"/>
  <c r="Z767" i="9"/>
  <c r="Z751" i="9"/>
  <c r="Z735" i="9"/>
  <c r="Z719" i="9"/>
  <c r="Z703" i="9"/>
  <c r="Z687" i="9"/>
  <c r="Z671" i="9"/>
  <c r="Z655" i="9"/>
  <c r="Z639" i="9"/>
  <c r="Z623" i="9"/>
  <c r="Z607" i="9"/>
  <c r="Z591" i="9"/>
  <c r="Z575" i="9"/>
  <c r="Z559" i="9"/>
  <c r="Z543" i="9"/>
  <c r="Z527" i="9"/>
  <c r="Z511" i="9"/>
  <c r="Z495" i="9"/>
  <c r="Z479" i="9"/>
  <c r="Z463" i="9"/>
  <c r="Z447" i="9"/>
  <c r="Z431" i="9"/>
  <c r="Z412" i="9"/>
  <c r="Z391" i="9"/>
  <c r="Z370" i="9"/>
  <c r="Z348" i="9"/>
  <c r="Z327" i="9"/>
  <c r="Z299" i="9"/>
  <c r="Z267" i="9"/>
  <c r="Z235" i="9"/>
  <c r="Z203" i="9"/>
  <c r="Z171" i="9"/>
  <c r="Z139" i="9"/>
  <c r="Z107" i="9"/>
  <c r="Z75" i="9"/>
  <c r="Z43" i="9"/>
  <c r="Z318" i="9"/>
  <c r="Z302" i="9"/>
  <c r="Z286" i="9"/>
  <c r="Z270" i="9"/>
  <c r="Z254" i="9"/>
  <c r="Z238" i="9"/>
  <c r="Z222" i="9"/>
  <c r="Z206" i="9"/>
  <c r="Z190" i="9"/>
  <c r="Z174" i="9"/>
  <c r="Z158" i="9"/>
  <c r="Z142" i="9"/>
  <c r="Z126" i="9"/>
  <c r="Z110" i="9"/>
  <c r="Z94" i="9"/>
  <c r="Z78" i="9"/>
  <c r="Z62" i="9"/>
  <c r="Z46" i="9"/>
  <c r="Z30" i="9"/>
  <c r="Z14" i="9"/>
  <c r="Z409" i="9"/>
  <c r="Z393" i="9"/>
  <c r="Z377" i="9"/>
  <c r="Z361" i="9"/>
  <c r="Z345" i="9"/>
  <c r="Z329" i="9"/>
  <c r="Z313" i="9"/>
  <c r="Z297" i="9"/>
  <c r="Z281" i="9"/>
  <c r="Z265" i="9"/>
  <c r="Z249" i="9"/>
  <c r="Z233" i="9"/>
  <c r="Z217" i="9"/>
  <c r="Z201" i="9"/>
  <c r="Z185" i="9"/>
  <c r="Z169" i="9"/>
  <c r="Z153" i="9"/>
  <c r="Z137" i="9"/>
  <c r="Z121" i="9"/>
  <c r="Z105" i="9"/>
  <c r="Z89" i="9"/>
  <c r="Z73" i="9"/>
  <c r="Z57" i="9"/>
  <c r="Z41" i="9"/>
  <c r="Z25" i="9"/>
  <c r="Z1657" i="9"/>
  <c r="Z1497" i="9"/>
  <c r="Z152" i="9"/>
  <c r="Z1673" i="9"/>
  <c r="Z1460" i="9"/>
  <c r="Z622" i="9"/>
  <c r="Z430" i="9"/>
  <c r="Z1684" i="9"/>
  <c r="Z1598" i="9"/>
  <c r="Z1513" i="9"/>
  <c r="Z1428" i="9"/>
  <c r="Z1310" i="9"/>
  <c r="Z1182" i="9"/>
  <c r="Z1054" i="9"/>
  <c r="Z926" i="9"/>
  <c r="Z798" i="9"/>
  <c r="Z670" i="9"/>
  <c r="Z542" i="9"/>
  <c r="Z200" i="9"/>
  <c r="Z1722" i="9"/>
  <c r="Z1701" i="9"/>
  <c r="Z1680" i="9"/>
  <c r="Z1658" i="9"/>
  <c r="Z1637" i="9"/>
  <c r="Z1616" i="9"/>
  <c r="Z1594" i="9"/>
  <c r="Z1573" i="9"/>
  <c r="Z1552" i="9"/>
  <c r="Z1530" i="9"/>
  <c r="Z1509" i="9"/>
  <c r="Z1488" i="9"/>
  <c r="Z1466" i="9"/>
  <c r="Z1445" i="9"/>
  <c r="Z1424" i="9"/>
  <c r="Z1401" i="9"/>
  <c r="Z1369" i="9"/>
  <c r="Z1337" i="9"/>
  <c r="Z1305" i="9"/>
  <c r="Z1273" i="9"/>
  <c r="Z1241" i="9"/>
  <c r="Z1209" i="9"/>
  <c r="Z1177" i="9"/>
  <c r="Z1145" i="9"/>
  <c r="Z1113" i="9"/>
  <c r="Z1081" i="9"/>
  <c r="Z1049" i="9"/>
  <c r="Z1017" i="9"/>
  <c r="Z985" i="9"/>
  <c r="Z953" i="9"/>
  <c r="Z921" i="9"/>
  <c r="Z889" i="9"/>
  <c r="Z857" i="9"/>
  <c r="Z825" i="9"/>
  <c r="Z793" i="9"/>
  <c r="Z761" i="9"/>
  <c r="Z729" i="9"/>
  <c r="Z697" i="9"/>
  <c r="Z404" i="9"/>
  <c r="Z362" i="9"/>
  <c r="Z319" i="9"/>
  <c r="Z255" i="9"/>
  <c r="Z191" i="9"/>
  <c r="Z127" i="9"/>
  <c r="Z63" i="9"/>
  <c r="Z1730" i="9"/>
  <c r="Z1709" i="9"/>
  <c r="Z1688" i="9"/>
  <c r="Z1666" i="9"/>
  <c r="Z1645" i="9"/>
  <c r="Z1624" i="9"/>
  <c r="Z1602" i="9"/>
  <c r="Z1581" i="9"/>
  <c r="Z1560" i="9"/>
  <c r="Z1538" i="9"/>
  <c r="Z1517" i="9"/>
  <c r="Z1496" i="9"/>
  <c r="Z1474" i="9"/>
  <c r="Z1453" i="9"/>
  <c r="Z1432" i="9"/>
  <c r="Z1410" i="9"/>
  <c r="Z1381" i="9"/>
  <c r="Z1349" i="9"/>
  <c r="Z1317" i="9"/>
  <c r="Z1285" i="9"/>
  <c r="Z1253" i="9"/>
  <c r="Z1221" i="9"/>
  <c r="Z1189" i="9"/>
  <c r="Z1157" i="9"/>
  <c r="Z1125" i="9"/>
  <c r="Z1093" i="9"/>
  <c r="Z1061" i="9"/>
  <c r="Z1029" i="9"/>
  <c r="Z997" i="9"/>
  <c r="Z965" i="9"/>
  <c r="Z933" i="9"/>
  <c r="Z901" i="9"/>
  <c r="Z869" i="9"/>
  <c r="Z837" i="9"/>
  <c r="Z805" i="9"/>
  <c r="Z773" i="9"/>
  <c r="Z741" i="9"/>
  <c r="Z709" i="9"/>
  <c r="Z420" i="9"/>
  <c r="Z378" i="9"/>
  <c r="Z335" i="9"/>
  <c r="Z279" i="9"/>
  <c r="Z215" i="9"/>
  <c r="Z151" i="9"/>
  <c r="Z87" i="9"/>
  <c r="Z23" i="9"/>
  <c r="Z1729" i="9"/>
  <c r="Z1708" i="9"/>
  <c r="Z1686" i="9"/>
  <c r="Z1665" i="9"/>
  <c r="Z1644" i="9"/>
  <c r="Z1622" i="9"/>
  <c r="Z1601" i="9"/>
  <c r="Z1580" i="9"/>
  <c r="Z1558" i="9"/>
  <c r="Z1537" i="9"/>
  <c r="Z1516" i="9"/>
  <c r="Z1494" i="9"/>
  <c r="Z1473" i="9"/>
  <c r="Z1452" i="9"/>
  <c r="Z1430" i="9"/>
  <c r="Z1409" i="9"/>
  <c r="Z1378" i="9"/>
  <c r="Z1346" i="9"/>
  <c r="Z1314" i="9"/>
  <c r="Z1282" i="9"/>
  <c r="Z1250" i="9"/>
  <c r="Z1218" i="9"/>
  <c r="Z1186" i="9"/>
  <c r="Z1154" i="9"/>
  <c r="Z1122" i="9"/>
  <c r="Z1090" i="9"/>
  <c r="Z1058" i="9"/>
  <c r="Z1026" i="9"/>
  <c r="Z994" i="9"/>
  <c r="Z962" i="9"/>
  <c r="Z930" i="9"/>
  <c r="Z898" i="9"/>
  <c r="Z866" i="9"/>
  <c r="Z834" i="9"/>
  <c r="Z802" i="9"/>
  <c r="Z770" i="9"/>
  <c r="Z738" i="9"/>
  <c r="Z706" i="9"/>
  <c r="Z674" i="9"/>
  <c r="Z642" i="9"/>
  <c r="Z610" i="9"/>
  <c r="Z578" i="9"/>
  <c r="Z546" i="9"/>
  <c r="Z514" i="9"/>
  <c r="Z482" i="9"/>
  <c r="Z450" i="9"/>
  <c r="Z416" i="9"/>
  <c r="Z374" i="9"/>
  <c r="Z331" i="9"/>
  <c r="Z272" i="9"/>
  <c r="Z208" i="9"/>
  <c r="Z144" i="9"/>
  <c r="Z80" i="9"/>
  <c r="Z16" i="9"/>
  <c r="Z1392" i="9"/>
  <c r="Z1376" i="9"/>
  <c r="Z1360" i="9"/>
  <c r="Z1344" i="9"/>
  <c r="Z1328" i="9"/>
  <c r="Z1312" i="9"/>
  <c r="Z1296" i="9"/>
  <c r="Z1280" i="9"/>
  <c r="Z1264" i="9"/>
  <c r="Z1248" i="9"/>
  <c r="Z1232" i="9"/>
  <c r="Z1216" i="9"/>
  <c r="Z1200" i="9"/>
  <c r="Z1184" i="9"/>
  <c r="Z1168" i="9"/>
  <c r="Z1152" i="9"/>
  <c r="Z1136" i="9"/>
  <c r="Z1120" i="9"/>
  <c r="Z1104" i="9"/>
  <c r="Z1088" i="9"/>
  <c r="Z1072" i="9"/>
  <c r="Z1056" i="9"/>
  <c r="Z1040" i="9"/>
  <c r="Z1024" i="9"/>
  <c r="Z1008" i="9"/>
  <c r="Z992" i="9"/>
  <c r="Z976" i="9"/>
  <c r="Z960" i="9"/>
  <c r="Z944" i="9"/>
  <c r="Z928" i="9"/>
  <c r="Z912" i="9"/>
  <c r="Z896" i="9"/>
  <c r="Z880" i="9"/>
  <c r="Z864" i="9"/>
  <c r="Z848" i="9"/>
  <c r="Z832" i="9"/>
  <c r="Z816" i="9"/>
  <c r="Z800" i="9"/>
  <c r="Z784" i="9"/>
  <c r="Z768" i="9"/>
  <c r="Z752" i="9"/>
  <c r="Z736" i="9"/>
  <c r="Z720" i="9"/>
  <c r="Z704" i="9"/>
  <c r="Z688" i="9"/>
  <c r="Z672" i="9"/>
  <c r="Z656" i="9"/>
  <c r="Z640" i="9"/>
  <c r="Z624" i="9"/>
  <c r="Z608" i="9"/>
  <c r="Z592" i="9"/>
  <c r="Z576" i="9"/>
  <c r="Z560" i="9"/>
  <c r="Z544" i="9"/>
  <c r="Z528" i="9"/>
  <c r="Z512" i="9"/>
  <c r="Z496" i="9"/>
  <c r="Z480" i="9"/>
  <c r="Z464" i="9"/>
  <c r="Z448" i="9"/>
  <c r="Z432" i="9"/>
  <c r="Z414" i="9"/>
  <c r="Z392" i="9"/>
  <c r="Z371" i="9"/>
  <c r="Z350" i="9"/>
  <c r="Z328" i="9"/>
  <c r="Z300" i="9"/>
  <c r="Z268" i="9"/>
  <c r="Z236" i="9"/>
  <c r="Z204" i="9"/>
  <c r="Z172" i="9"/>
  <c r="Z140" i="9"/>
  <c r="Z108" i="9"/>
  <c r="Z76" i="9"/>
  <c r="Z44" i="9"/>
  <c r="Z1723" i="9"/>
  <c r="Z1707" i="9"/>
  <c r="Z1691" i="9"/>
  <c r="Z1675" i="9"/>
  <c r="Z1659" i="9"/>
  <c r="Z1643" i="9"/>
  <c r="Z1627" i="9"/>
  <c r="Z1611" i="9"/>
  <c r="Z1595" i="9"/>
  <c r="Z1579" i="9"/>
  <c r="Z1563" i="9"/>
  <c r="Z1547" i="9"/>
  <c r="Z1531" i="9"/>
  <c r="Z1515" i="9"/>
  <c r="Z1499" i="9"/>
  <c r="Z1483" i="9"/>
  <c r="Z1467" i="9"/>
  <c r="Z1451" i="9"/>
  <c r="Z1435" i="9"/>
  <c r="Z1419" i="9"/>
  <c r="Z1403" i="9"/>
  <c r="Z1387" i="9"/>
  <c r="Z1371" i="9"/>
  <c r="Z1355" i="9"/>
  <c r="Z1339" i="9"/>
  <c r="Z1323" i="9"/>
  <c r="Z1307" i="9"/>
  <c r="Z1291" i="9"/>
  <c r="Z1275" i="9"/>
  <c r="Z1259" i="9"/>
  <c r="Z1243" i="9"/>
  <c r="Z1227" i="9"/>
  <c r="Z1211" i="9"/>
  <c r="Z1195" i="9"/>
  <c r="Z1179" i="9"/>
  <c r="Z1163" i="9"/>
  <c r="Z1147" i="9"/>
  <c r="Z1131" i="9"/>
  <c r="Z1115" i="9"/>
  <c r="Z1099" i="9"/>
  <c r="Z1083" i="9"/>
  <c r="Z1067" i="9"/>
  <c r="Z1051" i="9"/>
  <c r="Z1035" i="9"/>
  <c r="Z1019" i="9"/>
  <c r="Z1003" i="9"/>
  <c r="Z987" i="9"/>
  <c r="Z971" i="9"/>
  <c r="Z955" i="9"/>
  <c r="Z939" i="9"/>
  <c r="Z923" i="9"/>
  <c r="Z907" i="9"/>
  <c r="Z891" i="9"/>
  <c r="Z875" i="9"/>
  <c r="Z859" i="9"/>
  <c r="Z843" i="9"/>
  <c r="Z827" i="9"/>
  <c r="Z811" i="9"/>
  <c r="Z795" i="9"/>
  <c r="Z779" i="9"/>
  <c r="Z763" i="9"/>
  <c r="Z747" i="9"/>
  <c r="Z731" i="9"/>
  <c r="Z715" i="9"/>
  <c r="Z699" i="9"/>
  <c r="Z683" i="9"/>
  <c r="Z667" i="9"/>
  <c r="Z651" i="9"/>
  <c r="Z635" i="9"/>
  <c r="Z619" i="9"/>
  <c r="Z603" i="9"/>
  <c r="Z587" i="9"/>
  <c r="Z571" i="9"/>
  <c r="Z555" i="9"/>
  <c r="Z539" i="9"/>
  <c r="Z523" i="9"/>
  <c r="Z507" i="9"/>
  <c r="Z491" i="9"/>
  <c r="Z475" i="9"/>
  <c r="Z459" i="9"/>
  <c r="Z443" i="9"/>
  <c r="Z427" i="9"/>
  <c r="Z407" i="9"/>
  <c r="Z386" i="9"/>
  <c r="Z364" i="9"/>
  <c r="Z343" i="9"/>
  <c r="Z322" i="9"/>
  <c r="Z291" i="9"/>
  <c r="Z259" i="9"/>
  <c r="Z227" i="9"/>
  <c r="Z195" i="9"/>
  <c r="Z163" i="9"/>
  <c r="Z131" i="9"/>
  <c r="Z99" i="9"/>
  <c r="Z67" i="9"/>
  <c r="Z35" i="9"/>
  <c r="Z314" i="9"/>
  <c r="Z298" i="9"/>
  <c r="Z282" i="9"/>
  <c r="Z266" i="9"/>
  <c r="Z250" i="9"/>
  <c r="Z234" i="9"/>
  <c r="Z218" i="9"/>
  <c r="Z202" i="9"/>
  <c r="Z186" i="9"/>
  <c r="Z170" i="9"/>
  <c r="Z154" i="9"/>
  <c r="Z138" i="9"/>
  <c r="Z122" i="9"/>
  <c r="Z106" i="9"/>
  <c r="Z90" i="9"/>
  <c r="Z74" i="9"/>
  <c r="Z58" i="9"/>
  <c r="Z42" i="9"/>
  <c r="Z26" i="9"/>
  <c r="Z421" i="9"/>
  <c r="Z405" i="9"/>
  <c r="Z389" i="9"/>
  <c r="Z373" i="9"/>
  <c r="Z357" i="9"/>
  <c r="Z341" i="9"/>
  <c r="Z325" i="9"/>
  <c r="Z309" i="9"/>
  <c r="Z293" i="9"/>
  <c r="Z277" i="9"/>
  <c r="Z261" i="9"/>
  <c r="Z245" i="9"/>
  <c r="Z229" i="9"/>
  <c r="Z213" i="9"/>
  <c r="Z197" i="9"/>
  <c r="Z181" i="9"/>
  <c r="Z165" i="9"/>
  <c r="Z149" i="9"/>
  <c r="Z133" i="9"/>
  <c r="Z117" i="9"/>
  <c r="Z101" i="9"/>
  <c r="Z85" i="9"/>
  <c r="Z69" i="9"/>
  <c r="Z53" i="9"/>
  <c r="Z37" i="9"/>
  <c r="Z21" i="9"/>
  <c r="Z1721" i="9"/>
  <c r="Z1465" i="9"/>
  <c r="Z1561" i="9"/>
  <c r="Z1476" i="9"/>
  <c r="Z88" i="9"/>
  <c r="Z1609" i="9"/>
  <c r="Z1417" i="9"/>
  <c r="Z590" i="9"/>
  <c r="Z296" i="9"/>
  <c r="Z1662" i="9"/>
  <c r="Z1577" i="9"/>
  <c r="Z1492" i="9"/>
  <c r="Z1406" i="9"/>
  <c r="Z1278" i="9"/>
  <c r="Z1150" i="9"/>
  <c r="Z1022" i="9"/>
  <c r="Z894" i="9"/>
  <c r="Z766" i="9"/>
  <c r="Z638" i="9"/>
  <c r="Z510" i="9"/>
  <c r="Z136" i="9"/>
  <c r="Z1717" i="9"/>
  <c r="Z1696" i="9"/>
  <c r="Z1674" i="9"/>
  <c r="Z1653" i="9"/>
  <c r="Z1632" i="9"/>
  <c r="Z1610" i="9"/>
  <c r="Z1589" i="9"/>
  <c r="Z1568" i="9"/>
  <c r="Z1546" i="9"/>
  <c r="Z1525" i="9"/>
  <c r="Z1504" i="9"/>
  <c r="Z1482" i="9"/>
  <c r="Z1461" i="9"/>
  <c r="Z1440" i="9"/>
  <c r="Z1418" i="9"/>
  <c r="Z1393" i="9"/>
  <c r="Z1361" i="9"/>
  <c r="Z1329" i="9"/>
  <c r="Z1297" i="9"/>
  <c r="Z1265" i="9"/>
  <c r="Z1233" i="9"/>
  <c r="Z1201" i="9"/>
  <c r="Z1169" i="9"/>
  <c r="Z1137" i="9"/>
  <c r="Z1105" i="9"/>
  <c r="Z1073" i="9"/>
  <c r="Z1041" i="9"/>
  <c r="Z1009" i="9"/>
  <c r="Z977" i="9"/>
  <c r="Z945" i="9"/>
  <c r="Z913" i="9"/>
  <c r="Z881" i="9"/>
  <c r="Z849" i="9"/>
  <c r="Z817" i="9"/>
  <c r="Z785" i="9"/>
  <c r="Z753" i="9"/>
  <c r="Z721" i="9"/>
  <c r="Z689" i="9"/>
  <c r="Z394" i="9"/>
  <c r="Z351" i="9"/>
  <c r="Z303" i="9"/>
  <c r="Z239" i="9"/>
  <c r="Z175" i="9"/>
  <c r="Z111" i="9"/>
  <c r="Z47" i="9"/>
  <c r="Z1725" i="9"/>
  <c r="Z1704" i="9"/>
  <c r="Z1682" i="9"/>
  <c r="Z1661" i="9"/>
  <c r="Z1640" i="9"/>
  <c r="Z1618" i="9"/>
  <c r="Z1597" i="9"/>
  <c r="Z1576" i="9"/>
  <c r="Z1554" i="9"/>
  <c r="Z1533" i="9"/>
  <c r="Z1512" i="9"/>
  <c r="Z1490" i="9"/>
  <c r="Z1469" i="9"/>
  <c r="Z1448" i="9"/>
  <c r="Z1426" i="9"/>
  <c r="Z1405" i="9"/>
  <c r="Z1373" i="9"/>
  <c r="Z1341" i="9"/>
  <c r="Z1309" i="9"/>
  <c r="Z1277" i="9"/>
  <c r="Z1245" i="9"/>
  <c r="Z1213" i="9"/>
  <c r="Z1181" i="9"/>
  <c r="Z1149" i="9"/>
  <c r="Z1117" i="9"/>
  <c r="Z1085" i="9"/>
  <c r="Z1053" i="9"/>
  <c r="Z1021" i="9"/>
  <c r="Z989" i="9"/>
  <c r="Z957" i="9"/>
  <c r="Z925" i="9"/>
  <c r="Z893" i="9"/>
  <c r="Z861" i="9"/>
  <c r="Z829" i="9"/>
  <c r="Z797" i="9"/>
  <c r="Z765" i="9"/>
  <c r="Z733" i="9"/>
  <c r="Z701" i="9"/>
  <c r="Z410" i="9"/>
  <c r="Z367" i="9"/>
  <c r="Z324" i="9"/>
  <c r="Z263" i="9"/>
  <c r="Z199" i="9"/>
  <c r="Z135" i="9"/>
  <c r="Z71" i="9"/>
  <c r="Z1724" i="9"/>
  <c r="Z1702" i="9"/>
  <c r="Z1681" i="9"/>
  <c r="Z1660" i="9"/>
  <c r="Z1638" i="9"/>
  <c r="Z1617" i="9"/>
  <c r="Z1596" i="9"/>
  <c r="Z1574" i="9"/>
  <c r="Z1553" i="9"/>
  <c r="Z1532" i="9"/>
  <c r="Z1510" i="9"/>
  <c r="Z1489" i="9"/>
  <c r="Z1468" i="9"/>
  <c r="Z1446" i="9"/>
  <c r="Z1425" i="9"/>
  <c r="Z1402" i="9"/>
  <c r="Z1370" i="9"/>
  <c r="Z1338" i="9"/>
  <c r="Z1306" i="9"/>
  <c r="Z1274" i="9"/>
  <c r="Z1242" i="9"/>
  <c r="Z1210" i="9"/>
  <c r="Z1178" i="9"/>
  <c r="Z1146" i="9"/>
  <c r="Z1114" i="9"/>
  <c r="Z1082" i="9"/>
  <c r="Z1050" i="9"/>
  <c r="Z1018" i="9"/>
  <c r="Z986" i="9"/>
  <c r="Z954" i="9"/>
  <c r="Z922" i="9"/>
  <c r="Z890" i="9"/>
  <c r="Z858" i="9"/>
  <c r="Z826" i="9"/>
  <c r="Z794" i="9"/>
  <c r="Z762" i="9"/>
  <c r="Z730" i="9"/>
  <c r="Z698" i="9"/>
  <c r="Z666" i="9"/>
  <c r="Z634" i="9"/>
  <c r="Z602" i="9"/>
  <c r="Z570" i="9"/>
  <c r="Z538" i="9"/>
  <c r="Z506" i="9"/>
  <c r="Z474" i="9"/>
  <c r="Z442" i="9"/>
  <c r="Z406" i="9"/>
  <c r="Z363" i="9"/>
  <c r="Z320" i="9"/>
  <c r="Z256" i="9"/>
  <c r="Z192" i="9"/>
  <c r="Z128" i="9"/>
  <c r="Z64" i="9"/>
  <c r="Z1404" i="9"/>
  <c r="Z1388" i="9"/>
  <c r="Z1372" i="9"/>
  <c r="Z1356" i="9"/>
  <c r="Z1340" i="9"/>
  <c r="Z1324" i="9"/>
  <c r="Z1308" i="9"/>
  <c r="Z1292" i="9"/>
  <c r="Z1276" i="9"/>
  <c r="Z1260" i="9"/>
  <c r="Z1244" i="9"/>
  <c r="Z1228" i="9"/>
  <c r="Z1212" i="9"/>
  <c r="Z1196" i="9"/>
  <c r="Z1180" i="9"/>
  <c r="Z1164" i="9"/>
  <c r="Z1148" i="9"/>
  <c r="Z1132" i="9"/>
  <c r="Z1116" i="9"/>
  <c r="Z1100" i="9"/>
  <c r="Z1084" i="9"/>
  <c r="Z1068" i="9"/>
  <c r="Z1052" i="9"/>
  <c r="Z1036" i="9"/>
  <c r="Z1020" i="9"/>
  <c r="Z1004" i="9"/>
  <c r="Z988" i="9"/>
  <c r="Z972" i="9"/>
  <c r="Z956" i="9"/>
  <c r="Z940" i="9"/>
  <c r="Z924" i="9"/>
  <c r="Z908" i="9"/>
  <c r="Z892" i="9"/>
  <c r="Z876" i="9"/>
  <c r="Z860" i="9"/>
  <c r="Z844" i="9"/>
  <c r="Z828" i="9"/>
  <c r="Z812" i="9"/>
  <c r="Z796" i="9"/>
  <c r="Z780" i="9"/>
  <c r="Z764" i="9"/>
  <c r="Z748" i="9"/>
  <c r="Z732" i="9"/>
  <c r="Z716" i="9"/>
  <c r="Z700" i="9"/>
  <c r="Z684" i="9"/>
  <c r="Z668" i="9"/>
  <c r="Z652" i="9"/>
  <c r="Z636" i="9"/>
  <c r="Z620" i="9"/>
  <c r="Z604" i="9"/>
  <c r="Z588" i="9"/>
  <c r="Z572" i="9"/>
  <c r="Z556" i="9"/>
  <c r="Z540" i="9"/>
  <c r="Z524" i="9"/>
  <c r="Z508" i="9"/>
  <c r="Z492" i="9"/>
  <c r="Z476" i="9"/>
  <c r="Z460" i="9"/>
  <c r="Z444" i="9"/>
  <c r="Z428" i="9"/>
  <c r="Z408" i="9"/>
  <c r="Z387" i="9"/>
  <c r="Z366" i="9"/>
  <c r="Z344" i="9"/>
  <c r="Z323" i="9"/>
  <c r="Z292" i="9"/>
  <c r="Z260" i="9"/>
  <c r="Z228" i="9"/>
  <c r="Z196" i="9"/>
  <c r="Z164" i="9"/>
  <c r="Z132" i="9"/>
  <c r="Z100" i="9"/>
  <c r="Z68" i="9"/>
  <c r="Z36" i="9"/>
  <c r="Z1719" i="9"/>
  <c r="Z1703" i="9"/>
  <c r="Z1687" i="9"/>
  <c r="Z1671" i="9"/>
  <c r="Z1655" i="9"/>
  <c r="Z1639" i="9"/>
  <c r="Z1623" i="9"/>
  <c r="Z1607" i="9"/>
  <c r="Z1591" i="9"/>
  <c r="Z1575" i="9"/>
  <c r="Z1559" i="9"/>
  <c r="Z1543" i="9"/>
  <c r="Z1527" i="9"/>
  <c r="Z1511" i="9"/>
  <c r="Z1495" i="9"/>
  <c r="Z1479" i="9"/>
  <c r="Z1463" i="9"/>
  <c r="Z1447" i="9"/>
  <c r="Z1431" i="9"/>
  <c r="Z1415" i="9"/>
  <c r="Z1399" i="9"/>
  <c r="Z1383" i="9"/>
  <c r="Z1367" i="9"/>
  <c r="Z1351" i="9"/>
  <c r="Z1335" i="9"/>
  <c r="Z1319" i="9"/>
  <c r="Z1303" i="9"/>
  <c r="Z1287" i="9"/>
  <c r="Z1271" i="9"/>
  <c r="Z1255" i="9"/>
  <c r="Z1239" i="9"/>
  <c r="Z1223" i="9"/>
  <c r="Z1207" i="9"/>
  <c r="Z1191" i="9"/>
  <c r="Z1175" i="9"/>
  <c r="Z1159" i="9"/>
  <c r="Z1143" i="9"/>
  <c r="Z1127" i="9"/>
  <c r="Z1111" i="9"/>
  <c r="Z1095" i="9"/>
  <c r="Z1079" i="9"/>
  <c r="Z1063" i="9"/>
  <c r="Z1047" i="9"/>
  <c r="Z1031" i="9"/>
  <c r="Z1015" i="9"/>
  <c r="Z999" i="9"/>
  <c r="Z983" i="9"/>
  <c r="Z967" i="9"/>
  <c r="Z951" i="9"/>
  <c r="Z935" i="9"/>
  <c r="Z919" i="9"/>
  <c r="Z903" i="9"/>
  <c r="Z887" i="9"/>
  <c r="Z871" i="9"/>
  <c r="Z855" i="9"/>
  <c r="Z839" i="9"/>
  <c r="Z823" i="9"/>
  <c r="Z807" i="9"/>
  <c r="Z791" i="9"/>
  <c r="Z775" i="9"/>
  <c r="Z759" i="9"/>
  <c r="Z743" i="9"/>
  <c r="Z727" i="9"/>
  <c r="Z711" i="9"/>
  <c r="Z695" i="9"/>
  <c r="Z679" i="9"/>
  <c r="Z663" i="9"/>
  <c r="Z647" i="9"/>
  <c r="Z631" i="9"/>
  <c r="Z615" i="9"/>
  <c r="Z599" i="9"/>
  <c r="Z583" i="9"/>
  <c r="Z567" i="9"/>
  <c r="Z551" i="9"/>
  <c r="Z535" i="9"/>
  <c r="Z519" i="9"/>
  <c r="Z503" i="9"/>
  <c r="Z487" i="9"/>
  <c r="Z471" i="9"/>
  <c r="Z455" i="9"/>
  <c r="Z439" i="9"/>
  <c r="Z423" i="9"/>
  <c r="Z402" i="9"/>
  <c r="Z380" i="9"/>
  <c r="Z359" i="9"/>
  <c r="Z338" i="9"/>
  <c r="Z315" i="9"/>
  <c r="Z283" i="9"/>
  <c r="Z251" i="9"/>
  <c r="Z219" i="9"/>
  <c r="Z187" i="9"/>
  <c r="Z155" i="9"/>
  <c r="Z123" i="9"/>
  <c r="Z91" i="9"/>
  <c r="Z59" i="9"/>
  <c r="Z27" i="9"/>
  <c r="Z310" i="9"/>
  <c r="Z294" i="9"/>
  <c r="Z278" i="9"/>
  <c r="Z262" i="9"/>
  <c r="Z246" i="9"/>
  <c r="Z230" i="9"/>
  <c r="Z214" i="9"/>
  <c r="Z198" i="9"/>
  <c r="Z182" i="9"/>
  <c r="Z166" i="9"/>
  <c r="Z150" i="9"/>
  <c r="Z134" i="9"/>
  <c r="Z118" i="9"/>
  <c r="Z102" i="9"/>
  <c r="Z86" i="9"/>
  <c r="Z70" i="9"/>
  <c r="Z54" i="9"/>
  <c r="Z38" i="9"/>
  <c r="Z22" i="9"/>
  <c r="Z417" i="9"/>
  <c r="Z401" i="9"/>
  <c r="Z385" i="9"/>
  <c r="Z369" i="9"/>
  <c r="Z353" i="9"/>
  <c r="Z337" i="9"/>
  <c r="Z321" i="9"/>
  <c r="Z305" i="9"/>
  <c r="Z289" i="9"/>
  <c r="Z273" i="9"/>
  <c r="Z257" i="9"/>
  <c r="Z241" i="9"/>
  <c r="Z225" i="9"/>
  <c r="Z209" i="9"/>
  <c r="Z193" i="9"/>
  <c r="Z177" i="9"/>
  <c r="Z161" i="9"/>
  <c r="Z145" i="9"/>
  <c r="Z129" i="9"/>
  <c r="Z113" i="9"/>
  <c r="Z97" i="9"/>
  <c r="Z81" i="9"/>
  <c r="Z65" i="9"/>
  <c r="Z49" i="9"/>
  <c r="Z33" i="9"/>
  <c r="Z17" i="9"/>
  <c r="Z1652" i="9"/>
  <c r="Z1700" i="9"/>
  <c r="Z1529" i="9"/>
  <c r="Z1545" i="9"/>
  <c r="Z1625" i="9"/>
  <c r="Z1540" i="9"/>
  <c r="Z280" i="9"/>
  <c r="Z24" i="9"/>
  <c r="Z1588" i="9"/>
  <c r="Z558" i="9"/>
  <c r="Z232" i="9"/>
  <c r="Z1726" i="9"/>
  <c r="Z1641" i="9"/>
  <c r="Z1556" i="9"/>
  <c r="Z1470" i="9"/>
  <c r="Z1374" i="9"/>
  <c r="Z1246" i="9"/>
  <c r="Z1118" i="9"/>
  <c r="Z990" i="9"/>
  <c r="Z862" i="9"/>
  <c r="Z606" i="9"/>
  <c r="Z478" i="9"/>
  <c r="Z72" i="9"/>
  <c r="Z1712" i="9"/>
  <c r="Z1690" i="9"/>
  <c r="Z1669" i="9"/>
  <c r="Z1648" i="9"/>
  <c r="Z1626" i="9"/>
  <c r="Z1605" i="9"/>
  <c r="Z1584" i="9"/>
  <c r="Z1562" i="9"/>
  <c r="Z1541" i="9"/>
  <c r="Z1520" i="9"/>
  <c r="Z1498" i="9"/>
  <c r="Z1477" i="9"/>
  <c r="Z1456" i="9"/>
  <c r="Z1434" i="9"/>
  <c r="Z1413" i="9"/>
  <c r="Z1385" i="9"/>
  <c r="Z1353" i="9"/>
  <c r="Z1321" i="9"/>
  <c r="Z1289" i="9"/>
  <c r="Z1257" i="9"/>
  <c r="Z1225" i="9"/>
  <c r="Z1193" i="9"/>
  <c r="Z1161" i="9"/>
  <c r="Z1129" i="9"/>
  <c r="Z1097" i="9"/>
  <c r="Z1065" i="9"/>
  <c r="Z1033" i="9"/>
  <c r="Z1001" i="9"/>
  <c r="Z969" i="9"/>
  <c r="Z937" i="9"/>
  <c r="Z905" i="9"/>
  <c r="Z873" i="9"/>
  <c r="Z841" i="9"/>
  <c r="Z809" i="9"/>
  <c r="Z777" i="9"/>
  <c r="Z745" i="9"/>
  <c r="Z713" i="9"/>
  <c r="Z681" i="9"/>
  <c r="Z383" i="9"/>
  <c r="Z340" i="9"/>
  <c r="Z287" i="9"/>
  <c r="Z223" i="9"/>
  <c r="Z159" i="9"/>
  <c r="Z95" i="9"/>
  <c r="Z31" i="9"/>
  <c r="Z1720" i="9"/>
  <c r="Z1698" i="9"/>
  <c r="Z1677" i="9"/>
  <c r="Z1656" i="9"/>
  <c r="Z1634" i="9"/>
  <c r="Z1613" i="9"/>
  <c r="Z1592" i="9"/>
  <c r="Z1570" i="9"/>
  <c r="Z1549" i="9"/>
  <c r="Z1528" i="9"/>
  <c r="Z1506" i="9"/>
  <c r="Z1485" i="9"/>
  <c r="Z1464" i="9"/>
  <c r="Z1442" i="9"/>
  <c r="Z1421" i="9"/>
  <c r="Z1397" i="9"/>
  <c r="Z1365" i="9"/>
  <c r="Z1333" i="9"/>
  <c r="Z1301" i="9"/>
  <c r="Z1269" i="9"/>
  <c r="Z1237" i="9"/>
  <c r="Z1205" i="9"/>
  <c r="Z1173" i="9"/>
  <c r="Z1141" i="9"/>
  <c r="Z1109" i="9"/>
  <c r="Z1077" i="9"/>
  <c r="Z1045" i="9"/>
  <c r="Z1013" i="9"/>
  <c r="Z981" i="9"/>
  <c r="Z949" i="9"/>
  <c r="Z917" i="9"/>
  <c r="Z885" i="9"/>
  <c r="Z853" i="9"/>
  <c r="Z821" i="9"/>
  <c r="Z789" i="9"/>
  <c r="Z757" i="9"/>
  <c r="Z725" i="9"/>
  <c r="Z693" i="9"/>
  <c r="Z399" i="9"/>
  <c r="Z356" i="9"/>
  <c r="Z311" i="9"/>
  <c r="Z247" i="9"/>
  <c r="Z183" i="9"/>
  <c r="Z119" i="9"/>
  <c r="Z55" i="9"/>
  <c r="Z1718" i="9"/>
  <c r="Z1697" i="9"/>
  <c r="Z1676" i="9"/>
  <c r="Z1654" i="9"/>
  <c r="Z1633" i="9"/>
  <c r="Z1612" i="9"/>
  <c r="Z1590" i="9"/>
  <c r="Z1569" i="9"/>
  <c r="Z1548" i="9"/>
  <c r="Z1526" i="9"/>
  <c r="Z1505" i="9"/>
  <c r="Z1484" i="9"/>
  <c r="Z1462" i="9"/>
  <c r="Z1441" i="9"/>
  <c r="Z1420" i="9"/>
  <c r="Z1394" i="9"/>
  <c r="Z1362" i="9"/>
  <c r="Z1330" i="9"/>
  <c r="Z1298" i="9"/>
  <c r="Z1266" i="9"/>
  <c r="Z1234" i="9"/>
  <c r="Z1202" i="9"/>
  <c r="Z1170" i="9"/>
  <c r="Z1138" i="9"/>
  <c r="Z1106" i="9"/>
  <c r="Z1074" i="9"/>
  <c r="Z1042" i="9"/>
  <c r="Z1010" i="9"/>
  <c r="Z978" i="9"/>
  <c r="Z946" i="9"/>
  <c r="Z914" i="9"/>
  <c r="Z882" i="9"/>
  <c r="Z850" i="9"/>
  <c r="Z818" i="9"/>
  <c r="Z786" i="9"/>
  <c r="Z754" i="9"/>
  <c r="Z722" i="9"/>
  <c r="Z690" i="9"/>
  <c r="Z658" i="9"/>
  <c r="Z626" i="9"/>
  <c r="Z594" i="9"/>
  <c r="Z562" i="9"/>
  <c r="Z530" i="9"/>
  <c r="Z498" i="9"/>
  <c r="Z466" i="9"/>
  <c r="Z434" i="9"/>
  <c r="Z395" i="9"/>
  <c r="Z352" i="9"/>
  <c r="Z304" i="9"/>
  <c r="Z240" i="9"/>
  <c r="Z176" i="9"/>
  <c r="Z112" i="9"/>
  <c r="Z48" i="9"/>
  <c r="Z1400" i="9"/>
  <c r="Z1384" i="9"/>
  <c r="Z1368" i="9"/>
  <c r="Z1352" i="9"/>
  <c r="Z1336" i="9"/>
  <c r="Z1320" i="9"/>
  <c r="Z1304" i="9"/>
  <c r="Z1288" i="9"/>
  <c r="Z1272" i="9"/>
  <c r="Z1256" i="9"/>
  <c r="Z1240" i="9"/>
  <c r="Z1224" i="9"/>
  <c r="Z1208" i="9"/>
  <c r="Z1192" i="9"/>
  <c r="Z1176" i="9"/>
  <c r="Z1160" i="9"/>
  <c r="Z1144" i="9"/>
  <c r="Z1128" i="9"/>
  <c r="Z1112" i="9"/>
  <c r="Z1096" i="9"/>
  <c r="Z1080" i="9"/>
  <c r="Z1064" i="9"/>
  <c r="Z1048" i="9"/>
  <c r="Z1032" i="9"/>
  <c r="Z1016" i="9"/>
  <c r="Z1000" i="9"/>
  <c r="Z984" i="9"/>
  <c r="Z968" i="9"/>
  <c r="Z952" i="9"/>
  <c r="Z936" i="9"/>
  <c r="Z920" i="9"/>
  <c r="Z904" i="9"/>
  <c r="Z888" i="9"/>
  <c r="Z872" i="9"/>
  <c r="Z856" i="9"/>
  <c r="Z840" i="9"/>
  <c r="Z824" i="9"/>
  <c r="Z808" i="9"/>
  <c r="Z792" i="9"/>
  <c r="Z776" i="9"/>
  <c r="Z760" i="9"/>
  <c r="Z744" i="9"/>
  <c r="Z728" i="9"/>
  <c r="Z712" i="9"/>
  <c r="Z696" i="9"/>
  <c r="Z680" i="9"/>
  <c r="Z664" i="9"/>
  <c r="Z648" i="9"/>
  <c r="Z632" i="9"/>
  <c r="Z616" i="9"/>
  <c r="Z600" i="9"/>
  <c r="Z584" i="9"/>
  <c r="Z568" i="9"/>
  <c r="Z552" i="9"/>
  <c r="Z536" i="9"/>
  <c r="Z520" i="9"/>
  <c r="Z504" i="9"/>
  <c r="Z488" i="9"/>
  <c r="Z472" i="9"/>
  <c r="Z456" i="9"/>
  <c r="Z440" i="9"/>
  <c r="Z424" i="9"/>
  <c r="Z403" i="9"/>
  <c r="Z382" i="9"/>
  <c r="Z360" i="9"/>
  <c r="Z339" i="9"/>
  <c r="Z316" i="9"/>
  <c r="Z284" i="9"/>
  <c r="Z252" i="9"/>
  <c r="Z220" i="9"/>
  <c r="Z188" i="9"/>
  <c r="Z156" i="9"/>
  <c r="Z124" i="9"/>
  <c r="Z92" i="9"/>
  <c r="Z60" i="9"/>
  <c r="Z28" i="9"/>
  <c r="Z1715" i="9"/>
  <c r="Z1699" i="9"/>
  <c r="Z1683" i="9"/>
  <c r="Z1667" i="9"/>
  <c r="Z1651" i="9"/>
  <c r="Z1635" i="9"/>
  <c r="Z1619" i="9"/>
  <c r="Z1603" i="9"/>
  <c r="Z1587" i="9"/>
  <c r="Z1571" i="9"/>
  <c r="Z1555" i="9"/>
  <c r="Z1539" i="9"/>
  <c r="Z1523" i="9"/>
  <c r="Z1507" i="9"/>
  <c r="Z1491" i="9"/>
  <c r="Z1475" i="9"/>
  <c r="Z1459" i="9"/>
  <c r="Z1443" i="9"/>
  <c r="Z1427" i="9"/>
  <c r="Z1411" i="9"/>
  <c r="Z1395" i="9"/>
  <c r="Z1379" i="9"/>
  <c r="Z1363" i="9"/>
  <c r="Z1347" i="9"/>
  <c r="Z1331" i="9"/>
  <c r="Z1315" i="9"/>
  <c r="Z1299" i="9"/>
  <c r="Z1283" i="9"/>
  <c r="Z1267" i="9"/>
  <c r="Z1251" i="9"/>
  <c r="Z1235" i="9"/>
  <c r="Z1219" i="9"/>
  <c r="Z1203" i="9"/>
  <c r="Z1187" i="9"/>
  <c r="Z1171" i="9"/>
  <c r="Z1155" i="9"/>
  <c r="Z1139" i="9"/>
  <c r="Z1123" i="9"/>
  <c r="Z1107" i="9"/>
  <c r="Z1091" i="9"/>
  <c r="Z1075" i="9"/>
  <c r="Z1059" i="9"/>
  <c r="Z1043" i="9"/>
  <c r="Z1027" i="9"/>
  <c r="Z1011" i="9"/>
  <c r="Z995" i="9"/>
  <c r="Z979" i="9"/>
  <c r="Z963" i="9"/>
  <c r="Z947" i="9"/>
  <c r="Z931" i="9"/>
  <c r="Z915" i="9"/>
  <c r="Z899" i="9"/>
  <c r="Z883" i="9"/>
  <c r="Z867" i="9"/>
  <c r="Z851" i="9"/>
  <c r="Z835" i="9"/>
  <c r="Z819" i="9"/>
  <c r="Z803" i="9"/>
  <c r="Z787" i="9"/>
  <c r="Z771" i="9"/>
  <c r="Z755" i="9"/>
  <c r="Z739" i="9"/>
  <c r="Z723" i="9"/>
  <c r="Z707" i="9"/>
  <c r="Z691" i="9"/>
  <c r="Z675" i="9"/>
  <c r="Z659" i="9"/>
  <c r="Z643" i="9"/>
  <c r="Z627" i="9"/>
  <c r="Z611" i="9"/>
  <c r="Z595" i="9"/>
  <c r="Z579" i="9"/>
  <c r="Z563" i="9"/>
  <c r="Z547" i="9"/>
  <c r="Z531" i="9"/>
  <c r="Z515" i="9"/>
  <c r="Z499" i="9"/>
  <c r="Z483" i="9"/>
  <c r="Z467" i="9"/>
  <c r="Z451" i="9"/>
  <c r="Z435" i="9"/>
  <c r="Z418" i="9"/>
  <c r="Z396" i="9"/>
  <c r="Z375" i="9"/>
  <c r="Z354" i="9"/>
  <c r="Z332" i="9"/>
  <c r="Z307" i="9"/>
  <c r="Z275" i="9"/>
  <c r="Z243" i="9"/>
  <c r="Z211" i="9"/>
  <c r="Z179" i="9"/>
  <c r="Z147" i="9"/>
  <c r="Z115" i="9"/>
  <c r="Z83" i="9"/>
  <c r="Z51" i="9"/>
  <c r="Z19" i="9"/>
  <c r="Z306" i="9"/>
  <c r="Z290" i="9"/>
  <c r="Z274" i="9"/>
  <c r="Z258" i="9"/>
  <c r="Z242" i="9"/>
  <c r="Z226" i="9"/>
  <c r="Z210" i="9"/>
  <c r="Z194" i="9"/>
  <c r="Z178" i="9"/>
  <c r="Z162" i="9"/>
  <c r="Z146" i="9"/>
  <c r="Z130" i="9"/>
  <c r="Z114" i="9"/>
  <c r="Z98" i="9"/>
  <c r="Z82" i="9"/>
  <c r="Z66" i="9"/>
  <c r="Z50" i="9"/>
  <c r="Z34" i="9"/>
  <c r="Z18" i="9"/>
  <c r="Z413" i="9"/>
  <c r="Z397" i="9"/>
  <c r="Z381" i="9"/>
  <c r="Z365" i="9"/>
  <c r="Z349" i="9"/>
  <c r="Z333" i="9"/>
  <c r="Z317" i="9"/>
  <c r="Z301" i="9"/>
  <c r="Z285" i="9"/>
  <c r="Z269" i="9"/>
  <c r="Z253" i="9"/>
  <c r="Z237" i="9"/>
  <c r="Z221" i="9"/>
  <c r="Z205" i="9"/>
  <c r="Z189" i="9"/>
  <c r="Z173" i="9"/>
  <c r="Z157" i="9"/>
  <c r="Z141" i="9"/>
  <c r="Z125" i="9"/>
  <c r="Z109" i="9"/>
  <c r="Z93" i="9"/>
  <c r="Z77" i="9"/>
  <c r="Z61" i="9"/>
  <c r="Z45" i="9"/>
  <c r="Z29" i="9"/>
  <c r="Z13" i="9"/>
  <c r="F25" i="26" l="1"/>
  <c r="C10" i="14"/>
  <c r="D9" i="14"/>
  <c r="T73" i="13"/>
  <c r="T113" i="13" s="1"/>
  <c r="P73" i="13"/>
  <c r="P113" i="13" s="1"/>
  <c r="L73" i="13"/>
  <c r="L113" i="13" s="1"/>
  <c r="H73" i="13"/>
  <c r="H113" i="13" s="1"/>
  <c r="W72" i="13"/>
  <c r="W112" i="13" s="1"/>
  <c r="S72" i="13"/>
  <c r="S112" i="13" s="1"/>
  <c r="O72" i="13"/>
  <c r="O112" i="13" s="1"/>
  <c r="K72" i="13"/>
  <c r="K112" i="13" s="1"/>
  <c r="G72" i="13"/>
  <c r="G112" i="13" s="1"/>
  <c r="U71" i="13"/>
  <c r="U111" i="13" s="1"/>
  <c r="Q71" i="13"/>
  <c r="Q111" i="13" s="1"/>
  <c r="M71" i="13"/>
  <c r="M111" i="13" s="1"/>
  <c r="I71" i="13"/>
  <c r="I111" i="13" s="1"/>
  <c r="V70" i="13"/>
  <c r="V110" i="13" s="1"/>
  <c r="R70" i="13"/>
  <c r="R110" i="13" s="1"/>
  <c r="N70" i="13"/>
  <c r="N110" i="13" s="1"/>
  <c r="J70" i="13"/>
  <c r="J110" i="13" s="1"/>
  <c r="V69" i="13"/>
  <c r="V109" i="13" s="1"/>
  <c r="R69" i="13"/>
  <c r="R109" i="13" s="1"/>
  <c r="N69" i="13"/>
  <c r="N109" i="13" s="1"/>
  <c r="J69" i="13"/>
  <c r="J109" i="13" s="1"/>
  <c r="U68" i="13"/>
  <c r="U108" i="13" s="1"/>
  <c r="Q68" i="13"/>
  <c r="Q108" i="13" s="1"/>
  <c r="M68" i="13"/>
  <c r="M108" i="13" s="1"/>
  <c r="W67" i="13"/>
  <c r="W107" i="13" s="1"/>
  <c r="S67" i="13"/>
  <c r="S107" i="13" s="1"/>
  <c r="O67" i="13"/>
  <c r="O107" i="13" s="1"/>
  <c r="K67" i="13"/>
  <c r="K107" i="13" s="1"/>
  <c r="T66" i="13"/>
  <c r="T106" i="13" s="1"/>
  <c r="P66" i="13"/>
  <c r="P106" i="13" s="1"/>
  <c r="L66" i="13"/>
  <c r="L106" i="13" s="1"/>
  <c r="T65" i="13"/>
  <c r="T105" i="13" s="1"/>
  <c r="P65" i="13"/>
  <c r="P105" i="13" s="1"/>
  <c r="W64" i="13"/>
  <c r="W104" i="13" s="1"/>
  <c r="S64" i="13"/>
  <c r="S104" i="13" s="1"/>
  <c r="O64" i="13"/>
  <c r="O104" i="13" s="1"/>
  <c r="U63" i="13"/>
  <c r="U103" i="13" s="1"/>
  <c r="Q63" i="13"/>
  <c r="Q103" i="13" s="1"/>
  <c r="W62" i="13"/>
  <c r="W102" i="13" s="1"/>
  <c r="S62" i="13"/>
  <c r="S102" i="13" s="1"/>
  <c r="W61" i="13"/>
  <c r="W101" i="13" s="1"/>
  <c r="S61" i="13"/>
  <c r="S101" i="13" s="1"/>
  <c r="V60" i="13"/>
  <c r="V100" i="13" s="1"/>
  <c r="R60" i="13"/>
  <c r="R100" i="13" s="1"/>
  <c r="T59" i="13"/>
  <c r="T99" i="13" s="1"/>
  <c r="U58" i="13"/>
  <c r="U98" i="13" s="1"/>
  <c r="U57" i="13"/>
  <c r="U97" i="13" s="1"/>
  <c r="AF37" i="13"/>
  <c r="AB37" i="13"/>
  <c r="X37" i="13"/>
  <c r="T37" i="13"/>
  <c r="P37" i="13"/>
  <c r="L37" i="13"/>
  <c r="H37" i="13"/>
  <c r="D37" i="13"/>
  <c r="D73" i="13" s="1"/>
  <c r="D113" i="13" s="1"/>
  <c r="AC36" i="13"/>
  <c r="Y36" i="13"/>
  <c r="U36" i="13"/>
  <c r="Q36" i="13"/>
  <c r="M36" i="13"/>
  <c r="I36" i="13"/>
  <c r="E36" i="13"/>
  <c r="AD35" i="13"/>
  <c r="Z35" i="13"/>
  <c r="V35" i="13"/>
  <c r="R35" i="13"/>
  <c r="N35" i="13"/>
  <c r="J35" i="13"/>
  <c r="F35" i="13"/>
  <c r="AE34" i="13"/>
  <c r="AA34" i="13"/>
  <c r="W34" i="13"/>
  <c r="S34" i="13"/>
  <c r="O34" i="13"/>
  <c r="K34" i="13"/>
  <c r="G34" i="13"/>
  <c r="AF33" i="13"/>
  <c r="W73" i="13"/>
  <c r="W113" i="13" s="1"/>
  <c r="S73" i="13"/>
  <c r="S113" i="13" s="1"/>
  <c r="O73" i="13"/>
  <c r="O113" i="13" s="1"/>
  <c r="K73" i="13"/>
  <c r="K113" i="13" s="1"/>
  <c r="G73" i="13"/>
  <c r="G113" i="13" s="1"/>
  <c r="V72" i="13"/>
  <c r="V112" i="13" s="1"/>
  <c r="R72" i="13"/>
  <c r="R112" i="13" s="1"/>
  <c r="N72" i="13"/>
  <c r="N112" i="13" s="1"/>
  <c r="J72" i="13"/>
  <c r="J112" i="13" s="1"/>
  <c r="F72" i="13"/>
  <c r="F112" i="13" s="1"/>
  <c r="T71" i="13"/>
  <c r="T111" i="13" s="1"/>
  <c r="P71" i="13"/>
  <c r="P111" i="13" s="1"/>
  <c r="L71" i="13"/>
  <c r="L111" i="13" s="1"/>
  <c r="H71" i="13"/>
  <c r="H111" i="13" s="1"/>
  <c r="U70" i="13"/>
  <c r="U110" i="13" s="1"/>
  <c r="Q70" i="13"/>
  <c r="Q110" i="13" s="1"/>
  <c r="M70" i="13"/>
  <c r="M110" i="13" s="1"/>
  <c r="I70" i="13"/>
  <c r="I110" i="13" s="1"/>
  <c r="U69" i="13"/>
  <c r="U109" i="13" s="1"/>
  <c r="Q69" i="13"/>
  <c r="Q109" i="13" s="1"/>
  <c r="M69" i="13"/>
  <c r="M109" i="13" s="1"/>
  <c r="I69" i="13"/>
  <c r="I109" i="13" s="1"/>
  <c r="T68" i="13"/>
  <c r="T108" i="13" s="1"/>
  <c r="P68" i="13"/>
  <c r="P108" i="13" s="1"/>
  <c r="L68" i="13"/>
  <c r="L108" i="13" s="1"/>
  <c r="V67" i="13"/>
  <c r="V107" i="13" s="1"/>
  <c r="R67" i="13"/>
  <c r="R107" i="13" s="1"/>
  <c r="N67" i="13"/>
  <c r="N107" i="13" s="1"/>
  <c r="W66" i="13"/>
  <c r="W106" i="13" s="1"/>
  <c r="S66" i="13"/>
  <c r="S106" i="13" s="1"/>
  <c r="O66" i="13"/>
  <c r="O106" i="13" s="1"/>
  <c r="W65" i="13"/>
  <c r="W105" i="13" s="1"/>
  <c r="S65" i="13"/>
  <c r="S105" i="13" s="1"/>
  <c r="O65" i="13"/>
  <c r="O105" i="13" s="1"/>
  <c r="V64" i="13"/>
  <c r="V104" i="13" s="1"/>
  <c r="R64" i="13"/>
  <c r="R104" i="13" s="1"/>
  <c r="N64" i="13"/>
  <c r="N104" i="13" s="1"/>
  <c r="T63" i="13"/>
  <c r="T103" i="13" s="1"/>
  <c r="P63" i="13"/>
  <c r="P103" i="13" s="1"/>
  <c r="V62" i="13"/>
  <c r="V102" i="13" s="1"/>
  <c r="R62" i="13"/>
  <c r="R102" i="13" s="1"/>
  <c r="V61" i="13"/>
  <c r="V101" i="13" s="1"/>
  <c r="R61" i="13"/>
  <c r="R101" i="13" s="1"/>
  <c r="U60" i="13"/>
  <c r="U100" i="13" s="1"/>
  <c r="W59" i="13"/>
  <c r="W99" i="13" s="1"/>
  <c r="S59" i="13"/>
  <c r="S99" i="13" s="1"/>
  <c r="T58" i="13"/>
  <c r="T98" i="13" s="1"/>
  <c r="W56" i="13"/>
  <c r="W96" i="13" s="1"/>
  <c r="AE37" i="13"/>
  <c r="AA37" i="13"/>
  <c r="W37" i="13"/>
  <c r="S37" i="13"/>
  <c r="O37" i="13"/>
  <c r="K37" i="13"/>
  <c r="G37" i="13"/>
  <c r="AF36" i="13"/>
  <c r="AB36" i="13"/>
  <c r="X36" i="13"/>
  <c r="T36" i="13"/>
  <c r="P36" i="13"/>
  <c r="L36" i="13"/>
  <c r="H36" i="13"/>
  <c r="D36" i="13"/>
  <c r="D72" i="13" s="1"/>
  <c r="D112" i="13" s="1"/>
  <c r="AC35" i="13"/>
  <c r="Y35" i="13"/>
  <c r="U35" i="13"/>
  <c r="Q35" i="13"/>
  <c r="M35" i="13"/>
  <c r="I35" i="13"/>
  <c r="E35" i="13"/>
  <c r="AD34" i="13"/>
  <c r="Z34" i="13"/>
  <c r="V34" i="13"/>
  <c r="R34" i="13"/>
  <c r="N34" i="13"/>
  <c r="J34" i="13"/>
  <c r="F34" i="13"/>
  <c r="V73" i="13"/>
  <c r="V113" i="13" s="1"/>
  <c r="R73" i="13"/>
  <c r="R113" i="13" s="1"/>
  <c r="N73" i="13"/>
  <c r="N113" i="13" s="1"/>
  <c r="J73" i="13"/>
  <c r="J113" i="13" s="1"/>
  <c r="F73" i="13"/>
  <c r="F113" i="13" s="1"/>
  <c r="U72" i="13"/>
  <c r="U112" i="13" s="1"/>
  <c r="Q72" i="13"/>
  <c r="Q112" i="13" s="1"/>
  <c r="M72" i="13"/>
  <c r="M112" i="13" s="1"/>
  <c r="I72" i="13"/>
  <c r="I112" i="13" s="1"/>
  <c r="W71" i="13"/>
  <c r="W111" i="13" s="1"/>
  <c r="S71" i="13"/>
  <c r="S111" i="13" s="1"/>
  <c r="O71" i="13"/>
  <c r="O111" i="13" s="1"/>
  <c r="K71" i="13"/>
  <c r="K111" i="13" s="1"/>
  <c r="G71" i="13"/>
  <c r="G111" i="13" s="1"/>
  <c r="T70" i="13"/>
  <c r="T110" i="13" s="1"/>
  <c r="P70" i="13"/>
  <c r="P110" i="13" s="1"/>
  <c r="L70" i="13"/>
  <c r="L110" i="13" s="1"/>
  <c r="H70" i="13"/>
  <c r="H110" i="13" s="1"/>
  <c r="T69" i="13"/>
  <c r="T109" i="13" s="1"/>
  <c r="P69" i="13"/>
  <c r="P109" i="13" s="1"/>
  <c r="L69" i="13"/>
  <c r="L109" i="13" s="1"/>
  <c r="W68" i="13"/>
  <c r="W108" i="13" s="1"/>
  <c r="S68" i="13"/>
  <c r="S108" i="13" s="1"/>
  <c r="O68" i="13"/>
  <c r="O108" i="13" s="1"/>
  <c r="K68" i="13"/>
  <c r="K108" i="13" s="1"/>
  <c r="U67" i="13"/>
  <c r="U107" i="13" s="1"/>
  <c r="Q67" i="13"/>
  <c r="Q107" i="13" s="1"/>
  <c r="M67" i="13"/>
  <c r="M107" i="13" s="1"/>
  <c r="V66" i="13"/>
  <c r="V106" i="13" s="1"/>
  <c r="R66" i="13"/>
  <c r="R106" i="13" s="1"/>
  <c r="N66" i="13"/>
  <c r="N106" i="13" s="1"/>
  <c r="V65" i="13"/>
  <c r="V105" i="13" s="1"/>
  <c r="R65" i="13"/>
  <c r="R105" i="13" s="1"/>
  <c r="N65" i="13"/>
  <c r="N105" i="13" s="1"/>
  <c r="U64" i="13"/>
  <c r="U104" i="13" s="1"/>
  <c r="Q64" i="13"/>
  <c r="Q104" i="13" s="1"/>
  <c r="W63" i="13"/>
  <c r="W103" i="13" s="1"/>
  <c r="S63" i="13"/>
  <c r="S103" i="13" s="1"/>
  <c r="O63" i="13"/>
  <c r="O103" i="13" s="1"/>
  <c r="U62" i="13"/>
  <c r="U102" i="13" s="1"/>
  <c r="Q62" i="13"/>
  <c r="Q102" i="13" s="1"/>
  <c r="U61" i="13"/>
  <c r="U101" i="13" s="1"/>
  <c r="Q61" i="13"/>
  <c r="Q101" i="13" s="1"/>
  <c r="T60" i="13"/>
  <c r="T100" i="13" s="1"/>
  <c r="V59" i="13"/>
  <c r="V99" i="13" s="1"/>
  <c r="W58" i="13"/>
  <c r="W98" i="13" s="1"/>
  <c r="W57" i="13"/>
  <c r="W97" i="13" s="1"/>
  <c r="V56" i="13"/>
  <c r="V96" i="13" s="1"/>
  <c r="AD37" i="13"/>
  <c r="Z37" i="13"/>
  <c r="V37" i="13"/>
  <c r="R37" i="13"/>
  <c r="N37" i="13"/>
  <c r="J37" i="13"/>
  <c r="F37" i="13"/>
  <c r="AE36" i="13"/>
  <c r="AA36" i="13"/>
  <c r="W36" i="13"/>
  <c r="S36" i="13"/>
  <c r="O36" i="13"/>
  <c r="K36" i="13"/>
  <c r="G36" i="13"/>
  <c r="AF35" i="13"/>
  <c r="AB35" i="13"/>
  <c r="X35" i="13"/>
  <c r="T35" i="13"/>
  <c r="P35" i="13"/>
  <c r="L35" i="13"/>
  <c r="H35" i="13"/>
  <c r="D35" i="13"/>
  <c r="D71" i="13" s="1"/>
  <c r="D111" i="13" s="1"/>
  <c r="AC34" i="13"/>
  <c r="Y34" i="13"/>
  <c r="U34" i="13"/>
  <c r="Q34" i="13"/>
  <c r="M34" i="13"/>
  <c r="I34" i="13"/>
  <c r="E34" i="13"/>
  <c r="I73" i="13"/>
  <c r="I113" i="13" s="1"/>
  <c r="L72" i="13"/>
  <c r="L112" i="13" s="1"/>
  <c r="N71" i="13"/>
  <c r="N111" i="13" s="1"/>
  <c r="O70" i="13"/>
  <c r="O110" i="13" s="1"/>
  <c r="O69" i="13"/>
  <c r="O109" i="13" s="1"/>
  <c r="N68" i="13"/>
  <c r="N108" i="13" s="1"/>
  <c r="L67" i="13"/>
  <c r="L107" i="13" s="1"/>
  <c r="U65" i="13"/>
  <c r="U105" i="13" s="1"/>
  <c r="P64" i="13"/>
  <c r="P104" i="13" s="1"/>
  <c r="T62" i="13"/>
  <c r="T102" i="13" s="1"/>
  <c r="S60" i="13"/>
  <c r="S100" i="13" s="1"/>
  <c r="W55" i="13"/>
  <c r="W95" i="13" s="1"/>
  <c r="Y37" i="13"/>
  <c r="I37" i="13"/>
  <c r="V36" i="13"/>
  <c r="F36" i="13"/>
  <c r="S35" i="13"/>
  <c r="AF34" i="13"/>
  <c r="P34" i="13"/>
  <c r="AE33" i="13"/>
  <c r="AA33" i="13"/>
  <c r="W33" i="13"/>
  <c r="S33" i="13"/>
  <c r="O33" i="13"/>
  <c r="K33" i="13"/>
  <c r="G33" i="13"/>
  <c r="AF32" i="13"/>
  <c r="AB32" i="13"/>
  <c r="X32" i="13"/>
  <c r="T32" i="13"/>
  <c r="P32" i="13"/>
  <c r="L32" i="13"/>
  <c r="H32" i="13"/>
  <c r="D32" i="13"/>
  <c r="D68" i="13" s="1"/>
  <c r="D108" i="13" s="1"/>
  <c r="AC31" i="13"/>
  <c r="Y31" i="13"/>
  <c r="U31" i="13"/>
  <c r="Q31" i="13"/>
  <c r="M31" i="13"/>
  <c r="I31" i="13"/>
  <c r="E31" i="13"/>
  <c r="AD30" i="13"/>
  <c r="Z30" i="13"/>
  <c r="V30" i="13"/>
  <c r="R30" i="13"/>
  <c r="N30" i="13"/>
  <c r="J30" i="13"/>
  <c r="F30" i="13"/>
  <c r="AE29" i="13"/>
  <c r="AA29" i="13"/>
  <c r="W29" i="13"/>
  <c r="S29" i="13"/>
  <c r="O29" i="13"/>
  <c r="K29" i="13"/>
  <c r="G29" i="13"/>
  <c r="AF28" i="13"/>
  <c r="AB28" i="13"/>
  <c r="X28" i="13"/>
  <c r="T28" i="13"/>
  <c r="P28" i="13"/>
  <c r="L28" i="13"/>
  <c r="H28" i="13"/>
  <c r="D28" i="13"/>
  <c r="D64" i="13" s="1"/>
  <c r="D104" i="13" s="1"/>
  <c r="AC27" i="13"/>
  <c r="Y27" i="13"/>
  <c r="U27" i="13"/>
  <c r="Q27" i="13"/>
  <c r="M27" i="13"/>
  <c r="U73" i="13"/>
  <c r="U113" i="13" s="1"/>
  <c r="E73" i="13"/>
  <c r="E113" i="13" s="1"/>
  <c r="H72" i="13"/>
  <c r="H112" i="13" s="1"/>
  <c r="J71" i="13"/>
  <c r="J111" i="13" s="1"/>
  <c r="K70" i="13"/>
  <c r="K110" i="13" s="1"/>
  <c r="K69" i="13"/>
  <c r="K109" i="13" s="1"/>
  <c r="J68" i="13"/>
  <c r="J108" i="13" s="1"/>
  <c r="U66" i="13"/>
  <c r="U106" i="13" s="1"/>
  <c r="Q65" i="13"/>
  <c r="Q105" i="13" s="1"/>
  <c r="V63" i="13"/>
  <c r="V103" i="13" s="1"/>
  <c r="P62" i="13"/>
  <c r="P102" i="13" s="1"/>
  <c r="U59" i="13"/>
  <c r="U99" i="13" s="1"/>
  <c r="U37" i="13"/>
  <c r="E37" i="13"/>
  <c r="R36" i="13"/>
  <c r="AE35" i="13"/>
  <c r="O35" i="13"/>
  <c r="AB34" i="13"/>
  <c r="L34" i="13"/>
  <c r="AD33" i="13"/>
  <c r="Z33" i="13"/>
  <c r="V33" i="13"/>
  <c r="R33" i="13"/>
  <c r="N33" i="13"/>
  <c r="J33" i="13"/>
  <c r="F33" i="13"/>
  <c r="AE32" i="13"/>
  <c r="AA32" i="13"/>
  <c r="W32" i="13"/>
  <c r="S32" i="13"/>
  <c r="O32" i="13"/>
  <c r="K32" i="13"/>
  <c r="G32" i="13"/>
  <c r="AF31" i="13"/>
  <c r="AB31" i="13"/>
  <c r="X31" i="13"/>
  <c r="T31" i="13"/>
  <c r="P31" i="13"/>
  <c r="L31" i="13"/>
  <c r="H31" i="13"/>
  <c r="D31" i="13"/>
  <c r="D67" i="13" s="1"/>
  <c r="D107" i="13" s="1"/>
  <c r="AC30" i="13"/>
  <c r="Y30" i="13"/>
  <c r="U30" i="13"/>
  <c r="Q30" i="13"/>
  <c r="M30" i="13"/>
  <c r="I30" i="13"/>
  <c r="E30" i="13"/>
  <c r="AD29" i="13"/>
  <c r="Z29" i="13"/>
  <c r="V29" i="13"/>
  <c r="R29" i="13"/>
  <c r="N29" i="13"/>
  <c r="J29" i="13"/>
  <c r="F29" i="13"/>
  <c r="AE28" i="13"/>
  <c r="AA28" i="13"/>
  <c r="W28" i="13"/>
  <c r="S28" i="13"/>
  <c r="O28" i="13"/>
  <c r="K28" i="13"/>
  <c r="G28" i="13"/>
  <c r="AF27" i="13"/>
  <c r="AB27" i="13"/>
  <c r="X27" i="13"/>
  <c r="T27" i="13"/>
  <c r="P27" i="13"/>
  <c r="Q73" i="13"/>
  <c r="Q113" i="13" s="1"/>
  <c r="T72" i="13"/>
  <c r="T112" i="13" s="1"/>
  <c r="V71" i="13"/>
  <c r="V111" i="13" s="1"/>
  <c r="W70" i="13"/>
  <c r="W110" i="13" s="1"/>
  <c r="W69" i="13"/>
  <c r="W109" i="13" s="1"/>
  <c r="V68" i="13"/>
  <c r="V108" i="13" s="1"/>
  <c r="T67" i="13"/>
  <c r="T107" i="13" s="1"/>
  <c r="Q66" i="13"/>
  <c r="Q106" i="13" s="1"/>
  <c r="M65" i="13"/>
  <c r="M105" i="13" s="1"/>
  <c r="R63" i="13"/>
  <c r="R103" i="13" s="1"/>
  <c r="T61" i="13"/>
  <c r="T101" i="13" s="1"/>
  <c r="V58" i="13"/>
  <c r="V98" i="13" s="1"/>
  <c r="Q37" i="13"/>
  <c r="AD36" i="13"/>
  <c r="N36" i="13"/>
  <c r="AA35" i="13"/>
  <c r="K35" i="13"/>
  <c r="X34" i="13"/>
  <c r="H34" i="13"/>
  <c r="AC33" i="13"/>
  <c r="Y33" i="13"/>
  <c r="U33" i="13"/>
  <c r="Q33" i="13"/>
  <c r="M33" i="13"/>
  <c r="I33" i="13"/>
  <c r="E33" i="13"/>
  <c r="AD32" i="13"/>
  <c r="Z32" i="13"/>
  <c r="V32" i="13"/>
  <c r="R32" i="13"/>
  <c r="N32" i="13"/>
  <c r="J32" i="13"/>
  <c r="F32" i="13"/>
  <c r="AE31" i="13"/>
  <c r="AA31" i="13"/>
  <c r="W31" i="13"/>
  <c r="S31" i="13"/>
  <c r="O31" i="13"/>
  <c r="K31" i="13"/>
  <c r="G31" i="13"/>
  <c r="AF30" i="13"/>
  <c r="AB30" i="13"/>
  <c r="X30" i="13"/>
  <c r="T30" i="13"/>
  <c r="P30" i="13"/>
  <c r="L30" i="13"/>
  <c r="H30" i="13"/>
  <c r="D30" i="13"/>
  <c r="D66" i="13" s="1"/>
  <c r="D106" i="13" s="1"/>
  <c r="AC29" i="13"/>
  <c r="Y29" i="13"/>
  <c r="U29" i="13"/>
  <c r="Q29" i="13"/>
  <c r="M29" i="13"/>
  <c r="I29" i="13"/>
  <c r="E29" i="13"/>
  <c r="AD28" i="13"/>
  <c r="Z28" i="13"/>
  <c r="V28" i="13"/>
  <c r="R28" i="13"/>
  <c r="N28" i="13"/>
  <c r="J28" i="13"/>
  <c r="F28" i="13"/>
  <c r="AE27" i="13"/>
  <c r="AA27" i="13"/>
  <c r="W27" i="13"/>
  <c r="S27" i="13"/>
  <c r="O27" i="13"/>
  <c r="K27" i="13"/>
  <c r="G27" i="13"/>
  <c r="AF26" i="13"/>
  <c r="AB26" i="13"/>
  <c r="X26" i="13"/>
  <c r="T26" i="13"/>
  <c r="P26" i="13"/>
  <c r="L26" i="13"/>
  <c r="H26" i="13"/>
  <c r="D26" i="13"/>
  <c r="D62" i="13" s="1"/>
  <c r="D102" i="13" s="1"/>
  <c r="AC25" i="13"/>
  <c r="Y25" i="13"/>
  <c r="U25" i="13"/>
  <c r="Q25" i="13"/>
  <c r="M25" i="13"/>
  <c r="I25" i="13"/>
  <c r="S70" i="13"/>
  <c r="S110" i="13" s="1"/>
  <c r="M66" i="13"/>
  <c r="M106" i="13" s="1"/>
  <c r="V57" i="13"/>
  <c r="V97" i="13" s="1"/>
  <c r="J36" i="13"/>
  <c r="D34" i="13"/>
  <c r="D70" i="13" s="1"/>
  <c r="D110" i="13" s="1"/>
  <c r="P33" i="13"/>
  <c r="AC32" i="13"/>
  <c r="M32" i="13"/>
  <c r="Z31" i="13"/>
  <c r="J31" i="13"/>
  <c r="W30" i="13"/>
  <c r="G30" i="13"/>
  <c r="T29" i="13"/>
  <c r="D29" i="13"/>
  <c r="D65" i="13" s="1"/>
  <c r="D105" i="13" s="1"/>
  <c r="Q28" i="13"/>
  <c r="AD27" i="13"/>
  <c r="N27" i="13"/>
  <c r="H27" i="13"/>
  <c r="AE26" i="13"/>
  <c r="Z26" i="13"/>
  <c r="U26" i="13"/>
  <c r="O26" i="13"/>
  <c r="J26" i="13"/>
  <c r="E26" i="13"/>
  <c r="AB25" i="13"/>
  <c r="W25" i="13"/>
  <c r="R25" i="13"/>
  <c r="L25" i="13"/>
  <c r="G25" i="13"/>
  <c r="AF24" i="13"/>
  <c r="M73" i="13"/>
  <c r="M113" i="13" s="1"/>
  <c r="S69" i="13"/>
  <c r="S109" i="13" s="1"/>
  <c r="T64" i="13"/>
  <c r="T104" i="13" s="1"/>
  <c r="AC37" i="13"/>
  <c r="W35" i="13"/>
  <c r="AB33" i="13"/>
  <c r="L33" i="13"/>
  <c r="Y32" i="13"/>
  <c r="I32" i="13"/>
  <c r="V31" i="13"/>
  <c r="F31" i="13"/>
  <c r="S30" i="13"/>
  <c r="AF29" i="13"/>
  <c r="P29" i="13"/>
  <c r="AC28" i="13"/>
  <c r="M28" i="13"/>
  <c r="Z27" i="13"/>
  <c r="L27" i="13"/>
  <c r="F27" i="13"/>
  <c r="AD26" i="13"/>
  <c r="Y26" i="13"/>
  <c r="S26" i="13"/>
  <c r="N26" i="13"/>
  <c r="I26" i="13"/>
  <c r="AF25" i="13"/>
  <c r="AA25" i="13"/>
  <c r="V25" i="13"/>
  <c r="P25" i="13"/>
  <c r="K25" i="13"/>
  <c r="F25" i="13"/>
  <c r="AE24" i="13"/>
  <c r="AA24" i="13"/>
  <c r="W24" i="13"/>
  <c r="S24" i="13"/>
  <c r="O24" i="13"/>
  <c r="K24" i="13"/>
  <c r="G24" i="13"/>
  <c r="AF23" i="13"/>
  <c r="AB23" i="13"/>
  <c r="X23" i="13"/>
  <c r="T23" i="13"/>
  <c r="P23" i="13"/>
  <c r="L23" i="13"/>
  <c r="H23" i="13"/>
  <c r="D23" i="13"/>
  <c r="D59" i="13" s="1"/>
  <c r="D99" i="13" s="1"/>
  <c r="AC22" i="13"/>
  <c r="Y22" i="13"/>
  <c r="U22" i="13"/>
  <c r="Q22" i="13"/>
  <c r="M22" i="13"/>
  <c r="I22" i="13"/>
  <c r="E22" i="13"/>
  <c r="AD21" i="13"/>
  <c r="Z21" i="13"/>
  <c r="V21" i="13"/>
  <c r="R21" i="13"/>
  <c r="N21" i="13"/>
  <c r="J21" i="13"/>
  <c r="F21" i="13"/>
  <c r="AE20" i="13"/>
  <c r="AA20" i="13"/>
  <c r="W20" i="13"/>
  <c r="S20" i="13"/>
  <c r="O20" i="13"/>
  <c r="K20" i="13"/>
  <c r="G20" i="13"/>
  <c r="AF19" i="13"/>
  <c r="AB19" i="13"/>
  <c r="X19" i="13"/>
  <c r="T19" i="13"/>
  <c r="P19" i="13"/>
  <c r="L19" i="13"/>
  <c r="H19" i="13"/>
  <c r="D19" i="13"/>
  <c r="D55" i="13" s="1"/>
  <c r="D95" i="13" s="1"/>
  <c r="AC18" i="13"/>
  <c r="Y18" i="13"/>
  <c r="U18" i="13"/>
  <c r="Q18" i="13"/>
  <c r="M18" i="13"/>
  <c r="I18" i="13"/>
  <c r="E18" i="13"/>
  <c r="AD17" i="13"/>
  <c r="Z17" i="13"/>
  <c r="V17" i="13"/>
  <c r="R17" i="13"/>
  <c r="P72" i="13"/>
  <c r="P112" i="13" s="1"/>
  <c r="R68" i="13"/>
  <c r="R108" i="13" s="1"/>
  <c r="M37" i="13"/>
  <c r="G35" i="13"/>
  <c r="X33" i="13"/>
  <c r="H33" i="13"/>
  <c r="U32" i="13"/>
  <c r="E32" i="13"/>
  <c r="E68" i="13" s="1"/>
  <c r="E108" i="13" s="1"/>
  <c r="R31" i="13"/>
  <c r="AE30" i="13"/>
  <c r="O30" i="13"/>
  <c r="AB29" i="13"/>
  <c r="L29" i="13"/>
  <c r="Y28" i="13"/>
  <c r="I28" i="13"/>
  <c r="V27" i="13"/>
  <c r="J27" i="13"/>
  <c r="E27" i="13"/>
  <c r="AC26" i="13"/>
  <c r="W26" i="13"/>
  <c r="R26" i="13"/>
  <c r="M26" i="13"/>
  <c r="G26" i="13"/>
  <c r="AE25" i="13"/>
  <c r="Z25" i="13"/>
  <c r="T25" i="13"/>
  <c r="O25" i="13"/>
  <c r="J25" i="13"/>
  <c r="E25" i="13"/>
  <c r="AD24" i="13"/>
  <c r="Z24" i="13"/>
  <c r="V24" i="13"/>
  <c r="R24" i="13"/>
  <c r="N24" i="13"/>
  <c r="J24" i="13"/>
  <c r="F24" i="13"/>
  <c r="AE23" i="13"/>
  <c r="AA23" i="13"/>
  <c r="W23" i="13"/>
  <c r="S23" i="13"/>
  <c r="O23" i="13"/>
  <c r="K23" i="13"/>
  <c r="G23" i="13"/>
  <c r="AF22" i="13"/>
  <c r="AB22" i="13"/>
  <c r="X22" i="13"/>
  <c r="T22" i="13"/>
  <c r="P22" i="13"/>
  <c r="L22" i="13"/>
  <c r="H22" i="13"/>
  <c r="D22" i="13"/>
  <c r="D58" i="13" s="1"/>
  <c r="D98" i="13" s="1"/>
  <c r="AC21" i="13"/>
  <c r="Y21" i="13"/>
  <c r="U21" i="13"/>
  <c r="Q21" i="13"/>
  <c r="M21" i="13"/>
  <c r="I21" i="13"/>
  <c r="E21" i="13"/>
  <c r="AD20" i="13"/>
  <c r="Z20" i="13"/>
  <c r="V20" i="13"/>
  <c r="R20" i="13"/>
  <c r="N20" i="13"/>
  <c r="J20" i="13"/>
  <c r="F20" i="13"/>
  <c r="AE19" i="13"/>
  <c r="AA19" i="13"/>
  <c r="W19" i="13"/>
  <c r="S19" i="13"/>
  <c r="O19" i="13"/>
  <c r="K19" i="13"/>
  <c r="G19" i="13"/>
  <c r="AF18" i="13"/>
  <c r="AB18" i="13"/>
  <c r="X18" i="13"/>
  <c r="T18" i="13"/>
  <c r="P18" i="13"/>
  <c r="L18" i="13"/>
  <c r="H18" i="13"/>
  <c r="D18" i="13"/>
  <c r="D54" i="13" s="1"/>
  <c r="D94" i="13" s="1"/>
  <c r="AC17" i="13"/>
  <c r="Y17" i="13"/>
  <c r="U17" i="13"/>
  <c r="Q17" i="13"/>
  <c r="M17" i="13"/>
  <c r="R71" i="13"/>
  <c r="R111" i="13" s="1"/>
  <c r="T34" i="13"/>
  <c r="AD31" i="13"/>
  <c r="X29" i="13"/>
  <c r="R27" i="13"/>
  <c r="V26" i="13"/>
  <c r="AD25" i="13"/>
  <c r="H25" i="13"/>
  <c r="Y24" i="13"/>
  <c r="Q24" i="13"/>
  <c r="I24" i="13"/>
  <c r="AD23" i="13"/>
  <c r="V23" i="13"/>
  <c r="N23" i="13"/>
  <c r="F23" i="13"/>
  <c r="AA22" i="13"/>
  <c r="S22" i="13"/>
  <c r="K22" i="13"/>
  <c r="AF21" i="13"/>
  <c r="X21" i="13"/>
  <c r="P21" i="13"/>
  <c r="H21" i="13"/>
  <c r="AC20" i="13"/>
  <c r="U20" i="13"/>
  <c r="M20" i="13"/>
  <c r="E20" i="13"/>
  <c r="Z19" i="13"/>
  <c r="R19" i="13"/>
  <c r="J19" i="13"/>
  <c r="AE18" i="13"/>
  <c r="W18" i="13"/>
  <c r="O18" i="13"/>
  <c r="G18" i="13"/>
  <c r="AB17" i="13"/>
  <c r="T17" i="13"/>
  <c r="N17" i="13"/>
  <c r="I17" i="13"/>
  <c r="E17" i="13"/>
  <c r="AD16" i="13"/>
  <c r="Z16" i="13"/>
  <c r="V16" i="13"/>
  <c r="R16" i="13"/>
  <c r="N16" i="13"/>
  <c r="J16" i="13"/>
  <c r="F16" i="13"/>
  <c r="AE15" i="13"/>
  <c r="AA15" i="13"/>
  <c r="W15" i="13"/>
  <c r="S15" i="13"/>
  <c r="O15" i="13"/>
  <c r="K15" i="13"/>
  <c r="G15" i="13"/>
  <c r="AF14" i="13"/>
  <c r="AB14" i="13"/>
  <c r="X14" i="13"/>
  <c r="T14" i="13"/>
  <c r="P14" i="13"/>
  <c r="L14" i="13"/>
  <c r="H14" i="13"/>
  <c r="D14" i="13"/>
  <c r="D50" i="13" s="1"/>
  <c r="D90" i="13" s="1"/>
  <c r="AC13" i="13"/>
  <c r="Y13" i="13"/>
  <c r="U13" i="13"/>
  <c r="Q13" i="13"/>
  <c r="M13" i="13"/>
  <c r="I13" i="13"/>
  <c r="E13" i="13"/>
  <c r="E49" i="13" s="1"/>
  <c r="E89" i="13" s="1"/>
  <c r="AD12" i="13"/>
  <c r="Z12" i="13"/>
  <c r="V12" i="13"/>
  <c r="R12" i="13"/>
  <c r="N12" i="13"/>
  <c r="J12" i="13"/>
  <c r="F12" i="13"/>
  <c r="AE11" i="13"/>
  <c r="AA11" i="13"/>
  <c r="W11" i="13"/>
  <c r="S11" i="13"/>
  <c r="O11" i="13"/>
  <c r="K11" i="13"/>
  <c r="G11" i="13"/>
  <c r="AF10" i="13"/>
  <c r="AB10" i="13"/>
  <c r="X10" i="13"/>
  <c r="T10" i="13"/>
  <c r="P10" i="13"/>
  <c r="L10" i="13"/>
  <c r="H10" i="13"/>
  <c r="D10" i="13"/>
  <c r="D46" i="13" s="1"/>
  <c r="D86" i="13" s="1"/>
  <c r="AC9" i="13"/>
  <c r="Y9" i="13"/>
  <c r="U9" i="13"/>
  <c r="Q9" i="13"/>
  <c r="M9" i="13"/>
  <c r="I9" i="13"/>
  <c r="E9" i="13"/>
  <c r="Z36" i="13"/>
  <c r="AA26" i="13"/>
  <c r="N25" i="13"/>
  <c r="T24" i="13"/>
  <c r="D24" i="13"/>
  <c r="D60" i="13" s="1"/>
  <c r="D100" i="13" s="1"/>
  <c r="AD22" i="13"/>
  <c r="AA21" i="13"/>
  <c r="AF20" i="13"/>
  <c r="AC19" i="13"/>
  <c r="E19" i="13"/>
  <c r="E55" i="13" s="1"/>
  <c r="E95" i="13" s="1"/>
  <c r="AE17" i="13"/>
  <c r="J17" i="13"/>
  <c r="W16" i="13"/>
  <c r="AF15" i="13"/>
  <c r="X15" i="13"/>
  <c r="H15" i="13"/>
  <c r="Y14" i="13"/>
  <c r="I14" i="13"/>
  <c r="V13" i="13"/>
  <c r="J13" i="13"/>
  <c r="S12" i="13"/>
  <c r="G12" i="13"/>
  <c r="X11" i="13"/>
  <c r="H11" i="13"/>
  <c r="Y10" i="13"/>
  <c r="I10" i="13"/>
  <c r="V9" i="13"/>
  <c r="J9" i="13"/>
  <c r="P67" i="13"/>
  <c r="P107" i="13" s="1"/>
  <c r="T33" i="13"/>
  <c r="N31" i="13"/>
  <c r="H29" i="13"/>
  <c r="I27" i="13"/>
  <c r="Q26" i="13"/>
  <c r="X25" i="13"/>
  <c r="D25" i="13"/>
  <c r="D61" i="13" s="1"/>
  <c r="D101" i="13" s="1"/>
  <c r="X24" i="13"/>
  <c r="P24" i="13"/>
  <c r="H24" i="13"/>
  <c r="AC23" i="13"/>
  <c r="U23" i="13"/>
  <c r="M23" i="13"/>
  <c r="E23" i="13"/>
  <c r="E59" i="13" s="1"/>
  <c r="E99" i="13" s="1"/>
  <c r="Z22" i="13"/>
  <c r="R22" i="13"/>
  <c r="J22" i="13"/>
  <c r="AE21" i="13"/>
  <c r="W21" i="13"/>
  <c r="O21" i="13"/>
  <c r="G21" i="13"/>
  <c r="AB20" i="13"/>
  <c r="T20" i="13"/>
  <c r="L20" i="13"/>
  <c r="D20" i="13"/>
  <c r="D56" i="13" s="1"/>
  <c r="D96" i="13" s="1"/>
  <c r="Y19" i="13"/>
  <c r="Q19" i="13"/>
  <c r="I19" i="13"/>
  <c r="AD18" i="13"/>
  <c r="V18" i="13"/>
  <c r="N18" i="13"/>
  <c r="F18" i="13"/>
  <c r="AA17" i="13"/>
  <c r="S17" i="13"/>
  <c r="L17" i="13"/>
  <c r="H17" i="13"/>
  <c r="D17" i="13"/>
  <c r="D53" i="13" s="1"/>
  <c r="D93" i="13" s="1"/>
  <c r="AC16" i="13"/>
  <c r="Y16" i="13"/>
  <c r="U16" i="13"/>
  <c r="Q16" i="13"/>
  <c r="M16" i="13"/>
  <c r="I16" i="13"/>
  <c r="E16" i="13"/>
  <c r="AD15" i="13"/>
  <c r="Z15" i="13"/>
  <c r="V15" i="13"/>
  <c r="R15" i="13"/>
  <c r="N15" i="13"/>
  <c r="J15" i="13"/>
  <c r="F15" i="13"/>
  <c r="AE14" i="13"/>
  <c r="AA14" i="13"/>
  <c r="W14" i="13"/>
  <c r="S14" i="13"/>
  <c r="O14" i="13"/>
  <c r="K14" i="13"/>
  <c r="G14" i="13"/>
  <c r="AF13" i="13"/>
  <c r="AB13" i="13"/>
  <c r="X13" i="13"/>
  <c r="T13" i="13"/>
  <c r="P13" i="13"/>
  <c r="L13" i="13"/>
  <c r="H13" i="13"/>
  <c r="D13" i="13"/>
  <c r="D49" i="13" s="1"/>
  <c r="D89" i="13" s="1"/>
  <c r="AC12" i="13"/>
  <c r="Y12" i="13"/>
  <c r="U12" i="13"/>
  <c r="Q12" i="13"/>
  <c r="M12" i="13"/>
  <c r="I12" i="13"/>
  <c r="E12" i="13"/>
  <c r="AD11" i="13"/>
  <c r="Z11" i="13"/>
  <c r="V11" i="13"/>
  <c r="R11" i="13"/>
  <c r="N11" i="13"/>
  <c r="J11" i="13"/>
  <c r="F11" i="13"/>
  <c r="AE10" i="13"/>
  <c r="AA10" i="13"/>
  <c r="W10" i="13"/>
  <c r="S10" i="13"/>
  <c r="O10" i="13"/>
  <c r="K10" i="13"/>
  <c r="G10" i="13"/>
  <c r="AF9" i="13"/>
  <c r="AB9" i="13"/>
  <c r="X9" i="13"/>
  <c r="T9" i="13"/>
  <c r="P9" i="13"/>
  <c r="L9" i="13"/>
  <c r="H9" i="13"/>
  <c r="D9" i="13"/>
  <c r="D45" i="13" s="1"/>
  <c r="D85" i="13" s="1"/>
  <c r="Q32" i="13"/>
  <c r="E28" i="13"/>
  <c r="F26" i="13"/>
  <c r="AB24" i="13"/>
  <c r="Y23" i="13"/>
  <c r="V22" i="13"/>
  <c r="F22" i="13"/>
  <c r="X20" i="13"/>
  <c r="U19" i="13"/>
  <c r="R18" i="13"/>
  <c r="W17" i="13"/>
  <c r="F17" i="13"/>
  <c r="S16" i="13"/>
  <c r="G16" i="13"/>
  <c r="P15" i="13"/>
  <c r="D15" i="13"/>
  <c r="D51" i="13" s="1"/>
  <c r="D91" i="13" s="1"/>
  <c r="Q14" i="13"/>
  <c r="E14" i="13"/>
  <c r="R13" i="13"/>
  <c r="F13" i="13"/>
  <c r="W12" i="13"/>
  <c r="AF11" i="13"/>
  <c r="T11" i="13"/>
  <c r="D11" i="13"/>
  <c r="D47" i="13" s="1"/>
  <c r="D87" i="13" s="1"/>
  <c r="U10" i="13"/>
  <c r="E10" i="13"/>
  <c r="E46" i="13" s="1"/>
  <c r="E86" i="13" s="1"/>
  <c r="Z9" i="13"/>
  <c r="F9" i="13"/>
  <c r="W60" i="13"/>
  <c r="W100" i="13" s="1"/>
  <c r="D33" i="13"/>
  <c r="D69" i="13" s="1"/>
  <c r="D109" i="13" s="1"/>
  <c r="AA30" i="13"/>
  <c r="U28" i="13"/>
  <c r="D27" i="13"/>
  <c r="D63" i="13" s="1"/>
  <c r="D103" i="13" s="1"/>
  <c r="K26" i="13"/>
  <c r="S25" i="13"/>
  <c r="AC24" i="13"/>
  <c r="U24" i="13"/>
  <c r="M24" i="13"/>
  <c r="E24" i="13"/>
  <c r="Z23" i="13"/>
  <c r="R23" i="13"/>
  <c r="J23" i="13"/>
  <c r="AE22" i="13"/>
  <c r="W22" i="13"/>
  <c r="O22" i="13"/>
  <c r="G22" i="13"/>
  <c r="AB21" i="13"/>
  <c r="T21" i="13"/>
  <c r="L21" i="13"/>
  <c r="D21" i="13"/>
  <c r="D57" i="13" s="1"/>
  <c r="D97" i="13" s="1"/>
  <c r="Y20" i="13"/>
  <c r="Q20" i="13"/>
  <c r="I20" i="13"/>
  <c r="AD19" i="13"/>
  <c r="V19" i="13"/>
  <c r="N19" i="13"/>
  <c r="F19" i="13"/>
  <c r="AA18" i="13"/>
  <c r="S18" i="13"/>
  <c r="K18" i="13"/>
  <c r="AF17" i="13"/>
  <c r="X17" i="13"/>
  <c r="P17" i="13"/>
  <c r="K17" i="13"/>
  <c r="G17" i="13"/>
  <c r="AF16" i="13"/>
  <c r="AB16" i="13"/>
  <c r="X16" i="13"/>
  <c r="T16" i="13"/>
  <c r="P16" i="13"/>
  <c r="L16" i="13"/>
  <c r="H16" i="13"/>
  <c r="D16" i="13"/>
  <c r="D52" i="13" s="1"/>
  <c r="D92" i="13" s="1"/>
  <c r="AC15" i="13"/>
  <c r="Y15" i="13"/>
  <c r="U15" i="13"/>
  <c r="Q15" i="13"/>
  <c r="M15" i="13"/>
  <c r="I15" i="13"/>
  <c r="E15" i="13"/>
  <c r="E51" i="13" s="1"/>
  <c r="E91" i="13" s="1"/>
  <c r="AD14" i="13"/>
  <c r="Z14" i="13"/>
  <c r="V14" i="13"/>
  <c r="R14" i="13"/>
  <c r="N14" i="13"/>
  <c r="J14" i="13"/>
  <c r="F14" i="13"/>
  <c r="AE13" i="13"/>
  <c r="AA13" i="13"/>
  <c r="W13" i="13"/>
  <c r="S13" i="13"/>
  <c r="O13" i="13"/>
  <c r="K13" i="13"/>
  <c r="G13" i="13"/>
  <c r="AF12" i="13"/>
  <c r="AB12" i="13"/>
  <c r="X12" i="13"/>
  <c r="T12" i="13"/>
  <c r="P12" i="13"/>
  <c r="L12" i="13"/>
  <c r="H12" i="13"/>
  <c r="D12" i="13"/>
  <c r="D48" i="13" s="1"/>
  <c r="D88" i="13" s="1"/>
  <c r="AC11" i="13"/>
  <c r="Y11" i="13"/>
  <c r="U11" i="13"/>
  <c r="Q11" i="13"/>
  <c r="M11" i="13"/>
  <c r="I11" i="13"/>
  <c r="E11" i="13"/>
  <c r="AD10" i="13"/>
  <c r="Z10" i="13"/>
  <c r="V10" i="13"/>
  <c r="R10" i="13"/>
  <c r="N10" i="13"/>
  <c r="J10" i="13"/>
  <c r="F10" i="13"/>
  <c r="AE9" i="13"/>
  <c r="AA9" i="13"/>
  <c r="W9" i="13"/>
  <c r="S9" i="13"/>
  <c r="O9" i="13"/>
  <c r="K9" i="13"/>
  <c r="G9" i="13"/>
  <c r="K30" i="13"/>
  <c r="L24" i="13"/>
  <c r="Q23" i="13"/>
  <c r="I23" i="13"/>
  <c r="N22" i="13"/>
  <c r="S21" i="13"/>
  <c r="K21" i="13"/>
  <c r="P20" i="13"/>
  <c r="H20" i="13"/>
  <c r="M19" i="13"/>
  <c r="Z18" i="13"/>
  <c r="J18" i="13"/>
  <c r="O17" i="13"/>
  <c r="AE16" i="13"/>
  <c r="AA16" i="13"/>
  <c r="O16" i="13"/>
  <c r="K16" i="13"/>
  <c r="AB15" i="13"/>
  <c r="T15" i="13"/>
  <c r="L15" i="13"/>
  <c r="AC14" i="13"/>
  <c r="U14" i="13"/>
  <c r="M14" i="13"/>
  <c r="AD13" i="13"/>
  <c r="Z13" i="13"/>
  <c r="N13" i="13"/>
  <c r="AE12" i="13"/>
  <c r="AA12" i="13"/>
  <c r="O12" i="13"/>
  <c r="K12" i="13"/>
  <c r="AB11" i="13"/>
  <c r="P11" i="13"/>
  <c r="L11" i="13"/>
  <c r="AC10" i="13"/>
  <c r="Q10" i="13"/>
  <c r="M10" i="13"/>
  <c r="AD9" i="13"/>
  <c r="R9" i="13"/>
  <c r="N9" i="13"/>
  <c r="K28" i="12"/>
  <c r="N28" i="12"/>
  <c r="N45" i="12" s="1"/>
  <c r="C28" i="12"/>
  <c r="D28" i="12" s="1"/>
  <c r="E28" i="12" s="1"/>
  <c r="F28" i="12" s="1"/>
  <c r="G28" i="12" s="1"/>
  <c r="H28" i="12" s="1"/>
  <c r="I28" i="12" s="1"/>
  <c r="J28" i="12" s="1"/>
  <c r="A45" i="12"/>
  <c r="A61" i="12" s="1"/>
  <c r="W28" i="12"/>
  <c r="B13" i="12"/>
  <c r="C13" i="12"/>
  <c r="H13" i="12"/>
  <c r="I13" i="12"/>
  <c r="J13" i="12"/>
  <c r="D13" i="12"/>
  <c r="G13" i="12"/>
  <c r="A14" i="12"/>
  <c r="F13" i="12"/>
  <c r="K13" i="12"/>
  <c r="E13" i="12"/>
  <c r="A29" i="12"/>
  <c r="E54" i="13" l="1"/>
  <c r="E94" i="13" s="1"/>
  <c r="E45" i="13"/>
  <c r="E61" i="13"/>
  <c r="E101" i="13" s="1"/>
  <c r="E50" i="13"/>
  <c r="E90" i="13" s="1"/>
  <c r="E64" i="13"/>
  <c r="E104" i="13" s="1"/>
  <c r="F68" i="13"/>
  <c r="F108" i="13" s="1"/>
  <c r="E69" i="13"/>
  <c r="E109" i="13" s="1"/>
  <c r="E53" i="13"/>
  <c r="E93" i="13" s="1"/>
  <c r="E58" i="13"/>
  <c r="E98" i="13"/>
  <c r="F58" i="13"/>
  <c r="F98" i="13" s="1"/>
  <c r="E57" i="13"/>
  <c r="E97" i="13" s="1"/>
  <c r="E62" i="13"/>
  <c r="E102" i="13" s="1"/>
  <c r="E65" i="13"/>
  <c r="E105" i="13" s="1"/>
  <c r="F55" i="13"/>
  <c r="E63" i="13"/>
  <c r="E103" i="13" s="1"/>
  <c r="F65" i="13"/>
  <c r="G65" i="13" s="1"/>
  <c r="E72" i="13"/>
  <c r="E112" i="13" s="1"/>
  <c r="F61" i="13"/>
  <c r="F46" i="13"/>
  <c r="F86" i="13" s="1"/>
  <c r="F49" i="13"/>
  <c r="F89" i="13" s="1"/>
  <c r="F53" i="13"/>
  <c r="F93" i="13" s="1"/>
  <c r="G25" i="26"/>
  <c r="G49" i="13"/>
  <c r="F51" i="13"/>
  <c r="F63" i="13"/>
  <c r="E66" i="13"/>
  <c r="E60" i="13"/>
  <c r="F59" i="13"/>
  <c r="F50" i="13"/>
  <c r="E48" i="13"/>
  <c r="E56" i="13"/>
  <c r="E96" i="13" s="1"/>
  <c r="E67" i="13"/>
  <c r="E107" i="13" s="1"/>
  <c r="E47" i="13"/>
  <c r="E87" i="13" s="1"/>
  <c r="E52" i="13"/>
  <c r="E70" i="13"/>
  <c r="E71" i="13"/>
  <c r="E111" i="13" s="1"/>
  <c r="C11" i="14"/>
  <c r="D10" i="14"/>
  <c r="A78" i="12"/>
  <c r="K61" i="12"/>
  <c r="K29" i="12"/>
  <c r="N29" i="12"/>
  <c r="N46" i="12" s="1"/>
  <c r="W29" i="12"/>
  <c r="A46" i="12"/>
  <c r="A62" i="12" s="1"/>
  <c r="V29" i="12"/>
  <c r="J29" i="12"/>
  <c r="F14" i="12"/>
  <c r="E14" i="12"/>
  <c r="A30" i="12"/>
  <c r="H14" i="12"/>
  <c r="B14" i="12"/>
  <c r="K14" i="12"/>
  <c r="D14" i="12"/>
  <c r="I14" i="12"/>
  <c r="C14" i="12"/>
  <c r="J14" i="12"/>
  <c r="G14" i="12"/>
  <c r="A15" i="12"/>
  <c r="G68" i="13" l="1"/>
  <c r="F105" i="13"/>
  <c r="F69" i="13"/>
  <c r="F109" i="13" s="1"/>
  <c r="E85" i="13"/>
  <c r="F45" i="13"/>
  <c r="F64" i="13"/>
  <c r="F104" i="13" s="1"/>
  <c r="F62" i="13"/>
  <c r="F54" i="13"/>
  <c r="G58" i="13"/>
  <c r="H58" i="13" s="1"/>
  <c r="H98" i="13" s="1"/>
  <c r="G46" i="13"/>
  <c r="G86" i="13" s="1"/>
  <c r="F57" i="13"/>
  <c r="G53" i="13"/>
  <c r="H25" i="26"/>
  <c r="H46" i="13"/>
  <c r="H86" i="13" s="1"/>
  <c r="F95" i="13"/>
  <c r="G55" i="13"/>
  <c r="F101" i="13"/>
  <c r="G61" i="13"/>
  <c r="G108" i="13"/>
  <c r="H68" i="13"/>
  <c r="E100" i="13"/>
  <c r="F60" i="13"/>
  <c r="E106" i="13"/>
  <c r="F66" i="13"/>
  <c r="F103" i="13"/>
  <c r="G63" i="13"/>
  <c r="F99" i="13"/>
  <c r="G59" i="13"/>
  <c r="F102" i="13"/>
  <c r="G62" i="13"/>
  <c r="G89" i="13"/>
  <c r="H49" i="13"/>
  <c r="E110" i="13"/>
  <c r="F70" i="13"/>
  <c r="E92" i="13"/>
  <c r="F52" i="13"/>
  <c r="F90" i="13"/>
  <c r="G50" i="13"/>
  <c r="F91" i="13"/>
  <c r="G51" i="13"/>
  <c r="G105" i="13"/>
  <c r="H65" i="13"/>
  <c r="F56" i="13"/>
  <c r="C12" i="14"/>
  <c r="D11" i="14"/>
  <c r="F47" i="13"/>
  <c r="E88" i="13"/>
  <c r="F48" i="13"/>
  <c r="F71" i="13"/>
  <c r="F111" i="13" s="1"/>
  <c r="G69" i="13"/>
  <c r="F67" i="13"/>
  <c r="I15" i="12"/>
  <c r="F15" i="12"/>
  <c r="B15" i="12"/>
  <c r="E15" i="12"/>
  <c r="A16" i="12"/>
  <c r="K15" i="12"/>
  <c r="J15" i="12"/>
  <c r="C15" i="12"/>
  <c r="H15" i="12"/>
  <c r="A31" i="12"/>
  <c r="D15" i="12"/>
  <c r="G15" i="12"/>
  <c r="J30" i="12"/>
  <c r="N30" i="12"/>
  <c r="N47" i="12" s="1"/>
  <c r="I30" i="12"/>
  <c r="K30" i="12"/>
  <c r="A47" i="12"/>
  <c r="A63" i="12" s="1"/>
  <c r="U30" i="12"/>
  <c r="W30" i="12"/>
  <c r="V30" i="12"/>
  <c r="K62" i="12"/>
  <c r="J62" i="12"/>
  <c r="A79" i="12"/>
  <c r="F85" i="13" l="1"/>
  <c r="G45" i="13"/>
  <c r="G64" i="13"/>
  <c r="F94" i="13"/>
  <c r="G54" i="13"/>
  <c r="I46" i="13"/>
  <c r="I86" i="13" s="1"/>
  <c r="G98" i="13"/>
  <c r="I58" i="13"/>
  <c r="G93" i="13"/>
  <c r="H53" i="13"/>
  <c r="F97" i="13"/>
  <c r="G57" i="13"/>
  <c r="H108" i="13"/>
  <c r="I68" i="13"/>
  <c r="I108" i="13" s="1"/>
  <c r="G95" i="13"/>
  <c r="H55" i="13"/>
  <c r="G101" i="13"/>
  <c r="H61" i="13"/>
  <c r="I25" i="26"/>
  <c r="G109" i="13"/>
  <c r="H69" i="13"/>
  <c r="H109" i="13" s="1"/>
  <c r="F96" i="13"/>
  <c r="G56" i="13"/>
  <c r="F107" i="13"/>
  <c r="G67" i="13"/>
  <c r="F88" i="13"/>
  <c r="G48" i="13"/>
  <c r="C13" i="14"/>
  <c r="D12" i="14"/>
  <c r="G91" i="13"/>
  <c r="H51" i="13"/>
  <c r="G104" i="13"/>
  <c r="H64" i="13"/>
  <c r="F92" i="13"/>
  <c r="G52" i="13"/>
  <c r="H89" i="13"/>
  <c r="I49" i="13"/>
  <c r="G102" i="13"/>
  <c r="H62" i="13"/>
  <c r="G103" i="13"/>
  <c r="H63" i="13"/>
  <c r="F100" i="13"/>
  <c r="G60" i="13"/>
  <c r="F87" i="13"/>
  <c r="G47" i="13"/>
  <c r="H105" i="13"/>
  <c r="I65" i="13"/>
  <c r="G90" i="13"/>
  <c r="H50" i="13"/>
  <c r="F110" i="13"/>
  <c r="G70" i="13"/>
  <c r="G110" i="13" s="1"/>
  <c r="I98" i="13"/>
  <c r="J58" i="13"/>
  <c r="G99" i="13"/>
  <c r="H59" i="13"/>
  <c r="F106" i="13"/>
  <c r="G66" i="13"/>
  <c r="U31" i="12"/>
  <c r="T31" i="12"/>
  <c r="N31" i="12"/>
  <c r="N48" i="12" s="1"/>
  <c r="W31" i="12"/>
  <c r="I31" i="12"/>
  <c r="K31" i="12"/>
  <c r="J31" i="12"/>
  <c r="V31" i="12"/>
  <c r="A48" i="12"/>
  <c r="A64" i="12" s="1"/>
  <c r="H31" i="12"/>
  <c r="K63" i="12"/>
  <c r="J63" i="12"/>
  <c r="A80" i="12"/>
  <c r="I63" i="12"/>
  <c r="F16" i="12"/>
  <c r="C16" i="12"/>
  <c r="H16" i="12"/>
  <c r="B16" i="12"/>
  <c r="I16" i="12"/>
  <c r="A17" i="12"/>
  <c r="D16" i="12"/>
  <c r="E16" i="12"/>
  <c r="G16" i="12"/>
  <c r="A32" i="12"/>
  <c r="K16" i="12"/>
  <c r="J16" i="12"/>
  <c r="J46" i="13" l="1"/>
  <c r="H54" i="13"/>
  <c r="G94" i="13"/>
  <c r="G85" i="13"/>
  <c r="H45" i="13"/>
  <c r="G97" i="13"/>
  <c r="H57" i="13"/>
  <c r="H93" i="13"/>
  <c r="I53" i="13"/>
  <c r="H95" i="13"/>
  <c r="I55" i="13"/>
  <c r="I61" i="13"/>
  <c r="H101" i="13"/>
  <c r="J25" i="26"/>
  <c r="G106" i="13"/>
  <c r="H66" i="13"/>
  <c r="H99" i="13"/>
  <c r="I59" i="13"/>
  <c r="G100" i="13"/>
  <c r="H60" i="13"/>
  <c r="I89" i="13"/>
  <c r="J49" i="13"/>
  <c r="H104" i="13"/>
  <c r="I64" i="13"/>
  <c r="J86" i="13"/>
  <c r="K46" i="13"/>
  <c r="G88" i="13"/>
  <c r="H48" i="13"/>
  <c r="G96" i="13"/>
  <c r="H56" i="13"/>
  <c r="G107" i="13"/>
  <c r="H67" i="13"/>
  <c r="J98" i="13"/>
  <c r="K58" i="13"/>
  <c r="H90" i="13"/>
  <c r="I50" i="13"/>
  <c r="I105" i="13"/>
  <c r="J65" i="13"/>
  <c r="G87" i="13"/>
  <c r="H47" i="13"/>
  <c r="H103" i="13"/>
  <c r="I63" i="13"/>
  <c r="H102" i="13"/>
  <c r="I62" i="13"/>
  <c r="G92" i="13"/>
  <c r="H52" i="13"/>
  <c r="H91" i="13"/>
  <c r="I51" i="13"/>
  <c r="C14" i="14"/>
  <c r="D13" i="14"/>
  <c r="W32" i="12"/>
  <c r="V32" i="12"/>
  <c r="U32" i="12"/>
  <c r="S32" i="12"/>
  <c r="J32" i="12"/>
  <c r="N32" i="12"/>
  <c r="N49" i="12" s="1"/>
  <c r="T32" i="12"/>
  <c r="G32" i="12"/>
  <c r="I32" i="12"/>
  <c r="K32" i="12"/>
  <c r="H32" i="12"/>
  <c r="A49" i="12"/>
  <c r="A65" i="12" s="1"/>
  <c r="F17" i="12"/>
  <c r="K17" i="12"/>
  <c r="E17" i="12"/>
  <c r="A33" i="12"/>
  <c r="B17" i="12"/>
  <c r="C17" i="12"/>
  <c r="J17" i="12"/>
  <c r="D17" i="12"/>
  <c r="G17" i="12"/>
  <c r="A18" i="12"/>
  <c r="H17" i="12"/>
  <c r="I17" i="12"/>
  <c r="I64" i="12"/>
  <c r="H64" i="12"/>
  <c r="K64" i="12"/>
  <c r="A81" i="12"/>
  <c r="J64" i="12"/>
  <c r="I45" i="13" l="1"/>
  <c r="H85" i="13"/>
  <c r="H94" i="13"/>
  <c r="I54" i="13"/>
  <c r="I93" i="13"/>
  <c r="J53" i="13"/>
  <c r="I57" i="13"/>
  <c r="H97" i="13"/>
  <c r="I95" i="13"/>
  <c r="J55" i="13"/>
  <c r="K25" i="26"/>
  <c r="J35" i="26" s="1"/>
  <c r="I101" i="13"/>
  <c r="J61" i="13"/>
  <c r="C15" i="14"/>
  <c r="D15" i="14" s="1"/>
  <c r="D14" i="14"/>
  <c r="I91" i="13"/>
  <c r="J51" i="13"/>
  <c r="I102" i="13"/>
  <c r="J62" i="13"/>
  <c r="H87" i="13"/>
  <c r="I47" i="13"/>
  <c r="I90" i="13"/>
  <c r="J50" i="13"/>
  <c r="H107" i="13"/>
  <c r="I67" i="13"/>
  <c r="H88" i="13"/>
  <c r="I48" i="13"/>
  <c r="I104" i="13"/>
  <c r="J64" i="13"/>
  <c r="I99" i="13"/>
  <c r="J59" i="13"/>
  <c r="H92" i="13"/>
  <c r="I52" i="13"/>
  <c r="I103" i="13"/>
  <c r="J63" i="13"/>
  <c r="J105" i="13"/>
  <c r="K65" i="13"/>
  <c r="K98" i="13"/>
  <c r="L58" i="13"/>
  <c r="H96" i="13"/>
  <c r="I56" i="13"/>
  <c r="K86" i="13"/>
  <c r="L46" i="13"/>
  <c r="J89" i="13"/>
  <c r="K49" i="13"/>
  <c r="H100" i="13"/>
  <c r="I60" i="13"/>
  <c r="H106" i="13"/>
  <c r="I66" i="13"/>
  <c r="J33" i="12"/>
  <c r="H33" i="12"/>
  <c r="W33" i="12"/>
  <c r="A50" i="12"/>
  <c r="A66" i="12" s="1"/>
  <c r="F33" i="12"/>
  <c r="S33" i="12"/>
  <c r="I33" i="12"/>
  <c r="R33" i="12"/>
  <c r="N33" i="12"/>
  <c r="N50" i="12" s="1"/>
  <c r="U33" i="12"/>
  <c r="V33" i="12"/>
  <c r="G33" i="12"/>
  <c r="T33" i="12"/>
  <c r="K33" i="12"/>
  <c r="K65" i="12"/>
  <c r="J65" i="12"/>
  <c r="I65" i="12"/>
  <c r="H65" i="12"/>
  <c r="A82" i="12"/>
  <c r="G65" i="12"/>
  <c r="D18" i="12"/>
  <c r="I18" i="12"/>
  <c r="C18" i="12"/>
  <c r="J18" i="12"/>
  <c r="G18" i="12"/>
  <c r="A19" i="12"/>
  <c r="H18" i="12"/>
  <c r="K18" i="12"/>
  <c r="F18" i="12"/>
  <c r="E18" i="12"/>
  <c r="A34" i="12"/>
  <c r="B18" i="12"/>
  <c r="I94" i="13" l="1"/>
  <c r="J54" i="13"/>
  <c r="J45" i="13"/>
  <c r="I85" i="13"/>
  <c r="I97" i="13"/>
  <c r="J57" i="13"/>
  <c r="J93" i="13"/>
  <c r="K53" i="13"/>
  <c r="J101" i="13"/>
  <c r="K61" i="13"/>
  <c r="J95" i="13"/>
  <c r="K55" i="13"/>
  <c r="I106" i="13"/>
  <c r="J66" i="13"/>
  <c r="I100" i="13"/>
  <c r="J60" i="13"/>
  <c r="L86" i="13"/>
  <c r="M46" i="13"/>
  <c r="K105" i="13"/>
  <c r="L65" i="13"/>
  <c r="L105" i="13" s="1"/>
  <c r="I92" i="13"/>
  <c r="J52" i="13"/>
  <c r="J99" i="13"/>
  <c r="K59" i="13"/>
  <c r="I88" i="13"/>
  <c r="J48" i="13"/>
  <c r="I87" i="13"/>
  <c r="J47" i="13"/>
  <c r="J91" i="13"/>
  <c r="K51" i="13"/>
  <c r="K89" i="13"/>
  <c r="L49" i="13"/>
  <c r="I96" i="13"/>
  <c r="J56" i="13"/>
  <c r="L98" i="13"/>
  <c r="M58" i="13"/>
  <c r="J103" i="13"/>
  <c r="K63" i="13"/>
  <c r="J104" i="13"/>
  <c r="K64" i="13"/>
  <c r="I107" i="13"/>
  <c r="J67" i="13"/>
  <c r="J107" i="13" s="1"/>
  <c r="J90" i="13"/>
  <c r="K50" i="13"/>
  <c r="J102" i="13"/>
  <c r="K62" i="13"/>
  <c r="I66" i="12"/>
  <c r="A83" i="12"/>
  <c r="H66" i="12"/>
  <c r="K66" i="12"/>
  <c r="F66" i="12"/>
  <c r="G66" i="12"/>
  <c r="J66" i="12"/>
  <c r="J19" i="12"/>
  <c r="D19" i="12"/>
  <c r="C19" i="12"/>
  <c r="F19" i="12"/>
  <c r="G19" i="12"/>
  <c r="I19" i="12"/>
  <c r="B19" i="12"/>
  <c r="E19" i="12"/>
  <c r="A20" i="12"/>
  <c r="H19" i="12"/>
  <c r="K19" i="12"/>
  <c r="A35" i="12"/>
  <c r="V34" i="12"/>
  <c r="U34" i="12"/>
  <c r="G34" i="12"/>
  <c r="K34" i="12"/>
  <c r="R34" i="12"/>
  <c r="Q34" i="12"/>
  <c r="W34" i="12"/>
  <c r="I34" i="12"/>
  <c r="A51" i="12"/>
  <c r="A67" i="12" s="1"/>
  <c r="J34" i="12"/>
  <c r="T34" i="12"/>
  <c r="E34" i="12"/>
  <c r="N34" i="12"/>
  <c r="N51" i="12" s="1"/>
  <c r="F34" i="12"/>
  <c r="H34" i="12"/>
  <c r="S34" i="12"/>
  <c r="K45" i="13" l="1"/>
  <c r="J85" i="13"/>
  <c r="J94" i="13"/>
  <c r="K54" i="13"/>
  <c r="K93" i="13"/>
  <c r="L53" i="13"/>
  <c r="J97" i="13"/>
  <c r="K57" i="13"/>
  <c r="K95" i="13"/>
  <c r="L55" i="13"/>
  <c r="K101" i="13"/>
  <c r="L61" i="13"/>
  <c r="K90" i="13"/>
  <c r="L50" i="13"/>
  <c r="M98" i="13"/>
  <c r="N58" i="13"/>
  <c r="L89" i="13"/>
  <c r="M49" i="13"/>
  <c r="K91" i="13"/>
  <c r="L51" i="13"/>
  <c r="J92" i="13"/>
  <c r="K52" i="13"/>
  <c r="J100" i="13"/>
  <c r="K60" i="13"/>
  <c r="K104" i="13"/>
  <c r="L64" i="13"/>
  <c r="K102" i="13"/>
  <c r="L62" i="13"/>
  <c r="K103" i="13"/>
  <c r="L63" i="13"/>
  <c r="J96" i="13"/>
  <c r="K56" i="13"/>
  <c r="J87" i="13"/>
  <c r="K47" i="13"/>
  <c r="J88" i="13"/>
  <c r="K48" i="13"/>
  <c r="K99" i="13"/>
  <c r="L59" i="13"/>
  <c r="M86" i="13"/>
  <c r="N46" i="13"/>
  <c r="J106" i="13"/>
  <c r="K66" i="13"/>
  <c r="K106" i="13" s="1"/>
  <c r="J67" i="12"/>
  <c r="H67" i="12"/>
  <c r="I67" i="12"/>
  <c r="G67" i="12"/>
  <c r="F67" i="12"/>
  <c r="A84" i="12"/>
  <c r="K67" i="12"/>
  <c r="E67" i="12"/>
  <c r="H20" i="12"/>
  <c r="B20" i="12"/>
  <c r="I20" i="12"/>
  <c r="A36" i="12"/>
  <c r="J20" i="12"/>
  <c r="K20" i="12"/>
  <c r="F20" i="12"/>
  <c r="C20" i="12"/>
  <c r="D20" i="12"/>
  <c r="E20" i="12"/>
  <c r="G20" i="12"/>
  <c r="I35" i="12"/>
  <c r="T35" i="12"/>
  <c r="S35" i="12"/>
  <c r="W35" i="12"/>
  <c r="V35" i="12"/>
  <c r="U35" i="12"/>
  <c r="D35" i="12"/>
  <c r="A52" i="12"/>
  <c r="A68" i="12" s="1"/>
  <c r="R35" i="12"/>
  <c r="Q35" i="12"/>
  <c r="G35" i="12"/>
  <c r="N35" i="12"/>
  <c r="N52" i="12" s="1"/>
  <c r="E35" i="12"/>
  <c r="P35" i="12"/>
  <c r="F35" i="12"/>
  <c r="H35" i="12"/>
  <c r="K35" i="12"/>
  <c r="J35" i="12"/>
  <c r="L54" i="13" l="1"/>
  <c r="K94" i="13"/>
  <c r="K85" i="13"/>
  <c r="L45" i="13"/>
  <c r="K97" i="13"/>
  <c r="L57" i="13"/>
  <c r="L93" i="13"/>
  <c r="M53" i="13"/>
  <c r="L95" i="13"/>
  <c r="M55" i="13"/>
  <c r="L101" i="13"/>
  <c r="M61" i="13"/>
  <c r="N86" i="13"/>
  <c r="O46" i="13"/>
  <c r="K88" i="13"/>
  <c r="L48" i="13"/>
  <c r="L103" i="13"/>
  <c r="M63" i="13"/>
  <c r="L102" i="13"/>
  <c r="M62" i="13"/>
  <c r="K100" i="13"/>
  <c r="L60" i="13"/>
  <c r="K92" i="13"/>
  <c r="L52" i="13"/>
  <c r="M89" i="13"/>
  <c r="N49" i="13"/>
  <c r="L99" i="13"/>
  <c r="M59" i="13"/>
  <c r="K87" i="13"/>
  <c r="L47" i="13"/>
  <c r="K96" i="13"/>
  <c r="L56" i="13"/>
  <c r="L104" i="13"/>
  <c r="M64" i="13"/>
  <c r="M104" i="13" s="1"/>
  <c r="L91" i="13"/>
  <c r="M51" i="13"/>
  <c r="N98" i="13"/>
  <c r="O58" i="13"/>
  <c r="L90" i="13"/>
  <c r="M50" i="13"/>
  <c r="H36" i="12"/>
  <c r="T37" i="12"/>
  <c r="K36" i="12"/>
  <c r="U37" i="12"/>
  <c r="D36" i="12"/>
  <c r="J36" i="12"/>
  <c r="C36" i="12"/>
  <c r="G36" i="12"/>
  <c r="R37" i="12"/>
  <c r="S37" i="12"/>
  <c r="F36" i="12"/>
  <c r="Q37" i="12"/>
  <c r="V37" i="12"/>
  <c r="P37" i="12"/>
  <c r="E36" i="12"/>
  <c r="I36" i="12"/>
  <c r="A53" i="12"/>
  <c r="A69" i="12" s="1"/>
  <c r="I68" i="12"/>
  <c r="K68" i="12"/>
  <c r="E68" i="12"/>
  <c r="G68" i="12"/>
  <c r="J68" i="12"/>
  <c r="H68" i="12"/>
  <c r="A85" i="12"/>
  <c r="F68" i="12"/>
  <c r="D68" i="12"/>
  <c r="L85" i="13" l="1"/>
  <c r="M45" i="13"/>
  <c r="L94" i="13"/>
  <c r="M54" i="13"/>
  <c r="M93" i="13"/>
  <c r="N53" i="13"/>
  <c r="L97" i="13"/>
  <c r="M57" i="13"/>
  <c r="M101" i="13"/>
  <c r="N61" i="13"/>
  <c r="M95" i="13"/>
  <c r="N55" i="13"/>
  <c r="L100" i="13"/>
  <c r="M60" i="13"/>
  <c r="L88" i="13"/>
  <c r="M48" i="13"/>
  <c r="M91" i="13"/>
  <c r="N51" i="13"/>
  <c r="O98" i="13"/>
  <c r="P58" i="13"/>
  <c r="L96" i="13"/>
  <c r="M56" i="13"/>
  <c r="M99" i="13"/>
  <c r="N59" i="13"/>
  <c r="N89" i="13"/>
  <c r="O49" i="13"/>
  <c r="L92" i="13"/>
  <c r="M52" i="13"/>
  <c r="M102" i="13"/>
  <c r="N62" i="13"/>
  <c r="O86" i="13"/>
  <c r="P46" i="13"/>
  <c r="M90" i="13"/>
  <c r="N50" i="13"/>
  <c r="L87" i="13"/>
  <c r="M47" i="13"/>
  <c r="M103" i="13"/>
  <c r="N63" i="13"/>
  <c r="N103" i="13" s="1"/>
  <c r="E69" i="12"/>
  <c r="G69" i="12"/>
  <c r="A86" i="12"/>
  <c r="H69" i="12"/>
  <c r="C69" i="12"/>
  <c r="D69" i="12"/>
  <c r="J69" i="12"/>
  <c r="I69" i="12"/>
  <c r="K69" i="12"/>
  <c r="F69" i="12"/>
  <c r="N45" i="13" l="1"/>
  <c r="M85" i="13"/>
  <c r="M94" i="13"/>
  <c r="N54" i="13"/>
  <c r="M97" i="13"/>
  <c r="N57" i="13"/>
  <c r="N93" i="13"/>
  <c r="O53" i="13"/>
  <c r="N95" i="13"/>
  <c r="O55" i="13"/>
  <c r="N101" i="13"/>
  <c r="O61" i="13"/>
  <c r="P86" i="13"/>
  <c r="Q46" i="13"/>
  <c r="N102" i="13"/>
  <c r="O62" i="13"/>
  <c r="O102" i="13" s="1"/>
  <c r="O89" i="13"/>
  <c r="P49" i="13"/>
  <c r="M96" i="13"/>
  <c r="N56" i="13"/>
  <c r="M88" i="13"/>
  <c r="N48" i="13"/>
  <c r="M87" i="13"/>
  <c r="N47" i="13"/>
  <c r="N90" i="13"/>
  <c r="O50" i="13"/>
  <c r="M92" i="13"/>
  <c r="N52" i="13"/>
  <c r="N99" i="13"/>
  <c r="O59" i="13"/>
  <c r="P98" i="13"/>
  <c r="Q58" i="13"/>
  <c r="N91" i="13"/>
  <c r="O51" i="13"/>
  <c r="M100" i="13"/>
  <c r="N60" i="13"/>
  <c r="E15" i="14"/>
  <c r="O54" i="13" l="1"/>
  <c r="N94" i="13"/>
  <c r="O45" i="13"/>
  <c r="N85" i="13"/>
  <c r="O93" i="13"/>
  <c r="P53" i="13"/>
  <c r="N97" i="13"/>
  <c r="O57" i="13"/>
  <c r="O95" i="13"/>
  <c r="P55" i="13"/>
  <c r="O101" i="13"/>
  <c r="P61" i="13"/>
  <c r="P101" i="13" s="1"/>
  <c r="Q98" i="13"/>
  <c r="R58" i="13"/>
  <c r="N92" i="13"/>
  <c r="O52" i="13"/>
  <c r="O90" i="13"/>
  <c r="P50" i="13"/>
  <c r="P89" i="13"/>
  <c r="Q49" i="13"/>
  <c r="Q86" i="13"/>
  <c r="R46" i="13"/>
  <c r="N100" i="13"/>
  <c r="O60" i="13"/>
  <c r="O91" i="13"/>
  <c r="P51" i="13"/>
  <c r="N87" i="13"/>
  <c r="O47" i="13"/>
  <c r="N96" i="13"/>
  <c r="O56" i="13"/>
  <c r="O99" i="13"/>
  <c r="P59" i="13"/>
  <c r="N88" i="13"/>
  <c r="O48" i="13"/>
  <c r="AB61" i="26"/>
  <c r="AB60" i="26"/>
  <c r="O85" i="13" l="1"/>
  <c r="P45" i="13"/>
  <c r="O94" i="13"/>
  <c r="P54" i="13"/>
  <c r="O97" i="13"/>
  <c r="P57" i="13"/>
  <c r="P93" i="13"/>
  <c r="Q53" i="13"/>
  <c r="P95" i="13"/>
  <c r="Q55" i="13"/>
  <c r="R86" i="13"/>
  <c r="S46" i="13"/>
  <c r="P99" i="13"/>
  <c r="Q59" i="13"/>
  <c r="P91" i="13"/>
  <c r="Q51" i="13"/>
  <c r="Q89" i="13"/>
  <c r="R49" i="13"/>
  <c r="P90" i="13"/>
  <c r="Q50" i="13"/>
  <c r="S58" i="13"/>
  <c r="S98" i="13" s="1"/>
  <c r="R98" i="13"/>
  <c r="O88" i="13"/>
  <c r="P48" i="13"/>
  <c r="O96" i="13"/>
  <c r="P56" i="13"/>
  <c r="O100" i="13"/>
  <c r="P60" i="13"/>
  <c r="O92" i="13"/>
  <c r="P52" i="13"/>
  <c r="O87" i="13"/>
  <c r="P47"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85" i="13"/>
  <c r="P94" i="13" l="1"/>
  <c r="Q54" i="13"/>
  <c r="P85" i="13"/>
  <c r="Q45" i="13"/>
  <c r="Q93" i="13"/>
  <c r="R53" i="13"/>
  <c r="P97" i="13"/>
  <c r="Q57" i="13"/>
  <c r="Q95" i="13"/>
  <c r="R55" i="13"/>
  <c r="P100" i="13"/>
  <c r="Q60" i="13"/>
  <c r="Q100" i="13" s="1"/>
  <c r="Q91" i="13"/>
  <c r="R51" i="13"/>
  <c r="S86" i="13"/>
  <c r="T46" i="13"/>
  <c r="P88" i="13"/>
  <c r="Q48" i="13"/>
  <c r="P87" i="13"/>
  <c r="Q47" i="13"/>
  <c r="P96" i="13"/>
  <c r="Q56" i="13"/>
  <c r="R89" i="13"/>
  <c r="S49" i="13"/>
  <c r="Q99" i="13"/>
  <c r="R59" i="13"/>
  <c r="R99" i="13" s="1"/>
  <c r="Q90" i="13"/>
  <c r="R50" i="13"/>
  <c r="P92" i="13"/>
  <c r="Q52" i="13"/>
  <c r="E51" i="26"/>
  <c r="A66" i="26"/>
  <c r="A65" i="26"/>
  <c r="A64" i="26"/>
  <c r="A63" i="26"/>
  <c r="A62" i="26"/>
  <c r="A61" i="26"/>
  <c r="A60" i="26"/>
  <c r="A59" i="26"/>
  <c r="A58" i="26"/>
  <c r="A57" i="26"/>
  <c r="M51" i="26"/>
  <c r="L51" i="26"/>
  <c r="K51" i="26"/>
  <c r="J51" i="26"/>
  <c r="I51" i="26"/>
  <c r="H51" i="26"/>
  <c r="G51" i="26"/>
  <c r="F51" i="26"/>
  <c r="A33" i="26"/>
  <c r="A32" i="26"/>
  <c r="A31" i="26"/>
  <c r="A30" i="26"/>
  <c r="A29" i="26"/>
  <c r="A28" i="26"/>
  <c r="A27" i="26"/>
  <c r="A26" i="26"/>
  <c r="A25" i="26"/>
  <c r="A24" i="26"/>
  <c r="Q85" i="13" l="1"/>
  <c r="R45" i="13"/>
  <c r="Q94" i="13"/>
  <c r="R54" i="13"/>
  <c r="Q97" i="13"/>
  <c r="R57" i="13"/>
  <c r="R93" i="13"/>
  <c r="S53" i="13"/>
  <c r="R95" i="13"/>
  <c r="S55" i="13"/>
  <c r="R90" i="13"/>
  <c r="S50" i="13"/>
  <c r="Q96" i="13"/>
  <c r="R56" i="13"/>
  <c r="Q88" i="13"/>
  <c r="R48" i="13"/>
  <c r="T86" i="13"/>
  <c r="U46" i="13"/>
  <c r="Q92" i="13"/>
  <c r="R52" i="13"/>
  <c r="T49" i="13"/>
  <c r="S89" i="13"/>
  <c r="Q87" i="13"/>
  <c r="R47" i="13"/>
  <c r="R91" i="13"/>
  <c r="S51" i="13"/>
  <c r="O53" i="12"/>
  <c r="R85" i="13" l="1"/>
  <c r="S45" i="13"/>
  <c r="S54" i="13"/>
  <c r="R94" i="13"/>
  <c r="S93" i="13"/>
  <c r="T53" i="13"/>
  <c r="S57" i="13"/>
  <c r="R97" i="13"/>
  <c r="T55" i="13"/>
  <c r="S95" i="13"/>
  <c r="R96" i="13"/>
  <c r="S56" i="13"/>
  <c r="R92" i="13"/>
  <c r="S52" i="13"/>
  <c r="R88" i="13"/>
  <c r="S48" i="13"/>
  <c r="T50" i="13"/>
  <c r="S90" i="13"/>
  <c r="R87" i="13"/>
  <c r="S47" i="13"/>
  <c r="U86" i="13"/>
  <c r="V46" i="13"/>
  <c r="S91" i="13"/>
  <c r="T51" i="13"/>
  <c r="U49" i="13"/>
  <c r="T89" i="13"/>
  <c r="K53" i="12"/>
  <c r="J53" i="12"/>
  <c r="I53" i="12"/>
  <c r="H53" i="12"/>
  <c r="G53" i="12"/>
  <c r="F53" i="12"/>
  <c r="E53" i="12"/>
  <c r="D53" i="12"/>
  <c r="C53" i="12"/>
  <c r="K52" i="12"/>
  <c r="J52" i="12"/>
  <c r="I52" i="12"/>
  <c r="H52" i="12"/>
  <c r="G52" i="12"/>
  <c r="F52" i="12"/>
  <c r="E52" i="12"/>
  <c r="D52" i="12"/>
  <c r="K51" i="12"/>
  <c r="J51" i="12"/>
  <c r="I51" i="12"/>
  <c r="H51" i="12"/>
  <c r="F51" i="12"/>
  <c r="E51" i="12"/>
  <c r="K50" i="12"/>
  <c r="J50" i="12"/>
  <c r="I50" i="12"/>
  <c r="H50" i="12"/>
  <c r="G50" i="12"/>
  <c r="F50" i="12"/>
  <c r="K49" i="12"/>
  <c r="J49" i="12"/>
  <c r="I49" i="12"/>
  <c r="H49" i="12"/>
  <c r="G49" i="12"/>
  <c r="K48" i="12"/>
  <c r="J48" i="12"/>
  <c r="I48" i="12"/>
  <c r="H48" i="12"/>
  <c r="K47" i="12"/>
  <c r="J47" i="12"/>
  <c r="I47" i="12"/>
  <c r="K46" i="12"/>
  <c r="J46" i="12"/>
  <c r="K45" i="12"/>
  <c r="S94" i="13" l="1"/>
  <c r="T54" i="13"/>
  <c r="S85" i="13"/>
  <c r="T45" i="13"/>
  <c r="S97" i="13"/>
  <c r="T57" i="13"/>
  <c r="T97" i="13" s="1"/>
  <c r="U53" i="13"/>
  <c r="T93" i="13"/>
  <c r="U55" i="13"/>
  <c r="T95" i="13"/>
  <c r="U89" i="13"/>
  <c r="V49" i="13"/>
  <c r="S87" i="13"/>
  <c r="T47" i="13"/>
  <c r="T91" i="13"/>
  <c r="U51" i="13"/>
  <c r="W46" i="13"/>
  <c r="W86" i="13" s="1"/>
  <c r="V86" i="13"/>
  <c r="S92" i="13"/>
  <c r="T52" i="13"/>
  <c r="T56" i="13"/>
  <c r="S96" i="13"/>
  <c r="T48" i="13"/>
  <c r="S88" i="13"/>
  <c r="U50" i="13"/>
  <c r="T90" i="13"/>
  <c r="E14" i="11"/>
  <c r="E13" i="11"/>
  <c r="E12" i="11"/>
  <c r="E11" i="11"/>
  <c r="E10" i="11"/>
  <c r="E9" i="11"/>
  <c r="E8" i="11"/>
  <c r="E7" i="11"/>
  <c r="E6" i="11"/>
  <c r="E5" i="11"/>
  <c r="E4" i="11"/>
  <c r="U54" i="13" l="1"/>
  <c r="T94" i="13"/>
  <c r="U45" i="13"/>
  <c r="T85" i="13"/>
  <c r="V53" i="13"/>
  <c r="U93" i="13"/>
  <c r="U95" i="13"/>
  <c r="V55" i="13"/>
  <c r="V95" i="13" s="1"/>
  <c r="V50" i="13"/>
  <c r="U90" i="13"/>
  <c r="U56" i="13"/>
  <c r="U96" i="13" s="1"/>
  <c r="T96" i="13"/>
  <c r="T87" i="13"/>
  <c r="U47" i="13"/>
  <c r="T92" i="13"/>
  <c r="U52" i="13"/>
  <c r="V51" i="13"/>
  <c r="U91" i="13"/>
  <c r="W49" i="13"/>
  <c r="W89" i="13" s="1"/>
  <c r="V89" i="13"/>
  <c r="T88" i="13"/>
  <c r="U48" i="13"/>
  <c r="F14" i="11"/>
  <c r="F13" i="11"/>
  <c r="F12" i="11"/>
  <c r="F11" i="11"/>
  <c r="F10" i="11"/>
  <c r="F9" i="11"/>
  <c r="F8" i="11"/>
  <c r="F7" i="11"/>
  <c r="F6" i="11"/>
  <c r="F5" i="11"/>
  <c r="F4" i="11"/>
  <c r="U85" i="13" l="1"/>
  <c r="V45" i="13"/>
  <c r="V54" i="13"/>
  <c r="U94" i="13"/>
  <c r="T1322" i="9"/>
  <c r="T498" i="9"/>
  <c r="T1518" i="9"/>
  <c r="T1374" i="9"/>
  <c r="T1514" i="9"/>
  <c r="T1358" i="9"/>
  <c r="T1205" i="9"/>
  <c r="T1371" i="9"/>
  <c r="T1307" i="9"/>
  <c r="T987" i="9"/>
  <c r="T683" i="9"/>
  <c r="T539" i="9"/>
  <c r="T523" i="9"/>
  <c r="T507" i="9"/>
  <c r="T411" i="9"/>
  <c r="T1545" i="9"/>
  <c r="T1587" i="9"/>
  <c r="T1141" i="9"/>
  <c r="T1687" i="9"/>
  <c r="T1586" i="9"/>
  <c r="T1375" i="9"/>
  <c r="T1531" i="9"/>
  <c r="T1399" i="9"/>
  <c r="T1367" i="9"/>
  <c r="T1143" i="9"/>
  <c r="T1015" i="9"/>
  <c r="T535" i="9"/>
  <c r="T519" i="9"/>
  <c r="T1183" i="9"/>
  <c r="T1509" i="9"/>
  <c r="T1511" i="9"/>
  <c r="T1559" i="9"/>
  <c r="T1515" i="9"/>
  <c r="T1387" i="9"/>
  <c r="T1355" i="9"/>
  <c r="T1227" i="9"/>
  <c r="T1011" i="9"/>
  <c r="T963" i="9"/>
  <c r="T547" i="9"/>
  <c r="T531" i="9"/>
  <c r="T499" i="9"/>
  <c r="T483" i="9"/>
  <c r="T467" i="9"/>
  <c r="T1517" i="9"/>
  <c r="T1691" i="9"/>
  <c r="T655" i="9"/>
  <c r="T527" i="9"/>
  <c r="T1347" i="9"/>
  <c r="T1209" i="9"/>
  <c r="T1713" i="9"/>
  <c r="T1389" i="9"/>
  <c r="T1005" i="9"/>
  <c r="T969" i="9"/>
  <c r="T569" i="9"/>
  <c r="T537" i="9"/>
  <c r="T521" i="9"/>
  <c r="T959" i="9"/>
  <c r="T575" i="9"/>
  <c r="T163" i="9"/>
  <c r="T99" i="9"/>
  <c r="T83" i="9"/>
  <c r="T51" i="9"/>
  <c r="T1337" i="9"/>
  <c r="T1346" i="9"/>
  <c r="T574" i="9"/>
  <c r="T458" i="9"/>
  <c r="T1426" i="9"/>
  <c r="T495" i="9"/>
  <c r="T1653" i="9"/>
  <c r="T1561" i="9"/>
  <c r="T1315" i="9"/>
  <c r="T990" i="9"/>
  <c r="T926" i="9"/>
  <c r="T746" i="9"/>
  <c r="T682" i="9"/>
  <c r="T570" i="9"/>
  <c r="T538" i="9"/>
  <c r="T506" i="9"/>
  <c r="T885" i="9"/>
  <c r="T629" i="9"/>
  <c r="T565" i="9"/>
  <c r="T549" i="9"/>
  <c r="T533" i="9"/>
  <c r="T469" i="9"/>
  <c r="T389" i="9"/>
  <c r="T1351" i="9"/>
  <c r="T127" i="9"/>
  <c r="T1145" i="9"/>
  <c r="T1066" i="9"/>
  <c r="T1510" i="9"/>
  <c r="T975" i="9"/>
  <c r="T463" i="9"/>
  <c r="T1725" i="9"/>
  <c r="T1378" i="9"/>
  <c r="T478" i="9"/>
  <c r="T90" i="9"/>
  <c r="T1154" i="9"/>
  <c r="T462" i="9"/>
  <c r="T186" i="9"/>
  <c r="T122" i="9"/>
  <c r="T1345" i="9"/>
  <c r="T993" i="9"/>
  <c r="T123" i="9"/>
  <c r="T43" i="9"/>
  <c r="T1318" i="9"/>
  <c r="T794" i="9"/>
  <c r="T1398" i="9"/>
  <c r="T702" i="9"/>
  <c r="T1383" i="9"/>
  <c r="T1379" i="9"/>
  <c r="T522" i="9"/>
  <c r="T1142" i="9"/>
  <c r="T1341" i="9"/>
  <c r="T989" i="9"/>
  <c r="T701" i="9"/>
  <c r="T573" i="9"/>
  <c r="T557" i="9"/>
  <c r="T509" i="9"/>
  <c r="T461" i="9"/>
  <c r="T991" i="9"/>
  <c r="T479" i="9"/>
  <c r="T39" i="9"/>
  <c r="T1018" i="9"/>
  <c r="T74" i="9"/>
  <c r="T1382" i="9"/>
  <c r="T906" i="9"/>
  <c r="T142" i="9"/>
  <c r="T481" i="9"/>
  <c r="T1363" i="9"/>
  <c r="T1350" i="9"/>
  <c r="T1693" i="9"/>
  <c r="T1535" i="9"/>
  <c r="T1353" i="9"/>
  <c r="T482" i="9"/>
  <c r="T1666" i="9"/>
  <c r="T997" i="9"/>
  <c r="T1652" i="9"/>
  <c r="T1588" i="9"/>
  <c r="T545" i="9"/>
  <c r="T497" i="9"/>
  <c r="T1150" i="9"/>
  <c r="T450" i="9"/>
  <c r="T473" i="9"/>
  <c r="T277" i="9"/>
  <c r="T197" i="9"/>
  <c r="T69" i="9"/>
  <c r="T37" i="9"/>
  <c r="T26" i="9"/>
  <c r="T70" i="9"/>
  <c r="T1728" i="9"/>
  <c r="T1568" i="9"/>
  <c r="T1392" i="9"/>
  <c r="T1376" i="9"/>
  <c r="T449" i="9"/>
  <c r="T106" i="9"/>
  <c r="T1594" i="9"/>
  <c r="T550" i="9"/>
  <c r="T561" i="9"/>
  <c r="T489" i="9"/>
  <c r="T289" i="9"/>
  <c r="T209" i="9"/>
  <c r="T177" i="9"/>
  <c r="T65" i="9"/>
  <c r="T994" i="9"/>
  <c r="T1724" i="9"/>
  <c r="T1606" i="9"/>
  <c r="T62" i="9"/>
  <c r="T42" i="9"/>
  <c r="T1711" i="9"/>
  <c r="T529" i="9"/>
  <c r="T125" i="9"/>
  <c r="T77" i="9"/>
  <c r="T61" i="9"/>
  <c r="T45" i="9"/>
  <c r="T1721" i="9"/>
  <c r="T546" i="9"/>
  <c r="T490" i="9"/>
  <c r="T1361" i="9"/>
  <c r="T1688" i="9"/>
  <c r="T1592" i="9"/>
  <c r="T1544" i="9"/>
  <c r="T1512" i="9"/>
  <c r="T1496" i="9"/>
  <c r="T1352" i="9"/>
  <c r="T1340" i="9"/>
  <c r="T1144" i="9"/>
  <c r="T1048" i="9"/>
  <c r="T968" i="9"/>
  <c r="T952" i="9"/>
  <c r="T936" i="9"/>
  <c r="T920" i="9"/>
  <c r="T744" i="9"/>
  <c r="T680" i="9"/>
  <c r="T552" i="9"/>
  <c r="T536" i="9"/>
  <c r="T504" i="9"/>
  <c r="T472" i="9"/>
  <c r="T456" i="9"/>
  <c r="T312" i="9"/>
  <c r="T1508" i="9"/>
  <c r="T1380" i="9"/>
  <c r="T1690" i="9"/>
  <c r="T438" i="9"/>
  <c r="T1140" i="9"/>
  <c r="T1028" i="9"/>
  <c r="T996" i="9"/>
  <c r="T964" i="9"/>
  <c r="T852" i="9"/>
  <c r="T580" i="9"/>
  <c r="T548" i="9"/>
  <c r="T484" i="9"/>
  <c r="T468" i="9"/>
  <c r="T420" i="9"/>
  <c r="T356" i="9"/>
  <c r="T52" i="9"/>
  <c r="T36" i="9"/>
  <c r="T1541" i="9"/>
  <c r="T1146" i="9"/>
  <c r="T1500" i="9"/>
  <c r="T1372" i="9"/>
  <c r="T1152" i="9"/>
  <c r="T992" i="9"/>
  <c r="T976" i="9"/>
  <c r="T512" i="9"/>
  <c r="T496" i="9"/>
  <c r="T480" i="9"/>
  <c r="T464" i="9"/>
  <c r="T1540" i="9"/>
  <c r="T1348" i="9"/>
  <c r="T1647" i="9"/>
  <c r="T1519" i="9"/>
  <c r="T1381" i="9"/>
  <c r="T566" i="9"/>
  <c r="T310" i="9"/>
  <c r="T1516" i="9"/>
  <c r="T1388" i="9"/>
  <c r="T1244" i="9"/>
  <c r="T1132" i="9"/>
  <c r="T988" i="9"/>
  <c r="T876" i="9"/>
  <c r="T684" i="9"/>
  <c r="T572" i="9"/>
  <c r="T556" i="9"/>
  <c r="T524" i="9"/>
  <c r="T476" i="9"/>
  <c r="T460" i="9"/>
  <c r="T428" i="9"/>
  <c r="T236" i="9"/>
  <c r="T188" i="9"/>
  <c r="T1556" i="9"/>
  <c r="T1359" i="9"/>
  <c r="T502" i="9"/>
  <c r="T64" i="9"/>
  <c r="T1527" i="9"/>
  <c r="T1391" i="9"/>
  <c r="T1513" i="9"/>
  <c r="T1370" i="9"/>
  <c r="T1349" i="9"/>
  <c r="T56" i="9"/>
  <c r="T1485" i="9"/>
  <c r="T96" i="9"/>
  <c r="T88" i="9"/>
  <c r="T1555" i="9"/>
  <c r="T706" i="9"/>
  <c r="T1214" i="9"/>
  <c r="T1166" i="9"/>
  <c r="T1403" i="9"/>
  <c r="T1211" i="9"/>
  <c r="T642" i="9"/>
  <c r="T1431" i="9"/>
  <c r="T855" i="9"/>
  <c r="T807" i="9"/>
  <c r="T759" i="9"/>
  <c r="T711" i="9"/>
  <c r="T631" i="9"/>
  <c r="T583" i="9"/>
  <c r="T594" i="9"/>
  <c r="T1237" i="9"/>
  <c r="T1283" i="9"/>
  <c r="T1247" i="9"/>
  <c r="T803" i="9"/>
  <c r="T643" i="9"/>
  <c r="T1309" i="9"/>
  <c r="T953" i="9"/>
  <c r="T761" i="9"/>
  <c r="T703" i="9"/>
  <c r="T751" i="9"/>
  <c r="T810" i="9"/>
  <c r="T1165" i="9"/>
  <c r="T965" i="9"/>
  <c r="T853" i="9"/>
  <c r="T805" i="9"/>
  <c r="T799" i="9"/>
  <c r="T801" i="9"/>
  <c r="T1715" i="9"/>
  <c r="T1287" i="9"/>
  <c r="T798" i="9"/>
  <c r="T1333" i="9"/>
  <c r="T1229" i="9"/>
  <c r="T1286" i="9"/>
  <c r="T797" i="9"/>
  <c r="T765" i="9"/>
  <c r="T637" i="9"/>
  <c r="T1219" i="9"/>
  <c r="T802" i="9"/>
  <c r="T1282" i="9"/>
  <c r="T806" i="9"/>
  <c r="T1329" i="9"/>
  <c r="T1246" i="9"/>
  <c r="T710" i="9"/>
  <c r="T593" i="9"/>
  <c r="T1185" i="9"/>
  <c r="T1328" i="9"/>
  <c r="T641" i="9"/>
  <c r="T1501" i="9"/>
  <c r="T1298" i="9"/>
  <c r="T1330" i="9"/>
  <c r="T1265" i="9"/>
  <c r="T1486" i="9"/>
  <c r="T1297" i="9"/>
  <c r="T1528" i="9"/>
  <c r="T1432" i="9"/>
  <c r="T1288" i="9"/>
  <c r="T1404" i="9"/>
  <c r="T808" i="9"/>
  <c r="T760" i="9"/>
  <c r="T632" i="9"/>
  <c r="T600" i="9"/>
  <c r="T1316" i="9"/>
  <c r="T916" i="9"/>
  <c r="T804" i="9"/>
  <c r="T1402" i="9"/>
  <c r="T886" i="9"/>
  <c r="T1308" i="9"/>
  <c r="T1232" i="9"/>
  <c r="T800" i="9"/>
  <c r="T704" i="9"/>
  <c r="T656" i="9"/>
  <c r="T1284" i="9"/>
  <c r="T1210" i="9"/>
  <c r="T822" i="9"/>
  <c r="T1228" i="9"/>
  <c r="T1212" i="9"/>
  <c r="T796" i="9"/>
  <c r="T636" i="9"/>
  <c r="T982" i="9"/>
  <c r="T854" i="9"/>
  <c r="T1285" i="9"/>
  <c r="T1263" i="9"/>
  <c r="T242" i="9"/>
  <c r="T1673" i="9"/>
  <c r="T1679" i="9"/>
  <c r="T1651" i="9"/>
  <c r="T1637" i="9"/>
  <c r="T1611" i="9"/>
  <c r="T1051" i="9"/>
  <c r="T1034" i="9"/>
  <c r="T146" i="9"/>
  <c r="T1674" i="9"/>
  <c r="T1623" i="9"/>
  <c r="T1618" i="9"/>
  <c r="T1582" i="9"/>
  <c r="T1645" i="9"/>
  <c r="T1595" i="9"/>
  <c r="T1079" i="9"/>
  <c r="T407" i="9"/>
  <c r="T375" i="9"/>
  <c r="T338" i="9"/>
  <c r="T1102" i="9"/>
  <c r="T1581" i="9"/>
  <c r="T1609" i="9"/>
  <c r="T306" i="9"/>
  <c r="T1087" i="9"/>
  <c r="T1579" i="9"/>
  <c r="T1099" i="9"/>
  <c r="T274" i="9"/>
  <c r="T1045" i="9"/>
  <c r="T198" i="9"/>
  <c r="T399" i="9"/>
  <c r="T1575" i="9"/>
  <c r="T1126" i="9"/>
  <c r="T1030" i="9"/>
  <c r="T1101" i="9"/>
  <c r="T339" i="9"/>
  <c r="T323" i="9"/>
  <c r="T291" i="9"/>
  <c r="T275" i="9"/>
  <c r="T259" i="9"/>
  <c r="T243" i="9"/>
  <c r="T227" i="9"/>
  <c r="T1094" i="9"/>
  <c r="T1563" i="9"/>
  <c r="T46" i="9"/>
  <c r="T1730" i="9"/>
  <c r="T357" i="9"/>
  <c r="T1095" i="9"/>
  <c r="T371" i="9"/>
  <c r="T335" i="9"/>
  <c r="T319" i="9"/>
  <c r="T271" i="9"/>
  <c r="T255" i="9"/>
  <c r="T223" i="9"/>
  <c r="T207" i="9"/>
  <c r="T191" i="9"/>
  <c r="T175" i="9"/>
  <c r="T1639" i="9"/>
  <c r="T266" i="9"/>
  <c r="T234" i="9"/>
  <c r="T202" i="9"/>
  <c r="T358" i="9"/>
  <c r="T1631" i="9"/>
  <c r="T398" i="9"/>
  <c r="T346" i="9"/>
  <c r="T314" i="9"/>
  <c r="T282" i="9"/>
  <c r="T250" i="9"/>
  <c r="T218" i="9"/>
  <c r="T1098" i="9"/>
  <c r="T230" i="9"/>
  <c r="T1627" i="9"/>
  <c r="T331" i="9"/>
  <c r="T315" i="9"/>
  <c r="T299" i="9"/>
  <c r="T283" i="9"/>
  <c r="T235" i="9"/>
  <c r="T219" i="9"/>
  <c r="T1670" i="9"/>
  <c r="T1091" i="9"/>
  <c r="T254" i="9"/>
  <c r="T222" i="9"/>
  <c r="T397" i="9"/>
  <c r="T363" i="9"/>
  <c r="T327" i="9"/>
  <c r="T311" i="9"/>
  <c r="T279" i="9"/>
  <c r="T263" i="9"/>
  <c r="T247" i="9"/>
  <c r="T1589" i="9"/>
  <c r="T1110" i="9"/>
  <c r="T1654" i="9"/>
  <c r="T366" i="9"/>
  <c r="T302" i="9"/>
  <c r="T270" i="9"/>
  <c r="T238" i="9"/>
  <c r="T206" i="9"/>
  <c r="T174" i="9"/>
  <c r="T262" i="9"/>
  <c r="T329" i="9"/>
  <c r="T313" i="9"/>
  <c r="T297" i="9"/>
  <c r="T281" i="9"/>
  <c r="T265" i="9"/>
  <c r="T249" i="9"/>
  <c r="T233" i="9"/>
  <c r="T217" i="9"/>
  <c r="T201" i="9"/>
  <c r="T185" i="9"/>
  <c r="T1621" i="9"/>
  <c r="T226" i="9"/>
  <c r="T1106" i="9"/>
  <c r="T1037" i="9"/>
  <c r="T1684" i="9"/>
  <c r="T1620" i="9"/>
  <c r="T369" i="9"/>
  <c r="T194" i="9"/>
  <c r="T330" i="9"/>
  <c r="T1630" i="9"/>
  <c r="T1683" i="9"/>
  <c r="T325" i="9"/>
  <c r="T309" i="9"/>
  <c r="T293" i="9"/>
  <c r="T261" i="9"/>
  <c r="T245" i="9"/>
  <c r="T229" i="9"/>
  <c r="T213" i="9"/>
  <c r="T165" i="9"/>
  <c r="T149" i="9"/>
  <c r="T1671" i="9"/>
  <c r="T1033" i="9"/>
  <c r="T1602" i="9"/>
  <c r="T1601" i="9"/>
  <c r="T1680" i="9"/>
  <c r="T1648" i="9"/>
  <c r="T1632" i="9"/>
  <c r="T1616" i="9"/>
  <c r="T1600" i="9"/>
  <c r="T385" i="9"/>
  <c r="T321" i="9"/>
  <c r="T257" i="9"/>
  <c r="T241" i="9"/>
  <c r="T225" i="9"/>
  <c r="T49" i="9"/>
  <c r="T1105" i="9"/>
  <c r="T1676" i="9"/>
  <c r="T1644" i="9"/>
  <c r="T1628" i="9"/>
  <c r="T1612" i="9"/>
  <c r="T1596" i="9"/>
  <c r="T401" i="9"/>
  <c r="T337" i="9"/>
  <c r="T1097" i="9"/>
  <c r="T322" i="9"/>
  <c r="T317" i="9"/>
  <c r="T301" i="9"/>
  <c r="T285" i="9"/>
  <c r="T269" i="9"/>
  <c r="T253" i="9"/>
  <c r="T221" i="9"/>
  <c r="T205" i="9"/>
  <c r="T189" i="9"/>
  <c r="T1635" i="9"/>
  <c r="T290" i="9"/>
  <c r="T294" i="9"/>
  <c r="T1633" i="9"/>
  <c r="T1085" i="9"/>
  <c r="T1672" i="9"/>
  <c r="T1656" i="9"/>
  <c r="T1640" i="9"/>
  <c r="T1624" i="9"/>
  <c r="T1096" i="9"/>
  <c r="T1080" i="9"/>
  <c r="T1032" i="9"/>
  <c r="T376" i="9"/>
  <c r="T344" i="9"/>
  <c r="T328" i="9"/>
  <c r="T264" i="9"/>
  <c r="T232" i="9"/>
  <c r="T216" i="9"/>
  <c r="T200" i="9"/>
  <c r="T1613" i="9"/>
  <c r="T182" i="9"/>
  <c r="T1092" i="9"/>
  <c r="T404" i="9"/>
  <c r="T372" i="9"/>
  <c r="T340" i="9"/>
  <c r="T292" i="9"/>
  <c r="T276" i="9"/>
  <c r="T260" i="9"/>
  <c r="T212" i="9"/>
  <c r="T196" i="9"/>
  <c r="T164" i="9"/>
  <c r="T1677" i="9"/>
  <c r="T374" i="9"/>
  <c r="T1104" i="9"/>
  <c r="T400" i="9"/>
  <c r="T384" i="9"/>
  <c r="T352" i="9"/>
  <c r="T320" i="9"/>
  <c r="T288" i="9"/>
  <c r="T256" i="9"/>
  <c r="T240" i="9"/>
  <c r="T224" i="9"/>
  <c r="T1577" i="9"/>
  <c r="T1039" i="9"/>
  <c r="T1100" i="9"/>
  <c r="T1084" i="9"/>
  <c r="T1036" i="9"/>
  <c r="T396" i="9"/>
  <c r="T380" i="9"/>
  <c r="T332" i="9"/>
  <c r="T300" i="9"/>
  <c r="T284" i="9"/>
  <c r="T252" i="9"/>
  <c r="T156" i="9"/>
  <c r="T140" i="9"/>
  <c r="T1634" i="9"/>
  <c r="T246" i="9"/>
  <c r="T192" i="9"/>
  <c r="T342" i="9"/>
  <c r="T184" i="9"/>
  <c r="T1619" i="9"/>
  <c r="T1114" i="9"/>
  <c r="T1093" i="9"/>
  <c r="T214" i="9"/>
  <c r="T1678" i="9"/>
  <c r="T1538" i="9"/>
  <c r="T1522" i="9"/>
  <c r="T210" i="9"/>
  <c r="T178" i="9"/>
  <c r="T1055" i="9"/>
  <c r="T1675" i="9"/>
  <c r="T1547" i="9"/>
  <c r="T1083" i="9"/>
  <c r="T1019" i="9"/>
  <c r="T459" i="9"/>
  <c r="T395" i="9"/>
  <c r="T1650" i="9"/>
  <c r="T402" i="9"/>
  <c r="T1614" i="9"/>
  <c r="T1573" i="9"/>
  <c r="T114" i="9"/>
  <c r="T1550" i="9"/>
  <c r="T1551" i="9"/>
  <c r="T1077" i="9"/>
  <c r="T1585" i="9"/>
  <c r="T391" i="9"/>
  <c r="T359" i="9"/>
  <c r="T1610" i="9"/>
  <c r="T98" i="9"/>
  <c r="T1658" i="9"/>
  <c r="T1597" i="9"/>
  <c r="T1027" i="9"/>
  <c r="T1574" i="9"/>
  <c r="T1554" i="9"/>
  <c r="T82" i="9"/>
  <c r="T1578" i="9"/>
  <c r="T1070" i="9"/>
  <c r="T326" i="9"/>
  <c r="T1057" i="9"/>
  <c r="T1643" i="9"/>
  <c r="T1067" i="9"/>
  <c r="T1035" i="9"/>
  <c r="T1546" i="9"/>
  <c r="T1054" i="9"/>
  <c r="T1615" i="9"/>
  <c r="T1023" i="9"/>
  <c r="T1063" i="9"/>
  <c r="T1667" i="9"/>
  <c r="T1059" i="9"/>
  <c r="T985" i="9"/>
  <c r="T1357" i="9"/>
  <c r="T1159" i="9"/>
  <c r="T307" i="9"/>
  <c r="T211" i="9"/>
  <c r="T195" i="9"/>
  <c r="T179" i="9"/>
  <c r="T147" i="9"/>
  <c r="T131" i="9"/>
  <c r="T67" i="9"/>
  <c r="T1661" i="9"/>
  <c r="T1567" i="9"/>
  <c r="T1049" i="9"/>
  <c r="T394" i="9"/>
  <c r="T158" i="9"/>
  <c r="T126" i="9"/>
  <c r="T1074" i="9"/>
  <c r="T410" i="9"/>
  <c r="T78" i="9"/>
  <c r="T1089" i="9"/>
  <c r="T303" i="9"/>
  <c r="T287" i="9"/>
  <c r="T239" i="9"/>
  <c r="T159" i="9"/>
  <c r="T143" i="9"/>
  <c r="T111" i="9"/>
  <c r="T95" i="9"/>
  <c r="T79" i="9"/>
  <c r="T63" i="9"/>
  <c r="T47" i="9"/>
  <c r="T31" i="9"/>
  <c r="T1539" i="9"/>
  <c r="T350" i="9"/>
  <c r="T387" i="9"/>
  <c r="T1026" i="9"/>
  <c r="T154" i="9"/>
  <c r="T1021" i="9"/>
  <c r="T1031" i="9"/>
  <c r="T267" i="9"/>
  <c r="T251" i="9"/>
  <c r="T203" i="9"/>
  <c r="T187" i="9"/>
  <c r="T171" i="9"/>
  <c r="T155" i="9"/>
  <c r="T139" i="9"/>
  <c r="T107" i="9"/>
  <c r="T91" i="9"/>
  <c r="T75" i="9"/>
  <c r="T102" i="9"/>
  <c r="T1603" i="9"/>
  <c r="T286" i="9"/>
  <c r="T190" i="9"/>
  <c r="T138" i="9"/>
  <c r="T1046" i="9"/>
  <c r="T1009" i="9"/>
  <c r="T333" i="9"/>
  <c r="T231" i="9"/>
  <c r="T215" i="9"/>
  <c r="T199" i="9"/>
  <c r="T183" i="9"/>
  <c r="T167" i="9"/>
  <c r="T151" i="9"/>
  <c r="T135" i="9"/>
  <c r="T119" i="9"/>
  <c r="T103" i="9"/>
  <c r="T87" i="9"/>
  <c r="T1369" i="9"/>
  <c r="T1081" i="9"/>
  <c r="T1590" i="9"/>
  <c r="T986" i="9"/>
  <c r="T1542" i="9"/>
  <c r="T30" i="9"/>
  <c r="T1629" i="9"/>
  <c r="T1543" i="9"/>
  <c r="T1075" i="9"/>
  <c r="T1078" i="9"/>
  <c r="T393" i="9"/>
  <c r="T169" i="9"/>
  <c r="T153" i="9"/>
  <c r="T137" i="9"/>
  <c r="T121" i="9"/>
  <c r="T105" i="9"/>
  <c r="T73" i="9"/>
  <c r="T1065" i="9"/>
  <c r="T94" i="9"/>
  <c r="T58" i="9"/>
  <c r="T166" i="9"/>
  <c r="T1617" i="9"/>
  <c r="T1537" i="9"/>
  <c r="T1073" i="9"/>
  <c r="T1668" i="9"/>
  <c r="T1636" i="9"/>
  <c r="T1604" i="9"/>
  <c r="T1607" i="9"/>
  <c r="T1622" i="9"/>
  <c r="T134" i="9"/>
  <c r="T1626" i="9"/>
  <c r="T181" i="9"/>
  <c r="T133" i="9"/>
  <c r="T117" i="9"/>
  <c r="T101" i="9"/>
  <c r="T85" i="9"/>
  <c r="T53" i="9"/>
  <c r="T162" i="9"/>
  <c r="T1665" i="9"/>
  <c r="T1521" i="9"/>
  <c r="T1069" i="9"/>
  <c r="T1025" i="9"/>
  <c r="T1664" i="9"/>
  <c r="T1584" i="9"/>
  <c r="T1552" i="9"/>
  <c r="T1536" i="9"/>
  <c r="T1520" i="9"/>
  <c r="T1344" i="9"/>
  <c r="T1663" i="9"/>
  <c r="T1593" i="9"/>
  <c r="T1022" i="9"/>
  <c r="T386" i="9"/>
  <c r="T130" i="9"/>
  <c r="T1062" i="9"/>
  <c r="T305" i="9"/>
  <c r="T273" i="9"/>
  <c r="T193" i="9"/>
  <c r="T161" i="9"/>
  <c r="T145" i="9"/>
  <c r="T129" i="9"/>
  <c r="T113" i="9"/>
  <c r="T97" i="9"/>
  <c r="T81" i="9"/>
  <c r="T1571" i="9"/>
  <c r="T1566" i="9"/>
  <c r="T1649" i="9"/>
  <c r="T1569" i="9"/>
  <c r="T1017" i="9"/>
  <c r="T1660" i="9"/>
  <c r="T1580" i="9"/>
  <c r="T1727" i="9"/>
  <c r="T1394" i="9"/>
  <c r="T1090" i="9"/>
  <c r="T390" i="9"/>
  <c r="T1598" i="9"/>
  <c r="T173" i="9"/>
  <c r="T157" i="9"/>
  <c r="T141" i="9"/>
  <c r="T93" i="9"/>
  <c r="T1557" i="9"/>
  <c r="T1385" i="9"/>
  <c r="T1086" i="9"/>
  <c r="T170" i="9"/>
  <c r="T1553" i="9"/>
  <c r="T1608" i="9"/>
  <c r="T1576" i="9"/>
  <c r="T1560" i="9"/>
  <c r="T1384" i="9"/>
  <c r="T1064" i="9"/>
  <c r="T1016" i="9"/>
  <c r="T392" i="9"/>
  <c r="T296" i="9"/>
  <c r="T248" i="9"/>
  <c r="T168" i="9"/>
  <c r="T1572" i="9"/>
  <c r="T1549" i="9"/>
  <c r="T1082" i="9"/>
  <c r="T1548" i="9"/>
  <c r="T1356" i="9"/>
  <c r="T1076" i="9"/>
  <c r="T1060" i="9"/>
  <c r="T516" i="9"/>
  <c r="T388" i="9"/>
  <c r="T244" i="9"/>
  <c r="T228" i="9"/>
  <c r="T180" i="9"/>
  <c r="T148" i="9"/>
  <c r="T116" i="9"/>
  <c r="T100" i="9"/>
  <c r="T84" i="9"/>
  <c r="T68" i="9"/>
  <c r="T1605" i="9"/>
  <c r="T1669" i="9"/>
  <c r="T1534" i="9"/>
  <c r="T1061" i="9"/>
  <c r="T1564" i="9"/>
  <c r="T1088" i="9"/>
  <c r="T1072" i="9"/>
  <c r="T1056" i="9"/>
  <c r="T1024" i="9"/>
  <c r="T272" i="9"/>
  <c r="T208" i="9"/>
  <c r="T176" i="9"/>
  <c r="T1726" i="9"/>
  <c r="T1068" i="9"/>
  <c r="T1020" i="9"/>
  <c r="T348" i="9"/>
  <c r="T204" i="9"/>
  <c r="T172" i="9"/>
  <c r="T124" i="9"/>
  <c r="T92" i="9"/>
  <c r="T76" i="9"/>
  <c r="T60" i="9"/>
  <c r="T28" i="9"/>
  <c r="T1641" i="9"/>
  <c r="T1570" i="9"/>
  <c r="T1562" i="9"/>
  <c r="T1103" i="9"/>
  <c r="T128" i="9"/>
  <c r="T86" i="9"/>
  <c r="T104" i="9"/>
  <c r="T1029" i="9"/>
  <c r="T144" i="9"/>
  <c r="T120" i="9"/>
  <c r="T160" i="9"/>
  <c r="T1662" i="9"/>
  <c r="T136" i="9"/>
  <c r="T72" i="9"/>
  <c r="T278" i="9"/>
  <c r="T112" i="9"/>
  <c r="T1583" i="9"/>
  <c r="T152" i="9"/>
  <c r="T1071" i="9"/>
  <c r="T150" i="9"/>
  <c r="T1038" i="9"/>
  <c r="T1119" i="9"/>
  <c r="T1682" i="9"/>
  <c r="T1646" i="9"/>
  <c r="T1115" i="9"/>
  <c r="T370" i="9"/>
  <c r="T1118" i="9"/>
  <c r="T1111" i="9"/>
  <c r="T1047" i="9"/>
  <c r="T343" i="9"/>
  <c r="T1109" i="9"/>
  <c r="T403" i="9"/>
  <c r="T379" i="9"/>
  <c r="T362" i="9"/>
  <c r="T355" i="9"/>
  <c r="T405" i="9"/>
  <c r="T373" i="9"/>
  <c r="T341" i="9"/>
  <c r="T298" i="9"/>
  <c r="T351" i="9"/>
  <c r="T1123" i="9"/>
  <c r="T367" i="9"/>
  <c r="T1113" i="9"/>
  <c r="T1122" i="9"/>
  <c r="T383" i="9"/>
  <c r="T347" i="9"/>
  <c r="T318" i="9"/>
  <c r="T381" i="9"/>
  <c r="T365" i="9"/>
  <c r="T349" i="9"/>
  <c r="T295" i="9"/>
  <c r="T334" i="9"/>
  <c r="T353" i="9"/>
  <c r="T258" i="9"/>
  <c r="T1681" i="9"/>
  <c r="T1121" i="9"/>
  <c r="T1043" i="9"/>
  <c r="T382" i="9"/>
  <c r="T409" i="9"/>
  <c r="T345" i="9"/>
  <c r="T1117" i="9"/>
  <c r="T361" i="9"/>
  <c r="T1657" i="9"/>
  <c r="T1107" i="9"/>
  <c r="T354" i="9"/>
  <c r="T378" i="9"/>
  <c r="T1053" i="9"/>
  <c r="T1638" i="9"/>
  <c r="T1655" i="9"/>
  <c r="T377" i="9"/>
  <c r="T1041" i="9"/>
  <c r="T1112" i="9"/>
  <c r="T408" i="9"/>
  <c r="T360" i="9"/>
  <c r="T280" i="9"/>
  <c r="T1124" i="9"/>
  <c r="T1108" i="9"/>
  <c r="T1044" i="9"/>
  <c r="T324" i="9"/>
  <c r="T308" i="9"/>
  <c r="T1120" i="9"/>
  <c r="T368" i="9"/>
  <c r="T336" i="9"/>
  <c r="T304" i="9"/>
  <c r="T1125" i="9"/>
  <c r="T1052" i="9"/>
  <c r="T364" i="9"/>
  <c r="T316" i="9"/>
  <c r="T1050" i="9"/>
  <c r="T406" i="9"/>
  <c r="T18" i="9"/>
  <c r="T1162" i="9"/>
  <c r="T1435" i="9"/>
  <c r="T827" i="9"/>
  <c r="T635" i="9"/>
  <c r="T1710" i="9"/>
  <c r="T818" i="9"/>
  <c r="T1215" i="9"/>
  <c r="T1303" i="9"/>
  <c r="T983" i="9"/>
  <c r="T887" i="9"/>
  <c r="T823" i="9"/>
  <c r="T663" i="9"/>
  <c r="T599" i="9"/>
  <c r="T978" i="9"/>
  <c r="T1454" i="9"/>
  <c r="T754" i="9"/>
  <c r="T1233" i="9"/>
  <c r="T1291" i="9"/>
  <c r="T1259" i="9"/>
  <c r="T1163" i="9"/>
  <c r="T835" i="9"/>
  <c r="T819" i="9"/>
  <c r="T707" i="9"/>
  <c r="T722" i="9"/>
  <c r="T1230" i="9"/>
  <c r="T666" i="9"/>
  <c r="T825" i="9"/>
  <c r="T665" i="9"/>
  <c r="T601" i="9"/>
  <c r="T831" i="9"/>
  <c r="T606" i="9"/>
  <c r="T1255" i="9"/>
  <c r="T1177" i="9"/>
  <c r="T1314" i="9"/>
  <c r="T1453" i="9"/>
  <c r="T821" i="9"/>
  <c r="T725" i="9"/>
  <c r="T661" i="9"/>
  <c r="T613" i="9"/>
  <c r="T597" i="9"/>
  <c r="T581" i="9"/>
  <c r="T1523" i="9"/>
  <c r="T966" i="9"/>
  <c r="T15" i="9"/>
  <c r="T430" i="9"/>
  <c r="T977" i="9"/>
  <c r="T913" i="9"/>
  <c r="T753" i="9"/>
  <c r="T895" i="9"/>
  <c r="T767" i="9"/>
  <c r="T1218" i="9"/>
  <c r="T910" i="9"/>
  <c r="T826" i="9"/>
  <c r="T1190" i="9"/>
  <c r="T830" i="9"/>
  <c r="T1503" i="9"/>
  <c r="T909" i="9"/>
  <c r="T893" i="9"/>
  <c r="T717" i="9"/>
  <c r="T605" i="9"/>
  <c r="T1223" i="9"/>
  <c r="T1695" i="9"/>
  <c r="T634" i="9"/>
  <c r="T1217" i="9"/>
  <c r="T1716" i="9"/>
  <c r="T433" i="9"/>
  <c r="T1507" i="9"/>
  <c r="T1427" i="9"/>
  <c r="T1331" i="9"/>
  <c r="T1235" i="9"/>
  <c r="T1270" i="9"/>
  <c r="T614" i="9"/>
  <c r="T1277" i="9"/>
  <c r="T1712" i="9"/>
  <c r="T1504" i="9"/>
  <c r="T1258" i="9"/>
  <c r="T1406" i="9"/>
  <c r="T1299" i="9"/>
  <c r="T1194" i="9"/>
  <c r="T1505" i="9"/>
  <c r="T1313" i="9"/>
  <c r="T1130" i="9"/>
  <c r="T1720" i="9"/>
  <c r="T1304" i="9"/>
  <c r="T1224" i="9"/>
  <c r="T824" i="9"/>
  <c r="T664" i="9"/>
  <c r="T584" i="9"/>
  <c r="T1292" i="9"/>
  <c r="T1188" i="9"/>
  <c r="T836" i="9"/>
  <c r="T756" i="9"/>
  <c r="T20" i="9"/>
  <c r="T1524" i="9"/>
  <c r="T1332" i="9"/>
  <c r="T768" i="9"/>
  <c r="T640" i="9"/>
  <c r="T608" i="9"/>
  <c r="T1260" i="9"/>
  <c r="T892" i="9"/>
  <c r="T860" i="9"/>
  <c r="T828" i="9"/>
  <c r="T764" i="9"/>
  <c r="T1300" i="9"/>
  <c r="T1506" i="9"/>
  <c r="T598" i="9"/>
  <c r="T1455" i="9"/>
  <c r="T1434" i="9"/>
  <c r="T24" i="9"/>
  <c r="T662" i="9"/>
  <c r="T914" i="9"/>
  <c r="T690" i="9"/>
  <c r="T1269" i="9"/>
  <c r="T1301" i="9"/>
  <c r="T838" i="9"/>
  <c r="T1293" i="9"/>
  <c r="T891" i="9"/>
  <c r="T843" i="9"/>
  <c r="T667" i="9"/>
  <c r="T603" i="9"/>
  <c r="T443" i="9"/>
  <c r="T1490" i="9"/>
  <c r="T1279" i="9"/>
  <c r="T646" i="9"/>
  <c r="T1310" i="9"/>
  <c r="T1133" i="9"/>
  <c r="T1271" i="9"/>
  <c r="T967" i="9"/>
  <c r="T839" i="9"/>
  <c r="T647" i="9"/>
  <c r="T1294" i="9"/>
  <c r="T1438" i="9"/>
  <c r="T1707" i="9"/>
  <c r="T1195" i="9"/>
  <c r="T947" i="9"/>
  <c r="T915" i="9"/>
  <c r="T867" i="9"/>
  <c r="T851" i="9"/>
  <c r="T771" i="9"/>
  <c r="T755" i="9"/>
  <c r="T675" i="9"/>
  <c r="T611" i="9"/>
  <c r="T563" i="9"/>
  <c r="T451" i="9"/>
  <c r="T419" i="9"/>
  <c r="T930" i="9"/>
  <c r="T911" i="9"/>
  <c r="T783" i="9"/>
  <c r="T846" i="9"/>
  <c r="T793" i="9"/>
  <c r="T729" i="9"/>
  <c r="T585" i="9"/>
  <c r="T1222" i="9"/>
  <c r="T1481" i="9"/>
  <c r="T1006" i="9"/>
  <c r="T890" i="9"/>
  <c r="T894" i="9"/>
  <c r="T862" i="9"/>
  <c r="T602" i="9"/>
  <c r="T1261" i="9"/>
  <c r="T917" i="9"/>
  <c r="T837" i="9"/>
  <c r="T773" i="9"/>
  <c r="T709" i="9"/>
  <c r="T693" i="9"/>
  <c r="T453" i="9"/>
  <c r="T421" i="9"/>
  <c r="T1305" i="9"/>
  <c r="T1334" i="9"/>
  <c r="T686" i="9"/>
  <c r="T1495" i="9"/>
  <c r="T1447" i="9"/>
  <c r="T847" i="9"/>
  <c r="T719" i="9"/>
  <c r="T1273" i="9"/>
  <c r="T446" i="9"/>
  <c r="T1302" i="9"/>
  <c r="T929" i="9"/>
  <c r="T865" i="9"/>
  <c r="T849" i="9"/>
  <c r="T833" i="9"/>
  <c r="T737" i="9"/>
  <c r="T639" i="9"/>
  <c r="T1401" i="9"/>
  <c r="T670" i="9"/>
  <c r="T998" i="9"/>
  <c r="T1127" i="9"/>
  <c r="T687" i="9"/>
  <c r="T1170" i="9"/>
  <c r="T586" i="9"/>
  <c r="T861" i="9"/>
  <c r="T845" i="9"/>
  <c r="T829" i="9"/>
  <c r="T685" i="9"/>
  <c r="T669" i="9"/>
  <c r="T413" i="9"/>
  <c r="T1499" i="9"/>
  <c r="T607" i="9"/>
  <c r="T1497" i="9"/>
  <c r="T1234" i="9"/>
  <c r="T970" i="9"/>
  <c r="T834" i="9"/>
  <c r="T514" i="9"/>
  <c r="T1281" i="9"/>
  <c r="T1700" i="9"/>
  <c r="T1685" i="9"/>
  <c r="T770" i="9"/>
  <c r="T1202" i="9"/>
  <c r="T418" i="9"/>
  <c r="T1696" i="9"/>
  <c r="T1488" i="9"/>
  <c r="T1296" i="9"/>
  <c r="T1280" i="9"/>
  <c r="T1686" i="9"/>
  <c r="T1169" i="9"/>
  <c r="T1708" i="9"/>
  <c r="T609" i="9"/>
  <c r="T1193" i="9"/>
  <c r="T1278" i="9"/>
  <c r="T934" i="9"/>
  <c r="T1697" i="9"/>
  <c r="T1489" i="9"/>
  <c r="T1437" i="9"/>
  <c r="T1448" i="9"/>
  <c r="T1320" i="9"/>
  <c r="T1272" i="9"/>
  <c r="T1192" i="9"/>
  <c r="T888" i="9"/>
  <c r="T776" i="9"/>
  <c r="T616" i="9"/>
  <c r="T1491" i="9"/>
  <c r="T1220" i="9"/>
  <c r="T1172" i="9"/>
  <c r="T772" i="9"/>
  <c r="T724" i="9"/>
  <c r="T644" i="9"/>
  <c r="T1248" i="9"/>
  <c r="T960" i="9"/>
  <c r="T880" i="9"/>
  <c r="T832" i="9"/>
  <c r="T720" i="9"/>
  <c r="T688" i="9"/>
  <c r="T672" i="9"/>
  <c r="T1295" i="9"/>
  <c r="T1452" i="9"/>
  <c r="T1196" i="9"/>
  <c r="T1164" i="9"/>
  <c r="T668" i="9"/>
  <c r="T588" i="9"/>
  <c r="T412" i="9"/>
  <c r="T1445" i="9"/>
  <c r="T1189" i="9"/>
  <c r="T1221" i="9"/>
  <c r="T16" i="9"/>
  <c r="T918" i="9"/>
  <c r="T1306" i="9"/>
  <c r="T1135" i="9"/>
  <c r="T1226" i="9"/>
  <c r="T882" i="9"/>
  <c r="T1198" i="9"/>
  <c r="T1311" i="9"/>
  <c r="T866" i="9"/>
  <c r="T1173" i="9"/>
  <c r="T1343" i="9"/>
  <c r="T13" i="9"/>
  <c r="T1275" i="9"/>
  <c r="T1243" i="9"/>
  <c r="T1179" i="9"/>
  <c r="T1147" i="9"/>
  <c r="T923" i="9"/>
  <c r="T779" i="9"/>
  <c r="T731" i="9"/>
  <c r="T571" i="9"/>
  <c r="T850" i="9"/>
  <c r="T1134" i="9"/>
  <c r="T1010" i="9"/>
  <c r="T626" i="9"/>
  <c r="T1439" i="9"/>
  <c r="T1723" i="9"/>
  <c r="T1467" i="9"/>
  <c r="T1335" i="9"/>
  <c r="T1239" i="9"/>
  <c r="T1175" i="9"/>
  <c r="T919" i="9"/>
  <c r="T903" i="9"/>
  <c r="T871" i="9"/>
  <c r="T775" i="9"/>
  <c r="T727" i="9"/>
  <c r="T615" i="9"/>
  <c r="T455" i="9"/>
  <c r="T439" i="9"/>
  <c r="T1466" i="9"/>
  <c r="T786" i="9"/>
  <c r="T1462" i="9"/>
  <c r="T1458" i="9"/>
  <c r="T1262" i="9"/>
  <c r="T1709" i="9"/>
  <c r="T1459" i="9"/>
  <c r="T1451" i="9"/>
  <c r="T1323" i="9"/>
  <c r="T931" i="9"/>
  <c r="T739" i="9"/>
  <c r="T723" i="9"/>
  <c r="T627" i="9"/>
  <c r="T1450" i="9"/>
  <c r="T1701" i="9"/>
  <c r="T1197" i="9"/>
  <c r="T937" i="9"/>
  <c r="T921" i="9"/>
  <c r="T905" i="9"/>
  <c r="T873" i="9"/>
  <c r="T841" i="9"/>
  <c r="T777" i="9"/>
  <c r="T745" i="9"/>
  <c r="T697" i="9"/>
  <c r="T617" i="9"/>
  <c r="T447" i="9"/>
  <c r="T19" i="9"/>
  <c r="T1469" i="9"/>
  <c r="T1446" i="9"/>
  <c r="T426" i="9"/>
  <c r="T582" i="9"/>
  <c r="T1461" i="9"/>
  <c r="T1238" i="9"/>
  <c r="T974" i="9"/>
  <c r="T958" i="9"/>
  <c r="T778" i="9"/>
  <c r="T1001" i="9"/>
  <c r="T981" i="9"/>
  <c r="T949" i="9"/>
  <c r="T757" i="9"/>
  <c r="T485" i="9"/>
  <c r="T671" i="9"/>
  <c r="T415" i="9"/>
  <c r="T1206" i="9"/>
  <c r="T1533" i="9"/>
  <c r="T414" i="9"/>
  <c r="T1058" i="9"/>
  <c r="T961" i="9"/>
  <c r="T897" i="9"/>
  <c r="T730" i="9"/>
  <c r="T734" i="9"/>
  <c r="T590" i="9"/>
  <c r="T559" i="9"/>
  <c r="T1241" i="9"/>
  <c r="T1393" i="9"/>
  <c r="T1201" i="9"/>
  <c r="T781" i="9"/>
  <c r="T733" i="9"/>
  <c r="T621" i="9"/>
  <c r="T589" i="9"/>
  <c r="T477" i="9"/>
  <c r="T445" i="9"/>
  <c r="T429" i="9"/>
  <c r="T863" i="9"/>
  <c r="T735" i="9"/>
  <c r="T954" i="9"/>
  <c r="T938" i="9"/>
  <c r="T874" i="9"/>
  <c r="T774" i="9"/>
  <c r="T417" i="9"/>
  <c r="T1471" i="9"/>
  <c r="T922" i="9"/>
  <c r="T625" i="9"/>
  <c r="T41" i="9"/>
  <c r="T1465" i="9"/>
  <c r="T1257" i="9"/>
  <c r="T1174" i="9"/>
  <c r="T1473" i="9"/>
  <c r="T1529" i="9"/>
  <c r="T1449" i="9"/>
  <c r="T1342" i="9"/>
  <c r="T842" i="9"/>
  <c r="T21" i="9"/>
  <c r="T738" i="9"/>
  <c r="T1457" i="9"/>
  <c r="T1325" i="9"/>
  <c r="T1472" i="9"/>
  <c r="T1456" i="9"/>
  <c r="T1360" i="9"/>
  <c r="T1312" i="9"/>
  <c r="T1225" i="9"/>
  <c r="T1129" i="9"/>
  <c r="T1430" i="9"/>
  <c r="T650" i="9"/>
  <c r="T689" i="9"/>
  <c r="T33" i="9"/>
  <c r="T1493" i="9"/>
  <c r="T1203" i="9"/>
  <c r="T610" i="9"/>
  <c r="T1565" i="9"/>
  <c r="T1530" i="9"/>
  <c r="T441" i="9"/>
  <c r="T109" i="9"/>
  <c r="T898" i="9"/>
  <c r="T1474" i="9"/>
  <c r="T1249" i="9"/>
  <c r="T1704" i="9"/>
  <c r="T1480" i="9"/>
  <c r="T1464" i="9"/>
  <c r="T1400" i="9"/>
  <c r="T1336" i="9"/>
  <c r="T1532" i="9"/>
  <c r="T1468" i="9"/>
  <c r="T1276" i="9"/>
  <c r="T1240" i="9"/>
  <c r="T1208" i="9"/>
  <c r="T1176" i="9"/>
  <c r="T1000" i="9"/>
  <c r="T696" i="9"/>
  <c r="T648" i="9"/>
  <c r="T568" i="9"/>
  <c r="T440" i="9"/>
  <c r="T1236" i="9"/>
  <c r="T948" i="9"/>
  <c r="T452" i="9"/>
  <c r="T1460" i="9"/>
  <c r="T1591" i="9"/>
  <c r="T1317" i="9"/>
  <c r="T630" i="9"/>
  <c r="T1200" i="9"/>
  <c r="T1008" i="9"/>
  <c r="T896" i="9"/>
  <c r="T864" i="9"/>
  <c r="T848" i="9"/>
  <c r="T736" i="9"/>
  <c r="T576" i="9"/>
  <c r="T560" i="9"/>
  <c r="T448" i="9"/>
  <c r="T432" i="9"/>
  <c r="T1463" i="9"/>
  <c r="T1324" i="9"/>
  <c r="T1116" i="9"/>
  <c r="T940" i="9"/>
  <c r="T924" i="9"/>
  <c r="T844" i="9"/>
  <c r="T780" i="9"/>
  <c r="T732" i="9"/>
  <c r="T620" i="9"/>
  <c r="T268" i="9"/>
  <c r="T44" i="9"/>
  <c r="T1492" i="9"/>
  <c r="T1364" i="9"/>
  <c r="T1274" i="9"/>
  <c r="T758" i="9"/>
  <c r="T1199" i="9"/>
  <c r="T1498" i="9"/>
  <c r="T1178" i="9"/>
  <c r="T1157" i="9"/>
  <c r="T1698" i="9"/>
  <c r="T32" i="9"/>
  <c r="T1470" i="9"/>
  <c r="T726" i="9"/>
  <c r="T658" i="9"/>
  <c r="T434" i="9"/>
  <c r="T1487" i="9"/>
  <c r="T907" i="9"/>
  <c r="T859" i="9"/>
  <c r="T811" i="9"/>
  <c r="T763" i="9"/>
  <c r="T715" i="9"/>
  <c r="T587" i="9"/>
  <c r="T1245" i="9"/>
  <c r="T1659" i="9"/>
  <c r="T1207" i="9"/>
  <c r="T999" i="9"/>
  <c r="T951" i="9"/>
  <c r="T1266" i="9"/>
  <c r="T659" i="9"/>
  <c r="T595" i="9"/>
  <c r="T435" i="9"/>
  <c r="T1706" i="9"/>
  <c r="T1319" i="9"/>
  <c r="T1250" i="9"/>
  <c r="T814" i="9"/>
  <c r="T750" i="9"/>
  <c r="T718" i="9"/>
  <c r="T638" i="9"/>
  <c r="T889" i="9"/>
  <c r="T857" i="9"/>
  <c r="T809" i="9"/>
  <c r="T713" i="9"/>
  <c r="T633" i="9"/>
  <c r="T1187" i="9"/>
  <c r="T1007" i="9"/>
  <c r="T714" i="9"/>
  <c r="T645" i="9"/>
  <c r="T1502" i="9"/>
  <c r="T1191" i="9"/>
  <c r="T1433" i="9"/>
  <c r="T1405" i="9"/>
  <c r="T1213" i="9"/>
  <c r="T817" i="9"/>
  <c r="T769" i="9"/>
  <c r="T721" i="9"/>
  <c r="T705" i="9"/>
  <c r="T1717" i="9"/>
  <c r="T1251" i="9"/>
  <c r="T762" i="9"/>
  <c r="T766" i="9"/>
  <c r="T815" i="9"/>
  <c r="T1703" i="9"/>
  <c r="T973" i="9"/>
  <c r="T813" i="9"/>
  <c r="T1699" i="9"/>
  <c r="T1267" i="9"/>
  <c r="T1171" i="9"/>
  <c r="T25" i="9"/>
  <c r="T1161" i="9"/>
  <c r="T1290" i="9"/>
  <c r="T858" i="9"/>
  <c r="T1289" i="9"/>
  <c r="T1494" i="9"/>
  <c r="T14" i="9"/>
  <c r="T657" i="9"/>
  <c r="T1254" i="9"/>
  <c r="T1186" i="9"/>
  <c r="T1722" i="9"/>
  <c r="T1160" i="9"/>
  <c r="T856" i="9"/>
  <c r="T840" i="9"/>
  <c r="T728" i="9"/>
  <c r="T712" i="9"/>
  <c r="T1253" i="9"/>
  <c r="T1167" i="9"/>
  <c r="T1252" i="9"/>
  <c r="T820" i="9"/>
  <c r="T708" i="9"/>
  <c r="T692" i="9"/>
  <c r="T660" i="9"/>
  <c r="T612" i="9"/>
  <c r="T596" i="9"/>
  <c r="T1268" i="9"/>
  <c r="T1231" i="9"/>
  <c r="T1436" i="9"/>
  <c r="T1216" i="9"/>
  <c r="T1168" i="9"/>
  <c r="T816" i="9"/>
  <c r="T752" i="9"/>
  <c r="T972" i="9"/>
  <c r="T908" i="9"/>
  <c r="T812" i="9"/>
  <c r="T716" i="9"/>
  <c r="T604" i="9"/>
  <c r="T1705" i="9"/>
  <c r="T34" i="9"/>
  <c r="T1390" i="9"/>
  <c r="T466" i="9"/>
  <c r="T1407" i="9"/>
  <c r="T1714" i="9"/>
  <c r="T742" i="9"/>
  <c r="T1729" i="9"/>
  <c r="T1181" i="9"/>
  <c r="T1483" i="9"/>
  <c r="T1339" i="9"/>
  <c r="T1003" i="9"/>
  <c r="T971" i="9"/>
  <c r="T955" i="9"/>
  <c r="T939" i="9"/>
  <c r="T875" i="9"/>
  <c r="T795" i="9"/>
  <c r="T747" i="9"/>
  <c r="T699" i="9"/>
  <c r="T651" i="9"/>
  <c r="T619" i="9"/>
  <c r="T555" i="9"/>
  <c r="T491" i="9"/>
  <c r="T475" i="9"/>
  <c r="T427" i="9"/>
  <c r="T1326" i="9"/>
  <c r="T1482" i="9"/>
  <c r="T1365" i="9"/>
  <c r="T518" i="9"/>
  <c r="T935" i="9"/>
  <c r="T791" i="9"/>
  <c r="T743" i="9"/>
  <c r="T695" i="9"/>
  <c r="T679" i="9"/>
  <c r="T567" i="9"/>
  <c r="T551" i="9"/>
  <c r="T503" i="9"/>
  <c r="T487" i="9"/>
  <c r="T471" i="9"/>
  <c r="T423" i="9"/>
  <c r="T1151" i="9"/>
  <c r="T422" i="9"/>
  <c r="T1689" i="9"/>
  <c r="T1411" i="9"/>
  <c r="T1155" i="9"/>
  <c r="T1362" i="9"/>
  <c r="T946" i="9"/>
  <c r="T562" i="9"/>
  <c r="T1421" i="9"/>
  <c r="T1419" i="9"/>
  <c r="T1131" i="9"/>
  <c r="T995" i="9"/>
  <c r="T979" i="9"/>
  <c r="T899" i="9"/>
  <c r="T883" i="9"/>
  <c r="T787" i="9"/>
  <c r="T691" i="9"/>
  <c r="T579" i="9"/>
  <c r="T515" i="9"/>
  <c r="T530" i="9"/>
  <c r="T50" i="9"/>
  <c r="T1422" i="9"/>
  <c r="T1397" i="9"/>
  <c r="T1475" i="9"/>
  <c r="T782" i="9"/>
  <c r="T678" i="9"/>
  <c r="T681" i="9"/>
  <c r="T649" i="9"/>
  <c r="T553" i="9"/>
  <c r="T1429" i="9"/>
  <c r="T1415" i="9"/>
  <c r="T115" i="9"/>
  <c r="T35" i="9"/>
  <c r="T542" i="9"/>
  <c r="T510" i="9"/>
  <c r="T1526" i="9"/>
  <c r="T474" i="9"/>
  <c r="T442" i="9"/>
  <c r="T879" i="9"/>
  <c r="T623" i="9"/>
  <c r="T942" i="9"/>
  <c r="T454" i="9"/>
  <c r="T1373" i="9"/>
  <c r="T933" i="9"/>
  <c r="T901" i="9"/>
  <c r="T869" i="9"/>
  <c r="T789" i="9"/>
  <c r="T741" i="9"/>
  <c r="T677" i="9"/>
  <c r="T517" i="9"/>
  <c r="T501" i="9"/>
  <c r="T437" i="9"/>
  <c r="T927" i="9"/>
  <c r="T543" i="9"/>
  <c r="T1443" i="9"/>
  <c r="T654" i="9"/>
  <c r="T1414" i="9"/>
  <c r="T38" i="9"/>
  <c r="T591" i="9"/>
  <c r="T1153" i="9"/>
  <c r="T945" i="9"/>
  <c r="T881" i="9"/>
  <c r="T785" i="9"/>
  <c r="T511" i="9"/>
  <c r="T59" i="9"/>
  <c r="T27" i="9"/>
  <c r="T1625" i="9"/>
  <c r="T1525" i="9"/>
  <c r="T1718" i="9"/>
  <c r="T878" i="9"/>
  <c r="T618" i="9"/>
  <c r="T558" i="9"/>
  <c r="T526" i="9"/>
  <c r="T943" i="9"/>
  <c r="T431" i="9"/>
  <c r="T1478" i="9"/>
  <c r="T622" i="9"/>
  <c r="T554" i="9"/>
  <c r="T1442" i="9"/>
  <c r="T902" i="9"/>
  <c r="T1149" i="9"/>
  <c r="T957" i="9"/>
  <c r="T941" i="9"/>
  <c r="T925" i="9"/>
  <c r="T877" i="9"/>
  <c r="T749" i="9"/>
  <c r="T653" i="9"/>
  <c r="T541" i="9"/>
  <c r="T525" i="9"/>
  <c r="T493" i="9"/>
  <c r="T71" i="9"/>
  <c r="T55" i="9"/>
  <c r="T23" i="9"/>
  <c r="T1702" i="9"/>
  <c r="T1002" i="9"/>
  <c r="T110" i="9"/>
  <c r="T577" i="9"/>
  <c r="T1558" i="9"/>
  <c r="T1694" i="9"/>
  <c r="T1418" i="9"/>
  <c r="T870" i="9"/>
  <c r="T457" i="9"/>
  <c r="T89" i="9"/>
  <c r="T57" i="9"/>
  <c r="T1410" i="9"/>
  <c r="T1042" i="9"/>
  <c r="T1386" i="9"/>
  <c r="T1425" i="9"/>
  <c r="T673" i="9"/>
  <c r="T1138" i="9"/>
  <c r="T1354" i="9"/>
  <c r="T1599" i="9"/>
  <c r="T1139" i="9"/>
  <c r="T1409" i="9"/>
  <c r="T1440" i="9"/>
  <c r="T1424" i="9"/>
  <c r="T1408" i="9"/>
  <c r="T1264" i="9"/>
  <c r="T513" i="9"/>
  <c r="T1417" i="9"/>
  <c r="T1321" i="9"/>
  <c r="T674" i="9"/>
  <c r="T1366" i="9"/>
  <c r="T494" i="9"/>
  <c r="T425" i="9"/>
  <c r="T17" i="9"/>
  <c r="T66" i="9"/>
  <c r="T1158" i="9"/>
  <c r="T486" i="9"/>
  <c r="T1441" i="9"/>
  <c r="T1377" i="9"/>
  <c r="T1692" i="9"/>
  <c r="T465" i="9"/>
  <c r="T1642" i="9"/>
  <c r="T1395" i="9"/>
  <c r="T962" i="9"/>
  <c r="T578" i="9"/>
  <c r="T505" i="9"/>
  <c r="T237" i="9"/>
  <c r="T29" i="9"/>
  <c r="T1479" i="9"/>
  <c r="T1182" i="9"/>
  <c r="T698" i="9"/>
  <c r="T1137" i="9"/>
  <c r="T1013" i="9"/>
  <c r="T1416" i="9"/>
  <c r="T1368" i="9"/>
  <c r="T1256" i="9"/>
  <c r="T1128" i="9"/>
  <c r="T984" i="9"/>
  <c r="T904" i="9"/>
  <c r="T872" i="9"/>
  <c r="T792" i="9"/>
  <c r="T520" i="9"/>
  <c r="T488" i="9"/>
  <c r="T424" i="9"/>
  <c r="T1444" i="9"/>
  <c r="T1423" i="9"/>
  <c r="T1338" i="9"/>
  <c r="T950" i="9"/>
  <c r="T694" i="9"/>
  <c r="T1484" i="9"/>
  <c r="T1420" i="9"/>
  <c r="T1204" i="9"/>
  <c r="T1156" i="9"/>
  <c r="T1012" i="9"/>
  <c r="T980" i="9"/>
  <c r="T932" i="9"/>
  <c r="T900" i="9"/>
  <c r="T884" i="9"/>
  <c r="T868" i="9"/>
  <c r="T788" i="9"/>
  <c r="T740" i="9"/>
  <c r="T676" i="9"/>
  <c r="T628" i="9"/>
  <c r="T564" i="9"/>
  <c r="T532" i="9"/>
  <c r="T500" i="9"/>
  <c r="T436" i="9"/>
  <c r="T132" i="9"/>
  <c r="T1396" i="9"/>
  <c r="T1477" i="9"/>
  <c r="T118" i="9"/>
  <c r="T1184" i="9"/>
  <c r="T1136" i="9"/>
  <c r="T1040" i="9"/>
  <c r="T944" i="9"/>
  <c r="T928" i="9"/>
  <c r="T912" i="9"/>
  <c r="T784" i="9"/>
  <c r="T624" i="9"/>
  <c r="T592" i="9"/>
  <c r="T544" i="9"/>
  <c r="T528" i="9"/>
  <c r="T416" i="9"/>
  <c r="T1476" i="9"/>
  <c r="T1412" i="9"/>
  <c r="T54" i="9"/>
  <c r="T1180" i="9"/>
  <c r="T1148" i="9"/>
  <c r="T1004" i="9"/>
  <c r="T956" i="9"/>
  <c r="T748" i="9"/>
  <c r="T700" i="9"/>
  <c r="T652" i="9"/>
  <c r="T540" i="9"/>
  <c r="T508" i="9"/>
  <c r="T492" i="9"/>
  <c r="T444" i="9"/>
  <c r="T220" i="9"/>
  <c r="T108" i="9"/>
  <c r="T1719" i="9"/>
  <c r="T1428" i="9"/>
  <c r="T1014" i="9"/>
  <c r="T40" i="9"/>
  <c r="T534" i="9"/>
  <c r="T22" i="9"/>
  <c r="T80" i="9"/>
  <c r="T470" i="9"/>
  <c r="T1327" i="9"/>
  <c r="T790" i="9"/>
  <c r="T48" i="9"/>
  <c r="T1413" i="9"/>
  <c r="T1242" i="9"/>
  <c r="W53" i="13"/>
  <c r="W93" i="13" s="1"/>
  <c r="V93" i="13"/>
  <c r="V48" i="13"/>
  <c r="U88" i="13"/>
  <c r="V47" i="13"/>
  <c r="U87" i="13"/>
  <c r="U92" i="13"/>
  <c r="V52" i="13"/>
  <c r="W51" i="13"/>
  <c r="W91" i="13" s="1"/>
  <c r="V91" i="13"/>
  <c r="W50" i="13"/>
  <c r="W90" i="13" s="1"/>
  <c r="V90" i="13"/>
  <c r="C30" i="26"/>
  <c r="D30" i="26" s="1"/>
  <c r="E30" i="26" s="1"/>
  <c r="F30" i="26" s="1"/>
  <c r="C33" i="26"/>
  <c r="D51" i="26" s="1"/>
  <c r="B66" i="26" s="1"/>
  <c r="C26" i="26"/>
  <c r="D26" i="26" s="1"/>
  <c r="C32" i="26"/>
  <c r="D32" i="26" s="1"/>
  <c r="C29" i="26"/>
  <c r="D29" i="26" s="1"/>
  <c r="M43" i="26"/>
  <c r="C27" i="26"/>
  <c r="D27" i="26" s="1"/>
  <c r="E27" i="26" s="1"/>
  <c r="F27" i="26" s="1"/>
  <c r="G27" i="26" s="1"/>
  <c r="H27" i="26" s="1"/>
  <c r="I27" i="26" s="1"/>
  <c r="C31" i="26"/>
  <c r="D31" i="26" s="1"/>
  <c r="E31" i="26" s="1"/>
  <c r="C28" i="26"/>
  <c r="D28" i="26" s="1"/>
  <c r="E28" i="26" s="1"/>
  <c r="F28" i="26" s="1"/>
  <c r="G28" i="26" s="1"/>
  <c r="H28" i="26" s="1"/>
  <c r="G5" i="13"/>
  <c r="AJ37" i="13"/>
  <c r="C51" i="12"/>
  <c r="D51" i="12"/>
  <c r="G48" i="12"/>
  <c r="E50" i="12"/>
  <c r="H46" i="12"/>
  <c r="I44" i="12"/>
  <c r="H47" i="12"/>
  <c r="J44" i="12"/>
  <c r="I45" i="12"/>
  <c r="K44" i="12"/>
  <c r="J45" i="12"/>
  <c r="I46" i="12"/>
  <c r="F49" i="12"/>
  <c r="C52" i="12"/>
  <c r="F29" i="26" l="1"/>
  <c r="G29" i="26" s="1"/>
  <c r="E29" i="26"/>
  <c r="W54" i="13"/>
  <c r="W94" i="13" s="1"/>
  <c r="V94" i="13"/>
  <c r="W45" i="13"/>
  <c r="W85" i="13" s="1"/>
  <c r="V85" i="13"/>
  <c r="C35" i="26"/>
  <c r="E26" i="26"/>
  <c r="W47" i="13"/>
  <c r="W87" i="13" s="1"/>
  <c r="V87" i="13"/>
  <c r="W52" i="13"/>
  <c r="W92" i="13" s="1"/>
  <c r="V92" i="13"/>
  <c r="W48" i="13"/>
  <c r="W88" i="13" s="1"/>
  <c r="V88" i="13"/>
  <c r="J46" i="26"/>
  <c r="I47" i="26"/>
  <c r="F50" i="26"/>
  <c r="G49" i="26"/>
  <c r="M44" i="26"/>
  <c r="L44" i="26"/>
  <c r="H48" i="26"/>
  <c r="D45" i="26"/>
  <c r="F48" i="26"/>
  <c r="AJ25" i="13"/>
  <c r="F49" i="26"/>
  <c r="F47" i="26"/>
  <c r="E50" i="26"/>
  <c r="AJ14" i="13"/>
  <c r="AJ22" i="13"/>
  <c r="AJ19" i="13"/>
  <c r="D44" i="26"/>
  <c r="AJ32" i="13"/>
  <c r="AJ36" i="13"/>
  <c r="D50" i="26"/>
  <c r="D47" i="26"/>
  <c r="D43" i="26"/>
  <c r="D48" i="26"/>
  <c r="AJ20" i="13"/>
  <c r="AJ15" i="13"/>
  <c r="AJ31" i="13"/>
  <c r="AJ23" i="13"/>
  <c r="AJ34" i="13"/>
  <c r="AJ26" i="13"/>
  <c r="AJ10" i="13"/>
  <c r="AJ13" i="13"/>
  <c r="AJ16" i="13"/>
  <c r="AJ21" i="13"/>
  <c r="AJ9" i="13"/>
  <c r="AJ18" i="13"/>
  <c r="AJ29" i="13"/>
  <c r="AJ30" i="13"/>
  <c r="AJ28" i="13"/>
  <c r="AJ27" i="13"/>
  <c r="AJ17" i="13"/>
  <c r="AJ12" i="13"/>
  <c r="AJ24" i="13"/>
  <c r="AJ35" i="13"/>
  <c r="AJ33" i="13"/>
  <c r="AJ11" i="13"/>
  <c r="E49" i="12"/>
  <c r="F46" i="12"/>
  <c r="F44" i="12"/>
  <c r="C50" i="12"/>
  <c r="D47" i="12"/>
  <c r="D45" i="12"/>
  <c r="B48" i="12"/>
  <c r="B64" i="12" s="1"/>
  <c r="B81" i="12" s="1"/>
  <c r="B31" i="12"/>
  <c r="C31" i="12" s="1"/>
  <c r="D31" i="12" s="1"/>
  <c r="E31" i="12" s="1"/>
  <c r="F31" i="12" s="1"/>
  <c r="G31" i="12" s="1"/>
  <c r="O31" i="12"/>
  <c r="P31" i="12" s="1"/>
  <c r="Q31" i="12" s="1"/>
  <c r="R31" i="12" s="1"/>
  <c r="S31" i="12" s="1"/>
  <c r="E47" i="12"/>
  <c r="C45" i="12"/>
  <c r="C48" i="12"/>
  <c r="C44" i="12"/>
  <c r="C47" i="12"/>
  <c r="O28" i="12"/>
  <c r="P28" i="12" s="1"/>
  <c r="Q28" i="12" s="1"/>
  <c r="R28" i="12" s="1"/>
  <c r="S28" i="12" s="1"/>
  <c r="T28" i="12" s="1"/>
  <c r="U28" i="12" s="1"/>
  <c r="V28" i="12" s="1"/>
  <c r="B45" i="12"/>
  <c r="B61" i="12" s="1"/>
  <c r="B78" i="12" s="1"/>
  <c r="H45" i="12"/>
  <c r="B35" i="12"/>
  <c r="C35" i="12" s="1"/>
  <c r="O35" i="12"/>
  <c r="O52" i="12" s="1"/>
  <c r="G65" i="26" s="1"/>
  <c r="B52" i="12"/>
  <c r="B68" i="12" s="1"/>
  <c r="B85" i="12" s="1"/>
  <c r="D48" i="12"/>
  <c r="G45" i="12"/>
  <c r="B30" i="12"/>
  <c r="C30" i="12" s="1"/>
  <c r="D30" i="12" s="1"/>
  <c r="E30" i="12" s="1"/>
  <c r="F30" i="12" s="1"/>
  <c r="G30" i="12" s="1"/>
  <c r="H30" i="12" s="1"/>
  <c r="B47" i="12"/>
  <c r="B63" i="12" s="1"/>
  <c r="B80" i="12" s="1"/>
  <c r="O30" i="12"/>
  <c r="P30" i="12" s="1"/>
  <c r="Q30" i="12" s="1"/>
  <c r="R30" i="12" s="1"/>
  <c r="S30" i="12" s="1"/>
  <c r="T30" i="12" s="1"/>
  <c r="E46" i="12"/>
  <c r="G44" i="12"/>
  <c r="G47" i="12"/>
  <c r="E45" i="12"/>
  <c r="B32" i="12"/>
  <c r="C32" i="12" s="1"/>
  <c r="D32" i="12" s="1"/>
  <c r="E32" i="12" s="1"/>
  <c r="F32" i="12" s="1"/>
  <c r="O32" i="12"/>
  <c r="P32" i="12" s="1"/>
  <c r="Q32" i="12" s="1"/>
  <c r="R32" i="12" s="1"/>
  <c r="B49" i="12"/>
  <c r="B65" i="12" s="1"/>
  <c r="B82" i="12" s="1"/>
  <c r="E48" i="12"/>
  <c r="C46" i="12"/>
  <c r="E44" i="12"/>
  <c r="C49" i="12"/>
  <c r="D46" i="12"/>
  <c r="D44" i="12"/>
  <c r="B29" i="12"/>
  <c r="C29" i="12" s="1"/>
  <c r="D29" i="12" s="1"/>
  <c r="E29" i="12" s="1"/>
  <c r="F29" i="12" s="1"/>
  <c r="G29" i="12" s="1"/>
  <c r="H29" i="12" s="1"/>
  <c r="I29" i="12" s="1"/>
  <c r="B46" i="12"/>
  <c r="B62" i="12" s="1"/>
  <c r="B79" i="12" s="1"/>
  <c r="O29" i="12"/>
  <c r="P29" i="12" s="1"/>
  <c r="Q29" i="12" s="1"/>
  <c r="R29" i="12" s="1"/>
  <c r="S29" i="12" s="1"/>
  <c r="T29" i="12" s="1"/>
  <c r="U29" i="12" s="1"/>
  <c r="B34" i="12"/>
  <c r="C34" i="12" s="1"/>
  <c r="D34" i="12" s="1"/>
  <c r="B51" i="12"/>
  <c r="B67" i="12" s="1"/>
  <c r="B84" i="12" s="1"/>
  <c r="O34" i="12"/>
  <c r="P34" i="12" s="1"/>
  <c r="F48" i="12"/>
  <c r="B36" i="12"/>
  <c r="B53" i="12"/>
  <c r="B69" i="12" s="1"/>
  <c r="B86" i="12" s="1"/>
  <c r="D49" i="12"/>
  <c r="G46" i="12"/>
  <c r="B27" i="12"/>
  <c r="C27" i="12" s="1"/>
  <c r="D27" i="12" s="1"/>
  <c r="E27" i="12" s="1"/>
  <c r="F27" i="12" s="1"/>
  <c r="G27" i="12" s="1"/>
  <c r="H27" i="12" s="1"/>
  <c r="I27" i="12" s="1"/>
  <c r="J27" i="12" s="1"/>
  <c r="K27" i="12" s="1"/>
  <c r="O27" i="12"/>
  <c r="P27" i="12" s="1"/>
  <c r="Q27" i="12" s="1"/>
  <c r="B44" i="12"/>
  <c r="B60" i="12" s="1"/>
  <c r="D50" i="12"/>
  <c r="H44" i="12"/>
  <c r="F47" i="12"/>
  <c r="F45" i="12"/>
  <c r="B33" i="12"/>
  <c r="C33" i="12" s="1"/>
  <c r="D33" i="12" s="1"/>
  <c r="E33" i="12" s="1"/>
  <c r="B50" i="12"/>
  <c r="B66" i="12" s="1"/>
  <c r="B83" i="12" s="1"/>
  <c r="O33" i="12"/>
  <c r="P33" i="12" s="1"/>
  <c r="Q33" i="12" s="1"/>
  <c r="C65" i="12" l="1"/>
  <c r="F26" i="26"/>
  <c r="D35" i="26"/>
  <c r="C130" i="13"/>
  <c r="D65" i="12"/>
  <c r="E65" i="12" s="1"/>
  <c r="F65" i="12" s="1"/>
  <c r="H49" i="26"/>
  <c r="K45" i="26"/>
  <c r="I48" i="26"/>
  <c r="J47" i="26"/>
  <c r="G50" i="26"/>
  <c r="K46" i="26"/>
  <c r="F45" i="26"/>
  <c r="D42" i="26"/>
  <c r="C63" i="12"/>
  <c r="D63" i="12" s="1"/>
  <c r="E63" i="12" s="1"/>
  <c r="F63" i="12" s="1"/>
  <c r="G63" i="12" s="1"/>
  <c r="H63" i="12" s="1"/>
  <c r="C64" i="12"/>
  <c r="D64" i="12" s="1"/>
  <c r="E64" i="12" s="1"/>
  <c r="F64" i="12" s="1"/>
  <c r="G64" i="12" s="1"/>
  <c r="C66" i="12"/>
  <c r="D66" i="12" s="1"/>
  <c r="E66" i="12" s="1"/>
  <c r="C68" i="12"/>
  <c r="C85" i="12" s="1"/>
  <c r="C62" i="12"/>
  <c r="C79" i="12" s="1"/>
  <c r="C60" i="12"/>
  <c r="D60" i="12" s="1"/>
  <c r="E60" i="12" s="1"/>
  <c r="F60" i="12" s="1"/>
  <c r="G60" i="12" s="1"/>
  <c r="H60" i="12" s="1"/>
  <c r="I60" i="12" s="1"/>
  <c r="J60" i="12" s="1"/>
  <c r="K60" i="12" s="1"/>
  <c r="R27" i="12"/>
  <c r="P38" i="12"/>
  <c r="C61" i="12"/>
  <c r="D61" i="12" s="1"/>
  <c r="E61" i="12" s="1"/>
  <c r="F61" i="12" s="1"/>
  <c r="G61" i="12" s="1"/>
  <c r="H61" i="12" s="1"/>
  <c r="I61" i="12" s="1"/>
  <c r="J61" i="12" s="1"/>
  <c r="C67" i="12"/>
  <c r="D67" i="12" s="1"/>
  <c r="O45" i="12"/>
  <c r="O46" i="12"/>
  <c r="O47" i="12"/>
  <c r="O48" i="12"/>
  <c r="O50" i="12"/>
  <c r="O49" i="12"/>
  <c r="O44" i="12"/>
  <c r="B77" i="12"/>
  <c r="E44" i="26"/>
  <c r="G48" i="26"/>
  <c r="C126" i="13"/>
  <c r="E45" i="26"/>
  <c r="F43" i="26"/>
  <c r="G43" i="26"/>
  <c r="P49" i="12"/>
  <c r="G45" i="26"/>
  <c r="F44" i="26"/>
  <c r="F46" i="26"/>
  <c r="C125" i="13"/>
  <c r="E43" i="26"/>
  <c r="E47" i="26"/>
  <c r="E48" i="26"/>
  <c r="D46" i="26"/>
  <c r="D49" i="26"/>
  <c r="E49" i="26"/>
  <c r="C129" i="13"/>
  <c r="C127" i="13"/>
  <c r="C128" i="13"/>
  <c r="C124" i="13"/>
  <c r="C121" i="13"/>
  <c r="C123" i="13"/>
  <c r="C81" i="12"/>
  <c r="C122" i="13"/>
  <c r="C82" i="12"/>
  <c r="D38" i="12"/>
  <c r="O51" i="12"/>
  <c r="P51" i="12"/>
  <c r="C38" i="12"/>
  <c r="G26" i="26" l="1"/>
  <c r="E35" i="26"/>
  <c r="C80" i="12"/>
  <c r="M45" i="26"/>
  <c r="L45" i="26"/>
  <c r="M46" i="26"/>
  <c r="L46" i="26"/>
  <c r="K47" i="26"/>
  <c r="H50" i="26"/>
  <c r="J48" i="26"/>
  <c r="I49" i="26"/>
  <c r="D62" i="12"/>
  <c r="E62" i="12" s="1"/>
  <c r="F62" i="12" s="1"/>
  <c r="G62" i="12" s="1"/>
  <c r="H62" i="12" s="1"/>
  <c r="I62" i="12" s="1"/>
  <c r="S27" i="12"/>
  <c r="Q38" i="12"/>
  <c r="C78" i="12"/>
  <c r="C83" i="12"/>
  <c r="P48" i="12"/>
  <c r="C84" i="12"/>
  <c r="G64" i="26"/>
  <c r="G46" i="26"/>
  <c r="G44" i="26"/>
  <c r="G47" i="26"/>
  <c r="H47" i="26"/>
  <c r="D84" i="12"/>
  <c r="E42" i="26"/>
  <c r="F42" i="26"/>
  <c r="E46" i="26"/>
  <c r="D76" i="13"/>
  <c r="D78" i="12"/>
  <c r="D80" i="12"/>
  <c r="P45" i="12"/>
  <c r="P50" i="12"/>
  <c r="Q50" i="12"/>
  <c r="P46" i="12"/>
  <c r="E38" i="12"/>
  <c r="B71" i="12"/>
  <c r="C77" i="12"/>
  <c r="P47" i="12"/>
  <c r="O38" i="12"/>
  <c r="P44" i="12"/>
  <c r="H26" i="26" l="1"/>
  <c r="F35" i="26"/>
  <c r="K48" i="26"/>
  <c r="M47" i="26"/>
  <c r="L47" i="26"/>
  <c r="J49" i="26"/>
  <c r="I50" i="26"/>
  <c r="D79" i="12"/>
  <c r="T27" i="12"/>
  <c r="R38" i="12"/>
  <c r="Q48" i="12"/>
  <c r="E78" i="12"/>
  <c r="H45" i="26"/>
  <c r="H43" i="26"/>
  <c r="Q49" i="12"/>
  <c r="R49" i="12"/>
  <c r="E76" i="13"/>
  <c r="R48" i="12"/>
  <c r="S48" i="12"/>
  <c r="I46" i="26"/>
  <c r="H46" i="26"/>
  <c r="B61" i="26" s="1"/>
  <c r="H44" i="26"/>
  <c r="G63" i="26"/>
  <c r="I45" i="26"/>
  <c r="J45" i="26"/>
  <c r="G42" i="26"/>
  <c r="D81" i="12"/>
  <c r="D82" i="12"/>
  <c r="Q44" i="12"/>
  <c r="D77" i="12"/>
  <c r="C71" i="12"/>
  <c r="Q47" i="12"/>
  <c r="F38" i="12"/>
  <c r="D83" i="12"/>
  <c r="E83" i="12"/>
  <c r="Q46" i="12"/>
  <c r="Q45" i="12"/>
  <c r="B62" i="26" l="1"/>
  <c r="B60" i="26"/>
  <c r="I26" i="26"/>
  <c r="G35" i="26"/>
  <c r="J50" i="26"/>
  <c r="K49" i="26"/>
  <c r="M48" i="26"/>
  <c r="L48" i="26"/>
  <c r="U27" i="12"/>
  <c r="S38" i="12"/>
  <c r="E79" i="12"/>
  <c r="E80" i="12"/>
  <c r="G61" i="26"/>
  <c r="I43" i="26"/>
  <c r="G62" i="26"/>
  <c r="I44" i="26"/>
  <c r="H42" i="26"/>
  <c r="E81" i="12"/>
  <c r="E82" i="12"/>
  <c r="F82" i="12"/>
  <c r="F76" i="13"/>
  <c r="F79" i="12"/>
  <c r="G38" i="12"/>
  <c r="R47" i="12"/>
  <c r="E77" i="12"/>
  <c r="D71" i="12"/>
  <c r="F80" i="12"/>
  <c r="R45" i="12"/>
  <c r="R46" i="12"/>
  <c r="F78" i="12"/>
  <c r="R44" i="12"/>
  <c r="B63" i="26" l="1"/>
  <c r="J26" i="26"/>
  <c r="I35" i="26" s="1"/>
  <c r="H35" i="26"/>
  <c r="K50" i="26"/>
  <c r="M49" i="26"/>
  <c r="L49" i="26"/>
  <c r="V27" i="12"/>
  <c r="T38" i="12"/>
  <c r="J43" i="26"/>
  <c r="J44" i="26"/>
  <c r="G76" i="13"/>
  <c r="I42" i="26"/>
  <c r="F81" i="12"/>
  <c r="G81" i="12"/>
  <c r="G78" i="12"/>
  <c r="S46" i="12"/>
  <c r="S47" i="12"/>
  <c r="T47" i="12"/>
  <c r="H38" i="12"/>
  <c r="G79" i="12"/>
  <c r="S44" i="12"/>
  <c r="S45" i="12"/>
  <c r="H80" i="12"/>
  <c r="G80" i="12"/>
  <c r="F77" i="12"/>
  <c r="E71" i="12"/>
  <c r="K44" i="26" l="1"/>
  <c r="B59" i="26" s="1"/>
  <c r="B64" i="26"/>
  <c r="M50" i="26"/>
  <c r="L50" i="26"/>
  <c r="W27" i="12"/>
  <c r="V38" i="12" s="1"/>
  <c r="V39" i="12" s="1"/>
  <c r="U38" i="12"/>
  <c r="L43" i="26"/>
  <c r="K43" i="26"/>
  <c r="G60" i="26"/>
  <c r="J42" i="26"/>
  <c r="H76" i="13"/>
  <c r="T45" i="12"/>
  <c r="I38" i="12"/>
  <c r="T46" i="12"/>
  <c r="U46" i="12"/>
  <c r="H78" i="12"/>
  <c r="G77" i="12"/>
  <c r="F71" i="12"/>
  <c r="T44" i="12"/>
  <c r="I79" i="12"/>
  <c r="H79" i="12"/>
  <c r="B65" i="26" l="1"/>
  <c r="B58" i="26"/>
  <c r="U39" i="12"/>
  <c r="T39" i="12" s="1"/>
  <c r="S39" i="12" s="1"/>
  <c r="R39" i="12" s="1"/>
  <c r="Q39" i="12" s="1"/>
  <c r="P39" i="12" s="1"/>
  <c r="G59" i="26"/>
  <c r="K42" i="26"/>
  <c r="I76" i="13"/>
  <c r="U44" i="12"/>
  <c r="H77" i="12"/>
  <c r="G71" i="12"/>
  <c r="V45" i="12"/>
  <c r="U45" i="12"/>
  <c r="I78" i="12"/>
  <c r="J78" i="12"/>
  <c r="K38" i="12"/>
  <c r="J38" i="12"/>
  <c r="G58" i="26" l="1"/>
  <c r="L42" i="26"/>
  <c r="J76" i="13"/>
  <c r="I77" i="12"/>
  <c r="H71" i="12"/>
  <c r="V44" i="12"/>
  <c r="J36" i="26" l="1"/>
  <c r="N44" i="26" s="1"/>
  <c r="K76" i="13"/>
  <c r="J77" i="12"/>
  <c r="I71" i="12"/>
  <c r="W44" i="12"/>
  <c r="C59" i="26" l="1"/>
  <c r="O44" i="26"/>
  <c r="D59" i="26" s="1"/>
  <c r="G57" i="26"/>
  <c r="K36" i="26"/>
  <c r="N43" i="26" s="1"/>
  <c r="M42" i="26"/>
  <c r="B57" i="26" s="1"/>
  <c r="I36" i="26"/>
  <c r="N45" i="26" s="1"/>
  <c r="L76" i="13"/>
  <c r="K77" i="12"/>
  <c r="L77" i="12" s="1"/>
  <c r="J71" i="12"/>
  <c r="C60" i="26" l="1"/>
  <c r="O45" i="26"/>
  <c r="D60" i="26" s="1"/>
  <c r="N42" i="26"/>
  <c r="F6" i="14"/>
  <c r="AA69" i="26"/>
  <c r="C58" i="26"/>
  <c r="O43" i="26"/>
  <c r="D58" i="26" s="1"/>
  <c r="H58" i="26" s="1"/>
  <c r="H36" i="26"/>
  <c r="N46" i="26" s="1"/>
  <c r="J72" i="12"/>
  <c r="L78" i="12" s="1"/>
  <c r="M76" i="13"/>
  <c r="Z70" i="26" l="1"/>
  <c r="I58" i="26"/>
  <c r="H7" i="14" s="1"/>
  <c r="H59" i="26"/>
  <c r="I59" i="26" s="1"/>
  <c r="H8" i="14" s="1"/>
  <c r="C61" i="26"/>
  <c r="O46" i="26"/>
  <c r="D61" i="26" s="1"/>
  <c r="H60" i="26" s="1"/>
  <c r="I72" i="12"/>
  <c r="L79" i="12" s="1"/>
  <c r="AA71" i="26" s="1"/>
  <c r="O42" i="26"/>
  <c r="D57" i="26" s="1"/>
  <c r="H57" i="26" s="1"/>
  <c r="C57" i="26"/>
  <c r="F7" i="14"/>
  <c r="AA70" i="26"/>
  <c r="G36" i="26"/>
  <c r="N47" i="26" s="1"/>
  <c r="N76" i="13"/>
  <c r="Z69" i="26" l="1"/>
  <c r="I57" i="26"/>
  <c r="H6" i="14" s="1"/>
  <c r="Z72" i="26"/>
  <c r="I60" i="26"/>
  <c r="H9" i="14" s="1"/>
  <c r="Z71" i="26"/>
  <c r="H72" i="12"/>
  <c r="L80" i="12" s="1"/>
  <c r="F9" i="14" s="1"/>
  <c r="F8" i="14"/>
  <c r="C62" i="26"/>
  <c r="O47" i="26"/>
  <c r="D62" i="26" s="1"/>
  <c r="H61" i="26" s="1"/>
  <c r="F36" i="26"/>
  <c r="N48" i="26" s="1"/>
  <c r="O76" i="13"/>
  <c r="Z73" i="26" l="1"/>
  <c r="I61" i="26"/>
  <c r="H10" i="14" s="1"/>
  <c r="G72" i="12"/>
  <c r="L81" i="12" s="1"/>
  <c r="AA73" i="26" s="1"/>
  <c r="AA72" i="26"/>
  <c r="C63" i="26"/>
  <c r="O48" i="26"/>
  <c r="D63" i="26" s="1"/>
  <c r="H62" i="26" s="1"/>
  <c r="E36" i="26"/>
  <c r="N49" i="26" s="1"/>
  <c r="P76" i="13"/>
  <c r="Z74" i="26" l="1"/>
  <c r="I62" i="26"/>
  <c r="H11" i="14" s="1"/>
  <c r="F72" i="12"/>
  <c r="L82" i="12" s="1"/>
  <c r="F11" i="14" s="1"/>
  <c r="F10" i="14"/>
  <c r="C64" i="26"/>
  <c r="O49" i="26"/>
  <c r="D36" i="26"/>
  <c r="N50" i="26" s="1"/>
  <c r="Q76" i="13"/>
  <c r="D64" i="26" l="1"/>
  <c r="H63" i="26" s="1"/>
  <c r="I63" i="26" s="1"/>
  <c r="H12" i="14" s="1"/>
  <c r="Z75" i="26"/>
  <c r="E72" i="12"/>
  <c r="AA74" i="26"/>
  <c r="O50" i="26"/>
  <c r="D65" i="26" s="1"/>
  <c r="H64" i="26" s="1"/>
  <c r="C65" i="26"/>
  <c r="C36" i="26"/>
  <c r="N51" i="26" s="1"/>
  <c r="R76" i="13"/>
  <c r="Q49" i="26" l="1"/>
  <c r="Q50" i="26" s="1"/>
  <c r="Z76" i="26"/>
  <c r="I64" i="26"/>
  <c r="H13" i="14" s="1"/>
  <c r="L83" i="12"/>
  <c r="F12" i="14" s="1"/>
  <c r="D72" i="12"/>
  <c r="L84" i="12" s="1"/>
  <c r="AA76" i="26" s="1"/>
  <c r="O51" i="26"/>
  <c r="D66" i="26" s="1"/>
  <c r="H65" i="26" s="1"/>
  <c r="C66" i="26"/>
  <c r="S76" i="13"/>
  <c r="Z77" i="26" l="1"/>
  <c r="I65" i="26"/>
  <c r="H14" i="14" s="1"/>
  <c r="C72" i="12"/>
  <c r="L85" i="12" s="1"/>
  <c r="F14" i="14" s="1"/>
  <c r="AA75" i="26"/>
  <c r="F13" i="14"/>
  <c r="T76" i="13"/>
  <c r="X92" i="13"/>
  <c r="X91" i="13"/>
  <c r="AA77" i="26" l="1"/>
  <c r="B72" i="12"/>
  <c r="L86" i="12" s="1"/>
  <c r="F15" i="14" s="1"/>
  <c r="U76" i="13"/>
  <c r="X94" i="13"/>
  <c r="AQ94" i="13"/>
  <c r="X85" i="13"/>
  <c r="X86" i="13"/>
  <c r="X88" i="13"/>
  <c r="X93" i="13"/>
  <c r="X90" i="13"/>
  <c r="X89" i="13"/>
  <c r="X87" i="13"/>
  <c r="AR93" i="13" l="1"/>
  <c r="D122" i="13"/>
  <c r="D123" i="13"/>
  <c r="D121" i="13"/>
  <c r="V76" i="13"/>
  <c r="E121" i="13" l="1"/>
  <c r="G6" i="14" s="1"/>
  <c r="E122" i="13"/>
  <c r="G7" i="14" s="1"/>
  <c r="E123" i="13"/>
  <c r="G8" i="14" s="1"/>
  <c r="V77" i="13"/>
  <c r="AB70" i="26" l="1"/>
  <c r="AB71" i="26"/>
  <c r="AB69" i="26"/>
  <c r="X95" i="13"/>
  <c r="AP95" i="13"/>
  <c r="U77" i="13"/>
  <c r="X96" i="13" s="1"/>
  <c r="D124" i="13"/>
  <c r="E124" i="13" l="1"/>
  <c r="G9" i="14" s="1"/>
  <c r="T77" i="13"/>
  <c r="X97" i="13" s="1"/>
  <c r="AB72" i="26" l="1"/>
  <c r="S77" i="13"/>
  <c r="X98" i="13" s="1"/>
  <c r="R77" i="13" l="1"/>
  <c r="X99" i="13" s="1"/>
  <c r="D125" i="13" s="1"/>
  <c r="E125" i="13" l="1"/>
  <c r="G10" i="14" s="1"/>
  <c r="Q77" i="13"/>
  <c r="X100" i="13" s="1"/>
  <c r="AB73" i="26" l="1"/>
  <c r="P77" i="13"/>
  <c r="X101" i="13" s="1"/>
  <c r="O77" i="13" l="1"/>
  <c r="X102" i="13" s="1"/>
  <c r="D126" i="13" s="1"/>
  <c r="E126" i="13" l="1"/>
  <c r="G11" i="14" s="1"/>
  <c r="N77" i="13"/>
  <c r="X103" i="13" s="1"/>
  <c r="AB74" i="26" l="1"/>
  <c r="M77" i="13"/>
  <c r="X104" i="13" s="1"/>
  <c r="L77" i="13" l="1"/>
  <c r="X105" i="13" s="1"/>
  <c r="D127" i="13"/>
  <c r="E127" i="13" l="1"/>
  <c r="G12" i="14" s="1"/>
  <c r="K77" i="13"/>
  <c r="X106" i="13" s="1"/>
  <c r="AB75" i="26" l="1"/>
  <c r="J77" i="13"/>
  <c r="X107" i="13" s="1"/>
  <c r="I77" i="13" l="1"/>
  <c r="X108" i="13" s="1"/>
  <c r="D128" i="13" s="1"/>
  <c r="E128" i="13" l="1"/>
  <c r="G13" i="14" s="1"/>
  <c r="H77" i="13"/>
  <c r="X109" i="13" s="1"/>
  <c r="AB76" i="26" l="1"/>
  <c r="G77" i="13"/>
  <c r="X110" i="13" s="1"/>
  <c r="F77" i="13" l="1"/>
  <c r="X111" i="13" s="1"/>
  <c r="D129" i="13" s="1"/>
  <c r="E129" i="13" l="1"/>
  <c r="G14" i="14" s="1"/>
  <c r="E77" i="13"/>
  <c r="X112" i="13" s="1"/>
  <c r="AB77" i="26" l="1"/>
  <c r="D77" i="13"/>
  <c r="X113" i="13" s="1"/>
  <c r="D130" i="13" s="1"/>
  <c r="E130" i="13" s="1"/>
  <c r="G15" i="14" s="1"/>
  <c r="X48" i="12"/>
  <c r="E10" i="14" s="1"/>
  <c r="X50" i="12"/>
  <c r="E12" i="14" s="1"/>
  <c r="X51" i="12"/>
  <c r="E13" i="14" s="1"/>
  <c r="X44" i="12"/>
  <c r="AC69" i="26" s="1"/>
  <c r="AE69" i="26" s="1"/>
  <c r="AF69" i="26" s="1"/>
  <c r="X47" i="12"/>
  <c r="E9" i="14" s="1"/>
  <c r="X45" i="12"/>
  <c r="E7" i="14" s="1"/>
  <c r="X46" i="12"/>
  <c r="AC71" i="26" s="1"/>
  <c r="AE71" i="26" s="1"/>
  <c r="AF71" i="26" s="1"/>
  <c r="O39" i="12"/>
  <c r="X52" i="12" s="1"/>
  <c r="X49" i="12"/>
  <c r="AC74" i="26" s="1"/>
  <c r="AE74" i="26" s="1"/>
  <c r="AF74" i="26" s="1"/>
  <c r="E11" i="14" l="1"/>
  <c r="E8" i="14"/>
  <c r="AC73" i="26"/>
  <c r="AE73" i="26" s="1"/>
  <c r="AF73" i="26" s="1"/>
  <c r="AC75" i="26"/>
  <c r="AE75" i="26" s="1"/>
  <c r="AF75" i="26" s="1"/>
  <c r="E14" i="14"/>
  <c r="AC77" i="26"/>
  <c r="AE77" i="26" s="1"/>
  <c r="AF77" i="26" s="1"/>
  <c r="AC72" i="26"/>
  <c r="AE72" i="26" s="1"/>
  <c r="AF72" i="26" s="1"/>
  <c r="E6" i="14"/>
  <c r="AC76" i="26"/>
  <c r="AE76" i="26" s="1"/>
  <c r="AF76" i="26" s="1"/>
  <c r="AC70" i="26"/>
  <c r="AE70" i="26" s="1"/>
  <c r="AF70" i="26" s="1"/>
</calcChain>
</file>

<file path=xl/sharedStrings.xml><?xml version="1.0" encoding="utf-8"?>
<sst xmlns="http://schemas.openxmlformats.org/spreadsheetml/2006/main" count="10483" uniqueCount="3609">
  <si>
    <t>Class of Business</t>
  </si>
  <si>
    <t>Claim ID</t>
  </si>
  <si>
    <t>GBP</t>
  </si>
  <si>
    <t>Claimant Name</t>
  </si>
  <si>
    <t>Reporting date</t>
  </si>
  <si>
    <t>Fees</t>
  </si>
  <si>
    <t>Recoveries</t>
  </si>
  <si>
    <t>Overall amount</t>
  </si>
  <si>
    <t>Name_1</t>
  </si>
  <si>
    <t>Closed</t>
  </si>
  <si>
    <t>Name_2</t>
  </si>
  <si>
    <t>Name_3</t>
  </si>
  <si>
    <t>Name_4</t>
  </si>
  <si>
    <t>Name_5</t>
  </si>
  <si>
    <t>Name_6</t>
  </si>
  <si>
    <t>Name_7</t>
  </si>
  <si>
    <t>Open</t>
  </si>
  <si>
    <t>Name_8</t>
  </si>
  <si>
    <t>Name_9</t>
  </si>
  <si>
    <t>Name_10</t>
  </si>
  <si>
    <t>Name_11</t>
  </si>
  <si>
    <t>Name_12</t>
  </si>
  <si>
    <t>Name_13</t>
  </si>
  <si>
    <t>Name_14</t>
  </si>
  <si>
    <t>Name_15</t>
  </si>
  <si>
    <t>Name_16</t>
  </si>
  <si>
    <t>Name_17</t>
  </si>
  <si>
    <t>Name_18</t>
  </si>
  <si>
    <t>Name_19</t>
  </si>
  <si>
    <t>Name_20</t>
  </si>
  <si>
    <t>Name_21</t>
  </si>
  <si>
    <t>Name_22</t>
  </si>
  <si>
    <t>Name_23</t>
  </si>
  <si>
    <t>Name_24</t>
  </si>
  <si>
    <t>Name_25</t>
  </si>
  <si>
    <t>Name_26</t>
  </si>
  <si>
    <t>Name_27</t>
  </si>
  <si>
    <t>Name_28</t>
  </si>
  <si>
    <t>Name_29</t>
  </si>
  <si>
    <t>Name_30</t>
  </si>
  <si>
    <t>Name_31</t>
  </si>
  <si>
    <t>Name_32</t>
  </si>
  <si>
    <t>Name_33</t>
  </si>
  <si>
    <t>Name_34</t>
  </si>
  <si>
    <t>Name_35</t>
  </si>
  <si>
    <t>Name_36</t>
  </si>
  <si>
    <t>Name_37</t>
  </si>
  <si>
    <t>Name_38</t>
  </si>
  <si>
    <t>Name_39</t>
  </si>
  <si>
    <t>Name_40</t>
  </si>
  <si>
    <t>Name_41</t>
  </si>
  <si>
    <t>Name_42</t>
  </si>
  <si>
    <t>Name_43</t>
  </si>
  <si>
    <t>Name_44</t>
  </si>
  <si>
    <t>Name_45</t>
  </si>
  <si>
    <t>Name_46</t>
  </si>
  <si>
    <t>Name_47</t>
  </si>
  <si>
    <t>Name_48</t>
  </si>
  <si>
    <t>Name_49</t>
  </si>
  <si>
    <t>Name_50</t>
  </si>
  <si>
    <t>Name_51</t>
  </si>
  <si>
    <t>Name_52</t>
  </si>
  <si>
    <t>Name_53</t>
  </si>
  <si>
    <t>Name_54</t>
  </si>
  <si>
    <t>Name_55</t>
  </si>
  <si>
    <t>Name_56</t>
  </si>
  <si>
    <t>Name_57</t>
  </si>
  <si>
    <t>Name_58</t>
  </si>
  <si>
    <t>Name_59</t>
  </si>
  <si>
    <t>Name_60</t>
  </si>
  <si>
    <t>Name_61</t>
  </si>
  <si>
    <t>Name_62</t>
  </si>
  <si>
    <t>Name_63</t>
  </si>
  <si>
    <t>Name_64</t>
  </si>
  <si>
    <t>Name_65</t>
  </si>
  <si>
    <t>Name_66</t>
  </si>
  <si>
    <t>Name_67</t>
  </si>
  <si>
    <t>Name_68</t>
  </si>
  <si>
    <t>Name_69</t>
  </si>
  <si>
    <t>Name_70</t>
  </si>
  <si>
    <t>Name_71</t>
  </si>
  <si>
    <t>Name_72</t>
  </si>
  <si>
    <t>Name_73</t>
  </si>
  <si>
    <t>Name_74</t>
  </si>
  <si>
    <t>Name_75</t>
  </si>
  <si>
    <t>Name_76</t>
  </si>
  <si>
    <t>Name_77</t>
  </si>
  <si>
    <t>Name_78</t>
  </si>
  <si>
    <t>Name_79</t>
  </si>
  <si>
    <t>Name_80</t>
  </si>
  <si>
    <t>Name_81</t>
  </si>
  <si>
    <t>Name_82</t>
  </si>
  <si>
    <t>Name_83</t>
  </si>
  <si>
    <t>Name_84</t>
  </si>
  <si>
    <t>Name_85</t>
  </si>
  <si>
    <t>Name_86</t>
  </si>
  <si>
    <t>Name_87</t>
  </si>
  <si>
    <t>Name_88</t>
  </si>
  <si>
    <t>Name_89</t>
  </si>
  <si>
    <t>Name_90</t>
  </si>
  <si>
    <t>Name_91</t>
  </si>
  <si>
    <t>Name_92</t>
  </si>
  <si>
    <t>Name_93</t>
  </si>
  <si>
    <t>Name_94</t>
  </si>
  <si>
    <t>Name_95</t>
  </si>
  <si>
    <t>Name_96</t>
  </si>
  <si>
    <t>Name_97</t>
  </si>
  <si>
    <t>Name_98</t>
  </si>
  <si>
    <t>Name_99</t>
  </si>
  <si>
    <t>Name_100</t>
  </si>
  <si>
    <t>Name_101</t>
  </si>
  <si>
    <t>Fiscal year</t>
  </si>
  <si>
    <t>Paid</t>
  </si>
  <si>
    <t>Loss date</t>
  </si>
  <si>
    <t>Policy year</t>
  </si>
  <si>
    <t>Original currency</t>
  </si>
  <si>
    <t>Policy Year</t>
  </si>
  <si>
    <t>Claim Status</t>
  </si>
  <si>
    <t>Public Liability Property Damage</t>
  </si>
  <si>
    <t>Leakage</t>
  </si>
  <si>
    <t>Property Damage</t>
  </si>
  <si>
    <t>Other - Property Damage/Loss</t>
  </si>
  <si>
    <t>Defective Plans</t>
  </si>
  <si>
    <t>Public Liability Bodily Injury</t>
  </si>
  <si>
    <t>Contact With</t>
  </si>
  <si>
    <t>Slip,Trip Or Fall-Same Level</t>
  </si>
  <si>
    <t>Slip,Trip Or Fall-Elevated Surfaces</t>
  </si>
  <si>
    <t>Caught Between Moving Objects</t>
  </si>
  <si>
    <t>Water Ingress</t>
  </si>
  <si>
    <t>Water Damage</t>
  </si>
  <si>
    <t>Human Violence</t>
  </si>
  <si>
    <t>Struck By Object</t>
  </si>
  <si>
    <t>Not Otherwise Classified</t>
  </si>
  <si>
    <t>Vehicle Accident</t>
  </si>
  <si>
    <t>Slip Or Fall-From Ladder</t>
  </si>
  <si>
    <t>Alleged False Arrest</t>
  </si>
  <si>
    <t>Slip,Trip,Fall - Footway (Highway)</t>
  </si>
  <si>
    <t>Slip Or Fall - Liquid Or Grease Spills/Oil</t>
  </si>
  <si>
    <t>Bitten</t>
  </si>
  <si>
    <t>Slip, Trip, Fall - On Stairs</t>
  </si>
  <si>
    <t>Alleged Food Poisoning</t>
  </si>
  <si>
    <t>Exertion - Pulling Or Pushing</t>
  </si>
  <si>
    <t>Exertion - Lifting</t>
  </si>
  <si>
    <t>Malicious Human Action</t>
  </si>
  <si>
    <t>Fire</t>
  </si>
  <si>
    <t>Alleged Theft</t>
  </si>
  <si>
    <t>Alleged Theft/Property Missing From Room</t>
  </si>
  <si>
    <t>Animal Bite, Scratch, Kick</t>
  </si>
  <si>
    <t>Exposure To</t>
  </si>
  <si>
    <t>Other - Theft/Vandalism</t>
  </si>
  <si>
    <t>Stress Exposure</t>
  </si>
  <si>
    <t>Flood - Internal (And Possible External)</t>
  </si>
  <si>
    <t>Contact With Fire Or Flame</t>
  </si>
  <si>
    <t>Other - Water Contamination</t>
  </si>
  <si>
    <t>Products Liability Bodily Injury</t>
  </si>
  <si>
    <t>Caught In Machinery</t>
  </si>
  <si>
    <t>Slip, Trip, Fall - Handicap Ramp</t>
  </si>
  <si>
    <t>Slip,Trip,Fall-Pits,Shafts,Holes</t>
  </si>
  <si>
    <t>Slip, Trip, Fall - On Ice, Snow Or Water</t>
  </si>
  <si>
    <t>Strike Against,Stationary Or Moving Object</t>
  </si>
  <si>
    <t>Elevator,Escalator,Manlift,Moving Sidewalk</t>
  </si>
  <si>
    <t>Struck By Falling Object</t>
  </si>
  <si>
    <t>Fall From Stool/Chair</t>
  </si>
  <si>
    <t>Slip,Trip Or Fall-Parking Lot</t>
  </si>
  <si>
    <t>Slip, Trip, Fall: Object</t>
  </si>
  <si>
    <t>Trapped</t>
  </si>
  <si>
    <t>Name_102</t>
  </si>
  <si>
    <t>Name_103</t>
  </si>
  <si>
    <t>Name_104</t>
  </si>
  <si>
    <t>Name_105</t>
  </si>
  <si>
    <t>Name_106</t>
  </si>
  <si>
    <t>Name_107</t>
  </si>
  <si>
    <t>Name_108</t>
  </si>
  <si>
    <t>Name_109</t>
  </si>
  <si>
    <t>Name_110</t>
  </si>
  <si>
    <t>Name_111</t>
  </si>
  <si>
    <t>Name_112</t>
  </si>
  <si>
    <t>Name_113</t>
  </si>
  <si>
    <t>Name_114</t>
  </si>
  <si>
    <t>Name_115</t>
  </si>
  <si>
    <t>Name_116</t>
  </si>
  <si>
    <t>Name_117</t>
  </si>
  <si>
    <t>Name_118</t>
  </si>
  <si>
    <t>Name_119</t>
  </si>
  <si>
    <t>Name_120</t>
  </si>
  <si>
    <t>Name_121</t>
  </si>
  <si>
    <t>Name_122</t>
  </si>
  <si>
    <t>Name_123</t>
  </si>
  <si>
    <t>Name_124</t>
  </si>
  <si>
    <t>Name_125</t>
  </si>
  <si>
    <t>Name_126</t>
  </si>
  <si>
    <t>Name_127</t>
  </si>
  <si>
    <t>Name_128</t>
  </si>
  <si>
    <t>Name_129</t>
  </si>
  <si>
    <t>Name_130</t>
  </si>
  <si>
    <t>Name_131</t>
  </si>
  <si>
    <t>Name_132</t>
  </si>
  <si>
    <t>Name_133</t>
  </si>
  <si>
    <t>Name_134</t>
  </si>
  <si>
    <t>Name_135</t>
  </si>
  <si>
    <t>Name_136</t>
  </si>
  <si>
    <t>Name_137</t>
  </si>
  <si>
    <t>Name_138</t>
  </si>
  <si>
    <t>Name_139</t>
  </si>
  <si>
    <t>Name_140</t>
  </si>
  <si>
    <t>Name_141</t>
  </si>
  <si>
    <t>Name_142</t>
  </si>
  <si>
    <t>Name_143</t>
  </si>
  <si>
    <t>Name_144</t>
  </si>
  <si>
    <t>Name_145</t>
  </si>
  <si>
    <t>Name_146</t>
  </si>
  <si>
    <t>Name_147</t>
  </si>
  <si>
    <t>Name_148</t>
  </si>
  <si>
    <t>Name_149</t>
  </si>
  <si>
    <t>Name_150</t>
  </si>
  <si>
    <t>Name_151</t>
  </si>
  <si>
    <t>Name_152</t>
  </si>
  <si>
    <t>Name_153</t>
  </si>
  <si>
    <t>Name_154</t>
  </si>
  <si>
    <t>Name_155</t>
  </si>
  <si>
    <t>Name_156</t>
  </si>
  <si>
    <t>Name_157</t>
  </si>
  <si>
    <t>Name_158</t>
  </si>
  <si>
    <t>Name_159</t>
  </si>
  <si>
    <t>Name_160</t>
  </si>
  <si>
    <t>Name_161</t>
  </si>
  <si>
    <t>Name_162</t>
  </si>
  <si>
    <t>Name_163</t>
  </si>
  <si>
    <t>Name_164</t>
  </si>
  <si>
    <t>Name_165</t>
  </si>
  <si>
    <t>Name_166</t>
  </si>
  <si>
    <t>Name_167</t>
  </si>
  <si>
    <t>Name_168</t>
  </si>
  <si>
    <t>Name_169</t>
  </si>
  <si>
    <t>Name_170</t>
  </si>
  <si>
    <t>Name_171</t>
  </si>
  <si>
    <t>Name_172</t>
  </si>
  <si>
    <t>Name_173</t>
  </si>
  <si>
    <t>Name_174</t>
  </si>
  <si>
    <t>Name_175</t>
  </si>
  <si>
    <t>Name_176</t>
  </si>
  <si>
    <t>Name_177</t>
  </si>
  <si>
    <t>Name_178</t>
  </si>
  <si>
    <t>Name_179</t>
  </si>
  <si>
    <t>Name_180</t>
  </si>
  <si>
    <t>Name_181</t>
  </si>
  <si>
    <t>Name_182</t>
  </si>
  <si>
    <t>Name_183</t>
  </si>
  <si>
    <t>Name_184</t>
  </si>
  <si>
    <t>Name_185</t>
  </si>
  <si>
    <t>Name_186</t>
  </si>
  <si>
    <t>Name_187</t>
  </si>
  <si>
    <t>Name_188</t>
  </si>
  <si>
    <t>Name_189</t>
  </si>
  <si>
    <t>Name_190</t>
  </si>
  <si>
    <t>Name_191</t>
  </si>
  <si>
    <t>Name_192</t>
  </si>
  <si>
    <t>Name_193</t>
  </si>
  <si>
    <t>Name_194</t>
  </si>
  <si>
    <t>Name_195</t>
  </si>
  <si>
    <t>Name_196</t>
  </si>
  <si>
    <t>Name_197</t>
  </si>
  <si>
    <t>Name_198</t>
  </si>
  <si>
    <t>Name_199</t>
  </si>
  <si>
    <t>Name_200</t>
  </si>
  <si>
    <t>Name_201</t>
  </si>
  <si>
    <t>Name_202</t>
  </si>
  <si>
    <t>Name_203</t>
  </si>
  <si>
    <t>Name_204</t>
  </si>
  <si>
    <t>Name_205</t>
  </si>
  <si>
    <t>Name_206</t>
  </si>
  <si>
    <t>Name_207</t>
  </si>
  <si>
    <t>Name_208</t>
  </si>
  <si>
    <t>Name_209</t>
  </si>
  <si>
    <t>Name_210</t>
  </si>
  <si>
    <t>Name_211</t>
  </si>
  <si>
    <t>Name_212</t>
  </si>
  <si>
    <t>Name_213</t>
  </si>
  <si>
    <t>Name_214</t>
  </si>
  <si>
    <t>Name_215</t>
  </si>
  <si>
    <t>Name_216</t>
  </si>
  <si>
    <t>Name_217</t>
  </si>
  <si>
    <t>Name_218</t>
  </si>
  <si>
    <t>Name_219</t>
  </si>
  <si>
    <t>Name_220</t>
  </si>
  <si>
    <t>Name_221</t>
  </si>
  <si>
    <t>Name_222</t>
  </si>
  <si>
    <t>Name_223</t>
  </si>
  <si>
    <t>Name_224</t>
  </si>
  <si>
    <t>Name_225</t>
  </si>
  <si>
    <t>Name_226</t>
  </si>
  <si>
    <t>Name_227</t>
  </si>
  <si>
    <t>Name_228</t>
  </si>
  <si>
    <t>Name_229</t>
  </si>
  <si>
    <t>Name_230</t>
  </si>
  <si>
    <t>Name_231</t>
  </si>
  <si>
    <t>Name_232</t>
  </si>
  <si>
    <t>Name_233</t>
  </si>
  <si>
    <t>Name_234</t>
  </si>
  <si>
    <t>Name_235</t>
  </si>
  <si>
    <t>Name_236</t>
  </si>
  <si>
    <t>Name_237</t>
  </si>
  <si>
    <t>Name_238</t>
  </si>
  <si>
    <t>Name_239</t>
  </si>
  <si>
    <t>Name_240</t>
  </si>
  <si>
    <t>Name_241</t>
  </si>
  <si>
    <t>Name_242</t>
  </si>
  <si>
    <t>Name_243</t>
  </si>
  <si>
    <t>Name_244</t>
  </si>
  <si>
    <t>Name_245</t>
  </si>
  <si>
    <t>Name_246</t>
  </si>
  <si>
    <t>Name_247</t>
  </si>
  <si>
    <t>Name_248</t>
  </si>
  <si>
    <t>Name_249</t>
  </si>
  <si>
    <t>Name_250</t>
  </si>
  <si>
    <t>Name_251</t>
  </si>
  <si>
    <t>Name_252</t>
  </si>
  <si>
    <t>Name_253</t>
  </si>
  <si>
    <t>Name_254</t>
  </si>
  <si>
    <t>Name_255</t>
  </si>
  <si>
    <t>Name_256</t>
  </si>
  <si>
    <t>Name_257</t>
  </si>
  <si>
    <t>Name_258</t>
  </si>
  <si>
    <t>Name_259</t>
  </si>
  <si>
    <t>Name_260</t>
  </si>
  <si>
    <t>Name_261</t>
  </si>
  <si>
    <t>Name_262</t>
  </si>
  <si>
    <t>Name_263</t>
  </si>
  <si>
    <t>Name_264</t>
  </si>
  <si>
    <t>Name_265</t>
  </si>
  <si>
    <t>Name_266</t>
  </si>
  <si>
    <t>Name_267</t>
  </si>
  <si>
    <t>Name_268</t>
  </si>
  <si>
    <t>Name_269</t>
  </si>
  <si>
    <t>Name_270</t>
  </si>
  <si>
    <t>Name_271</t>
  </si>
  <si>
    <t>Name_272</t>
  </si>
  <si>
    <t>Name_273</t>
  </si>
  <si>
    <t>Name_274</t>
  </si>
  <si>
    <t>Name_275</t>
  </si>
  <si>
    <t>Name_276</t>
  </si>
  <si>
    <t>Name_277</t>
  </si>
  <si>
    <t>Name_278</t>
  </si>
  <si>
    <t>Name_279</t>
  </si>
  <si>
    <t>Name_280</t>
  </si>
  <si>
    <t>Name_281</t>
  </si>
  <si>
    <t>Name_282</t>
  </si>
  <si>
    <t>Name_283</t>
  </si>
  <si>
    <t>Name_284</t>
  </si>
  <si>
    <t>Name_285</t>
  </si>
  <si>
    <t>Name_286</t>
  </si>
  <si>
    <t>Name_287</t>
  </si>
  <si>
    <t>Name_288</t>
  </si>
  <si>
    <t>Name_289</t>
  </si>
  <si>
    <t>Name_290</t>
  </si>
  <si>
    <t>Name_291</t>
  </si>
  <si>
    <t>Name_292</t>
  </si>
  <si>
    <t>Name_293</t>
  </si>
  <si>
    <t>Name_294</t>
  </si>
  <si>
    <t>Name_295</t>
  </si>
  <si>
    <t>Name_296</t>
  </si>
  <si>
    <t>Name_297</t>
  </si>
  <si>
    <t>Name_298</t>
  </si>
  <si>
    <t>Name_299</t>
  </si>
  <si>
    <t>Name_300</t>
  </si>
  <si>
    <t>Name_301</t>
  </si>
  <si>
    <t>Name_302</t>
  </si>
  <si>
    <t>Name_303</t>
  </si>
  <si>
    <t>Name_304</t>
  </si>
  <si>
    <t>Name_305</t>
  </si>
  <si>
    <t>Name_306</t>
  </si>
  <si>
    <t>Name_307</t>
  </si>
  <si>
    <t>Name_308</t>
  </si>
  <si>
    <t>Name_309</t>
  </si>
  <si>
    <t>Name_310</t>
  </si>
  <si>
    <t>Name_311</t>
  </si>
  <si>
    <t>Name_312</t>
  </si>
  <si>
    <t>Name_313</t>
  </si>
  <si>
    <t>Name_314</t>
  </si>
  <si>
    <t>Name_315</t>
  </si>
  <si>
    <t>Name_316</t>
  </si>
  <si>
    <t>Name_317</t>
  </si>
  <si>
    <t>Name_318</t>
  </si>
  <si>
    <t>Name_319</t>
  </si>
  <si>
    <t>Name_320</t>
  </si>
  <si>
    <t>Name_321</t>
  </si>
  <si>
    <t>Name_322</t>
  </si>
  <si>
    <t>Name_323</t>
  </si>
  <si>
    <t>Name_324</t>
  </si>
  <si>
    <t>Name_325</t>
  </si>
  <si>
    <t>Name_326</t>
  </si>
  <si>
    <t>Name_327</t>
  </si>
  <si>
    <t>Name_328</t>
  </si>
  <si>
    <t>Name_329</t>
  </si>
  <si>
    <t>Name_330</t>
  </si>
  <si>
    <t>Name_331</t>
  </si>
  <si>
    <t>Name_332</t>
  </si>
  <si>
    <t>Name_333</t>
  </si>
  <si>
    <t>Name_334</t>
  </si>
  <si>
    <t>Name_335</t>
  </si>
  <si>
    <t>Name_336</t>
  </si>
  <si>
    <t>Name_337</t>
  </si>
  <si>
    <t>Name_338</t>
  </si>
  <si>
    <t>Name_339</t>
  </si>
  <si>
    <t>Name_340</t>
  </si>
  <si>
    <t>Name_341</t>
  </si>
  <si>
    <t>Name_342</t>
  </si>
  <si>
    <t>Name_343</t>
  </si>
  <si>
    <t>Name_344</t>
  </si>
  <si>
    <t>Name_345</t>
  </si>
  <si>
    <t>Name_346</t>
  </si>
  <si>
    <t>Name_347</t>
  </si>
  <si>
    <t>Name_348</t>
  </si>
  <si>
    <t>Name_349</t>
  </si>
  <si>
    <t>Name_350</t>
  </si>
  <si>
    <t>Name_351</t>
  </si>
  <si>
    <t>Name_352</t>
  </si>
  <si>
    <t>Name_353</t>
  </si>
  <si>
    <t>Name_354</t>
  </si>
  <si>
    <t>Name_355</t>
  </si>
  <si>
    <t>Name_356</t>
  </si>
  <si>
    <t>Name_357</t>
  </si>
  <si>
    <t>Name_358</t>
  </si>
  <si>
    <t>Name_359</t>
  </si>
  <si>
    <t>Name_360</t>
  </si>
  <si>
    <t>Name_361</t>
  </si>
  <si>
    <t>Name_362</t>
  </si>
  <si>
    <t>Name_363</t>
  </si>
  <si>
    <t>Name_364</t>
  </si>
  <si>
    <t>Name_365</t>
  </si>
  <si>
    <t>Name_366</t>
  </si>
  <si>
    <t>Name_367</t>
  </si>
  <si>
    <t>Name_368</t>
  </si>
  <si>
    <t>Name_369</t>
  </si>
  <si>
    <t>Name_370</t>
  </si>
  <si>
    <t>Name_371</t>
  </si>
  <si>
    <t>Name_372</t>
  </si>
  <si>
    <t>Name_373</t>
  </si>
  <si>
    <t>Name_374</t>
  </si>
  <si>
    <t>Name_375</t>
  </si>
  <si>
    <t>Name_376</t>
  </si>
  <si>
    <t>Name_377</t>
  </si>
  <si>
    <t>Name_378</t>
  </si>
  <si>
    <t>Name_379</t>
  </si>
  <si>
    <t>Name_380</t>
  </si>
  <si>
    <t>Name_381</t>
  </si>
  <si>
    <t>Name_382</t>
  </si>
  <si>
    <t>Name_383</t>
  </si>
  <si>
    <t>Name_384</t>
  </si>
  <si>
    <t>Name_385</t>
  </si>
  <si>
    <t>Name_386</t>
  </si>
  <si>
    <t>Name_387</t>
  </si>
  <si>
    <t>Name_388</t>
  </si>
  <si>
    <t>Name_389</t>
  </si>
  <si>
    <t>Name_390</t>
  </si>
  <si>
    <t>Name_391</t>
  </si>
  <si>
    <t>Name_392</t>
  </si>
  <si>
    <t>Name_393</t>
  </si>
  <si>
    <t>Name_394</t>
  </si>
  <si>
    <t>Name_395</t>
  </si>
  <si>
    <t>Name_396</t>
  </si>
  <si>
    <t>Name_397</t>
  </si>
  <si>
    <t>Name_398</t>
  </si>
  <si>
    <t>Name_399</t>
  </si>
  <si>
    <t>Name_400</t>
  </si>
  <si>
    <t>Name_401</t>
  </si>
  <si>
    <t>Name_402</t>
  </si>
  <si>
    <t>Name_403</t>
  </si>
  <si>
    <t>Name_404</t>
  </si>
  <si>
    <t>Name_405</t>
  </si>
  <si>
    <t>Name_406</t>
  </si>
  <si>
    <t>Name_407</t>
  </si>
  <si>
    <t>Name_408</t>
  </si>
  <si>
    <t>Name_409</t>
  </si>
  <si>
    <t>Name_410</t>
  </si>
  <si>
    <t>Name_411</t>
  </si>
  <si>
    <t>Name_412</t>
  </si>
  <si>
    <t>Name_413</t>
  </si>
  <si>
    <t>Name_414</t>
  </si>
  <si>
    <t>Name_415</t>
  </si>
  <si>
    <t>Name_416</t>
  </si>
  <si>
    <t>Name_417</t>
  </si>
  <si>
    <t>Name_418</t>
  </si>
  <si>
    <t>Name_419</t>
  </si>
  <si>
    <t>Name_420</t>
  </si>
  <si>
    <t>Name_421</t>
  </si>
  <si>
    <t>Name_422</t>
  </si>
  <si>
    <t>Name_423</t>
  </si>
  <si>
    <t>Name_424</t>
  </si>
  <si>
    <t>Name_425</t>
  </si>
  <si>
    <t>Name_426</t>
  </si>
  <si>
    <t>Name_427</t>
  </si>
  <si>
    <t>Name_428</t>
  </si>
  <si>
    <t>Name_429</t>
  </si>
  <si>
    <t>Name_430</t>
  </si>
  <si>
    <t>Name_431</t>
  </si>
  <si>
    <t>Name_432</t>
  </si>
  <si>
    <t>Name_433</t>
  </si>
  <si>
    <t>Name_434</t>
  </si>
  <si>
    <t>Name_435</t>
  </si>
  <si>
    <t>Name_436</t>
  </si>
  <si>
    <t>Name_437</t>
  </si>
  <si>
    <t>Name_438</t>
  </si>
  <si>
    <t>Name_439</t>
  </si>
  <si>
    <t>Name_440</t>
  </si>
  <si>
    <t>Name_441</t>
  </si>
  <si>
    <t>Name_442</t>
  </si>
  <si>
    <t>Name_443</t>
  </si>
  <si>
    <t>Name_444</t>
  </si>
  <si>
    <t>Name_445</t>
  </si>
  <si>
    <t>Name_446</t>
  </si>
  <si>
    <t>Name_447</t>
  </si>
  <si>
    <t>Name_448</t>
  </si>
  <si>
    <t>Name_449</t>
  </si>
  <si>
    <t>Name_450</t>
  </si>
  <si>
    <t>Name_451</t>
  </si>
  <si>
    <t>Name_452</t>
  </si>
  <si>
    <t>Name_453</t>
  </si>
  <si>
    <t>Name_454</t>
  </si>
  <si>
    <t>Name_455</t>
  </si>
  <si>
    <t>Name_456</t>
  </si>
  <si>
    <t>Name_457</t>
  </si>
  <si>
    <t>Name_458</t>
  </si>
  <si>
    <t>Name_459</t>
  </si>
  <si>
    <t>Name_460</t>
  </si>
  <si>
    <t>Name_461</t>
  </si>
  <si>
    <t>Name_462</t>
  </si>
  <si>
    <t>Name_463</t>
  </si>
  <si>
    <t>Name_464</t>
  </si>
  <si>
    <t>Name_465</t>
  </si>
  <si>
    <t>Name_466</t>
  </si>
  <si>
    <t>Name_467</t>
  </si>
  <si>
    <t>Name_468</t>
  </si>
  <si>
    <t>Name_469</t>
  </si>
  <si>
    <t>Name_470</t>
  </si>
  <si>
    <t>Name_471</t>
  </si>
  <si>
    <t>Name_472</t>
  </si>
  <si>
    <t>Name_473</t>
  </si>
  <si>
    <t>Name_474</t>
  </si>
  <si>
    <t>Name_475</t>
  </si>
  <si>
    <t>Name_476</t>
  </si>
  <si>
    <t>Name_477</t>
  </si>
  <si>
    <t>Name_478</t>
  </si>
  <si>
    <t>Name_479</t>
  </si>
  <si>
    <t>Name_480</t>
  </si>
  <si>
    <t>Name_481</t>
  </si>
  <si>
    <t>Name_482</t>
  </si>
  <si>
    <t>Name_483</t>
  </si>
  <si>
    <t>Name_484</t>
  </si>
  <si>
    <t>Name_485</t>
  </si>
  <si>
    <t>Name_486</t>
  </si>
  <si>
    <t>Name_487</t>
  </si>
  <si>
    <t>Name_488</t>
  </si>
  <si>
    <t>Name_489</t>
  </si>
  <si>
    <t>Name_490</t>
  </si>
  <si>
    <t>Name_491</t>
  </si>
  <si>
    <t>Name_492</t>
  </si>
  <si>
    <t>Name_493</t>
  </si>
  <si>
    <t>Name_494</t>
  </si>
  <si>
    <t>Name_495</t>
  </si>
  <si>
    <t>Name_496</t>
  </si>
  <si>
    <t>Name_497</t>
  </si>
  <si>
    <t>Name_498</t>
  </si>
  <si>
    <t>Name_499</t>
  </si>
  <si>
    <t>Name_500</t>
  </si>
  <si>
    <t>Name_501</t>
  </si>
  <si>
    <t>Name_502</t>
  </si>
  <si>
    <t>Name_503</t>
  </si>
  <si>
    <t>Name_504</t>
  </si>
  <si>
    <t>Name_505</t>
  </si>
  <si>
    <t>Name_506</t>
  </si>
  <si>
    <t>Name_507</t>
  </si>
  <si>
    <t>Name_508</t>
  </si>
  <si>
    <t>Name_509</t>
  </si>
  <si>
    <t>Name_510</t>
  </si>
  <si>
    <t>Name_511</t>
  </si>
  <si>
    <t>Name_512</t>
  </si>
  <si>
    <t>Name_513</t>
  </si>
  <si>
    <t>Name_514</t>
  </si>
  <si>
    <t>Name_515</t>
  </si>
  <si>
    <t>Name_516</t>
  </si>
  <si>
    <t>Name_517</t>
  </si>
  <si>
    <t>Name_518</t>
  </si>
  <si>
    <t>Name_519</t>
  </si>
  <si>
    <t>Name_520</t>
  </si>
  <si>
    <t>Name_521</t>
  </si>
  <si>
    <t>Name_522</t>
  </si>
  <si>
    <t>Name_523</t>
  </si>
  <si>
    <t>Name_524</t>
  </si>
  <si>
    <t>Name_525</t>
  </si>
  <si>
    <t>Name_526</t>
  </si>
  <si>
    <t>Name_527</t>
  </si>
  <si>
    <t>Name_528</t>
  </si>
  <si>
    <t>Name_529</t>
  </si>
  <si>
    <t>Name_530</t>
  </si>
  <si>
    <t>Name_531</t>
  </si>
  <si>
    <t>Name_532</t>
  </si>
  <si>
    <t>Name_533</t>
  </si>
  <si>
    <t>Name_534</t>
  </si>
  <si>
    <t>Name_535</t>
  </si>
  <si>
    <t>Name_536</t>
  </si>
  <si>
    <t>Name_537</t>
  </si>
  <si>
    <t>Name_538</t>
  </si>
  <si>
    <t>Name_539</t>
  </si>
  <si>
    <t>Name_540</t>
  </si>
  <si>
    <t>Name_541</t>
  </si>
  <si>
    <t>Name_542</t>
  </si>
  <si>
    <t>Name_543</t>
  </si>
  <si>
    <t>Name_544</t>
  </si>
  <si>
    <t>Name_545</t>
  </si>
  <si>
    <t>Name_546</t>
  </si>
  <si>
    <t>Name_547</t>
  </si>
  <si>
    <t>Name_548</t>
  </si>
  <si>
    <t>Name_549</t>
  </si>
  <si>
    <t>Name_550</t>
  </si>
  <si>
    <t>Name_551</t>
  </si>
  <si>
    <t>Name_552</t>
  </si>
  <si>
    <t>Name_553</t>
  </si>
  <si>
    <t>Name_554</t>
  </si>
  <si>
    <t>Name_555</t>
  </si>
  <si>
    <t>Name_556</t>
  </si>
  <si>
    <t>Name_557</t>
  </si>
  <si>
    <t>Name_558</t>
  </si>
  <si>
    <t>Name_559</t>
  </si>
  <si>
    <t>Name_560</t>
  </si>
  <si>
    <t>Name_561</t>
  </si>
  <si>
    <t>Name_562</t>
  </si>
  <si>
    <t>Name_563</t>
  </si>
  <si>
    <t>Name_564</t>
  </si>
  <si>
    <t>Name_565</t>
  </si>
  <si>
    <t>Name_566</t>
  </si>
  <si>
    <t>Name_567</t>
  </si>
  <si>
    <t>Name_568</t>
  </si>
  <si>
    <t>Name_569</t>
  </si>
  <si>
    <t>Name_570</t>
  </si>
  <si>
    <t>Name_571</t>
  </si>
  <si>
    <t>Name_572</t>
  </si>
  <si>
    <t>Name_573</t>
  </si>
  <si>
    <t>Name_574</t>
  </si>
  <si>
    <t>Name_575</t>
  </si>
  <si>
    <t>Name_576</t>
  </si>
  <si>
    <t>Name_577</t>
  </si>
  <si>
    <t>Name_578</t>
  </si>
  <si>
    <t>Name_579</t>
  </si>
  <si>
    <t>Name_580</t>
  </si>
  <si>
    <t>Name_581</t>
  </si>
  <si>
    <t>Name_582</t>
  </si>
  <si>
    <t>Name_583</t>
  </si>
  <si>
    <t>Name_584</t>
  </si>
  <si>
    <t>Name_585</t>
  </si>
  <si>
    <t>Name_586</t>
  </si>
  <si>
    <t>Name_587</t>
  </si>
  <si>
    <t>Name_588</t>
  </si>
  <si>
    <t>Name_589</t>
  </si>
  <si>
    <t>Name_590</t>
  </si>
  <si>
    <t>Name_591</t>
  </si>
  <si>
    <t>Name_592</t>
  </si>
  <si>
    <t>Name_593</t>
  </si>
  <si>
    <t>Name_594</t>
  </si>
  <si>
    <t>Name_595</t>
  </si>
  <si>
    <t>Name_596</t>
  </si>
  <si>
    <t>Name_597</t>
  </si>
  <si>
    <t>Name_598</t>
  </si>
  <si>
    <t>Name_599</t>
  </si>
  <si>
    <t>Name_600</t>
  </si>
  <si>
    <t>Name_601</t>
  </si>
  <si>
    <t>Name_602</t>
  </si>
  <si>
    <t>Name_603</t>
  </si>
  <si>
    <t>Name_604</t>
  </si>
  <si>
    <t>Name_605</t>
  </si>
  <si>
    <t>Name_606</t>
  </si>
  <si>
    <t>Name_607</t>
  </si>
  <si>
    <t>Name_608</t>
  </si>
  <si>
    <t>Name_609</t>
  </si>
  <si>
    <t>Name_610</t>
  </si>
  <si>
    <t>Name_611</t>
  </si>
  <si>
    <t>Name_612</t>
  </si>
  <si>
    <t>Name_613</t>
  </si>
  <si>
    <t>Name_614</t>
  </si>
  <si>
    <t>Name_615</t>
  </si>
  <si>
    <t>Name_616</t>
  </si>
  <si>
    <t>Name_617</t>
  </si>
  <si>
    <t>Name_618</t>
  </si>
  <si>
    <t>Name_619</t>
  </si>
  <si>
    <t>Name_620</t>
  </si>
  <si>
    <t>Name_621</t>
  </si>
  <si>
    <t>Name_622</t>
  </si>
  <si>
    <t>Name_623</t>
  </si>
  <si>
    <t>Name_624</t>
  </si>
  <si>
    <t>Name_625</t>
  </si>
  <si>
    <t>Name_626</t>
  </si>
  <si>
    <t>Name_627</t>
  </si>
  <si>
    <t>Name_628</t>
  </si>
  <si>
    <t>Name_629</t>
  </si>
  <si>
    <t>Name_630</t>
  </si>
  <si>
    <t>Name_631</t>
  </si>
  <si>
    <t>Name_632</t>
  </si>
  <si>
    <t>Name_633</t>
  </si>
  <si>
    <t>Name_634</t>
  </si>
  <si>
    <t>Name_635</t>
  </si>
  <si>
    <t>Name_636</t>
  </si>
  <si>
    <t>Name_637</t>
  </si>
  <si>
    <t>Name_638</t>
  </si>
  <si>
    <t>Name_639</t>
  </si>
  <si>
    <t>Name_640</t>
  </si>
  <si>
    <t>Name_641</t>
  </si>
  <si>
    <t>Name_642</t>
  </si>
  <si>
    <t>Name_643</t>
  </si>
  <si>
    <t>Name_644</t>
  </si>
  <si>
    <t>Name_645</t>
  </si>
  <si>
    <t>Name_646</t>
  </si>
  <si>
    <t>Name_647</t>
  </si>
  <si>
    <t>Name_648</t>
  </si>
  <si>
    <t>Name_649</t>
  </si>
  <si>
    <t>Name_650</t>
  </si>
  <si>
    <t>Name_651</t>
  </si>
  <si>
    <t>Name_652</t>
  </si>
  <si>
    <t>Name_653</t>
  </si>
  <si>
    <t>Name_654</t>
  </si>
  <si>
    <t>Name_655</t>
  </si>
  <si>
    <t>Name_656</t>
  </si>
  <si>
    <t>Name_657</t>
  </si>
  <si>
    <t>Name_658</t>
  </si>
  <si>
    <t>Name_659</t>
  </si>
  <si>
    <t>Name_660</t>
  </si>
  <si>
    <t>Name_661</t>
  </si>
  <si>
    <t>Name_662</t>
  </si>
  <si>
    <t>Name_663</t>
  </si>
  <si>
    <t>Name_664</t>
  </si>
  <si>
    <t>Name_665</t>
  </si>
  <si>
    <t>Name_666</t>
  </si>
  <si>
    <t>Name_667</t>
  </si>
  <si>
    <t>Name_668</t>
  </si>
  <si>
    <t>Name_669</t>
  </si>
  <si>
    <t>Name_670</t>
  </si>
  <si>
    <t>Name_671</t>
  </si>
  <si>
    <t>Name_672</t>
  </si>
  <si>
    <t>Name_673</t>
  </si>
  <si>
    <t>Name_674</t>
  </si>
  <si>
    <t>Name_675</t>
  </si>
  <si>
    <t>Name_676</t>
  </si>
  <si>
    <t>Name_677</t>
  </si>
  <si>
    <t>Name_678</t>
  </si>
  <si>
    <t>Name_679</t>
  </si>
  <si>
    <t>Name_680</t>
  </si>
  <si>
    <t>Name_681</t>
  </si>
  <si>
    <t>Name_682</t>
  </si>
  <si>
    <t>Name_683</t>
  </si>
  <si>
    <t>Name_684</t>
  </si>
  <si>
    <t>Name_685</t>
  </si>
  <si>
    <t>Name_686</t>
  </si>
  <si>
    <t>Name_687</t>
  </si>
  <si>
    <t>Name_688</t>
  </si>
  <si>
    <t>Name_689</t>
  </si>
  <si>
    <t>Name_690</t>
  </si>
  <si>
    <t>Name_691</t>
  </si>
  <si>
    <t>Name_692</t>
  </si>
  <si>
    <t>Name_693</t>
  </si>
  <si>
    <t>Name_694</t>
  </si>
  <si>
    <t>Name_695</t>
  </si>
  <si>
    <t>Name_696</t>
  </si>
  <si>
    <t>Name_697</t>
  </si>
  <si>
    <t>Name_698</t>
  </si>
  <si>
    <t>Name_699</t>
  </si>
  <si>
    <t>Name_700</t>
  </si>
  <si>
    <t>Name_701</t>
  </si>
  <si>
    <t>Name_702</t>
  </si>
  <si>
    <t>Name_703</t>
  </si>
  <si>
    <t>Name_704</t>
  </si>
  <si>
    <t>Name_705</t>
  </si>
  <si>
    <t>Name_706</t>
  </si>
  <si>
    <t>Name_707</t>
  </si>
  <si>
    <t>Name_708</t>
  </si>
  <si>
    <t>Name_709</t>
  </si>
  <si>
    <t>Name_710</t>
  </si>
  <si>
    <t>Name_711</t>
  </si>
  <si>
    <t>Name_712</t>
  </si>
  <si>
    <t>Name_713</t>
  </si>
  <si>
    <t>Name_714</t>
  </si>
  <si>
    <t>Name_715</t>
  </si>
  <si>
    <t>Name_716</t>
  </si>
  <si>
    <t>Name_717</t>
  </si>
  <si>
    <t>Name_718</t>
  </si>
  <si>
    <t>Name_719</t>
  </si>
  <si>
    <t>Name_720</t>
  </si>
  <si>
    <t>Name_721</t>
  </si>
  <si>
    <t>Name_722</t>
  </si>
  <si>
    <t>Name_723</t>
  </si>
  <si>
    <t>Name_724</t>
  </si>
  <si>
    <t>Name_725</t>
  </si>
  <si>
    <t>Name_726</t>
  </si>
  <si>
    <t>Name_727</t>
  </si>
  <si>
    <t>Name_728</t>
  </si>
  <si>
    <t>Name_729</t>
  </si>
  <si>
    <t>Name_730</t>
  </si>
  <si>
    <t>Name_731</t>
  </si>
  <si>
    <t>Name_732</t>
  </si>
  <si>
    <t>Name_733</t>
  </si>
  <si>
    <t>Name_734</t>
  </si>
  <si>
    <t>Name_735</t>
  </si>
  <si>
    <t>Name_736</t>
  </si>
  <si>
    <t>Name_737</t>
  </si>
  <si>
    <t>Name_738</t>
  </si>
  <si>
    <t>Name_739</t>
  </si>
  <si>
    <t>Name_740</t>
  </si>
  <si>
    <t>Name_741</t>
  </si>
  <si>
    <t>Name_742</t>
  </si>
  <si>
    <t>Name_743</t>
  </si>
  <si>
    <t>Name_744</t>
  </si>
  <si>
    <t>Name_745</t>
  </si>
  <si>
    <t>Name_746</t>
  </si>
  <si>
    <t>Name_747</t>
  </si>
  <si>
    <t>Name_748</t>
  </si>
  <si>
    <t>Name_749</t>
  </si>
  <si>
    <t>Name_750</t>
  </si>
  <si>
    <t>Name_751</t>
  </si>
  <si>
    <t>Name_752</t>
  </si>
  <si>
    <t>Name_753</t>
  </si>
  <si>
    <t>Name_754</t>
  </si>
  <si>
    <t>Name_755</t>
  </si>
  <si>
    <t>Name_756</t>
  </si>
  <si>
    <t>Name_757</t>
  </si>
  <si>
    <t>Name_758</t>
  </si>
  <si>
    <t>Name_759</t>
  </si>
  <si>
    <t>Name_760</t>
  </si>
  <si>
    <t>Name_761</t>
  </si>
  <si>
    <t>Name_762</t>
  </si>
  <si>
    <t>Name_763</t>
  </si>
  <si>
    <t>Name_764</t>
  </si>
  <si>
    <t>Name_765</t>
  </si>
  <si>
    <t>Name_766</t>
  </si>
  <si>
    <t>Name_767</t>
  </si>
  <si>
    <t>Name_768</t>
  </si>
  <si>
    <t>Name_769</t>
  </si>
  <si>
    <t>Name_770</t>
  </si>
  <si>
    <t>Name_771</t>
  </si>
  <si>
    <t>Name_772</t>
  </si>
  <si>
    <t>Name_773</t>
  </si>
  <si>
    <t>Name_774</t>
  </si>
  <si>
    <t>Name_775</t>
  </si>
  <si>
    <t>Name_776</t>
  </si>
  <si>
    <t>Name_777</t>
  </si>
  <si>
    <t>Name_778</t>
  </si>
  <si>
    <t>Name_779</t>
  </si>
  <si>
    <t>Name_780</t>
  </si>
  <si>
    <t>Name_781</t>
  </si>
  <si>
    <t>Name_782</t>
  </si>
  <si>
    <t>Name_783</t>
  </si>
  <si>
    <t>Name_784</t>
  </si>
  <si>
    <t>Name_785</t>
  </si>
  <si>
    <t>Name_786</t>
  </si>
  <si>
    <t>Name_787</t>
  </si>
  <si>
    <t>Name_788</t>
  </si>
  <si>
    <t>Name_789</t>
  </si>
  <si>
    <t>Name_790</t>
  </si>
  <si>
    <t>Name_791</t>
  </si>
  <si>
    <t>Name_792</t>
  </si>
  <si>
    <t>Name_793</t>
  </si>
  <si>
    <t>Name_794</t>
  </si>
  <si>
    <t>Name_795</t>
  </si>
  <si>
    <t>Name_796</t>
  </si>
  <si>
    <t>Name_797</t>
  </si>
  <si>
    <t>Name_798</t>
  </si>
  <si>
    <t>Name_799</t>
  </si>
  <si>
    <t>Name_800</t>
  </si>
  <si>
    <t>Name_801</t>
  </si>
  <si>
    <t>Name_802</t>
  </si>
  <si>
    <t>Name_803</t>
  </si>
  <si>
    <t>Name_804</t>
  </si>
  <si>
    <t>Name_805</t>
  </si>
  <si>
    <t>Name_806</t>
  </si>
  <si>
    <t>Name_807</t>
  </si>
  <si>
    <t>Name_808</t>
  </si>
  <si>
    <t>Name_809</t>
  </si>
  <si>
    <t>Name_810</t>
  </si>
  <si>
    <t>Name_811</t>
  </si>
  <si>
    <t>Name_812</t>
  </si>
  <si>
    <t>Name_813</t>
  </si>
  <si>
    <t>Name_814</t>
  </si>
  <si>
    <t>Name_815</t>
  </si>
  <si>
    <t>Name_816</t>
  </si>
  <si>
    <t>Name_817</t>
  </si>
  <si>
    <t>Name_818</t>
  </si>
  <si>
    <t>Name_819</t>
  </si>
  <si>
    <t>Name_820</t>
  </si>
  <si>
    <t>Name_821</t>
  </si>
  <si>
    <t>Name_822</t>
  </si>
  <si>
    <t>Name_823</t>
  </si>
  <si>
    <t>Name_824</t>
  </si>
  <si>
    <t>Name_825</t>
  </si>
  <si>
    <t>Name_826</t>
  </si>
  <si>
    <t>Name_827</t>
  </si>
  <si>
    <t>Name_828</t>
  </si>
  <si>
    <t>Name_829</t>
  </si>
  <si>
    <t>Name_830</t>
  </si>
  <si>
    <t>Name_831</t>
  </si>
  <si>
    <t>Name_832</t>
  </si>
  <si>
    <t>Name_833</t>
  </si>
  <si>
    <t>Name_834</t>
  </si>
  <si>
    <t>Name_835</t>
  </si>
  <si>
    <t>Name_836</t>
  </si>
  <si>
    <t>Name_837</t>
  </si>
  <si>
    <t>Name_838</t>
  </si>
  <si>
    <t>Name_839</t>
  </si>
  <si>
    <t>Name_840</t>
  </si>
  <si>
    <t>Name_841</t>
  </si>
  <si>
    <t>Name_842</t>
  </si>
  <si>
    <t>Name_843</t>
  </si>
  <si>
    <t>Name_844</t>
  </si>
  <si>
    <t>Name_845</t>
  </si>
  <si>
    <t>Name_846</t>
  </si>
  <si>
    <t>Name_847</t>
  </si>
  <si>
    <t>Name_848</t>
  </si>
  <si>
    <t>Name_849</t>
  </si>
  <si>
    <t>Name_850</t>
  </si>
  <si>
    <t>Name_851</t>
  </si>
  <si>
    <t>Name_852</t>
  </si>
  <si>
    <t>Name_853</t>
  </si>
  <si>
    <t>Name_854</t>
  </si>
  <si>
    <t>Name_855</t>
  </si>
  <si>
    <t>Name_856</t>
  </si>
  <si>
    <t>Name_857</t>
  </si>
  <si>
    <t>Name_858</t>
  </si>
  <si>
    <t>Name_859</t>
  </si>
  <si>
    <t>Name_860</t>
  </si>
  <si>
    <t>Name_861</t>
  </si>
  <si>
    <t>Name_862</t>
  </si>
  <si>
    <t>Name_863</t>
  </si>
  <si>
    <t>Name_864</t>
  </si>
  <si>
    <t>Name_865</t>
  </si>
  <si>
    <t>Name_866</t>
  </si>
  <si>
    <t>Name_867</t>
  </si>
  <si>
    <t>Name_868</t>
  </si>
  <si>
    <t>Name_869</t>
  </si>
  <si>
    <t>Name_870</t>
  </si>
  <si>
    <t>Name_871</t>
  </si>
  <si>
    <t>Name_872</t>
  </si>
  <si>
    <t>Name_873</t>
  </si>
  <si>
    <t>Name_874</t>
  </si>
  <si>
    <t>Name_875</t>
  </si>
  <si>
    <t>Name_876</t>
  </si>
  <si>
    <t>Name_877</t>
  </si>
  <si>
    <t>Name_878</t>
  </si>
  <si>
    <t>Name_879</t>
  </si>
  <si>
    <t>Name_880</t>
  </si>
  <si>
    <t>Name_881</t>
  </si>
  <si>
    <t>Name_882</t>
  </si>
  <si>
    <t>Name_883</t>
  </si>
  <si>
    <t>Name_884</t>
  </si>
  <si>
    <t>Name_885</t>
  </si>
  <si>
    <t>Name_886</t>
  </si>
  <si>
    <t>Name_887</t>
  </si>
  <si>
    <t>Name_888</t>
  </si>
  <si>
    <t>Name_889</t>
  </si>
  <si>
    <t>Name_890</t>
  </si>
  <si>
    <t>Name_891</t>
  </si>
  <si>
    <t>Name_892</t>
  </si>
  <si>
    <t>Name_893</t>
  </si>
  <si>
    <t>Name_894</t>
  </si>
  <si>
    <t>Name_895</t>
  </si>
  <si>
    <t>Name_896</t>
  </si>
  <si>
    <t>Name_897</t>
  </si>
  <si>
    <t>Name_898</t>
  </si>
  <si>
    <t>Name_899</t>
  </si>
  <si>
    <t>Name_900</t>
  </si>
  <si>
    <t>Name_901</t>
  </si>
  <si>
    <t>Name_902</t>
  </si>
  <si>
    <t>Name_903</t>
  </si>
  <si>
    <t>Name_904</t>
  </si>
  <si>
    <t>Name_905</t>
  </si>
  <si>
    <t>Name_906</t>
  </si>
  <si>
    <t>Name_907</t>
  </si>
  <si>
    <t>Name_908</t>
  </si>
  <si>
    <t>Name_909</t>
  </si>
  <si>
    <t>Name_910</t>
  </si>
  <si>
    <t>Name_911</t>
  </si>
  <si>
    <t>Name_912</t>
  </si>
  <si>
    <t>Name_913</t>
  </si>
  <si>
    <t>Name_914</t>
  </si>
  <si>
    <t>Name_915</t>
  </si>
  <si>
    <t>Name_916</t>
  </si>
  <si>
    <t>Name_917</t>
  </si>
  <si>
    <t>Name_918</t>
  </si>
  <si>
    <t>Name_919</t>
  </si>
  <si>
    <t>Name_920</t>
  </si>
  <si>
    <t>Name_921</t>
  </si>
  <si>
    <t>Name_922</t>
  </si>
  <si>
    <t>Name_923</t>
  </si>
  <si>
    <t>Name_924</t>
  </si>
  <si>
    <t>Name_925</t>
  </si>
  <si>
    <t>Name_926</t>
  </si>
  <si>
    <t>Name_927</t>
  </si>
  <si>
    <t>Name_928</t>
  </si>
  <si>
    <t>Name_929</t>
  </si>
  <si>
    <t>Name_930</t>
  </si>
  <si>
    <t>Name_931</t>
  </si>
  <si>
    <t>Name_932</t>
  </si>
  <si>
    <t>Name_933</t>
  </si>
  <si>
    <t>Name_934</t>
  </si>
  <si>
    <t>Name_935</t>
  </si>
  <si>
    <t>Name_936</t>
  </si>
  <si>
    <t>Name_937</t>
  </si>
  <si>
    <t>Name_938</t>
  </si>
  <si>
    <t>Name_939</t>
  </si>
  <si>
    <t>Name_940</t>
  </si>
  <si>
    <t>Name_941</t>
  </si>
  <si>
    <t>Name_942</t>
  </si>
  <si>
    <t>Name_943</t>
  </si>
  <si>
    <t>Name_944</t>
  </si>
  <si>
    <t>Name_945</t>
  </si>
  <si>
    <t>Name_946</t>
  </si>
  <si>
    <t>Name_947</t>
  </si>
  <si>
    <t>Name_948</t>
  </si>
  <si>
    <t>Name_949</t>
  </si>
  <si>
    <t>Name_950</t>
  </si>
  <si>
    <t>Name_951</t>
  </si>
  <si>
    <t>Name_952</t>
  </si>
  <si>
    <t>Name_953</t>
  </si>
  <si>
    <t>Name_954</t>
  </si>
  <si>
    <t>Name_955</t>
  </si>
  <si>
    <t>Name_956</t>
  </si>
  <si>
    <t>Name_957</t>
  </si>
  <si>
    <t>Name_958</t>
  </si>
  <si>
    <t>Name_959</t>
  </si>
  <si>
    <t>Name_960</t>
  </si>
  <si>
    <t>Name_961</t>
  </si>
  <si>
    <t>Name_962</t>
  </si>
  <si>
    <t>Name_963</t>
  </si>
  <si>
    <t>Name_964</t>
  </si>
  <si>
    <t>Name_965</t>
  </si>
  <si>
    <t>Name_966</t>
  </si>
  <si>
    <t>Name_967</t>
  </si>
  <si>
    <t>Name_968</t>
  </si>
  <si>
    <t>Name_969</t>
  </si>
  <si>
    <t>Name_970</t>
  </si>
  <si>
    <t>Name_971</t>
  </si>
  <si>
    <t>Name_972</t>
  </si>
  <si>
    <t>Name_973</t>
  </si>
  <si>
    <t>Name_974</t>
  </si>
  <si>
    <t>Name_975</t>
  </si>
  <si>
    <t>Name_976</t>
  </si>
  <si>
    <t>Name_977</t>
  </si>
  <si>
    <t>Name_978</t>
  </si>
  <si>
    <t>Name_979</t>
  </si>
  <si>
    <t>Name_980</t>
  </si>
  <si>
    <t>Name_981</t>
  </si>
  <si>
    <t>Name_982</t>
  </si>
  <si>
    <t>Name_983</t>
  </si>
  <si>
    <t>Name_984</t>
  </si>
  <si>
    <t>Name_985</t>
  </si>
  <si>
    <t>Name_986</t>
  </si>
  <si>
    <t>Name_987</t>
  </si>
  <si>
    <t>Name_988</t>
  </si>
  <si>
    <t>Name_989</t>
  </si>
  <si>
    <t>Name_990</t>
  </si>
  <si>
    <t>Name_991</t>
  </si>
  <si>
    <t>Name_992</t>
  </si>
  <si>
    <t>Name_993</t>
  </si>
  <si>
    <t>Name_994</t>
  </si>
  <si>
    <t>Name_995</t>
  </si>
  <si>
    <t>Name_996</t>
  </si>
  <si>
    <t>Name_997</t>
  </si>
  <si>
    <t>Name_998</t>
  </si>
  <si>
    <t>Name_999</t>
  </si>
  <si>
    <t>Name_1000</t>
  </si>
  <si>
    <t>Name_1001</t>
  </si>
  <si>
    <t>Name_1002</t>
  </si>
  <si>
    <t>Name_1003</t>
  </si>
  <si>
    <t>Name_1004</t>
  </si>
  <si>
    <t>Name_1005</t>
  </si>
  <si>
    <t>Name_1006</t>
  </si>
  <si>
    <t>Name_1007</t>
  </si>
  <si>
    <t>Name_1008</t>
  </si>
  <si>
    <t>Name_1009</t>
  </si>
  <si>
    <t>Name_1010</t>
  </si>
  <si>
    <t>Name_1011</t>
  </si>
  <si>
    <t>Name_1012</t>
  </si>
  <si>
    <t>Name_1013</t>
  </si>
  <si>
    <t>Name_1014</t>
  </si>
  <si>
    <t>Name_1015</t>
  </si>
  <si>
    <t>Name_1016</t>
  </si>
  <si>
    <t>Name_1017</t>
  </si>
  <si>
    <t>Name_1018</t>
  </si>
  <si>
    <t>Name_1019</t>
  </si>
  <si>
    <t>Name_1020</t>
  </si>
  <si>
    <t>Name_1021</t>
  </si>
  <si>
    <t>Name_1022</t>
  </si>
  <si>
    <t>Name_1023</t>
  </si>
  <si>
    <t>Name_1024</t>
  </si>
  <si>
    <t>Name_1025</t>
  </si>
  <si>
    <t>Name_1026</t>
  </si>
  <si>
    <t>Name_1027</t>
  </si>
  <si>
    <t>Name_1028</t>
  </si>
  <si>
    <t>Name_1029</t>
  </si>
  <si>
    <t>Name_1030</t>
  </si>
  <si>
    <t>Name_1031</t>
  </si>
  <si>
    <t>Name_1032</t>
  </si>
  <si>
    <t>Name_1033</t>
  </si>
  <si>
    <t>Name_1034</t>
  </si>
  <si>
    <t>Name_1035</t>
  </si>
  <si>
    <t>Name_1036</t>
  </si>
  <si>
    <t>Name_1037</t>
  </si>
  <si>
    <t>Name_1038</t>
  </si>
  <si>
    <t>Name_1039</t>
  </si>
  <si>
    <t>Name_1040</t>
  </si>
  <si>
    <t>Name_1041</t>
  </si>
  <si>
    <t>Name_1042</t>
  </si>
  <si>
    <t>Name_1043</t>
  </si>
  <si>
    <t>Name_1044</t>
  </si>
  <si>
    <t>Name_1045</t>
  </si>
  <si>
    <t>Name_1046</t>
  </si>
  <si>
    <t>Name_1047</t>
  </si>
  <si>
    <t>Name_1048</t>
  </si>
  <si>
    <t>Name_1049</t>
  </si>
  <si>
    <t>Name_1050</t>
  </si>
  <si>
    <t>Name_1051</t>
  </si>
  <si>
    <t>Name_1052</t>
  </si>
  <si>
    <t>Name_1053</t>
  </si>
  <si>
    <t>Name_1054</t>
  </si>
  <si>
    <t>Name_1055</t>
  </si>
  <si>
    <t>Name_1056</t>
  </si>
  <si>
    <t>Name_1057</t>
  </si>
  <si>
    <t>Name_1058</t>
  </si>
  <si>
    <t>Name_1059</t>
  </si>
  <si>
    <t>Name_1060</t>
  </si>
  <si>
    <t>Name_1061</t>
  </si>
  <si>
    <t>Name_1062</t>
  </si>
  <si>
    <t>Name_1063</t>
  </si>
  <si>
    <t>Name_1064</t>
  </si>
  <si>
    <t>Name_1065</t>
  </si>
  <si>
    <t>Name_1066</t>
  </si>
  <si>
    <t>Name_1067</t>
  </si>
  <si>
    <t>Name_1068</t>
  </si>
  <si>
    <t>Name_1069</t>
  </si>
  <si>
    <t>Name_1070</t>
  </si>
  <si>
    <t>Name_1071</t>
  </si>
  <si>
    <t>Name_1072</t>
  </si>
  <si>
    <t>Name_1073</t>
  </si>
  <si>
    <t>Name_1074</t>
  </si>
  <si>
    <t>Name_1075</t>
  </si>
  <si>
    <t>Name_1076</t>
  </si>
  <si>
    <t>Name_1077</t>
  </si>
  <si>
    <t>Name_1078</t>
  </si>
  <si>
    <t>Name_1079</t>
  </si>
  <si>
    <t>Name_1080</t>
  </si>
  <si>
    <t>Name_1081</t>
  </si>
  <si>
    <t>Name_1082</t>
  </si>
  <si>
    <t>Name_1083</t>
  </si>
  <si>
    <t>Name_1084</t>
  </si>
  <si>
    <t>Name_1085</t>
  </si>
  <si>
    <t>Name_1086</t>
  </si>
  <si>
    <t>Name_1087</t>
  </si>
  <si>
    <t>Name_1088</t>
  </si>
  <si>
    <t>Name_1089</t>
  </si>
  <si>
    <t>Name_1090</t>
  </si>
  <si>
    <t>Name_1091</t>
  </si>
  <si>
    <t>Name_1092</t>
  </si>
  <si>
    <t>Name_1093</t>
  </si>
  <si>
    <t>Name_1094</t>
  </si>
  <si>
    <t>Name_1095</t>
  </si>
  <si>
    <t>Name_1096</t>
  </si>
  <si>
    <t>Name_1097</t>
  </si>
  <si>
    <t>Name_1098</t>
  </si>
  <si>
    <t>Name_1099</t>
  </si>
  <si>
    <t>Name_1100</t>
  </si>
  <si>
    <t>Name_1101</t>
  </si>
  <si>
    <t>Name_1102</t>
  </si>
  <si>
    <t>Name_1103</t>
  </si>
  <si>
    <t>Name_1104</t>
  </si>
  <si>
    <t>Name_1105</t>
  </si>
  <si>
    <t>Name_1106</t>
  </si>
  <si>
    <t>Name_1107</t>
  </si>
  <si>
    <t>Name_1108</t>
  </si>
  <si>
    <t>Name_1109</t>
  </si>
  <si>
    <t>Name_1110</t>
  </si>
  <si>
    <t>Name_1111</t>
  </si>
  <si>
    <t>Name_1112</t>
  </si>
  <si>
    <t>Name_1113</t>
  </si>
  <si>
    <t>Name_1114</t>
  </si>
  <si>
    <t>Name_1115</t>
  </si>
  <si>
    <t>Name_1116</t>
  </si>
  <si>
    <t>Name_1117</t>
  </si>
  <si>
    <t>Name_1118</t>
  </si>
  <si>
    <t>Name_1119</t>
  </si>
  <si>
    <t>Name_1120</t>
  </si>
  <si>
    <t>Name_1121</t>
  </si>
  <si>
    <t>Name_1122</t>
  </si>
  <si>
    <t>Name_1123</t>
  </si>
  <si>
    <t>Name_1124</t>
  </si>
  <si>
    <t>Name_1125</t>
  </si>
  <si>
    <t>Name_1126</t>
  </si>
  <si>
    <t>Name_1127</t>
  </si>
  <si>
    <t>Name_1128</t>
  </si>
  <si>
    <t>Name_1129</t>
  </si>
  <si>
    <t>Name_1130</t>
  </si>
  <si>
    <t>Name_1131</t>
  </si>
  <si>
    <t>Name_1132</t>
  </si>
  <si>
    <t>Name_1133</t>
  </si>
  <si>
    <t>Name_1134</t>
  </si>
  <si>
    <t>Name_1135</t>
  </si>
  <si>
    <t>Name_1136</t>
  </si>
  <si>
    <t>Name_1137</t>
  </si>
  <si>
    <t>Name_1138</t>
  </si>
  <si>
    <t>Name_1139</t>
  </si>
  <si>
    <t>Name_1140</t>
  </si>
  <si>
    <t>Name_1141</t>
  </si>
  <si>
    <t>Name_1142</t>
  </si>
  <si>
    <t>Name_1143</t>
  </si>
  <si>
    <t>Name_1144</t>
  </si>
  <si>
    <t>Name_1145</t>
  </si>
  <si>
    <t>Name_1146</t>
  </si>
  <si>
    <t>Name_1147</t>
  </si>
  <si>
    <t>Name_1148</t>
  </si>
  <si>
    <t>Name_1149</t>
  </si>
  <si>
    <t>Name_1150</t>
  </si>
  <si>
    <t>Name_1151</t>
  </si>
  <si>
    <t>Name_1152</t>
  </si>
  <si>
    <t>Name_1153</t>
  </si>
  <si>
    <t>Name_1154</t>
  </si>
  <si>
    <t>Name_1155</t>
  </si>
  <si>
    <t>Name_1156</t>
  </si>
  <si>
    <t>Name_1157</t>
  </si>
  <si>
    <t>Name_1158</t>
  </si>
  <si>
    <t>Name_1159</t>
  </si>
  <si>
    <t>Name_1160</t>
  </si>
  <si>
    <t>Name_1161</t>
  </si>
  <si>
    <t>Name_1162</t>
  </si>
  <si>
    <t>Name_1163</t>
  </si>
  <si>
    <t>Name_1164</t>
  </si>
  <si>
    <t>Name_1165</t>
  </si>
  <si>
    <t>Name_1166</t>
  </si>
  <si>
    <t>Name_1167</t>
  </si>
  <si>
    <t>Name_1168</t>
  </si>
  <si>
    <t>Name_1169</t>
  </si>
  <si>
    <t>Name_1170</t>
  </si>
  <si>
    <t>Name_1171</t>
  </si>
  <si>
    <t>Name_1172</t>
  </si>
  <si>
    <t>Name_1173</t>
  </si>
  <si>
    <t>Name_1174</t>
  </si>
  <si>
    <t>Name_1175</t>
  </si>
  <si>
    <t>Name_1176</t>
  </si>
  <si>
    <t>Name_1177</t>
  </si>
  <si>
    <t>Name_1178</t>
  </si>
  <si>
    <t>Name_1179</t>
  </si>
  <si>
    <t>Name_1180</t>
  </si>
  <si>
    <t>Name_1181</t>
  </si>
  <si>
    <t>Name_1182</t>
  </si>
  <si>
    <t>Name_1183</t>
  </si>
  <si>
    <t>Name_1184</t>
  </si>
  <si>
    <t>Name_1185</t>
  </si>
  <si>
    <t>Name_1186</t>
  </si>
  <si>
    <t>Name_1187</t>
  </si>
  <si>
    <t>Name_1188</t>
  </si>
  <si>
    <t>Name_1189</t>
  </si>
  <si>
    <t>Name_1190</t>
  </si>
  <si>
    <t>Name_1191</t>
  </si>
  <si>
    <t>Name_1192</t>
  </si>
  <si>
    <t>Name_1193</t>
  </si>
  <si>
    <t>Name_1194</t>
  </si>
  <si>
    <t>Name_1195</t>
  </si>
  <si>
    <t>Name_1196</t>
  </si>
  <si>
    <t>Name_1197</t>
  </si>
  <si>
    <t>Name_1198</t>
  </si>
  <si>
    <t>Name_1199</t>
  </si>
  <si>
    <t>Name_1200</t>
  </si>
  <si>
    <t>Name_1201</t>
  </si>
  <si>
    <t>Name_1202</t>
  </si>
  <si>
    <t>Name_1203</t>
  </si>
  <si>
    <t>Name_1204</t>
  </si>
  <si>
    <t>Name_1205</t>
  </si>
  <si>
    <t>Name_1206</t>
  </si>
  <si>
    <t>Name_1207</t>
  </si>
  <si>
    <t>Name_1208</t>
  </si>
  <si>
    <t>Name_1209</t>
  </si>
  <si>
    <t>Name_1210</t>
  </si>
  <si>
    <t>Name_1211</t>
  </si>
  <si>
    <t>Name_1212</t>
  </si>
  <si>
    <t>Name_1213</t>
  </si>
  <si>
    <t>Name_1214</t>
  </si>
  <si>
    <t>Name_1215</t>
  </si>
  <si>
    <t>Name_1216</t>
  </si>
  <si>
    <t>Name_1217</t>
  </si>
  <si>
    <t>Name_1218</t>
  </si>
  <si>
    <t>Name_1219</t>
  </si>
  <si>
    <t>Name_1220</t>
  </si>
  <si>
    <t>Name_1221</t>
  </si>
  <si>
    <t>Name_1222</t>
  </si>
  <si>
    <t>Name_1223</t>
  </si>
  <si>
    <t>Name_1224</t>
  </si>
  <si>
    <t>Name_1225</t>
  </si>
  <si>
    <t>Name_1226</t>
  </si>
  <si>
    <t>Name_1227</t>
  </si>
  <si>
    <t>Name_1228</t>
  </si>
  <si>
    <t>Name_1229</t>
  </si>
  <si>
    <t>Name_1230</t>
  </si>
  <si>
    <t>Name_1231</t>
  </si>
  <si>
    <t>Name_1232</t>
  </si>
  <si>
    <t>Name_1233</t>
  </si>
  <si>
    <t>Name_1234</t>
  </si>
  <si>
    <t>Name_1235</t>
  </si>
  <si>
    <t>Name_1236</t>
  </si>
  <si>
    <t>Name_1237</t>
  </si>
  <si>
    <t>Name_1238</t>
  </si>
  <si>
    <t>Name_1239</t>
  </si>
  <si>
    <t>Name_1240</t>
  </si>
  <si>
    <t>Name_1241</t>
  </si>
  <si>
    <t>Name_1242</t>
  </si>
  <si>
    <t>Name_1243</t>
  </si>
  <si>
    <t>Name_1244</t>
  </si>
  <si>
    <t>Name_1245</t>
  </si>
  <si>
    <t>Name_1246</t>
  </si>
  <si>
    <t>Name_1247</t>
  </si>
  <si>
    <t>Name_1248</t>
  </si>
  <si>
    <t>Name_1249</t>
  </si>
  <si>
    <t>Name_1250</t>
  </si>
  <si>
    <t>Name_1251</t>
  </si>
  <si>
    <t>Name_1252</t>
  </si>
  <si>
    <t>Name_1253</t>
  </si>
  <si>
    <t>Name_1254</t>
  </si>
  <si>
    <t>Name_1255</t>
  </si>
  <si>
    <t>Name_1256</t>
  </si>
  <si>
    <t>Name_1257</t>
  </si>
  <si>
    <t>Name_1258</t>
  </si>
  <si>
    <t>Name_1259</t>
  </si>
  <si>
    <t>Name_1260</t>
  </si>
  <si>
    <t>Name_1261</t>
  </si>
  <si>
    <t>Name_1262</t>
  </si>
  <si>
    <t>Name_1263</t>
  </si>
  <si>
    <t>Name_1264</t>
  </si>
  <si>
    <t>Name_1265</t>
  </si>
  <si>
    <t>Name_1266</t>
  </si>
  <si>
    <t>Name_1267</t>
  </si>
  <si>
    <t>Name_1268</t>
  </si>
  <si>
    <t>Name_1269</t>
  </si>
  <si>
    <t>Name_1270</t>
  </si>
  <si>
    <t>Name_1271</t>
  </si>
  <si>
    <t>Name_1272</t>
  </si>
  <si>
    <t>Name_1273</t>
  </si>
  <si>
    <t>Name_1274</t>
  </si>
  <si>
    <t>Name_1275</t>
  </si>
  <si>
    <t>Name_1276</t>
  </si>
  <si>
    <t>Name_1277</t>
  </si>
  <si>
    <t>Name_1278</t>
  </si>
  <si>
    <t>Name_1279</t>
  </si>
  <si>
    <t>Name_1280</t>
  </si>
  <si>
    <t>Name_1281</t>
  </si>
  <si>
    <t>Name_1282</t>
  </si>
  <si>
    <t>Name_1283</t>
  </si>
  <si>
    <t>Name_1284</t>
  </si>
  <si>
    <t>Name_1285</t>
  </si>
  <si>
    <t>Name_1286</t>
  </si>
  <si>
    <t>Name_1287</t>
  </si>
  <si>
    <t>Name_1288</t>
  </si>
  <si>
    <t>Name_1289</t>
  </si>
  <si>
    <t>Name_1290</t>
  </si>
  <si>
    <t>Name_1291</t>
  </si>
  <si>
    <t>Name_1292</t>
  </si>
  <si>
    <t>Name_1293</t>
  </si>
  <si>
    <t>Name_1294</t>
  </si>
  <si>
    <t>Name_1295</t>
  </si>
  <si>
    <t>Name_1296</t>
  </si>
  <si>
    <t>Name_1297</t>
  </si>
  <si>
    <t>Name_1298</t>
  </si>
  <si>
    <t>Name_1299</t>
  </si>
  <si>
    <t>Name_1300</t>
  </si>
  <si>
    <t>Name_1301</t>
  </si>
  <si>
    <t>Name_1302</t>
  </si>
  <si>
    <t>Name_1303</t>
  </si>
  <si>
    <t>Name_1304</t>
  </si>
  <si>
    <t>Name_1305</t>
  </si>
  <si>
    <t>Name_1306</t>
  </si>
  <si>
    <t>Name_1307</t>
  </si>
  <si>
    <t>Name_1308</t>
  </si>
  <si>
    <t>Name_1309</t>
  </si>
  <si>
    <t>Name_1310</t>
  </si>
  <si>
    <t>Name_1311</t>
  </si>
  <si>
    <t>Name_1312</t>
  </si>
  <si>
    <t>Name_1313</t>
  </si>
  <si>
    <t>Name_1314</t>
  </si>
  <si>
    <t>Name_1315</t>
  </si>
  <si>
    <t>Name_1316</t>
  </si>
  <si>
    <t>Name_1317</t>
  </si>
  <si>
    <t>Name_1318</t>
  </si>
  <si>
    <t>Name_1319</t>
  </si>
  <si>
    <t>Name_1320</t>
  </si>
  <si>
    <t>Name_1321</t>
  </si>
  <si>
    <t>Name_1322</t>
  </si>
  <si>
    <t>Name_1323</t>
  </si>
  <si>
    <t>Name_1324</t>
  </si>
  <si>
    <t>Name_1325</t>
  </si>
  <si>
    <t>Name_1326</t>
  </si>
  <si>
    <t>Name_1327</t>
  </si>
  <si>
    <t>Name_1328</t>
  </si>
  <si>
    <t>Name_1329</t>
  </si>
  <si>
    <t>Name_1330</t>
  </si>
  <si>
    <t>Name_1331</t>
  </si>
  <si>
    <t>Name_1332</t>
  </si>
  <si>
    <t>Name_1333</t>
  </si>
  <si>
    <t>Name_1334</t>
  </si>
  <si>
    <t>Name_1335</t>
  </si>
  <si>
    <t>Name_1336</t>
  </si>
  <si>
    <t>Name_1337</t>
  </si>
  <si>
    <t>Name_1338</t>
  </si>
  <si>
    <t>Name_1339</t>
  </si>
  <si>
    <t>Name_1340</t>
  </si>
  <si>
    <t>Name_1341</t>
  </si>
  <si>
    <t>Name_1342</t>
  </si>
  <si>
    <t>Name_1343</t>
  </si>
  <si>
    <t>Name_1344</t>
  </si>
  <si>
    <t>Name_1345</t>
  </si>
  <si>
    <t>Name_1346</t>
  </si>
  <si>
    <t>Name_1347</t>
  </si>
  <si>
    <t>Name_1348</t>
  </si>
  <si>
    <t>Name_1349</t>
  </si>
  <si>
    <t>Name_1350</t>
  </si>
  <si>
    <t>Name_1351</t>
  </si>
  <si>
    <t>Name_1352</t>
  </si>
  <si>
    <t>Name_1353</t>
  </si>
  <si>
    <t>Name_1354</t>
  </si>
  <si>
    <t>Name_1355</t>
  </si>
  <si>
    <t>Name_1356</t>
  </si>
  <si>
    <t>Name_1357</t>
  </si>
  <si>
    <t>Name_1358</t>
  </si>
  <si>
    <t>Name_1359</t>
  </si>
  <si>
    <t>Name_1360</t>
  </si>
  <si>
    <t>Name_1361</t>
  </si>
  <si>
    <t>Name_1362</t>
  </si>
  <si>
    <t>Name_1363</t>
  </si>
  <si>
    <t>Name_1364</t>
  </si>
  <si>
    <t>Name_1365</t>
  </si>
  <si>
    <t>Name_1366</t>
  </si>
  <si>
    <t>Name_1367</t>
  </si>
  <si>
    <t>Name_1368</t>
  </si>
  <si>
    <t>Name_1369</t>
  </si>
  <si>
    <t>Name_1370</t>
  </si>
  <si>
    <t>Name_1371</t>
  </si>
  <si>
    <t>Name_1372</t>
  </si>
  <si>
    <t>Name_1373</t>
  </si>
  <si>
    <t>Name_1374</t>
  </si>
  <si>
    <t>Name_1375</t>
  </si>
  <si>
    <t>Name_1376</t>
  </si>
  <si>
    <t>Name_1377</t>
  </si>
  <si>
    <t>Name_1378</t>
  </si>
  <si>
    <t>Name_1379</t>
  </si>
  <si>
    <t>Name_1380</t>
  </si>
  <si>
    <t>Name_1381</t>
  </si>
  <si>
    <t>Name_1382</t>
  </si>
  <si>
    <t>Name_1383</t>
  </si>
  <si>
    <t>Name_1384</t>
  </si>
  <si>
    <t>Name_1385</t>
  </si>
  <si>
    <t>Name_1386</t>
  </si>
  <si>
    <t>Name_1387</t>
  </si>
  <si>
    <t>Name_1388</t>
  </si>
  <si>
    <t>Name_1389</t>
  </si>
  <si>
    <t>Name_1390</t>
  </si>
  <si>
    <t>Name_1391</t>
  </si>
  <si>
    <t>Name_1392</t>
  </si>
  <si>
    <t>Name_1393</t>
  </si>
  <si>
    <t>Name_1394</t>
  </si>
  <si>
    <t>Name_1395</t>
  </si>
  <si>
    <t>Name_1396</t>
  </si>
  <si>
    <t>Name_1397</t>
  </si>
  <si>
    <t>Name_1398</t>
  </si>
  <si>
    <t>Name_1399</t>
  </si>
  <si>
    <t>Name_1400</t>
  </si>
  <si>
    <t>Name_1401</t>
  </si>
  <si>
    <t>Name_1402</t>
  </si>
  <si>
    <t>Name_1403</t>
  </si>
  <si>
    <t>Name_1404</t>
  </si>
  <si>
    <t>Name_1405</t>
  </si>
  <si>
    <t>Name_1406</t>
  </si>
  <si>
    <t>Name_1407</t>
  </si>
  <si>
    <t>Name_1408</t>
  </si>
  <si>
    <t>Name_1409</t>
  </si>
  <si>
    <t>Name_1410</t>
  </si>
  <si>
    <t>Name_1411</t>
  </si>
  <si>
    <t>Name_1412</t>
  </si>
  <si>
    <t>Name_1413</t>
  </si>
  <si>
    <t>Name_1414</t>
  </si>
  <si>
    <t>Name_1415</t>
  </si>
  <si>
    <t>Name_1416</t>
  </si>
  <si>
    <t>Name_1417</t>
  </si>
  <si>
    <t>Name_1418</t>
  </si>
  <si>
    <t>Name_1419</t>
  </si>
  <si>
    <t>Name_1420</t>
  </si>
  <si>
    <t>Name_1421</t>
  </si>
  <si>
    <t>Name_1422</t>
  </si>
  <si>
    <t>Name_1423</t>
  </si>
  <si>
    <t>Name_1424</t>
  </si>
  <si>
    <t>Name_1425</t>
  </si>
  <si>
    <t>Name_1426</t>
  </si>
  <si>
    <t>Name_1427</t>
  </si>
  <si>
    <t>Name_1428</t>
  </si>
  <si>
    <t>Name_1429</t>
  </si>
  <si>
    <t>Name_1430</t>
  </si>
  <si>
    <t>Name_1431</t>
  </si>
  <si>
    <t>Name_1432</t>
  </si>
  <si>
    <t>Name_1433</t>
  </si>
  <si>
    <t>Name_1434</t>
  </si>
  <si>
    <t>Name_1435</t>
  </si>
  <si>
    <t>Name_1436</t>
  </si>
  <si>
    <t>Name_1437</t>
  </si>
  <si>
    <t>Name_1438</t>
  </si>
  <si>
    <t>Name_1439</t>
  </si>
  <si>
    <t>Name_1440</t>
  </si>
  <si>
    <t>Name_1441</t>
  </si>
  <si>
    <t>Name_1442</t>
  </si>
  <si>
    <t>Name_1443</t>
  </si>
  <si>
    <t>Name_1444</t>
  </si>
  <si>
    <t>Name_1445</t>
  </si>
  <si>
    <t>Name_1446</t>
  </si>
  <si>
    <t>Name_1447</t>
  </si>
  <si>
    <t>Name_1448</t>
  </si>
  <si>
    <t>Name_1449</t>
  </si>
  <si>
    <t>Name_1450</t>
  </si>
  <si>
    <t>Name_1451</t>
  </si>
  <si>
    <t>Name_1452</t>
  </si>
  <si>
    <t>Name_1453</t>
  </si>
  <si>
    <t>Name_1454</t>
  </si>
  <si>
    <t>Name_1455</t>
  </si>
  <si>
    <t>Name_1456</t>
  </si>
  <si>
    <t>Name_1457</t>
  </si>
  <si>
    <t>Name_1458</t>
  </si>
  <si>
    <t>Name_1459</t>
  </si>
  <si>
    <t>Name_1460</t>
  </si>
  <si>
    <t>Name_1461</t>
  </si>
  <si>
    <t>Name_1462</t>
  </si>
  <si>
    <t>Name_1463</t>
  </si>
  <si>
    <t>Name_1464</t>
  </si>
  <si>
    <t>Name_1465</t>
  </si>
  <si>
    <t>Name_1466</t>
  </si>
  <si>
    <t>Name_1467</t>
  </si>
  <si>
    <t>Name_1468</t>
  </si>
  <si>
    <t>Name_1469</t>
  </si>
  <si>
    <t>Name_1470</t>
  </si>
  <si>
    <t>Name_1471</t>
  </si>
  <si>
    <t>Name_1472</t>
  </si>
  <si>
    <t>Name_1473</t>
  </si>
  <si>
    <t>Name_1474</t>
  </si>
  <si>
    <t>Name_1475</t>
  </si>
  <si>
    <t>Name_1476</t>
  </si>
  <si>
    <t>Name_1477</t>
  </si>
  <si>
    <t>Name_1478</t>
  </si>
  <si>
    <t>Name_1479</t>
  </si>
  <si>
    <t>Name_1480</t>
  </si>
  <si>
    <t>Name_1481</t>
  </si>
  <si>
    <t>Name_1482</t>
  </si>
  <si>
    <t>Name_1483</t>
  </si>
  <si>
    <t>Name_1484</t>
  </si>
  <si>
    <t>Name_1485</t>
  </si>
  <si>
    <t>Name_1486</t>
  </si>
  <si>
    <t>Name_1487</t>
  </si>
  <si>
    <t>Name_1488</t>
  </si>
  <si>
    <t>Name_1489</t>
  </si>
  <si>
    <t>Name_1490</t>
  </si>
  <si>
    <t>Name_1491</t>
  </si>
  <si>
    <t>Name_1492</t>
  </si>
  <si>
    <t>Name_1493</t>
  </si>
  <si>
    <t>Name_1494</t>
  </si>
  <si>
    <t>Name_1495</t>
  </si>
  <si>
    <t>Name_1496</t>
  </si>
  <si>
    <t>Name_1497</t>
  </si>
  <si>
    <t>Name_1498</t>
  </si>
  <si>
    <t>Name_1499</t>
  </si>
  <si>
    <t>Name_1500</t>
  </si>
  <si>
    <t>Name_1501</t>
  </si>
  <si>
    <t>Name_1502</t>
  </si>
  <si>
    <t>Name_1503</t>
  </si>
  <si>
    <t>Name_1504</t>
  </si>
  <si>
    <t>Name_1505</t>
  </si>
  <si>
    <t>Name_1506</t>
  </si>
  <si>
    <t>Name_1507</t>
  </si>
  <si>
    <t>Name_1508</t>
  </si>
  <si>
    <t>Name_1509</t>
  </si>
  <si>
    <t>Name_1510</t>
  </si>
  <si>
    <t>Name_1511</t>
  </si>
  <si>
    <t>Name_1512</t>
  </si>
  <si>
    <t>Name_1513</t>
  </si>
  <si>
    <t>Name_1514</t>
  </si>
  <si>
    <t>Name_1515</t>
  </si>
  <si>
    <t>Name_1516</t>
  </si>
  <si>
    <t>Name_1517</t>
  </si>
  <si>
    <t>Name_1518</t>
  </si>
  <si>
    <t>Name_1519</t>
  </si>
  <si>
    <t>Name_1520</t>
  </si>
  <si>
    <t>Name_1521</t>
  </si>
  <si>
    <t>Name_1522</t>
  </si>
  <si>
    <t>Name_1523</t>
  </si>
  <si>
    <t>Name_1524</t>
  </si>
  <si>
    <t>Name_1525</t>
  </si>
  <si>
    <t>Name_1526</t>
  </si>
  <si>
    <t>Name_1527</t>
  </si>
  <si>
    <t>Name_1528</t>
  </si>
  <si>
    <t>Name_1529</t>
  </si>
  <si>
    <t>Name_1530</t>
  </si>
  <si>
    <t>Name_1531</t>
  </si>
  <si>
    <t>Name_1532</t>
  </si>
  <si>
    <t>Name_1533</t>
  </si>
  <si>
    <t>Name_1534</t>
  </si>
  <si>
    <t>Name_1535</t>
  </si>
  <si>
    <t>Name_1536</t>
  </si>
  <si>
    <t>Name_1537</t>
  </si>
  <si>
    <t>Name_1538</t>
  </si>
  <si>
    <t>Name_1539</t>
  </si>
  <si>
    <t>Name_1540</t>
  </si>
  <si>
    <t>Name_1541</t>
  </si>
  <si>
    <t>Name_1542</t>
  </si>
  <si>
    <t>Name_1543</t>
  </si>
  <si>
    <t>Name_1544</t>
  </si>
  <si>
    <t>Name_1545</t>
  </si>
  <si>
    <t>Name_1546</t>
  </si>
  <si>
    <t>Name_1547</t>
  </si>
  <si>
    <t>Name_1548</t>
  </si>
  <si>
    <t>Name_1549</t>
  </si>
  <si>
    <t>Name_1550</t>
  </si>
  <si>
    <t>Name_1551</t>
  </si>
  <si>
    <t>Name_1552</t>
  </si>
  <si>
    <t>Name_1553</t>
  </si>
  <si>
    <t>Name_1554</t>
  </si>
  <si>
    <t>Name_1555</t>
  </si>
  <si>
    <t>Name_1556</t>
  </si>
  <si>
    <t>Name_1557</t>
  </si>
  <si>
    <t>Name_1558</t>
  </si>
  <si>
    <t>Name_1559</t>
  </si>
  <si>
    <t>Name_1560</t>
  </si>
  <si>
    <t>Name_1561</t>
  </si>
  <si>
    <t>Name_1562</t>
  </si>
  <si>
    <t>Name_1563</t>
  </si>
  <si>
    <t>Name_1564</t>
  </si>
  <si>
    <t>Name_1565</t>
  </si>
  <si>
    <t>Name_1566</t>
  </si>
  <si>
    <t>Name_1567</t>
  </si>
  <si>
    <t>Name_1568</t>
  </si>
  <si>
    <t>Name_1569</t>
  </si>
  <si>
    <t>Name_1570</t>
  </si>
  <si>
    <t>Name_1571</t>
  </si>
  <si>
    <t>Name_1572</t>
  </si>
  <si>
    <t>Name_1573</t>
  </si>
  <si>
    <t>Name_1574</t>
  </si>
  <si>
    <t>Name_1575</t>
  </si>
  <si>
    <t>Name_1576</t>
  </si>
  <si>
    <t>Name_1577</t>
  </si>
  <si>
    <t>Name_1578</t>
  </si>
  <si>
    <t>Name_1579</t>
  </si>
  <si>
    <t>Name_1580</t>
  </si>
  <si>
    <t>Name_1581</t>
  </si>
  <si>
    <t>Name_1582</t>
  </si>
  <si>
    <t>Name_1583</t>
  </si>
  <si>
    <t>Name_1584</t>
  </si>
  <si>
    <t>Name_1585</t>
  </si>
  <si>
    <t>Name_1586</t>
  </si>
  <si>
    <t>Name_1587</t>
  </si>
  <si>
    <t>Name_1588</t>
  </si>
  <si>
    <t>Name_1589</t>
  </si>
  <si>
    <t>Name_1590</t>
  </si>
  <si>
    <t>Name_1591</t>
  </si>
  <si>
    <t>Name_1592</t>
  </si>
  <si>
    <t>Name_1593</t>
  </si>
  <si>
    <t>Name_1594</t>
  </si>
  <si>
    <t>Name_1595</t>
  </si>
  <si>
    <t>Name_1596</t>
  </si>
  <si>
    <t>Name_1597</t>
  </si>
  <si>
    <t>Name_1598</t>
  </si>
  <si>
    <t>Name_1599</t>
  </si>
  <si>
    <t>Name_1600</t>
  </si>
  <si>
    <t>Name_1601</t>
  </si>
  <si>
    <t>Name_1602</t>
  </si>
  <si>
    <t>Name_1603</t>
  </si>
  <si>
    <t>Name_1604</t>
  </si>
  <si>
    <t>Name_1605</t>
  </si>
  <si>
    <t>Name_1606</t>
  </si>
  <si>
    <t>Name_1607</t>
  </si>
  <si>
    <t>Name_1608</t>
  </si>
  <si>
    <t>Name_1609</t>
  </si>
  <si>
    <t>Name_1610</t>
  </si>
  <si>
    <t>Name_1611</t>
  </si>
  <si>
    <t>Name_1612</t>
  </si>
  <si>
    <t>Name_1613</t>
  </si>
  <si>
    <t>Name_1614</t>
  </si>
  <si>
    <t>Name_1615</t>
  </si>
  <si>
    <t>Name_1616</t>
  </si>
  <si>
    <t>Name_1617</t>
  </si>
  <si>
    <t>Name_1618</t>
  </si>
  <si>
    <t>Name_1619</t>
  </si>
  <si>
    <t>Name_1620</t>
  </si>
  <si>
    <t>Name_1621</t>
  </si>
  <si>
    <t>Name_1622</t>
  </si>
  <si>
    <t>Name_1623</t>
  </si>
  <si>
    <t>Name_1624</t>
  </si>
  <si>
    <t>Name_1625</t>
  </si>
  <si>
    <t>Name_1626</t>
  </si>
  <si>
    <t>Name_1627</t>
  </si>
  <si>
    <t>Name_1628</t>
  </si>
  <si>
    <t>Name_1629</t>
  </si>
  <si>
    <t>Name_1630</t>
  </si>
  <si>
    <t>Name_1631</t>
  </si>
  <si>
    <t>Name_1632</t>
  </si>
  <si>
    <t>Name_1633</t>
  </si>
  <si>
    <t>Name_1634</t>
  </si>
  <si>
    <t>Name_1635</t>
  </si>
  <si>
    <t>Name_1636</t>
  </si>
  <si>
    <t>Name_1637</t>
  </si>
  <si>
    <t>Name_1638</t>
  </si>
  <si>
    <t>Name_1639</t>
  </si>
  <si>
    <t>Name_1640</t>
  </si>
  <si>
    <t>Name_1641</t>
  </si>
  <si>
    <t>Name_1642</t>
  </si>
  <si>
    <t>Name_1643</t>
  </si>
  <si>
    <t>Name_1644</t>
  </si>
  <si>
    <t>Name_1645</t>
  </si>
  <si>
    <t>Name_1646</t>
  </si>
  <si>
    <t>Name_1647</t>
  </si>
  <si>
    <t>Name_1648</t>
  </si>
  <si>
    <t>Name_1649</t>
  </si>
  <si>
    <t>Name_1650</t>
  </si>
  <si>
    <t>Name_1651</t>
  </si>
  <si>
    <t>Name_1652</t>
  </si>
  <si>
    <t>Name_1653</t>
  </si>
  <si>
    <t>Name_1654</t>
  </si>
  <si>
    <t>Name_1655</t>
  </si>
  <si>
    <t>Name_1656</t>
  </si>
  <si>
    <t>Name_1657</t>
  </si>
  <si>
    <t>Name_1658</t>
  </si>
  <si>
    <t>Name_1659</t>
  </si>
  <si>
    <t>Name_1660</t>
  </si>
  <si>
    <t>Name_1661</t>
  </si>
  <si>
    <t>Name_1662</t>
  </si>
  <si>
    <t>Name_1663</t>
  </si>
  <si>
    <t>Name_1664</t>
  </si>
  <si>
    <t>Name_1665</t>
  </si>
  <si>
    <t>Name_1666</t>
  </si>
  <si>
    <t>Name_1667</t>
  </si>
  <si>
    <t>Name_1668</t>
  </si>
  <si>
    <t>Name_1669</t>
  </si>
  <si>
    <t>Name_1670</t>
  </si>
  <si>
    <t>Name_1671</t>
  </si>
  <si>
    <t>Name_1672</t>
  </si>
  <si>
    <t>Name_1673</t>
  </si>
  <si>
    <t>Name_1674</t>
  </si>
  <si>
    <t>Name_1675</t>
  </si>
  <si>
    <t>Name_1676</t>
  </si>
  <si>
    <t>Name_1677</t>
  </si>
  <si>
    <t>Name_1678</t>
  </si>
  <si>
    <t>Name_1679</t>
  </si>
  <si>
    <t>Name_1680</t>
  </si>
  <si>
    <t>Name_1681</t>
  </si>
  <si>
    <t>Name_1682</t>
  </si>
  <si>
    <t>Name_1683</t>
  </si>
  <si>
    <t>Name_1684</t>
  </si>
  <si>
    <t>Name_1685</t>
  </si>
  <si>
    <t>Name_1686</t>
  </si>
  <si>
    <t>Name_1687</t>
  </si>
  <si>
    <t>Name_1688</t>
  </si>
  <si>
    <t>Name_1689</t>
  </si>
  <si>
    <t>Name_1690</t>
  </si>
  <si>
    <t>Name_1691</t>
  </si>
  <si>
    <t>Name_1692</t>
  </si>
  <si>
    <t>Name_1693</t>
  </si>
  <si>
    <t>Name_1694</t>
  </si>
  <si>
    <t>Name_1695</t>
  </si>
  <si>
    <t>Name_1696</t>
  </si>
  <si>
    <t>Name_1697</t>
  </si>
  <si>
    <t>Name_1698</t>
  </si>
  <si>
    <t>Name_1699</t>
  </si>
  <si>
    <t>Name_1700</t>
  </si>
  <si>
    <t>Name_1701</t>
  </si>
  <si>
    <t>Name_1702</t>
  </si>
  <si>
    <t>Name_1703</t>
  </si>
  <si>
    <t>Name_1704</t>
  </si>
  <si>
    <t>Name_1705</t>
  </si>
  <si>
    <t>Name_1706</t>
  </si>
  <si>
    <t>Name_1707</t>
  </si>
  <si>
    <t>Name_1708</t>
  </si>
  <si>
    <t>Name_1709</t>
  </si>
  <si>
    <t>Name_1710</t>
  </si>
  <si>
    <t>Name_1711</t>
  </si>
  <si>
    <t>Name_1712</t>
  </si>
  <si>
    <t>Name_1713</t>
  </si>
  <si>
    <t>Name_1714</t>
  </si>
  <si>
    <t>Name_1715</t>
  </si>
  <si>
    <t>Name_1716</t>
  </si>
  <si>
    <t>Name_1717</t>
  </si>
  <si>
    <t>Name_1718</t>
  </si>
  <si>
    <t>Claim_1</t>
  </si>
  <si>
    <t>Claim_2</t>
  </si>
  <si>
    <t>Claim_3</t>
  </si>
  <si>
    <t>Claim_4</t>
  </si>
  <si>
    <t>Claim_5</t>
  </si>
  <si>
    <t>Claim_6</t>
  </si>
  <si>
    <t>Claim_7</t>
  </si>
  <si>
    <t>Claim_8</t>
  </si>
  <si>
    <t>Claim_9</t>
  </si>
  <si>
    <t>Claim_10</t>
  </si>
  <si>
    <t>Claim_11</t>
  </si>
  <si>
    <t>Claim_12</t>
  </si>
  <si>
    <t>Claim_13</t>
  </si>
  <si>
    <t>Claim_14</t>
  </si>
  <si>
    <t>Claim_15</t>
  </si>
  <si>
    <t>Claim_16</t>
  </si>
  <si>
    <t>Claim_17</t>
  </si>
  <si>
    <t>Claim_18</t>
  </si>
  <si>
    <t>Claim_19</t>
  </si>
  <si>
    <t>Claim_20</t>
  </si>
  <si>
    <t>Claim_21</t>
  </si>
  <si>
    <t>Claim_22</t>
  </si>
  <si>
    <t>Claim_23</t>
  </si>
  <si>
    <t>Claim_24</t>
  </si>
  <si>
    <t>Claim_25</t>
  </si>
  <si>
    <t>Claim_26</t>
  </si>
  <si>
    <t>Claim_27</t>
  </si>
  <si>
    <t>Claim_28</t>
  </si>
  <si>
    <t>Claim_29</t>
  </si>
  <si>
    <t>Claim_30</t>
  </si>
  <si>
    <t>Claim_31</t>
  </si>
  <si>
    <t>Claim_32</t>
  </si>
  <si>
    <t>Claim_33</t>
  </si>
  <si>
    <t>Claim_34</t>
  </si>
  <si>
    <t>Claim_35</t>
  </si>
  <si>
    <t>Claim_36</t>
  </si>
  <si>
    <t>Claim_37</t>
  </si>
  <si>
    <t>Claim_38</t>
  </si>
  <si>
    <t>Claim_39</t>
  </si>
  <si>
    <t>Claim_40</t>
  </si>
  <si>
    <t>Claim_41</t>
  </si>
  <si>
    <t>Claim_42</t>
  </si>
  <si>
    <t>Claim_43</t>
  </si>
  <si>
    <t>Claim_44</t>
  </si>
  <si>
    <t>Claim_45</t>
  </si>
  <si>
    <t>Claim_46</t>
  </si>
  <si>
    <t>Claim_47</t>
  </si>
  <si>
    <t>Claim_48</t>
  </si>
  <si>
    <t>Claim_49</t>
  </si>
  <si>
    <t>Claim_50</t>
  </si>
  <si>
    <t>Claim_51</t>
  </si>
  <si>
    <t>Claim_52</t>
  </si>
  <si>
    <t>Claim_53</t>
  </si>
  <si>
    <t>Claim_54</t>
  </si>
  <si>
    <t>Claim_55</t>
  </si>
  <si>
    <t>Claim_56</t>
  </si>
  <si>
    <t>Claim_57</t>
  </si>
  <si>
    <t>Claim_58</t>
  </si>
  <si>
    <t>Claim_59</t>
  </si>
  <si>
    <t>Claim_60</t>
  </si>
  <si>
    <t>Claim_61</t>
  </si>
  <si>
    <t>Claim_62</t>
  </si>
  <si>
    <t>Claim_63</t>
  </si>
  <si>
    <t>Claim_64</t>
  </si>
  <si>
    <t>Claim_65</t>
  </si>
  <si>
    <t>Claim_66</t>
  </si>
  <si>
    <t>Claim_67</t>
  </si>
  <si>
    <t>Claim_68</t>
  </si>
  <si>
    <t>Claim_69</t>
  </si>
  <si>
    <t>Claim_70</t>
  </si>
  <si>
    <t>Claim_71</t>
  </si>
  <si>
    <t>Claim_72</t>
  </si>
  <si>
    <t>Claim_73</t>
  </si>
  <si>
    <t>Claim_74</t>
  </si>
  <si>
    <t>Claim_75</t>
  </si>
  <si>
    <t>Claim_76</t>
  </si>
  <si>
    <t>Claim_77</t>
  </si>
  <si>
    <t>Claim_78</t>
  </si>
  <si>
    <t>Claim_79</t>
  </si>
  <si>
    <t>Claim_80</t>
  </si>
  <si>
    <t>Claim_81</t>
  </si>
  <si>
    <t>Claim_82</t>
  </si>
  <si>
    <t>Claim_83</t>
  </si>
  <si>
    <t>Claim_84</t>
  </si>
  <si>
    <t>Claim_85</t>
  </si>
  <si>
    <t>Claim_86</t>
  </si>
  <si>
    <t>Claim_87</t>
  </si>
  <si>
    <t>Claim_88</t>
  </si>
  <si>
    <t>Claim_89</t>
  </si>
  <si>
    <t>Claim_90</t>
  </si>
  <si>
    <t>Claim_91</t>
  </si>
  <si>
    <t>Claim_92</t>
  </si>
  <si>
    <t>Claim_93</t>
  </si>
  <si>
    <t>Claim_94</t>
  </si>
  <si>
    <t>Claim_95</t>
  </si>
  <si>
    <t>Claim_96</t>
  </si>
  <si>
    <t>Claim_97</t>
  </si>
  <si>
    <t>Claim_98</t>
  </si>
  <si>
    <t>Claim_99</t>
  </si>
  <si>
    <t>Claim_100</t>
  </si>
  <si>
    <t>Claim_101</t>
  </si>
  <si>
    <t>Claim_102</t>
  </si>
  <si>
    <t>Claim_103</t>
  </si>
  <si>
    <t>Claim_104</t>
  </si>
  <si>
    <t>Claim_105</t>
  </si>
  <si>
    <t>Claim_106</t>
  </si>
  <si>
    <t>Claim_107</t>
  </si>
  <si>
    <t>Claim_108</t>
  </si>
  <si>
    <t>Claim_109</t>
  </si>
  <si>
    <t>Claim_110</t>
  </si>
  <si>
    <t>Claim_111</t>
  </si>
  <si>
    <t>Claim_112</t>
  </si>
  <si>
    <t>Claim_113</t>
  </si>
  <si>
    <t>Claim_114</t>
  </si>
  <si>
    <t>Claim_115</t>
  </si>
  <si>
    <t>Claim_116</t>
  </si>
  <si>
    <t>Claim_117</t>
  </si>
  <si>
    <t>Claim_118</t>
  </si>
  <si>
    <t>Claim_119</t>
  </si>
  <si>
    <t>Claim_120</t>
  </si>
  <si>
    <t>Claim_121</t>
  </si>
  <si>
    <t>Claim_122</t>
  </si>
  <si>
    <t>Claim_123</t>
  </si>
  <si>
    <t>Claim_124</t>
  </si>
  <si>
    <t>Claim_125</t>
  </si>
  <si>
    <t>Claim_126</t>
  </si>
  <si>
    <t>Claim_127</t>
  </si>
  <si>
    <t>Claim_128</t>
  </si>
  <si>
    <t>Claim_129</t>
  </si>
  <si>
    <t>Claim_130</t>
  </si>
  <si>
    <t>Claim_131</t>
  </si>
  <si>
    <t>Claim_132</t>
  </si>
  <si>
    <t>Claim_133</t>
  </si>
  <si>
    <t>Claim_134</t>
  </si>
  <si>
    <t>Claim_135</t>
  </si>
  <si>
    <t>Claim_136</t>
  </si>
  <si>
    <t>Claim_137</t>
  </si>
  <si>
    <t>Claim_138</t>
  </si>
  <si>
    <t>Claim_139</t>
  </si>
  <si>
    <t>Claim_140</t>
  </si>
  <si>
    <t>Claim_141</t>
  </si>
  <si>
    <t>Claim_142</t>
  </si>
  <si>
    <t>Claim_143</t>
  </si>
  <si>
    <t>Claim_144</t>
  </si>
  <si>
    <t>Claim_145</t>
  </si>
  <si>
    <t>Claim_146</t>
  </si>
  <si>
    <t>Claim_147</t>
  </si>
  <si>
    <t>Claim_148</t>
  </si>
  <si>
    <t>Claim_149</t>
  </si>
  <si>
    <t>Claim_150</t>
  </si>
  <si>
    <t>Claim_151</t>
  </si>
  <si>
    <t>Claim_152</t>
  </si>
  <si>
    <t>Claim_153</t>
  </si>
  <si>
    <t>Claim_154</t>
  </si>
  <si>
    <t>Claim_155</t>
  </si>
  <si>
    <t>Claim_156</t>
  </si>
  <si>
    <t>Claim_157</t>
  </si>
  <si>
    <t>Claim_158</t>
  </si>
  <si>
    <t>Claim_159</t>
  </si>
  <si>
    <t>Claim_160</t>
  </si>
  <si>
    <t>Claim_161</t>
  </si>
  <si>
    <t>Claim_162</t>
  </si>
  <si>
    <t>Claim_163</t>
  </si>
  <si>
    <t>Claim_164</t>
  </si>
  <si>
    <t>Claim_165</t>
  </si>
  <si>
    <t>Claim_166</t>
  </si>
  <si>
    <t>Claim_167</t>
  </si>
  <si>
    <t>Claim_168</t>
  </si>
  <si>
    <t>Claim_169</t>
  </si>
  <si>
    <t>Claim_170</t>
  </si>
  <si>
    <t>Claim_171</t>
  </si>
  <si>
    <t>Claim_172</t>
  </si>
  <si>
    <t>Claim_173</t>
  </si>
  <si>
    <t>Claim_174</t>
  </si>
  <si>
    <t>Claim_175</t>
  </si>
  <si>
    <t>Claim_176</t>
  </si>
  <si>
    <t>Claim_177</t>
  </si>
  <si>
    <t>Claim_178</t>
  </si>
  <si>
    <t>Claim_179</t>
  </si>
  <si>
    <t>Claim_180</t>
  </si>
  <si>
    <t>Claim_181</t>
  </si>
  <si>
    <t>Claim_182</t>
  </si>
  <si>
    <t>Claim_183</t>
  </si>
  <si>
    <t>Claim_184</t>
  </si>
  <si>
    <t>Claim_185</t>
  </si>
  <si>
    <t>Claim_186</t>
  </si>
  <si>
    <t>Claim_187</t>
  </si>
  <si>
    <t>Claim_188</t>
  </si>
  <si>
    <t>Claim_189</t>
  </si>
  <si>
    <t>Claim_190</t>
  </si>
  <si>
    <t>Claim_191</t>
  </si>
  <si>
    <t>Claim_192</t>
  </si>
  <si>
    <t>Claim_193</t>
  </si>
  <si>
    <t>Claim_194</t>
  </si>
  <si>
    <t>Claim_195</t>
  </si>
  <si>
    <t>Claim_196</t>
  </si>
  <si>
    <t>Claim_197</t>
  </si>
  <si>
    <t>Claim_198</t>
  </si>
  <si>
    <t>Claim_199</t>
  </si>
  <si>
    <t>Claim_200</t>
  </si>
  <si>
    <t>Claim_201</t>
  </si>
  <si>
    <t>Claim_202</t>
  </si>
  <si>
    <t>Claim_203</t>
  </si>
  <si>
    <t>Claim_204</t>
  </si>
  <si>
    <t>Claim_205</t>
  </si>
  <si>
    <t>Claim_206</t>
  </si>
  <si>
    <t>Claim_207</t>
  </si>
  <si>
    <t>Claim_208</t>
  </si>
  <si>
    <t>Claim_209</t>
  </si>
  <si>
    <t>Claim_210</t>
  </si>
  <si>
    <t>Claim_211</t>
  </si>
  <si>
    <t>Claim_212</t>
  </si>
  <si>
    <t>Claim_213</t>
  </si>
  <si>
    <t>Claim_214</t>
  </si>
  <si>
    <t>Claim_215</t>
  </si>
  <si>
    <t>Claim_216</t>
  </si>
  <si>
    <t>Claim_217</t>
  </si>
  <si>
    <t>Claim_218</t>
  </si>
  <si>
    <t>Claim_219</t>
  </si>
  <si>
    <t>Claim_220</t>
  </si>
  <si>
    <t>Claim_221</t>
  </si>
  <si>
    <t>Claim_222</t>
  </si>
  <si>
    <t>Claim_223</t>
  </si>
  <si>
    <t>Claim_224</t>
  </si>
  <si>
    <t>Claim_225</t>
  </si>
  <si>
    <t>Claim_226</t>
  </si>
  <si>
    <t>Claim_227</t>
  </si>
  <si>
    <t>Claim_228</t>
  </si>
  <si>
    <t>Claim_229</t>
  </si>
  <si>
    <t>Claim_230</t>
  </si>
  <si>
    <t>Claim_231</t>
  </si>
  <si>
    <t>Claim_232</t>
  </si>
  <si>
    <t>Claim_233</t>
  </si>
  <si>
    <t>Claim_234</t>
  </si>
  <si>
    <t>Claim_235</t>
  </si>
  <si>
    <t>Claim_236</t>
  </si>
  <si>
    <t>Claim_237</t>
  </si>
  <si>
    <t>Claim_238</t>
  </si>
  <si>
    <t>Claim_239</t>
  </si>
  <si>
    <t>Claim_240</t>
  </si>
  <si>
    <t>Claim_241</t>
  </si>
  <si>
    <t>Claim_242</t>
  </si>
  <si>
    <t>Claim_243</t>
  </si>
  <si>
    <t>Claim_244</t>
  </si>
  <si>
    <t>Claim_245</t>
  </si>
  <si>
    <t>Claim_246</t>
  </si>
  <si>
    <t>Claim_247</t>
  </si>
  <si>
    <t>Claim_248</t>
  </si>
  <si>
    <t>Claim_249</t>
  </si>
  <si>
    <t>Claim_250</t>
  </si>
  <si>
    <t>Claim_251</t>
  </si>
  <si>
    <t>Claim_252</t>
  </si>
  <si>
    <t>Claim_253</t>
  </si>
  <si>
    <t>Claim_254</t>
  </si>
  <si>
    <t>Claim_255</t>
  </si>
  <si>
    <t>Claim_256</t>
  </si>
  <si>
    <t>Claim_257</t>
  </si>
  <si>
    <t>Claim_258</t>
  </si>
  <si>
    <t>Claim_259</t>
  </si>
  <si>
    <t>Claim_260</t>
  </si>
  <si>
    <t>Claim_261</t>
  </si>
  <si>
    <t>Claim_262</t>
  </si>
  <si>
    <t>Claim_263</t>
  </si>
  <si>
    <t>Claim_264</t>
  </si>
  <si>
    <t>Claim_265</t>
  </si>
  <si>
    <t>Claim_266</t>
  </si>
  <si>
    <t>Claim_267</t>
  </si>
  <si>
    <t>Claim_268</t>
  </si>
  <si>
    <t>Claim_269</t>
  </si>
  <si>
    <t>Claim_270</t>
  </si>
  <si>
    <t>Claim_271</t>
  </si>
  <si>
    <t>Claim_272</t>
  </si>
  <si>
    <t>Claim_273</t>
  </si>
  <si>
    <t>Claim_274</t>
  </si>
  <si>
    <t>Claim_275</t>
  </si>
  <si>
    <t>Claim_276</t>
  </si>
  <si>
    <t>Claim_277</t>
  </si>
  <si>
    <t>Claim_278</t>
  </si>
  <si>
    <t>Claim_279</t>
  </si>
  <si>
    <t>Claim_280</t>
  </si>
  <si>
    <t>Claim_281</t>
  </si>
  <si>
    <t>Claim_282</t>
  </si>
  <si>
    <t>Claim_283</t>
  </si>
  <si>
    <t>Claim_284</t>
  </si>
  <si>
    <t>Claim_285</t>
  </si>
  <si>
    <t>Claim_286</t>
  </si>
  <si>
    <t>Claim_287</t>
  </si>
  <si>
    <t>Claim_288</t>
  </si>
  <si>
    <t>Claim_289</t>
  </si>
  <si>
    <t>Claim_290</t>
  </si>
  <si>
    <t>Claim_291</t>
  </si>
  <si>
    <t>Claim_292</t>
  </si>
  <si>
    <t>Claim_293</t>
  </si>
  <si>
    <t>Claim_294</t>
  </si>
  <si>
    <t>Claim_295</t>
  </si>
  <si>
    <t>Claim_296</t>
  </si>
  <si>
    <t>Claim_297</t>
  </si>
  <si>
    <t>Claim_298</t>
  </si>
  <si>
    <t>Claim_299</t>
  </si>
  <si>
    <t>Claim_300</t>
  </si>
  <si>
    <t>Claim_301</t>
  </si>
  <si>
    <t>Claim_302</t>
  </si>
  <si>
    <t>Claim_303</t>
  </si>
  <si>
    <t>Claim_304</t>
  </si>
  <si>
    <t>Claim_305</t>
  </si>
  <si>
    <t>Claim_306</t>
  </si>
  <si>
    <t>Claim_307</t>
  </si>
  <si>
    <t>Claim_308</t>
  </si>
  <si>
    <t>Claim_309</t>
  </si>
  <si>
    <t>Claim_310</t>
  </si>
  <si>
    <t>Claim_311</t>
  </si>
  <si>
    <t>Claim_312</t>
  </si>
  <si>
    <t>Claim_313</t>
  </si>
  <si>
    <t>Claim_314</t>
  </si>
  <si>
    <t>Claim_315</t>
  </si>
  <si>
    <t>Claim_316</t>
  </si>
  <si>
    <t>Claim_317</t>
  </si>
  <si>
    <t>Claim_318</t>
  </si>
  <si>
    <t>Claim_319</t>
  </si>
  <si>
    <t>Claim_320</t>
  </si>
  <si>
    <t>Claim_321</t>
  </si>
  <si>
    <t>Claim_322</t>
  </si>
  <si>
    <t>Claim_323</t>
  </si>
  <si>
    <t>Claim_324</t>
  </si>
  <si>
    <t>Claim_325</t>
  </si>
  <si>
    <t>Claim_326</t>
  </si>
  <si>
    <t>Claim_327</t>
  </si>
  <si>
    <t>Claim_328</t>
  </si>
  <si>
    <t>Claim_329</t>
  </si>
  <si>
    <t>Claim_330</t>
  </si>
  <si>
    <t>Claim_331</t>
  </si>
  <si>
    <t>Claim_332</t>
  </si>
  <si>
    <t>Claim_333</t>
  </si>
  <si>
    <t>Claim_334</t>
  </si>
  <si>
    <t>Claim_335</t>
  </si>
  <si>
    <t>Claim_336</t>
  </si>
  <si>
    <t>Claim_337</t>
  </si>
  <si>
    <t>Claim_338</t>
  </si>
  <si>
    <t>Claim_339</t>
  </si>
  <si>
    <t>Claim_340</t>
  </si>
  <si>
    <t>Claim_341</t>
  </si>
  <si>
    <t>Claim_342</t>
  </si>
  <si>
    <t>Claim_343</t>
  </si>
  <si>
    <t>Claim_344</t>
  </si>
  <si>
    <t>Claim_345</t>
  </si>
  <si>
    <t>Claim_346</t>
  </si>
  <si>
    <t>Claim_347</t>
  </si>
  <si>
    <t>Claim_348</t>
  </si>
  <si>
    <t>Claim_349</t>
  </si>
  <si>
    <t>Claim_350</t>
  </si>
  <si>
    <t>Claim_351</t>
  </si>
  <si>
    <t>Claim_352</t>
  </si>
  <si>
    <t>Claim_353</t>
  </si>
  <si>
    <t>Claim_354</t>
  </si>
  <si>
    <t>Claim_355</t>
  </si>
  <si>
    <t>Claim_356</t>
  </si>
  <si>
    <t>Claim_357</t>
  </si>
  <si>
    <t>Claim_358</t>
  </si>
  <si>
    <t>Claim_359</t>
  </si>
  <si>
    <t>Claim_360</t>
  </si>
  <si>
    <t>Claim_361</t>
  </si>
  <si>
    <t>Claim_362</t>
  </si>
  <si>
    <t>Claim_363</t>
  </si>
  <si>
    <t>Claim_364</t>
  </si>
  <si>
    <t>Claim_365</t>
  </si>
  <si>
    <t>Claim_366</t>
  </si>
  <si>
    <t>Claim_367</t>
  </si>
  <si>
    <t>Claim_368</t>
  </si>
  <si>
    <t>Claim_369</t>
  </si>
  <si>
    <t>Claim_370</t>
  </si>
  <si>
    <t>Claim_371</t>
  </si>
  <si>
    <t>Claim_372</t>
  </si>
  <si>
    <t>Claim_373</t>
  </si>
  <si>
    <t>Claim_374</t>
  </si>
  <si>
    <t>Claim_375</t>
  </si>
  <si>
    <t>Claim_376</t>
  </si>
  <si>
    <t>Claim_377</t>
  </si>
  <si>
    <t>Claim_378</t>
  </si>
  <si>
    <t>Claim_379</t>
  </si>
  <si>
    <t>Claim_380</t>
  </si>
  <si>
    <t>Claim_381</t>
  </si>
  <si>
    <t>Claim_382</t>
  </si>
  <si>
    <t>Claim_383</t>
  </si>
  <si>
    <t>Claim_384</t>
  </si>
  <si>
    <t>Claim_385</t>
  </si>
  <si>
    <t>Claim_386</t>
  </si>
  <si>
    <t>Claim_387</t>
  </si>
  <si>
    <t>Claim_388</t>
  </si>
  <si>
    <t>Claim_389</t>
  </si>
  <si>
    <t>Claim_390</t>
  </si>
  <si>
    <t>Claim_391</t>
  </si>
  <si>
    <t>Claim_392</t>
  </si>
  <si>
    <t>Claim_393</t>
  </si>
  <si>
    <t>Claim_394</t>
  </si>
  <si>
    <t>Claim_395</t>
  </si>
  <si>
    <t>Claim_396</t>
  </si>
  <si>
    <t>Claim_397</t>
  </si>
  <si>
    <t>Claim_398</t>
  </si>
  <si>
    <t>Claim_399</t>
  </si>
  <si>
    <t>Claim_400</t>
  </si>
  <si>
    <t>Claim_401</t>
  </si>
  <si>
    <t>Claim_402</t>
  </si>
  <si>
    <t>Claim_403</t>
  </si>
  <si>
    <t>Claim_404</t>
  </si>
  <si>
    <t>Claim_405</t>
  </si>
  <si>
    <t>Claim_406</t>
  </si>
  <si>
    <t>Claim_407</t>
  </si>
  <si>
    <t>Claim_408</t>
  </si>
  <si>
    <t>Claim_409</t>
  </si>
  <si>
    <t>Claim_410</t>
  </si>
  <si>
    <t>Claim_411</t>
  </si>
  <si>
    <t>Claim_412</t>
  </si>
  <si>
    <t>Claim_413</t>
  </si>
  <si>
    <t>Claim_414</t>
  </si>
  <si>
    <t>Claim_415</t>
  </si>
  <si>
    <t>Claim_416</t>
  </si>
  <si>
    <t>Claim_417</t>
  </si>
  <si>
    <t>Claim_418</t>
  </si>
  <si>
    <t>Claim_419</t>
  </si>
  <si>
    <t>Claim_420</t>
  </si>
  <si>
    <t>Claim_421</t>
  </si>
  <si>
    <t>Claim_422</t>
  </si>
  <si>
    <t>Claim_423</t>
  </si>
  <si>
    <t>Claim_424</t>
  </si>
  <si>
    <t>Claim_425</t>
  </si>
  <si>
    <t>Claim_426</t>
  </si>
  <si>
    <t>Claim_427</t>
  </si>
  <si>
    <t>Claim_428</t>
  </si>
  <si>
    <t>Claim_429</t>
  </si>
  <si>
    <t>Claim_430</t>
  </si>
  <si>
    <t>Claim_431</t>
  </si>
  <si>
    <t>Claim_432</t>
  </si>
  <si>
    <t>Claim_433</t>
  </si>
  <si>
    <t>Claim_434</t>
  </si>
  <si>
    <t>Claim_435</t>
  </si>
  <si>
    <t>Claim_436</t>
  </si>
  <si>
    <t>Claim_437</t>
  </si>
  <si>
    <t>Claim_438</t>
  </si>
  <si>
    <t>Claim_439</t>
  </si>
  <si>
    <t>Claim_440</t>
  </si>
  <si>
    <t>Claim_441</t>
  </si>
  <si>
    <t>Claim_442</t>
  </si>
  <si>
    <t>Claim_443</t>
  </si>
  <si>
    <t>Claim_444</t>
  </si>
  <si>
    <t>Claim_445</t>
  </si>
  <si>
    <t>Claim_446</t>
  </si>
  <si>
    <t>Claim_447</t>
  </si>
  <si>
    <t>Claim_448</t>
  </si>
  <si>
    <t>Claim_449</t>
  </si>
  <si>
    <t>Claim_450</t>
  </si>
  <si>
    <t>Claim_451</t>
  </si>
  <si>
    <t>Claim_452</t>
  </si>
  <si>
    <t>Claim_453</t>
  </si>
  <si>
    <t>Claim_454</t>
  </si>
  <si>
    <t>Claim_455</t>
  </si>
  <si>
    <t>Claim_456</t>
  </si>
  <si>
    <t>Claim_457</t>
  </si>
  <si>
    <t>Claim_458</t>
  </si>
  <si>
    <t>Claim_459</t>
  </si>
  <si>
    <t>Claim_460</t>
  </si>
  <si>
    <t>Claim_461</t>
  </si>
  <si>
    <t>Claim_462</t>
  </si>
  <si>
    <t>Claim_463</t>
  </si>
  <si>
    <t>Claim_464</t>
  </si>
  <si>
    <t>Claim_465</t>
  </si>
  <si>
    <t>Claim_466</t>
  </si>
  <si>
    <t>Claim_467</t>
  </si>
  <si>
    <t>Claim_468</t>
  </si>
  <si>
    <t>Claim_469</t>
  </si>
  <si>
    <t>Claim_470</t>
  </si>
  <si>
    <t>Claim_471</t>
  </si>
  <si>
    <t>Claim_472</t>
  </si>
  <si>
    <t>Claim_473</t>
  </si>
  <si>
    <t>Claim_474</t>
  </si>
  <si>
    <t>Claim_475</t>
  </si>
  <si>
    <t>Claim_476</t>
  </si>
  <si>
    <t>Claim_477</t>
  </si>
  <si>
    <t>Claim_478</t>
  </si>
  <si>
    <t>Claim_479</t>
  </si>
  <si>
    <t>Claim_480</t>
  </si>
  <si>
    <t>Claim_481</t>
  </si>
  <si>
    <t>Claim_482</t>
  </si>
  <si>
    <t>Claim_483</t>
  </si>
  <si>
    <t>Claim_484</t>
  </si>
  <si>
    <t>Claim_485</t>
  </si>
  <si>
    <t>Claim_486</t>
  </si>
  <si>
    <t>Claim_487</t>
  </si>
  <si>
    <t>Claim_488</t>
  </si>
  <si>
    <t>Claim_489</t>
  </si>
  <si>
    <t>Claim_490</t>
  </si>
  <si>
    <t>Claim_491</t>
  </si>
  <si>
    <t>Claim_492</t>
  </si>
  <si>
    <t>Claim_493</t>
  </si>
  <si>
    <t>Claim_494</t>
  </si>
  <si>
    <t>Claim_495</t>
  </si>
  <si>
    <t>Claim_496</t>
  </si>
  <si>
    <t>Claim_497</t>
  </si>
  <si>
    <t>Claim_498</t>
  </si>
  <si>
    <t>Claim_499</t>
  </si>
  <si>
    <t>Claim_500</t>
  </si>
  <si>
    <t>Claim_501</t>
  </si>
  <si>
    <t>Claim_502</t>
  </si>
  <si>
    <t>Claim_503</t>
  </si>
  <si>
    <t>Claim_504</t>
  </si>
  <si>
    <t>Claim_505</t>
  </si>
  <si>
    <t>Claim_506</t>
  </si>
  <si>
    <t>Claim_507</t>
  </si>
  <si>
    <t>Claim_508</t>
  </si>
  <si>
    <t>Claim_509</t>
  </si>
  <si>
    <t>Claim_510</t>
  </si>
  <si>
    <t>Claim_511</t>
  </si>
  <si>
    <t>Claim_512</t>
  </si>
  <si>
    <t>Claim_513</t>
  </si>
  <si>
    <t>Claim_514</t>
  </si>
  <si>
    <t>Claim_515</t>
  </si>
  <si>
    <t>Claim_516</t>
  </si>
  <si>
    <t>Claim_517</t>
  </si>
  <si>
    <t>Claim_518</t>
  </si>
  <si>
    <t>Claim_519</t>
  </si>
  <si>
    <t>Claim_520</t>
  </si>
  <si>
    <t>Claim_521</t>
  </si>
  <si>
    <t>Claim_522</t>
  </si>
  <si>
    <t>Claim_523</t>
  </si>
  <si>
    <t>Claim_524</t>
  </si>
  <si>
    <t>Claim_525</t>
  </si>
  <si>
    <t>Claim_526</t>
  </si>
  <si>
    <t>Claim_527</t>
  </si>
  <si>
    <t>Claim_528</t>
  </si>
  <si>
    <t>Claim_529</t>
  </si>
  <si>
    <t>Claim_530</t>
  </si>
  <si>
    <t>Claim_531</t>
  </si>
  <si>
    <t>Claim_532</t>
  </si>
  <si>
    <t>Claim_533</t>
  </si>
  <si>
    <t>Claim_534</t>
  </si>
  <si>
    <t>Claim_535</t>
  </si>
  <si>
    <t>Claim_536</t>
  </si>
  <si>
    <t>Claim_537</t>
  </si>
  <si>
    <t>Claim_538</t>
  </si>
  <si>
    <t>Claim_539</t>
  </si>
  <si>
    <t>Claim_540</t>
  </si>
  <si>
    <t>Claim_541</t>
  </si>
  <si>
    <t>Claim_542</t>
  </si>
  <si>
    <t>Claim_543</t>
  </si>
  <si>
    <t>Claim_544</t>
  </si>
  <si>
    <t>Claim_545</t>
  </si>
  <si>
    <t>Claim_546</t>
  </si>
  <si>
    <t>Claim_547</t>
  </si>
  <si>
    <t>Claim_548</t>
  </si>
  <si>
    <t>Claim_549</t>
  </si>
  <si>
    <t>Claim_550</t>
  </si>
  <si>
    <t>Claim_551</t>
  </si>
  <si>
    <t>Claim_552</t>
  </si>
  <si>
    <t>Claim_553</t>
  </si>
  <si>
    <t>Claim_554</t>
  </si>
  <si>
    <t>Claim_555</t>
  </si>
  <si>
    <t>Claim_556</t>
  </si>
  <si>
    <t>Claim_557</t>
  </si>
  <si>
    <t>Claim_558</t>
  </si>
  <si>
    <t>Claim_559</t>
  </si>
  <si>
    <t>Claim_560</t>
  </si>
  <si>
    <t>Claim_561</t>
  </si>
  <si>
    <t>Claim_562</t>
  </si>
  <si>
    <t>Claim_563</t>
  </si>
  <si>
    <t>Claim_564</t>
  </si>
  <si>
    <t>Claim_565</t>
  </si>
  <si>
    <t>Claim_566</t>
  </si>
  <si>
    <t>Claim_567</t>
  </si>
  <si>
    <t>Claim_568</t>
  </si>
  <si>
    <t>Claim_569</t>
  </si>
  <si>
    <t>Claim_570</t>
  </si>
  <si>
    <t>Claim_571</t>
  </si>
  <si>
    <t>Claim_572</t>
  </si>
  <si>
    <t>Claim_573</t>
  </si>
  <si>
    <t>Claim_574</t>
  </si>
  <si>
    <t>Claim_575</t>
  </si>
  <si>
    <t>Claim_576</t>
  </si>
  <si>
    <t>Claim_577</t>
  </si>
  <si>
    <t>Claim_578</t>
  </si>
  <si>
    <t>Claim_579</t>
  </si>
  <si>
    <t>Claim_580</t>
  </si>
  <si>
    <t>Claim_581</t>
  </si>
  <si>
    <t>Claim_582</t>
  </si>
  <si>
    <t>Claim_583</t>
  </si>
  <si>
    <t>Claim_584</t>
  </si>
  <si>
    <t>Claim_585</t>
  </si>
  <si>
    <t>Claim_586</t>
  </si>
  <si>
    <t>Claim_587</t>
  </si>
  <si>
    <t>Claim_588</t>
  </si>
  <si>
    <t>Claim_589</t>
  </si>
  <si>
    <t>Claim_590</t>
  </si>
  <si>
    <t>Claim_591</t>
  </si>
  <si>
    <t>Claim_592</t>
  </si>
  <si>
    <t>Claim_593</t>
  </si>
  <si>
    <t>Claim_594</t>
  </si>
  <si>
    <t>Claim_595</t>
  </si>
  <si>
    <t>Claim_596</t>
  </si>
  <si>
    <t>Claim_597</t>
  </si>
  <si>
    <t>Claim_598</t>
  </si>
  <si>
    <t>Claim_599</t>
  </si>
  <si>
    <t>Claim_600</t>
  </si>
  <si>
    <t>Claim_601</t>
  </si>
  <si>
    <t>Claim_602</t>
  </si>
  <si>
    <t>Claim_603</t>
  </si>
  <si>
    <t>Claim_604</t>
  </si>
  <si>
    <t>Claim_605</t>
  </si>
  <si>
    <t>Claim_606</t>
  </si>
  <si>
    <t>Claim_607</t>
  </si>
  <si>
    <t>Claim_608</t>
  </si>
  <si>
    <t>Claim_609</t>
  </si>
  <si>
    <t>Claim_610</t>
  </si>
  <si>
    <t>Claim_611</t>
  </si>
  <si>
    <t>Claim_612</t>
  </si>
  <si>
    <t>Claim_613</t>
  </si>
  <si>
    <t>Claim_614</t>
  </si>
  <si>
    <t>Claim_615</t>
  </si>
  <si>
    <t>Claim_616</t>
  </si>
  <si>
    <t>Claim_617</t>
  </si>
  <si>
    <t>Claim_618</t>
  </si>
  <si>
    <t>Claim_619</t>
  </si>
  <si>
    <t>Claim_620</t>
  </si>
  <si>
    <t>Claim_621</t>
  </si>
  <si>
    <t>Claim_622</t>
  </si>
  <si>
    <t>Claim_623</t>
  </si>
  <si>
    <t>Claim_624</t>
  </si>
  <si>
    <t>Claim_625</t>
  </si>
  <si>
    <t>Claim_626</t>
  </si>
  <si>
    <t>Claim_627</t>
  </si>
  <si>
    <t>Claim_628</t>
  </si>
  <si>
    <t>Claim_629</t>
  </si>
  <si>
    <t>Claim_630</t>
  </si>
  <si>
    <t>Claim_631</t>
  </si>
  <si>
    <t>Claim_632</t>
  </si>
  <si>
    <t>Claim_633</t>
  </si>
  <si>
    <t>Claim_634</t>
  </si>
  <si>
    <t>Claim_635</t>
  </si>
  <si>
    <t>Claim_636</t>
  </si>
  <si>
    <t>Claim_637</t>
  </si>
  <si>
    <t>Claim_638</t>
  </si>
  <si>
    <t>Claim_639</t>
  </si>
  <si>
    <t>Claim_640</t>
  </si>
  <si>
    <t>Claim_641</t>
  </si>
  <si>
    <t>Claim_642</t>
  </si>
  <si>
    <t>Claim_643</t>
  </si>
  <si>
    <t>Claim_644</t>
  </si>
  <si>
    <t>Claim_645</t>
  </si>
  <si>
    <t>Claim_646</t>
  </si>
  <si>
    <t>Claim_647</t>
  </si>
  <si>
    <t>Claim_648</t>
  </si>
  <si>
    <t>Claim_649</t>
  </si>
  <si>
    <t>Claim_650</t>
  </si>
  <si>
    <t>Claim_651</t>
  </si>
  <si>
    <t>Claim_652</t>
  </si>
  <si>
    <t>Claim_653</t>
  </si>
  <si>
    <t>Claim_654</t>
  </si>
  <si>
    <t>Claim_655</t>
  </si>
  <si>
    <t>Claim_656</t>
  </si>
  <si>
    <t>Claim_657</t>
  </si>
  <si>
    <t>Claim_658</t>
  </si>
  <si>
    <t>Claim_659</t>
  </si>
  <si>
    <t>Claim_660</t>
  </si>
  <si>
    <t>Claim_661</t>
  </si>
  <si>
    <t>Claim_662</t>
  </si>
  <si>
    <t>Claim_663</t>
  </si>
  <si>
    <t>Claim_664</t>
  </si>
  <si>
    <t>Claim_665</t>
  </si>
  <si>
    <t>Claim_666</t>
  </si>
  <si>
    <t>Claim_667</t>
  </si>
  <si>
    <t>Claim_668</t>
  </si>
  <si>
    <t>Claim_669</t>
  </si>
  <si>
    <t>Claim_670</t>
  </si>
  <si>
    <t>Claim_671</t>
  </si>
  <si>
    <t>Claim_672</t>
  </si>
  <si>
    <t>Claim_673</t>
  </si>
  <si>
    <t>Claim_674</t>
  </si>
  <si>
    <t>Claim_675</t>
  </si>
  <si>
    <t>Claim_676</t>
  </si>
  <si>
    <t>Claim_677</t>
  </si>
  <si>
    <t>Claim_678</t>
  </si>
  <si>
    <t>Claim_679</t>
  </si>
  <si>
    <t>Claim_680</t>
  </si>
  <si>
    <t>Claim_681</t>
  </si>
  <si>
    <t>Claim_682</t>
  </si>
  <si>
    <t>Claim_683</t>
  </si>
  <si>
    <t>Claim_684</t>
  </si>
  <si>
    <t>Claim_685</t>
  </si>
  <si>
    <t>Claim_686</t>
  </si>
  <si>
    <t>Claim_687</t>
  </si>
  <si>
    <t>Claim_688</t>
  </si>
  <si>
    <t>Claim_689</t>
  </si>
  <si>
    <t>Claim_690</t>
  </si>
  <si>
    <t>Claim_691</t>
  </si>
  <si>
    <t>Claim_692</t>
  </si>
  <si>
    <t>Claim_693</t>
  </si>
  <si>
    <t>Claim_694</t>
  </si>
  <si>
    <t>Claim_695</t>
  </si>
  <si>
    <t>Claim_696</t>
  </si>
  <si>
    <t>Claim_697</t>
  </si>
  <si>
    <t>Claim_698</t>
  </si>
  <si>
    <t>Claim_699</t>
  </si>
  <si>
    <t>Claim_700</t>
  </si>
  <si>
    <t>Claim_701</t>
  </si>
  <si>
    <t>Claim_702</t>
  </si>
  <si>
    <t>Claim_703</t>
  </si>
  <si>
    <t>Claim_704</t>
  </si>
  <si>
    <t>Claim_705</t>
  </si>
  <si>
    <t>Claim_706</t>
  </si>
  <si>
    <t>Claim_707</t>
  </si>
  <si>
    <t>Claim_708</t>
  </si>
  <si>
    <t>Claim_709</t>
  </si>
  <si>
    <t>Claim_710</t>
  </si>
  <si>
    <t>Claim_711</t>
  </si>
  <si>
    <t>Claim_712</t>
  </si>
  <si>
    <t>Claim_713</t>
  </si>
  <si>
    <t>Claim_714</t>
  </si>
  <si>
    <t>Claim_715</t>
  </si>
  <si>
    <t>Claim_716</t>
  </si>
  <si>
    <t>Claim_717</t>
  </si>
  <si>
    <t>Claim_718</t>
  </si>
  <si>
    <t>Claim_719</t>
  </si>
  <si>
    <t>Claim_720</t>
  </si>
  <si>
    <t>Claim_721</t>
  </si>
  <si>
    <t>Claim_722</t>
  </si>
  <si>
    <t>Claim_723</t>
  </si>
  <si>
    <t>Claim_724</t>
  </si>
  <si>
    <t>Claim_725</t>
  </si>
  <si>
    <t>Claim_726</t>
  </si>
  <si>
    <t>Claim_727</t>
  </si>
  <si>
    <t>Claim_728</t>
  </si>
  <si>
    <t>Claim_729</t>
  </si>
  <si>
    <t>Claim_730</t>
  </si>
  <si>
    <t>Claim_731</t>
  </si>
  <si>
    <t>Claim_732</t>
  </si>
  <si>
    <t>Claim_733</t>
  </si>
  <si>
    <t>Claim_734</t>
  </si>
  <si>
    <t>Claim_735</t>
  </si>
  <si>
    <t>Claim_736</t>
  </si>
  <si>
    <t>Claim_737</t>
  </si>
  <si>
    <t>Claim_738</t>
  </si>
  <si>
    <t>Claim_739</t>
  </si>
  <si>
    <t>Claim_740</t>
  </si>
  <si>
    <t>Claim_741</t>
  </si>
  <si>
    <t>Claim_742</t>
  </si>
  <si>
    <t>Claim_743</t>
  </si>
  <si>
    <t>Claim_744</t>
  </si>
  <si>
    <t>Claim_745</t>
  </si>
  <si>
    <t>Claim_746</t>
  </si>
  <si>
    <t>Claim_747</t>
  </si>
  <si>
    <t>Claim_748</t>
  </si>
  <si>
    <t>Claim_749</t>
  </si>
  <si>
    <t>Claim_750</t>
  </si>
  <si>
    <t>Claim_751</t>
  </si>
  <si>
    <t>Claim_752</t>
  </si>
  <si>
    <t>Claim_753</t>
  </si>
  <si>
    <t>Claim_754</t>
  </si>
  <si>
    <t>Claim_755</t>
  </si>
  <si>
    <t>Claim_756</t>
  </si>
  <si>
    <t>Claim_757</t>
  </si>
  <si>
    <t>Claim_758</t>
  </si>
  <si>
    <t>Claim_759</t>
  </si>
  <si>
    <t>Claim_760</t>
  </si>
  <si>
    <t>Claim_761</t>
  </si>
  <si>
    <t>Claim_762</t>
  </si>
  <si>
    <t>Claim_763</t>
  </si>
  <si>
    <t>Claim_764</t>
  </si>
  <si>
    <t>Claim_765</t>
  </si>
  <si>
    <t>Claim_766</t>
  </si>
  <si>
    <t>Claim_767</t>
  </si>
  <si>
    <t>Claim_768</t>
  </si>
  <si>
    <t>Claim_769</t>
  </si>
  <si>
    <t>Claim_770</t>
  </si>
  <si>
    <t>Claim_771</t>
  </si>
  <si>
    <t>Claim_772</t>
  </si>
  <si>
    <t>Claim_773</t>
  </si>
  <si>
    <t>Claim_774</t>
  </si>
  <si>
    <t>Claim_775</t>
  </si>
  <si>
    <t>Claim_776</t>
  </si>
  <si>
    <t>Claim_777</t>
  </si>
  <si>
    <t>Claim_778</t>
  </si>
  <si>
    <t>Claim_779</t>
  </si>
  <si>
    <t>Claim_780</t>
  </si>
  <si>
    <t>Claim_781</t>
  </si>
  <si>
    <t>Claim_782</t>
  </si>
  <si>
    <t>Claim_783</t>
  </si>
  <si>
    <t>Claim_784</t>
  </si>
  <si>
    <t>Claim_785</t>
  </si>
  <si>
    <t>Claim_786</t>
  </si>
  <si>
    <t>Claim_787</t>
  </si>
  <si>
    <t>Claim_788</t>
  </si>
  <si>
    <t>Claim_789</t>
  </si>
  <si>
    <t>Claim_790</t>
  </si>
  <si>
    <t>Claim_791</t>
  </si>
  <si>
    <t>Claim_792</t>
  </si>
  <si>
    <t>Claim_793</t>
  </si>
  <si>
    <t>Claim_794</t>
  </si>
  <si>
    <t>Claim_795</t>
  </si>
  <si>
    <t>Claim_796</t>
  </si>
  <si>
    <t>Claim_797</t>
  </si>
  <si>
    <t>Claim_798</t>
  </si>
  <si>
    <t>Claim_799</t>
  </si>
  <si>
    <t>Claim_800</t>
  </si>
  <si>
    <t>Claim_801</t>
  </si>
  <si>
    <t>Claim_802</t>
  </si>
  <si>
    <t>Claim_803</t>
  </si>
  <si>
    <t>Claim_804</t>
  </si>
  <si>
    <t>Claim_805</t>
  </si>
  <si>
    <t>Claim_806</t>
  </si>
  <si>
    <t>Claim_807</t>
  </si>
  <si>
    <t>Claim_808</t>
  </si>
  <si>
    <t>Claim_809</t>
  </si>
  <si>
    <t>Claim_810</t>
  </si>
  <si>
    <t>Claim_811</t>
  </si>
  <si>
    <t>Claim_812</t>
  </si>
  <si>
    <t>Claim_813</t>
  </si>
  <si>
    <t>Claim_814</t>
  </si>
  <si>
    <t>Claim_815</t>
  </si>
  <si>
    <t>Claim_816</t>
  </si>
  <si>
    <t>Claim_817</t>
  </si>
  <si>
    <t>Claim_818</t>
  </si>
  <si>
    <t>Claim_819</t>
  </si>
  <si>
    <t>Claim_820</t>
  </si>
  <si>
    <t>Claim_821</t>
  </si>
  <si>
    <t>Claim_822</t>
  </si>
  <si>
    <t>Claim_823</t>
  </si>
  <si>
    <t>Claim_824</t>
  </si>
  <si>
    <t>Claim_825</t>
  </si>
  <si>
    <t>Claim_826</t>
  </si>
  <si>
    <t>Claim_827</t>
  </si>
  <si>
    <t>Claim_828</t>
  </si>
  <si>
    <t>Claim_829</t>
  </si>
  <si>
    <t>Claim_830</t>
  </si>
  <si>
    <t>Claim_831</t>
  </si>
  <si>
    <t>Claim_832</t>
  </si>
  <si>
    <t>Claim_833</t>
  </si>
  <si>
    <t>Claim_834</t>
  </si>
  <si>
    <t>Claim_835</t>
  </si>
  <si>
    <t>Claim_836</t>
  </si>
  <si>
    <t>Claim_837</t>
  </si>
  <si>
    <t>Claim_838</t>
  </si>
  <si>
    <t>Claim_839</t>
  </si>
  <si>
    <t>Claim_840</t>
  </si>
  <si>
    <t>Claim_841</t>
  </si>
  <si>
    <t>Claim_842</t>
  </si>
  <si>
    <t>Claim_843</t>
  </si>
  <si>
    <t>Claim_844</t>
  </si>
  <si>
    <t>Claim_845</t>
  </si>
  <si>
    <t>Claim_846</t>
  </si>
  <si>
    <t>Claim_847</t>
  </si>
  <si>
    <t>Claim_848</t>
  </si>
  <si>
    <t>Claim_849</t>
  </si>
  <si>
    <t>Claim_850</t>
  </si>
  <si>
    <t>Claim_851</t>
  </si>
  <si>
    <t>Claim_852</t>
  </si>
  <si>
    <t>Claim_853</t>
  </si>
  <si>
    <t>Claim_854</t>
  </si>
  <si>
    <t>Claim_855</t>
  </si>
  <si>
    <t>Claim_856</t>
  </si>
  <si>
    <t>Claim_857</t>
  </si>
  <si>
    <t>Claim_858</t>
  </si>
  <si>
    <t>Claim_859</t>
  </si>
  <si>
    <t>Claim_860</t>
  </si>
  <si>
    <t>Claim_861</t>
  </si>
  <si>
    <t>Claim_862</t>
  </si>
  <si>
    <t>Claim_863</t>
  </si>
  <si>
    <t>Claim_864</t>
  </si>
  <si>
    <t>Claim_865</t>
  </si>
  <si>
    <t>Claim_866</t>
  </si>
  <si>
    <t>Claim_867</t>
  </si>
  <si>
    <t>Claim_868</t>
  </si>
  <si>
    <t>Claim_869</t>
  </si>
  <si>
    <t>Claim_870</t>
  </si>
  <si>
    <t>Claim_871</t>
  </si>
  <si>
    <t>Claim_872</t>
  </si>
  <si>
    <t>Claim_873</t>
  </si>
  <si>
    <t>Claim_874</t>
  </si>
  <si>
    <t>Claim_875</t>
  </si>
  <si>
    <t>Claim_876</t>
  </si>
  <si>
    <t>Claim_877</t>
  </si>
  <si>
    <t>Claim_878</t>
  </si>
  <si>
    <t>Claim_879</t>
  </si>
  <si>
    <t>Claim_880</t>
  </si>
  <si>
    <t>Claim_881</t>
  </si>
  <si>
    <t>Claim_882</t>
  </si>
  <si>
    <t>Claim_883</t>
  </si>
  <si>
    <t>Claim_884</t>
  </si>
  <si>
    <t>Claim_885</t>
  </si>
  <si>
    <t>Claim_886</t>
  </si>
  <si>
    <t>Claim_887</t>
  </si>
  <si>
    <t>Claim_888</t>
  </si>
  <si>
    <t>Claim_889</t>
  </si>
  <si>
    <t>Claim_890</t>
  </si>
  <si>
    <t>Claim_891</t>
  </si>
  <si>
    <t>Claim_892</t>
  </si>
  <si>
    <t>Claim_893</t>
  </si>
  <si>
    <t>Claim_894</t>
  </si>
  <si>
    <t>Claim_895</t>
  </si>
  <si>
    <t>Claim_896</t>
  </si>
  <si>
    <t>Claim_897</t>
  </si>
  <si>
    <t>Claim_898</t>
  </si>
  <si>
    <t>Claim_899</t>
  </si>
  <si>
    <t>Claim_900</t>
  </si>
  <si>
    <t>Claim_901</t>
  </si>
  <si>
    <t>Claim_902</t>
  </si>
  <si>
    <t>Claim_903</t>
  </si>
  <si>
    <t>Claim_904</t>
  </si>
  <si>
    <t>Claim_905</t>
  </si>
  <si>
    <t>Claim_906</t>
  </si>
  <si>
    <t>Claim_907</t>
  </si>
  <si>
    <t>Claim_908</t>
  </si>
  <si>
    <t>Claim_909</t>
  </si>
  <si>
    <t>Claim_910</t>
  </si>
  <si>
    <t>Claim_911</t>
  </si>
  <si>
    <t>Claim_912</t>
  </si>
  <si>
    <t>Claim_913</t>
  </si>
  <si>
    <t>Claim_914</t>
  </si>
  <si>
    <t>Claim_915</t>
  </si>
  <si>
    <t>Claim_916</t>
  </si>
  <si>
    <t>Claim_917</t>
  </si>
  <si>
    <t>Claim_918</t>
  </si>
  <si>
    <t>Claim_919</t>
  </si>
  <si>
    <t>Claim_920</t>
  </si>
  <si>
    <t>Claim_921</t>
  </si>
  <si>
    <t>Claim_922</t>
  </si>
  <si>
    <t>Claim_923</t>
  </si>
  <si>
    <t>Claim_924</t>
  </si>
  <si>
    <t>Claim_925</t>
  </si>
  <si>
    <t>Claim_926</t>
  </si>
  <si>
    <t>Claim_927</t>
  </si>
  <si>
    <t>Claim_928</t>
  </si>
  <si>
    <t>Claim_929</t>
  </si>
  <si>
    <t>Claim_930</t>
  </si>
  <si>
    <t>Claim_931</t>
  </si>
  <si>
    <t>Claim_932</t>
  </si>
  <si>
    <t>Claim_933</t>
  </si>
  <si>
    <t>Claim_934</t>
  </si>
  <si>
    <t>Claim_935</t>
  </si>
  <si>
    <t>Claim_936</t>
  </si>
  <si>
    <t>Claim_937</t>
  </si>
  <si>
    <t>Claim_938</t>
  </si>
  <si>
    <t>Claim_939</t>
  </si>
  <si>
    <t>Claim_940</t>
  </si>
  <si>
    <t>Claim_941</t>
  </si>
  <si>
    <t>Claim_942</t>
  </si>
  <si>
    <t>Claim_943</t>
  </si>
  <si>
    <t>Claim_944</t>
  </si>
  <si>
    <t>Claim_945</t>
  </si>
  <si>
    <t>Claim_946</t>
  </si>
  <si>
    <t>Claim_947</t>
  </si>
  <si>
    <t>Claim_948</t>
  </si>
  <si>
    <t>Claim_949</t>
  </si>
  <si>
    <t>Claim_950</t>
  </si>
  <si>
    <t>Claim_951</t>
  </si>
  <si>
    <t>Claim_952</t>
  </si>
  <si>
    <t>Claim_953</t>
  </si>
  <si>
    <t>Claim_954</t>
  </si>
  <si>
    <t>Claim_955</t>
  </si>
  <si>
    <t>Claim_956</t>
  </si>
  <si>
    <t>Claim_957</t>
  </si>
  <si>
    <t>Claim_958</t>
  </si>
  <si>
    <t>Claim_959</t>
  </si>
  <si>
    <t>Claim_960</t>
  </si>
  <si>
    <t>Claim_961</t>
  </si>
  <si>
    <t>Claim_962</t>
  </si>
  <si>
    <t>Claim_963</t>
  </si>
  <si>
    <t>Claim_964</t>
  </si>
  <si>
    <t>Claim_965</t>
  </si>
  <si>
    <t>Claim_966</t>
  </si>
  <si>
    <t>Claim_967</t>
  </si>
  <si>
    <t>Claim_968</t>
  </si>
  <si>
    <t>Claim_969</t>
  </si>
  <si>
    <t>Claim_970</t>
  </si>
  <si>
    <t>Claim_971</t>
  </si>
  <si>
    <t>Claim_972</t>
  </si>
  <si>
    <t>Claim_973</t>
  </si>
  <si>
    <t>Claim_974</t>
  </si>
  <si>
    <t>Claim_975</t>
  </si>
  <si>
    <t>Claim_976</t>
  </si>
  <si>
    <t>Claim_977</t>
  </si>
  <si>
    <t>Claim_978</t>
  </si>
  <si>
    <t>Claim_979</t>
  </si>
  <si>
    <t>Claim_980</t>
  </si>
  <si>
    <t>Claim_981</t>
  </si>
  <si>
    <t>Claim_982</t>
  </si>
  <si>
    <t>Claim_983</t>
  </si>
  <si>
    <t>Claim_984</t>
  </si>
  <si>
    <t>Claim_985</t>
  </si>
  <si>
    <t>Claim_986</t>
  </si>
  <si>
    <t>Claim_987</t>
  </si>
  <si>
    <t>Claim_988</t>
  </si>
  <si>
    <t>Claim_989</t>
  </si>
  <si>
    <t>Claim_990</t>
  </si>
  <si>
    <t>Claim_991</t>
  </si>
  <si>
    <t>Claim_992</t>
  </si>
  <si>
    <t>Claim_993</t>
  </si>
  <si>
    <t>Claim_994</t>
  </si>
  <si>
    <t>Claim_995</t>
  </si>
  <si>
    <t>Claim_996</t>
  </si>
  <si>
    <t>Claim_997</t>
  </si>
  <si>
    <t>Claim_998</t>
  </si>
  <si>
    <t>Claim_999</t>
  </si>
  <si>
    <t>Claim_1000</t>
  </si>
  <si>
    <t>Claim_1001</t>
  </si>
  <si>
    <t>Claim_1002</t>
  </si>
  <si>
    <t>Claim_1003</t>
  </si>
  <si>
    <t>Claim_1004</t>
  </si>
  <si>
    <t>Claim_1005</t>
  </si>
  <si>
    <t>Claim_1006</t>
  </si>
  <si>
    <t>Claim_1007</t>
  </si>
  <si>
    <t>Claim_1008</t>
  </si>
  <si>
    <t>Claim_1009</t>
  </si>
  <si>
    <t>Claim_1010</t>
  </si>
  <si>
    <t>Claim_1011</t>
  </si>
  <si>
    <t>Claim_1012</t>
  </si>
  <si>
    <t>Claim_1013</t>
  </si>
  <si>
    <t>Claim_1014</t>
  </si>
  <si>
    <t>Claim_1015</t>
  </si>
  <si>
    <t>Claim_1016</t>
  </si>
  <si>
    <t>Claim_1017</t>
  </si>
  <si>
    <t>Claim_1018</t>
  </si>
  <si>
    <t>Claim_1019</t>
  </si>
  <si>
    <t>Claim_1020</t>
  </si>
  <si>
    <t>Claim_1021</t>
  </si>
  <si>
    <t>Claim_1022</t>
  </si>
  <si>
    <t>Claim_1023</t>
  </si>
  <si>
    <t>Claim_1024</t>
  </si>
  <si>
    <t>Claim_1025</t>
  </si>
  <si>
    <t>Claim_1026</t>
  </si>
  <si>
    <t>Claim_1027</t>
  </si>
  <si>
    <t>Claim_1028</t>
  </si>
  <si>
    <t>Claim_1029</t>
  </si>
  <si>
    <t>Claim_1030</t>
  </si>
  <si>
    <t>Claim_1031</t>
  </si>
  <si>
    <t>Claim_1032</t>
  </si>
  <si>
    <t>Claim_1033</t>
  </si>
  <si>
    <t>Claim_1034</t>
  </si>
  <si>
    <t>Claim_1035</t>
  </si>
  <si>
    <t>Claim_1036</t>
  </si>
  <si>
    <t>Claim_1037</t>
  </si>
  <si>
    <t>Claim_1038</t>
  </si>
  <si>
    <t>Claim_1039</t>
  </si>
  <si>
    <t>Claim_1040</t>
  </si>
  <si>
    <t>Claim_1041</t>
  </si>
  <si>
    <t>Claim_1042</t>
  </si>
  <si>
    <t>Claim_1043</t>
  </si>
  <si>
    <t>Claim_1044</t>
  </si>
  <si>
    <t>Claim_1045</t>
  </si>
  <si>
    <t>Claim_1046</t>
  </si>
  <si>
    <t>Claim_1047</t>
  </si>
  <si>
    <t>Claim_1048</t>
  </si>
  <si>
    <t>Claim_1049</t>
  </si>
  <si>
    <t>Claim_1050</t>
  </si>
  <si>
    <t>Claim_1051</t>
  </si>
  <si>
    <t>Claim_1052</t>
  </si>
  <si>
    <t>Claim_1053</t>
  </si>
  <si>
    <t>Claim_1054</t>
  </si>
  <si>
    <t>Claim_1055</t>
  </si>
  <si>
    <t>Claim_1056</t>
  </si>
  <si>
    <t>Claim_1057</t>
  </si>
  <si>
    <t>Claim_1058</t>
  </si>
  <si>
    <t>Claim_1059</t>
  </si>
  <si>
    <t>Claim_1060</t>
  </si>
  <si>
    <t>Claim_1061</t>
  </si>
  <si>
    <t>Claim_1062</t>
  </si>
  <si>
    <t>Claim_1063</t>
  </si>
  <si>
    <t>Claim_1064</t>
  </si>
  <si>
    <t>Claim_1065</t>
  </si>
  <si>
    <t>Claim_1066</t>
  </si>
  <si>
    <t>Claim_1067</t>
  </si>
  <si>
    <t>Claim_1068</t>
  </si>
  <si>
    <t>Claim_1069</t>
  </si>
  <si>
    <t>Claim_1070</t>
  </si>
  <si>
    <t>Claim_1071</t>
  </si>
  <si>
    <t>Claim_1072</t>
  </si>
  <si>
    <t>Claim_1073</t>
  </si>
  <si>
    <t>Claim_1074</t>
  </si>
  <si>
    <t>Claim_1075</t>
  </si>
  <si>
    <t>Claim_1076</t>
  </si>
  <si>
    <t>Claim_1077</t>
  </si>
  <si>
    <t>Claim_1078</t>
  </si>
  <si>
    <t>Claim_1079</t>
  </si>
  <si>
    <t>Claim_1080</t>
  </si>
  <si>
    <t>Claim_1081</t>
  </si>
  <si>
    <t>Claim_1082</t>
  </si>
  <si>
    <t>Claim_1083</t>
  </si>
  <si>
    <t>Claim_1084</t>
  </si>
  <si>
    <t>Claim_1085</t>
  </si>
  <si>
    <t>Claim_1086</t>
  </si>
  <si>
    <t>Claim_1087</t>
  </si>
  <si>
    <t>Claim_1088</t>
  </si>
  <si>
    <t>Claim_1089</t>
  </si>
  <si>
    <t>Claim_1090</t>
  </si>
  <si>
    <t>Claim_1091</t>
  </si>
  <si>
    <t>Claim_1092</t>
  </si>
  <si>
    <t>Claim_1093</t>
  </si>
  <si>
    <t>Claim_1094</t>
  </si>
  <si>
    <t>Claim_1095</t>
  </si>
  <si>
    <t>Claim_1096</t>
  </si>
  <si>
    <t>Claim_1097</t>
  </si>
  <si>
    <t>Claim_1098</t>
  </si>
  <si>
    <t>Claim_1099</t>
  </si>
  <si>
    <t>Claim_1100</t>
  </si>
  <si>
    <t>Claim_1101</t>
  </si>
  <si>
    <t>Claim_1102</t>
  </si>
  <si>
    <t>Claim_1103</t>
  </si>
  <si>
    <t>Claim_1104</t>
  </si>
  <si>
    <t>Claim_1105</t>
  </si>
  <si>
    <t>Claim_1106</t>
  </si>
  <si>
    <t>Claim_1107</t>
  </si>
  <si>
    <t>Claim_1108</t>
  </si>
  <si>
    <t>Claim_1109</t>
  </si>
  <si>
    <t>Claim_1110</t>
  </si>
  <si>
    <t>Claim_1111</t>
  </si>
  <si>
    <t>Claim_1112</t>
  </si>
  <si>
    <t>Claim_1113</t>
  </si>
  <si>
    <t>Claim_1114</t>
  </si>
  <si>
    <t>Claim_1115</t>
  </si>
  <si>
    <t>Claim_1116</t>
  </si>
  <si>
    <t>Claim_1117</t>
  </si>
  <si>
    <t>Claim_1118</t>
  </si>
  <si>
    <t>Claim_1119</t>
  </si>
  <si>
    <t>Claim_1120</t>
  </si>
  <si>
    <t>Claim_1121</t>
  </si>
  <si>
    <t>Claim_1122</t>
  </si>
  <si>
    <t>Claim_1123</t>
  </si>
  <si>
    <t>Claim_1124</t>
  </si>
  <si>
    <t>Claim_1125</t>
  </si>
  <si>
    <t>Claim_1126</t>
  </si>
  <si>
    <t>Claim_1127</t>
  </si>
  <si>
    <t>Claim_1128</t>
  </si>
  <si>
    <t>Claim_1129</t>
  </si>
  <si>
    <t>Claim_1130</t>
  </si>
  <si>
    <t>Claim_1131</t>
  </si>
  <si>
    <t>Claim_1132</t>
  </si>
  <si>
    <t>Claim_1133</t>
  </si>
  <si>
    <t>Claim_1134</t>
  </si>
  <si>
    <t>Claim_1135</t>
  </si>
  <si>
    <t>Claim_1136</t>
  </si>
  <si>
    <t>Claim_1137</t>
  </si>
  <si>
    <t>Claim_1138</t>
  </si>
  <si>
    <t>Claim_1139</t>
  </si>
  <si>
    <t>Claim_1140</t>
  </si>
  <si>
    <t>Claim_1141</t>
  </si>
  <si>
    <t>Claim_1142</t>
  </si>
  <si>
    <t>Claim_1143</t>
  </si>
  <si>
    <t>Claim_1144</t>
  </si>
  <si>
    <t>Claim_1145</t>
  </si>
  <si>
    <t>Claim_1146</t>
  </si>
  <si>
    <t>Claim_1147</t>
  </si>
  <si>
    <t>Claim_1148</t>
  </si>
  <si>
    <t>Claim_1149</t>
  </si>
  <si>
    <t>Claim_1150</t>
  </si>
  <si>
    <t>Claim_1151</t>
  </si>
  <si>
    <t>Claim_1152</t>
  </si>
  <si>
    <t>Claim_1153</t>
  </si>
  <si>
    <t>Claim_1154</t>
  </si>
  <si>
    <t>Claim_1155</t>
  </si>
  <si>
    <t>Claim_1156</t>
  </si>
  <si>
    <t>Claim_1157</t>
  </si>
  <si>
    <t>Claim_1158</t>
  </si>
  <si>
    <t>Claim_1159</t>
  </si>
  <si>
    <t>Claim_1160</t>
  </si>
  <si>
    <t>Claim_1161</t>
  </si>
  <si>
    <t>Claim_1162</t>
  </si>
  <si>
    <t>Claim_1163</t>
  </si>
  <si>
    <t>Claim_1164</t>
  </si>
  <si>
    <t>Claim_1165</t>
  </si>
  <si>
    <t>Claim_1166</t>
  </si>
  <si>
    <t>Claim_1167</t>
  </si>
  <si>
    <t>Claim_1168</t>
  </si>
  <si>
    <t>Claim_1169</t>
  </si>
  <si>
    <t>Claim_1170</t>
  </si>
  <si>
    <t>Claim_1171</t>
  </si>
  <si>
    <t>Claim_1172</t>
  </si>
  <si>
    <t>Claim_1173</t>
  </si>
  <si>
    <t>Claim_1174</t>
  </si>
  <si>
    <t>Claim_1175</t>
  </si>
  <si>
    <t>Claim_1176</t>
  </si>
  <si>
    <t>Claim_1177</t>
  </si>
  <si>
    <t>Claim_1178</t>
  </si>
  <si>
    <t>Claim_1179</t>
  </si>
  <si>
    <t>Claim_1180</t>
  </si>
  <si>
    <t>Claim_1181</t>
  </si>
  <si>
    <t>Claim_1182</t>
  </si>
  <si>
    <t>Claim_1183</t>
  </si>
  <si>
    <t>Claim_1184</t>
  </si>
  <si>
    <t>Claim_1185</t>
  </si>
  <si>
    <t>Claim_1186</t>
  </si>
  <si>
    <t>Claim_1187</t>
  </si>
  <si>
    <t>Claim_1188</t>
  </si>
  <si>
    <t>Claim_1189</t>
  </si>
  <si>
    <t>Claim_1190</t>
  </si>
  <si>
    <t>Claim_1191</t>
  </si>
  <si>
    <t>Claim_1192</t>
  </si>
  <si>
    <t>Claim_1193</t>
  </si>
  <si>
    <t>Claim_1194</t>
  </si>
  <si>
    <t>Claim_1195</t>
  </si>
  <si>
    <t>Claim_1196</t>
  </si>
  <si>
    <t>Claim_1197</t>
  </si>
  <si>
    <t>Claim_1198</t>
  </si>
  <si>
    <t>Claim_1199</t>
  </si>
  <si>
    <t>Claim_1200</t>
  </si>
  <si>
    <t>Claim_1201</t>
  </si>
  <si>
    <t>Claim_1202</t>
  </si>
  <si>
    <t>Claim_1203</t>
  </si>
  <si>
    <t>Claim_1204</t>
  </si>
  <si>
    <t>Claim_1205</t>
  </si>
  <si>
    <t>Claim_1206</t>
  </si>
  <si>
    <t>Claim_1207</t>
  </si>
  <si>
    <t>Claim_1208</t>
  </si>
  <si>
    <t>Claim_1209</t>
  </si>
  <si>
    <t>Claim_1210</t>
  </si>
  <si>
    <t>Claim_1211</t>
  </si>
  <si>
    <t>Claim_1212</t>
  </si>
  <si>
    <t>Claim_1213</t>
  </si>
  <si>
    <t>Claim_1214</t>
  </si>
  <si>
    <t>Claim_1215</t>
  </si>
  <si>
    <t>Claim_1216</t>
  </si>
  <si>
    <t>Claim_1217</t>
  </si>
  <si>
    <t>Claim_1218</t>
  </si>
  <si>
    <t>Claim_1219</t>
  </si>
  <si>
    <t>Claim_1220</t>
  </si>
  <si>
    <t>Claim_1221</t>
  </si>
  <si>
    <t>Claim_1222</t>
  </si>
  <si>
    <t>Claim_1223</t>
  </si>
  <si>
    <t>Claim_1224</t>
  </si>
  <si>
    <t>Claim_1225</t>
  </si>
  <si>
    <t>Claim_1226</t>
  </si>
  <si>
    <t>Claim_1227</t>
  </si>
  <si>
    <t>Claim_1228</t>
  </si>
  <si>
    <t>Claim_1229</t>
  </si>
  <si>
    <t>Claim_1230</t>
  </si>
  <si>
    <t>Claim_1231</t>
  </si>
  <si>
    <t>Claim_1232</t>
  </si>
  <si>
    <t>Claim_1233</t>
  </si>
  <si>
    <t>Claim_1234</t>
  </si>
  <si>
    <t>Claim_1235</t>
  </si>
  <si>
    <t>Claim_1236</t>
  </si>
  <si>
    <t>Claim_1237</t>
  </si>
  <si>
    <t>Claim_1238</t>
  </si>
  <si>
    <t>Claim_1239</t>
  </si>
  <si>
    <t>Claim_1240</t>
  </si>
  <si>
    <t>Claim_1241</t>
  </si>
  <si>
    <t>Claim_1242</t>
  </si>
  <si>
    <t>Claim_1243</t>
  </si>
  <si>
    <t>Claim_1244</t>
  </si>
  <si>
    <t>Claim_1245</t>
  </si>
  <si>
    <t>Claim_1246</t>
  </si>
  <si>
    <t>Claim_1247</t>
  </si>
  <si>
    <t>Claim_1248</t>
  </si>
  <si>
    <t>Claim_1249</t>
  </si>
  <si>
    <t>Claim_1250</t>
  </si>
  <si>
    <t>Claim_1251</t>
  </si>
  <si>
    <t>Claim_1252</t>
  </si>
  <si>
    <t>Claim_1253</t>
  </si>
  <si>
    <t>Claim_1254</t>
  </si>
  <si>
    <t>Claim_1255</t>
  </si>
  <si>
    <t>Claim_1256</t>
  </si>
  <si>
    <t>Claim_1257</t>
  </si>
  <si>
    <t>Claim_1258</t>
  </si>
  <si>
    <t>Claim_1259</t>
  </si>
  <si>
    <t>Claim_1260</t>
  </si>
  <si>
    <t>Claim_1261</t>
  </si>
  <si>
    <t>Claim_1262</t>
  </si>
  <si>
    <t>Claim_1263</t>
  </si>
  <si>
    <t>Claim_1264</t>
  </si>
  <si>
    <t>Claim_1265</t>
  </si>
  <si>
    <t>Claim_1266</t>
  </si>
  <si>
    <t>Claim_1267</t>
  </si>
  <si>
    <t>Claim_1268</t>
  </si>
  <si>
    <t>Claim_1269</t>
  </si>
  <si>
    <t>Claim_1270</t>
  </si>
  <si>
    <t>Claim_1271</t>
  </si>
  <si>
    <t>Claim_1272</t>
  </si>
  <si>
    <t>Claim_1273</t>
  </si>
  <si>
    <t>Claim_1274</t>
  </si>
  <si>
    <t>Claim_1275</t>
  </si>
  <si>
    <t>Claim_1276</t>
  </si>
  <si>
    <t>Claim_1277</t>
  </si>
  <si>
    <t>Claim_1278</t>
  </si>
  <si>
    <t>Claim_1279</t>
  </si>
  <si>
    <t>Claim_1280</t>
  </si>
  <si>
    <t>Claim_1281</t>
  </si>
  <si>
    <t>Claim_1282</t>
  </si>
  <si>
    <t>Claim_1283</t>
  </si>
  <si>
    <t>Claim_1284</t>
  </si>
  <si>
    <t>Claim_1285</t>
  </si>
  <si>
    <t>Claim_1286</t>
  </si>
  <si>
    <t>Claim_1287</t>
  </si>
  <si>
    <t>Claim_1288</t>
  </si>
  <si>
    <t>Claim_1289</t>
  </si>
  <si>
    <t>Claim_1290</t>
  </si>
  <si>
    <t>Claim_1291</t>
  </si>
  <si>
    <t>Claim_1292</t>
  </si>
  <si>
    <t>Claim_1293</t>
  </si>
  <si>
    <t>Claim_1294</t>
  </si>
  <si>
    <t>Claim_1295</t>
  </si>
  <si>
    <t>Claim_1296</t>
  </si>
  <si>
    <t>Claim_1297</t>
  </si>
  <si>
    <t>Claim_1298</t>
  </si>
  <si>
    <t>Claim_1299</t>
  </si>
  <si>
    <t>Claim_1300</t>
  </si>
  <si>
    <t>Claim_1301</t>
  </si>
  <si>
    <t>Claim_1302</t>
  </si>
  <si>
    <t>Claim_1303</t>
  </si>
  <si>
    <t>Claim_1304</t>
  </si>
  <si>
    <t>Claim_1305</t>
  </si>
  <si>
    <t>Claim_1306</t>
  </si>
  <si>
    <t>Claim_1307</t>
  </si>
  <si>
    <t>Claim_1308</t>
  </si>
  <si>
    <t>Claim_1309</t>
  </si>
  <si>
    <t>Claim_1310</t>
  </si>
  <si>
    <t>Claim_1311</t>
  </si>
  <si>
    <t>Claim_1312</t>
  </si>
  <si>
    <t>Claim_1313</t>
  </si>
  <si>
    <t>Claim_1314</t>
  </si>
  <si>
    <t>Claim_1315</t>
  </si>
  <si>
    <t>Claim_1316</t>
  </si>
  <si>
    <t>Claim_1317</t>
  </si>
  <si>
    <t>Claim_1318</t>
  </si>
  <si>
    <t>Claim_1319</t>
  </si>
  <si>
    <t>Claim_1320</t>
  </si>
  <si>
    <t>Claim_1321</t>
  </si>
  <si>
    <t>Claim_1322</t>
  </si>
  <si>
    <t>Claim_1323</t>
  </si>
  <si>
    <t>Claim_1324</t>
  </si>
  <si>
    <t>Claim_1325</t>
  </si>
  <si>
    <t>Claim_1326</t>
  </si>
  <si>
    <t>Claim_1327</t>
  </si>
  <si>
    <t>Claim_1328</t>
  </si>
  <si>
    <t>Claim_1329</t>
  </si>
  <si>
    <t>Claim_1330</t>
  </si>
  <si>
    <t>Claim_1331</t>
  </si>
  <si>
    <t>Claim_1332</t>
  </si>
  <si>
    <t>Claim_1333</t>
  </si>
  <si>
    <t>Claim_1334</t>
  </si>
  <si>
    <t>Claim_1335</t>
  </si>
  <si>
    <t>Claim_1336</t>
  </si>
  <si>
    <t>Claim_1337</t>
  </si>
  <si>
    <t>Claim_1338</t>
  </si>
  <si>
    <t>Claim_1339</t>
  </si>
  <si>
    <t>Claim_1340</t>
  </si>
  <si>
    <t>Claim_1341</t>
  </si>
  <si>
    <t>Claim_1342</t>
  </si>
  <si>
    <t>Claim_1343</t>
  </si>
  <si>
    <t>Claim_1344</t>
  </si>
  <si>
    <t>Claim_1345</t>
  </si>
  <si>
    <t>Claim_1346</t>
  </si>
  <si>
    <t>Claim_1347</t>
  </si>
  <si>
    <t>Claim_1348</t>
  </si>
  <si>
    <t>Claim_1349</t>
  </si>
  <si>
    <t>Claim_1350</t>
  </si>
  <si>
    <t>Claim_1351</t>
  </si>
  <si>
    <t>Claim_1352</t>
  </si>
  <si>
    <t>Claim_1353</t>
  </si>
  <si>
    <t>Claim_1354</t>
  </si>
  <si>
    <t>Claim_1355</t>
  </si>
  <si>
    <t>Claim_1356</t>
  </si>
  <si>
    <t>Claim_1357</t>
  </si>
  <si>
    <t>Claim_1358</t>
  </si>
  <si>
    <t>Claim_1359</t>
  </si>
  <si>
    <t>Claim_1360</t>
  </si>
  <si>
    <t>Claim_1361</t>
  </si>
  <si>
    <t>Claim_1362</t>
  </si>
  <si>
    <t>Claim_1363</t>
  </si>
  <si>
    <t>Claim_1364</t>
  </si>
  <si>
    <t>Claim_1365</t>
  </si>
  <si>
    <t>Claim_1366</t>
  </si>
  <si>
    <t>Claim_1367</t>
  </si>
  <si>
    <t>Claim_1368</t>
  </si>
  <si>
    <t>Claim_1369</t>
  </si>
  <si>
    <t>Claim_1370</t>
  </si>
  <si>
    <t>Claim_1371</t>
  </si>
  <si>
    <t>Claim_1372</t>
  </si>
  <si>
    <t>Claim_1373</t>
  </si>
  <si>
    <t>Claim_1374</t>
  </si>
  <si>
    <t>Claim_1375</t>
  </si>
  <si>
    <t>Claim_1376</t>
  </si>
  <si>
    <t>Claim_1377</t>
  </si>
  <si>
    <t>Claim_1378</t>
  </si>
  <si>
    <t>Claim_1379</t>
  </si>
  <si>
    <t>Claim_1380</t>
  </si>
  <si>
    <t>Claim_1381</t>
  </si>
  <si>
    <t>Claim_1382</t>
  </si>
  <si>
    <t>Claim_1383</t>
  </si>
  <si>
    <t>Claim_1384</t>
  </si>
  <si>
    <t>Claim_1385</t>
  </si>
  <si>
    <t>Claim_1386</t>
  </si>
  <si>
    <t>Claim_1387</t>
  </si>
  <si>
    <t>Claim_1388</t>
  </si>
  <si>
    <t>Claim_1389</t>
  </si>
  <si>
    <t>Claim_1390</t>
  </si>
  <si>
    <t>Claim_1391</t>
  </si>
  <si>
    <t>Claim_1392</t>
  </si>
  <si>
    <t>Claim_1393</t>
  </si>
  <si>
    <t>Claim_1394</t>
  </si>
  <si>
    <t>Claim_1395</t>
  </si>
  <si>
    <t>Claim_1396</t>
  </si>
  <si>
    <t>Claim_1397</t>
  </si>
  <si>
    <t>Claim_1398</t>
  </si>
  <si>
    <t>Claim_1399</t>
  </si>
  <si>
    <t>Claim_1400</t>
  </si>
  <si>
    <t>Claim_1401</t>
  </si>
  <si>
    <t>Claim_1402</t>
  </si>
  <si>
    <t>Claim_1403</t>
  </si>
  <si>
    <t>Claim_1404</t>
  </si>
  <si>
    <t>Claim_1405</t>
  </si>
  <si>
    <t>Claim_1406</t>
  </si>
  <si>
    <t>Claim_1407</t>
  </si>
  <si>
    <t>Claim_1408</t>
  </si>
  <si>
    <t>Claim_1409</t>
  </si>
  <si>
    <t>Claim_1410</t>
  </si>
  <si>
    <t>Claim_1411</t>
  </si>
  <si>
    <t>Claim_1412</t>
  </si>
  <si>
    <t>Claim_1413</t>
  </si>
  <si>
    <t>Claim_1414</t>
  </si>
  <si>
    <t>Claim_1415</t>
  </si>
  <si>
    <t>Claim_1416</t>
  </si>
  <si>
    <t>Claim_1417</t>
  </si>
  <si>
    <t>Claim_1418</t>
  </si>
  <si>
    <t>Claim_1419</t>
  </si>
  <si>
    <t>Claim_1420</t>
  </si>
  <si>
    <t>Claim_1421</t>
  </si>
  <si>
    <t>Claim_1422</t>
  </si>
  <si>
    <t>Claim_1423</t>
  </si>
  <si>
    <t>Claim_1424</t>
  </si>
  <si>
    <t>Claim_1425</t>
  </si>
  <si>
    <t>Claim_1426</t>
  </si>
  <si>
    <t>Claim_1427</t>
  </si>
  <si>
    <t>Claim_1428</t>
  </si>
  <si>
    <t>Claim_1429</t>
  </si>
  <si>
    <t>Claim_1430</t>
  </si>
  <si>
    <t>Claim_1431</t>
  </si>
  <si>
    <t>Claim_1432</t>
  </si>
  <si>
    <t>Claim_1433</t>
  </si>
  <si>
    <t>Claim_1434</t>
  </si>
  <si>
    <t>Claim_1435</t>
  </si>
  <si>
    <t>Claim_1436</t>
  </si>
  <si>
    <t>Claim_1437</t>
  </si>
  <si>
    <t>Claim_1438</t>
  </si>
  <si>
    <t>Claim_1439</t>
  </si>
  <si>
    <t>Claim_1440</t>
  </si>
  <si>
    <t>Claim_1441</t>
  </si>
  <si>
    <t>Claim_1442</t>
  </si>
  <si>
    <t>Claim_1443</t>
  </si>
  <si>
    <t>Claim_1444</t>
  </si>
  <si>
    <t>Claim_1445</t>
  </si>
  <si>
    <t>Claim_1446</t>
  </si>
  <si>
    <t>Claim_1447</t>
  </si>
  <si>
    <t>Claim_1448</t>
  </si>
  <si>
    <t>Claim_1449</t>
  </si>
  <si>
    <t>Claim_1450</t>
  </si>
  <si>
    <t>Claim_1451</t>
  </si>
  <si>
    <t>Claim_1452</t>
  </si>
  <si>
    <t>Claim_1453</t>
  </si>
  <si>
    <t>Claim_1454</t>
  </si>
  <si>
    <t>Claim_1455</t>
  </si>
  <si>
    <t>Claim_1456</t>
  </si>
  <si>
    <t>Claim_1457</t>
  </si>
  <si>
    <t>Claim_1458</t>
  </si>
  <si>
    <t>Claim_1459</t>
  </si>
  <si>
    <t>Claim_1460</t>
  </si>
  <si>
    <t>Claim_1461</t>
  </si>
  <si>
    <t>Claim_1462</t>
  </si>
  <si>
    <t>Claim_1463</t>
  </si>
  <si>
    <t>Claim_1464</t>
  </si>
  <si>
    <t>Claim_1465</t>
  </si>
  <si>
    <t>Claim_1466</t>
  </si>
  <si>
    <t>Claim_1467</t>
  </si>
  <si>
    <t>Claim_1468</t>
  </si>
  <si>
    <t>Claim_1469</t>
  </si>
  <si>
    <t>Claim_1470</t>
  </si>
  <si>
    <t>Claim_1471</t>
  </si>
  <si>
    <t>Claim_1472</t>
  </si>
  <si>
    <t>Claim_1473</t>
  </si>
  <si>
    <t>Claim_1474</t>
  </si>
  <si>
    <t>Claim_1475</t>
  </si>
  <si>
    <t>Claim_1476</t>
  </si>
  <si>
    <t>Claim_1477</t>
  </si>
  <si>
    <t>Claim_1478</t>
  </si>
  <si>
    <t>Claim_1479</t>
  </si>
  <si>
    <t>Claim_1480</t>
  </si>
  <si>
    <t>Claim_1481</t>
  </si>
  <si>
    <t>Claim_1482</t>
  </si>
  <si>
    <t>Claim_1483</t>
  </si>
  <si>
    <t>Claim_1484</t>
  </si>
  <si>
    <t>Claim_1485</t>
  </si>
  <si>
    <t>Claim_1486</t>
  </si>
  <si>
    <t>Claim_1487</t>
  </si>
  <si>
    <t>Claim_1488</t>
  </si>
  <si>
    <t>Claim_1489</t>
  </si>
  <si>
    <t>Claim_1490</t>
  </si>
  <si>
    <t>Claim_1491</t>
  </si>
  <si>
    <t>Claim_1492</t>
  </si>
  <si>
    <t>Claim_1493</t>
  </si>
  <si>
    <t>Claim_1494</t>
  </si>
  <si>
    <t>Claim_1495</t>
  </si>
  <si>
    <t>Claim_1496</t>
  </si>
  <si>
    <t>Claim_1497</t>
  </si>
  <si>
    <t>Claim_1498</t>
  </si>
  <si>
    <t>Claim_1499</t>
  </si>
  <si>
    <t>Claim_1500</t>
  </si>
  <si>
    <t>Claim_1501</t>
  </si>
  <si>
    <t>Claim_1502</t>
  </si>
  <si>
    <t>Claim_1503</t>
  </si>
  <si>
    <t>Claim_1504</t>
  </si>
  <si>
    <t>Claim_1505</t>
  </si>
  <si>
    <t>Claim_1506</t>
  </si>
  <si>
    <t>Claim_1507</t>
  </si>
  <si>
    <t>Claim_1508</t>
  </si>
  <si>
    <t>Claim_1509</t>
  </si>
  <si>
    <t>Claim_1510</t>
  </si>
  <si>
    <t>Claim_1511</t>
  </si>
  <si>
    <t>Claim_1512</t>
  </si>
  <si>
    <t>Claim_1513</t>
  </si>
  <si>
    <t>Claim_1514</t>
  </si>
  <si>
    <t>Claim_1515</t>
  </si>
  <si>
    <t>Claim_1516</t>
  </si>
  <si>
    <t>Claim_1517</t>
  </si>
  <si>
    <t>Claim_1518</t>
  </si>
  <si>
    <t>Claim_1519</t>
  </si>
  <si>
    <t>Claim_1520</t>
  </si>
  <si>
    <t>Claim_1521</t>
  </si>
  <si>
    <t>Claim_1522</t>
  </si>
  <si>
    <t>Claim_1523</t>
  </si>
  <si>
    <t>Claim_1524</t>
  </si>
  <si>
    <t>Claim_1525</t>
  </si>
  <si>
    <t>Claim_1526</t>
  </si>
  <si>
    <t>Claim_1527</t>
  </si>
  <si>
    <t>Claim_1528</t>
  </si>
  <si>
    <t>Claim_1529</t>
  </si>
  <si>
    <t>Claim_1530</t>
  </si>
  <si>
    <t>Claim_1531</t>
  </si>
  <si>
    <t>Claim_1532</t>
  </si>
  <si>
    <t>Claim_1533</t>
  </si>
  <si>
    <t>Claim_1534</t>
  </si>
  <si>
    <t>Claim_1535</t>
  </si>
  <si>
    <t>Claim_1536</t>
  </si>
  <si>
    <t>Claim_1537</t>
  </si>
  <si>
    <t>Claim_1538</t>
  </si>
  <si>
    <t>Claim_1539</t>
  </si>
  <si>
    <t>Claim_1540</t>
  </si>
  <si>
    <t>Claim_1541</t>
  </si>
  <si>
    <t>Claim_1542</t>
  </si>
  <si>
    <t>Claim_1543</t>
  </si>
  <si>
    <t>Claim_1544</t>
  </si>
  <si>
    <t>Claim_1545</t>
  </si>
  <si>
    <t>Claim_1546</t>
  </si>
  <si>
    <t>Claim_1547</t>
  </si>
  <si>
    <t>Claim_1548</t>
  </si>
  <si>
    <t>Claim_1549</t>
  </si>
  <si>
    <t>Claim_1550</t>
  </si>
  <si>
    <t>Claim_1551</t>
  </si>
  <si>
    <t>Claim_1552</t>
  </si>
  <si>
    <t>Claim_1553</t>
  </si>
  <si>
    <t>Claim_1554</t>
  </si>
  <si>
    <t>Claim_1555</t>
  </si>
  <si>
    <t>Claim_1556</t>
  </si>
  <si>
    <t>Claim_1557</t>
  </si>
  <si>
    <t>Claim_1558</t>
  </si>
  <si>
    <t>Claim_1559</t>
  </si>
  <si>
    <t>Claim_1560</t>
  </si>
  <si>
    <t>Claim_1561</t>
  </si>
  <si>
    <t>Claim_1562</t>
  </si>
  <si>
    <t>Claim_1563</t>
  </si>
  <si>
    <t>Claim_1564</t>
  </si>
  <si>
    <t>Claim_1565</t>
  </si>
  <si>
    <t>Claim_1566</t>
  </si>
  <si>
    <t>Claim_1567</t>
  </si>
  <si>
    <t>Claim_1568</t>
  </si>
  <si>
    <t>Claim_1569</t>
  </si>
  <si>
    <t>Claim_1570</t>
  </si>
  <si>
    <t>Claim_1571</t>
  </si>
  <si>
    <t>Claim_1572</t>
  </si>
  <si>
    <t>Claim_1573</t>
  </si>
  <si>
    <t>Claim_1574</t>
  </si>
  <si>
    <t>Claim_1575</t>
  </si>
  <si>
    <t>Claim_1576</t>
  </si>
  <si>
    <t>Claim_1577</t>
  </si>
  <si>
    <t>Claim_1578</t>
  </si>
  <si>
    <t>Claim_1579</t>
  </si>
  <si>
    <t>Claim_1580</t>
  </si>
  <si>
    <t>Claim_1581</t>
  </si>
  <si>
    <t>Claim_1582</t>
  </si>
  <si>
    <t>Claim_1583</t>
  </si>
  <si>
    <t>Claim_1584</t>
  </si>
  <si>
    <t>Claim_1585</t>
  </si>
  <si>
    <t>Claim_1586</t>
  </si>
  <si>
    <t>Claim_1587</t>
  </si>
  <si>
    <t>Claim_1588</t>
  </si>
  <si>
    <t>Claim_1589</t>
  </si>
  <si>
    <t>Claim_1590</t>
  </si>
  <si>
    <t>Claim_1591</t>
  </si>
  <si>
    <t>Claim_1592</t>
  </si>
  <si>
    <t>Claim_1593</t>
  </si>
  <si>
    <t>Claim_1594</t>
  </si>
  <si>
    <t>Claim_1595</t>
  </si>
  <si>
    <t>Claim_1596</t>
  </si>
  <si>
    <t>Claim_1597</t>
  </si>
  <si>
    <t>Claim_1598</t>
  </si>
  <si>
    <t>Claim_1599</t>
  </si>
  <si>
    <t>Claim_1600</t>
  </si>
  <si>
    <t>Claim_1601</t>
  </si>
  <si>
    <t>Claim_1602</t>
  </si>
  <si>
    <t>Claim_1603</t>
  </si>
  <si>
    <t>Claim_1604</t>
  </si>
  <si>
    <t>Claim_1605</t>
  </si>
  <si>
    <t>Claim_1606</t>
  </si>
  <si>
    <t>Claim_1607</t>
  </si>
  <si>
    <t>Claim_1608</t>
  </si>
  <si>
    <t>Claim_1609</t>
  </si>
  <si>
    <t>Claim_1610</t>
  </si>
  <si>
    <t>Claim_1611</t>
  </si>
  <si>
    <t>Claim_1612</t>
  </si>
  <si>
    <t>Claim_1613</t>
  </si>
  <si>
    <t>Claim_1614</t>
  </si>
  <si>
    <t>Claim_1615</t>
  </si>
  <si>
    <t>Claim_1616</t>
  </si>
  <si>
    <t>Claim_1617</t>
  </si>
  <si>
    <t>Claim_1618</t>
  </si>
  <si>
    <t>Claim_1619</t>
  </si>
  <si>
    <t>Claim_1620</t>
  </si>
  <si>
    <t>Claim_1621</t>
  </si>
  <si>
    <t>Claim_1622</t>
  </si>
  <si>
    <t>Claim_1623</t>
  </si>
  <si>
    <t>Claim_1624</t>
  </si>
  <si>
    <t>Claim_1625</t>
  </si>
  <si>
    <t>Claim_1626</t>
  </si>
  <si>
    <t>Claim_1627</t>
  </si>
  <si>
    <t>Claim_1628</t>
  </si>
  <si>
    <t>Claim_1629</t>
  </si>
  <si>
    <t>Claim_1630</t>
  </si>
  <si>
    <t>Claim_1631</t>
  </si>
  <si>
    <t>Claim_1632</t>
  </si>
  <si>
    <t>Claim_1633</t>
  </si>
  <si>
    <t>Claim_1634</t>
  </si>
  <si>
    <t>Claim_1635</t>
  </si>
  <si>
    <t>Claim_1636</t>
  </si>
  <si>
    <t>Claim_1637</t>
  </si>
  <si>
    <t>Claim_1638</t>
  </si>
  <si>
    <t>Claim_1639</t>
  </si>
  <si>
    <t>Claim_1640</t>
  </si>
  <si>
    <t>Claim_1641</t>
  </si>
  <si>
    <t>Claim_1642</t>
  </si>
  <si>
    <t>Claim_1643</t>
  </si>
  <si>
    <t>Claim_1644</t>
  </si>
  <si>
    <t>Claim_1645</t>
  </si>
  <si>
    <t>Claim_1646</t>
  </si>
  <si>
    <t>Claim_1647</t>
  </si>
  <si>
    <t>Claim_1648</t>
  </si>
  <si>
    <t>Claim_1649</t>
  </si>
  <si>
    <t>Claim_1650</t>
  </si>
  <si>
    <t>Claim_1651</t>
  </si>
  <si>
    <t>Claim_1652</t>
  </si>
  <si>
    <t>Claim_1653</t>
  </si>
  <si>
    <t>Claim_1654</t>
  </si>
  <si>
    <t>Claim_1655</t>
  </si>
  <si>
    <t>Claim_1656</t>
  </si>
  <si>
    <t>Claim_1657</t>
  </si>
  <si>
    <t>Claim_1658</t>
  </si>
  <si>
    <t>Claim_1659</t>
  </si>
  <si>
    <t>Claim_1660</t>
  </si>
  <si>
    <t>Claim_1661</t>
  </si>
  <si>
    <t>Claim_1662</t>
  </si>
  <si>
    <t>Claim_1663</t>
  </si>
  <si>
    <t>Claim_1664</t>
  </si>
  <si>
    <t>Claim_1665</t>
  </si>
  <si>
    <t>Claim_1666</t>
  </si>
  <si>
    <t>Claim_1667</t>
  </si>
  <si>
    <t>Claim_1668</t>
  </si>
  <si>
    <t>Claim_1669</t>
  </si>
  <si>
    <t>Claim_1670</t>
  </si>
  <si>
    <t>Claim_1671</t>
  </si>
  <si>
    <t>Claim_1672</t>
  </si>
  <si>
    <t>Claim_1673</t>
  </si>
  <si>
    <t>Claim_1674</t>
  </si>
  <si>
    <t>Claim_1675</t>
  </si>
  <si>
    <t>Claim_1676</t>
  </si>
  <si>
    <t>Claim_1677</t>
  </si>
  <si>
    <t>Claim_1678</t>
  </si>
  <si>
    <t>Claim_1679</t>
  </si>
  <si>
    <t>Claim_1680</t>
  </si>
  <si>
    <t>Claim_1681</t>
  </si>
  <si>
    <t>Claim_1682</t>
  </si>
  <si>
    <t>Claim_1683</t>
  </si>
  <si>
    <t>Claim_1684</t>
  </si>
  <si>
    <t>Claim_1685</t>
  </si>
  <si>
    <t>Claim_1686</t>
  </si>
  <si>
    <t>Claim_1687</t>
  </si>
  <si>
    <t>Claim_1688</t>
  </si>
  <si>
    <t>Claim_1689</t>
  </si>
  <si>
    <t>Claim_1690</t>
  </si>
  <si>
    <t>Claim_1691</t>
  </si>
  <si>
    <t>Claim_1692</t>
  </si>
  <si>
    <t>Claim_1693</t>
  </si>
  <si>
    <t>Claim_1694</t>
  </si>
  <si>
    <t>Claim_1695</t>
  </si>
  <si>
    <t>Claim_1696</t>
  </si>
  <si>
    <t>Claim_1697</t>
  </si>
  <si>
    <t>Claim_1698</t>
  </si>
  <si>
    <t>Claim_1699</t>
  </si>
  <si>
    <t>Claim_1700</t>
  </si>
  <si>
    <t>Claim_1701</t>
  </si>
  <si>
    <t>Claim_1702</t>
  </si>
  <si>
    <t>Claim_1703</t>
  </si>
  <si>
    <t>Claim_1704</t>
  </si>
  <si>
    <t>Claim_1705</t>
  </si>
  <si>
    <t>Claim_1706</t>
  </si>
  <si>
    <t>Claim_1707</t>
  </si>
  <si>
    <t>Claim_1708</t>
  </si>
  <si>
    <t>Claim_1709</t>
  </si>
  <si>
    <t>Claim_1710</t>
  </si>
  <si>
    <t>Claim_1711</t>
  </si>
  <si>
    <t>Claim_1712</t>
  </si>
  <si>
    <t>Claim_1713</t>
  </si>
  <si>
    <t>Claim_1714</t>
  </si>
  <si>
    <t>Claim_1715</t>
  </si>
  <si>
    <t>Claim_1716</t>
  </si>
  <si>
    <t>Claim_1717</t>
  </si>
  <si>
    <t>Claim_1718</t>
  </si>
  <si>
    <t>Outstanding</t>
  </si>
  <si>
    <t>Claim description</t>
  </si>
  <si>
    <t>Total incurred</t>
  </si>
  <si>
    <t>Non-zero? (1=Yes)</t>
  </si>
  <si>
    <t>Employee Numbers</t>
  </si>
  <si>
    <t>Historic exposure data</t>
  </si>
  <si>
    <t>Turnover (x 1€m)</t>
  </si>
  <si>
    <t>Turnover (x 1€m) - aligned to policy year</t>
  </si>
  <si>
    <t>Exposure</t>
  </si>
  <si>
    <t>Exposure inflation</t>
  </si>
  <si>
    <t>Turnover (x 1€m) - revalued @ 4% p.a.</t>
  </si>
  <si>
    <t>Reporting year</t>
  </si>
  <si>
    <t>Delay (years)</t>
  </si>
  <si>
    <t>Delay (days)</t>
  </si>
  <si>
    <t>1 - Original table</t>
  </si>
  <si>
    <t>2 - Cumulative</t>
  </si>
  <si>
    <t>3 - Grossed-up table</t>
  </si>
  <si>
    <t>4 - Cumulative grossed-up table</t>
  </si>
  <si>
    <t>Link ratios</t>
  </si>
  <si>
    <t>Ultimate</t>
  </si>
  <si>
    <t>5 - Projected claims</t>
  </si>
  <si>
    <t>Cumulative</t>
  </si>
  <si>
    <t>Policy third</t>
  </si>
  <si>
    <t>Reporting third</t>
  </si>
  <si>
    <t>Delay (thirds)</t>
  </si>
  <si>
    <t>Delay (multiples of 4 months)</t>
  </si>
  <si>
    <t>Year</t>
  </si>
  <si>
    <t>Third</t>
  </si>
  <si>
    <t>Cumulative link ratios</t>
  </si>
  <si>
    <t>3 - Projected claims</t>
  </si>
  <si>
    <t>Reported</t>
  </si>
  <si>
    <t>Total reported</t>
  </si>
  <si>
    <t>(first 8 months)</t>
  </si>
  <si>
    <t>% O/S</t>
  </si>
  <si>
    <t>Period</t>
  </si>
  <si>
    <t>Tail</t>
  </si>
  <si>
    <t>Tail factor</t>
  </si>
  <si>
    <t>Policy Year (shifted)</t>
  </si>
  <si>
    <t>Reporting year (shifted)</t>
  </si>
  <si>
    <t>Delay (shifted)</t>
  </si>
  <si>
    <t>Original PY</t>
  </si>
  <si>
    <t>IBNR</t>
  </si>
  <si>
    <t>Shifted PY</t>
  </si>
  <si>
    <t>Ultimate - Method (iv)</t>
  </si>
  <si>
    <t>IBNR (approx.)</t>
  </si>
  <si>
    <t>Annualised</t>
  </si>
  <si>
    <t>SHIFTED-POLICY-YEAR BASIS</t>
  </si>
  <si>
    <t>ORIGINAL-POLICY-YEAR BASIS</t>
  </si>
  <si>
    <t>Delay (number of 4-month periods)</t>
  </si>
  <si>
    <t>Method (i) - Ignore last diagonal</t>
  </si>
  <si>
    <t>Method (ii) - Gross up last diagonal</t>
  </si>
  <si>
    <t>Method (iii) - Choose a shorter period</t>
  </si>
  <si>
    <t>Method (iv) - Shift policy years</t>
  </si>
  <si>
    <t>PROJECTED CLAIM COUNTS</t>
  </si>
  <si>
    <t>ASSUMPTIONS</t>
  </si>
  <si>
    <t>Data as-at date</t>
  </si>
  <si>
    <t>Policy inception month</t>
  </si>
  <si>
    <t>Revalue at</t>
  </si>
  <si>
    <t>Claims inflation</t>
  </si>
  <si>
    <t>Destination currency</t>
  </si>
  <si>
    <t>Exchange rate</t>
  </si>
  <si>
    <t>Overall (destination currency)</t>
  </si>
  <si>
    <t>Overall amount (revalued)</t>
  </si>
  <si>
    <t>Delay (days)2</t>
  </si>
  <si>
    <t>Earliest year</t>
  </si>
  <si>
    <t>Earliest month</t>
  </si>
  <si>
    <t>Policy inception month (shifted)</t>
  </si>
  <si>
    <t>Latest year</t>
  </si>
  <si>
    <t>Earliest year (shifted)</t>
  </si>
  <si>
    <t>Latest year (shifted)</t>
  </si>
  <si>
    <t>See table on the left</t>
  </si>
  <si>
    <t>Shifted policy year</t>
  </si>
  <si>
    <t>3 - Projected claim counts</t>
  </si>
  <si>
    <t>4 - Shift back to original policy year basis</t>
  </si>
  <si>
    <t>Latest third</t>
  </si>
  <si>
    <t>3 - Projected number of claims</t>
  </si>
  <si>
    <t>Period (in year)</t>
  </si>
  <si>
    <t>4 - Annualised ultimates</t>
  </si>
  <si>
    <t>Months available in latest year</t>
  </si>
  <si>
    <t>METHOD D - USE SHORTER PERIOD</t>
  </si>
  <si>
    <t>This software is intended for purely educational purposes and as supporting material for the textbook "Pricing in General Insurance" by Pietro Parodi and comes with no guarantee. It should not be relied upon for use in a professional context. If you find errors in the code, you are welcome to notify them (pietro_parodi@yahoo.com) and they will be corrected in a successive version of the software.</t>
  </si>
  <si>
    <t>METHOD 2 - GROSS UP LAST DIAGONAL</t>
  </si>
  <si>
    <t>METHOD 1 - IGNORE LAST DIAGONAL</t>
  </si>
  <si>
    <t>METHOD 4 - SHIFT POLICY YEARS</t>
  </si>
  <si>
    <t>Ultimate Method 2 - Gross up)</t>
  </si>
  <si>
    <t>Ultimate (Method 3 - Divide into shorter periods)</t>
  </si>
  <si>
    <t>Ultimate (Method 4 - Shift)</t>
  </si>
  <si>
    <t>Projected Claim Counts</t>
  </si>
  <si>
    <t>Ultimate (Method 1 - ignore last diagonal)</t>
  </si>
  <si>
    <r>
      <rPr>
        <sz val="10"/>
        <color theme="1"/>
        <rFont val="宋体"/>
        <family val="2"/>
        <charset val="134"/>
      </rPr>
      <t>这个</t>
    </r>
    <r>
      <rPr>
        <sz val="10"/>
        <color theme="1"/>
        <rFont val="Arial"/>
        <family val="2"/>
      </rPr>
      <t>excel</t>
    </r>
    <r>
      <rPr>
        <sz val="10"/>
        <color theme="1"/>
        <rFont val="宋体"/>
        <family val="2"/>
        <charset val="134"/>
      </rPr>
      <t>文件将展示如何预测最终索赔次数</t>
    </r>
    <phoneticPr fontId="76" type="noConversion"/>
  </si>
  <si>
    <t>案例研究中的样本的延迟信息(以年为单位)具有下面两个特点：(a)同一案件的延迟信息(以天为单位)相同(b)。请注意，我们案例研究中的保单在4月1日生效，因此，损失之间存在明显的保单年度不匹配。
由于没有关于案件赔款量化日期和以前的非零赔案何时被调回零的信息。因此对于这个特定的数据集，我们将假设量化日期与报告日期相同，可以忽略索赔准备金为零的案件。</t>
    <phoneticPr fontId="76" type="noConversion"/>
  </si>
  <si>
    <t>变换后的保单年</t>
    <phoneticPr fontId="76" type="noConversion"/>
  </si>
  <si>
    <t>变换后的延迟日期</t>
    <phoneticPr fontId="76" type="noConversion"/>
  </si>
  <si>
    <t>根据新保单生效月调整保单年</t>
    <phoneticPr fontId="76" type="noConversion"/>
  </si>
  <si>
    <t>已付</t>
    <phoneticPr fontId="76" type="noConversion"/>
  </si>
  <si>
    <t>未付</t>
    <phoneticPr fontId="76" type="noConversion"/>
  </si>
  <si>
    <t>已发生</t>
    <phoneticPr fontId="76" type="noConversion"/>
  </si>
  <si>
    <t>费用</t>
    <phoneticPr fontId="76" type="noConversion"/>
  </si>
  <si>
    <t>追偿</t>
    <phoneticPr fontId="76" type="noConversion"/>
  </si>
  <si>
    <t>非零</t>
    <phoneticPr fontId="76" type="noConversion"/>
  </si>
  <si>
    <t>已发生损失</t>
    <phoneticPr fontId="76" type="noConversion"/>
  </si>
  <si>
    <t>重估值的已发生损失</t>
    <phoneticPr fontId="76" type="noConversion"/>
  </si>
  <si>
    <t>报告延迟</t>
    <phoneticPr fontId="76" type="noConversion"/>
  </si>
  <si>
    <t>风险暴露</t>
    <phoneticPr fontId="76" type="noConversion"/>
  </si>
  <si>
    <r>
      <rPr>
        <sz val="10"/>
        <color theme="1"/>
        <rFont val="宋体"/>
        <family val="2"/>
        <charset val="134"/>
      </rPr>
      <t>由于存在最后一年的数据不完整情况，这里展示了四种预测</t>
    </r>
    <r>
      <rPr>
        <sz val="10"/>
        <color theme="1"/>
        <rFont val="Arial"/>
        <family val="2"/>
      </rPr>
      <t>IBNR</t>
    </r>
    <r>
      <rPr>
        <sz val="10"/>
        <color theme="1"/>
        <rFont val="宋体"/>
        <family val="2"/>
        <charset val="134"/>
      </rPr>
      <t>案件数的方法</t>
    </r>
    <phoneticPr fontId="76" type="noConversion"/>
  </si>
  <si>
    <t>最后一列对角线元素都乘以1.5</t>
    <phoneticPr fontId="76" type="noConversion"/>
  </si>
  <si>
    <r>
      <rPr>
        <sz val="10"/>
        <color theme="1"/>
        <rFont val="微软雅黑"/>
        <family val="2"/>
        <charset val="134"/>
      </rPr>
      <t>我们选择</t>
    </r>
    <r>
      <rPr>
        <sz val="10"/>
        <color theme="1"/>
        <rFont val="Arial"/>
        <family val="2"/>
      </rPr>
      <t>4</t>
    </r>
    <r>
      <rPr>
        <sz val="10"/>
        <color theme="1"/>
        <rFont val="微软雅黑"/>
        <family val="2"/>
        <charset val="134"/>
      </rPr>
      <t>个月</t>
    </r>
    <r>
      <rPr>
        <sz val="10"/>
        <color theme="1"/>
        <rFont val="宋体"/>
        <family val="2"/>
        <charset val="134"/>
      </rPr>
      <t>作为单位，</t>
    </r>
    <r>
      <rPr>
        <sz val="10"/>
        <color theme="1"/>
        <rFont val="微软雅黑"/>
        <family val="2"/>
        <charset val="134"/>
      </rPr>
      <t>而不是</t>
    </r>
    <r>
      <rPr>
        <sz val="10"/>
        <color theme="1"/>
        <rFont val="Arial"/>
        <family val="2"/>
      </rPr>
      <t>1</t>
    </r>
    <r>
      <rPr>
        <sz val="10"/>
        <color theme="1"/>
        <rFont val="微软雅黑"/>
        <family val="2"/>
        <charset val="134"/>
      </rPr>
      <t>年</t>
    </r>
    <phoneticPr fontId="76" type="noConversion"/>
  </si>
  <si>
    <t>保单年度(移位)”是指从每年12月1日起至次年11月30日止的12个月期间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</si>
</sst>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76" formatCode="_-&quot;£&quot;* #,##0.00_-;\-&quot;£&quot;* #,##0.00_-;_-&quot;£&quot;* &quot;-&quot;??_-;_-@_-"/>
    <numFmt numFmtId="177" formatCode="_-* #,##0.00_-;\-* #,##0.00_-;_-* &quot;-&quot;??_-;_-@_-"/>
    <numFmt numFmtId="178" formatCode="_-* #,##0_-;\-* #,##0_-;_-* &quot;-&quot;??_-;_-@_-"/>
    <numFmt numFmtId="179" formatCode="_-* #,##0\ _F_-;\-* #,##0\ _F_-;_-* &quot;-&quot;\ _F_-;_-@_-"/>
    <numFmt numFmtId="180" formatCode="_-* #,##0.00\ _F_-;\-* #,##0.00\ _F_-;_-* &quot;-&quot;??\ _F_-;_-@_-"/>
    <numFmt numFmtId="181" formatCode="_-* #,##0\ &quot;F&quot;_-;\-* #,##0\ &quot;F&quot;_-;_-* &quot;-&quot;\ &quot;F&quot;_-;_-@_-"/>
    <numFmt numFmtId="182" formatCode="_-* #,##0.00\ &quot;F&quot;_-;\-* #,##0.00\ &quot;F&quot;_-;_-* &quot;-&quot;??\ &quot;F&quot;_-;_-@_-"/>
    <numFmt numFmtId="183" formatCode="0_)"/>
    <numFmt numFmtId="184" formatCode="0.0%"/>
    <numFmt numFmtId="185" formatCode="0.000"/>
    <numFmt numFmtId="186" formatCode="_-* #,##0.000_-;\-* #,##0.000_-;_-* &quot;-&quot;??_-;_-@_-"/>
    <numFmt numFmtId="187" formatCode="_-* #,##0.000_-;\-* #,##0.000_-;_-* &quot;-&quot;???_-;_-@_-"/>
    <numFmt numFmtId="188" formatCode="_-* #,##0.0_-;\-* #,##0.0_-;_-* &quot;-&quot;??_-;_-@_-"/>
    <numFmt numFmtId="189" formatCode="_(* #,##0.00_);_(* \(#,##0.00\);_(* &quot;-&quot;??_);_(@_)"/>
    <numFmt numFmtId="190" formatCode="yyyy"/>
    <numFmt numFmtId="191" formatCode="0.000_)"/>
    <numFmt numFmtId="192" formatCode="dd\-mmm\-yyyy"/>
    <numFmt numFmtId="193" formatCode="_-* #,##0.00\ _D_M_-;\-* #,##0.00\ _D_M_-;_-* &quot;-&quot;??\ _D_M_-;_-@_-"/>
    <numFmt numFmtId="194" formatCode="_([$€]* #,##0.00_);_([$€]* \(#,##0.00\);_([$€]* &quot;-&quot;??_);_(@_)"/>
    <numFmt numFmtId="195" formatCode="_-* #,##0_-;_-* #,##0\-;_-* &quot;-&quot;_-;_-@_-"/>
    <numFmt numFmtId="196" formatCode="_-* #,##0.00_-;_-* #,##0.00\-;_-* &quot;-&quot;??_-;_-@_-"/>
    <numFmt numFmtId="197" formatCode="_(#,##0.0,,_);[Red]\(#,##0.0,,\);_-* &quot;-&quot;_-;_-@_-"/>
    <numFmt numFmtId="198" formatCode="_(0%_);[Red]\(0%\);_-* &quot;-&quot;_-;_-@_-"/>
    <numFmt numFmtId="199" formatCode="_(#,##0.0,_);[Red]\(#,##0.0,\);_-* &quot;-&quot;_-;_-@_-"/>
    <numFmt numFmtId="200" formatCode="_-&quot;F&quot;\ * #,##0_-;_-&quot;F&quot;\ * #,##0\-;_-&quot;F&quot;\ * &quot;-&quot;_-;_-@_-"/>
    <numFmt numFmtId="201" formatCode="_-&quot;F&quot;\ * #,##0.00_-;_-&quot;F&quot;\ * #,##0.00\-;_-&quot;F&quot;\ * &quot;-&quot;??_-;_-@_-"/>
  </numFmts>
  <fonts count="81">
    <font>
      <sz val="10"/>
      <color theme="1"/>
      <name val="Arial"/>
      <family val="2"/>
    </font>
    <font>
      <sz val="11"/>
      <color theme="1"/>
      <name val="宋体"/>
      <family val="2"/>
      <scheme val="minor"/>
    </font>
    <font>
      <sz val="11"/>
      <color theme="1"/>
      <name val="宋体"/>
      <family val="2"/>
      <scheme val="minor"/>
    </font>
    <font>
      <sz val="11"/>
      <color theme="1"/>
      <name val="宋体"/>
      <family val="2"/>
      <scheme val="minor"/>
    </font>
    <font>
      <sz val="10"/>
      <color indexed="8"/>
      <name val="Arial"/>
      <family val="2"/>
    </font>
    <font>
      <sz val="11"/>
      <color indexed="8"/>
      <name val="Calibri"/>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0"/>
      <color indexed="8"/>
      <name val="Arial Narrow"/>
      <family val="2"/>
    </font>
    <font>
      <sz val="14"/>
      <color indexed="9"/>
      <name val="Arial Black"/>
      <family val="2"/>
    </font>
    <font>
      <b/>
      <sz val="10"/>
      <color indexed="9"/>
      <name val="Arial"/>
      <family val="2"/>
    </font>
    <font>
      <b/>
      <sz val="18"/>
      <color indexed="56"/>
      <name val="Cambria"/>
      <family val="2"/>
    </font>
    <font>
      <b/>
      <sz val="11"/>
      <color indexed="8"/>
      <name val="Calibri"/>
      <family val="2"/>
    </font>
    <font>
      <sz val="11"/>
      <color indexed="10"/>
      <name val="Calibri"/>
      <family val="2"/>
    </font>
    <font>
      <sz val="10"/>
      <color indexed="8"/>
      <name val="Arial"/>
      <family val="2"/>
    </font>
    <font>
      <sz val="11"/>
      <color theme="1"/>
      <name val="宋体"/>
      <family val="2"/>
      <scheme val="minor"/>
    </font>
    <font>
      <b/>
      <sz val="15"/>
      <color theme="3"/>
      <name val="Arial"/>
      <family val="2"/>
    </font>
    <font>
      <b/>
      <sz val="11"/>
      <color theme="3"/>
      <name val="Arial"/>
      <family val="2"/>
    </font>
    <font>
      <sz val="10"/>
      <color theme="1"/>
      <name val="Arial"/>
      <family val="2"/>
    </font>
    <font>
      <sz val="9"/>
      <name val="Arial"/>
      <family val="2"/>
    </font>
    <font>
      <sz val="10"/>
      <name val="Arial "/>
    </font>
    <font>
      <b/>
      <sz val="10"/>
      <name val="MS Sans Serif"/>
      <family val="2"/>
    </font>
    <font>
      <b/>
      <sz val="10"/>
      <color theme="1"/>
      <name val="Arial"/>
      <family val="2"/>
    </font>
    <font>
      <i/>
      <sz val="10"/>
      <color theme="1"/>
      <name val="Arial"/>
      <family val="2"/>
    </font>
    <font>
      <sz val="9"/>
      <color theme="1"/>
      <name val="Arial"/>
      <family val="2"/>
    </font>
    <font>
      <sz val="11"/>
      <name val="Arial"/>
      <family val="2"/>
    </font>
    <font>
      <sz val="10"/>
      <color indexed="8"/>
      <name val="MS Sans Serif"/>
      <family val="2"/>
    </font>
    <font>
      <b/>
      <sz val="10"/>
      <name val="Arial Black"/>
      <family val="2"/>
    </font>
    <font>
      <b/>
      <sz val="9"/>
      <color theme="1"/>
      <name val="Arial Black"/>
      <family val="2"/>
    </font>
    <font>
      <i/>
      <sz val="9"/>
      <color theme="1"/>
      <name val="Arial"/>
      <family val="2"/>
    </font>
    <font>
      <sz val="10"/>
      <color theme="1"/>
      <name val="Arial Black"/>
      <family val="2"/>
    </font>
    <font>
      <b/>
      <i/>
      <sz val="10"/>
      <color rgb="FFFF0000"/>
      <name val="Arial"/>
      <family val="2"/>
    </font>
    <font>
      <sz val="10"/>
      <color indexed="18"/>
      <name val="Arial"/>
      <family val="2"/>
    </font>
    <font>
      <sz val="16"/>
      <color indexed="18"/>
      <name val="Arial"/>
      <family val="2"/>
    </font>
    <font>
      <b/>
      <sz val="11"/>
      <color indexed="10"/>
      <name val="Calibri"/>
      <family val="2"/>
    </font>
    <font>
      <sz val="11"/>
      <name val="Tms Rmn"/>
    </font>
    <font>
      <sz val="10"/>
      <name val="Times New Roman"/>
      <family val="1"/>
    </font>
    <font>
      <b/>
      <sz val="11"/>
      <color indexed="62"/>
      <name val="Calibri"/>
      <family val="2"/>
    </font>
    <font>
      <u/>
      <sz val="9"/>
      <color indexed="36"/>
      <name val="Times New Roman"/>
      <family val="1"/>
    </font>
    <font>
      <sz val="12"/>
      <name val="Times New Roman"/>
      <family val="1"/>
    </font>
    <font>
      <b/>
      <sz val="18"/>
      <color indexed="62"/>
      <name val="Cambria"/>
      <family val="2"/>
    </font>
    <font>
      <b/>
      <sz val="15"/>
      <color indexed="62"/>
      <name val="Calibri"/>
      <family val="2"/>
    </font>
    <font>
      <b/>
      <sz val="13"/>
      <color indexed="62"/>
      <name val="Calibri"/>
      <family val="2"/>
    </font>
    <font>
      <sz val="9"/>
      <name val="Arial"/>
      <family val="2"/>
    </font>
    <font>
      <i/>
      <sz val="11"/>
      <color theme="1"/>
      <name val="宋体"/>
      <family val="2"/>
      <scheme val="minor"/>
    </font>
    <font>
      <b/>
      <sz val="10"/>
      <color theme="1"/>
      <name val="宋体"/>
      <family val="2"/>
      <scheme val="minor"/>
    </font>
    <font>
      <sz val="10"/>
      <color theme="1"/>
      <name val="宋体"/>
      <family val="2"/>
      <scheme val="minor"/>
    </font>
    <font>
      <i/>
      <sz val="9"/>
      <color theme="1"/>
      <name val="宋体"/>
      <family val="2"/>
      <scheme val="minor"/>
    </font>
    <font>
      <sz val="9"/>
      <color theme="1"/>
      <name val="宋体"/>
      <family val="2"/>
      <scheme val="minor"/>
    </font>
    <font>
      <i/>
      <sz val="10"/>
      <color theme="1"/>
      <name val="宋体"/>
      <family val="2"/>
      <scheme val="minor"/>
    </font>
    <font>
      <sz val="11"/>
      <name val="Arial Black"/>
      <family val="2"/>
    </font>
    <font>
      <b/>
      <sz val="11"/>
      <name val="宋体"/>
      <family val="2"/>
      <scheme val="minor"/>
    </font>
    <font>
      <sz val="11"/>
      <name val="宋体"/>
      <family val="2"/>
      <scheme val="minor"/>
    </font>
    <font>
      <sz val="12"/>
      <color theme="4"/>
      <name val="Arial Black"/>
      <family val="2"/>
    </font>
    <font>
      <b/>
      <sz val="10"/>
      <color theme="5"/>
      <name val="Arial"/>
      <family val="2"/>
    </font>
    <font>
      <b/>
      <sz val="11"/>
      <color theme="1"/>
      <name val="宋体"/>
      <family val="2"/>
      <scheme val="minor"/>
    </font>
    <font>
      <b/>
      <i/>
      <sz val="11"/>
      <color theme="1"/>
      <name val="宋体"/>
      <family val="2"/>
      <scheme val="minor"/>
    </font>
    <font>
      <u/>
      <sz val="11"/>
      <color theme="1"/>
      <name val="Calibri"/>
      <family val="2"/>
    </font>
    <font>
      <sz val="11"/>
      <color theme="1"/>
      <name val="Arial"/>
      <family val="2"/>
    </font>
    <font>
      <sz val="11"/>
      <color theme="1"/>
      <name val="Times New Roman"/>
      <family val="1"/>
    </font>
    <font>
      <b/>
      <sz val="11"/>
      <color theme="1"/>
      <name val="Calibri"/>
      <family val="2"/>
    </font>
    <font>
      <sz val="11"/>
      <color theme="1"/>
      <name val="Calibri"/>
      <family val="2"/>
    </font>
    <font>
      <b/>
      <sz val="12"/>
      <color theme="1"/>
      <name val="Arial"/>
      <family val="2"/>
    </font>
    <font>
      <sz val="10"/>
      <color theme="1"/>
      <name val="Arial"/>
      <family val="2"/>
      <charset val="134"/>
    </font>
    <font>
      <sz val="9"/>
      <name val="宋体"/>
      <family val="3"/>
      <charset val="134"/>
    </font>
    <font>
      <sz val="10"/>
      <color theme="1"/>
      <name val="宋体"/>
      <family val="2"/>
      <charset val="134"/>
    </font>
    <font>
      <sz val="11"/>
      <color rgb="FF000000"/>
      <name val="思源黑体 CN Regular"/>
      <family val="3"/>
      <charset val="134"/>
    </font>
    <font>
      <sz val="11"/>
      <name val="宋体"/>
      <family val="2"/>
      <charset val="134"/>
    </font>
    <font>
      <sz val="10"/>
      <color theme="1"/>
      <name val="微软雅黑"/>
      <family val="2"/>
      <charset val="134"/>
    </font>
  </fonts>
  <fills count="4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18"/>
        <bgColor indexed="64"/>
      </patternFill>
    </fill>
    <fill>
      <patternFill patternType="solid">
        <fgColor indexed="40"/>
        <bgColor indexed="64"/>
      </patternFill>
    </fill>
    <fill>
      <patternFill patternType="solid">
        <fgColor rgb="FFFFFF0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tint="-0.24994659260841701"/>
        <bgColor indexed="64"/>
      </patternFill>
    </fill>
    <fill>
      <patternFill patternType="solid">
        <fgColor indexed="9"/>
      </patternFill>
    </fill>
    <fill>
      <patternFill patternType="gray125">
        <fgColor indexed="13"/>
      </patternFill>
    </fill>
    <fill>
      <patternFill patternType="lightGray">
        <fgColor indexed="13"/>
      </patternFill>
    </fill>
    <fill>
      <patternFill patternType="lightGray">
        <fgColor indexed="13"/>
        <bgColor indexed="9"/>
      </patternFill>
    </fill>
    <fill>
      <patternFill patternType="solid">
        <fgColor indexed="56"/>
      </patternFill>
    </fill>
    <fill>
      <patternFill patternType="solid">
        <fgColor indexed="54"/>
      </patternFill>
    </fill>
    <fill>
      <patternFill patternType="solid">
        <fgColor theme="4" tint="0.79998168889431442"/>
        <bgColor indexed="64"/>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s>
  <cellStyleXfs count="23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177" fontId="4" fillId="0" borderId="0" applyFont="0" applyFill="0" applyBorder="0" applyAlignment="0" applyProtection="0"/>
    <xf numFmtId="177" fontId="6" fillId="0" borderId="0" applyFont="0" applyFill="0" applyBorder="0" applyAlignment="0" applyProtection="0"/>
    <xf numFmtId="177" fontId="6" fillId="0" borderId="0" applyFont="0" applyFill="0" applyBorder="0" applyAlignment="0" applyProtection="0"/>
    <xf numFmtId="177" fontId="4" fillId="0" borderId="0" applyFont="0" applyFill="0" applyBorder="0" applyAlignment="0" applyProtection="0"/>
    <xf numFmtId="177" fontId="6" fillId="0" borderId="0" applyFont="0" applyFill="0" applyBorder="0" applyAlignment="0" applyProtection="0"/>
    <xf numFmtId="177" fontId="26" fillId="0" borderId="0" applyFont="0" applyFill="0" applyBorder="0" applyAlignment="0" applyProtection="0"/>
    <xf numFmtId="177" fontId="5" fillId="0" borderId="0" applyFont="0" applyFill="0" applyBorder="0" applyAlignment="0" applyProtection="0"/>
    <xf numFmtId="0" fontId="12" fillId="0" borderId="0" applyNumberFormat="0" applyFill="0" applyBorder="0" applyAlignment="0" applyProtection="0"/>
    <xf numFmtId="0" fontId="13" fillId="4" borderId="0" applyNumberFormat="0" applyBorder="0" applyAlignment="0" applyProtection="0"/>
    <xf numFmtId="0" fontId="28" fillId="0" borderId="9"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29" fillId="0" borderId="0" applyNumberFormat="0" applyFill="0" applyBorder="0" applyAlignment="0" applyProtection="0"/>
    <xf numFmtId="0" fontId="16" fillId="7" borderId="1" applyNumberFormat="0" applyAlignment="0" applyProtection="0"/>
    <xf numFmtId="0" fontId="17" fillId="0" borderId="5" applyNumberFormat="0" applyFill="0" applyAlignment="0" applyProtection="0"/>
    <xf numFmtId="179" fontId="6" fillId="0" borderId="0" applyFont="0" applyFill="0" applyBorder="0" applyAlignment="0" applyProtection="0"/>
    <xf numFmtId="180" fontId="6"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0" fontId="18" fillId="22" borderId="0" applyNumberFormat="0" applyBorder="0" applyAlignment="0" applyProtection="0"/>
    <xf numFmtId="183" fontId="6" fillId="0" borderId="0"/>
    <xf numFmtId="183" fontId="6" fillId="0" borderId="0"/>
    <xf numFmtId="0" fontId="6" fillId="0" borderId="0"/>
    <xf numFmtId="0" fontId="30" fillId="0" borderId="0"/>
    <xf numFmtId="0" fontId="30" fillId="0" borderId="0"/>
    <xf numFmtId="0" fontId="6" fillId="0" borderId="0"/>
    <xf numFmtId="0" fontId="27" fillId="0" borderId="0"/>
    <xf numFmtId="0" fontId="6" fillId="23" borderId="6" applyNumberFormat="0" applyFont="0" applyAlignment="0" applyProtection="0"/>
    <xf numFmtId="0" fontId="19" fillId="20" borderId="7" applyNumberFormat="0" applyAlignment="0" applyProtection="0"/>
    <xf numFmtId="9" fontId="6" fillId="0" borderId="0" applyFont="0" applyFill="0" applyBorder="0" applyAlignment="0" applyProtection="0"/>
    <xf numFmtId="9" fontId="5" fillId="0" borderId="0" applyFont="0" applyFill="0" applyBorder="0" applyAlignment="0" applyProtection="0"/>
    <xf numFmtId="0" fontId="20" fillId="24" borderId="0">
      <alignment horizontal="right" vertical="top" wrapText="1"/>
    </xf>
    <xf numFmtId="38" fontId="20" fillId="24" borderId="0">
      <alignment horizontal="right" vertical="top" wrapText="1"/>
    </xf>
    <xf numFmtId="184" fontId="20" fillId="24" borderId="0">
      <alignment horizontal="right" vertical="top" wrapText="1"/>
    </xf>
    <xf numFmtId="0" fontId="21" fillId="25" borderId="0">
      <alignment horizontal="centerContinuous" vertical="top" wrapText="1"/>
    </xf>
    <xf numFmtId="0" fontId="22" fillId="26" borderId="0">
      <alignment horizontal="right" wrapText="1"/>
    </xf>
    <xf numFmtId="0" fontId="23" fillId="0" borderId="0" applyNumberFormat="0" applyFill="0" applyBorder="0" applyAlignment="0" applyProtection="0"/>
    <xf numFmtId="0" fontId="24" fillId="0" borderId="8" applyNumberFormat="0" applyFill="0" applyAlignment="0" applyProtection="0"/>
    <xf numFmtId="0" fontId="25" fillId="0" borderId="0" applyNumberFormat="0" applyFill="0" applyBorder="0" applyAlignment="0" applyProtection="0"/>
    <xf numFmtId="0" fontId="32" fillId="0" borderId="0"/>
    <xf numFmtId="177" fontId="37" fillId="0" borderId="0" applyFont="0" applyFill="0" applyBorder="0" applyAlignment="0" applyProtection="0"/>
    <xf numFmtId="0" fontId="37" fillId="0" borderId="0"/>
    <xf numFmtId="177" fontId="37" fillId="0" borderId="0" applyFont="0" applyFill="0" applyBorder="0" applyAlignment="0" applyProtection="0"/>
    <xf numFmtId="0" fontId="3" fillId="29" borderId="0" applyNumberFormat="0" applyBorder="0" applyAlignment="0" applyProtection="0"/>
    <xf numFmtId="0" fontId="3" fillId="29" borderId="0" applyNumberFormat="0" applyBorder="0" applyAlignment="0" applyProtection="0"/>
    <xf numFmtId="0" fontId="3" fillId="29"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177" fontId="37"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37" fillId="0" borderId="0" applyFont="0" applyFill="0" applyBorder="0" applyAlignment="0" applyProtection="0"/>
    <xf numFmtId="0" fontId="3" fillId="0" borderId="0"/>
    <xf numFmtId="0" fontId="3" fillId="0" borderId="0"/>
    <xf numFmtId="0" fontId="3" fillId="0" borderId="0"/>
    <xf numFmtId="0" fontId="3" fillId="0" borderId="0"/>
    <xf numFmtId="0" fontId="37" fillId="0" borderId="0"/>
    <xf numFmtId="0" fontId="37" fillId="0" borderId="0"/>
    <xf numFmtId="0" fontId="3" fillId="0" borderId="0"/>
    <xf numFmtId="0" fontId="3" fillId="0" borderId="0"/>
    <xf numFmtId="0" fontId="3" fillId="0" borderId="0"/>
    <xf numFmtId="0" fontId="37" fillId="0" borderId="0"/>
    <xf numFmtId="0" fontId="37" fillId="0" borderId="0"/>
    <xf numFmtId="0" fontId="37" fillId="0" borderId="0"/>
    <xf numFmtId="0" fontId="38" fillId="0" borderId="0"/>
    <xf numFmtId="0" fontId="37" fillId="0" borderId="0"/>
    <xf numFmtId="0" fontId="3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28" borderId="11" applyNumberFormat="0" applyFont="0" applyAlignment="0" applyProtection="0"/>
    <xf numFmtId="0" fontId="5" fillId="28" borderId="11" applyNumberFormat="0" applyFont="0" applyAlignment="0" applyProtection="0"/>
    <xf numFmtId="0" fontId="5" fillId="28" borderId="11" applyNumberFormat="0" applyFont="0" applyAlignment="0" applyProtection="0"/>
    <xf numFmtId="0" fontId="2" fillId="0" borderId="0"/>
    <xf numFmtId="9" fontId="30" fillId="0" borderId="0" applyFont="0" applyFill="0" applyBorder="0" applyAlignment="0" applyProtection="0"/>
    <xf numFmtId="189" fontId="6" fillId="0" borderId="0" applyFont="0" applyFill="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23" borderId="0" applyNumberFormat="0" applyBorder="0" applyAlignment="0" applyProtection="0"/>
    <xf numFmtId="0" fontId="5" fillId="7" borderId="0" applyNumberFormat="0" applyBorder="0" applyAlignment="0" applyProtection="0"/>
    <xf numFmtId="0" fontId="5" fillId="6" borderId="0" applyNumberFormat="0" applyBorder="0" applyAlignment="0" applyProtection="0"/>
    <xf numFmtId="0" fontId="5" fillId="23" borderId="0" applyNumberFormat="0" applyBorder="0" applyAlignment="0" applyProtection="0"/>
    <xf numFmtId="0" fontId="5" fillId="6" borderId="0" applyNumberFormat="0" applyBorder="0" applyAlignment="0" applyProtection="0"/>
    <xf numFmtId="0" fontId="5" fillId="9" borderId="0" applyNumberFormat="0" applyBorder="0" applyAlignment="0" applyProtection="0"/>
    <xf numFmtId="0" fontId="5" fillId="22"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23" borderId="0" applyNumberFormat="0" applyBorder="0" applyAlignment="0" applyProtection="0"/>
    <xf numFmtId="0" fontId="8" fillId="6" borderId="0" applyNumberFormat="0" applyBorder="0" applyAlignment="0" applyProtection="0"/>
    <xf numFmtId="0" fontId="8" fillId="19" borderId="0" applyNumberFormat="0" applyBorder="0" applyAlignment="0" applyProtection="0"/>
    <xf numFmtId="0" fontId="8" fillId="11" borderId="0" applyNumberFormat="0" applyBorder="0" applyAlignment="0" applyProtection="0"/>
    <xf numFmtId="0" fontId="8" fillId="3" borderId="0" applyNumberFormat="0" applyBorder="0" applyAlignment="0" applyProtection="0"/>
    <xf numFmtId="0" fontId="8" fillId="6" borderId="0" applyNumberFormat="0" applyBorder="0" applyAlignment="0" applyProtection="0"/>
    <xf numFmtId="0" fontId="8" fillId="9" borderId="0" applyNumberFormat="0" applyBorder="0" applyAlignment="0" applyProtection="0"/>
    <xf numFmtId="0" fontId="6" fillId="42" borderId="0" applyBorder="0">
      <alignment horizontal="left"/>
      <protection locked="0"/>
    </xf>
    <xf numFmtId="3" fontId="44" fillId="43" borderId="0" applyBorder="0">
      <alignment horizontal="right"/>
      <protection locked="0"/>
    </xf>
    <xf numFmtId="0" fontId="45" fillId="44" borderId="0" applyNumberFormat="0" applyBorder="0">
      <alignment horizontal="centerContinuous"/>
      <protection locked="0"/>
    </xf>
    <xf numFmtId="190" fontId="44" fillId="45" borderId="0" applyBorder="0">
      <alignment horizontal="center"/>
      <protection locked="0"/>
    </xf>
    <xf numFmtId="0" fontId="13" fillId="6" borderId="0" applyNumberFormat="0" applyBorder="0" applyAlignment="0" applyProtection="0"/>
    <xf numFmtId="0" fontId="46" fillId="42" borderId="1" applyNumberFormat="0" applyAlignment="0" applyProtection="0"/>
    <xf numFmtId="0" fontId="11" fillId="21" borderId="2" applyNumberFormat="0" applyAlignment="0" applyProtection="0"/>
    <xf numFmtId="0" fontId="25" fillId="0" borderId="12" applyNumberFormat="0" applyFill="0" applyAlignment="0" applyProtection="0"/>
    <xf numFmtId="191" fontId="47" fillId="0" borderId="0"/>
    <xf numFmtId="191" fontId="47" fillId="0" borderId="0"/>
    <xf numFmtId="191" fontId="47" fillId="0" borderId="0"/>
    <xf numFmtId="191" fontId="47" fillId="0" borderId="0"/>
    <xf numFmtId="191" fontId="47" fillId="0" borderId="0"/>
    <xf numFmtId="191" fontId="47" fillId="0" borderId="0"/>
    <xf numFmtId="191" fontId="47" fillId="0" borderId="0"/>
    <xf numFmtId="191" fontId="47" fillId="0" borderId="0"/>
    <xf numFmtId="177" fontId="1" fillId="0" borderId="0" applyFont="0" applyFill="0" applyBorder="0" applyAlignment="0" applyProtection="0"/>
    <xf numFmtId="192" fontId="48" fillId="0" borderId="0" applyFont="0" applyFill="0" applyBorder="0" applyAlignment="0" applyProtection="0">
      <alignment vertical="top"/>
    </xf>
    <xf numFmtId="193" fontId="6" fillId="0" borderId="0" applyFont="0" applyFill="0" applyBorder="0" applyAlignment="0" applyProtection="0"/>
    <xf numFmtId="0" fontId="49" fillId="0" borderId="0" applyNumberFormat="0" applyFill="0" applyBorder="0" applyAlignment="0" applyProtection="0"/>
    <xf numFmtId="0" fontId="8" fillId="46" borderId="0" applyNumberFormat="0" applyBorder="0" applyAlignment="0" applyProtection="0"/>
    <xf numFmtId="0" fontId="8" fillId="19" borderId="0" applyNumberFormat="0" applyBorder="0" applyAlignment="0" applyProtection="0"/>
    <xf numFmtId="0" fontId="8" fillId="11" borderId="0" applyNumberFormat="0" applyBorder="0" applyAlignment="0" applyProtection="0"/>
    <xf numFmtId="0" fontId="8" fillId="47" borderId="0" applyNumberFormat="0" applyBorder="0" applyAlignment="0" applyProtection="0"/>
    <xf numFmtId="0" fontId="8" fillId="14" borderId="0" applyNumberFormat="0" applyBorder="0" applyAlignment="0" applyProtection="0"/>
    <xf numFmtId="0" fontId="8" fillId="17" borderId="0" applyNumberFormat="0" applyBorder="0" applyAlignment="0" applyProtection="0"/>
    <xf numFmtId="0" fontId="16" fillId="22" borderId="1" applyNumberFormat="0" applyAlignment="0" applyProtection="0"/>
    <xf numFmtId="194" fontId="6" fillId="0" borderId="0" applyFont="0" applyFill="0" applyBorder="0" applyAlignment="0" applyProtection="0"/>
    <xf numFmtId="0" fontId="50" fillId="0" borderId="0" applyNumberFormat="0" applyFill="0" applyBorder="0" applyAlignment="0" applyProtection="0">
      <alignment vertical="top"/>
      <protection locked="0"/>
    </xf>
    <xf numFmtId="0" fontId="9" fillId="5" borderId="0" applyNumberFormat="0" applyBorder="0" applyAlignment="0" applyProtection="0"/>
    <xf numFmtId="195" fontId="51" fillId="0" borderId="0" applyFont="0" applyFill="0" applyBorder="0" applyAlignment="0" applyProtection="0"/>
    <xf numFmtId="196" fontId="51" fillId="0" borderId="0" applyFont="0" applyFill="0" applyBorder="0" applyAlignment="0" applyProtection="0"/>
    <xf numFmtId="197" fontId="48" fillId="0" borderId="0" applyFont="0" applyFill="0" applyBorder="0" applyAlignment="0" applyProtection="0">
      <alignment vertical="top"/>
    </xf>
    <xf numFmtId="0" fontId="1" fillId="0" borderId="0"/>
    <xf numFmtId="0" fontId="6" fillId="23" borderId="6" applyNumberFormat="0" applyFont="0" applyAlignment="0" applyProtection="0"/>
    <xf numFmtId="0" fontId="6" fillId="23" borderId="6" applyNumberFormat="0" applyFont="0" applyAlignment="0" applyProtection="0"/>
    <xf numFmtId="198" fontId="48" fillId="0" borderId="0" applyFont="0" applyFill="0" applyBorder="0" applyAlignment="0" applyProtection="0">
      <alignment vertical="top"/>
    </xf>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9" fillId="42" borderId="7" applyNumberFormat="0" applyAlignment="0" applyProtection="0"/>
    <xf numFmtId="0" fontId="51" fillId="0" borderId="0"/>
    <xf numFmtId="0" fontId="6" fillId="0" borderId="0"/>
    <xf numFmtId="0" fontId="25" fillId="0" borderId="0" applyNumberFormat="0" applyFill="0" applyBorder="0" applyAlignment="0" applyProtection="0"/>
    <xf numFmtId="0" fontId="12" fillId="0" borderId="0" applyNumberFormat="0" applyFill="0" applyBorder="0" applyAlignment="0" applyProtection="0"/>
    <xf numFmtId="199" fontId="48" fillId="0" borderId="0" applyFont="0" applyFill="0" applyBorder="0" applyAlignment="0" applyProtection="0">
      <alignment vertical="top"/>
    </xf>
    <xf numFmtId="0" fontId="52" fillId="0" borderId="0" applyNumberFormat="0" applyFill="0" applyBorder="0" applyAlignment="0" applyProtection="0"/>
    <xf numFmtId="0" fontId="53" fillId="0" borderId="13" applyNumberFormat="0" applyFill="0" applyAlignment="0" applyProtection="0"/>
    <xf numFmtId="0" fontId="54" fillId="0" borderId="14" applyNumberFormat="0" applyFill="0" applyAlignment="0" applyProtection="0"/>
    <xf numFmtId="0" fontId="49" fillId="0" borderId="15" applyNumberFormat="0" applyFill="0" applyAlignment="0" applyProtection="0"/>
    <xf numFmtId="200" fontId="51" fillId="0" borderId="0" applyFont="0" applyFill="0" applyBorder="0" applyAlignment="0" applyProtection="0"/>
    <xf numFmtId="201" fontId="51" fillId="0" borderId="0" applyFont="0" applyFill="0" applyBorder="0" applyAlignment="0" applyProtection="0"/>
    <xf numFmtId="0" fontId="4" fillId="0" borderId="0"/>
    <xf numFmtId="0" fontId="55" fillId="0" borderId="0"/>
    <xf numFmtId="189" fontId="31" fillId="0" borderId="0" applyFont="0" applyFill="0" applyBorder="0" applyAlignment="0" applyProtection="0"/>
    <xf numFmtId="9" fontId="31" fillId="0" borderId="0" applyFont="0" applyFill="0" applyBorder="0" applyAlignment="0" applyProtection="0"/>
    <xf numFmtId="0" fontId="1" fillId="0" borderId="0"/>
  </cellStyleXfs>
  <cellXfs count="116">
    <xf numFmtId="0" fontId="0" fillId="0" borderId="0" xfId="0"/>
    <xf numFmtId="0" fontId="0" fillId="0" borderId="0" xfId="0" applyAlignment="1">
      <alignment horizontal="right"/>
    </xf>
    <xf numFmtId="0" fontId="35" fillId="0" borderId="0" xfId="0" applyFont="1" applyAlignment="1">
      <alignment horizontal="right"/>
    </xf>
    <xf numFmtId="0" fontId="33" fillId="0" borderId="0" xfId="67" applyFont="1" applyAlignment="1">
      <alignment horizontal="right"/>
    </xf>
    <xf numFmtId="0" fontId="31" fillId="0" borderId="0" xfId="69" applyFont="1" applyAlignment="1">
      <alignment horizontal="center" vertical="center" wrapText="1"/>
    </xf>
    <xf numFmtId="0" fontId="37" fillId="0" borderId="0" xfId="69" applyAlignment="1">
      <alignment horizontal="left"/>
    </xf>
    <xf numFmtId="3" fontId="37" fillId="0" borderId="0" xfId="69" applyNumberFormat="1" applyAlignment="1">
      <alignment horizontal="right"/>
    </xf>
    <xf numFmtId="0" fontId="37" fillId="0" borderId="0" xfId="69" applyAlignment="1">
      <alignment horizontal="right"/>
    </xf>
    <xf numFmtId="1" fontId="6" fillId="0" borderId="0" xfId="69" applyNumberFormat="1" applyFont="1" applyAlignment="1">
      <alignment horizontal="right"/>
    </xf>
    <xf numFmtId="14" fontId="6" fillId="0" borderId="0" xfId="69" applyNumberFormat="1" applyFont="1" applyAlignment="1">
      <alignment horizontal="right"/>
    </xf>
    <xf numFmtId="0" fontId="6" fillId="0" borderId="0" xfId="69" applyFont="1" applyAlignment="1">
      <alignment horizontal="right"/>
    </xf>
    <xf numFmtId="3" fontId="6" fillId="0" borderId="0" xfId="68" applyNumberFormat="1" applyFont="1" applyFill="1" applyAlignment="1">
      <alignment horizontal="right"/>
    </xf>
    <xf numFmtId="3" fontId="30" fillId="0" borderId="0" xfId="68" applyNumberFormat="1" applyFont="1" applyFill="1" applyAlignment="1">
      <alignment horizontal="right"/>
    </xf>
    <xf numFmtId="0" fontId="39" fillId="0" borderId="10" xfId="68" applyNumberFormat="1" applyFont="1" applyFill="1" applyBorder="1" applyAlignment="1">
      <alignment horizontal="right" wrapText="1"/>
    </xf>
    <xf numFmtId="14" fontId="39" fillId="0" borderId="10" xfId="68" applyNumberFormat="1" applyFont="1" applyFill="1" applyBorder="1" applyAlignment="1">
      <alignment horizontal="right" wrapText="1"/>
    </xf>
    <xf numFmtId="0" fontId="39" fillId="0" borderId="10" xfId="69" applyFont="1" applyBorder="1" applyAlignment="1">
      <alignment horizontal="right" wrapText="1"/>
    </xf>
    <xf numFmtId="3" fontId="39" fillId="0" borderId="10" xfId="68" applyNumberFormat="1" applyFont="1" applyFill="1" applyBorder="1" applyAlignment="1">
      <alignment horizontal="right" wrapText="1"/>
    </xf>
    <xf numFmtId="1" fontId="6" fillId="41" borderId="0" xfId="69" applyNumberFormat="1" applyFont="1" applyFill="1" applyAlignment="1">
      <alignment horizontal="right"/>
    </xf>
    <xf numFmtId="0" fontId="0" fillId="0" borderId="0" xfId="0" applyAlignment="1">
      <alignment wrapText="1"/>
    </xf>
    <xf numFmtId="14" fontId="37" fillId="0" borderId="0" xfId="69" applyNumberFormat="1" applyAlignment="1">
      <alignment horizontal="right"/>
    </xf>
    <xf numFmtId="0" fontId="34" fillId="0" borderId="10" xfId="0" applyFont="1" applyBorder="1"/>
    <xf numFmtId="0" fontId="34" fillId="0" borderId="0" xfId="0" applyFont="1"/>
    <xf numFmtId="0" fontId="35" fillId="0" borderId="0" xfId="0" applyFont="1"/>
    <xf numFmtId="185" fontId="0" fillId="0" borderId="0" xfId="0" applyNumberFormat="1"/>
    <xf numFmtId="0" fontId="42" fillId="0" borderId="0" xfId="0" applyFont="1"/>
    <xf numFmtId="186" fontId="0" fillId="0" borderId="0" xfId="28" applyNumberFormat="1" applyFont="1"/>
    <xf numFmtId="187" fontId="36" fillId="0" borderId="0" xfId="0" applyNumberFormat="1" applyFont="1"/>
    <xf numFmtId="187" fontId="41" fillId="0" borderId="0" xfId="0" applyNumberFormat="1" applyFont="1"/>
    <xf numFmtId="177" fontId="34" fillId="0" borderId="0" xfId="28" applyFont="1"/>
    <xf numFmtId="188" fontId="34" fillId="0" borderId="0" xfId="28" applyNumberFormat="1" applyFont="1"/>
    <xf numFmtId="177" fontId="0" fillId="0" borderId="0" xfId="0" applyNumberFormat="1"/>
    <xf numFmtId="1" fontId="37" fillId="0" borderId="0" xfId="69" applyNumberFormat="1" applyAlignment="1">
      <alignment horizontal="right"/>
    </xf>
    <xf numFmtId="177" fontId="35" fillId="0" borderId="0" xfId="0" applyNumberFormat="1" applyFont="1"/>
    <xf numFmtId="177" fontId="0" fillId="0" borderId="0" xfId="28" applyFont="1" applyAlignment="1">
      <alignment horizontal="right"/>
    </xf>
    <xf numFmtId="0" fontId="43" fillId="0" borderId="0" xfId="0" applyFont="1"/>
    <xf numFmtId="184" fontId="0" fillId="0" borderId="0" xfId="154" applyNumberFormat="1" applyFont="1"/>
    <xf numFmtId="0" fontId="35" fillId="0" borderId="10" xfId="0" applyFont="1" applyBorder="1" applyAlignment="1">
      <alignment horizontal="right"/>
    </xf>
    <xf numFmtId="188" fontId="0" fillId="0" borderId="0" xfId="0" applyNumberFormat="1"/>
    <xf numFmtId="0" fontId="40" fillId="0" borderId="10" xfId="0" applyFont="1" applyBorder="1" applyAlignment="1">
      <alignment horizontal="right" wrapText="1"/>
    </xf>
    <xf numFmtId="0" fontId="0" fillId="0" borderId="10" xfId="0" applyBorder="1"/>
    <xf numFmtId="185" fontId="0" fillId="0" borderId="0" xfId="28" applyNumberFormat="1" applyFont="1"/>
    <xf numFmtId="185" fontId="35" fillId="0" borderId="0" xfId="0" applyNumberFormat="1" applyFont="1"/>
    <xf numFmtId="185" fontId="35" fillId="0" borderId="0" xfId="28" applyNumberFormat="1" applyFont="1"/>
    <xf numFmtId="185" fontId="35" fillId="0" borderId="0" xfId="0" applyNumberFormat="1" applyFont="1" applyAlignment="1">
      <alignment horizontal="right"/>
    </xf>
    <xf numFmtId="185" fontId="35" fillId="0" borderId="0" xfId="28" applyNumberFormat="1" applyFont="1" applyAlignment="1">
      <alignment horizontal="right"/>
    </xf>
    <xf numFmtId="0" fontId="57" fillId="0" borderId="10" xfId="0" applyFont="1" applyBorder="1" applyAlignment="1">
      <alignment horizontal="right" wrapText="1"/>
    </xf>
    <xf numFmtId="0" fontId="57" fillId="0" borderId="0" xfId="0" applyFont="1" applyAlignment="1">
      <alignment horizontal="right" wrapText="1"/>
    </xf>
    <xf numFmtId="0" fontId="58" fillId="0" borderId="0" xfId="0" applyFont="1" applyAlignment="1">
      <alignment horizontal="right"/>
    </xf>
    <xf numFmtId="0" fontId="58" fillId="0" borderId="0" xfId="0" applyFont="1"/>
    <xf numFmtId="177" fontId="58" fillId="0" borderId="0" xfId="28" applyFont="1"/>
    <xf numFmtId="177" fontId="58" fillId="0" borderId="0" xfId="0" applyNumberFormat="1" applyFont="1"/>
    <xf numFmtId="0" fontId="57" fillId="0" borderId="10" xfId="0" applyFont="1" applyBorder="1"/>
    <xf numFmtId="177" fontId="57" fillId="0" borderId="0" xfId="28" applyFont="1"/>
    <xf numFmtId="185" fontId="60" fillId="0" borderId="0" xfId="0" applyNumberFormat="1" applyFont="1"/>
    <xf numFmtId="0" fontId="61" fillId="0" borderId="0" xfId="0" applyFont="1" applyAlignment="1">
      <alignment horizontal="right"/>
    </xf>
    <xf numFmtId="185" fontId="59" fillId="0" borderId="0" xfId="0" applyNumberFormat="1" applyFont="1"/>
    <xf numFmtId="185" fontId="60" fillId="0" borderId="0" xfId="28" applyNumberFormat="1" applyFont="1"/>
    <xf numFmtId="185" fontId="59" fillId="0" borderId="0" xfId="28" applyNumberFormat="1" applyFont="1"/>
    <xf numFmtId="0" fontId="57" fillId="0" borderId="0" xfId="0" applyFont="1" applyAlignment="1">
      <alignment horizontal="right"/>
    </xf>
    <xf numFmtId="0" fontId="57" fillId="0" borderId="10" xfId="0" applyFont="1" applyBorder="1" applyAlignment="1">
      <alignment horizontal="right"/>
    </xf>
    <xf numFmtId="178" fontId="58" fillId="0" borderId="0" xfId="0" applyNumberFormat="1" applyFont="1"/>
    <xf numFmtId="0" fontId="6" fillId="0" borderId="0" xfId="50"/>
    <xf numFmtId="0" fontId="62" fillId="0" borderId="10" xfId="69" applyFont="1" applyBorder="1" applyAlignment="1">
      <alignment horizontal="right"/>
    </xf>
    <xf numFmtId="0" fontId="63" fillId="0" borderId="0" xfId="67" applyFont="1" applyAlignment="1">
      <alignment horizontal="right"/>
    </xf>
    <xf numFmtId="15" fontId="64" fillId="48" borderId="0" xfId="67" applyNumberFormat="1" applyFont="1" applyFill="1" applyAlignment="1">
      <alignment horizontal="right"/>
    </xf>
    <xf numFmtId="0" fontId="64" fillId="0" borderId="0" xfId="69" applyFont="1" applyAlignment="1">
      <alignment horizontal="right"/>
    </xf>
    <xf numFmtId="178" fontId="64" fillId="48" borderId="0" xfId="28" applyNumberFormat="1" applyFont="1" applyFill="1" applyBorder="1" applyAlignment="1">
      <alignment horizontal="right"/>
    </xf>
    <xf numFmtId="9" fontId="64" fillId="48" borderId="0" xfId="67" applyNumberFormat="1" applyFont="1" applyFill="1" applyAlignment="1">
      <alignment horizontal="right"/>
    </xf>
    <xf numFmtId="177" fontId="64" fillId="48" borderId="0" xfId="28" applyFont="1" applyFill="1" applyBorder="1" applyAlignment="1">
      <alignment horizontal="right"/>
    </xf>
    <xf numFmtId="1" fontId="64" fillId="0" borderId="0" xfId="69" applyNumberFormat="1" applyFont="1" applyAlignment="1">
      <alignment horizontal="right"/>
    </xf>
    <xf numFmtId="3" fontId="1" fillId="41" borderId="0" xfId="68" applyNumberFormat="1" applyFont="1" applyFill="1" applyAlignment="1">
      <alignment horizontal="right"/>
    </xf>
    <xf numFmtId="184" fontId="6" fillId="41" borderId="0" xfId="154" applyNumberFormat="1" applyFont="1" applyFill="1" applyAlignment="1">
      <alignment horizontal="right"/>
    </xf>
    <xf numFmtId="0" fontId="35" fillId="0" borderId="10" xfId="0" applyFont="1" applyBorder="1"/>
    <xf numFmtId="0" fontId="65" fillId="0" borderId="0" xfId="0" applyFont="1"/>
    <xf numFmtId="0" fontId="61" fillId="0" borderId="10" xfId="0" applyFont="1" applyBorder="1" applyAlignment="1">
      <alignment horizontal="right"/>
    </xf>
    <xf numFmtId="0" fontId="66" fillId="0" borderId="0" xfId="0" applyFont="1"/>
    <xf numFmtId="185" fontId="58" fillId="0" borderId="0" xfId="0" applyNumberFormat="1" applyFont="1"/>
    <xf numFmtId="185" fontId="61" fillId="0" borderId="0" xfId="0" applyNumberFormat="1" applyFont="1"/>
    <xf numFmtId="185" fontId="58" fillId="0" borderId="0" xfId="28" applyNumberFormat="1" applyFont="1"/>
    <xf numFmtId="185" fontId="61" fillId="0" borderId="0" xfId="28" applyNumberFormat="1" applyFont="1"/>
    <xf numFmtId="0" fontId="1" fillId="0" borderId="0" xfId="0" applyFont="1"/>
    <xf numFmtId="0" fontId="56" fillId="0" borderId="0" xfId="0" applyFont="1"/>
    <xf numFmtId="0" fontId="56" fillId="0" borderId="10" xfId="0" applyFont="1" applyBorder="1"/>
    <xf numFmtId="0" fontId="67" fillId="0" borderId="0" xfId="0" applyFont="1"/>
    <xf numFmtId="0" fontId="1" fillId="0" borderId="0" xfId="0" applyFont="1" applyAlignment="1">
      <alignment horizontal="right"/>
    </xf>
    <xf numFmtId="0" fontId="56" fillId="0" borderId="10" xfId="0" applyFont="1" applyBorder="1" applyAlignment="1">
      <alignment horizontal="right"/>
    </xf>
    <xf numFmtId="0" fontId="68" fillId="0" borderId="0" xfId="0" applyFont="1"/>
    <xf numFmtId="0" fontId="67" fillId="0" borderId="0" xfId="0" applyFont="1" applyAlignment="1">
      <alignment horizontal="right"/>
    </xf>
    <xf numFmtId="177" fontId="67" fillId="0" borderId="0" xfId="28" applyFont="1"/>
    <xf numFmtId="0" fontId="69" fillId="0" borderId="0" xfId="153" applyFont="1"/>
    <xf numFmtId="0" fontId="1" fillId="0" borderId="0" xfId="153" applyFont="1"/>
    <xf numFmtId="0" fontId="70" fillId="0" borderId="0" xfId="0" applyFont="1"/>
    <xf numFmtId="9" fontId="1" fillId="27" borderId="0" xfId="153" applyNumberFormat="1" applyFont="1" applyFill="1"/>
    <xf numFmtId="0" fontId="71" fillId="0" borderId="0" xfId="153" applyFont="1"/>
    <xf numFmtId="0" fontId="72" fillId="0" borderId="10" xfId="153" applyFont="1" applyBorder="1" applyAlignment="1">
      <alignment horizontal="right" wrapText="1"/>
    </xf>
    <xf numFmtId="0" fontId="73" fillId="0" borderId="0" xfId="153" applyFont="1" applyAlignment="1">
      <alignment horizontal="right" wrapText="1"/>
    </xf>
    <xf numFmtId="4" fontId="73" fillId="0" borderId="0" xfId="153" applyNumberFormat="1" applyFont="1" applyAlignment="1">
      <alignment horizontal="right" wrapText="1"/>
    </xf>
    <xf numFmtId="4" fontId="1" fillId="41" borderId="0" xfId="153" applyNumberFormat="1" applyFont="1" applyFill="1"/>
    <xf numFmtId="177" fontId="1" fillId="41" borderId="0" xfId="28" applyFont="1" applyFill="1"/>
    <xf numFmtId="3" fontId="73" fillId="0" borderId="0" xfId="153" applyNumberFormat="1" applyFont="1" applyAlignment="1">
      <alignment horizontal="right" wrapText="1"/>
    </xf>
    <xf numFmtId="0" fontId="73" fillId="0" borderId="0" xfId="153" applyFont="1" applyAlignment="1">
      <alignment horizontal="center" wrapText="1"/>
    </xf>
    <xf numFmtId="0" fontId="71" fillId="0" borderId="0" xfId="153" applyFont="1" applyAlignment="1">
      <alignment horizontal="center" wrapText="1"/>
    </xf>
    <xf numFmtId="4" fontId="1" fillId="0" borderId="0" xfId="153" applyNumberFormat="1" applyFont="1"/>
    <xf numFmtId="0" fontId="66" fillId="0" borderId="0" xfId="50" applyFont="1" applyAlignment="1">
      <alignment wrapText="1"/>
    </xf>
    <xf numFmtId="0" fontId="67" fillId="0" borderId="10" xfId="0" applyFont="1" applyBorder="1"/>
    <xf numFmtId="0" fontId="75" fillId="0" borderId="0" xfId="0" applyFont="1"/>
    <xf numFmtId="0" fontId="78" fillId="0" borderId="0" xfId="0" applyFont="1" applyAlignment="1">
      <alignment horizontal="left" vertical="center" readingOrder="1"/>
    </xf>
    <xf numFmtId="0" fontId="79" fillId="0" borderId="0" xfId="69" applyFont="1" applyAlignment="1">
      <alignment horizontal="left"/>
    </xf>
    <xf numFmtId="0" fontId="79" fillId="0" borderId="0" xfId="69" applyFont="1" applyAlignment="1">
      <alignment horizontal="right"/>
    </xf>
    <xf numFmtId="0" fontId="79" fillId="0" borderId="0" xfId="69" applyFont="1" applyAlignment="1">
      <alignment horizontal="right" wrapText="1"/>
    </xf>
    <xf numFmtId="3" fontId="79" fillId="0" borderId="0" xfId="69" applyNumberFormat="1" applyFont="1" applyAlignment="1">
      <alignment horizontal="right"/>
    </xf>
    <xf numFmtId="3" fontId="79" fillId="0" borderId="0" xfId="69" applyNumberFormat="1" applyFont="1" applyAlignment="1">
      <alignment horizontal="left"/>
    </xf>
    <xf numFmtId="0" fontId="77" fillId="0" borderId="0" xfId="0" applyFont="1"/>
    <xf numFmtId="0" fontId="42" fillId="0" borderId="10" xfId="0" applyFont="1" applyBorder="1" applyAlignment="1">
      <alignment horizontal="center" wrapText="1"/>
    </xf>
    <xf numFmtId="0" fontId="42" fillId="0" borderId="10" xfId="0" applyFont="1" applyBorder="1" applyAlignment="1">
      <alignment horizontal="center"/>
    </xf>
    <xf numFmtId="0" fontId="74" fillId="0" borderId="10" xfId="0" applyFont="1" applyBorder="1" applyAlignment="1">
      <alignment horizontal="center"/>
    </xf>
  </cellXfs>
  <cellStyles count="233">
    <cellStyle name="20% - Accent1 2" xfId="1" xr:uid="{00000000-0005-0000-0000-000000000000}"/>
    <cellStyle name="20% - Accent1 2 2" xfId="71" xr:uid="{00000000-0005-0000-0000-000001000000}"/>
    <cellStyle name="20% - Accent1 3" xfId="72" xr:uid="{00000000-0005-0000-0000-000002000000}"/>
    <cellStyle name="20% - Accent1 4" xfId="73" xr:uid="{00000000-0005-0000-0000-000003000000}"/>
    <cellStyle name="20% - Accent2 2" xfId="2" xr:uid="{00000000-0005-0000-0000-000004000000}"/>
    <cellStyle name="20% - Accent2 2 2" xfId="74" xr:uid="{00000000-0005-0000-0000-000005000000}"/>
    <cellStyle name="20% - Accent2 3" xfId="75" xr:uid="{00000000-0005-0000-0000-000006000000}"/>
    <cellStyle name="20% - Accent2 4" xfId="76" xr:uid="{00000000-0005-0000-0000-000007000000}"/>
    <cellStyle name="20% - Accent3 2" xfId="3" xr:uid="{00000000-0005-0000-0000-000008000000}"/>
    <cellStyle name="20% - Accent3 2 2" xfId="77" xr:uid="{00000000-0005-0000-0000-000009000000}"/>
    <cellStyle name="20% - Accent3 3" xfId="78" xr:uid="{00000000-0005-0000-0000-00000A000000}"/>
    <cellStyle name="20% - Accent3 4" xfId="79" xr:uid="{00000000-0005-0000-0000-00000B000000}"/>
    <cellStyle name="20% - Accent4 2" xfId="4" xr:uid="{00000000-0005-0000-0000-00000C000000}"/>
    <cellStyle name="20% - Accent4 2 2" xfId="80" xr:uid="{00000000-0005-0000-0000-00000D000000}"/>
    <cellStyle name="20% - Accent4 3" xfId="81" xr:uid="{00000000-0005-0000-0000-00000E000000}"/>
    <cellStyle name="20% - Accent4 4" xfId="82" xr:uid="{00000000-0005-0000-0000-00000F000000}"/>
    <cellStyle name="20% - Accent5 2" xfId="5" xr:uid="{00000000-0005-0000-0000-000010000000}"/>
    <cellStyle name="20% - Accent5 2 2" xfId="83" xr:uid="{00000000-0005-0000-0000-000011000000}"/>
    <cellStyle name="20% - Accent5 3" xfId="84" xr:uid="{00000000-0005-0000-0000-000012000000}"/>
    <cellStyle name="20% - Accent5 4" xfId="85" xr:uid="{00000000-0005-0000-0000-000013000000}"/>
    <cellStyle name="20% - Accent6 2" xfId="6" xr:uid="{00000000-0005-0000-0000-000014000000}"/>
    <cellStyle name="20% - Accent6 2 2" xfId="86" xr:uid="{00000000-0005-0000-0000-000015000000}"/>
    <cellStyle name="20% - Accent6 3" xfId="87" xr:uid="{00000000-0005-0000-0000-000016000000}"/>
    <cellStyle name="20% - Accent6 4" xfId="88" xr:uid="{00000000-0005-0000-0000-000017000000}"/>
    <cellStyle name="20% - Énfasis1" xfId="156" xr:uid="{00000000-0005-0000-0000-000018000000}"/>
    <cellStyle name="20% - Énfasis2" xfId="157" xr:uid="{00000000-0005-0000-0000-000019000000}"/>
    <cellStyle name="20% - Énfasis3" xfId="158" xr:uid="{00000000-0005-0000-0000-00001A000000}"/>
    <cellStyle name="20% - Énfasis4" xfId="159" xr:uid="{00000000-0005-0000-0000-00001B000000}"/>
    <cellStyle name="20% - Énfasis5" xfId="160" xr:uid="{00000000-0005-0000-0000-00001C000000}"/>
    <cellStyle name="20% - Énfasis6" xfId="161" xr:uid="{00000000-0005-0000-0000-00001D000000}"/>
    <cellStyle name="40% - Accent1 2" xfId="7" xr:uid="{00000000-0005-0000-0000-00001E000000}"/>
    <cellStyle name="40% - Accent1 2 2" xfId="89" xr:uid="{00000000-0005-0000-0000-00001F000000}"/>
    <cellStyle name="40% - Accent1 3" xfId="90" xr:uid="{00000000-0005-0000-0000-000020000000}"/>
    <cellStyle name="40% - Accent1 4" xfId="91" xr:uid="{00000000-0005-0000-0000-000021000000}"/>
    <cellStyle name="40% - Accent2 2" xfId="8" xr:uid="{00000000-0005-0000-0000-000022000000}"/>
    <cellStyle name="40% - Accent2 2 2" xfId="92" xr:uid="{00000000-0005-0000-0000-000023000000}"/>
    <cellStyle name="40% - Accent2 3" xfId="93" xr:uid="{00000000-0005-0000-0000-000024000000}"/>
    <cellStyle name="40% - Accent2 4" xfId="94" xr:uid="{00000000-0005-0000-0000-000025000000}"/>
    <cellStyle name="40% - Accent3 2" xfId="9" xr:uid="{00000000-0005-0000-0000-000026000000}"/>
    <cellStyle name="40% - Accent3 2 2" xfId="95" xr:uid="{00000000-0005-0000-0000-000027000000}"/>
    <cellStyle name="40% - Accent3 3" xfId="96" xr:uid="{00000000-0005-0000-0000-000028000000}"/>
    <cellStyle name="40% - Accent3 4" xfId="97" xr:uid="{00000000-0005-0000-0000-000029000000}"/>
    <cellStyle name="40% - Accent4 2" xfId="10" xr:uid="{00000000-0005-0000-0000-00002A000000}"/>
    <cellStyle name="40% - Accent4 2 2" xfId="98" xr:uid="{00000000-0005-0000-0000-00002B000000}"/>
    <cellStyle name="40% - Accent4 3" xfId="99" xr:uid="{00000000-0005-0000-0000-00002C000000}"/>
    <cellStyle name="40% - Accent4 4" xfId="100" xr:uid="{00000000-0005-0000-0000-00002D000000}"/>
    <cellStyle name="40% - Accent5 2" xfId="11" xr:uid="{00000000-0005-0000-0000-00002E000000}"/>
    <cellStyle name="40% - Accent5 2 2" xfId="101" xr:uid="{00000000-0005-0000-0000-00002F000000}"/>
    <cellStyle name="40% - Accent5 3" xfId="102" xr:uid="{00000000-0005-0000-0000-000030000000}"/>
    <cellStyle name="40% - Accent5 4" xfId="103" xr:uid="{00000000-0005-0000-0000-000031000000}"/>
    <cellStyle name="40% - Accent6 2" xfId="12" xr:uid="{00000000-0005-0000-0000-000032000000}"/>
    <cellStyle name="40% - Accent6 2 2" xfId="104" xr:uid="{00000000-0005-0000-0000-000033000000}"/>
    <cellStyle name="40% - Accent6 3" xfId="105" xr:uid="{00000000-0005-0000-0000-000034000000}"/>
    <cellStyle name="40% - Accent6 4" xfId="106" xr:uid="{00000000-0005-0000-0000-000035000000}"/>
    <cellStyle name="40% - Énfasis1" xfId="162" xr:uid="{00000000-0005-0000-0000-000036000000}"/>
    <cellStyle name="40% - Énfasis2" xfId="163" xr:uid="{00000000-0005-0000-0000-000037000000}"/>
    <cellStyle name="40% - Énfasis3" xfId="164" xr:uid="{00000000-0005-0000-0000-000038000000}"/>
    <cellStyle name="40% - Énfasis4" xfId="165" xr:uid="{00000000-0005-0000-0000-000039000000}"/>
    <cellStyle name="40% - Énfasis5" xfId="166" xr:uid="{00000000-0005-0000-0000-00003A000000}"/>
    <cellStyle name="40% - Énfasis6" xfId="167" xr:uid="{00000000-0005-0000-0000-00003B000000}"/>
    <cellStyle name="60% - Accent1 2" xfId="13" xr:uid="{00000000-0005-0000-0000-00003C000000}"/>
    <cellStyle name="60% - Accent2 2" xfId="14" xr:uid="{00000000-0005-0000-0000-00003D000000}"/>
    <cellStyle name="60% - Accent3 2" xfId="15" xr:uid="{00000000-0005-0000-0000-00003E000000}"/>
    <cellStyle name="60% - Accent4 2" xfId="16" xr:uid="{00000000-0005-0000-0000-00003F000000}"/>
    <cellStyle name="60% - Accent5 2" xfId="17" xr:uid="{00000000-0005-0000-0000-000040000000}"/>
    <cellStyle name="60% - Accent6 2" xfId="18" xr:uid="{00000000-0005-0000-0000-000041000000}"/>
    <cellStyle name="60% - Énfasis1" xfId="168" xr:uid="{00000000-0005-0000-0000-000042000000}"/>
    <cellStyle name="60% - Énfasis2" xfId="169" xr:uid="{00000000-0005-0000-0000-000043000000}"/>
    <cellStyle name="60% - Énfasis3" xfId="170" xr:uid="{00000000-0005-0000-0000-000044000000}"/>
    <cellStyle name="60% - Énfasis4" xfId="171" xr:uid="{00000000-0005-0000-0000-000045000000}"/>
    <cellStyle name="60% - Énfasis5" xfId="172" xr:uid="{00000000-0005-0000-0000-000046000000}"/>
    <cellStyle name="60% - Énfasis6" xfId="173" xr:uid="{00000000-0005-0000-0000-000047000000}"/>
    <cellStyle name="Accent1 2" xfId="19" xr:uid="{00000000-0005-0000-0000-000048000000}"/>
    <cellStyle name="Accent2 2" xfId="20" xr:uid="{00000000-0005-0000-0000-000049000000}"/>
    <cellStyle name="Accent3 2" xfId="21" xr:uid="{00000000-0005-0000-0000-00004A000000}"/>
    <cellStyle name="Accent4 2" xfId="22" xr:uid="{00000000-0005-0000-0000-00004B000000}"/>
    <cellStyle name="Accent5 2" xfId="23" xr:uid="{00000000-0005-0000-0000-00004C000000}"/>
    <cellStyle name="Accent6 2" xfId="24" xr:uid="{00000000-0005-0000-0000-00004D000000}"/>
    <cellStyle name="Affinity Background" xfId="174" xr:uid="{00000000-0005-0000-0000-00004E000000}"/>
    <cellStyle name="Affinity Exhibit" xfId="175" xr:uid="{00000000-0005-0000-0000-00004F000000}"/>
    <cellStyle name="Affinity Exhibit Header" xfId="176" xr:uid="{00000000-0005-0000-0000-000050000000}"/>
    <cellStyle name="Affinity Headings" xfId="177" xr:uid="{00000000-0005-0000-0000-000051000000}"/>
    <cellStyle name="Bad 2" xfId="25" xr:uid="{00000000-0005-0000-0000-000052000000}"/>
    <cellStyle name="Buena" xfId="178" xr:uid="{00000000-0005-0000-0000-000053000000}"/>
    <cellStyle name="Calculation 2" xfId="26" xr:uid="{00000000-0005-0000-0000-000054000000}"/>
    <cellStyle name="Cálculo" xfId="179" xr:uid="{00000000-0005-0000-0000-000055000000}"/>
    <cellStyle name="Celda de comprobación" xfId="180" xr:uid="{00000000-0005-0000-0000-000056000000}"/>
    <cellStyle name="Celda vinculada" xfId="181" xr:uid="{00000000-0005-0000-0000-000057000000}"/>
    <cellStyle name="Check Cell 2" xfId="27" xr:uid="{00000000-0005-0000-0000-000058000000}"/>
    <cellStyle name="Comma  - Style1" xfId="182" xr:uid="{00000000-0005-0000-0000-00005A000000}"/>
    <cellStyle name="Comma  - Style2" xfId="183" xr:uid="{00000000-0005-0000-0000-00005B000000}"/>
    <cellStyle name="Comma  - Style3" xfId="184" xr:uid="{00000000-0005-0000-0000-00005C000000}"/>
    <cellStyle name="Comma  - Style4" xfId="185" xr:uid="{00000000-0005-0000-0000-00005D000000}"/>
    <cellStyle name="Comma  - Style5" xfId="186" xr:uid="{00000000-0005-0000-0000-00005E000000}"/>
    <cellStyle name="Comma  - Style6" xfId="187" xr:uid="{00000000-0005-0000-0000-00005F000000}"/>
    <cellStyle name="Comma  - Style7" xfId="188" xr:uid="{00000000-0005-0000-0000-000060000000}"/>
    <cellStyle name="Comma  - Style8" xfId="189" xr:uid="{00000000-0005-0000-0000-000061000000}"/>
    <cellStyle name="Comma 10" xfId="230" xr:uid="{00000000-0005-0000-0000-000062000000}"/>
    <cellStyle name="Comma 2" xfId="29" xr:uid="{00000000-0005-0000-0000-000063000000}"/>
    <cellStyle name="Comma 2 2" xfId="107" xr:uid="{00000000-0005-0000-0000-000064000000}"/>
    <cellStyle name="Comma 3" xfId="30" xr:uid="{00000000-0005-0000-0000-000065000000}"/>
    <cellStyle name="Comma 3 2" xfId="108" xr:uid="{00000000-0005-0000-0000-000066000000}"/>
    <cellStyle name="Comma 4" xfId="31" xr:uid="{00000000-0005-0000-0000-000067000000}"/>
    <cellStyle name="Comma 4 2" xfId="109" xr:uid="{00000000-0005-0000-0000-000068000000}"/>
    <cellStyle name="Comma 5" xfId="32" xr:uid="{00000000-0005-0000-0000-000069000000}"/>
    <cellStyle name="Comma 5 2" xfId="70" xr:uid="{00000000-0005-0000-0000-00006A000000}"/>
    <cellStyle name="Comma 6" xfId="33" xr:uid="{00000000-0005-0000-0000-00006B000000}"/>
    <cellStyle name="Comma 6 2" xfId="110" xr:uid="{00000000-0005-0000-0000-00006C000000}"/>
    <cellStyle name="Comma 7" xfId="34" xr:uid="{00000000-0005-0000-0000-00006D000000}"/>
    <cellStyle name="Comma 7 2" xfId="111" xr:uid="{00000000-0005-0000-0000-00006E000000}"/>
    <cellStyle name="Comma 7 3" xfId="112" xr:uid="{00000000-0005-0000-0000-00006F000000}"/>
    <cellStyle name="Comma 7 3 2" xfId="113" xr:uid="{00000000-0005-0000-0000-000070000000}"/>
    <cellStyle name="Comma 7 3 2 2" xfId="114" xr:uid="{00000000-0005-0000-0000-000071000000}"/>
    <cellStyle name="Comma 7 3 2 2 2" xfId="115" xr:uid="{00000000-0005-0000-0000-000072000000}"/>
    <cellStyle name="Comma 7 3 2 2 2 2" xfId="116" xr:uid="{00000000-0005-0000-0000-000073000000}"/>
    <cellStyle name="Comma 8" xfId="68" xr:uid="{00000000-0005-0000-0000-000074000000}"/>
    <cellStyle name="Comma 9" xfId="155" xr:uid="{00000000-0005-0000-0000-000075000000}"/>
    <cellStyle name="Comma 9 2" xfId="190" xr:uid="{00000000-0005-0000-0000-000076000000}"/>
    <cellStyle name="Currency 2" xfId="117" xr:uid="{00000000-0005-0000-0000-000077000000}"/>
    <cellStyle name="Dates" xfId="191" xr:uid="{00000000-0005-0000-0000-000078000000}"/>
    <cellStyle name="Dezimal_XL Questionnaire_2002_July-10" xfId="192" xr:uid="{00000000-0005-0000-0000-000079000000}"/>
    <cellStyle name="Encabezado 4" xfId="193" xr:uid="{00000000-0005-0000-0000-00007A000000}"/>
    <cellStyle name="Énfasis1" xfId="194" xr:uid="{00000000-0005-0000-0000-00007B000000}"/>
    <cellStyle name="Énfasis2" xfId="195" xr:uid="{00000000-0005-0000-0000-00007C000000}"/>
    <cellStyle name="Énfasis3" xfId="196" xr:uid="{00000000-0005-0000-0000-00007D000000}"/>
    <cellStyle name="Énfasis4" xfId="197" xr:uid="{00000000-0005-0000-0000-00007E000000}"/>
    <cellStyle name="Énfasis5" xfId="198" xr:uid="{00000000-0005-0000-0000-00007F000000}"/>
    <cellStyle name="Énfasis6" xfId="199" xr:uid="{00000000-0005-0000-0000-000080000000}"/>
    <cellStyle name="Entrada" xfId="200" xr:uid="{00000000-0005-0000-0000-000081000000}"/>
    <cellStyle name="Euro" xfId="201" xr:uid="{00000000-0005-0000-0000-000082000000}"/>
    <cellStyle name="Explanatory Text 2" xfId="35" xr:uid="{00000000-0005-0000-0000-000083000000}"/>
    <cellStyle name="Gevolgde hyperlink_AMEV - Fire Tender 2002" xfId="202" xr:uid="{00000000-0005-0000-0000-000084000000}"/>
    <cellStyle name="Good 2" xfId="36" xr:uid="{00000000-0005-0000-0000-000085000000}"/>
    <cellStyle name="Heading 1 2" xfId="37" xr:uid="{00000000-0005-0000-0000-000086000000}"/>
    <cellStyle name="Heading 2 2" xfId="38" xr:uid="{00000000-0005-0000-0000-000087000000}"/>
    <cellStyle name="Heading 3 2" xfId="39" xr:uid="{00000000-0005-0000-0000-000088000000}"/>
    <cellStyle name="Heading 4 2" xfId="40" xr:uid="{00000000-0005-0000-0000-000089000000}"/>
    <cellStyle name="Incorrecto" xfId="203" xr:uid="{00000000-0005-0000-0000-00008A000000}"/>
    <cellStyle name="Input 2" xfId="41" xr:uid="{00000000-0005-0000-0000-00008B000000}"/>
    <cellStyle name="Komma [0]_610200" xfId="204" xr:uid="{00000000-0005-0000-0000-00008C000000}"/>
    <cellStyle name="Komma_610200" xfId="205" xr:uid="{00000000-0005-0000-0000-00008D000000}"/>
    <cellStyle name="Linked Cell 2" xfId="42" xr:uid="{00000000-0005-0000-0000-00008E000000}"/>
    <cellStyle name="Milliers [0]_EDYAN" xfId="43" xr:uid="{00000000-0005-0000-0000-00008F000000}"/>
    <cellStyle name="Milliers_EDYAN" xfId="44" xr:uid="{00000000-0005-0000-0000-000090000000}"/>
    <cellStyle name="Millions" xfId="206" xr:uid="{00000000-0005-0000-0000-000091000000}"/>
    <cellStyle name="Monétaire [0]_EDYAN" xfId="45" xr:uid="{00000000-0005-0000-0000-000092000000}"/>
    <cellStyle name="Monétaire_EDYAN" xfId="46" xr:uid="{00000000-0005-0000-0000-000093000000}"/>
    <cellStyle name="Neutral 2" xfId="47" xr:uid="{00000000-0005-0000-0000-000094000000}"/>
    <cellStyle name="Normal - Style1" xfId="48" xr:uid="{00000000-0005-0000-0000-000096000000}"/>
    <cellStyle name="Normal - Style1 2" xfId="49" xr:uid="{00000000-0005-0000-0000-000097000000}"/>
    <cellStyle name="Normal 10" xfId="118" xr:uid="{00000000-0005-0000-0000-000098000000}"/>
    <cellStyle name="Normal 10 2" xfId="207" xr:uid="{00000000-0005-0000-0000-000099000000}"/>
    <cellStyle name="Normal 11" xfId="119" xr:uid="{00000000-0005-0000-0000-00009A000000}"/>
    <cellStyle name="Normal 12" xfId="120" xr:uid="{00000000-0005-0000-0000-00009B000000}"/>
    <cellStyle name="Normal 13" xfId="121" xr:uid="{00000000-0005-0000-0000-00009C000000}"/>
    <cellStyle name="Normal 13 2" xfId="122" xr:uid="{00000000-0005-0000-0000-00009D000000}"/>
    <cellStyle name="Normal 13 3" xfId="123" xr:uid="{00000000-0005-0000-0000-00009E000000}"/>
    <cellStyle name="Normal 14" xfId="124" xr:uid="{00000000-0005-0000-0000-00009F000000}"/>
    <cellStyle name="Normal 15" xfId="125" xr:uid="{00000000-0005-0000-0000-0000A0000000}"/>
    <cellStyle name="Normal 16" xfId="126" xr:uid="{00000000-0005-0000-0000-0000A1000000}"/>
    <cellStyle name="Normal 17" xfId="153" xr:uid="{00000000-0005-0000-0000-0000A2000000}"/>
    <cellStyle name="Normal 18" xfId="229" xr:uid="{00000000-0005-0000-0000-0000A3000000}"/>
    <cellStyle name="Normal 2" xfId="50" xr:uid="{00000000-0005-0000-0000-0000A4000000}"/>
    <cellStyle name="Normal 2 2" xfId="69" xr:uid="{00000000-0005-0000-0000-0000A5000000}"/>
    <cellStyle name="Normal 2 2 2" xfId="127" xr:uid="{00000000-0005-0000-0000-0000A6000000}"/>
    <cellStyle name="Normal 2 3" xfId="128" xr:uid="{00000000-0005-0000-0000-0000A7000000}"/>
    <cellStyle name="Normal 2 3 2" xfId="129" xr:uid="{00000000-0005-0000-0000-0000A8000000}"/>
    <cellStyle name="Normal 2 4" xfId="130" xr:uid="{00000000-0005-0000-0000-0000A9000000}"/>
    <cellStyle name="Normal 2 5" xfId="131" xr:uid="{00000000-0005-0000-0000-0000AA000000}"/>
    <cellStyle name="Normal 3" xfId="51" xr:uid="{00000000-0005-0000-0000-0000AB000000}"/>
    <cellStyle name="Normal 3 2" xfId="132" xr:uid="{00000000-0005-0000-0000-0000AC000000}"/>
    <cellStyle name="Normal 4" xfId="52" xr:uid="{00000000-0005-0000-0000-0000AD000000}"/>
    <cellStyle name="Normal 4 2" xfId="133" xr:uid="{00000000-0005-0000-0000-0000AE000000}"/>
    <cellStyle name="Normal 4 2 2" xfId="134" xr:uid="{00000000-0005-0000-0000-0000AF000000}"/>
    <cellStyle name="Normal 4 3" xfId="135" xr:uid="{00000000-0005-0000-0000-0000B0000000}"/>
    <cellStyle name="Normal 5" xfId="53" xr:uid="{00000000-0005-0000-0000-0000B1000000}"/>
    <cellStyle name="Normal 5 2" xfId="136" xr:uid="{00000000-0005-0000-0000-0000B2000000}"/>
    <cellStyle name="Normal 6" xfId="54" xr:uid="{00000000-0005-0000-0000-0000B3000000}"/>
    <cellStyle name="Normal 7" xfId="67" xr:uid="{00000000-0005-0000-0000-0000B4000000}"/>
    <cellStyle name="Normal 7 2" xfId="137" xr:uid="{00000000-0005-0000-0000-0000B5000000}"/>
    <cellStyle name="Normal 8" xfId="138" xr:uid="{00000000-0005-0000-0000-0000B6000000}"/>
    <cellStyle name="Normal 8 2" xfId="139" xr:uid="{00000000-0005-0000-0000-0000B7000000}"/>
    <cellStyle name="Normal 8 3" xfId="140" xr:uid="{00000000-0005-0000-0000-0000B8000000}"/>
    <cellStyle name="Normal 8 3 2" xfId="141" xr:uid="{00000000-0005-0000-0000-0000B9000000}"/>
    <cellStyle name="Normal 8 3 2 2" xfId="142" xr:uid="{00000000-0005-0000-0000-0000BA000000}"/>
    <cellStyle name="Normal 8 3 2 2 2" xfId="143" xr:uid="{00000000-0005-0000-0000-0000BB000000}"/>
    <cellStyle name="Normal 8 3 2 2 2 2" xfId="144" xr:uid="{00000000-0005-0000-0000-0000BC000000}"/>
    <cellStyle name="Normal 8 4" xfId="145" xr:uid="{00000000-0005-0000-0000-0000BD000000}"/>
    <cellStyle name="Normal 8 4 2" xfId="146" xr:uid="{00000000-0005-0000-0000-0000BE000000}"/>
    <cellStyle name="Normal 8 4 2 2" xfId="147" xr:uid="{00000000-0005-0000-0000-0000BF000000}"/>
    <cellStyle name="Normal 8 4 2 2 2" xfId="148" xr:uid="{00000000-0005-0000-0000-0000C0000000}"/>
    <cellStyle name="Normal 8 5" xfId="232" xr:uid="{00000000-0005-0000-0000-0000C1000000}"/>
    <cellStyle name="Normal 9" xfId="149" xr:uid="{00000000-0005-0000-0000-0000C2000000}"/>
    <cellStyle name="Notas" xfId="208" xr:uid="{00000000-0005-0000-0000-0000C3000000}"/>
    <cellStyle name="Notas 2" xfId="209" xr:uid="{00000000-0005-0000-0000-0000C4000000}"/>
    <cellStyle name="Note 2" xfId="55" xr:uid="{00000000-0005-0000-0000-0000C5000000}"/>
    <cellStyle name="Note 2 2" xfId="150" xr:uid="{00000000-0005-0000-0000-0000C6000000}"/>
    <cellStyle name="Note 3" xfId="151" xr:uid="{00000000-0005-0000-0000-0000C7000000}"/>
    <cellStyle name="Note 4" xfId="152" xr:uid="{00000000-0005-0000-0000-0000C8000000}"/>
    <cellStyle name="Output 2" xfId="56" xr:uid="{00000000-0005-0000-0000-0000C9000000}"/>
    <cellStyle name="Percent [0]" xfId="210" xr:uid="{00000000-0005-0000-0000-0000CB000000}"/>
    <cellStyle name="Percent 2" xfId="57" xr:uid="{00000000-0005-0000-0000-0000CC000000}"/>
    <cellStyle name="Percent 2 2" xfId="211" xr:uid="{00000000-0005-0000-0000-0000CD000000}"/>
    <cellStyle name="Percent 3" xfId="58" xr:uid="{00000000-0005-0000-0000-0000CE000000}"/>
    <cellStyle name="Percent 4" xfId="212" xr:uid="{00000000-0005-0000-0000-0000CF000000}"/>
    <cellStyle name="Percent 5" xfId="213" xr:uid="{00000000-0005-0000-0000-0000D0000000}"/>
    <cellStyle name="Percent 6" xfId="214" xr:uid="{00000000-0005-0000-0000-0000D1000000}"/>
    <cellStyle name="Percent 7" xfId="215" xr:uid="{00000000-0005-0000-0000-0000D2000000}"/>
    <cellStyle name="Percent 8" xfId="231" xr:uid="{00000000-0005-0000-0000-0000D3000000}"/>
    <cellStyle name="Salida" xfId="216" xr:uid="{00000000-0005-0000-0000-0000D4000000}"/>
    <cellStyle name="Standaard_610200" xfId="217" xr:uid="{00000000-0005-0000-0000-0000D5000000}"/>
    <cellStyle name="Standard_XL Questionnaire_2002_July-10" xfId="218" xr:uid="{00000000-0005-0000-0000-0000D6000000}"/>
    <cellStyle name="Table Body" xfId="59" xr:uid="{00000000-0005-0000-0000-0000D7000000}"/>
    <cellStyle name="Table Body $" xfId="60" xr:uid="{00000000-0005-0000-0000-0000D8000000}"/>
    <cellStyle name="Table Body %" xfId="61" xr:uid="{00000000-0005-0000-0000-0000D9000000}"/>
    <cellStyle name="Table Header" xfId="62" xr:uid="{00000000-0005-0000-0000-0000DA000000}"/>
    <cellStyle name="Table Subheader" xfId="63" xr:uid="{00000000-0005-0000-0000-0000DB000000}"/>
    <cellStyle name="Texto de advertencia" xfId="219" xr:uid="{00000000-0005-0000-0000-0000DC000000}"/>
    <cellStyle name="Texto explicativo" xfId="220" xr:uid="{00000000-0005-0000-0000-0000DD000000}"/>
    <cellStyle name="Thousands" xfId="221" xr:uid="{00000000-0005-0000-0000-0000DE000000}"/>
    <cellStyle name="Title 2" xfId="64" xr:uid="{00000000-0005-0000-0000-0000DF000000}"/>
    <cellStyle name="Título" xfId="222" xr:uid="{00000000-0005-0000-0000-0000E0000000}"/>
    <cellStyle name="Título 1" xfId="223" xr:uid="{00000000-0005-0000-0000-0000E1000000}"/>
    <cellStyle name="Título 2" xfId="224" xr:uid="{00000000-0005-0000-0000-0000E2000000}"/>
    <cellStyle name="Título 3" xfId="225" xr:uid="{00000000-0005-0000-0000-0000E3000000}"/>
    <cellStyle name="Total 2" xfId="65" xr:uid="{00000000-0005-0000-0000-0000E4000000}"/>
    <cellStyle name="Valuta [0]_610200" xfId="226" xr:uid="{00000000-0005-0000-0000-0000E5000000}"/>
    <cellStyle name="Valuta_610200" xfId="227" xr:uid="{00000000-0005-0000-0000-0000E6000000}"/>
    <cellStyle name="Warning Text 2" xfId="66" xr:uid="{00000000-0005-0000-0000-0000E7000000}"/>
    <cellStyle name="Обычный_1-квартал 2006" xfId="228" xr:uid="{00000000-0005-0000-0000-0000E8000000}"/>
    <cellStyle name="百分比" xfId="154" builtinId="5"/>
    <cellStyle name="常规" xfId="0" builtinId="0"/>
    <cellStyle name="千位分隔" xfId="28" builtinId="3"/>
  </cellStyles>
  <dxfs count="33">
    <dxf>
      <font>
        <b val="0"/>
        <i val="0"/>
        <strike val="0"/>
        <condense val="0"/>
        <extend val="0"/>
        <outline val="0"/>
        <shadow val="0"/>
        <u val="none"/>
        <vertAlign val="baseline"/>
        <sz val="10"/>
        <color auto="1"/>
        <name val="Arial"/>
        <scheme val="none"/>
      </font>
      <numFmt numFmtId="1"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84" formatCode="0.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fill>
        <patternFill patternType="solid">
          <fgColor indexed="64"/>
          <bgColor theme="0" tint="-0.2499465926084170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02" formatCode="dd/mm/yyyy"/>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02" formatCode="dd/mm/yyyy"/>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theme="0" tint="-0.2499465926084170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Black"/>
        <scheme val="none"/>
      </font>
      <numFmt numFmtId="0" formatCode="General"/>
      <fill>
        <patternFill patternType="none">
          <fgColor indexed="64"/>
          <bgColor indexed="65"/>
        </patternFill>
      </fill>
      <alignment horizontal="right"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209550</xdr:colOff>
      <xdr:row>41</xdr:row>
      <xdr:rowOff>85726</xdr:rowOff>
    </xdr:from>
    <xdr:to>
      <xdr:col>0</xdr:col>
      <xdr:colOff>476250</xdr:colOff>
      <xdr:row>50</xdr:row>
      <xdr:rowOff>38101</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rot="16200000">
          <a:off x="7143750" y="6819901"/>
          <a:ext cx="14097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Policy year (shifted)</a:t>
          </a:r>
        </a:p>
        <a:p>
          <a:endParaRPr lang="en-GB" sz="11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P\Teaching\Lectures\Lecture%20%235\Lost%20Modeller%2011.19%20-%20holdout%20sampl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tsnas2\SRS\Project%20Files\1-LIVE%20JOBS\Finmar%20360\Original%20data\Risk%20Segmentation%20Tool%20v3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P\Development\Triangle-free%20reserving\ReBasic%202.40%20-%20Pemex%20v5.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tsnas2\group\Documents%20and%20Settings\parodip1\Application%20Data\Microsoft\Excel\Lost%20Modeller%20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xiao\&#35762;&#20041;\&#38750;&#23551;&#38505;&#31934;&#31639;&#23454;&#21153;&#30740;&#31350;&#29983;\&#38750;&#23551;&#31934;&#31639;&#23454;&#21153;&#30340;&#35762;&#20041;2021\&#26696;&#20363;&#25968;&#25454;&#12289;&#38468;&#24405;&#21644;&#20064;&#39064;&#31572;&#26696;\pricing%20in%20genaral%20inssurance\Chapter%2013%20-%20IBNR%20v7.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Aero\RI\CLIENT%20SERVICES\Clients\Dongbu%20Insurance%20Company\2008\XOL\Risk%20Profilesassuming%2007%20declinature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tsnas2\group\PP\Clients\Groupama%2008\Analysis\Revaluation%202.21%20Link%20from%2019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srs\Templates%20&amp;%20General\Exploratory\Exploratory%202.1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tsnas2\group\PP\Clients\IAG\ERS%20Equity%20Red%20Star\2009%20renewal\Analysis\Stochastica%20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tsnas2\group\AGRC\AonReServices\Actuarial%20-%20Under%20Development\Fiteor\Fiteor%2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 frontsheet"/>
      <sheetName val="README"/>
      <sheetName val="Process"/>
      <sheetName val="CPI data"/>
      <sheetName val="AWE data"/>
      <sheetName val="Market dictionary"/>
      <sheetName val="Exposure calcs"/>
      <sheetName val="Frequency analysis"/>
      <sheetName val="Frequency exhibits"/>
      <sheetName val="Holdout sample"/>
      <sheetName val="MLE"/>
      <sheetName val="EV Region"/>
      <sheetName val="Severity output"/>
      <sheetName val="Compare distributions"/>
      <sheetName val="Compare distributions (2)"/>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4">
          <cell r="X14">
            <v>0.60509895467758179</v>
          </cell>
        </row>
        <row r="16">
          <cell r="X16">
            <v>1.0000001157359086</v>
          </cell>
        </row>
        <row r="17">
          <cell r="B17">
            <v>9.6646132785763168</v>
          </cell>
          <cell r="AN17">
            <v>3530</v>
          </cell>
          <cell r="AR17">
            <v>9</v>
          </cell>
          <cell r="AV17">
            <v>115</v>
          </cell>
        </row>
        <row r="18">
          <cell r="AN18">
            <v>1.4316382250577033</v>
          </cell>
          <cell r="AR18">
            <v>0</v>
          </cell>
          <cell r="AV18">
            <v>0</v>
          </cell>
        </row>
      </sheetData>
      <sheetData sheetId="8" refreshError="1"/>
      <sheetData sheetId="9" refreshError="1"/>
      <sheetData sheetId="10">
        <row r="12">
          <cell r="A12">
            <v>1293508.5416666667</v>
          </cell>
        </row>
        <row r="13">
          <cell r="A13">
            <v>146479.29166666666</v>
          </cell>
        </row>
        <row r="14">
          <cell r="A14">
            <v>133496.65833333333</v>
          </cell>
        </row>
        <row r="15">
          <cell r="A15">
            <v>105758.68333333333</v>
          </cell>
        </row>
        <row r="16">
          <cell r="A16">
            <v>96492.9</v>
          </cell>
        </row>
        <row r="17">
          <cell r="A17">
            <v>84547.225000000006</v>
          </cell>
        </row>
        <row r="18">
          <cell r="A18">
            <v>60317.227699999996</v>
          </cell>
        </row>
        <row r="19">
          <cell r="A19">
            <v>59630.991666666669</v>
          </cell>
        </row>
        <row r="20">
          <cell r="A20">
            <v>54779.616666666661</v>
          </cell>
        </row>
        <row r="21">
          <cell r="A21">
            <v>53132.233333333337</v>
          </cell>
        </row>
        <row r="22">
          <cell r="A22">
            <v>45065.633333333339</v>
          </cell>
        </row>
        <row r="23">
          <cell r="A23">
            <v>42027.008333333339</v>
          </cell>
        </row>
        <row r="24">
          <cell r="A24">
            <v>40780.51666666667</v>
          </cell>
        </row>
        <row r="25">
          <cell r="A25">
            <v>40547.133333333331</v>
          </cell>
        </row>
        <row r="26">
          <cell r="A26">
            <v>40056.500000000007</v>
          </cell>
        </row>
        <row r="27">
          <cell r="A27">
            <v>39882.583333333336</v>
          </cell>
        </row>
        <row r="28">
          <cell r="A28">
            <v>39309.166666666672</v>
          </cell>
        </row>
        <row r="29">
          <cell r="A29">
            <v>38697.775000000001</v>
          </cell>
        </row>
        <row r="30">
          <cell r="A30">
            <v>37218.46</v>
          </cell>
        </row>
        <row r="31">
          <cell r="A31">
            <v>36601.225000000006</v>
          </cell>
        </row>
        <row r="32">
          <cell r="A32">
            <v>30788.250000000004</v>
          </cell>
        </row>
        <row r="33">
          <cell r="A33">
            <v>29464.166666666668</v>
          </cell>
        </row>
        <row r="34">
          <cell r="A34">
            <v>28913.208333333332</v>
          </cell>
        </row>
        <row r="35">
          <cell r="A35">
            <v>28290.275000000001</v>
          </cell>
        </row>
        <row r="36">
          <cell r="A36">
            <v>27654.083200000001</v>
          </cell>
        </row>
        <row r="37">
          <cell r="A37">
            <v>27209.066666666669</v>
          </cell>
        </row>
        <row r="38">
          <cell r="A38">
            <v>24894.975000000002</v>
          </cell>
        </row>
        <row r="39">
          <cell r="A39">
            <v>24395.974999999999</v>
          </cell>
        </row>
        <row r="40">
          <cell r="A40">
            <v>23844.9</v>
          </cell>
        </row>
        <row r="41">
          <cell r="A41">
            <v>22711.266666666666</v>
          </cell>
        </row>
        <row r="42">
          <cell r="A42">
            <v>22428.333333333336</v>
          </cell>
        </row>
        <row r="43">
          <cell r="A43">
            <v>21303.991666666669</v>
          </cell>
        </row>
        <row r="44">
          <cell r="A44">
            <v>20723.108333333334</v>
          </cell>
        </row>
        <row r="45">
          <cell r="A45">
            <v>19945.925000000003</v>
          </cell>
        </row>
        <row r="46">
          <cell r="A46">
            <v>18672.083333333336</v>
          </cell>
        </row>
        <row r="47">
          <cell r="A47">
            <v>17911.131533333333</v>
          </cell>
        </row>
        <row r="48">
          <cell r="A48">
            <v>17132.839733333334</v>
          </cell>
        </row>
        <row r="49">
          <cell r="A49">
            <v>16792.666666666668</v>
          </cell>
        </row>
        <row r="50">
          <cell r="A50">
            <v>16775.833333333336</v>
          </cell>
        </row>
        <row r="51">
          <cell r="A51">
            <v>16562.983333333337</v>
          </cell>
        </row>
        <row r="52">
          <cell r="A52">
            <v>16228.3</v>
          </cell>
        </row>
        <row r="53">
          <cell r="A53">
            <v>16056.926800000001</v>
          </cell>
        </row>
        <row r="54">
          <cell r="A54">
            <v>15875</v>
          </cell>
        </row>
        <row r="55">
          <cell r="A55">
            <v>15841.4292</v>
          </cell>
        </row>
        <row r="56">
          <cell r="A56">
            <v>15834.166666666668</v>
          </cell>
        </row>
        <row r="57">
          <cell r="A57">
            <v>15644.508333333333</v>
          </cell>
        </row>
        <row r="58">
          <cell r="A58">
            <v>15596.083333333334</v>
          </cell>
        </row>
        <row r="59">
          <cell r="A59">
            <v>15540.4</v>
          </cell>
        </row>
        <row r="60">
          <cell r="A60">
            <v>15500.341666666667</v>
          </cell>
        </row>
        <row r="61">
          <cell r="A61">
            <v>15480.833333333334</v>
          </cell>
        </row>
        <row r="62">
          <cell r="A62">
            <v>14923.75</v>
          </cell>
        </row>
        <row r="63">
          <cell r="A63">
            <v>14890.8</v>
          </cell>
        </row>
        <row r="64">
          <cell r="A64">
            <v>14517.916666666668</v>
          </cell>
        </row>
        <row r="65">
          <cell r="A65">
            <v>14401.833333333334</v>
          </cell>
        </row>
        <row r="66">
          <cell r="A66">
            <v>13705.25</v>
          </cell>
        </row>
        <row r="67">
          <cell r="A67">
            <v>13576.473450000001</v>
          </cell>
        </row>
        <row r="68">
          <cell r="A68">
            <v>13572.916666666668</v>
          </cell>
        </row>
        <row r="69">
          <cell r="A69">
            <v>13564.016666666666</v>
          </cell>
        </row>
        <row r="70">
          <cell r="A70">
            <v>13375.1</v>
          </cell>
        </row>
        <row r="71">
          <cell r="A71">
            <v>13009.375</v>
          </cell>
        </row>
        <row r="72">
          <cell r="A72">
            <v>12412.425000000001</v>
          </cell>
        </row>
        <row r="73">
          <cell r="A73">
            <v>12365.383333333333</v>
          </cell>
        </row>
        <row r="74">
          <cell r="A74">
            <v>12212.603591666668</v>
          </cell>
        </row>
        <row r="75">
          <cell r="A75">
            <v>11992.5</v>
          </cell>
        </row>
        <row r="76">
          <cell r="A76">
            <v>11971.908333333335</v>
          </cell>
        </row>
        <row r="77">
          <cell r="A77">
            <v>11920.025000000001</v>
          </cell>
        </row>
        <row r="78">
          <cell r="A78">
            <v>11864.583333333334</v>
          </cell>
        </row>
        <row r="79">
          <cell r="A79">
            <v>11806.866666666667</v>
          </cell>
        </row>
        <row r="80">
          <cell r="A80">
            <v>11699.791666666668</v>
          </cell>
        </row>
        <row r="81">
          <cell r="A81">
            <v>11608.724</v>
          </cell>
        </row>
        <row r="82">
          <cell r="A82">
            <v>11403.28125</v>
          </cell>
        </row>
        <row r="83">
          <cell r="A83">
            <v>11367.916666666668</v>
          </cell>
        </row>
        <row r="84">
          <cell r="A84">
            <v>11305</v>
          </cell>
        </row>
        <row r="85">
          <cell r="A85">
            <v>11212.674999999999</v>
          </cell>
        </row>
        <row r="86">
          <cell r="A86">
            <v>10956.733333333334</v>
          </cell>
        </row>
        <row r="87">
          <cell r="A87">
            <v>10801.808333333334</v>
          </cell>
        </row>
        <row r="88">
          <cell r="A88">
            <v>10713.533333333333</v>
          </cell>
        </row>
        <row r="89">
          <cell r="A89">
            <v>10700.833333333334</v>
          </cell>
        </row>
        <row r="90">
          <cell r="A90">
            <v>10657.083333333334</v>
          </cell>
        </row>
        <row r="91">
          <cell r="A91">
            <v>10625.225</v>
          </cell>
        </row>
        <row r="92">
          <cell r="A92">
            <v>10553.333333333334</v>
          </cell>
        </row>
        <row r="93">
          <cell r="A93">
            <v>10519.441666666668</v>
          </cell>
        </row>
        <row r="94">
          <cell r="A94">
            <v>10493.150000000001</v>
          </cell>
        </row>
        <row r="95">
          <cell r="A95">
            <v>10449.5</v>
          </cell>
        </row>
        <row r="96">
          <cell r="A96">
            <v>10417.083333333334</v>
          </cell>
        </row>
        <row r="97">
          <cell r="A97">
            <v>10372.916666666668</v>
          </cell>
        </row>
        <row r="98">
          <cell r="A98">
            <v>10318.133333333333</v>
          </cell>
        </row>
        <row r="99">
          <cell r="A99">
            <v>10281.025</v>
          </cell>
        </row>
        <row r="100">
          <cell r="A100">
            <v>10222.6432</v>
          </cell>
        </row>
        <row r="101">
          <cell r="A101">
            <v>10040.833333333334</v>
          </cell>
        </row>
        <row r="102">
          <cell r="A102">
            <v>10032.291666666668</v>
          </cell>
        </row>
        <row r="103">
          <cell r="A103">
            <v>9529.5083333333332</v>
          </cell>
        </row>
        <row r="104">
          <cell r="A104">
            <v>9295.4250000000011</v>
          </cell>
        </row>
        <row r="105">
          <cell r="A105">
            <v>9241.3083333333343</v>
          </cell>
        </row>
        <row r="106">
          <cell r="A106">
            <v>9239.7500000000018</v>
          </cell>
        </row>
        <row r="107">
          <cell r="A107">
            <v>9102.5</v>
          </cell>
        </row>
        <row r="108">
          <cell r="A108">
            <v>9092.2500000000018</v>
          </cell>
        </row>
        <row r="109">
          <cell r="A109">
            <v>9086.1166666666668</v>
          </cell>
        </row>
        <row r="110">
          <cell r="A110">
            <v>9086.0500000000011</v>
          </cell>
        </row>
        <row r="111">
          <cell r="A111">
            <v>9063.5083333333332</v>
          </cell>
        </row>
        <row r="112">
          <cell r="A112">
            <v>9049.883333333335</v>
          </cell>
        </row>
        <row r="113">
          <cell r="A113">
            <v>9047.5</v>
          </cell>
        </row>
        <row r="114">
          <cell r="A114">
            <v>9033.75</v>
          </cell>
        </row>
        <row r="115">
          <cell r="A115">
            <v>8963.4391000000014</v>
          </cell>
        </row>
        <row r="116">
          <cell r="A116">
            <v>8918.7999999999993</v>
          </cell>
        </row>
        <row r="117">
          <cell r="A117">
            <v>8804.5833333333339</v>
          </cell>
        </row>
        <row r="118">
          <cell r="A118">
            <v>8785</v>
          </cell>
        </row>
        <row r="119">
          <cell r="A119">
            <v>8681.6666666666679</v>
          </cell>
        </row>
        <row r="120">
          <cell r="A120">
            <v>8677.5</v>
          </cell>
        </row>
        <row r="121">
          <cell r="A121">
            <v>8545.8333333333339</v>
          </cell>
        </row>
        <row r="122">
          <cell r="A122">
            <v>8417.2250000000004</v>
          </cell>
        </row>
        <row r="123">
          <cell r="A123">
            <v>8361.6666666666679</v>
          </cell>
        </row>
        <row r="124">
          <cell r="A124">
            <v>8337</v>
          </cell>
        </row>
        <row r="125">
          <cell r="A125">
            <v>8333.3333333333339</v>
          </cell>
        </row>
        <row r="126">
          <cell r="A126">
            <v>8317.7916666666679</v>
          </cell>
        </row>
        <row r="127">
          <cell r="A127">
            <v>8297.7189749999998</v>
          </cell>
        </row>
        <row r="128">
          <cell r="A128">
            <v>8204.5166666666664</v>
          </cell>
        </row>
        <row r="129">
          <cell r="A129">
            <v>8195.4916666666668</v>
          </cell>
        </row>
        <row r="130">
          <cell r="A130">
            <v>8192.1333333333332</v>
          </cell>
        </row>
        <row r="131">
          <cell r="A131">
            <v>8083.3333333333339</v>
          </cell>
        </row>
        <row r="132">
          <cell r="A132">
            <v>8007.8583333333336</v>
          </cell>
        </row>
        <row r="133">
          <cell r="A133">
            <v>7987.8166666666666</v>
          </cell>
        </row>
        <row r="134">
          <cell r="A134">
            <v>7976.1221583333336</v>
          </cell>
        </row>
        <row r="135">
          <cell r="A135">
            <v>7884.166666666667</v>
          </cell>
        </row>
        <row r="136">
          <cell r="A136">
            <v>7803.5000000000009</v>
          </cell>
        </row>
        <row r="137">
          <cell r="A137">
            <v>7800</v>
          </cell>
        </row>
        <row r="138">
          <cell r="A138">
            <v>7697.0833333333339</v>
          </cell>
        </row>
        <row r="139">
          <cell r="A139">
            <v>7568.5583333333343</v>
          </cell>
        </row>
        <row r="140">
          <cell r="A140">
            <v>7418.75</v>
          </cell>
        </row>
        <row r="141">
          <cell r="A141">
            <v>7329.5833333333339</v>
          </cell>
        </row>
        <row r="142">
          <cell r="A142">
            <v>7250</v>
          </cell>
        </row>
        <row r="143">
          <cell r="A143">
            <v>7163.65</v>
          </cell>
        </row>
        <row r="144">
          <cell r="A144">
            <v>7108.9833333333345</v>
          </cell>
        </row>
        <row r="145">
          <cell r="A145">
            <v>7000</v>
          </cell>
        </row>
        <row r="146">
          <cell r="A146">
            <v>6946.1833333333334</v>
          </cell>
        </row>
        <row r="147">
          <cell r="A147">
            <v>6938.1666666666661</v>
          </cell>
        </row>
        <row r="148">
          <cell r="A148">
            <v>6903.328125</v>
          </cell>
        </row>
        <row r="149">
          <cell r="A149">
            <v>6885</v>
          </cell>
        </row>
        <row r="150">
          <cell r="A150">
            <v>6825</v>
          </cell>
        </row>
        <row r="151">
          <cell r="A151">
            <v>6810.8333333333339</v>
          </cell>
        </row>
        <row r="152">
          <cell r="A152">
            <v>6788.75</v>
          </cell>
        </row>
        <row r="153">
          <cell r="A153">
            <v>6688.8916666666673</v>
          </cell>
        </row>
        <row r="154">
          <cell r="A154">
            <v>6672.666666666667</v>
          </cell>
        </row>
        <row r="155">
          <cell r="A155">
            <v>6660.0531250000004</v>
          </cell>
        </row>
        <row r="156">
          <cell r="A156">
            <v>6659.2341666666671</v>
          </cell>
        </row>
        <row r="157">
          <cell r="A157">
            <v>6625</v>
          </cell>
        </row>
        <row r="158">
          <cell r="A158">
            <v>6592.916666666667</v>
          </cell>
        </row>
        <row r="159">
          <cell r="A159">
            <v>6500</v>
          </cell>
        </row>
        <row r="160">
          <cell r="A160">
            <v>6498.9208333333336</v>
          </cell>
        </row>
        <row r="161">
          <cell r="A161">
            <v>6450.916666666667</v>
          </cell>
        </row>
        <row r="162">
          <cell r="A162">
            <v>6398.75</v>
          </cell>
        </row>
        <row r="163">
          <cell r="A163">
            <v>6350.5250000000005</v>
          </cell>
        </row>
        <row r="164">
          <cell r="A164">
            <v>6328.8166666666666</v>
          </cell>
        </row>
        <row r="165">
          <cell r="A165">
            <v>6310.4250000000002</v>
          </cell>
        </row>
        <row r="166">
          <cell r="A166">
            <v>6220.2083333333339</v>
          </cell>
        </row>
        <row r="167">
          <cell r="A167">
            <v>6191.666666666667</v>
          </cell>
        </row>
        <row r="168">
          <cell r="A168">
            <v>6167.5166666666673</v>
          </cell>
        </row>
        <row r="169">
          <cell r="A169">
            <v>6142.7083333333339</v>
          </cell>
        </row>
        <row r="170">
          <cell r="A170">
            <v>6095.75</v>
          </cell>
        </row>
        <row r="171">
          <cell r="A171">
            <v>6079.375</v>
          </cell>
        </row>
        <row r="172">
          <cell r="A172">
            <v>5953.7449999999999</v>
          </cell>
        </row>
        <row r="173">
          <cell r="A173">
            <v>5833.3333333333339</v>
          </cell>
        </row>
        <row r="174">
          <cell r="A174">
            <v>5806.666666666667</v>
          </cell>
        </row>
        <row r="175">
          <cell r="A175">
            <v>5796.6281250000002</v>
          </cell>
        </row>
        <row r="176">
          <cell r="A176">
            <v>5745.416666666667</v>
          </cell>
        </row>
        <row r="177">
          <cell r="A177">
            <v>5736.8083333333334</v>
          </cell>
        </row>
        <row r="178">
          <cell r="A178">
            <v>5730.2083333333339</v>
          </cell>
        </row>
        <row r="179">
          <cell r="A179">
            <v>5708.3333333333339</v>
          </cell>
        </row>
        <row r="180">
          <cell r="A180">
            <v>5700</v>
          </cell>
        </row>
        <row r="181">
          <cell r="A181">
            <v>5699.3</v>
          </cell>
        </row>
        <row r="182">
          <cell r="A182">
            <v>5684.0868333333328</v>
          </cell>
        </row>
        <row r="183">
          <cell r="A183">
            <v>5676.3333333333339</v>
          </cell>
        </row>
        <row r="184">
          <cell r="A184">
            <v>5635.8333333333339</v>
          </cell>
        </row>
        <row r="185">
          <cell r="A185">
            <v>5623.4712</v>
          </cell>
        </row>
        <row r="186">
          <cell r="A186">
            <v>5622.9416666666666</v>
          </cell>
        </row>
        <row r="187">
          <cell r="A187">
            <v>5582.2166666666672</v>
          </cell>
        </row>
        <row r="188">
          <cell r="A188">
            <v>5572.666666666667</v>
          </cell>
        </row>
        <row r="189">
          <cell r="A189">
            <v>5546.25</v>
          </cell>
        </row>
        <row r="190">
          <cell r="A190">
            <v>5371.3333333333339</v>
          </cell>
        </row>
        <row r="191">
          <cell r="A191">
            <v>5152.6646416666663</v>
          </cell>
        </row>
        <row r="192">
          <cell r="A192">
            <v>5151.25</v>
          </cell>
        </row>
        <row r="193">
          <cell r="A193">
            <v>5145.8333333333339</v>
          </cell>
        </row>
        <row r="194">
          <cell r="A194">
            <v>5127.5</v>
          </cell>
        </row>
        <row r="195">
          <cell r="A195">
            <v>5031.45</v>
          </cell>
        </row>
        <row r="196">
          <cell r="A196">
            <v>4965.2750000000005</v>
          </cell>
        </row>
        <row r="197">
          <cell r="A197">
            <v>4919.3</v>
          </cell>
        </row>
        <row r="198">
          <cell r="A198">
            <v>4895.8333333333339</v>
          </cell>
        </row>
        <row r="199">
          <cell r="A199">
            <v>4885.8625000000002</v>
          </cell>
        </row>
        <row r="200">
          <cell r="A200">
            <v>4870</v>
          </cell>
        </row>
        <row r="201">
          <cell r="A201">
            <v>4841.9916666666668</v>
          </cell>
        </row>
        <row r="202">
          <cell r="A202">
            <v>4832.291666666667</v>
          </cell>
        </row>
        <row r="203">
          <cell r="A203">
            <v>4744.166666666667</v>
          </cell>
        </row>
        <row r="204">
          <cell r="A204">
            <v>4639.5833333333339</v>
          </cell>
        </row>
        <row r="205">
          <cell r="A205">
            <v>4625.8583333333336</v>
          </cell>
        </row>
        <row r="206">
          <cell r="A206">
            <v>4579.5833333333339</v>
          </cell>
        </row>
        <row r="207">
          <cell r="A207">
            <v>4569.166666666667</v>
          </cell>
        </row>
        <row r="208">
          <cell r="A208">
            <v>4535.5583333333334</v>
          </cell>
        </row>
        <row r="209">
          <cell r="A209">
            <v>4528.75</v>
          </cell>
        </row>
        <row r="210">
          <cell r="A210">
            <v>4501.875</v>
          </cell>
        </row>
        <row r="211">
          <cell r="A211">
            <v>4478.3333333333339</v>
          </cell>
        </row>
        <row r="212">
          <cell r="A212">
            <v>4453.3333333333339</v>
          </cell>
        </row>
        <row r="213">
          <cell r="A213">
            <v>4389.9333333333334</v>
          </cell>
        </row>
        <row r="214">
          <cell r="A214">
            <v>4195.8333333333339</v>
          </cell>
        </row>
        <row r="215">
          <cell r="A215">
            <v>4166.666666666667</v>
          </cell>
        </row>
        <row r="216">
          <cell r="A216">
            <v>4118.2083333333339</v>
          </cell>
        </row>
        <row r="217">
          <cell r="A217">
            <v>3912.5</v>
          </cell>
        </row>
        <row r="218">
          <cell r="A218">
            <v>3901.5250000000001</v>
          </cell>
        </row>
        <row r="219">
          <cell r="A219">
            <v>3877.5</v>
          </cell>
        </row>
        <row r="220">
          <cell r="A220">
            <v>3855.8333333333335</v>
          </cell>
        </row>
        <row r="221">
          <cell r="A221">
            <v>3851.541666666667</v>
          </cell>
        </row>
        <row r="222">
          <cell r="A222">
            <v>3842.5</v>
          </cell>
        </row>
        <row r="223">
          <cell r="A223">
            <v>3809.5250000000005</v>
          </cell>
        </row>
        <row r="224">
          <cell r="A224">
            <v>3732.916666666667</v>
          </cell>
        </row>
        <row r="225">
          <cell r="A225">
            <v>3723.1000000000004</v>
          </cell>
        </row>
        <row r="226">
          <cell r="A226">
            <v>3675</v>
          </cell>
        </row>
        <row r="227">
          <cell r="A227">
            <v>3562.3333333333335</v>
          </cell>
        </row>
        <row r="228">
          <cell r="A228">
            <v>3557.875</v>
          </cell>
        </row>
        <row r="229">
          <cell r="A229">
            <v>3548.3333333333335</v>
          </cell>
        </row>
        <row r="230">
          <cell r="A230">
            <v>3472.5</v>
          </cell>
        </row>
        <row r="231">
          <cell r="A231">
            <v>3377.9750000000004</v>
          </cell>
        </row>
        <row r="232">
          <cell r="A232">
            <v>3349.0219583333333</v>
          </cell>
        </row>
        <row r="233">
          <cell r="A233">
            <v>3276.6750000000002</v>
          </cell>
        </row>
        <row r="234">
          <cell r="A234">
            <v>3226.5574999999999</v>
          </cell>
        </row>
        <row r="235">
          <cell r="A235">
            <v>3188.9583333333335</v>
          </cell>
        </row>
        <row r="236">
          <cell r="A236">
            <v>3151.041666666667</v>
          </cell>
        </row>
        <row r="237">
          <cell r="A237">
            <v>3099.166666666667</v>
          </cell>
        </row>
        <row r="238">
          <cell r="A238">
            <v>2997.0833333333335</v>
          </cell>
        </row>
        <row r="239">
          <cell r="A239">
            <v>2979.166666666667</v>
          </cell>
        </row>
        <row r="240">
          <cell r="A240">
            <v>2845.1333333333332</v>
          </cell>
        </row>
        <row r="241">
          <cell r="A241">
            <v>2836.0833333333335</v>
          </cell>
        </row>
        <row r="242">
          <cell r="A242">
            <v>2825.3500000000004</v>
          </cell>
        </row>
        <row r="243">
          <cell r="A243">
            <v>2802.0833333333335</v>
          </cell>
        </row>
        <row r="244">
          <cell r="A244">
            <v>2776.0250000000001</v>
          </cell>
        </row>
        <row r="245">
          <cell r="A245">
            <v>2770.1916666666666</v>
          </cell>
        </row>
        <row r="246">
          <cell r="A246">
            <v>2765.9750000000004</v>
          </cell>
        </row>
        <row r="247">
          <cell r="A247">
            <v>2751.041666666667</v>
          </cell>
        </row>
        <row r="248">
          <cell r="A248">
            <v>2749.375</v>
          </cell>
        </row>
        <row r="249">
          <cell r="A249">
            <v>2677.7750000000001</v>
          </cell>
        </row>
        <row r="250">
          <cell r="A250">
            <v>2612.8583333333331</v>
          </cell>
        </row>
        <row r="251">
          <cell r="A251">
            <v>2568.3333333333335</v>
          </cell>
        </row>
        <row r="252">
          <cell r="A252">
            <v>2555.4750000000004</v>
          </cell>
        </row>
        <row r="253">
          <cell r="A253">
            <v>2455.2750000000001</v>
          </cell>
        </row>
        <row r="254">
          <cell r="A254">
            <v>2448.6083333333336</v>
          </cell>
        </row>
        <row r="255">
          <cell r="A255">
            <v>2334.8916666666669</v>
          </cell>
        </row>
        <row r="256">
          <cell r="A256">
            <v>2327.7750000000001</v>
          </cell>
        </row>
        <row r="257">
          <cell r="A257">
            <v>2318.3333333333335</v>
          </cell>
        </row>
        <row r="258">
          <cell r="A258">
            <v>2315.625</v>
          </cell>
        </row>
        <row r="259">
          <cell r="A259">
            <v>2261.666666666667</v>
          </cell>
        </row>
        <row r="260">
          <cell r="A260">
            <v>2222.5</v>
          </cell>
        </row>
        <row r="261">
          <cell r="A261">
            <v>2095.75</v>
          </cell>
        </row>
        <row r="262">
          <cell r="A262">
            <v>2090.416666666667</v>
          </cell>
        </row>
        <row r="263">
          <cell r="A263">
            <v>2030</v>
          </cell>
        </row>
        <row r="264">
          <cell r="A264">
            <v>2014.7250000000001</v>
          </cell>
        </row>
        <row r="265">
          <cell r="A265">
            <v>1993.75</v>
          </cell>
        </row>
        <row r="266">
          <cell r="A266">
            <v>1894.1666666666667</v>
          </cell>
        </row>
        <row r="267">
          <cell r="A267">
            <v>1848.6833333333334</v>
          </cell>
        </row>
        <row r="268">
          <cell r="A268">
            <v>1828.75</v>
          </cell>
        </row>
        <row r="269">
          <cell r="A269">
            <v>1823.85</v>
          </cell>
        </row>
        <row r="270">
          <cell r="A270">
            <v>1750.8333333333335</v>
          </cell>
        </row>
        <row r="271">
          <cell r="A271">
            <v>1744.5000000000002</v>
          </cell>
        </row>
        <row r="272">
          <cell r="A272">
            <v>1700</v>
          </cell>
        </row>
        <row r="273">
          <cell r="A273">
            <v>1618.75</v>
          </cell>
        </row>
        <row r="274">
          <cell r="A274">
            <v>1577.25</v>
          </cell>
        </row>
        <row r="275">
          <cell r="A275">
            <v>1520.4166666666667</v>
          </cell>
        </row>
        <row r="276">
          <cell r="A276">
            <v>1511.1083333333333</v>
          </cell>
        </row>
        <row r="277">
          <cell r="A277">
            <v>1510.4166666666667</v>
          </cell>
        </row>
        <row r="278">
          <cell r="A278">
            <v>1510.4166666666667</v>
          </cell>
        </row>
        <row r="279">
          <cell r="A279">
            <v>1500</v>
          </cell>
        </row>
        <row r="280">
          <cell r="A280">
            <v>1482.5</v>
          </cell>
        </row>
        <row r="281">
          <cell r="A281">
            <v>1465.5</v>
          </cell>
        </row>
        <row r="282">
          <cell r="A282">
            <v>1456.4250000000002</v>
          </cell>
        </row>
        <row r="283">
          <cell r="A283">
            <v>1448.41</v>
          </cell>
        </row>
        <row r="284">
          <cell r="A284">
            <v>1447.15</v>
          </cell>
        </row>
        <row r="285">
          <cell r="A285">
            <v>1428.4750000000001</v>
          </cell>
        </row>
        <row r="286">
          <cell r="A286">
            <v>1412.8166666666668</v>
          </cell>
        </row>
        <row r="287">
          <cell r="A287">
            <v>1401.6666666666667</v>
          </cell>
        </row>
        <row r="288">
          <cell r="A288">
            <v>1366.25</v>
          </cell>
        </row>
        <row r="289">
          <cell r="A289">
            <v>1353.4750000000001</v>
          </cell>
        </row>
        <row r="290">
          <cell r="A290">
            <v>1348.3333333333335</v>
          </cell>
        </row>
        <row r="291">
          <cell r="A291">
            <v>1339.9333333333334</v>
          </cell>
        </row>
        <row r="292">
          <cell r="A292">
            <v>1323.75</v>
          </cell>
        </row>
        <row r="293">
          <cell r="A293">
            <v>1322.2250000000001</v>
          </cell>
        </row>
        <row r="294">
          <cell r="A294">
            <v>1317.0833333333335</v>
          </cell>
        </row>
        <row r="295">
          <cell r="A295">
            <v>1305</v>
          </cell>
        </row>
        <row r="296">
          <cell r="A296">
            <v>1302.0833333333335</v>
          </cell>
        </row>
        <row r="297">
          <cell r="A297">
            <v>1284.1666666666667</v>
          </cell>
        </row>
        <row r="298">
          <cell r="A298">
            <v>1278.9725000000001</v>
          </cell>
        </row>
        <row r="299">
          <cell r="A299">
            <v>1244.5833333333335</v>
          </cell>
        </row>
        <row r="300">
          <cell r="A300">
            <v>1244.17</v>
          </cell>
        </row>
        <row r="301">
          <cell r="A301">
            <v>1212.9166666666667</v>
          </cell>
        </row>
        <row r="302">
          <cell r="A302">
            <v>1208.3333333333335</v>
          </cell>
        </row>
        <row r="303">
          <cell r="A303">
            <v>1204.3333333333335</v>
          </cell>
        </row>
        <row r="304">
          <cell r="A304">
            <v>1204.1666666666667</v>
          </cell>
        </row>
        <row r="305">
          <cell r="A305">
            <v>1200.4166666666667</v>
          </cell>
        </row>
        <row r="306">
          <cell r="A306">
            <v>1198.2666666666669</v>
          </cell>
        </row>
        <row r="307">
          <cell r="A307">
            <v>1187.5</v>
          </cell>
        </row>
        <row r="308">
          <cell r="A308">
            <v>1185.6045833333335</v>
          </cell>
        </row>
        <row r="309">
          <cell r="A309">
            <v>1180.5583333333334</v>
          </cell>
        </row>
        <row r="310">
          <cell r="A310">
            <v>1176.8000000000002</v>
          </cell>
        </row>
        <row r="311">
          <cell r="A311">
            <v>1172.0833333333335</v>
          </cell>
        </row>
        <row r="312">
          <cell r="A312">
            <v>1172.0833333333335</v>
          </cell>
        </row>
        <row r="313">
          <cell r="A313">
            <v>1160</v>
          </cell>
        </row>
        <row r="314">
          <cell r="A314">
            <v>1160</v>
          </cell>
        </row>
        <row r="315">
          <cell r="A315">
            <v>1153.3583333333333</v>
          </cell>
        </row>
        <row r="316">
          <cell r="A316">
            <v>1147.9166666666667</v>
          </cell>
        </row>
        <row r="317">
          <cell r="A317">
            <v>1133.3333333333335</v>
          </cell>
        </row>
        <row r="318">
          <cell r="A318">
            <v>1123.75</v>
          </cell>
        </row>
        <row r="319">
          <cell r="A319">
            <v>1121.5333333333333</v>
          </cell>
        </row>
        <row r="320">
          <cell r="A320">
            <v>1103.5416666666667</v>
          </cell>
        </row>
        <row r="321">
          <cell r="A321">
            <v>1087.5</v>
          </cell>
        </row>
        <row r="322">
          <cell r="A322">
            <v>1082.60625</v>
          </cell>
        </row>
        <row r="323">
          <cell r="A323">
            <v>1079.0000000000002</v>
          </cell>
        </row>
        <row r="324">
          <cell r="A324">
            <v>1075.4166666666667</v>
          </cell>
        </row>
        <row r="325">
          <cell r="A325">
            <v>1074.3083333333334</v>
          </cell>
        </row>
        <row r="326">
          <cell r="A326">
            <v>1074.3083333333334</v>
          </cell>
        </row>
        <row r="327">
          <cell r="A327">
            <v>1074.3000000000002</v>
          </cell>
        </row>
        <row r="328">
          <cell r="A328">
            <v>1051.25</v>
          </cell>
        </row>
        <row r="329">
          <cell r="A329">
            <v>1050.7</v>
          </cell>
        </row>
        <row r="330">
          <cell r="A330">
            <v>1050.6916666666666</v>
          </cell>
        </row>
        <row r="331">
          <cell r="A331">
            <v>1039.1666666666667</v>
          </cell>
        </row>
        <row r="332">
          <cell r="A332">
            <v>1031.25</v>
          </cell>
        </row>
        <row r="333">
          <cell r="A333">
            <v>1030.7916666666667</v>
          </cell>
        </row>
        <row r="334">
          <cell r="A334">
            <v>1030.1645833333334</v>
          </cell>
        </row>
        <row r="335">
          <cell r="A335">
            <v>1027.0833333333335</v>
          </cell>
        </row>
        <row r="336">
          <cell r="A336">
            <v>1021.1750000000001</v>
          </cell>
        </row>
        <row r="337">
          <cell r="A337">
            <v>1019.4662250000001</v>
          </cell>
        </row>
        <row r="338">
          <cell r="A338">
            <v>1004.8929166666668</v>
          </cell>
        </row>
        <row r="339">
          <cell r="A339">
            <v>1002.9166666666667</v>
          </cell>
        </row>
        <row r="340">
          <cell r="A340">
            <v>1002.4166666666667</v>
          </cell>
        </row>
        <row r="341">
          <cell r="A341">
            <v>1000</v>
          </cell>
        </row>
        <row r="342">
          <cell r="A342">
            <v>990.83333333333337</v>
          </cell>
        </row>
        <row r="343">
          <cell r="A343">
            <v>979.85833333333335</v>
          </cell>
        </row>
        <row r="344">
          <cell r="A344">
            <v>978.75</v>
          </cell>
        </row>
        <row r="345">
          <cell r="A345">
            <v>978.75</v>
          </cell>
        </row>
        <row r="346">
          <cell r="A346">
            <v>978.75</v>
          </cell>
        </row>
        <row r="347">
          <cell r="A347">
            <v>973.75</v>
          </cell>
        </row>
        <row r="348">
          <cell r="A348">
            <v>966.66666666666674</v>
          </cell>
        </row>
        <row r="349">
          <cell r="A349">
            <v>963</v>
          </cell>
        </row>
        <row r="350">
          <cell r="A350">
            <v>958.75</v>
          </cell>
        </row>
        <row r="351">
          <cell r="A351">
            <v>956.66666666666674</v>
          </cell>
        </row>
        <row r="352">
          <cell r="A352">
            <v>956.25</v>
          </cell>
        </row>
        <row r="353">
          <cell r="A353">
            <v>954.58333333333337</v>
          </cell>
        </row>
        <row r="354">
          <cell r="A354">
            <v>950</v>
          </cell>
        </row>
        <row r="355">
          <cell r="A355">
            <v>944.44999999999993</v>
          </cell>
        </row>
        <row r="356">
          <cell r="A356">
            <v>943.765625</v>
          </cell>
        </row>
        <row r="357">
          <cell r="A357">
            <v>930.41666666666674</v>
          </cell>
        </row>
        <row r="358">
          <cell r="A358">
            <v>909.02499999999998</v>
          </cell>
        </row>
        <row r="359">
          <cell r="A359">
            <v>906.25</v>
          </cell>
        </row>
        <row r="360">
          <cell r="A360">
            <v>906.25</v>
          </cell>
        </row>
        <row r="361">
          <cell r="A361">
            <v>902</v>
          </cell>
        </row>
        <row r="362">
          <cell r="A362">
            <v>897.22500000000014</v>
          </cell>
        </row>
        <row r="363">
          <cell r="A363">
            <v>891.32499999999993</v>
          </cell>
        </row>
        <row r="364">
          <cell r="A364">
            <v>886.66666666666674</v>
          </cell>
        </row>
        <row r="365">
          <cell r="A365">
            <v>875</v>
          </cell>
        </row>
        <row r="366">
          <cell r="A366">
            <v>867.70833333333337</v>
          </cell>
        </row>
        <row r="367">
          <cell r="A367">
            <v>861.80833333333339</v>
          </cell>
        </row>
        <row r="368">
          <cell r="A368">
            <v>861.80833333333339</v>
          </cell>
        </row>
        <row r="369">
          <cell r="A369">
            <v>857.56059999999991</v>
          </cell>
        </row>
        <row r="370">
          <cell r="A370">
            <v>850</v>
          </cell>
        </row>
        <row r="371">
          <cell r="A371">
            <v>850</v>
          </cell>
        </row>
        <row r="372">
          <cell r="A372">
            <v>848.75</v>
          </cell>
        </row>
        <row r="373">
          <cell r="A373">
            <v>845.83333333333337</v>
          </cell>
        </row>
        <row r="374">
          <cell r="A374">
            <v>834.16666666666674</v>
          </cell>
        </row>
        <row r="375">
          <cell r="A375">
            <v>833.75</v>
          </cell>
        </row>
        <row r="376">
          <cell r="A376">
            <v>832.29166666666674</v>
          </cell>
        </row>
        <row r="377">
          <cell r="A377">
            <v>831.16666666666663</v>
          </cell>
        </row>
        <row r="378">
          <cell r="A378">
            <v>826.39166666666665</v>
          </cell>
        </row>
        <row r="379">
          <cell r="A379">
            <v>821.84375</v>
          </cell>
        </row>
        <row r="380">
          <cell r="A380">
            <v>814.58333333333337</v>
          </cell>
        </row>
        <row r="381">
          <cell r="A381">
            <v>814.40887500000008</v>
          </cell>
        </row>
        <row r="382">
          <cell r="A382">
            <v>813.75</v>
          </cell>
        </row>
        <row r="383">
          <cell r="A383">
            <v>813.75</v>
          </cell>
        </row>
        <row r="384">
          <cell r="A384">
            <v>810</v>
          </cell>
        </row>
        <row r="385">
          <cell r="A385">
            <v>809.58333333333337</v>
          </cell>
        </row>
        <row r="386">
          <cell r="A386">
            <v>803.33333333333337</v>
          </cell>
        </row>
        <row r="387">
          <cell r="A387">
            <v>802.77500000000009</v>
          </cell>
        </row>
        <row r="388">
          <cell r="A388">
            <v>802.77500000000009</v>
          </cell>
        </row>
        <row r="389">
          <cell r="A389">
            <v>797.5</v>
          </cell>
        </row>
        <row r="390">
          <cell r="A390">
            <v>797.5</v>
          </cell>
        </row>
        <row r="391">
          <cell r="A391">
            <v>796.875</v>
          </cell>
        </row>
        <row r="392">
          <cell r="A392">
            <v>790.97500000000002</v>
          </cell>
        </row>
        <row r="393">
          <cell r="A393">
            <v>789.58333333333337</v>
          </cell>
        </row>
        <row r="394">
          <cell r="A394">
            <v>785.41666666666674</v>
          </cell>
        </row>
        <row r="395">
          <cell r="A395">
            <v>779.16666666666674</v>
          </cell>
        </row>
        <row r="396">
          <cell r="A396">
            <v>774.37249999999995</v>
          </cell>
        </row>
        <row r="397">
          <cell r="A397">
            <v>773.33333333333337</v>
          </cell>
        </row>
        <row r="398">
          <cell r="A398">
            <v>773.33333333333337</v>
          </cell>
        </row>
        <row r="399">
          <cell r="A399">
            <v>773.33333333333337</v>
          </cell>
        </row>
        <row r="400">
          <cell r="A400">
            <v>768.51666666666677</v>
          </cell>
        </row>
        <row r="401">
          <cell r="A401">
            <v>761.25</v>
          </cell>
        </row>
        <row r="402">
          <cell r="A402">
            <v>755.55833333333328</v>
          </cell>
        </row>
        <row r="403">
          <cell r="A403">
            <v>749.16666666666674</v>
          </cell>
        </row>
        <row r="404">
          <cell r="A404">
            <v>743.75</v>
          </cell>
        </row>
        <row r="405">
          <cell r="A405">
            <v>737.08333333333337</v>
          </cell>
        </row>
        <row r="406">
          <cell r="A406">
            <v>734.58333333333337</v>
          </cell>
        </row>
        <row r="407">
          <cell r="A407">
            <v>734.58333333333337</v>
          </cell>
        </row>
        <row r="408">
          <cell r="A408">
            <v>726.04166666666674</v>
          </cell>
        </row>
        <row r="409">
          <cell r="A409">
            <v>725</v>
          </cell>
        </row>
        <row r="410">
          <cell r="A410">
            <v>725</v>
          </cell>
        </row>
        <row r="411">
          <cell r="A411">
            <v>720.14166666666665</v>
          </cell>
        </row>
        <row r="412">
          <cell r="A412">
            <v>718.62</v>
          </cell>
        </row>
        <row r="413">
          <cell r="A413">
            <v>715.39750000000004</v>
          </cell>
        </row>
        <row r="414">
          <cell r="A414">
            <v>712.91666666666674</v>
          </cell>
        </row>
        <row r="415">
          <cell r="A415">
            <v>712.91666666666674</v>
          </cell>
        </row>
        <row r="416">
          <cell r="A416">
            <v>700.83333333333337</v>
          </cell>
        </row>
        <row r="417">
          <cell r="A417">
            <v>700.83333333333337</v>
          </cell>
        </row>
        <row r="418">
          <cell r="A418">
            <v>700.22916666666674</v>
          </cell>
        </row>
        <row r="419">
          <cell r="A419">
            <v>690.625</v>
          </cell>
        </row>
        <row r="420">
          <cell r="A420">
            <v>689.20833333333337</v>
          </cell>
        </row>
        <row r="421">
          <cell r="A421">
            <v>688.75</v>
          </cell>
        </row>
        <row r="422">
          <cell r="A422">
            <v>688.75</v>
          </cell>
        </row>
        <row r="423">
          <cell r="A423">
            <v>688.75</v>
          </cell>
        </row>
        <row r="424">
          <cell r="A424">
            <v>688.75</v>
          </cell>
        </row>
        <row r="425">
          <cell r="A425">
            <v>688.75</v>
          </cell>
        </row>
        <row r="426">
          <cell r="A426">
            <v>688.75</v>
          </cell>
        </row>
        <row r="427">
          <cell r="A427">
            <v>685.36625000000004</v>
          </cell>
        </row>
        <row r="428">
          <cell r="A428">
            <v>684.72500000000002</v>
          </cell>
        </row>
        <row r="429">
          <cell r="A429">
            <v>684.7166666666667</v>
          </cell>
        </row>
        <row r="430">
          <cell r="A430">
            <v>683.33333333333337</v>
          </cell>
        </row>
        <row r="431">
          <cell r="A431">
            <v>683.33333333333337</v>
          </cell>
        </row>
        <row r="432">
          <cell r="A432">
            <v>676.66666666666674</v>
          </cell>
        </row>
        <row r="433">
          <cell r="A433">
            <v>672.91666666666674</v>
          </cell>
        </row>
        <row r="434">
          <cell r="A434">
            <v>664.58333333333337</v>
          </cell>
        </row>
        <row r="435">
          <cell r="A435">
            <v>664.58333333333337</v>
          </cell>
        </row>
        <row r="436">
          <cell r="A436">
            <v>664.58333333333337</v>
          </cell>
        </row>
        <row r="437">
          <cell r="A437">
            <v>655.20000000000005</v>
          </cell>
        </row>
        <row r="438">
          <cell r="A438">
            <v>652.5</v>
          </cell>
        </row>
        <row r="439">
          <cell r="A439">
            <v>652.5</v>
          </cell>
        </row>
        <row r="440">
          <cell r="A440">
            <v>652.5</v>
          </cell>
        </row>
        <row r="441">
          <cell r="A441">
            <v>652.5</v>
          </cell>
        </row>
        <row r="442">
          <cell r="A442">
            <v>649.54166666666674</v>
          </cell>
        </row>
        <row r="443">
          <cell r="A443">
            <v>648.125</v>
          </cell>
        </row>
        <row r="444">
          <cell r="A444">
            <v>643.40000000000009</v>
          </cell>
        </row>
        <row r="445">
          <cell r="A445">
            <v>640.41666666666674</v>
          </cell>
        </row>
        <row r="446">
          <cell r="A446">
            <v>640.41666666666674</v>
          </cell>
        </row>
        <row r="447">
          <cell r="A447">
            <v>640.41666666666674</v>
          </cell>
        </row>
        <row r="448">
          <cell r="A448">
            <v>632.5</v>
          </cell>
        </row>
        <row r="449">
          <cell r="A449">
            <v>632.08333333333337</v>
          </cell>
        </row>
        <row r="450">
          <cell r="A450">
            <v>632.08333333333337</v>
          </cell>
        </row>
        <row r="451">
          <cell r="A451">
            <v>632.08333333333337</v>
          </cell>
        </row>
        <row r="452">
          <cell r="A452">
            <v>631.6</v>
          </cell>
        </row>
        <row r="453">
          <cell r="A453">
            <v>630.46625000000006</v>
          </cell>
        </row>
        <row r="454">
          <cell r="A454">
            <v>628.33333333333337</v>
          </cell>
        </row>
        <row r="455">
          <cell r="A455">
            <v>628.33333333333337</v>
          </cell>
        </row>
        <row r="456">
          <cell r="A456">
            <v>628.33333333333337</v>
          </cell>
        </row>
        <row r="457">
          <cell r="A457">
            <v>628.33333333333337</v>
          </cell>
        </row>
        <row r="458">
          <cell r="A458">
            <v>628.33333333333337</v>
          </cell>
        </row>
        <row r="459">
          <cell r="A459">
            <v>625</v>
          </cell>
        </row>
        <row r="460">
          <cell r="A460">
            <v>619.79166666666674</v>
          </cell>
        </row>
        <row r="461">
          <cell r="A461">
            <v>616.25</v>
          </cell>
        </row>
        <row r="462">
          <cell r="A462">
            <v>616.08083333333343</v>
          </cell>
        </row>
        <row r="463">
          <cell r="A463">
            <v>602.08333333333337</v>
          </cell>
        </row>
        <row r="464">
          <cell r="A464">
            <v>602.08333333333337</v>
          </cell>
        </row>
        <row r="465">
          <cell r="A465">
            <v>598.75</v>
          </cell>
        </row>
        <row r="466">
          <cell r="A466">
            <v>597.91666666666674</v>
          </cell>
        </row>
        <row r="467">
          <cell r="A467">
            <v>593.75</v>
          </cell>
        </row>
        <row r="468">
          <cell r="A468">
            <v>592.08333333333337</v>
          </cell>
        </row>
        <row r="469">
          <cell r="A469">
            <v>592.08333333333337</v>
          </cell>
        </row>
        <row r="470">
          <cell r="A470">
            <v>592.08333333333337</v>
          </cell>
        </row>
        <row r="471">
          <cell r="A471">
            <v>588.25</v>
          </cell>
        </row>
        <row r="472">
          <cell r="A472">
            <v>580</v>
          </cell>
        </row>
        <row r="473">
          <cell r="A473">
            <v>580</v>
          </cell>
        </row>
        <row r="474">
          <cell r="A474">
            <v>578.47500000000002</v>
          </cell>
        </row>
        <row r="475">
          <cell r="A475">
            <v>572.76092500000004</v>
          </cell>
        </row>
        <row r="476">
          <cell r="A476">
            <v>572.08333333333337</v>
          </cell>
        </row>
        <row r="477">
          <cell r="A477">
            <v>567.91666666666674</v>
          </cell>
        </row>
        <row r="478">
          <cell r="A478">
            <v>567.91666666666674</v>
          </cell>
        </row>
        <row r="479">
          <cell r="A479">
            <v>566.66666666666674</v>
          </cell>
        </row>
        <row r="480">
          <cell r="A480">
            <v>563.75</v>
          </cell>
        </row>
        <row r="481">
          <cell r="A481">
            <v>555.83333333333337</v>
          </cell>
        </row>
        <row r="482">
          <cell r="A482">
            <v>555.83333333333337</v>
          </cell>
        </row>
        <row r="483">
          <cell r="A483">
            <v>555.83333333333337</v>
          </cell>
        </row>
        <row r="484">
          <cell r="A484">
            <v>555.83333333333337</v>
          </cell>
        </row>
        <row r="485">
          <cell r="A485">
            <v>555.83333333333337</v>
          </cell>
        </row>
        <row r="486">
          <cell r="A486">
            <v>553.71875000000011</v>
          </cell>
        </row>
        <row r="487">
          <cell r="A487">
            <v>549.91666666666663</v>
          </cell>
        </row>
        <row r="488">
          <cell r="A488">
            <v>543.75</v>
          </cell>
        </row>
        <row r="489">
          <cell r="A489">
            <v>543.75</v>
          </cell>
        </row>
        <row r="490">
          <cell r="A490">
            <v>543.75</v>
          </cell>
        </row>
        <row r="491">
          <cell r="A491">
            <v>543.75</v>
          </cell>
        </row>
        <row r="492">
          <cell r="A492">
            <v>531.66666666666674</v>
          </cell>
        </row>
        <row r="493">
          <cell r="A493">
            <v>531.66666666666674</v>
          </cell>
        </row>
        <row r="494">
          <cell r="A494">
            <v>531.66666666666674</v>
          </cell>
        </row>
        <row r="495">
          <cell r="A495">
            <v>531.66666666666674</v>
          </cell>
        </row>
        <row r="496">
          <cell r="A496">
            <v>531.25</v>
          </cell>
        </row>
        <row r="497">
          <cell r="A497">
            <v>531.25</v>
          </cell>
        </row>
        <row r="498">
          <cell r="A498">
            <v>525.45208333333335</v>
          </cell>
        </row>
        <row r="499">
          <cell r="A499">
            <v>525.35</v>
          </cell>
        </row>
        <row r="500">
          <cell r="A500">
            <v>519.58333333333337</v>
          </cell>
        </row>
        <row r="501">
          <cell r="A501">
            <v>519.58333333333337</v>
          </cell>
        </row>
        <row r="502">
          <cell r="A502">
            <v>519.58333333333337</v>
          </cell>
        </row>
        <row r="503">
          <cell r="A503">
            <v>513.54166666666674</v>
          </cell>
        </row>
        <row r="504">
          <cell r="A504">
            <v>512.5</v>
          </cell>
        </row>
        <row r="505">
          <cell r="A505">
            <v>507.5</v>
          </cell>
        </row>
        <row r="506">
          <cell r="A506">
            <v>507.5</v>
          </cell>
        </row>
        <row r="507">
          <cell r="A507">
            <v>505.83854166666674</v>
          </cell>
        </row>
        <row r="508">
          <cell r="A508">
            <v>495.41666666666669</v>
          </cell>
        </row>
        <row r="509">
          <cell r="A509">
            <v>483.33333333333337</v>
          </cell>
        </row>
        <row r="510">
          <cell r="A510">
            <v>478.33333333333337</v>
          </cell>
        </row>
        <row r="511">
          <cell r="A511">
            <v>478.125</v>
          </cell>
        </row>
        <row r="512">
          <cell r="A512">
            <v>478.125</v>
          </cell>
        </row>
        <row r="513">
          <cell r="A513">
            <v>472.22499999999997</v>
          </cell>
        </row>
        <row r="514">
          <cell r="A514">
            <v>471.77500000000003</v>
          </cell>
        </row>
        <row r="515">
          <cell r="A515">
            <v>471.25</v>
          </cell>
        </row>
        <row r="516">
          <cell r="A516">
            <v>466.31666666666672</v>
          </cell>
        </row>
        <row r="517">
          <cell r="A517">
            <v>459.16666666666669</v>
          </cell>
        </row>
        <row r="518">
          <cell r="A518">
            <v>459.16666666666669</v>
          </cell>
        </row>
        <row r="519">
          <cell r="A519">
            <v>459.16666666666669</v>
          </cell>
        </row>
        <row r="520">
          <cell r="A520">
            <v>451.25</v>
          </cell>
        </row>
        <row r="521">
          <cell r="A521">
            <v>448.60833333333341</v>
          </cell>
        </row>
        <row r="522">
          <cell r="A522">
            <v>447.08333333333337</v>
          </cell>
        </row>
        <row r="523">
          <cell r="A523">
            <v>447.08333333333337</v>
          </cell>
        </row>
        <row r="524">
          <cell r="A524">
            <v>447.08333333333337</v>
          </cell>
        </row>
        <row r="525">
          <cell r="A525">
            <v>445.04166666666669</v>
          </cell>
        </row>
        <row r="526">
          <cell r="A526">
            <v>444.16666666666669</v>
          </cell>
        </row>
        <row r="527">
          <cell r="A527">
            <v>435</v>
          </cell>
        </row>
        <row r="528">
          <cell r="A528">
            <v>435</v>
          </cell>
        </row>
        <row r="529">
          <cell r="A529">
            <v>427.08333333333337</v>
          </cell>
        </row>
        <row r="530">
          <cell r="A530">
            <v>425</v>
          </cell>
        </row>
        <row r="531">
          <cell r="A531">
            <v>425</v>
          </cell>
        </row>
        <row r="532">
          <cell r="A532">
            <v>424.16666666666669</v>
          </cell>
        </row>
        <row r="533">
          <cell r="A533">
            <v>422.91666666666669</v>
          </cell>
        </row>
        <row r="534">
          <cell r="A534">
            <v>422.91666666666669</v>
          </cell>
        </row>
        <row r="535">
          <cell r="A535">
            <v>422.91666666666669</v>
          </cell>
        </row>
        <row r="536">
          <cell r="A536">
            <v>417.84270000000004</v>
          </cell>
        </row>
        <row r="537">
          <cell r="A537">
            <v>410.92</v>
          </cell>
        </row>
        <row r="538">
          <cell r="A538">
            <v>410.83333333333337</v>
          </cell>
        </row>
        <row r="539">
          <cell r="A539">
            <v>410.83333333333337</v>
          </cell>
        </row>
        <row r="540">
          <cell r="A540">
            <v>400.65104166666669</v>
          </cell>
        </row>
        <row r="541">
          <cell r="A541">
            <v>398.75</v>
          </cell>
        </row>
        <row r="542">
          <cell r="A542">
            <v>386.66666666666669</v>
          </cell>
        </row>
        <row r="543">
          <cell r="A543">
            <v>386.66666666666669</v>
          </cell>
        </row>
        <row r="544">
          <cell r="A544">
            <v>383.58541666666667</v>
          </cell>
        </row>
        <row r="545">
          <cell r="A545">
            <v>377.77499999999998</v>
          </cell>
        </row>
        <row r="546">
          <cell r="A546">
            <v>373.51</v>
          </cell>
        </row>
        <row r="547">
          <cell r="A547">
            <v>368.70839999999998</v>
          </cell>
        </row>
        <row r="548">
          <cell r="A548">
            <v>366.66666666666669</v>
          </cell>
        </row>
        <row r="549">
          <cell r="A549">
            <v>365.97500000000002</v>
          </cell>
        </row>
        <row r="550">
          <cell r="A550">
            <v>362.5</v>
          </cell>
        </row>
        <row r="551">
          <cell r="A551">
            <v>358.75</v>
          </cell>
        </row>
        <row r="552">
          <cell r="A552">
            <v>350.41666666666669</v>
          </cell>
        </row>
        <row r="553">
          <cell r="A553">
            <v>350.41666666666669</v>
          </cell>
        </row>
        <row r="554">
          <cell r="A554">
            <v>350.41666666666669</v>
          </cell>
        </row>
        <row r="555">
          <cell r="A555">
            <v>338.33333333333337</v>
          </cell>
        </row>
        <row r="556">
          <cell r="A556">
            <v>338.33333333333337</v>
          </cell>
        </row>
        <row r="557">
          <cell r="A557">
            <v>336.45833333333337</v>
          </cell>
        </row>
        <row r="558">
          <cell r="A558">
            <v>330.55833333333334</v>
          </cell>
        </row>
        <row r="559">
          <cell r="A559">
            <v>329.53000000000003</v>
          </cell>
        </row>
        <row r="560">
          <cell r="A560">
            <v>318.75</v>
          </cell>
        </row>
        <row r="561">
          <cell r="A561">
            <v>314.16666666666669</v>
          </cell>
        </row>
        <row r="562">
          <cell r="A562">
            <v>302.08333333333337</v>
          </cell>
        </row>
        <row r="563">
          <cell r="A563">
            <v>301.04166666666669</v>
          </cell>
        </row>
        <row r="564">
          <cell r="A564">
            <v>277.91666666666669</v>
          </cell>
        </row>
        <row r="565">
          <cell r="A565">
            <v>277.08333333333337</v>
          </cell>
        </row>
        <row r="566">
          <cell r="A566">
            <v>266.90000000000003</v>
          </cell>
        </row>
        <row r="567">
          <cell r="A567">
            <v>265.83333333333337</v>
          </cell>
        </row>
        <row r="568">
          <cell r="A568">
            <v>265.83333333333337</v>
          </cell>
        </row>
        <row r="569">
          <cell r="A569">
            <v>265.83333333333337</v>
          </cell>
        </row>
        <row r="570">
          <cell r="A570">
            <v>265.625</v>
          </cell>
        </row>
        <row r="571">
          <cell r="A571">
            <v>256.25</v>
          </cell>
        </row>
        <row r="572">
          <cell r="A572">
            <v>252.15</v>
          </cell>
        </row>
        <row r="573">
          <cell r="A573">
            <v>251.63749999999999</v>
          </cell>
        </row>
        <row r="574">
          <cell r="A574">
            <v>250.83333333333334</v>
          </cell>
        </row>
        <row r="575">
          <cell r="A575">
            <v>250</v>
          </cell>
        </row>
        <row r="576">
          <cell r="A576">
            <v>250</v>
          </cell>
        </row>
        <row r="577">
          <cell r="A577">
            <v>250</v>
          </cell>
        </row>
        <row r="578">
          <cell r="A578">
            <v>250</v>
          </cell>
        </row>
        <row r="579">
          <cell r="A579">
            <v>250</v>
          </cell>
        </row>
        <row r="580">
          <cell r="A580">
            <v>250</v>
          </cell>
        </row>
        <row r="581">
          <cell r="A581">
            <v>250</v>
          </cell>
        </row>
        <row r="582">
          <cell r="A582">
            <v>250</v>
          </cell>
        </row>
        <row r="583">
          <cell r="A583">
            <v>250</v>
          </cell>
        </row>
        <row r="584">
          <cell r="A584">
            <v>250</v>
          </cell>
        </row>
        <row r="585">
          <cell r="A585">
            <v>250</v>
          </cell>
        </row>
        <row r="586">
          <cell r="A586">
            <v>248.25</v>
          </cell>
        </row>
        <row r="587">
          <cell r="A587">
            <v>245</v>
          </cell>
        </row>
        <row r="588">
          <cell r="A588">
            <v>241.66666666666669</v>
          </cell>
        </row>
        <row r="589">
          <cell r="A589">
            <v>241.66666666666669</v>
          </cell>
        </row>
        <row r="590">
          <cell r="A590">
            <v>241.25</v>
          </cell>
        </row>
        <row r="591">
          <cell r="A591">
            <v>231</v>
          </cell>
        </row>
        <row r="592">
          <cell r="A592">
            <v>230.76666666666668</v>
          </cell>
        </row>
        <row r="593">
          <cell r="A593">
            <v>229.58333333333334</v>
          </cell>
        </row>
        <row r="594">
          <cell r="A594">
            <v>229.58333333333334</v>
          </cell>
        </row>
        <row r="595">
          <cell r="A595">
            <v>229.58333333333334</v>
          </cell>
        </row>
        <row r="596">
          <cell r="A596">
            <v>229.58333333333334</v>
          </cell>
        </row>
        <row r="597">
          <cell r="A597">
            <v>229.58333333333334</v>
          </cell>
        </row>
        <row r="598">
          <cell r="A598">
            <v>227.90625</v>
          </cell>
        </row>
        <row r="599">
          <cell r="A599">
            <v>224.30833333333337</v>
          </cell>
        </row>
        <row r="600">
          <cell r="A600">
            <v>222.08333333333334</v>
          </cell>
        </row>
        <row r="601">
          <cell r="A601">
            <v>222.08333333333334</v>
          </cell>
        </row>
        <row r="602">
          <cell r="A602">
            <v>218.02770000000004</v>
          </cell>
        </row>
        <row r="603">
          <cell r="A603">
            <v>212.5</v>
          </cell>
        </row>
        <row r="604">
          <cell r="A604">
            <v>212.5</v>
          </cell>
        </row>
        <row r="605">
          <cell r="A605">
            <v>205.41666666666669</v>
          </cell>
        </row>
        <row r="606">
          <cell r="A606">
            <v>200.8125</v>
          </cell>
        </row>
        <row r="607">
          <cell r="A607">
            <v>197.5</v>
          </cell>
        </row>
        <row r="608">
          <cell r="A608">
            <v>196.17000000000002</v>
          </cell>
        </row>
        <row r="609">
          <cell r="A609">
            <v>194.79166666666669</v>
          </cell>
        </row>
        <row r="610">
          <cell r="A610">
            <v>193.33333333333334</v>
          </cell>
        </row>
        <row r="611">
          <cell r="A611">
            <v>193.33333333333334</v>
          </cell>
        </row>
        <row r="612">
          <cell r="A612">
            <v>192.95750000000001</v>
          </cell>
        </row>
        <row r="613">
          <cell r="A613">
            <v>181.25</v>
          </cell>
        </row>
        <row r="614">
          <cell r="A614">
            <v>181.25</v>
          </cell>
        </row>
        <row r="615">
          <cell r="A615">
            <v>181.25</v>
          </cell>
        </row>
        <row r="616">
          <cell r="A616">
            <v>181.25</v>
          </cell>
        </row>
        <row r="617">
          <cell r="A617">
            <v>177.08333333333334</v>
          </cell>
        </row>
        <row r="618">
          <cell r="A618">
            <v>170.83333333333334</v>
          </cell>
        </row>
        <row r="619">
          <cell r="A619">
            <v>157.08333333333334</v>
          </cell>
        </row>
        <row r="620">
          <cell r="A620">
            <v>145</v>
          </cell>
        </row>
        <row r="621">
          <cell r="A621">
            <v>136.66666666666669</v>
          </cell>
        </row>
        <row r="622">
          <cell r="A622">
            <v>136.66666666666669</v>
          </cell>
        </row>
        <row r="623">
          <cell r="A623">
            <v>132.91666666666669</v>
          </cell>
        </row>
        <row r="624">
          <cell r="A624">
            <v>112.73750000000001</v>
          </cell>
        </row>
        <row r="625">
          <cell r="A625">
            <v>107.11875000000001</v>
          </cell>
        </row>
        <row r="626">
          <cell r="A626">
            <v>102.5</v>
          </cell>
        </row>
        <row r="627">
          <cell r="A627">
            <v>102.5</v>
          </cell>
        </row>
        <row r="628">
          <cell r="A628">
            <v>88.541666666666671</v>
          </cell>
        </row>
        <row r="629">
          <cell r="A629">
            <v>85.416666666666671</v>
          </cell>
        </row>
        <row r="630">
          <cell r="A630">
            <v>84.583333333333343</v>
          </cell>
        </row>
        <row r="631">
          <cell r="A631">
            <v>84.583333333333343</v>
          </cell>
        </row>
        <row r="632">
          <cell r="A632">
            <v>82.38333333333334</v>
          </cell>
        </row>
        <row r="633">
          <cell r="A633">
            <v>72.5</v>
          </cell>
        </row>
        <row r="634">
          <cell r="A634">
            <v>68.333333333333343</v>
          </cell>
        </row>
        <row r="635">
          <cell r="A635">
            <v>35.416666666666671</v>
          </cell>
        </row>
        <row r="636">
          <cell r="A636">
            <v>24.166666666666668</v>
          </cell>
        </row>
      </sheetData>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e"/>
      <sheetName val="RiskLevelSummary"/>
      <sheetName val="UWLevelSummary"/>
      <sheetName val="UW Output Gross Premiums"/>
      <sheetName val="UW Output Net Premiums"/>
      <sheetName val="ROE"/>
      <sheetName val="Binding Authority"/>
      <sheetName val="README"/>
      <sheetName val="Keiths List"/>
      <sheetName val="Sheet2"/>
      <sheetName val="Geo-groupings"/>
    </sheetNames>
    <sheetDataSet>
      <sheetData sheetId="0">
        <row r="22">
          <cell r="I22">
            <v>0</v>
          </cell>
        </row>
        <row r="64">
          <cell r="B64" t="str">
            <v>Excess</v>
          </cell>
          <cell r="C64">
            <v>0</v>
          </cell>
          <cell r="D64">
            <v>3.4171829844874629E-2</v>
          </cell>
          <cell r="E64">
            <v>36</v>
          </cell>
          <cell r="G64">
            <v>1</v>
          </cell>
          <cell r="L64">
            <v>0</v>
          </cell>
          <cell r="M64">
            <v>999999999999999</v>
          </cell>
          <cell r="P64">
            <v>0</v>
          </cell>
          <cell r="Q64">
            <v>999999999999999</v>
          </cell>
        </row>
        <row r="65">
          <cell r="B65" t="str">
            <v>Primary</v>
          </cell>
          <cell r="C65">
            <v>0</v>
          </cell>
          <cell r="D65">
            <v>1.8850827553235576E-2</v>
          </cell>
          <cell r="E65">
            <v>15</v>
          </cell>
          <cell r="G65">
            <v>1</v>
          </cell>
          <cell r="L65">
            <v>0</v>
          </cell>
          <cell r="M65">
            <v>15000000</v>
          </cell>
          <cell r="P65">
            <v>0</v>
          </cell>
          <cell r="Q65">
            <v>999999999999999</v>
          </cell>
        </row>
        <row r="66">
          <cell r="B66" t="str">
            <v>Stand-alone</v>
          </cell>
          <cell r="C66">
            <v>1</v>
          </cell>
          <cell r="D66">
            <v>0.9469773426018897</v>
          </cell>
          <cell r="E66">
            <v>1941</v>
          </cell>
          <cell r="G66">
            <v>1</v>
          </cell>
          <cell r="L66">
            <v>0</v>
          </cell>
          <cell r="M66">
            <v>999999999999999</v>
          </cell>
          <cell r="P66">
            <v>0</v>
          </cell>
          <cell r="Q66">
            <v>999999999999999</v>
          </cell>
        </row>
        <row r="67">
          <cell r="L67">
            <v>0</v>
          </cell>
          <cell r="M67">
            <v>125000</v>
          </cell>
          <cell r="P67">
            <v>0</v>
          </cell>
          <cell r="Q67">
            <v>999999999999999</v>
          </cell>
        </row>
        <row r="68">
          <cell r="L68">
            <v>0</v>
          </cell>
          <cell r="M68">
            <v>999999999999999</v>
          </cell>
          <cell r="P68">
            <v>0</v>
          </cell>
          <cell r="Q68">
            <v>999999999999999</v>
          </cell>
        </row>
        <row r="70">
          <cell r="B70" t="str">
            <v>Direct</v>
          </cell>
          <cell r="C70">
            <v>1</v>
          </cell>
          <cell r="D70">
            <v>0.88106644572543158</v>
          </cell>
          <cell r="E70">
            <v>1801</v>
          </cell>
          <cell r="G70">
            <v>1</v>
          </cell>
        </row>
        <row r="71">
          <cell r="B71" t="str">
            <v>Reinsurance</v>
          </cell>
          <cell r="C71">
            <v>1</v>
          </cell>
          <cell r="D71">
            <v>0.11893355427456771</v>
          </cell>
          <cell r="E71">
            <v>191</v>
          </cell>
          <cell r="G71">
            <v>1</v>
          </cell>
        </row>
        <row r="74">
          <cell r="K74" t="str">
            <v>Algeria</v>
          </cell>
          <cell r="L74">
            <v>1</v>
          </cell>
          <cell r="M74">
            <v>1.0644901316869851E-3</v>
          </cell>
          <cell r="N74">
            <v>1</v>
          </cell>
          <cell r="P74">
            <v>1</v>
          </cell>
        </row>
        <row r="75">
          <cell r="B75" t="str">
            <v>Crime</v>
          </cell>
          <cell r="C75">
            <v>1</v>
          </cell>
          <cell r="D75">
            <v>7.7995703108137027E-2</v>
          </cell>
          <cell r="E75">
            <v>117</v>
          </cell>
          <cell r="G75">
            <v>1</v>
          </cell>
          <cell r="K75" t="str">
            <v>Anguilla</v>
          </cell>
          <cell r="L75">
            <v>1</v>
          </cell>
          <cell r="M75">
            <v>1.2901139143693398E-4</v>
          </cell>
          <cell r="N75">
            <v>2</v>
          </cell>
          <cell r="P75">
            <v>1</v>
          </cell>
        </row>
        <row r="76">
          <cell r="B76" t="str">
            <v>Crime; D&amp;O</v>
          </cell>
          <cell r="C76">
            <v>1</v>
          </cell>
          <cell r="D76">
            <v>0</v>
          </cell>
          <cell r="E76">
            <v>0</v>
          </cell>
          <cell r="G76">
            <v>1</v>
          </cell>
          <cell r="K76" t="str">
            <v>Antigua and Barbuda</v>
          </cell>
          <cell r="L76">
            <v>1</v>
          </cell>
          <cell r="M76">
            <v>1.3875891878134601E-3</v>
          </cell>
          <cell r="N76">
            <v>4</v>
          </cell>
          <cell r="P76">
            <v>1</v>
          </cell>
        </row>
        <row r="77">
          <cell r="B77" t="str">
            <v>Crime; D&amp;O; PI</v>
          </cell>
          <cell r="C77">
            <v>1</v>
          </cell>
          <cell r="D77">
            <v>7.8649879453497301E-2</v>
          </cell>
          <cell r="E77">
            <v>47</v>
          </cell>
          <cell r="G77">
            <v>1</v>
          </cell>
          <cell r="K77" t="str">
            <v>Argentina</v>
          </cell>
          <cell r="L77">
            <v>1</v>
          </cell>
          <cell r="M77">
            <v>1.3073154331989286E-3</v>
          </cell>
          <cell r="N77">
            <v>1</v>
          </cell>
          <cell r="P77">
            <v>1</v>
          </cell>
        </row>
        <row r="78">
          <cell r="B78" t="str">
            <v>Crime; PI</v>
          </cell>
          <cell r="C78">
            <v>1</v>
          </cell>
          <cell r="D78">
            <v>1.5764809220356391E-2</v>
          </cell>
          <cell r="E78">
            <v>7</v>
          </cell>
          <cell r="G78">
            <v>1</v>
          </cell>
          <cell r="K78" t="str">
            <v>Australia</v>
          </cell>
          <cell r="L78">
            <v>1</v>
          </cell>
          <cell r="M78">
            <v>1.1081075775422649E-2</v>
          </cell>
          <cell r="N78">
            <v>9</v>
          </cell>
          <cell r="P78">
            <v>1</v>
          </cell>
        </row>
        <row r="79">
          <cell r="B79" t="str">
            <v>Cyber Crime</v>
          </cell>
          <cell r="C79">
            <v>1</v>
          </cell>
          <cell r="D79">
            <v>1.5560207267199095E-3</v>
          </cell>
          <cell r="E79">
            <v>1</v>
          </cell>
          <cell r="G79">
            <v>1</v>
          </cell>
          <cell r="K79" t="str">
            <v>Austria</v>
          </cell>
          <cell r="L79">
            <v>1</v>
          </cell>
          <cell r="M79">
            <v>5.0574888191201713E-5</v>
          </cell>
          <cell r="N79">
            <v>1</v>
          </cell>
          <cell r="P79">
            <v>1</v>
          </cell>
        </row>
        <row r="80">
          <cell r="B80" t="str">
            <v>Cyber Liability</v>
          </cell>
          <cell r="C80">
            <v>1</v>
          </cell>
          <cell r="D80">
            <v>1.8036066055702417E-3</v>
          </cell>
          <cell r="E80">
            <v>2</v>
          </cell>
          <cell r="G80">
            <v>1</v>
          </cell>
          <cell r="K80" t="str">
            <v>Azerbaijan</v>
          </cell>
          <cell r="L80">
            <v>1</v>
          </cell>
          <cell r="M80">
            <v>7.6116720944924136E-4</v>
          </cell>
          <cell r="N80">
            <v>1</v>
          </cell>
          <cell r="P80">
            <v>1</v>
          </cell>
        </row>
        <row r="81">
          <cell r="B81" t="str">
            <v>D&amp;O</v>
          </cell>
          <cell r="C81">
            <v>1</v>
          </cell>
          <cell r="D81">
            <v>0.29278112367321901</v>
          </cell>
          <cell r="E81">
            <v>788</v>
          </cell>
          <cell r="G81">
            <v>1</v>
          </cell>
          <cell r="K81" t="str">
            <v>Bahamas</v>
          </cell>
          <cell r="L81">
            <v>1</v>
          </cell>
          <cell r="M81">
            <v>2.0600694944255857E-2</v>
          </cell>
          <cell r="N81">
            <v>47</v>
          </cell>
          <cell r="P81">
            <v>1</v>
          </cell>
        </row>
        <row r="82">
          <cell r="B82" t="str">
            <v>D&amp;O; PI</v>
          </cell>
          <cell r="C82">
            <v>1</v>
          </cell>
          <cell r="D82">
            <v>2.9095591526646768E-2</v>
          </cell>
          <cell r="E82">
            <v>19</v>
          </cell>
          <cell r="G82">
            <v>1</v>
          </cell>
          <cell r="K82" t="str">
            <v>Bahrain</v>
          </cell>
          <cell r="L82">
            <v>1</v>
          </cell>
          <cell r="M82">
            <v>5.4376842195801639E-3</v>
          </cell>
          <cell r="N82">
            <v>18</v>
          </cell>
          <cell r="P82">
            <v>1</v>
          </cell>
        </row>
        <row r="83">
          <cell r="B83" t="str">
            <v>Environmental Liability</v>
          </cell>
          <cell r="C83">
            <v>1</v>
          </cell>
          <cell r="D83">
            <v>6.0688038391109728E-3</v>
          </cell>
          <cell r="E83">
            <v>3</v>
          </cell>
          <cell r="G83">
            <v>1</v>
          </cell>
          <cell r="K83" t="str">
            <v>Barbados</v>
          </cell>
          <cell r="L83">
            <v>1</v>
          </cell>
          <cell r="M83">
            <v>8.4953493812974408E-3</v>
          </cell>
          <cell r="N83">
            <v>12</v>
          </cell>
          <cell r="P83">
            <v>1</v>
          </cell>
        </row>
        <row r="84">
          <cell r="B84" t="str">
            <v>Other</v>
          </cell>
          <cell r="C84">
            <v>1</v>
          </cell>
          <cell r="D84">
            <v>2.1594872180198052E-3</v>
          </cell>
          <cell r="E84">
            <v>17</v>
          </cell>
          <cell r="G84">
            <v>1</v>
          </cell>
          <cell r="K84" t="str">
            <v>Belgium</v>
          </cell>
          <cell r="L84">
            <v>1</v>
          </cell>
          <cell r="M84">
            <v>1.3234267148895171E-3</v>
          </cell>
          <cell r="N84">
            <v>3</v>
          </cell>
          <cell r="P84">
            <v>1</v>
          </cell>
        </row>
        <row r="85">
          <cell r="B85" t="str">
            <v>PI</v>
          </cell>
          <cell r="C85">
            <v>1</v>
          </cell>
          <cell r="D85">
            <v>0.47582013830983066</v>
          </cell>
          <cell r="E85">
            <v>964</v>
          </cell>
          <cell r="G85">
            <v>1</v>
          </cell>
          <cell r="K85" t="str">
            <v>Bermuda</v>
          </cell>
          <cell r="L85">
            <v>1</v>
          </cell>
          <cell r="M85">
            <v>1.7929094886807852E-2</v>
          </cell>
          <cell r="N85">
            <v>13</v>
          </cell>
          <cell r="P85">
            <v>1</v>
          </cell>
        </row>
        <row r="86">
          <cell r="B86" t="str">
            <v>W&amp;I</v>
          </cell>
          <cell r="C86">
            <v>1</v>
          </cell>
          <cell r="D86">
            <v>1.8304836318889722E-2</v>
          </cell>
          <cell r="E86">
            <v>27</v>
          </cell>
          <cell r="G86">
            <v>1</v>
          </cell>
          <cell r="K86" t="str">
            <v>Bolivia</v>
          </cell>
          <cell r="L86">
            <v>1</v>
          </cell>
          <cell r="M86">
            <v>5.676501223225096E-4</v>
          </cell>
          <cell r="N86">
            <v>1</v>
          </cell>
          <cell r="P86">
            <v>1</v>
          </cell>
        </row>
        <row r="87">
          <cell r="K87" t="str">
            <v>Brazil</v>
          </cell>
          <cell r="L87">
            <v>1</v>
          </cell>
          <cell r="M87">
            <v>1.4215911434772668E-3</v>
          </cell>
          <cell r="N87">
            <v>2</v>
          </cell>
          <cell r="P87">
            <v>1</v>
          </cell>
        </row>
        <row r="88">
          <cell r="K88" t="str">
            <v>British Indian Ocean Territory</v>
          </cell>
          <cell r="L88">
            <v>1</v>
          </cell>
          <cell r="M88">
            <v>2.0641822627042518E-4</v>
          </cell>
          <cell r="N88">
            <v>1</v>
          </cell>
          <cell r="P88">
            <v>1</v>
          </cell>
        </row>
        <row r="89">
          <cell r="K89" t="str">
            <v>British Virgin Islands</v>
          </cell>
          <cell r="L89">
            <v>1</v>
          </cell>
          <cell r="M89">
            <v>4.2517352524925334E-3</v>
          </cell>
          <cell r="N89">
            <v>8</v>
          </cell>
          <cell r="P89">
            <v>1</v>
          </cell>
        </row>
        <row r="90">
          <cell r="B90" t="str">
            <v>A - Up to 12 months (included)</v>
          </cell>
          <cell r="C90">
            <v>1</v>
          </cell>
          <cell r="D90">
            <v>0.89493150368499041</v>
          </cell>
          <cell r="E90">
            <v>1859</v>
          </cell>
          <cell r="G90">
            <v>1</v>
          </cell>
          <cell r="K90" t="str">
            <v>Brunei Darussalam</v>
          </cell>
          <cell r="L90">
            <v>1</v>
          </cell>
          <cell r="M90">
            <v>0</v>
          </cell>
          <cell r="N90">
            <v>0</v>
          </cell>
          <cell r="P90">
            <v>1</v>
          </cell>
        </row>
        <row r="91">
          <cell r="B91" t="str">
            <v>B - From 12m (excl) to 15m (incl)</v>
          </cell>
          <cell r="C91">
            <v>1</v>
          </cell>
          <cell r="D91">
            <v>3.2162631234036884E-2</v>
          </cell>
          <cell r="E91">
            <v>47</v>
          </cell>
          <cell r="G91">
            <v>1</v>
          </cell>
          <cell r="K91" t="str">
            <v>Bulgaria</v>
          </cell>
          <cell r="L91">
            <v>1</v>
          </cell>
          <cell r="M91">
            <v>0</v>
          </cell>
          <cell r="N91">
            <v>0</v>
          </cell>
          <cell r="P91">
            <v>1</v>
          </cell>
        </row>
        <row r="92">
          <cell r="B92" t="str">
            <v>C - From 15m (excl) to 18m (incl)</v>
          </cell>
          <cell r="C92">
            <v>1</v>
          </cell>
          <cell r="D92">
            <v>1.8744270996277051E-2</v>
          </cell>
          <cell r="E92">
            <v>18</v>
          </cell>
          <cell r="G92">
            <v>1</v>
          </cell>
          <cell r="K92" t="str">
            <v>Canada</v>
          </cell>
          <cell r="L92">
            <v>1</v>
          </cell>
          <cell r="M92">
            <v>1.3544392236911973E-2</v>
          </cell>
          <cell r="N92">
            <v>7</v>
          </cell>
          <cell r="P92">
            <v>1</v>
          </cell>
        </row>
        <row r="93">
          <cell r="B93" t="str">
            <v>D - Above 18 months</v>
          </cell>
          <cell r="C93">
            <v>1</v>
          </cell>
          <cell r="D93">
            <v>5.4161594084695459E-2</v>
          </cell>
          <cell r="E93">
            <v>68</v>
          </cell>
          <cell r="G93">
            <v>1</v>
          </cell>
          <cell r="K93" t="str">
            <v>Cayman Islands</v>
          </cell>
          <cell r="L93">
            <v>1</v>
          </cell>
          <cell r="M93">
            <v>3.2810350252954049E-2</v>
          </cell>
          <cell r="N93">
            <v>54</v>
          </cell>
          <cell r="P93">
            <v>1</v>
          </cell>
        </row>
        <row r="94">
          <cell r="K94" t="str">
            <v>Channel Islands</v>
          </cell>
          <cell r="L94">
            <v>1</v>
          </cell>
          <cell r="M94">
            <v>2.1764658307923873E-2</v>
          </cell>
          <cell r="N94">
            <v>31</v>
          </cell>
          <cell r="P94">
            <v>1</v>
          </cell>
        </row>
        <row r="95">
          <cell r="K95" t="str">
            <v>Chile</v>
          </cell>
          <cell r="L95">
            <v>1</v>
          </cell>
          <cell r="M95">
            <v>4.9590903772855398E-3</v>
          </cell>
          <cell r="N95">
            <v>3</v>
          </cell>
          <cell r="P95">
            <v>1</v>
          </cell>
        </row>
        <row r="96">
          <cell r="K96" t="str">
            <v>China</v>
          </cell>
          <cell r="L96">
            <v>1</v>
          </cell>
          <cell r="M96">
            <v>0</v>
          </cell>
          <cell r="N96">
            <v>0</v>
          </cell>
          <cell r="P96">
            <v>1</v>
          </cell>
        </row>
        <row r="97">
          <cell r="B97" t="str">
            <v>Accountant</v>
          </cell>
          <cell r="C97">
            <v>1</v>
          </cell>
          <cell r="D97">
            <v>1.1569813804440483E-2</v>
          </cell>
          <cell r="E97">
            <v>34</v>
          </cell>
          <cell r="G97">
            <v>1</v>
          </cell>
          <cell r="K97" t="str">
            <v>Colombia</v>
          </cell>
          <cell r="L97">
            <v>1</v>
          </cell>
          <cell r="M97">
            <v>3.4103995039844077E-3</v>
          </cell>
          <cell r="N97">
            <v>8</v>
          </cell>
          <cell r="P97">
            <v>1</v>
          </cell>
        </row>
        <row r="98">
          <cell r="B98" t="str">
            <v>Administration Services</v>
          </cell>
          <cell r="C98">
            <v>1</v>
          </cell>
          <cell r="D98">
            <v>1.6937241891969306E-2</v>
          </cell>
          <cell r="E98">
            <v>36</v>
          </cell>
          <cell r="G98">
            <v>1</v>
          </cell>
          <cell r="K98" t="str">
            <v>Congo</v>
          </cell>
          <cell r="L98">
            <v>1</v>
          </cell>
          <cell r="M98">
            <v>1.4334599048261528E-3</v>
          </cell>
          <cell r="N98">
            <v>1</v>
          </cell>
          <cell r="P98">
            <v>1</v>
          </cell>
        </row>
        <row r="99">
          <cell r="B99" t="str">
            <v>Advertising/Promotions</v>
          </cell>
          <cell r="C99">
            <v>1</v>
          </cell>
          <cell r="D99">
            <v>2.9856053042294052E-3</v>
          </cell>
          <cell r="E99">
            <v>9</v>
          </cell>
          <cell r="G99">
            <v>1</v>
          </cell>
          <cell r="K99" t="str">
            <v>Costa Rica</v>
          </cell>
          <cell r="L99">
            <v>1</v>
          </cell>
          <cell r="M99">
            <v>4.630550827870848E-3</v>
          </cell>
          <cell r="N99">
            <v>5</v>
          </cell>
          <cell r="P99">
            <v>1</v>
          </cell>
        </row>
        <row r="100">
          <cell r="B100" t="str">
            <v>Agriculture/Environment</v>
          </cell>
          <cell r="C100">
            <v>1</v>
          </cell>
          <cell r="D100">
            <v>1.540921139901336E-2</v>
          </cell>
          <cell r="E100">
            <v>63</v>
          </cell>
          <cell r="G100">
            <v>1</v>
          </cell>
          <cell r="K100" t="str">
            <v>Croatia</v>
          </cell>
          <cell r="L100">
            <v>1</v>
          </cell>
          <cell r="M100">
            <v>6.1280410846536041E-5</v>
          </cell>
          <cell r="N100">
            <v>1</v>
          </cell>
          <cell r="P100">
            <v>1</v>
          </cell>
        </row>
        <row r="101">
          <cell r="B101" t="str">
            <v>Architect</v>
          </cell>
          <cell r="C101">
            <v>1</v>
          </cell>
          <cell r="D101">
            <v>1.8985124007186511E-2</v>
          </cell>
          <cell r="E101">
            <v>45</v>
          </cell>
          <cell r="G101">
            <v>1</v>
          </cell>
          <cell r="K101" t="str">
            <v>Cuba</v>
          </cell>
          <cell r="L101">
            <v>1</v>
          </cell>
          <cell r="M101">
            <v>1.7192918098828737E-4</v>
          </cell>
          <cell r="N101">
            <v>1</v>
          </cell>
          <cell r="P101">
            <v>1</v>
          </cell>
        </row>
        <row r="102">
          <cell r="B102" t="str">
            <v>Aviation</v>
          </cell>
          <cell r="C102">
            <v>1</v>
          </cell>
          <cell r="D102">
            <v>5.0624273904937289E-3</v>
          </cell>
          <cell r="E102">
            <v>8</v>
          </cell>
          <cell r="G102">
            <v>1</v>
          </cell>
          <cell r="K102" t="str">
            <v>Cyprus</v>
          </cell>
          <cell r="L102">
            <v>1</v>
          </cell>
          <cell r="M102">
            <v>6.3143605963214269E-3</v>
          </cell>
          <cell r="N102">
            <v>6</v>
          </cell>
          <cell r="P102">
            <v>1</v>
          </cell>
        </row>
        <row r="103">
          <cell r="B103" t="str">
            <v>BioTechnology</v>
          </cell>
          <cell r="C103">
            <v>1</v>
          </cell>
          <cell r="D103">
            <v>0</v>
          </cell>
          <cell r="E103">
            <v>0</v>
          </cell>
          <cell r="G103">
            <v>1</v>
          </cell>
          <cell r="K103" t="str">
            <v>Czech Republic</v>
          </cell>
          <cell r="L103">
            <v>1</v>
          </cell>
          <cell r="M103">
            <v>0</v>
          </cell>
          <cell r="N103">
            <v>0</v>
          </cell>
          <cell r="P103">
            <v>1</v>
          </cell>
        </row>
        <row r="104">
          <cell r="B104" t="str">
            <v>Charity</v>
          </cell>
          <cell r="C104">
            <v>1</v>
          </cell>
          <cell r="D104">
            <v>4.2691022082771944E-3</v>
          </cell>
          <cell r="E104">
            <v>23</v>
          </cell>
          <cell r="G104">
            <v>1</v>
          </cell>
          <cell r="K104" t="str">
            <v>Denmark</v>
          </cell>
          <cell r="L104">
            <v>1</v>
          </cell>
          <cell r="M104">
            <v>7.8104407976145563E-4</v>
          </cell>
          <cell r="N104">
            <v>2</v>
          </cell>
          <cell r="P104">
            <v>1</v>
          </cell>
        </row>
        <row r="105">
          <cell r="B105" t="str">
            <v xml:space="preserve">Consultancy </v>
          </cell>
          <cell r="C105">
            <v>1</v>
          </cell>
          <cell r="D105">
            <v>4.148980587562684E-2</v>
          </cell>
          <cell r="E105">
            <v>92</v>
          </cell>
          <cell r="G105">
            <v>1</v>
          </cell>
          <cell r="K105" t="str">
            <v>Dominican Republic</v>
          </cell>
          <cell r="L105">
            <v>1</v>
          </cell>
          <cell r="M105">
            <v>3.4562627673782945E-3</v>
          </cell>
          <cell r="N105">
            <v>3</v>
          </cell>
          <cell r="P105">
            <v>1</v>
          </cell>
        </row>
        <row r="106">
          <cell r="B106" t="str">
            <v>Design and Construct</v>
          </cell>
          <cell r="C106">
            <v>1</v>
          </cell>
          <cell r="D106">
            <v>5.2092177691282375E-2</v>
          </cell>
          <cell r="E106">
            <v>96</v>
          </cell>
          <cell r="G106">
            <v>1</v>
          </cell>
          <cell r="K106" t="str">
            <v>Ecuador</v>
          </cell>
          <cell r="L106">
            <v>1</v>
          </cell>
          <cell r="M106">
            <v>2.4173839164840162E-3</v>
          </cell>
          <cell r="N106">
            <v>4</v>
          </cell>
          <cell r="P106">
            <v>1</v>
          </cell>
        </row>
        <row r="107">
          <cell r="B107" t="str">
            <v>Education</v>
          </cell>
          <cell r="C107">
            <v>1</v>
          </cell>
          <cell r="D107">
            <v>5.0948852020188265E-3</v>
          </cell>
          <cell r="E107">
            <v>15</v>
          </cell>
          <cell r="G107">
            <v>1</v>
          </cell>
          <cell r="K107" t="str">
            <v>Egypt</v>
          </cell>
          <cell r="L107">
            <v>1</v>
          </cell>
          <cell r="M107">
            <v>0</v>
          </cell>
          <cell r="N107">
            <v>0</v>
          </cell>
          <cell r="P107">
            <v>1</v>
          </cell>
        </row>
        <row r="108">
          <cell r="B108" t="str">
            <v xml:space="preserve">Employment Services </v>
          </cell>
          <cell r="C108">
            <v>1</v>
          </cell>
          <cell r="D108">
            <v>2.9295499092075413E-3</v>
          </cell>
          <cell r="E108">
            <v>9</v>
          </cell>
          <cell r="G108">
            <v>1</v>
          </cell>
          <cell r="K108" t="str">
            <v>El Salvador</v>
          </cell>
          <cell r="L108">
            <v>1</v>
          </cell>
          <cell r="M108">
            <v>3.5297516694278219E-4</v>
          </cell>
          <cell r="N108">
            <v>1</v>
          </cell>
          <cell r="P108">
            <v>1</v>
          </cell>
        </row>
        <row r="109">
          <cell r="B109" t="str">
            <v>Energy</v>
          </cell>
          <cell r="C109">
            <v>1</v>
          </cell>
          <cell r="D109">
            <v>1.6965458647632679E-2</v>
          </cell>
          <cell r="E109">
            <v>30</v>
          </cell>
          <cell r="G109">
            <v>1</v>
          </cell>
          <cell r="K109" t="str">
            <v>Equatorial Guinea</v>
          </cell>
          <cell r="L109">
            <v>1</v>
          </cell>
          <cell r="M109">
            <v>0</v>
          </cell>
          <cell r="N109">
            <v>0</v>
          </cell>
          <cell r="P109">
            <v>1</v>
          </cell>
        </row>
        <row r="110">
          <cell r="B110" t="str">
            <v xml:space="preserve">Engineering </v>
          </cell>
          <cell r="C110">
            <v>1</v>
          </cell>
          <cell r="D110">
            <v>3.690853884954496E-2</v>
          </cell>
          <cell r="E110">
            <v>71</v>
          </cell>
          <cell r="G110">
            <v>1</v>
          </cell>
          <cell r="K110" t="str">
            <v>Estonia</v>
          </cell>
          <cell r="L110">
            <v>1</v>
          </cell>
          <cell r="M110">
            <v>3.9448412787417188E-4</v>
          </cell>
          <cell r="N110">
            <v>1</v>
          </cell>
          <cell r="P110">
            <v>1</v>
          </cell>
        </row>
        <row r="111">
          <cell r="B111" t="str">
            <v>Entertainment, Leisure and Hospitality</v>
          </cell>
          <cell r="C111">
            <v>1</v>
          </cell>
          <cell r="D111">
            <v>3.0082047124194388E-2</v>
          </cell>
          <cell r="E111">
            <v>63</v>
          </cell>
          <cell r="G111">
            <v>1</v>
          </cell>
          <cell r="K111" t="str">
            <v>France</v>
          </cell>
          <cell r="L111">
            <v>1</v>
          </cell>
          <cell r="M111">
            <v>1.3511627508347409E-2</v>
          </cell>
          <cell r="N111">
            <v>12</v>
          </cell>
          <cell r="P111">
            <v>1</v>
          </cell>
        </row>
        <row r="112">
          <cell r="B112" t="str">
            <v>Estate Agent</v>
          </cell>
          <cell r="C112">
            <v>1</v>
          </cell>
          <cell r="D112">
            <v>6.9303749497400596E-3</v>
          </cell>
          <cell r="E112">
            <v>9</v>
          </cell>
          <cell r="G112">
            <v>1</v>
          </cell>
          <cell r="K112" t="str">
            <v>Georgia</v>
          </cell>
          <cell r="L112">
            <v>1</v>
          </cell>
          <cell r="M112">
            <v>3.1536117906806084E-3</v>
          </cell>
          <cell r="N112">
            <v>1</v>
          </cell>
          <cell r="P112">
            <v>1</v>
          </cell>
        </row>
        <row r="113">
          <cell r="B113" t="str">
            <v>FI Administrators and Corporate Service Providers</v>
          </cell>
          <cell r="C113">
            <v>1</v>
          </cell>
          <cell r="D113">
            <v>1.1473260511679335E-2</v>
          </cell>
          <cell r="E113">
            <v>13</v>
          </cell>
          <cell r="G113">
            <v>1</v>
          </cell>
          <cell r="K113" t="str">
            <v>Germany</v>
          </cell>
          <cell r="L113">
            <v>1</v>
          </cell>
          <cell r="M113">
            <v>2.3291583357884843E-3</v>
          </cell>
          <cell r="N113">
            <v>5</v>
          </cell>
          <cell r="P113">
            <v>1</v>
          </cell>
        </row>
        <row r="114">
          <cell r="B114" t="str">
            <v>FI Asset / Investment Manager</v>
          </cell>
          <cell r="C114">
            <v>1</v>
          </cell>
          <cell r="D114">
            <v>9.2409567814566898E-2</v>
          </cell>
          <cell r="E114">
            <v>103</v>
          </cell>
          <cell r="G114">
            <v>1</v>
          </cell>
          <cell r="K114" t="str">
            <v>Gibraltar</v>
          </cell>
          <cell r="L114">
            <v>1</v>
          </cell>
          <cell r="M114">
            <v>0</v>
          </cell>
          <cell r="N114">
            <v>0</v>
          </cell>
          <cell r="P114">
            <v>1</v>
          </cell>
        </row>
        <row r="115">
          <cell r="B115" t="str">
            <v>FI Bank (Investment)</v>
          </cell>
          <cell r="C115">
            <v>1</v>
          </cell>
          <cell r="D115">
            <v>1.1049257189167144E-2</v>
          </cell>
          <cell r="E115">
            <v>11</v>
          </cell>
          <cell r="G115">
            <v>1</v>
          </cell>
          <cell r="K115" t="str">
            <v>Greece</v>
          </cell>
          <cell r="L115">
            <v>1</v>
          </cell>
          <cell r="M115">
            <v>6.2309948079420944E-3</v>
          </cell>
          <cell r="N115">
            <v>12</v>
          </cell>
          <cell r="P115">
            <v>1</v>
          </cell>
        </row>
        <row r="116">
          <cell r="B116" t="str">
            <v>FI Bank (Retail)</v>
          </cell>
          <cell r="C116">
            <v>1</v>
          </cell>
          <cell r="D116">
            <v>6.2124670349589628E-2</v>
          </cell>
          <cell r="E116">
            <v>62</v>
          </cell>
          <cell r="G116">
            <v>1</v>
          </cell>
          <cell r="K116" t="str">
            <v>Grenada</v>
          </cell>
          <cell r="L116">
            <v>1</v>
          </cell>
          <cell r="M116">
            <v>9.0307973948515385E-5</v>
          </cell>
          <cell r="N116">
            <v>1</v>
          </cell>
          <cell r="P116">
            <v>1</v>
          </cell>
        </row>
        <row r="117">
          <cell r="B117" t="str">
            <v>FI Building Society / Saving Institution</v>
          </cell>
          <cell r="C117">
            <v>1</v>
          </cell>
          <cell r="D117">
            <v>3.7623939612772394E-3</v>
          </cell>
          <cell r="E117">
            <v>7</v>
          </cell>
          <cell r="G117">
            <v>1</v>
          </cell>
          <cell r="K117" t="str">
            <v>Guam</v>
          </cell>
          <cell r="L117">
            <v>1</v>
          </cell>
          <cell r="M117">
            <v>0</v>
          </cell>
          <cell r="N117">
            <v>0</v>
          </cell>
          <cell r="P117">
            <v>1</v>
          </cell>
        </row>
        <row r="118">
          <cell r="B118" t="str">
            <v>FI Fund Only (Equity)</v>
          </cell>
          <cell r="C118">
            <v>1</v>
          </cell>
          <cell r="D118">
            <v>4.9190257463001402E-3</v>
          </cell>
          <cell r="E118">
            <v>12</v>
          </cell>
          <cell r="G118">
            <v>1</v>
          </cell>
          <cell r="K118" t="str">
            <v>Guatemala</v>
          </cell>
          <cell r="L118">
            <v>1</v>
          </cell>
          <cell r="M118">
            <v>0</v>
          </cell>
          <cell r="N118">
            <v>0</v>
          </cell>
          <cell r="P118">
            <v>1</v>
          </cell>
        </row>
        <row r="119">
          <cell r="B119" t="str">
            <v>FI Fund Only (Hedge)</v>
          </cell>
          <cell r="C119">
            <v>1</v>
          </cell>
          <cell r="D119">
            <v>1.4121488340693619E-2</v>
          </cell>
          <cell r="E119">
            <v>23</v>
          </cell>
          <cell r="G119">
            <v>1</v>
          </cell>
          <cell r="K119" t="str">
            <v>Guyana</v>
          </cell>
          <cell r="L119">
            <v>1</v>
          </cell>
          <cell r="M119">
            <v>6.9881170333003389E-5</v>
          </cell>
          <cell r="N119">
            <v>1</v>
          </cell>
          <cell r="P119">
            <v>1</v>
          </cell>
        </row>
        <row r="120">
          <cell r="B120" t="str">
            <v>FI Fund Only (Other)</v>
          </cell>
          <cell r="C120">
            <v>1</v>
          </cell>
          <cell r="D120">
            <v>1.2853343719665088E-2</v>
          </cell>
          <cell r="E120">
            <v>19</v>
          </cell>
          <cell r="G120">
            <v>1</v>
          </cell>
          <cell r="K120" t="str">
            <v>Honduras</v>
          </cell>
          <cell r="L120">
            <v>1</v>
          </cell>
          <cell r="M120">
            <v>0</v>
          </cell>
          <cell r="N120">
            <v>0</v>
          </cell>
          <cell r="P120">
            <v>1</v>
          </cell>
        </row>
        <row r="121">
          <cell r="B121" t="str">
            <v>FI Fund Only (Private Equity)</v>
          </cell>
          <cell r="C121">
            <v>1</v>
          </cell>
          <cell r="D121">
            <v>3.0721468508962428E-3</v>
          </cell>
          <cell r="E121">
            <v>4</v>
          </cell>
          <cell r="G121">
            <v>1</v>
          </cell>
          <cell r="K121" t="str">
            <v>Hong Kong</v>
          </cell>
          <cell r="L121">
            <v>1</v>
          </cell>
          <cell r="M121">
            <v>3.7525679689092627E-4</v>
          </cell>
          <cell r="N121">
            <v>2</v>
          </cell>
          <cell r="P121">
            <v>1</v>
          </cell>
        </row>
        <row r="122">
          <cell r="B122" t="str">
            <v>FI Fund Only (Property)</v>
          </cell>
          <cell r="C122">
            <v>1</v>
          </cell>
          <cell r="D122">
            <v>9.5410904551530354E-3</v>
          </cell>
          <cell r="E122">
            <v>13</v>
          </cell>
          <cell r="G122">
            <v>1</v>
          </cell>
          <cell r="K122" t="str">
            <v>Hungary</v>
          </cell>
          <cell r="L122">
            <v>1</v>
          </cell>
          <cell r="M122">
            <v>0</v>
          </cell>
          <cell r="N122">
            <v>0</v>
          </cell>
          <cell r="P122">
            <v>1</v>
          </cell>
        </row>
        <row r="123">
          <cell r="B123" t="str">
            <v>FI Hedge Fund Manager</v>
          </cell>
          <cell r="C123">
            <v>1</v>
          </cell>
          <cell r="D123">
            <v>6.8263631995293316E-3</v>
          </cell>
          <cell r="E123">
            <v>7</v>
          </cell>
          <cell r="G123">
            <v>1</v>
          </cell>
          <cell r="K123" t="str">
            <v>Iceland</v>
          </cell>
          <cell r="L123">
            <v>1</v>
          </cell>
          <cell r="M123">
            <v>7.4661518695798973E-4</v>
          </cell>
          <cell r="N123">
            <v>4</v>
          </cell>
          <cell r="P123">
            <v>1</v>
          </cell>
        </row>
        <row r="124">
          <cell r="B124" t="str">
            <v>FI Insurance Company</v>
          </cell>
          <cell r="C124">
            <v>1</v>
          </cell>
          <cell r="D124">
            <v>3.0750158233402627E-2</v>
          </cell>
          <cell r="E124">
            <v>54</v>
          </cell>
          <cell r="G124">
            <v>1</v>
          </cell>
          <cell r="K124" t="str">
            <v>India</v>
          </cell>
          <cell r="L124">
            <v>1</v>
          </cell>
          <cell r="M124">
            <v>0</v>
          </cell>
          <cell r="N124">
            <v>0</v>
          </cell>
          <cell r="P124">
            <v>1</v>
          </cell>
        </row>
        <row r="125">
          <cell r="B125" t="str">
            <v>FI Other Miscellaneous Financial institution</v>
          </cell>
          <cell r="C125">
            <v>1</v>
          </cell>
          <cell r="D125">
            <v>4.094322207599136E-2</v>
          </cell>
          <cell r="E125">
            <v>56</v>
          </cell>
          <cell r="G125">
            <v>1</v>
          </cell>
          <cell r="K125" t="str">
            <v>Isle of Man</v>
          </cell>
          <cell r="L125">
            <v>1</v>
          </cell>
          <cell r="M125">
            <v>3.052399487178524E-3</v>
          </cell>
          <cell r="N125">
            <v>4</v>
          </cell>
          <cell r="P125">
            <v>1</v>
          </cell>
        </row>
        <row r="126">
          <cell r="B126" t="str">
            <v>FI Private Equity / Venture Capital Company</v>
          </cell>
          <cell r="C126">
            <v>1</v>
          </cell>
          <cell r="D126">
            <v>1.2356277855934811E-2</v>
          </cell>
          <cell r="E126">
            <v>12</v>
          </cell>
          <cell r="G126">
            <v>1</v>
          </cell>
          <cell r="K126" t="str">
            <v>Israel</v>
          </cell>
          <cell r="L126">
            <v>1</v>
          </cell>
          <cell r="M126">
            <v>1.194358792610361E-3</v>
          </cell>
          <cell r="N126">
            <v>4</v>
          </cell>
          <cell r="P126">
            <v>1</v>
          </cell>
        </row>
        <row r="127">
          <cell r="B127" t="str">
            <v>FI Stock Exchange</v>
          </cell>
          <cell r="C127">
            <v>1</v>
          </cell>
          <cell r="D127">
            <v>2.4031740285045291E-3</v>
          </cell>
          <cell r="E127">
            <v>2</v>
          </cell>
          <cell r="G127">
            <v>1</v>
          </cell>
          <cell r="K127" t="str">
            <v>Italy</v>
          </cell>
          <cell r="L127">
            <v>1</v>
          </cell>
          <cell r="M127">
            <v>4.9943067234325608E-2</v>
          </cell>
          <cell r="N127">
            <v>125</v>
          </cell>
          <cell r="P127">
            <v>1</v>
          </cell>
        </row>
        <row r="128">
          <cell r="B128" t="str">
            <v>FI Stockbroker / Corporate Advisory</v>
          </cell>
          <cell r="C128">
            <v>1</v>
          </cell>
          <cell r="D128">
            <v>1.3020722668963404E-2</v>
          </cell>
          <cell r="E128">
            <v>10</v>
          </cell>
          <cell r="G128">
            <v>1</v>
          </cell>
          <cell r="K128" t="str">
            <v>Jamaica</v>
          </cell>
          <cell r="L128">
            <v>1</v>
          </cell>
          <cell r="M128">
            <v>1.0381535200964147E-3</v>
          </cell>
          <cell r="N128">
            <v>4</v>
          </cell>
          <cell r="P128">
            <v>1</v>
          </cell>
        </row>
        <row r="129">
          <cell r="B129" t="str">
            <v>FI Trust Companies</v>
          </cell>
          <cell r="C129">
            <v>1</v>
          </cell>
          <cell r="D129">
            <v>1.6635786574069132E-2</v>
          </cell>
          <cell r="E129">
            <v>47</v>
          </cell>
          <cell r="G129">
            <v>1</v>
          </cell>
          <cell r="K129" t="str">
            <v>Japan</v>
          </cell>
          <cell r="L129">
            <v>1</v>
          </cell>
          <cell r="M129">
            <v>2.3460004802854019E-4</v>
          </cell>
          <cell r="N129">
            <v>1</v>
          </cell>
          <cell r="P129">
            <v>1</v>
          </cell>
        </row>
        <row r="130">
          <cell r="B130" t="str">
            <v>FI Wealth Manager (e.g. financial planning)</v>
          </cell>
          <cell r="C130">
            <v>1</v>
          </cell>
          <cell r="D130">
            <v>5.9210615154557692E-3</v>
          </cell>
          <cell r="E130">
            <v>8</v>
          </cell>
          <cell r="G130">
            <v>1</v>
          </cell>
          <cell r="K130" t="str">
            <v>Jordan</v>
          </cell>
          <cell r="L130">
            <v>1</v>
          </cell>
          <cell r="M130">
            <v>0</v>
          </cell>
          <cell r="N130">
            <v>0</v>
          </cell>
          <cell r="P130">
            <v>1</v>
          </cell>
        </row>
        <row r="131">
          <cell r="B131" t="str">
            <v>Government/Local Authorities</v>
          </cell>
          <cell r="C131">
            <v>1</v>
          </cell>
          <cell r="D131">
            <v>1.0341888871841266E-2</v>
          </cell>
          <cell r="E131">
            <v>28</v>
          </cell>
          <cell r="G131">
            <v>1</v>
          </cell>
          <cell r="K131" t="str">
            <v>Kazakhstan</v>
          </cell>
          <cell r="L131">
            <v>1</v>
          </cell>
          <cell r="M131">
            <v>2.824059358554485E-3</v>
          </cell>
          <cell r="N131">
            <v>1</v>
          </cell>
          <cell r="P131">
            <v>1</v>
          </cell>
        </row>
        <row r="132">
          <cell r="B132" t="str">
            <v>Health &amp; Safety</v>
          </cell>
          <cell r="C132">
            <v>1</v>
          </cell>
          <cell r="D132">
            <v>8.0230686270980015E-3</v>
          </cell>
          <cell r="E132">
            <v>14</v>
          </cell>
          <cell r="G132">
            <v>1</v>
          </cell>
          <cell r="K132" t="str">
            <v>Kuwait</v>
          </cell>
          <cell r="L132">
            <v>1</v>
          </cell>
          <cell r="M132">
            <v>0</v>
          </cell>
          <cell r="N132">
            <v>0</v>
          </cell>
          <cell r="P132">
            <v>1</v>
          </cell>
        </row>
        <row r="133">
          <cell r="B133" t="str">
            <v>Independent financial advisor</v>
          </cell>
          <cell r="C133">
            <v>1</v>
          </cell>
          <cell r="D133">
            <v>1.457430700503443E-3</v>
          </cell>
          <cell r="E133">
            <v>3</v>
          </cell>
          <cell r="G133">
            <v>1</v>
          </cell>
          <cell r="K133" t="str">
            <v>Lebanon</v>
          </cell>
          <cell r="L133">
            <v>1</v>
          </cell>
          <cell r="M133">
            <v>1.0586055526062522E-3</v>
          </cell>
          <cell r="N133">
            <v>1</v>
          </cell>
          <cell r="P133">
            <v>1</v>
          </cell>
        </row>
        <row r="134">
          <cell r="B134" t="str">
            <v>Insurance Broker</v>
          </cell>
          <cell r="C134">
            <v>1</v>
          </cell>
          <cell r="D134">
            <v>3.1185089567802818E-2</v>
          </cell>
          <cell r="E134">
            <v>78</v>
          </cell>
          <cell r="G134">
            <v>1</v>
          </cell>
          <cell r="K134" t="str">
            <v>Liechtenstein</v>
          </cell>
          <cell r="L134">
            <v>1</v>
          </cell>
          <cell r="M134">
            <v>0</v>
          </cell>
          <cell r="N134">
            <v>0</v>
          </cell>
          <cell r="P134">
            <v>1</v>
          </cell>
        </row>
        <row r="135">
          <cell r="B135" t="str">
            <v>Legal Services - Other</v>
          </cell>
          <cell r="C135">
            <v>1</v>
          </cell>
          <cell r="D135">
            <v>3.8994857030109271E-3</v>
          </cell>
          <cell r="E135">
            <v>8</v>
          </cell>
          <cell r="G135">
            <v>1</v>
          </cell>
          <cell r="K135" t="str">
            <v>Luxembourg</v>
          </cell>
          <cell r="L135">
            <v>1</v>
          </cell>
          <cell r="M135">
            <v>8.936462068512202E-3</v>
          </cell>
          <cell r="N135">
            <v>12</v>
          </cell>
          <cell r="P135">
            <v>1</v>
          </cell>
        </row>
        <row r="136">
          <cell r="B136" t="str">
            <v>Legal Services - Solicitor</v>
          </cell>
          <cell r="C136">
            <v>1</v>
          </cell>
          <cell r="D136">
            <v>4.7578399355115798E-2</v>
          </cell>
          <cell r="E136">
            <v>74</v>
          </cell>
          <cell r="G136">
            <v>1</v>
          </cell>
          <cell r="K136" t="str">
            <v>Macao</v>
          </cell>
          <cell r="L136">
            <v>1</v>
          </cell>
          <cell r="M136">
            <v>0</v>
          </cell>
          <cell r="N136">
            <v>0</v>
          </cell>
          <cell r="P136">
            <v>1</v>
          </cell>
        </row>
        <row r="137">
          <cell r="B137" t="str">
            <v>Manual trades/crafts</v>
          </cell>
          <cell r="C137">
            <v>1</v>
          </cell>
          <cell r="D137">
            <v>1.9059492008080634E-3</v>
          </cell>
          <cell r="E137">
            <v>2</v>
          </cell>
          <cell r="G137">
            <v>1</v>
          </cell>
          <cell r="K137" t="str">
            <v>Macedonia</v>
          </cell>
          <cell r="L137">
            <v>1</v>
          </cell>
          <cell r="M137">
            <v>4.045991055296137E-4</v>
          </cell>
          <cell r="N137">
            <v>1</v>
          </cell>
          <cell r="P137">
            <v>1</v>
          </cell>
        </row>
        <row r="138">
          <cell r="B138" t="str">
            <v xml:space="preserve">Manufacturing </v>
          </cell>
          <cell r="C138">
            <v>1</v>
          </cell>
          <cell r="D138">
            <v>3.1242292818429267E-2</v>
          </cell>
          <cell r="E138">
            <v>87</v>
          </cell>
          <cell r="G138">
            <v>1</v>
          </cell>
          <cell r="K138" t="str">
            <v>Malta</v>
          </cell>
          <cell r="L138">
            <v>1</v>
          </cell>
          <cell r="M138">
            <v>4.6828268168930406E-4</v>
          </cell>
          <cell r="N138">
            <v>1</v>
          </cell>
          <cell r="P138">
            <v>1</v>
          </cell>
        </row>
        <row r="139">
          <cell r="B139" t="str">
            <v>Medical Professionals</v>
          </cell>
          <cell r="C139">
            <v>1</v>
          </cell>
          <cell r="D139">
            <v>4.6862097822684983E-4</v>
          </cell>
          <cell r="E139">
            <v>4</v>
          </cell>
          <cell r="G139">
            <v>1</v>
          </cell>
          <cell r="K139" t="str">
            <v>Mauritius</v>
          </cell>
          <cell r="L139">
            <v>1</v>
          </cell>
          <cell r="M139">
            <v>5.498238729169133E-3</v>
          </cell>
          <cell r="N139">
            <v>24</v>
          </cell>
          <cell r="P139">
            <v>1</v>
          </cell>
        </row>
        <row r="140">
          <cell r="B140" t="str">
            <v>Medical Services</v>
          </cell>
          <cell r="C140">
            <v>1</v>
          </cell>
          <cell r="D140">
            <v>9.4950595717593188E-3</v>
          </cell>
          <cell r="E140">
            <v>33</v>
          </cell>
          <cell r="G140">
            <v>1</v>
          </cell>
          <cell r="K140" t="str">
            <v>Mexico</v>
          </cell>
          <cell r="L140">
            <v>1</v>
          </cell>
          <cell r="M140">
            <v>1.1037641266522054E-3</v>
          </cell>
          <cell r="N140">
            <v>2</v>
          </cell>
          <cell r="P140">
            <v>1</v>
          </cell>
        </row>
        <row r="141">
          <cell r="B141" t="str">
            <v>Mining</v>
          </cell>
          <cell r="C141">
            <v>1</v>
          </cell>
          <cell r="D141">
            <v>1.2955406635981178E-2</v>
          </cell>
          <cell r="E141">
            <v>12</v>
          </cell>
          <cell r="G141">
            <v>1</v>
          </cell>
          <cell r="K141" t="str">
            <v>Monaco</v>
          </cell>
          <cell r="L141">
            <v>1</v>
          </cell>
          <cell r="M141">
            <v>3.5530544781505895E-4</v>
          </cell>
          <cell r="N141">
            <v>2</v>
          </cell>
          <cell r="P141">
            <v>1</v>
          </cell>
        </row>
        <row r="142">
          <cell r="B142" t="str">
            <v>N/A Binder</v>
          </cell>
          <cell r="C142">
            <v>1</v>
          </cell>
          <cell r="D142">
            <v>0</v>
          </cell>
          <cell r="E142">
            <v>0</v>
          </cell>
          <cell r="G142">
            <v>1</v>
          </cell>
          <cell r="K142" t="str">
            <v>Netherlands</v>
          </cell>
          <cell r="L142">
            <v>1</v>
          </cell>
          <cell r="M142">
            <v>1.4987485490454736E-2</v>
          </cell>
          <cell r="N142">
            <v>16</v>
          </cell>
          <cell r="P142">
            <v>1</v>
          </cell>
        </row>
        <row r="143">
          <cell r="B143" t="str">
            <v>Pharmaceutical/Chemical</v>
          </cell>
          <cell r="C143">
            <v>1</v>
          </cell>
          <cell r="D143">
            <v>5.904624693185959E-3</v>
          </cell>
          <cell r="E143">
            <v>6</v>
          </cell>
          <cell r="G143">
            <v>1</v>
          </cell>
          <cell r="K143" t="str">
            <v>Netherlands Antilles</v>
          </cell>
          <cell r="L143">
            <v>1</v>
          </cell>
          <cell r="M143">
            <v>0</v>
          </cell>
          <cell r="N143">
            <v>0</v>
          </cell>
          <cell r="P143">
            <v>1</v>
          </cell>
        </row>
        <row r="144">
          <cell r="B144" t="str">
            <v>Project management</v>
          </cell>
          <cell r="C144">
            <v>1</v>
          </cell>
          <cell r="D144">
            <v>1.1418559464626906E-2</v>
          </cell>
          <cell r="E144">
            <v>18</v>
          </cell>
          <cell r="G144">
            <v>1</v>
          </cell>
          <cell r="K144" t="str">
            <v>New Zealand</v>
          </cell>
          <cell r="L144">
            <v>1</v>
          </cell>
          <cell r="M144">
            <v>4.2244439213708854E-3</v>
          </cell>
          <cell r="N144">
            <v>5</v>
          </cell>
          <cell r="P144">
            <v>1</v>
          </cell>
        </row>
        <row r="145">
          <cell r="B145" t="str">
            <v xml:space="preserve">Property </v>
          </cell>
          <cell r="C145">
            <v>1</v>
          </cell>
          <cell r="D145">
            <v>2.3778887592686301E-2</v>
          </cell>
          <cell r="E145">
            <v>77</v>
          </cell>
          <cell r="G145">
            <v>1</v>
          </cell>
          <cell r="K145" t="str">
            <v>Nicaragua</v>
          </cell>
          <cell r="L145">
            <v>1</v>
          </cell>
          <cell r="M145">
            <v>0</v>
          </cell>
          <cell r="N145">
            <v>0</v>
          </cell>
          <cell r="P145">
            <v>1</v>
          </cell>
        </row>
        <row r="146">
          <cell r="B146" t="str">
            <v>Retail, Distribution and Wholesale</v>
          </cell>
          <cell r="C146">
            <v>1</v>
          </cell>
          <cell r="D146">
            <v>2.7805675828532848E-2</v>
          </cell>
          <cell r="E146">
            <v>82</v>
          </cell>
          <cell r="G146">
            <v>1</v>
          </cell>
          <cell r="K146" t="str">
            <v>Norway</v>
          </cell>
          <cell r="L146">
            <v>1</v>
          </cell>
          <cell r="M146">
            <v>6.5010650082004693E-3</v>
          </cell>
          <cell r="N146">
            <v>4</v>
          </cell>
          <cell r="P146">
            <v>1</v>
          </cell>
        </row>
        <row r="147">
          <cell r="B147" t="str">
            <v>Surveyor</v>
          </cell>
          <cell r="C147">
            <v>1</v>
          </cell>
          <cell r="D147">
            <v>5.8438835733869654E-2</v>
          </cell>
          <cell r="E147">
            <v>214</v>
          </cell>
          <cell r="G147">
            <v>1</v>
          </cell>
          <cell r="K147" t="str">
            <v>NULL</v>
          </cell>
          <cell r="L147">
            <v>1</v>
          </cell>
          <cell r="M147">
            <v>2.2023677978189487E-3</v>
          </cell>
          <cell r="N147">
            <v>5</v>
          </cell>
          <cell r="P147">
            <v>1</v>
          </cell>
        </row>
        <row r="148">
          <cell r="B148" t="str">
            <v>Technology, Media, Telecomunications</v>
          </cell>
          <cell r="C148">
            <v>1</v>
          </cell>
          <cell r="D148">
            <v>5.4053448150885613E-2</v>
          </cell>
          <cell r="E148">
            <v>97</v>
          </cell>
          <cell r="G148">
            <v>1</v>
          </cell>
          <cell r="K148" t="str">
            <v>Pakistan</v>
          </cell>
          <cell r="L148">
            <v>1</v>
          </cell>
          <cell r="M148">
            <v>9.4130409516074648E-4</v>
          </cell>
          <cell r="N148">
            <v>1</v>
          </cell>
          <cell r="P148">
            <v>1</v>
          </cell>
        </row>
        <row r="149">
          <cell r="B149" t="str">
            <v>Trade Assoc/Union</v>
          </cell>
          <cell r="C149">
            <v>1</v>
          </cell>
          <cell r="D149">
            <v>3.532460019816849E-3</v>
          </cell>
          <cell r="E149">
            <v>16</v>
          </cell>
          <cell r="G149">
            <v>1</v>
          </cell>
          <cell r="K149" t="str">
            <v>Panama</v>
          </cell>
          <cell r="L149">
            <v>1</v>
          </cell>
          <cell r="M149">
            <v>5.7080015043189181E-3</v>
          </cell>
          <cell r="N149">
            <v>7</v>
          </cell>
          <cell r="P149">
            <v>1</v>
          </cell>
        </row>
        <row r="150">
          <cell r="B150" t="str">
            <v xml:space="preserve">Transport </v>
          </cell>
          <cell r="C150">
            <v>1</v>
          </cell>
          <cell r="D150">
            <v>1.9139858318362974E-2</v>
          </cell>
          <cell r="E150">
            <v>44</v>
          </cell>
          <cell r="G150">
            <v>1</v>
          </cell>
          <cell r="K150" t="str">
            <v>Peru</v>
          </cell>
          <cell r="L150">
            <v>1</v>
          </cell>
          <cell r="M150">
            <v>5.3883757821485924E-3</v>
          </cell>
          <cell r="N150">
            <v>10</v>
          </cell>
          <cell r="P150">
            <v>1</v>
          </cell>
        </row>
        <row r="151">
          <cell r="B151" t="str">
            <v xml:space="preserve">Travel Industry </v>
          </cell>
          <cell r="C151">
            <v>1</v>
          </cell>
          <cell r="D151">
            <v>8.3655360840645637E-4</v>
          </cell>
          <cell r="E151">
            <v>5</v>
          </cell>
          <cell r="G151">
            <v>1</v>
          </cell>
          <cell r="K151" t="str">
            <v>Philippines</v>
          </cell>
          <cell r="L151">
            <v>1</v>
          </cell>
          <cell r="M151">
            <v>0</v>
          </cell>
          <cell r="N151">
            <v>1</v>
          </cell>
          <cell r="P151">
            <v>1</v>
          </cell>
        </row>
        <row r="152">
          <cell r="B152" t="str">
            <v>Utilities - water, gas, electricity</v>
          </cell>
          <cell r="C152">
            <v>1</v>
          </cell>
          <cell r="D152">
            <v>1.4644029213350751E-2</v>
          </cell>
          <cell r="E152">
            <v>24</v>
          </cell>
          <cell r="G152">
            <v>1</v>
          </cell>
          <cell r="K152" t="str">
            <v>Poland</v>
          </cell>
          <cell r="L152">
            <v>1</v>
          </cell>
          <cell r="M152">
            <v>1.3840323902243141E-3</v>
          </cell>
          <cell r="N152">
            <v>1</v>
          </cell>
          <cell r="P152">
            <v>1</v>
          </cell>
        </row>
        <row r="153">
          <cell r="K153" t="str">
            <v>Portugal</v>
          </cell>
          <cell r="L153">
            <v>1</v>
          </cell>
          <cell r="M153">
            <v>1.6973812480319359E-3</v>
          </cell>
          <cell r="N153">
            <v>2</v>
          </cell>
          <cell r="P153">
            <v>1</v>
          </cell>
        </row>
        <row r="154">
          <cell r="K154" t="str">
            <v>Puerto Rico</v>
          </cell>
          <cell r="L154">
            <v>1</v>
          </cell>
          <cell r="M154">
            <v>0</v>
          </cell>
          <cell r="N154">
            <v>0</v>
          </cell>
          <cell r="P154">
            <v>1</v>
          </cell>
        </row>
        <row r="155">
          <cell r="K155" t="str">
            <v>Qatar</v>
          </cell>
          <cell r="L155">
            <v>1</v>
          </cell>
          <cell r="M155">
            <v>0</v>
          </cell>
          <cell r="N155">
            <v>1</v>
          </cell>
          <cell r="P155">
            <v>1</v>
          </cell>
        </row>
        <row r="156">
          <cell r="B156" t="str">
            <v>10219F08 Italian Liability Binding Authority (Beazley)</v>
          </cell>
          <cell r="C156">
            <v>1</v>
          </cell>
          <cell r="D156">
            <v>5.1166223259435581E-3</v>
          </cell>
          <cell r="E156">
            <v>22</v>
          </cell>
          <cell r="G156">
            <v>1</v>
          </cell>
          <cell r="K156" t="str">
            <v>Republic of Ireland</v>
          </cell>
          <cell r="L156">
            <v>1</v>
          </cell>
          <cell r="M156">
            <v>1.2932906177684946E-2</v>
          </cell>
          <cell r="N156">
            <v>29</v>
          </cell>
          <cell r="P156">
            <v>1</v>
          </cell>
        </row>
        <row r="157">
          <cell r="B157" t="str">
            <v>10219F09 Italian Liability Binding Authority (Beazley)</v>
          </cell>
          <cell r="C157">
            <v>1</v>
          </cell>
          <cell r="D157">
            <v>3.0949273757590316E-2</v>
          </cell>
          <cell r="E157">
            <v>86</v>
          </cell>
          <cell r="G157">
            <v>1</v>
          </cell>
          <cell r="K157" t="str">
            <v>Republic Of Korea</v>
          </cell>
          <cell r="L157">
            <v>1</v>
          </cell>
          <cell r="M157">
            <v>0</v>
          </cell>
          <cell r="N157">
            <v>0</v>
          </cell>
          <cell r="P157">
            <v>1</v>
          </cell>
        </row>
        <row r="158">
          <cell r="B158" t="str">
            <v>11031P09 D&amp;O T2 Mid-market Facility</v>
          </cell>
          <cell r="C158">
            <v>1</v>
          </cell>
          <cell r="D158">
            <v>3.1890885427605306E-2</v>
          </cell>
          <cell r="E158">
            <v>127</v>
          </cell>
          <cell r="G158">
            <v>1</v>
          </cell>
          <cell r="K158" t="str">
            <v>Romania</v>
          </cell>
          <cell r="L158">
            <v>1</v>
          </cell>
          <cell r="M158">
            <v>1.0106548490050795E-3</v>
          </cell>
          <cell r="N158">
            <v>2</v>
          </cell>
          <cell r="P158">
            <v>1</v>
          </cell>
        </row>
        <row r="159">
          <cell r="B159" t="str">
            <v>11031P10 D&amp;O T2 Mid-market Facility</v>
          </cell>
          <cell r="C159">
            <v>1</v>
          </cell>
          <cell r="D159">
            <v>5.0998384560182977E-2</v>
          </cell>
          <cell r="E159">
            <v>234</v>
          </cell>
          <cell r="G159">
            <v>1</v>
          </cell>
          <cell r="K159" t="str">
            <v>Russian Federation</v>
          </cell>
          <cell r="L159">
            <v>1</v>
          </cell>
          <cell r="M159">
            <v>3.5404553147093884E-3</v>
          </cell>
          <cell r="N159">
            <v>3</v>
          </cell>
          <cell r="P159">
            <v>1</v>
          </cell>
        </row>
        <row r="160">
          <cell r="B160" t="str">
            <v>11171P09 Markel Bulking Lineslip</v>
          </cell>
          <cell r="C160">
            <v>1</v>
          </cell>
          <cell r="D160">
            <v>1.3512036751230701E-2</v>
          </cell>
          <cell r="E160">
            <v>13</v>
          </cell>
          <cell r="G160">
            <v>1</v>
          </cell>
          <cell r="K160" t="str">
            <v>Saint Vincent and The Grenadines</v>
          </cell>
          <cell r="L160">
            <v>1</v>
          </cell>
          <cell r="M160">
            <v>1.4225914118562129E-4</v>
          </cell>
          <cell r="N160">
            <v>2</v>
          </cell>
          <cell r="P160">
            <v>1</v>
          </cell>
        </row>
        <row r="161">
          <cell r="B161" t="str">
            <v>11220F09 PI Facility AGD</v>
          </cell>
          <cell r="C161">
            <v>1</v>
          </cell>
          <cell r="D161">
            <v>5.6377738038610924E-2</v>
          </cell>
          <cell r="E161">
            <v>155</v>
          </cell>
          <cell r="G161">
            <v>1</v>
          </cell>
          <cell r="K161" t="str">
            <v>Saudi Arabia</v>
          </cell>
          <cell r="L161">
            <v>1</v>
          </cell>
          <cell r="M161">
            <v>1.7119330631015391E-3</v>
          </cell>
          <cell r="N161">
            <v>2</v>
          </cell>
          <cell r="P161">
            <v>1</v>
          </cell>
        </row>
        <row r="162">
          <cell r="B162" t="str">
            <v>11682P09 Small T3 D&amp;O Binding Authority</v>
          </cell>
          <cell r="C162">
            <v>1</v>
          </cell>
          <cell r="D162">
            <v>3.2049430724591209E-4</v>
          </cell>
          <cell r="E162">
            <v>8</v>
          </cell>
          <cell r="G162">
            <v>1</v>
          </cell>
          <cell r="K162" t="str">
            <v>Serbia</v>
          </cell>
          <cell r="L162">
            <v>1</v>
          </cell>
          <cell r="M162">
            <v>1.6161351896050043E-3</v>
          </cell>
          <cell r="N162">
            <v>2</v>
          </cell>
          <cell r="P162">
            <v>1</v>
          </cell>
        </row>
        <row r="163">
          <cell r="B163" t="str">
            <v>11682P10 Small T3 D&amp;O Binding Authority</v>
          </cell>
          <cell r="C163">
            <v>1</v>
          </cell>
          <cell r="D163">
            <v>9.0759193927632308E-4</v>
          </cell>
          <cell r="E163">
            <v>14</v>
          </cell>
          <cell r="G163">
            <v>1</v>
          </cell>
          <cell r="K163" t="str">
            <v>Singapore</v>
          </cell>
          <cell r="L163">
            <v>1</v>
          </cell>
          <cell r="M163">
            <v>4.8668091338821117E-3</v>
          </cell>
          <cell r="N163">
            <v>3</v>
          </cell>
          <cell r="P163">
            <v>1</v>
          </cell>
        </row>
        <row r="164">
          <cell r="B164" t="str">
            <v>12093F08 International Markel Facility</v>
          </cell>
          <cell r="C164">
            <v>1</v>
          </cell>
          <cell r="D164">
            <v>3.6142663314549708E-3</v>
          </cell>
          <cell r="E164">
            <v>10</v>
          </cell>
          <cell r="G164">
            <v>1</v>
          </cell>
          <cell r="K164" t="str">
            <v>Slovakia</v>
          </cell>
          <cell r="L164">
            <v>1</v>
          </cell>
          <cell r="M164">
            <v>0</v>
          </cell>
          <cell r="N164">
            <v>0</v>
          </cell>
          <cell r="P164">
            <v>1</v>
          </cell>
        </row>
        <row r="165">
          <cell r="B165" t="str">
            <v>12093F09 International Markel Facility</v>
          </cell>
          <cell r="C165">
            <v>1</v>
          </cell>
          <cell r="D165">
            <v>2.1474440034881335E-2</v>
          </cell>
          <cell r="E165">
            <v>39</v>
          </cell>
          <cell r="G165">
            <v>1</v>
          </cell>
          <cell r="K165" t="str">
            <v>Slovenia</v>
          </cell>
          <cell r="L165">
            <v>1</v>
          </cell>
          <cell r="M165">
            <v>2.7235738189374697E-4</v>
          </cell>
          <cell r="N165">
            <v>1</v>
          </cell>
          <cell r="P165">
            <v>1</v>
          </cell>
        </row>
        <row r="166">
          <cell r="B166" t="str">
            <v>13216P09 PI T2 7-Way Binding Authority</v>
          </cell>
          <cell r="C166">
            <v>1</v>
          </cell>
          <cell r="D166">
            <v>8.1101407114926818E-2</v>
          </cell>
          <cell r="E166">
            <v>152</v>
          </cell>
          <cell r="G166">
            <v>1</v>
          </cell>
          <cell r="K166" t="str">
            <v>South Africa</v>
          </cell>
          <cell r="L166">
            <v>1</v>
          </cell>
          <cell r="M166">
            <v>2.6390111525169667E-4</v>
          </cell>
          <cell r="N166">
            <v>1</v>
          </cell>
          <cell r="P166">
            <v>1</v>
          </cell>
        </row>
        <row r="167">
          <cell r="B167" t="str">
            <v>13242F10 Italian Liability Binding Authority (Markel)</v>
          </cell>
          <cell r="C167">
            <v>1</v>
          </cell>
          <cell r="D167">
            <v>7.2209712702240626E-4</v>
          </cell>
          <cell r="E167">
            <v>4</v>
          </cell>
          <cell r="G167">
            <v>1</v>
          </cell>
          <cell r="K167" t="str">
            <v>Spain</v>
          </cell>
          <cell r="L167">
            <v>1</v>
          </cell>
          <cell r="M167">
            <v>6.2686225246357087E-3</v>
          </cell>
          <cell r="N167">
            <v>20</v>
          </cell>
          <cell r="P167">
            <v>1</v>
          </cell>
        </row>
        <row r="168">
          <cell r="B168" t="str">
            <v>13342P09 D&amp;O T2 Crime Binding Authority</v>
          </cell>
          <cell r="C168">
            <v>1</v>
          </cell>
          <cell r="D168">
            <v>2.729270389459439E-2</v>
          </cell>
          <cell r="E168">
            <v>58</v>
          </cell>
          <cell r="G168">
            <v>1</v>
          </cell>
          <cell r="K168" t="str">
            <v>Sri Lanka</v>
          </cell>
          <cell r="L168">
            <v>1</v>
          </cell>
          <cell r="M168">
            <v>1.7201518858257864E-4</v>
          </cell>
          <cell r="N168">
            <v>1</v>
          </cell>
          <cell r="P168">
            <v>1</v>
          </cell>
        </row>
        <row r="169">
          <cell r="B169" t="str">
            <v>13342P10 D&amp;O T2 Crime Binding Authority</v>
          </cell>
          <cell r="C169">
            <v>1</v>
          </cell>
          <cell r="D169">
            <v>2.8884532444003737E-3</v>
          </cell>
          <cell r="E169">
            <v>6</v>
          </cell>
          <cell r="G169">
            <v>1</v>
          </cell>
          <cell r="K169" t="str">
            <v>Sweden</v>
          </cell>
          <cell r="L169">
            <v>1</v>
          </cell>
          <cell r="M169">
            <v>2.2962858904240825E-4</v>
          </cell>
          <cell r="N169">
            <v>2</v>
          </cell>
          <cell r="P169">
            <v>1</v>
          </cell>
        </row>
        <row r="170">
          <cell r="B170" t="str">
            <v>13630F09 International D&amp;O Facility</v>
          </cell>
          <cell r="C170">
            <v>1</v>
          </cell>
          <cell r="D170">
            <v>2.7008773412548686E-2</v>
          </cell>
          <cell r="E170">
            <v>67</v>
          </cell>
          <cell r="G170">
            <v>1</v>
          </cell>
          <cell r="K170" t="str">
            <v>Switzerland</v>
          </cell>
          <cell r="L170">
            <v>1</v>
          </cell>
          <cell r="M170">
            <v>6.5709390148175973E-3</v>
          </cell>
          <cell r="N170">
            <v>6</v>
          </cell>
          <cell r="P170">
            <v>1</v>
          </cell>
        </row>
        <row r="171">
          <cell r="B171" t="str">
            <v>13661P09 PI T3 Hiscox Small business Facility</v>
          </cell>
          <cell r="C171">
            <v>1</v>
          </cell>
          <cell r="D171">
            <v>6.726268713737554E-3</v>
          </cell>
          <cell r="E171">
            <v>92</v>
          </cell>
          <cell r="G171">
            <v>1</v>
          </cell>
          <cell r="K171" t="str">
            <v>Syrian Arab Republic</v>
          </cell>
          <cell r="L171">
            <v>1</v>
          </cell>
          <cell r="M171">
            <v>2.2899521977188863E-4</v>
          </cell>
          <cell r="N171">
            <v>1</v>
          </cell>
          <cell r="P171">
            <v>1</v>
          </cell>
        </row>
        <row r="172">
          <cell r="B172" t="str">
            <v>No binder</v>
          </cell>
          <cell r="C172">
            <v>1</v>
          </cell>
          <cell r="D172">
            <v>0.63909856301874557</v>
          </cell>
          <cell r="E172">
            <v>905</v>
          </cell>
          <cell r="G172">
            <v>1</v>
          </cell>
          <cell r="K172" t="str">
            <v>Thailand</v>
          </cell>
          <cell r="L172">
            <v>1</v>
          </cell>
          <cell r="M172">
            <v>0</v>
          </cell>
          <cell r="N172">
            <v>0</v>
          </cell>
          <cell r="P172">
            <v>1</v>
          </cell>
        </row>
        <row r="173">
          <cell r="K173" t="str">
            <v>Trinidad and Tobago</v>
          </cell>
          <cell r="L173">
            <v>1</v>
          </cell>
          <cell r="M173">
            <v>2.1657064706169116E-2</v>
          </cell>
          <cell r="N173">
            <v>54</v>
          </cell>
          <cell r="P173">
            <v>1</v>
          </cell>
        </row>
        <row r="174">
          <cell r="K174" t="str">
            <v>Turkey</v>
          </cell>
          <cell r="L174">
            <v>1</v>
          </cell>
          <cell r="M174">
            <v>1.6541713960134086E-2</v>
          </cell>
          <cell r="N174">
            <v>12</v>
          </cell>
          <cell r="P174">
            <v>1</v>
          </cell>
        </row>
        <row r="175">
          <cell r="K175" t="str">
            <v>Turks And Caicos Islands</v>
          </cell>
          <cell r="L175">
            <v>1</v>
          </cell>
          <cell r="M175">
            <v>4.1651041029706166E-3</v>
          </cell>
          <cell r="N175">
            <v>13</v>
          </cell>
          <cell r="P175">
            <v>1</v>
          </cell>
        </row>
        <row r="176">
          <cell r="B176" t="str">
            <v>Crime Direct</v>
          </cell>
          <cell r="C176">
            <v>1</v>
          </cell>
          <cell r="D176">
            <v>5.0011088653416455E-2</v>
          </cell>
          <cell r="E176">
            <v>97</v>
          </cell>
          <cell r="G176">
            <v>1</v>
          </cell>
          <cell r="K176" t="str">
            <v>Ukraine</v>
          </cell>
          <cell r="L176">
            <v>1</v>
          </cell>
          <cell r="M176">
            <v>1.9351708715253408E-3</v>
          </cell>
          <cell r="N176">
            <v>1</v>
          </cell>
          <cell r="P176">
            <v>1</v>
          </cell>
        </row>
        <row r="177">
          <cell r="B177" t="str">
            <v>Crime Reinsurance</v>
          </cell>
          <cell r="C177">
            <v>1</v>
          </cell>
          <cell r="D177">
            <v>2.7984614454720523E-2</v>
          </cell>
          <cell r="E177">
            <v>20</v>
          </cell>
          <cell r="G177">
            <v>1</v>
          </cell>
          <cell r="K177" t="str">
            <v>United Arab Emirates</v>
          </cell>
          <cell r="L177">
            <v>1</v>
          </cell>
          <cell r="M177">
            <v>7.6051946332987607E-3</v>
          </cell>
          <cell r="N177">
            <v>11</v>
          </cell>
          <cell r="P177">
            <v>1</v>
          </cell>
        </row>
        <row r="178">
          <cell r="B178" t="str">
            <v>Crime; D&amp;O Direct</v>
          </cell>
          <cell r="C178">
            <v>1</v>
          </cell>
          <cell r="D178">
            <v>0</v>
          </cell>
          <cell r="E178">
            <v>0</v>
          </cell>
          <cell r="G178">
            <v>1</v>
          </cell>
          <cell r="K178" t="str">
            <v>United Kingdom</v>
          </cell>
          <cell r="L178">
            <v>1</v>
          </cell>
          <cell r="M178">
            <v>0.58476437144851001</v>
          </cell>
          <cell r="N178">
            <v>1296</v>
          </cell>
          <cell r="P178">
            <v>1</v>
          </cell>
        </row>
        <row r="179">
          <cell r="B179" t="str">
            <v>Crime; D&amp;O; PI Direct</v>
          </cell>
          <cell r="C179">
            <v>1</v>
          </cell>
          <cell r="D179">
            <v>7.5363309414442511E-2</v>
          </cell>
          <cell r="E179">
            <v>45</v>
          </cell>
          <cell r="G179">
            <v>1</v>
          </cell>
          <cell r="K179" t="str">
            <v>United States</v>
          </cell>
          <cell r="L179">
            <v>1</v>
          </cell>
          <cell r="M179">
            <v>0</v>
          </cell>
          <cell r="N179">
            <v>0</v>
          </cell>
          <cell r="P179">
            <v>1</v>
          </cell>
        </row>
        <row r="180">
          <cell r="B180" t="str">
            <v>Crime; D&amp;O; PI Reinsurance</v>
          </cell>
          <cell r="C180">
            <v>1</v>
          </cell>
          <cell r="D180">
            <v>3.2865700390547828E-3</v>
          </cell>
          <cell r="E180">
            <v>2</v>
          </cell>
          <cell r="G180">
            <v>1</v>
          </cell>
          <cell r="K180" t="str">
            <v>Uruguay</v>
          </cell>
          <cell r="L180">
            <v>1</v>
          </cell>
          <cell r="M180">
            <v>0</v>
          </cell>
          <cell r="N180">
            <v>0</v>
          </cell>
          <cell r="P180">
            <v>1</v>
          </cell>
        </row>
        <row r="181">
          <cell r="B181" t="str">
            <v>Crime; PI Direct</v>
          </cell>
          <cell r="C181">
            <v>1</v>
          </cell>
          <cell r="D181">
            <v>7.4339682848691222E-3</v>
          </cell>
          <cell r="E181">
            <v>4</v>
          </cell>
          <cell r="G181">
            <v>1</v>
          </cell>
          <cell r="K181" t="str">
            <v>Venezuela</v>
          </cell>
          <cell r="L181">
            <v>1</v>
          </cell>
          <cell r="M181">
            <v>5.3324708458879228E-3</v>
          </cell>
          <cell r="N181">
            <v>5</v>
          </cell>
          <cell r="P181">
            <v>1</v>
          </cell>
        </row>
        <row r="182">
          <cell r="B182" t="str">
            <v>Crime; PI Reinsurance</v>
          </cell>
          <cell r="C182">
            <v>1</v>
          </cell>
          <cell r="D182">
            <v>8.3308409354872683E-3</v>
          </cell>
          <cell r="E182">
            <v>3</v>
          </cell>
          <cell r="G182">
            <v>1</v>
          </cell>
          <cell r="K182" t="str">
            <v>Yemen</v>
          </cell>
          <cell r="L182">
            <v>1</v>
          </cell>
          <cell r="M182">
            <v>0</v>
          </cell>
          <cell r="N182">
            <v>0</v>
          </cell>
          <cell r="P182">
            <v>1</v>
          </cell>
        </row>
        <row r="183">
          <cell r="B183" t="str">
            <v>Cyber Crime Direct</v>
          </cell>
          <cell r="C183">
            <v>1</v>
          </cell>
          <cell r="D183">
            <v>1.5560207267199095E-3</v>
          </cell>
          <cell r="E183">
            <v>1</v>
          </cell>
          <cell r="G183">
            <v>1</v>
          </cell>
        </row>
        <row r="184">
          <cell r="B184" t="str">
            <v>Cyber Crime Reinsurance</v>
          </cell>
          <cell r="C184">
            <v>1</v>
          </cell>
          <cell r="D184">
            <v>0</v>
          </cell>
          <cell r="E184">
            <v>0</v>
          </cell>
          <cell r="G184">
            <v>1</v>
          </cell>
        </row>
        <row r="185">
          <cell r="B185" t="str">
            <v>Cyber Liability Direct</v>
          </cell>
          <cell r="C185">
            <v>1</v>
          </cell>
          <cell r="D185">
            <v>1.8036066055702417E-3</v>
          </cell>
          <cell r="E185">
            <v>2</v>
          </cell>
          <cell r="G185">
            <v>1</v>
          </cell>
        </row>
        <row r="186">
          <cell r="B186" t="str">
            <v>D&amp;O Direct</v>
          </cell>
          <cell r="C186">
            <v>1</v>
          </cell>
          <cell r="D186">
            <v>0.25673449128625636</v>
          </cell>
          <cell r="E186">
            <v>716</v>
          </cell>
          <cell r="G186">
            <v>1</v>
          </cell>
        </row>
        <row r="187">
          <cell r="B187" t="str">
            <v>D&amp;O Reinsurance</v>
          </cell>
          <cell r="C187">
            <v>1</v>
          </cell>
          <cell r="D187">
            <v>3.6046632386962978E-2</v>
          </cell>
          <cell r="E187">
            <v>72</v>
          </cell>
          <cell r="G187">
            <v>1</v>
          </cell>
        </row>
        <row r="188">
          <cell r="B188" t="str">
            <v>D&amp;O; PI Direct</v>
          </cell>
          <cell r="C188">
            <v>1</v>
          </cell>
          <cell r="D188">
            <v>2.8092886323286829E-2</v>
          </cell>
          <cell r="E188">
            <v>18</v>
          </cell>
          <cell r="G188">
            <v>1</v>
          </cell>
        </row>
        <row r="189">
          <cell r="B189" t="str">
            <v>D&amp;O; PI Reinsurance</v>
          </cell>
          <cell r="C189">
            <v>1</v>
          </cell>
          <cell r="D189">
            <v>1.0027052033599404E-3</v>
          </cell>
          <cell r="E189">
            <v>1</v>
          </cell>
          <cell r="G189">
            <v>1</v>
          </cell>
        </row>
        <row r="190">
          <cell r="B190" t="str">
            <v>Environmental Liability Direct</v>
          </cell>
          <cell r="C190">
            <v>1</v>
          </cell>
          <cell r="D190">
            <v>6.0688038391109728E-3</v>
          </cell>
          <cell r="E190">
            <v>3</v>
          </cell>
          <cell r="G190">
            <v>1</v>
          </cell>
        </row>
        <row r="191">
          <cell r="B191" t="str">
            <v>Other Direct</v>
          </cell>
          <cell r="C191">
            <v>1</v>
          </cell>
          <cell r="D191">
            <v>2.1594872180198052E-3</v>
          </cell>
          <cell r="E191">
            <v>17</v>
          </cell>
          <cell r="G191">
            <v>1</v>
          </cell>
        </row>
        <row r="192">
          <cell r="B192" t="str">
            <v>PI Direct</v>
          </cell>
          <cell r="C192">
            <v>1</v>
          </cell>
          <cell r="D192">
            <v>0.43353794705484844</v>
          </cell>
          <cell r="E192">
            <v>871</v>
          </cell>
          <cell r="G192">
            <v>1</v>
          </cell>
        </row>
        <row r="193">
          <cell r="B193" t="str">
            <v>PI Reinsurance</v>
          </cell>
          <cell r="C193">
            <v>1</v>
          </cell>
          <cell r="D193">
            <v>4.2282191254982053E-2</v>
          </cell>
          <cell r="E193">
            <v>93</v>
          </cell>
          <cell r="G193">
            <v>1</v>
          </cell>
        </row>
        <row r="194">
          <cell r="B194" t="str">
            <v>W&amp;I Direct</v>
          </cell>
          <cell r="C194">
            <v>1</v>
          </cell>
          <cell r="D194">
            <v>1.8304836318889722E-2</v>
          </cell>
          <cell r="E194">
            <v>27</v>
          </cell>
          <cell r="G194">
            <v>1</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 process"/>
      <sheetName val="Example data"/>
      <sheetName val="Assumptions"/>
      <sheetName val="Input claims"/>
      <sheetName val="Reserve Changes"/>
      <sheetName val="IBNER"/>
      <sheetName val="Loss database"/>
      <sheetName val="Claim count"/>
      <sheetName val="Payment Pattern"/>
      <sheetName val="Payment pattern analysis"/>
      <sheetName val="Settlement Pattern"/>
      <sheetName val="Exhibits"/>
    </sheetNames>
    <sheetDataSet>
      <sheetData sheetId="0" refreshError="1"/>
      <sheetData sheetId="1" refreshError="1"/>
      <sheetData sheetId="2">
        <row r="7">
          <cell r="L7" t="str">
            <v>Loss occurring</v>
          </cell>
        </row>
        <row r="9">
          <cell r="L9">
            <v>0.05</v>
          </cell>
        </row>
        <row r="11">
          <cell r="L11">
            <v>2004</v>
          </cell>
        </row>
        <row r="13">
          <cell r="L13">
            <v>1</v>
          </cell>
        </row>
        <row r="19">
          <cell r="L19" t="str">
            <v>0 - Default</v>
          </cell>
          <cell r="M19">
            <v>0.05</v>
          </cell>
        </row>
        <row r="20">
          <cell r="L20" t="str">
            <v>Damage</v>
          </cell>
          <cell r="M20">
            <v>0.06</v>
          </cell>
        </row>
        <row r="21">
          <cell r="L21" t="str">
            <v>Injury</v>
          </cell>
          <cell r="M21">
            <v>9.5000000000000001E-2</v>
          </cell>
        </row>
        <row r="22">
          <cell r="L22" t="str">
            <v>Motor</v>
          </cell>
          <cell r="M22">
            <v>0.09</v>
          </cell>
        </row>
        <row r="23">
          <cell r="L23" t="str">
            <v>Unknown</v>
          </cell>
          <cell r="M23">
            <v>0.08</v>
          </cell>
        </row>
        <row r="24">
          <cell r="L24" t="str">
            <v>Motor Eire</v>
          </cell>
          <cell r="M24">
            <v>0.08</v>
          </cell>
        </row>
        <row r="25">
          <cell r="L25">
            <v>0</v>
          </cell>
          <cell r="M25">
            <v>0</v>
          </cell>
        </row>
        <row r="26">
          <cell r="L26">
            <v>0</v>
          </cell>
          <cell r="M26">
            <v>0</v>
          </cell>
        </row>
        <row r="27">
          <cell r="L27">
            <v>0</v>
          </cell>
          <cell r="M27">
            <v>0</v>
          </cell>
        </row>
      </sheetData>
      <sheetData sheetId="3">
        <row r="6">
          <cell r="BH6" t="b">
            <v>0</v>
          </cell>
        </row>
      </sheetData>
      <sheetData sheetId="4" refreshError="1"/>
      <sheetData sheetId="5">
        <row r="62">
          <cell r="G62">
            <v>1</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lisadeFitLinks"/>
      <sheetName val="Assumptions"/>
      <sheetName val="Scrap paper"/>
      <sheetName val="MLE"/>
      <sheetName val="EV Region"/>
      <sheetName val="Severity plot"/>
      <sheetName val="Exposure"/>
      <sheetName val="InputTriangle"/>
      <sheetName val="Projection"/>
      <sheetName val="CapeCod"/>
      <sheetName val="Aggregation"/>
      <sheetName val="PrimeRe Input"/>
      <sheetName val="Workbook map"/>
    </sheetNames>
    <sheetDataSet>
      <sheetData sheetId="0" refreshError="1"/>
      <sheetData sheetId="1">
        <row r="9">
          <cell r="C9">
            <v>3.1E-2</v>
          </cell>
        </row>
        <row r="10">
          <cell r="C10">
            <v>0.03</v>
          </cell>
        </row>
        <row r="24">
          <cell r="C24">
            <v>751</v>
          </cell>
        </row>
        <row r="27">
          <cell r="C27">
            <v>2000000</v>
          </cell>
        </row>
        <row r="28">
          <cell r="C28">
            <v>0.26400000000000001</v>
          </cell>
        </row>
        <row r="29">
          <cell r="C29">
            <v>2161900.4997388921</v>
          </cell>
        </row>
      </sheetData>
      <sheetData sheetId="2" refreshError="1"/>
      <sheetData sheetId="3" refreshError="1"/>
      <sheetData sheetId="4" refreshError="1"/>
      <sheetData sheetId="5" refreshError="1"/>
      <sheetData sheetId="6" refreshError="1"/>
      <sheetData sheetId="7" refreshError="1"/>
      <sheetData sheetId="8" refreshError="1"/>
      <sheetData sheetId="9">
        <row r="3">
          <cell r="D3">
            <v>100000</v>
          </cell>
        </row>
      </sheetData>
      <sheetData sheetId="10">
        <row r="26">
          <cell r="E26">
            <v>1000000</v>
          </cell>
          <cell r="F26">
            <v>3000000</v>
          </cell>
          <cell r="G26">
            <v>5000000</v>
          </cell>
          <cell r="H26">
            <v>15000000</v>
          </cell>
          <cell r="I26">
            <v>9.9999999999999906E+51</v>
          </cell>
          <cell r="J26">
            <v>9.9999999999999906E+51</v>
          </cell>
          <cell r="K26">
            <v>500000</v>
          </cell>
          <cell r="L26">
            <v>2000000</v>
          </cell>
          <cell r="M26">
            <v>2000000</v>
          </cell>
        </row>
        <row r="27">
          <cell r="E27">
            <v>1000000</v>
          </cell>
          <cell r="F27">
            <v>2000000</v>
          </cell>
          <cell r="G27">
            <v>5000000</v>
          </cell>
          <cell r="H27">
            <v>10000000</v>
          </cell>
          <cell r="I27">
            <v>25000000</v>
          </cell>
          <cell r="J27">
            <v>2000000</v>
          </cell>
          <cell r="K27">
            <v>2000000</v>
          </cell>
          <cell r="L27">
            <v>3000000</v>
          </cell>
          <cell r="M27">
            <v>5000000</v>
          </cell>
        </row>
        <row r="34">
          <cell r="D34">
            <v>138</v>
          </cell>
          <cell r="F34">
            <v>0</v>
          </cell>
        </row>
        <row r="35">
          <cell r="D35">
            <v>0.39703768772982218</v>
          </cell>
        </row>
        <row r="36">
          <cell r="D36">
            <v>1766.9232909750067</v>
          </cell>
        </row>
        <row r="37">
          <cell r="D37">
            <v>1</v>
          </cell>
          <cell r="F37">
            <v>2.8599579161642484E-5</v>
          </cell>
          <cell r="H37">
            <v>2.0724332725827887E-7</v>
          </cell>
        </row>
        <row r="38">
          <cell r="D38">
            <v>136</v>
          </cell>
        </row>
        <row r="39">
          <cell r="F39" t="str">
            <v>N/A</v>
          </cell>
        </row>
        <row r="40">
          <cell r="F40">
            <v>7.9</v>
          </cell>
        </row>
        <row r="44">
          <cell r="H44">
            <v>2000000</v>
          </cell>
        </row>
      </sheetData>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DISCLAIMER"/>
      <sheetName val="0. Usage notes"/>
      <sheetName val="1. IBNR Calculations"/>
    </sheetNames>
    <sheetDataSet>
      <sheetData sheetId="0"/>
      <sheetData sheetId="1"/>
      <sheetData sheetId="2">
        <row r="5">
          <cell r="F5">
            <v>38261</v>
          </cell>
        </row>
        <row r="6">
          <cell r="F6">
            <v>41060</v>
          </cell>
          <cell r="W6" t="str">
            <v>No</v>
          </cell>
        </row>
        <row r="7">
          <cell r="F7">
            <v>2799</v>
          </cell>
          <cell r="W7" t="str">
            <v>All losses</v>
          </cell>
        </row>
        <row r="8">
          <cell r="W8">
            <v>14</v>
          </cell>
        </row>
        <row r="9">
          <cell r="W9">
            <v>17</v>
          </cell>
        </row>
        <row r="10">
          <cell r="AQ10">
            <v>1</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7 vs 2008"/>
      <sheetName val="2007 vs 2008 (2)"/>
      <sheetName val="Portfolio 2007"/>
      <sheetName val="Portfolio 2008"/>
    </sheetNames>
    <sheetDataSet>
      <sheetData sheetId="0">
        <row r="8">
          <cell r="A8" t="str">
            <v>Assured</v>
          </cell>
          <cell r="B8" t="str">
            <v>Flag</v>
          </cell>
          <cell r="C8" t="str">
            <v>Inception</v>
          </cell>
          <cell r="D8" t="str">
            <v>Hull Limit</v>
          </cell>
          <cell r="E8" t="str">
            <v>Liability Limit</v>
          </cell>
          <cell r="F8" t="str">
            <v>Line</v>
          </cell>
          <cell r="G8" t="str">
            <v xml:space="preserve">Hull Involvement </v>
          </cell>
          <cell r="H8" t="str">
            <v>Liabs Involvement</v>
          </cell>
          <cell r="I8" t="str">
            <v>Combined</v>
          </cell>
          <cell r="J8" t="str">
            <v>Inception</v>
          </cell>
          <cell r="K8" t="str">
            <v>Hull Limit</v>
          </cell>
          <cell r="L8" t="str">
            <v>Liability Limit</v>
          </cell>
          <cell r="M8" t="str">
            <v>Line</v>
          </cell>
          <cell r="N8" t="str">
            <v xml:space="preserve">Hull Involvement </v>
          </cell>
          <cell r="O8" t="str">
            <v>Liabs Involvement</v>
          </cell>
          <cell r="P8" t="str">
            <v>Combined 2</v>
          </cell>
          <cell r="Q8" t="str">
            <v xml:space="preserve">Change in Hull Involvement </v>
          </cell>
          <cell r="S8" t="str">
            <v>Change in Liabs Involvement</v>
          </cell>
        </row>
        <row r="9">
          <cell r="A9" t="str">
            <v>AERO NORTH ICELANDIC</v>
          </cell>
          <cell r="B9" t="str">
            <v>Indonesia</v>
          </cell>
          <cell r="C9">
            <v>39111</v>
          </cell>
          <cell r="D9">
            <v>20000000</v>
          </cell>
          <cell r="E9">
            <v>350000000</v>
          </cell>
          <cell r="F9">
            <v>0.02</v>
          </cell>
          <cell r="G9">
            <v>400000</v>
          </cell>
          <cell r="H9">
            <v>7000000</v>
          </cell>
          <cell r="I9">
            <v>7400000</v>
          </cell>
          <cell r="J9">
            <v>39536</v>
          </cell>
          <cell r="K9">
            <v>20000000</v>
          </cell>
          <cell r="L9">
            <v>500000000</v>
          </cell>
          <cell r="M9">
            <v>0.02</v>
          </cell>
          <cell r="N9">
            <v>400000</v>
          </cell>
          <cell r="O9">
            <v>10000000</v>
          </cell>
          <cell r="P9">
            <v>10400000</v>
          </cell>
          <cell r="Q9">
            <v>0</v>
          </cell>
          <cell r="R9">
            <v>0</v>
          </cell>
          <cell r="S9">
            <v>3000000</v>
          </cell>
          <cell r="T9">
            <v>3000000</v>
          </cell>
        </row>
        <row r="10">
          <cell r="A10" t="str">
            <v xml:space="preserve">AEROFLOT RUSSIAN AIRLINES </v>
          </cell>
          <cell r="B10" t="str">
            <v>Russia</v>
          </cell>
          <cell r="C10">
            <v>39265</v>
          </cell>
          <cell r="D10">
            <v>181000000</v>
          </cell>
          <cell r="E10">
            <v>1000000000</v>
          </cell>
          <cell r="F10">
            <v>0.01</v>
          </cell>
          <cell r="G10">
            <v>1810000</v>
          </cell>
          <cell r="H10">
            <v>10000000</v>
          </cell>
          <cell r="I10">
            <v>11810000</v>
          </cell>
          <cell r="J10">
            <v>39631</v>
          </cell>
          <cell r="K10">
            <v>181000000</v>
          </cell>
          <cell r="L10">
            <v>1000000000</v>
          </cell>
          <cell r="M10">
            <v>1.2999999999999999E-2</v>
          </cell>
          <cell r="N10">
            <v>2353000</v>
          </cell>
          <cell r="O10">
            <v>13000000</v>
          </cell>
          <cell r="P10">
            <v>15353000</v>
          </cell>
          <cell r="Q10">
            <v>543000</v>
          </cell>
          <cell r="R10">
            <v>543000</v>
          </cell>
          <cell r="S10">
            <v>3000000</v>
          </cell>
          <cell r="T10">
            <v>3000000</v>
          </cell>
        </row>
        <row r="11">
          <cell r="A11" t="str">
            <v xml:space="preserve">AEROLINEAS ARGENTINAS </v>
          </cell>
          <cell r="B11" t="str">
            <v>Spain</v>
          </cell>
          <cell r="C11">
            <v>39173</v>
          </cell>
          <cell r="D11">
            <v>157000000</v>
          </cell>
          <cell r="E11">
            <v>1250000000</v>
          </cell>
          <cell r="F11">
            <v>1.4999999999999999E-2</v>
          </cell>
          <cell r="G11">
            <v>2355000</v>
          </cell>
          <cell r="H11">
            <v>18750000</v>
          </cell>
          <cell r="I11">
            <v>21105000</v>
          </cell>
          <cell r="M11">
            <v>0</v>
          </cell>
          <cell r="N11">
            <v>0</v>
          </cell>
          <cell r="O11">
            <v>0</v>
          </cell>
          <cell r="P11">
            <v>0</v>
          </cell>
          <cell r="Q11">
            <v>-2355000</v>
          </cell>
          <cell r="R11">
            <v>-2355000</v>
          </cell>
          <cell r="S11">
            <v>-18750000</v>
          </cell>
          <cell r="T11">
            <v>-18750000</v>
          </cell>
        </row>
        <row r="12">
          <cell r="A12" t="str">
            <v>AEROMEXICO</v>
          </cell>
          <cell r="B12" t="str">
            <v>Mexico</v>
          </cell>
          <cell r="J12">
            <v>39692</v>
          </cell>
          <cell r="K12">
            <v>201000000</v>
          </cell>
          <cell r="L12">
            <v>1500000000</v>
          </cell>
          <cell r="M12">
            <v>0.01</v>
          </cell>
          <cell r="N12">
            <v>2010000</v>
          </cell>
          <cell r="O12">
            <v>15000000</v>
          </cell>
          <cell r="P12">
            <v>17010000</v>
          </cell>
          <cell r="Q12">
            <v>2010000</v>
          </cell>
          <cell r="R12">
            <v>2010000</v>
          </cell>
          <cell r="S12">
            <v>15000000</v>
          </cell>
          <cell r="T12">
            <v>15000000</v>
          </cell>
        </row>
        <row r="13">
          <cell r="A13" t="str">
            <v>AEROSVIT AIRLINES</v>
          </cell>
          <cell r="B13" t="str">
            <v>Ukraine</v>
          </cell>
          <cell r="C13">
            <v>38990</v>
          </cell>
          <cell r="D13">
            <v>60000000</v>
          </cell>
          <cell r="E13">
            <v>750000000</v>
          </cell>
          <cell r="F13">
            <v>9.2999999999999992E-3</v>
          </cell>
          <cell r="G13">
            <v>558000</v>
          </cell>
          <cell r="H13">
            <v>6974999.9999999991</v>
          </cell>
          <cell r="I13">
            <v>7532999.9999999991</v>
          </cell>
          <cell r="M13">
            <v>0</v>
          </cell>
          <cell r="N13">
            <v>0</v>
          </cell>
          <cell r="O13">
            <v>0</v>
          </cell>
          <cell r="P13">
            <v>0</v>
          </cell>
          <cell r="Q13">
            <v>-558000</v>
          </cell>
          <cell r="R13">
            <v>-558000</v>
          </cell>
          <cell r="S13">
            <v>-6974999.9999999991</v>
          </cell>
          <cell r="T13">
            <v>-6974999.9999999991</v>
          </cell>
        </row>
        <row r="14">
          <cell r="A14" t="str">
            <v>AGEAN AIRLINES</v>
          </cell>
          <cell r="B14" t="str">
            <v>Greece</v>
          </cell>
          <cell r="C14">
            <v>39251</v>
          </cell>
          <cell r="D14">
            <v>65000000</v>
          </cell>
          <cell r="E14">
            <v>750000000</v>
          </cell>
          <cell r="F14">
            <v>0</v>
          </cell>
          <cell r="G14">
            <v>0</v>
          </cell>
          <cell r="H14">
            <v>0</v>
          </cell>
          <cell r="I14">
            <v>0</v>
          </cell>
          <cell r="J14">
            <v>39617</v>
          </cell>
          <cell r="K14">
            <v>70000000</v>
          </cell>
          <cell r="L14">
            <v>750000000</v>
          </cell>
          <cell r="M14">
            <v>0.02</v>
          </cell>
          <cell r="N14">
            <v>1400000</v>
          </cell>
          <cell r="O14">
            <v>15000000</v>
          </cell>
          <cell r="P14">
            <v>16400000</v>
          </cell>
          <cell r="Q14">
            <v>1400000</v>
          </cell>
          <cell r="R14">
            <v>1400000</v>
          </cell>
          <cell r="S14">
            <v>15000000</v>
          </cell>
          <cell r="T14">
            <v>15000000</v>
          </cell>
        </row>
        <row r="15">
          <cell r="A15" t="str">
            <v>AIGLE AZUR/AIR MEDITERRANEE</v>
          </cell>
          <cell r="B15" t="str">
            <v>France</v>
          </cell>
          <cell r="C15">
            <v>39264</v>
          </cell>
          <cell r="D15">
            <v>75000000</v>
          </cell>
          <cell r="E15">
            <v>650000000</v>
          </cell>
          <cell r="F15">
            <v>0.02</v>
          </cell>
          <cell r="G15">
            <v>1500000</v>
          </cell>
          <cell r="H15">
            <v>13000000</v>
          </cell>
          <cell r="I15">
            <v>14500000</v>
          </cell>
          <cell r="J15">
            <v>39264</v>
          </cell>
          <cell r="K15">
            <v>75000000</v>
          </cell>
          <cell r="L15">
            <v>800000000</v>
          </cell>
          <cell r="M15">
            <v>0.02</v>
          </cell>
          <cell r="N15">
            <v>1500000</v>
          </cell>
          <cell r="O15">
            <v>16000000</v>
          </cell>
          <cell r="P15">
            <v>17500000</v>
          </cell>
          <cell r="Q15">
            <v>0</v>
          </cell>
          <cell r="R15">
            <v>0</v>
          </cell>
          <cell r="S15">
            <v>3000000</v>
          </cell>
          <cell r="T15">
            <v>3000000</v>
          </cell>
        </row>
        <row r="16">
          <cell r="A16" t="str">
            <v>AIR ALGERIE</v>
          </cell>
          <cell r="B16" t="str">
            <v>Algerie</v>
          </cell>
          <cell r="C16">
            <v>38991</v>
          </cell>
          <cell r="D16">
            <v>166000000</v>
          </cell>
          <cell r="E16">
            <v>1000000000</v>
          </cell>
          <cell r="F16">
            <v>8.0000000000000002E-3</v>
          </cell>
          <cell r="G16">
            <v>1328000</v>
          </cell>
          <cell r="H16">
            <v>8000000</v>
          </cell>
          <cell r="I16">
            <v>9328000</v>
          </cell>
          <cell r="M16">
            <v>0</v>
          </cell>
          <cell r="N16">
            <v>0</v>
          </cell>
          <cell r="O16">
            <v>0</v>
          </cell>
          <cell r="P16">
            <v>0</v>
          </cell>
          <cell r="Q16">
            <v>-1328000</v>
          </cell>
          <cell r="R16">
            <v>-1328000</v>
          </cell>
          <cell r="S16">
            <v>-8000000</v>
          </cell>
          <cell r="T16">
            <v>-8000000</v>
          </cell>
        </row>
        <row r="17">
          <cell r="A17" t="str">
            <v>AIR ATLANTIC ICELLANDIC</v>
          </cell>
          <cell r="B17" t="str">
            <v>Iceland</v>
          </cell>
          <cell r="J17">
            <v>39415</v>
          </cell>
          <cell r="K17">
            <v>175000000</v>
          </cell>
          <cell r="L17">
            <v>1000000000</v>
          </cell>
          <cell r="M17">
            <v>0.01</v>
          </cell>
          <cell r="N17">
            <v>1750000</v>
          </cell>
          <cell r="O17">
            <v>10000000</v>
          </cell>
          <cell r="P17">
            <v>11750000</v>
          </cell>
          <cell r="Q17">
            <v>1750000</v>
          </cell>
          <cell r="R17">
            <v>1750000</v>
          </cell>
          <cell r="S17">
            <v>10000000</v>
          </cell>
          <cell r="T17">
            <v>10000000</v>
          </cell>
        </row>
        <row r="18">
          <cell r="A18" t="str">
            <v>AIR BERLIN / NIKI</v>
          </cell>
          <cell r="B18" t="str">
            <v>Germany</v>
          </cell>
          <cell r="C18">
            <v>39176</v>
          </cell>
          <cell r="D18">
            <v>66000000</v>
          </cell>
          <cell r="E18">
            <v>1200000000</v>
          </cell>
          <cell r="F18">
            <v>0.01</v>
          </cell>
          <cell r="G18">
            <v>660000</v>
          </cell>
          <cell r="H18">
            <v>12000000</v>
          </cell>
          <cell r="I18">
            <v>12660000</v>
          </cell>
          <cell r="J18">
            <v>39542</v>
          </cell>
          <cell r="K18">
            <v>85000000</v>
          </cell>
          <cell r="L18">
            <v>1500000000</v>
          </cell>
          <cell r="M18">
            <v>1.2999999999999999E-2</v>
          </cell>
          <cell r="N18">
            <v>1105000</v>
          </cell>
          <cell r="O18">
            <v>19500000</v>
          </cell>
          <cell r="P18">
            <v>20605000</v>
          </cell>
          <cell r="Q18">
            <v>445000</v>
          </cell>
          <cell r="R18">
            <v>445000</v>
          </cell>
          <cell r="S18">
            <v>7500000</v>
          </cell>
          <cell r="T18">
            <v>7500000</v>
          </cell>
        </row>
        <row r="19">
          <cell r="A19" t="str">
            <v>AIR CAIRO</v>
          </cell>
          <cell r="B19" t="str">
            <v>Egypt</v>
          </cell>
          <cell r="C19">
            <v>39010</v>
          </cell>
          <cell r="D19">
            <v>60000000</v>
          </cell>
          <cell r="E19">
            <v>600000000</v>
          </cell>
          <cell r="F19">
            <v>0</v>
          </cell>
          <cell r="G19">
            <v>0</v>
          </cell>
          <cell r="H19">
            <v>0</v>
          </cell>
          <cell r="I19">
            <v>0</v>
          </cell>
          <cell r="M19">
            <v>0</v>
          </cell>
          <cell r="N19">
            <v>0</v>
          </cell>
          <cell r="O19">
            <v>0</v>
          </cell>
          <cell r="P19">
            <v>0</v>
          </cell>
          <cell r="Q19">
            <v>0</v>
          </cell>
          <cell r="R19">
            <v>0</v>
          </cell>
          <cell r="S19">
            <v>0</v>
          </cell>
          <cell r="T19">
            <v>0</v>
          </cell>
        </row>
        <row r="20">
          <cell r="A20" t="str">
            <v>AIR EUROPA</v>
          </cell>
          <cell r="B20" t="str">
            <v>Spain</v>
          </cell>
          <cell r="C20">
            <v>39022</v>
          </cell>
          <cell r="D20">
            <v>175000000</v>
          </cell>
          <cell r="E20">
            <v>1000000000</v>
          </cell>
          <cell r="F20">
            <v>1.4999999999999999E-2</v>
          </cell>
          <cell r="G20">
            <v>2625000</v>
          </cell>
          <cell r="H20">
            <v>15000000</v>
          </cell>
          <cell r="I20">
            <v>17625000</v>
          </cell>
          <cell r="J20">
            <v>39387</v>
          </cell>
          <cell r="K20">
            <v>194500000</v>
          </cell>
          <cell r="L20">
            <v>1025000000</v>
          </cell>
          <cell r="M20">
            <v>1.2999999999999999E-2</v>
          </cell>
          <cell r="N20">
            <v>2528500</v>
          </cell>
          <cell r="O20">
            <v>13325000</v>
          </cell>
          <cell r="P20">
            <v>15853500</v>
          </cell>
          <cell r="Q20">
            <v>-96500</v>
          </cell>
          <cell r="R20">
            <v>-96500</v>
          </cell>
          <cell r="S20">
            <v>-1675000</v>
          </cell>
          <cell r="T20">
            <v>-1675000</v>
          </cell>
        </row>
        <row r="21">
          <cell r="A21" t="str">
            <v>AIR INDIA</v>
          </cell>
          <cell r="B21" t="str">
            <v>India</v>
          </cell>
          <cell r="C21">
            <v>39264</v>
          </cell>
          <cell r="D21">
            <v>285000000</v>
          </cell>
          <cell r="E21">
            <v>1500000000</v>
          </cell>
          <cell r="F21">
            <v>0.01</v>
          </cell>
          <cell r="G21">
            <v>2850000</v>
          </cell>
          <cell r="H21">
            <v>15000000</v>
          </cell>
          <cell r="I21">
            <v>17850000</v>
          </cell>
          <cell r="J21">
            <v>39630</v>
          </cell>
          <cell r="K21">
            <v>275000000</v>
          </cell>
          <cell r="L21">
            <v>1500000000</v>
          </cell>
          <cell r="M21">
            <v>0.01</v>
          </cell>
          <cell r="N21">
            <v>2750000</v>
          </cell>
          <cell r="O21">
            <v>15000000</v>
          </cell>
          <cell r="P21">
            <v>17750000</v>
          </cell>
          <cell r="Q21">
            <v>-100000</v>
          </cell>
          <cell r="R21">
            <v>-100000</v>
          </cell>
          <cell r="S21">
            <v>0</v>
          </cell>
          <cell r="T21">
            <v>0</v>
          </cell>
        </row>
        <row r="22">
          <cell r="A22" t="str">
            <v>AIR JAMAICA</v>
          </cell>
          <cell r="B22" t="str">
            <v>Jamaica</v>
          </cell>
          <cell r="C22">
            <v>39173</v>
          </cell>
          <cell r="D22">
            <v>125000000</v>
          </cell>
          <cell r="E22">
            <v>1250000000</v>
          </cell>
          <cell r="F22">
            <v>1.4999999999999999E-2</v>
          </cell>
          <cell r="G22">
            <v>1875000</v>
          </cell>
          <cell r="H22">
            <v>18750000</v>
          </cell>
          <cell r="I22">
            <v>20625000</v>
          </cell>
          <cell r="J22">
            <v>39569</v>
          </cell>
          <cell r="K22">
            <v>125000000</v>
          </cell>
          <cell r="L22">
            <v>1250000000</v>
          </cell>
          <cell r="M22">
            <v>1.4999999999999999E-2</v>
          </cell>
          <cell r="N22">
            <v>1875000</v>
          </cell>
          <cell r="O22">
            <v>18750000</v>
          </cell>
          <cell r="P22">
            <v>20625000</v>
          </cell>
          <cell r="Q22">
            <v>0</v>
          </cell>
          <cell r="R22">
            <v>0</v>
          </cell>
          <cell r="S22">
            <v>0</v>
          </cell>
          <cell r="T22">
            <v>0</v>
          </cell>
        </row>
        <row r="23">
          <cell r="A23" t="str">
            <v>AIR MACAU COMPANY LIMITED</v>
          </cell>
          <cell r="B23" t="str">
            <v>Macau</v>
          </cell>
          <cell r="C23">
            <v>39264</v>
          </cell>
          <cell r="D23">
            <v>100000000</v>
          </cell>
          <cell r="E23">
            <v>750000000</v>
          </cell>
          <cell r="F23">
            <v>0.02</v>
          </cell>
          <cell r="G23">
            <v>2000000</v>
          </cell>
          <cell r="H23">
            <v>15000000</v>
          </cell>
          <cell r="I23">
            <v>17000000</v>
          </cell>
          <cell r="J23">
            <v>39630</v>
          </cell>
          <cell r="K23">
            <v>110000000</v>
          </cell>
          <cell r="L23">
            <v>750000000</v>
          </cell>
          <cell r="M23">
            <v>0.02</v>
          </cell>
          <cell r="N23">
            <v>2200000</v>
          </cell>
          <cell r="O23">
            <v>15000000</v>
          </cell>
          <cell r="P23">
            <v>17200000</v>
          </cell>
          <cell r="Q23">
            <v>200000</v>
          </cell>
          <cell r="R23">
            <v>200000</v>
          </cell>
          <cell r="S23">
            <v>0</v>
          </cell>
          <cell r="T23">
            <v>0</v>
          </cell>
        </row>
        <row r="24">
          <cell r="A24" t="str">
            <v>AIR MAURITIUS</v>
          </cell>
          <cell r="B24" t="str">
            <v>Mauritius</v>
          </cell>
          <cell r="C24">
            <v>39173</v>
          </cell>
          <cell r="D24">
            <v>150000000</v>
          </cell>
          <cell r="E24">
            <v>1500000000</v>
          </cell>
          <cell r="F24">
            <v>0</v>
          </cell>
          <cell r="G24">
            <v>0</v>
          </cell>
          <cell r="H24">
            <v>0</v>
          </cell>
          <cell r="I24">
            <v>0</v>
          </cell>
          <cell r="J24">
            <v>39539</v>
          </cell>
          <cell r="K24">
            <v>150000000</v>
          </cell>
          <cell r="L24">
            <v>1500000000</v>
          </cell>
          <cell r="M24">
            <v>0.01</v>
          </cell>
          <cell r="N24">
            <v>1500000</v>
          </cell>
          <cell r="O24">
            <v>15000000</v>
          </cell>
          <cell r="P24">
            <v>16500000</v>
          </cell>
          <cell r="Q24">
            <v>1500000</v>
          </cell>
          <cell r="R24">
            <v>1500000</v>
          </cell>
          <cell r="S24">
            <v>15000000</v>
          </cell>
          <cell r="T24">
            <v>15000000</v>
          </cell>
        </row>
        <row r="25">
          <cell r="A25" t="str">
            <v>AIR NOSTRUM</v>
          </cell>
          <cell r="B25" t="str">
            <v>Spain</v>
          </cell>
          <cell r="C25">
            <v>39142</v>
          </cell>
          <cell r="D25">
            <v>40000000</v>
          </cell>
          <cell r="E25">
            <v>400000000</v>
          </cell>
          <cell r="F25">
            <v>0.03</v>
          </cell>
          <cell r="G25">
            <v>1200000</v>
          </cell>
          <cell r="H25">
            <v>12000000</v>
          </cell>
          <cell r="I25">
            <v>13200000</v>
          </cell>
          <cell r="J25">
            <v>39508</v>
          </cell>
          <cell r="K25">
            <v>45000000</v>
          </cell>
          <cell r="L25">
            <v>400000000</v>
          </cell>
          <cell r="M25">
            <v>0.05</v>
          </cell>
          <cell r="N25">
            <v>2250000</v>
          </cell>
          <cell r="O25">
            <v>20000000</v>
          </cell>
          <cell r="P25">
            <v>22250000</v>
          </cell>
          <cell r="Q25">
            <v>1050000</v>
          </cell>
          <cell r="R25">
            <v>1050000</v>
          </cell>
          <cell r="S25">
            <v>8000000</v>
          </cell>
          <cell r="T25">
            <v>8000000</v>
          </cell>
        </row>
        <row r="26">
          <cell r="A26" t="str">
            <v>AIR PLUS COMET</v>
          </cell>
          <cell r="B26" t="str">
            <v>Spain</v>
          </cell>
          <cell r="J26">
            <v>39539</v>
          </cell>
          <cell r="K26">
            <v>150000000</v>
          </cell>
          <cell r="L26">
            <v>1000000000</v>
          </cell>
          <cell r="M26">
            <v>0.01</v>
          </cell>
          <cell r="N26">
            <v>1500000</v>
          </cell>
          <cell r="O26">
            <v>10000000</v>
          </cell>
          <cell r="P26">
            <v>11500000</v>
          </cell>
          <cell r="Q26">
            <v>1500000</v>
          </cell>
          <cell r="R26">
            <v>1500000</v>
          </cell>
          <cell r="S26">
            <v>10000000</v>
          </cell>
          <cell r="T26">
            <v>10000000</v>
          </cell>
        </row>
        <row r="27">
          <cell r="A27" t="str">
            <v>AIR TAHITI NUI/AIR CALEDONIE</v>
          </cell>
          <cell r="B27" t="str">
            <v>France</v>
          </cell>
          <cell r="C27">
            <v>39031</v>
          </cell>
          <cell r="D27">
            <v>180500000</v>
          </cell>
          <cell r="E27">
            <v>1500000000</v>
          </cell>
          <cell r="F27">
            <v>0.01</v>
          </cell>
          <cell r="G27">
            <v>1805000</v>
          </cell>
          <cell r="H27">
            <v>15000000</v>
          </cell>
          <cell r="I27">
            <v>16805000</v>
          </cell>
          <cell r="J27">
            <v>39417</v>
          </cell>
          <cell r="K27">
            <v>175000000</v>
          </cell>
          <cell r="L27">
            <v>1500000000</v>
          </cell>
          <cell r="M27">
            <v>1.2999999999999999E-2</v>
          </cell>
          <cell r="N27">
            <v>2275000</v>
          </cell>
          <cell r="O27">
            <v>19500000</v>
          </cell>
          <cell r="P27">
            <v>21775000</v>
          </cell>
          <cell r="Q27">
            <v>470000</v>
          </cell>
          <cell r="R27">
            <v>470000</v>
          </cell>
          <cell r="S27">
            <v>4500000</v>
          </cell>
          <cell r="T27">
            <v>4500000</v>
          </cell>
        </row>
        <row r="28">
          <cell r="A28" t="str">
            <v>AIR TANZANIA</v>
          </cell>
          <cell r="B28" t="str">
            <v>Tanzania</v>
          </cell>
          <cell r="C28">
            <v>39022</v>
          </cell>
          <cell r="D28">
            <v>20000000</v>
          </cell>
          <cell r="E28">
            <v>500000000</v>
          </cell>
          <cell r="F28">
            <v>0</v>
          </cell>
          <cell r="G28">
            <v>0</v>
          </cell>
          <cell r="H28">
            <v>0</v>
          </cell>
          <cell r="I28">
            <v>0</v>
          </cell>
          <cell r="M28">
            <v>0</v>
          </cell>
          <cell r="N28">
            <v>0</v>
          </cell>
          <cell r="O28">
            <v>0</v>
          </cell>
          <cell r="P28">
            <v>0</v>
          </cell>
          <cell r="Q28">
            <v>0</v>
          </cell>
          <cell r="R28">
            <v>0</v>
          </cell>
          <cell r="S28">
            <v>0</v>
          </cell>
          <cell r="T28">
            <v>0</v>
          </cell>
        </row>
        <row r="29">
          <cell r="A29" t="str">
            <v>AIR VANAUTU</v>
          </cell>
          <cell r="B29" t="str">
            <v>Vanautu</v>
          </cell>
          <cell r="C29">
            <v>39022</v>
          </cell>
          <cell r="D29">
            <v>50000000</v>
          </cell>
          <cell r="E29">
            <v>800000000</v>
          </cell>
          <cell r="F29">
            <v>0</v>
          </cell>
          <cell r="G29">
            <v>0</v>
          </cell>
          <cell r="H29">
            <v>0</v>
          </cell>
          <cell r="I29">
            <v>0</v>
          </cell>
          <cell r="M29">
            <v>0</v>
          </cell>
          <cell r="N29">
            <v>0</v>
          </cell>
          <cell r="O29">
            <v>0</v>
          </cell>
          <cell r="P29">
            <v>0</v>
          </cell>
          <cell r="Q29">
            <v>0</v>
          </cell>
          <cell r="R29">
            <v>0</v>
          </cell>
          <cell r="S29">
            <v>0</v>
          </cell>
          <cell r="T29">
            <v>0</v>
          </cell>
        </row>
        <row r="30">
          <cell r="A30" t="str">
            <v>ALL NIPPON AIRWAYS</v>
          </cell>
          <cell r="B30" t="str">
            <v>Japan</v>
          </cell>
          <cell r="C30">
            <v>39052</v>
          </cell>
          <cell r="D30">
            <v>238340000</v>
          </cell>
          <cell r="E30">
            <v>2000000000</v>
          </cell>
          <cell r="F30">
            <v>0.01</v>
          </cell>
          <cell r="G30">
            <v>2383400</v>
          </cell>
          <cell r="H30">
            <v>20000000</v>
          </cell>
          <cell r="I30">
            <v>22383400</v>
          </cell>
          <cell r="J30">
            <v>39417</v>
          </cell>
          <cell r="K30">
            <v>239130435</v>
          </cell>
          <cell r="L30">
            <v>2000000000</v>
          </cell>
          <cell r="M30">
            <v>0.01</v>
          </cell>
          <cell r="N30">
            <v>2391304.35</v>
          </cell>
          <cell r="O30">
            <v>20000000</v>
          </cell>
          <cell r="P30">
            <v>22391304.350000001</v>
          </cell>
          <cell r="Q30">
            <v>7904.3500000000931</v>
          </cell>
          <cell r="R30">
            <v>7904.3500000000931</v>
          </cell>
          <cell r="S30">
            <v>0</v>
          </cell>
          <cell r="T30">
            <v>0</v>
          </cell>
        </row>
        <row r="31">
          <cell r="A31" t="str">
            <v>ASTRAEUS LIMITED</v>
          </cell>
          <cell r="B31" t="str">
            <v>UK</v>
          </cell>
          <cell r="C31">
            <v>39176</v>
          </cell>
          <cell r="D31">
            <v>55000000</v>
          </cell>
          <cell r="E31">
            <v>750000000</v>
          </cell>
          <cell r="F31">
            <v>0</v>
          </cell>
          <cell r="G31">
            <v>0</v>
          </cell>
          <cell r="H31">
            <v>0</v>
          </cell>
          <cell r="I31">
            <v>0</v>
          </cell>
          <cell r="M31">
            <v>0</v>
          </cell>
          <cell r="N31">
            <v>0</v>
          </cell>
          <cell r="O31">
            <v>0</v>
          </cell>
          <cell r="P31">
            <v>0</v>
          </cell>
          <cell r="Q31">
            <v>0</v>
          </cell>
          <cell r="R31">
            <v>0</v>
          </cell>
          <cell r="S31">
            <v>0</v>
          </cell>
          <cell r="T31">
            <v>0</v>
          </cell>
        </row>
        <row r="32">
          <cell r="A32" t="str">
            <v>ATR</v>
          </cell>
          <cell r="B32" t="str">
            <v>France</v>
          </cell>
          <cell r="J32">
            <v>39661</v>
          </cell>
          <cell r="K32">
            <v>20000000</v>
          </cell>
          <cell r="L32">
            <v>500000000</v>
          </cell>
          <cell r="M32">
            <v>0.02</v>
          </cell>
          <cell r="N32">
            <v>400000</v>
          </cell>
          <cell r="O32">
            <v>10000000</v>
          </cell>
          <cell r="P32">
            <v>10400000</v>
          </cell>
          <cell r="Q32">
            <v>400000</v>
          </cell>
          <cell r="R32">
            <v>400000</v>
          </cell>
          <cell r="S32">
            <v>10000000</v>
          </cell>
          <cell r="T32">
            <v>10000000</v>
          </cell>
        </row>
        <row r="33">
          <cell r="A33" t="str">
            <v>AUDELI</v>
          </cell>
          <cell r="B33" t="str">
            <v>Spain</v>
          </cell>
          <cell r="C33">
            <v>39217</v>
          </cell>
          <cell r="D33">
            <v>143000000</v>
          </cell>
          <cell r="E33">
            <v>1000000000</v>
          </cell>
          <cell r="F33">
            <v>0</v>
          </cell>
          <cell r="G33">
            <v>0</v>
          </cell>
          <cell r="H33">
            <v>0</v>
          </cell>
          <cell r="I33">
            <v>0</v>
          </cell>
          <cell r="M33">
            <v>0</v>
          </cell>
          <cell r="N33">
            <v>0</v>
          </cell>
          <cell r="O33">
            <v>0</v>
          </cell>
          <cell r="P33">
            <v>0</v>
          </cell>
          <cell r="Q33">
            <v>0</v>
          </cell>
          <cell r="R33">
            <v>0</v>
          </cell>
          <cell r="S33">
            <v>0</v>
          </cell>
          <cell r="T33">
            <v>0</v>
          </cell>
        </row>
        <row r="34">
          <cell r="A34" t="str">
            <v>AVION GROUP HF</v>
          </cell>
          <cell r="B34" t="str">
            <v>UK</v>
          </cell>
          <cell r="C34">
            <v>39050</v>
          </cell>
          <cell r="D34">
            <v>110000000</v>
          </cell>
          <cell r="E34">
            <v>1000000000</v>
          </cell>
          <cell r="F34">
            <v>1.4999999999999999E-2</v>
          </cell>
          <cell r="G34">
            <v>1650000</v>
          </cell>
          <cell r="H34">
            <v>15000000</v>
          </cell>
          <cell r="I34">
            <v>16650000</v>
          </cell>
          <cell r="M34">
            <v>0</v>
          </cell>
          <cell r="N34">
            <v>0</v>
          </cell>
          <cell r="O34">
            <v>0</v>
          </cell>
          <cell r="P34">
            <v>0</v>
          </cell>
          <cell r="Q34">
            <v>-1650000</v>
          </cell>
          <cell r="R34">
            <v>-1650000</v>
          </cell>
          <cell r="S34">
            <v>-15000000</v>
          </cell>
          <cell r="T34">
            <v>-15000000</v>
          </cell>
        </row>
        <row r="35">
          <cell r="A35" t="str">
            <v>BANGKOK AIRWAYS</v>
          </cell>
          <cell r="B35" t="str">
            <v>Thai</v>
          </cell>
          <cell r="C35">
            <v>39169</v>
          </cell>
          <cell r="D35">
            <v>90000000</v>
          </cell>
          <cell r="E35">
            <v>750000000</v>
          </cell>
          <cell r="F35">
            <v>1.4999999999999999E-2</v>
          </cell>
          <cell r="G35">
            <v>1350000</v>
          </cell>
          <cell r="H35">
            <v>11250000</v>
          </cell>
          <cell r="I35">
            <v>12600000</v>
          </cell>
          <cell r="J35">
            <v>39535</v>
          </cell>
          <cell r="K35">
            <v>90000000</v>
          </cell>
          <cell r="L35">
            <v>750000000</v>
          </cell>
          <cell r="M35">
            <v>1.4999999999999999E-2</v>
          </cell>
          <cell r="N35">
            <v>1350000</v>
          </cell>
          <cell r="O35">
            <v>11250000</v>
          </cell>
          <cell r="P35">
            <v>12600000</v>
          </cell>
          <cell r="Q35">
            <v>0</v>
          </cell>
          <cell r="R35">
            <v>0</v>
          </cell>
          <cell r="S35">
            <v>0</v>
          </cell>
          <cell r="T35">
            <v>0</v>
          </cell>
        </row>
        <row r="36">
          <cell r="A36" t="str">
            <v>CAL CARGO</v>
          </cell>
          <cell r="B36" t="str">
            <v>Israel</v>
          </cell>
          <cell r="C36">
            <v>39040</v>
          </cell>
          <cell r="D36">
            <v>40000000</v>
          </cell>
          <cell r="E36">
            <v>850000000</v>
          </cell>
          <cell r="F36">
            <v>0</v>
          </cell>
          <cell r="G36">
            <v>0</v>
          </cell>
          <cell r="H36">
            <v>0</v>
          </cell>
          <cell r="I36">
            <v>0</v>
          </cell>
          <cell r="M36">
            <v>0</v>
          </cell>
          <cell r="N36">
            <v>0</v>
          </cell>
          <cell r="O36">
            <v>0</v>
          </cell>
          <cell r="P36">
            <v>0</v>
          </cell>
          <cell r="Q36">
            <v>0</v>
          </cell>
          <cell r="R36">
            <v>0</v>
          </cell>
          <cell r="S36">
            <v>0</v>
          </cell>
          <cell r="T36">
            <v>0</v>
          </cell>
        </row>
        <row r="37">
          <cell r="A37" t="str">
            <v>CARPAT AIR / MOLDAVIAN AIRLINES</v>
          </cell>
          <cell r="B37" t="str">
            <v>Rumania</v>
          </cell>
          <cell r="C37">
            <v>39073</v>
          </cell>
          <cell r="D37">
            <v>10000000</v>
          </cell>
          <cell r="E37">
            <v>300000000</v>
          </cell>
          <cell r="F37">
            <v>0</v>
          </cell>
          <cell r="G37">
            <v>0</v>
          </cell>
          <cell r="H37">
            <v>0</v>
          </cell>
          <cell r="I37">
            <v>0</v>
          </cell>
          <cell r="M37">
            <v>0</v>
          </cell>
          <cell r="N37">
            <v>0</v>
          </cell>
          <cell r="O37">
            <v>0</v>
          </cell>
          <cell r="P37">
            <v>0</v>
          </cell>
          <cell r="Q37">
            <v>0</v>
          </cell>
          <cell r="R37">
            <v>0</v>
          </cell>
          <cell r="S37">
            <v>0</v>
          </cell>
          <cell r="T37">
            <v>0</v>
          </cell>
        </row>
        <row r="38">
          <cell r="A38" t="str">
            <v>CARIBBEAN AIRLINES</v>
          </cell>
          <cell r="B38" t="str">
            <v>Trinidad</v>
          </cell>
          <cell r="C38">
            <v>39022</v>
          </cell>
          <cell r="D38">
            <v>100000000</v>
          </cell>
          <cell r="E38">
            <v>1000000000</v>
          </cell>
          <cell r="F38">
            <v>0.01</v>
          </cell>
          <cell r="G38">
            <v>1000000</v>
          </cell>
          <cell r="H38">
            <v>10000000</v>
          </cell>
          <cell r="I38">
            <v>11000000</v>
          </cell>
          <cell r="J38">
            <v>39387</v>
          </cell>
          <cell r="K38">
            <v>100000000</v>
          </cell>
          <cell r="L38">
            <v>750000000</v>
          </cell>
          <cell r="M38">
            <v>0.01</v>
          </cell>
          <cell r="N38">
            <v>1000000</v>
          </cell>
          <cell r="O38">
            <v>7500000</v>
          </cell>
          <cell r="P38">
            <v>8500000</v>
          </cell>
          <cell r="Q38">
            <v>0</v>
          </cell>
          <cell r="R38">
            <v>0</v>
          </cell>
          <cell r="S38">
            <v>-2500000</v>
          </cell>
          <cell r="T38">
            <v>-2500000</v>
          </cell>
        </row>
        <row r="39">
          <cell r="A39" t="str">
            <v>CARRIBEAN AIRLINES/LIAT</v>
          </cell>
          <cell r="B39" t="str">
            <v>Antigua</v>
          </cell>
          <cell r="C39">
            <v>39260</v>
          </cell>
          <cell r="D39">
            <v>20000000</v>
          </cell>
          <cell r="E39">
            <v>350000000</v>
          </cell>
          <cell r="F39">
            <v>0</v>
          </cell>
          <cell r="G39">
            <v>0</v>
          </cell>
          <cell r="H39">
            <v>0</v>
          </cell>
          <cell r="I39">
            <v>0</v>
          </cell>
          <cell r="M39">
            <v>0</v>
          </cell>
          <cell r="N39">
            <v>0</v>
          </cell>
          <cell r="O39">
            <v>0</v>
          </cell>
          <cell r="P39">
            <v>0</v>
          </cell>
          <cell r="Q39">
            <v>0</v>
          </cell>
          <cell r="R39">
            <v>0</v>
          </cell>
          <cell r="S39">
            <v>0</v>
          </cell>
          <cell r="T39">
            <v>0</v>
          </cell>
        </row>
        <row r="40">
          <cell r="A40" t="str">
            <v>CATHAY PACIFIC GROUP</v>
          </cell>
          <cell r="B40" t="str">
            <v>Hong Kong</v>
          </cell>
          <cell r="J40">
            <v>39387</v>
          </cell>
          <cell r="K40">
            <v>280000000</v>
          </cell>
          <cell r="L40">
            <v>2250000000</v>
          </cell>
          <cell r="M40">
            <v>8.0000000000000002E-3</v>
          </cell>
          <cell r="N40">
            <v>2240000</v>
          </cell>
          <cell r="O40">
            <v>18000000</v>
          </cell>
          <cell r="P40">
            <v>20240000</v>
          </cell>
          <cell r="Q40">
            <v>2240000</v>
          </cell>
          <cell r="R40">
            <v>2240000</v>
          </cell>
          <cell r="S40">
            <v>18000000</v>
          </cell>
          <cell r="T40">
            <v>18000000</v>
          </cell>
        </row>
        <row r="41">
          <cell r="A41" t="str">
            <v>CHINA AIRLINES LIMITED</v>
          </cell>
          <cell r="B41" t="str">
            <v>China</v>
          </cell>
          <cell r="C41">
            <v>38991</v>
          </cell>
          <cell r="D41">
            <v>25000000</v>
          </cell>
          <cell r="E41">
            <v>1500000000</v>
          </cell>
          <cell r="F41">
            <v>5.0000000000000001E-3</v>
          </cell>
          <cell r="G41">
            <v>125000</v>
          </cell>
          <cell r="H41">
            <v>7500000</v>
          </cell>
          <cell r="I41">
            <v>7625000</v>
          </cell>
          <cell r="M41">
            <v>0</v>
          </cell>
          <cell r="N41">
            <v>0</v>
          </cell>
          <cell r="O41">
            <v>0</v>
          </cell>
          <cell r="P41">
            <v>0</v>
          </cell>
          <cell r="Q41">
            <v>-125000</v>
          </cell>
          <cell r="R41">
            <v>-125000</v>
          </cell>
          <cell r="S41">
            <v>-7500000</v>
          </cell>
          <cell r="T41">
            <v>-7500000</v>
          </cell>
        </row>
        <row r="42">
          <cell r="A42" t="str">
            <v>CHINA AIRLINES LIMITED</v>
          </cell>
          <cell r="B42" t="str">
            <v>Taiwan</v>
          </cell>
          <cell r="C42">
            <v>39278</v>
          </cell>
          <cell r="D42">
            <v>250000000</v>
          </cell>
          <cell r="E42">
            <v>1650000000</v>
          </cell>
          <cell r="F42">
            <v>0.01</v>
          </cell>
          <cell r="G42">
            <v>2500000</v>
          </cell>
          <cell r="H42">
            <v>16500000</v>
          </cell>
          <cell r="I42">
            <v>19000000</v>
          </cell>
          <cell r="J42">
            <v>39644</v>
          </cell>
          <cell r="K42">
            <v>250000000</v>
          </cell>
          <cell r="L42">
            <v>1750000000</v>
          </cell>
          <cell r="M42">
            <v>0.01</v>
          </cell>
          <cell r="N42">
            <v>2500000</v>
          </cell>
          <cell r="O42">
            <v>17500000</v>
          </cell>
          <cell r="P42">
            <v>20000000</v>
          </cell>
          <cell r="Q42">
            <v>0</v>
          </cell>
          <cell r="R42">
            <v>0</v>
          </cell>
          <cell r="S42">
            <v>1000000</v>
          </cell>
          <cell r="T42">
            <v>1000000</v>
          </cell>
        </row>
        <row r="43">
          <cell r="A43" t="str">
            <v>CHINA CIVIL AVIATION GROUP</v>
          </cell>
          <cell r="B43" t="str">
            <v>China</v>
          </cell>
          <cell r="J43">
            <v>39417</v>
          </cell>
          <cell r="K43">
            <v>470000000</v>
          </cell>
          <cell r="M43">
            <v>1.2500000000000001E-2</v>
          </cell>
          <cell r="N43">
            <v>5875000</v>
          </cell>
          <cell r="O43">
            <v>0</v>
          </cell>
          <cell r="P43">
            <v>5875000</v>
          </cell>
          <cell r="Q43">
            <v>5875000</v>
          </cell>
          <cell r="R43">
            <v>5875000</v>
          </cell>
          <cell r="S43">
            <v>0</v>
          </cell>
          <cell r="T43">
            <v>0</v>
          </cell>
        </row>
        <row r="44">
          <cell r="A44" t="str">
            <v>CYPRUS AIRWAYS</v>
          </cell>
          <cell r="B44" t="str">
            <v>Greece</v>
          </cell>
          <cell r="C44">
            <v>39022</v>
          </cell>
          <cell r="D44">
            <v>115000000</v>
          </cell>
          <cell r="E44">
            <v>1000000000</v>
          </cell>
          <cell r="F44">
            <v>0</v>
          </cell>
          <cell r="G44">
            <v>0</v>
          </cell>
          <cell r="H44">
            <v>0</v>
          </cell>
          <cell r="I44">
            <v>0</v>
          </cell>
          <cell r="J44">
            <v>39387</v>
          </cell>
          <cell r="K44">
            <v>117750000</v>
          </cell>
          <cell r="L44">
            <v>1000000000</v>
          </cell>
          <cell r="M44">
            <v>0.02</v>
          </cell>
          <cell r="N44">
            <v>2355000</v>
          </cell>
          <cell r="O44">
            <v>20000000</v>
          </cell>
          <cell r="P44">
            <v>22355000</v>
          </cell>
          <cell r="Q44">
            <v>2355000</v>
          </cell>
          <cell r="R44">
            <v>2355000</v>
          </cell>
          <cell r="S44">
            <v>20000000</v>
          </cell>
          <cell r="T44">
            <v>20000000</v>
          </cell>
        </row>
        <row r="45">
          <cell r="A45" t="str">
            <v>DEUTSCHE LUFTHANSA</v>
          </cell>
          <cell r="B45" t="str">
            <v>Germany</v>
          </cell>
          <cell r="C45">
            <v>39051</v>
          </cell>
          <cell r="D45">
            <v>275000000</v>
          </cell>
          <cell r="E45">
            <v>2250000000</v>
          </cell>
          <cell r="F45">
            <v>0.01</v>
          </cell>
          <cell r="G45">
            <v>2750000</v>
          </cell>
          <cell r="H45">
            <v>22500000</v>
          </cell>
          <cell r="I45">
            <v>25250000</v>
          </cell>
          <cell r="J45">
            <v>39416</v>
          </cell>
          <cell r="K45">
            <v>275000000</v>
          </cell>
          <cell r="L45">
            <v>2250000000</v>
          </cell>
          <cell r="M45">
            <v>0.01</v>
          </cell>
          <cell r="N45">
            <v>2750000</v>
          </cell>
          <cell r="O45">
            <v>22500000</v>
          </cell>
          <cell r="P45">
            <v>25250000</v>
          </cell>
          <cell r="Q45">
            <v>0</v>
          </cell>
          <cell r="R45">
            <v>0</v>
          </cell>
          <cell r="S45">
            <v>0</v>
          </cell>
          <cell r="T45">
            <v>0</v>
          </cell>
        </row>
        <row r="46">
          <cell r="A46" t="str">
            <v>DUTCH ANTILLES EXPRESS</v>
          </cell>
          <cell r="B46" t="str">
            <v>Netherland</v>
          </cell>
          <cell r="C46">
            <v>39106</v>
          </cell>
          <cell r="D46">
            <v>16000000</v>
          </cell>
          <cell r="E46">
            <v>500000000</v>
          </cell>
          <cell r="F46">
            <v>0</v>
          </cell>
          <cell r="G46">
            <v>0</v>
          </cell>
          <cell r="H46">
            <v>0</v>
          </cell>
          <cell r="I46">
            <v>0</v>
          </cell>
          <cell r="M46">
            <v>0</v>
          </cell>
          <cell r="N46">
            <v>0</v>
          </cell>
          <cell r="O46">
            <v>0</v>
          </cell>
          <cell r="P46">
            <v>0</v>
          </cell>
          <cell r="Q46">
            <v>0</v>
          </cell>
          <cell r="R46">
            <v>0</v>
          </cell>
          <cell r="S46">
            <v>0</v>
          </cell>
          <cell r="T46">
            <v>0</v>
          </cell>
        </row>
        <row r="47">
          <cell r="A47" t="str">
            <v>EADS</v>
          </cell>
          <cell r="B47" t="str">
            <v>France</v>
          </cell>
          <cell r="J47">
            <v>39722</v>
          </cell>
          <cell r="K47">
            <v>450000000</v>
          </cell>
          <cell r="L47">
            <v>2400000000</v>
          </cell>
          <cell r="M47">
            <v>5.0000000000000001E-3</v>
          </cell>
          <cell r="N47">
            <v>2250000</v>
          </cell>
          <cell r="O47">
            <v>12000000</v>
          </cell>
          <cell r="P47">
            <v>14250000</v>
          </cell>
          <cell r="Q47">
            <v>2250000</v>
          </cell>
          <cell r="R47">
            <v>2250000</v>
          </cell>
          <cell r="S47">
            <v>12000000</v>
          </cell>
          <cell r="T47">
            <v>12000000</v>
          </cell>
        </row>
        <row r="48">
          <cell r="A48" t="str">
            <v>EGYPT AIR</v>
          </cell>
          <cell r="B48" t="str">
            <v>Egypt</v>
          </cell>
          <cell r="C48">
            <v>39067</v>
          </cell>
          <cell r="D48">
            <v>185000000</v>
          </cell>
          <cell r="E48">
            <v>1250000000</v>
          </cell>
          <cell r="F48">
            <v>1.2999999999999999E-2</v>
          </cell>
          <cell r="G48">
            <v>2405000</v>
          </cell>
          <cell r="H48">
            <v>16250000</v>
          </cell>
          <cell r="I48">
            <v>18655000</v>
          </cell>
          <cell r="J48">
            <v>39432</v>
          </cell>
          <cell r="K48">
            <v>192500000</v>
          </cell>
          <cell r="L48">
            <v>1250000000</v>
          </cell>
          <cell r="M48">
            <v>1.2999999999999999E-2</v>
          </cell>
          <cell r="N48">
            <v>2502500</v>
          </cell>
          <cell r="O48">
            <v>16250000</v>
          </cell>
          <cell r="P48">
            <v>18752500</v>
          </cell>
          <cell r="Q48">
            <v>97500</v>
          </cell>
          <cell r="R48">
            <v>97500</v>
          </cell>
          <cell r="S48">
            <v>0</v>
          </cell>
          <cell r="T48">
            <v>0</v>
          </cell>
        </row>
        <row r="49">
          <cell r="A49" t="str">
            <v>ERICSSON MICROWAVE SYSTEMS</v>
          </cell>
          <cell r="B49" t="str">
            <v>Sweden</v>
          </cell>
          <cell r="C49">
            <v>39111</v>
          </cell>
          <cell r="D49">
            <v>101000000</v>
          </cell>
          <cell r="E49">
            <v>500000000</v>
          </cell>
          <cell r="F49">
            <v>0.02</v>
          </cell>
          <cell r="G49">
            <v>2020000</v>
          </cell>
          <cell r="H49">
            <v>10000000</v>
          </cell>
          <cell r="I49">
            <v>12020000</v>
          </cell>
          <cell r="M49">
            <v>0</v>
          </cell>
          <cell r="N49">
            <v>0</v>
          </cell>
          <cell r="O49">
            <v>0</v>
          </cell>
          <cell r="P49">
            <v>0</v>
          </cell>
          <cell r="Q49">
            <v>-2020000</v>
          </cell>
          <cell r="R49">
            <v>-2020000</v>
          </cell>
          <cell r="S49">
            <v>-10000000</v>
          </cell>
          <cell r="T49">
            <v>-10000000</v>
          </cell>
        </row>
        <row r="50">
          <cell r="A50" t="str">
            <v>EUROFLY/MERIDIANA</v>
          </cell>
          <cell r="B50" t="str">
            <v>Italy</v>
          </cell>
          <cell r="C50">
            <v>39173</v>
          </cell>
          <cell r="D50">
            <v>110000000</v>
          </cell>
          <cell r="E50">
            <v>1000000000</v>
          </cell>
          <cell r="F50">
            <v>0.01</v>
          </cell>
          <cell r="G50">
            <v>1100000</v>
          </cell>
          <cell r="H50">
            <v>10000000</v>
          </cell>
          <cell r="I50">
            <v>11100000</v>
          </cell>
          <cell r="M50">
            <v>0</v>
          </cell>
          <cell r="N50">
            <v>0</v>
          </cell>
          <cell r="O50">
            <v>0</v>
          </cell>
          <cell r="P50">
            <v>0</v>
          </cell>
          <cell r="Q50">
            <v>-1100000</v>
          </cell>
          <cell r="R50">
            <v>-1100000</v>
          </cell>
          <cell r="S50">
            <v>-10000000</v>
          </cell>
          <cell r="T50">
            <v>-10000000</v>
          </cell>
        </row>
        <row r="51">
          <cell r="A51" t="str">
            <v>EVA AIRWAYS / UNI AIRWAYS CORPORATION</v>
          </cell>
          <cell r="B51" t="str">
            <v>China</v>
          </cell>
          <cell r="C51">
            <v>39234</v>
          </cell>
          <cell r="D51">
            <v>250000000</v>
          </cell>
          <cell r="E51">
            <v>1500000000</v>
          </cell>
          <cell r="F51">
            <v>0.01</v>
          </cell>
          <cell r="G51">
            <v>2500000</v>
          </cell>
          <cell r="H51">
            <v>15000000</v>
          </cell>
          <cell r="I51">
            <v>17500000</v>
          </cell>
          <cell r="J51">
            <v>39600</v>
          </cell>
          <cell r="K51">
            <v>260000000</v>
          </cell>
          <cell r="L51">
            <v>1650000000</v>
          </cell>
          <cell r="M51">
            <v>0.01</v>
          </cell>
          <cell r="N51">
            <v>2600000</v>
          </cell>
          <cell r="O51">
            <v>16500000</v>
          </cell>
          <cell r="P51">
            <v>19100000</v>
          </cell>
          <cell r="Q51">
            <v>100000</v>
          </cell>
          <cell r="R51">
            <v>100000</v>
          </cell>
          <cell r="S51">
            <v>1500000</v>
          </cell>
          <cell r="T51">
            <v>1500000</v>
          </cell>
        </row>
        <row r="52">
          <cell r="A52" t="str">
            <v>FINNISH COMMUTER AIRLINES</v>
          </cell>
          <cell r="B52" t="str">
            <v>Finland</v>
          </cell>
          <cell r="C52">
            <v>39014</v>
          </cell>
          <cell r="D52">
            <v>30000000</v>
          </cell>
          <cell r="E52">
            <v>350000000</v>
          </cell>
          <cell r="F52">
            <v>0</v>
          </cell>
          <cell r="G52">
            <v>0</v>
          </cell>
          <cell r="H52">
            <v>0</v>
          </cell>
          <cell r="I52">
            <v>0</v>
          </cell>
          <cell r="J52">
            <v>39379</v>
          </cell>
          <cell r="K52">
            <v>30000000</v>
          </cell>
          <cell r="L52">
            <v>350000000</v>
          </cell>
          <cell r="M52">
            <v>0.01</v>
          </cell>
          <cell r="N52">
            <v>300000</v>
          </cell>
          <cell r="O52">
            <v>3500000</v>
          </cell>
          <cell r="P52">
            <v>3800000</v>
          </cell>
          <cell r="Q52">
            <v>300000</v>
          </cell>
          <cell r="R52">
            <v>300000</v>
          </cell>
          <cell r="S52">
            <v>3500000</v>
          </cell>
          <cell r="T52">
            <v>3500000</v>
          </cell>
        </row>
        <row r="53">
          <cell r="A53" t="str">
            <v>FIRST CHOICE</v>
          </cell>
          <cell r="B53" t="str">
            <v>UK</v>
          </cell>
          <cell r="C53">
            <v>39022</v>
          </cell>
          <cell r="D53">
            <v>125000000</v>
          </cell>
          <cell r="E53">
            <v>1800000000</v>
          </cell>
          <cell r="F53">
            <v>0.01</v>
          </cell>
          <cell r="G53">
            <v>1250000</v>
          </cell>
          <cell r="H53">
            <v>18000000</v>
          </cell>
          <cell r="I53">
            <v>19250000</v>
          </cell>
          <cell r="M53">
            <v>0</v>
          </cell>
          <cell r="N53">
            <v>0</v>
          </cell>
          <cell r="O53">
            <v>0</v>
          </cell>
          <cell r="P53">
            <v>0</v>
          </cell>
          <cell r="Q53">
            <v>-1250000</v>
          </cell>
          <cell r="R53">
            <v>-1250000</v>
          </cell>
          <cell r="S53">
            <v>-18000000</v>
          </cell>
          <cell r="T53">
            <v>-18000000</v>
          </cell>
        </row>
        <row r="54">
          <cell r="A54" t="str">
            <v>FLYME SWEDEN</v>
          </cell>
          <cell r="B54" t="str">
            <v>Sweden</v>
          </cell>
          <cell r="C54">
            <v>39102</v>
          </cell>
          <cell r="D54">
            <v>50000000</v>
          </cell>
          <cell r="E54">
            <v>600000000</v>
          </cell>
          <cell r="F54">
            <v>0</v>
          </cell>
          <cell r="G54">
            <v>0</v>
          </cell>
          <cell r="H54">
            <v>0</v>
          </cell>
          <cell r="I54">
            <v>0</v>
          </cell>
          <cell r="M54">
            <v>0</v>
          </cell>
          <cell r="N54">
            <v>0</v>
          </cell>
          <cell r="O54">
            <v>0</v>
          </cell>
          <cell r="P54">
            <v>0</v>
          </cell>
          <cell r="Q54">
            <v>0</v>
          </cell>
          <cell r="R54">
            <v>0</v>
          </cell>
          <cell r="S54">
            <v>0</v>
          </cell>
          <cell r="T54">
            <v>0</v>
          </cell>
        </row>
        <row r="55">
          <cell r="A55" t="str">
            <v>GEORGIAN AIRWAYS</v>
          </cell>
          <cell r="B55" t="str">
            <v>Russia</v>
          </cell>
          <cell r="C55">
            <v>39125</v>
          </cell>
          <cell r="D55">
            <v>30000000</v>
          </cell>
          <cell r="E55">
            <v>600000000</v>
          </cell>
          <cell r="F55">
            <v>0</v>
          </cell>
          <cell r="G55">
            <v>0</v>
          </cell>
          <cell r="H55">
            <v>0</v>
          </cell>
          <cell r="I55">
            <v>0</v>
          </cell>
          <cell r="M55">
            <v>0</v>
          </cell>
          <cell r="N55">
            <v>0</v>
          </cell>
          <cell r="O55">
            <v>0</v>
          </cell>
          <cell r="P55">
            <v>0</v>
          </cell>
          <cell r="Q55">
            <v>0</v>
          </cell>
          <cell r="R55">
            <v>0</v>
          </cell>
          <cell r="S55">
            <v>0</v>
          </cell>
          <cell r="T55">
            <v>0</v>
          </cell>
        </row>
        <row r="56">
          <cell r="A56" t="str">
            <v>GERMANIA/BULGARIA AIR CHARTER</v>
          </cell>
          <cell r="B56" t="str">
            <v>Germany</v>
          </cell>
          <cell r="C56">
            <v>39176</v>
          </cell>
          <cell r="D56">
            <v>76000000</v>
          </cell>
          <cell r="E56">
            <v>550000000</v>
          </cell>
          <cell r="F56">
            <v>0</v>
          </cell>
          <cell r="G56">
            <v>0</v>
          </cell>
          <cell r="H56">
            <v>0</v>
          </cell>
          <cell r="I56">
            <v>0</v>
          </cell>
          <cell r="J56">
            <v>39542</v>
          </cell>
          <cell r="K56">
            <v>71000000</v>
          </cell>
          <cell r="L56">
            <v>750000000</v>
          </cell>
          <cell r="M56">
            <v>2.5000000000000001E-2</v>
          </cell>
          <cell r="N56">
            <v>1775000</v>
          </cell>
          <cell r="O56">
            <v>18750000</v>
          </cell>
          <cell r="P56">
            <v>20525000</v>
          </cell>
          <cell r="Q56">
            <v>1775000</v>
          </cell>
          <cell r="R56">
            <v>1775000</v>
          </cell>
          <cell r="S56">
            <v>18750000</v>
          </cell>
          <cell r="T56">
            <v>18750000</v>
          </cell>
        </row>
        <row r="57">
          <cell r="A57" t="str">
            <v>GRUPO MEXICANA DE AVIACION</v>
          </cell>
          <cell r="B57" t="str">
            <v>Mexico</v>
          </cell>
          <cell r="J57">
            <v>39600</v>
          </cell>
          <cell r="K57">
            <v>100000000</v>
          </cell>
          <cell r="L57">
            <v>1500000000</v>
          </cell>
          <cell r="M57">
            <v>0.01</v>
          </cell>
          <cell r="N57">
            <v>1000000</v>
          </cell>
          <cell r="O57">
            <v>15000000</v>
          </cell>
          <cell r="P57">
            <v>16000000</v>
          </cell>
          <cell r="Q57">
            <v>1000000</v>
          </cell>
          <cell r="R57">
            <v>1000000</v>
          </cell>
          <cell r="S57">
            <v>15000000</v>
          </cell>
          <cell r="T57">
            <v>15000000</v>
          </cell>
        </row>
        <row r="58">
          <cell r="A58" t="str">
            <v>GMG ARILINES</v>
          </cell>
          <cell r="B58" t="str">
            <v>Bangladesh</v>
          </cell>
          <cell r="C58">
            <v>39027</v>
          </cell>
          <cell r="D58">
            <v>20000000</v>
          </cell>
          <cell r="E58">
            <v>500000000</v>
          </cell>
          <cell r="F58">
            <v>0</v>
          </cell>
          <cell r="G58">
            <v>0</v>
          </cell>
          <cell r="H58">
            <v>0</v>
          </cell>
          <cell r="I58">
            <v>0</v>
          </cell>
          <cell r="M58">
            <v>0</v>
          </cell>
          <cell r="N58">
            <v>0</v>
          </cell>
          <cell r="O58">
            <v>0</v>
          </cell>
          <cell r="P58">
            <v>0</v>
          </cell>
          <cell r="Q58">
            <v>0</v>
          </cell>
          <cell r="R58">
            <v>0</v>
          </cell>
          <cell r="S58">
            <v>0</v>
          </cell>
          <cell r="T58">
            <v>0</v>
          </cell>
        </row>
        <row r="59">
          <cell r="A59" t="str">
            <v>GO AIR</v>
          </cell>
          <cell r="B59" t="str">
            <v>India</v>
          </cell>
          <cell r="C59">
            <v>39011</v>
          </cell>
          <cell r="D59">
            <v>70000000</v>
          </cell>
          <cell r="E59">
            <v>750000000</v>
          </cell>
          <cell r="F59">
            <v>0</v>
          </cell>
          <cell r="G59">
            <v>0</v>
          </cell>
          <cell r="H59">
            <v>0</v>
          </cell>
          <cell r="I59">
            <v>0</v>
          </cell>
          <cell r="M59">
            <v>0</v>
          </cell>
          <cell r="N59">
            <v>0</v>
          </cell>
          <cell r="O59">
            <v>0</v>
          </cell>
          <cell r="P59">
            <v>0</v>
          </cell>
          <cell r="Q59">
            <v>0</v>
          </cell>
          <cell r="R59">
            <v>0</v>
          </cell>
          <cell r="S59">
            <v>0</v>
          </cell>
          <cell r="T59">
            <v>0</v>
          </cell>
        </row>
        <row r="60">
          <cell r="A60" t="str">
            <v>GULF CO COUNCIL</v>
          </cell>
          <cell r="B60" t="str">
            <v>Middle East</v>
          </cell>
          <cell r="C60">
            <v>39037</v>
          </cell>
          <cell r="D60">
            <v>275000000</v>
          </cell>
          <cell r="E60">
            <v>2000000000</v>
          </cell>
          <cell r="F60">
            <v>8.6999999999999994E-3</v>
          </cell>
          <cell r="G60">
            <v>2392500</v>
          </cell>
          <cell r="H60">
            <v>17400000</v>
          </cell>
          <cell r="I60">
            <v>19792500</v>
          </cell>
          <cell r="J60">
            <v>39402</v>
          </cell>
          <cell r="K60">
            <v>275000000</v>
          </cell>
          <cell r="L60">
            <v>2250000000</v>
          </cell>
          <cell r="M60">
            <v>8.9999999999999993E-3</v>
          </cell>
          <cell r="N60">
            <v>2475000</v>
          </cell>
          <cell r="O60">
            <v>20250000</v>
          </cell>
          <cell r="P60">
            <v>22725000</v>
          </cell>
          <cell r="Q60">
            <v>82500</v>
          </cell>
          <cell r="R60">
            <v>82500</v>
          </cell>
          <cell r="S60">
            <v>2850000</v>
          </cell>
          <cell r="T60">
            <v>2850000</v>
          </cell>
        </row>
        <row r="61">
          <cell r="A61" t="str">
            <v>GULF CO-OPERATION</v>
          </cell>
          <cell r="B61" t="str">
            <v>Middle East</v>
          </cell>
          <cell r="C61">
            <v>39037</v>
          </cell>
          <cell r="D61">
            <v>275000000</v>
          </cell>
          <cell r="E61">
            <v>200000000</v>
          </cell>
          <cell r="F61">
            <v>8.6999999999999994E-3</v>
          </cell>
          <cell r="G61">
            <v>2392500</v>
          </cell>
          <cell r="H61">
            <v>1739999.9999999998</v>
          </cell>
          <cell r="I61">
            <v>4132500</v>
          </cell>
          <cell r="M61">
            <v>0</v>
          </cell>
          <cell r="N61">
            <v>0</v>
          </cell>
          <cell r="O61">
            <v>0</v>
          </cell>
          <cell r="P61">
            <v>0</v>
          </cell>
          <cell r="Q61">
            <v>-2392500</v>
          </cell>
          <cell r="R61">
            <v>-2392500</v>
          </cell>
          <cell r="S61">
            <v>-1739999.9999999998</v>
          </cell>
          <cell r="T61">
            <v>-1739999.9999999998</v>
          </cell>
        </row>
        <row r="62">
          <cell r="A62" t="str">
            <v>HAINAN (T)</v>
          </cell>
          <cell r="B62" t="str">
            <v>China</v>
          </cell>
          <cell r="J62">
            <v>39546</v>
          </cell>
          <cell r="K62">
            <v>200000000</v>
          </cell>
          <cell r="L62">
            <v>1500000000</v>
          </cell>
          <cell r="M62">
            <v>1.2E-2</v>
          </cell>
          <cell r="N62">
            <v>2400000</v>
          </cell>
          <cell r="O62">
            <v>18000000</v>
          </cell>
          <cell r="P62">
            <v>20400000</v>
          </cell>
          <cell r="Q62">
            <v>2400000</v>
          </cell>
          <cell r="R62">
            <v>2400000</v>
          </cell>
          <cell r="S62">
            <v>18000000</v>
          </cell>
          <cell r="T62">
            <v>18000000</v>
          </cell>
        </row>
        <row r="63">
          <cell r="A63" t="str">
            <v>HIS MAJESTY THE SULTAN OF OMAN</v>
          </cell>
          <cell r="B63" t="str">
            <v>Oman</v>
          </cell>
          <cell r="C63">
            <v>39052</v>
          </cell>
          <cell r="D63">
            <v>275000000</v>
          </cell>
          <cell r="E63">
            <v>2000000000</v>
          </cell>
          <cell r="F63">
            <v>0</v>
          </cell>
          <cell r="G63">
            <v>0</v>
          </cell>
          <cell r="H63">
            <v>0</v>
          </cell>
          <cell r="I63">
            <v>0</v>
          </cell>
          <cell r="M63">
            <v>0</v>
          </cell>
          <cell r="N63">
            <v>0</v>
          </cell>
          <cell r="O63">
            <v>0</v>
          </cell>
          <cell r="P63">
            <v>0</v>
          </cell>
          <cell r="Q63">
            <v>0</v>
          </cell>
          <cell r="R63">
            <v>0</v>
          </cell>
          <cell r="S63">
            <v>0</v>
          </cell>
          <cell r="T63">
            <v>0</v>
          </cell>
        </row>
        <row r="64">
          <cell r="A64" t="str">
            <v>HOKKAIDO INTERNATIONAL AIRLINES(AIRDO)</v>
          </cell>
          <cell r="B64" t="str">
            <v>Japan</v>
          </cell>
          <cell r="C64">
            <v>39055</v>
          </cell>
          <cell r="D64">
            <v>99000000</v>
          </cell>
          <cell r="E64">
            <v>1000000000</v>
          </cell>
          <cell r="F64">
            <v>0.02</v>
          </cell>
          <cell r="G64">
            <v>1980000</v>
          </cell>
          <cell r="H64">
            <v>20000000</v>
          </cell>
          <cell r="I64">
            <v>21980000</v>
          </cell>
          <cell r="J64">
            <v>39417</v>
          </cell>
          <cell r="K64">
            <v>99000000</v>
          </cell>
          <cell r="L64">
            <v>1000000000</v>
          </cell>
          <cell r="M64">
            <v>8.7410000000000005E-3</v>
          </cell>
          <cell r="N64">
            <v>865359</v>
          </cell>
          <cell r="O64">
            <v>8741000</v>
          </cell>
          <cell r="P64">
            <v>9606359</v>
          </cell>
          <cell r="Q64">
            <v>-1114641</v>
          </cell>
          <cell r="R64">
            <v>-1114641</v>
          </cell>
          <cell r="S64">
            <v>-11259000</v>
          </cell>
          <cell r="T64">
            <v>-11259000</v>
          </cell>
        </row>
        <row r="65">
          <cell r="A65" t="str">
            <v>IBERIA AIRLINES</v>
          </cell>
          <cell r="B65" t="str">
            <v>Spain</v>
          </cell>
          <cell r="C65">
            <v>39052</v>
          </cell>
          <cell r="D65">
            <v>200000000</v>
          </cell>
          <cell r="E65">
            <v>1500000000</v>
          </cell>
          <cell r="F65">
            <v>1.2E-2</v>
          </cell>
          <cell r="G65">
            <v>2400000</v>
          </cell>
          <cell r="H65">
            <v>18000000</v>
          </cell>
          <cell r="I65">
            <v>20400000</v>
          </cell>
          <cell r="J65">
            <v>39417</v>
          </cell>
          <cell r="K65">
            <v>200000000</v>
          </cell>
          <cell r="L65">
            <v>2000000000</v>
          </cell>
          <cell r="M65">
            <v>0.01</v>
          </cell>
          <cell r="N65">
            <v>2000000</v>
          </cell>
          <cell r="O65">
            <v>20000000</v>
          </cell>
          <cell r="P65">
            <v>22000000</v>
          </cell>
          <cell r="Q65">
            <v>-400000</v>
          </cell>
          <cell r="R65">
            <v>-400000</v>
          </cell>
          <cell r="S65">
            <v>2000000</v>
          </cell>
          <cell r="T65">
            <v>2000000</v>
          </cell>
        </row>
        <row r="66">
          <cell r="A66" t="str">
            <v>INDIAN AIRLINES</v>
          </cell>
          <cell r="B66" t="str">
            <v>India</v>
          </cell>
          <cell r="C66">
            <v>38991</v>
          </cell>
          <cell r="D66">
            <v>100000000</v>
          </cell>
          <cell r="E66">
            <v>750000000</v>
          </cell>
          <cell r="F66">
            <v>5.0000000000000001E-3</v>
          </cell>
          <cell r="G66">
            <v>500000</v>
          </cell>
          <cell r="H66">
            <v>3750000</v>
          </cell>
          <cell r="I66">
            <v>4250000</v>
          </cell>
          <cell r="M66">
            <v>0</v>
          </cell>
          <cell r="N66">
            <v>0</v>
          </cell>
          <cell r="O66">
            <v>0</v>
          </cell>
          <cell r="P66">
            <v>0</v>
          </cell>
          <cell r="Q66">
            <v>-500000</v>
          </cell>
          <cell r="R66">
            <v>-500000</v>
          </cell>
          <cell r="S66">
            <v>-3750000</v>
          </cell>
          <cell r="T66">
            <v>-3750000</v>
          </cell>
        </row>
        <row r="67">
          <cell r="A67" t="str">
            <v>IRAN AIR</v>
          </cell>
          <cell r="B67" t="str">
            <v>Iran</v>
          </cell>
          <cell r="C67">
            <v>39162</v>
          </cell>
          <cell r="D67">
            <v>65000000</v>
          </cell>
          <cell r="E67">
            <v>1200000000</v>
          </cell>
          <cell r="F67">
            <v>1.4999999999999999E-2</v>
          </cell>
          <cell r="G67">
            <v>975000</v>
          </cell>
          <cell r="H67">
            <v>18000000</v>
          </cell>
          <cell r="I67">
            <v>18975000</v>
          </cell>
          <cell r="J67">
            <v>39519</v>
          </cell>
          <cell r="K67">
            <v>75000000</v>
          </cell>
          <cell r="L67">
            <v>1352216000</v>
          </cell>
          <cell r="M67">
            <v>1.0664999999999999E-2</v>
          </cell>
          <cell r="N67">
            <v>799874.99999999988</v>
          </cell>
          <cell r="O67">
            <v>14421383.639999999</v>
          </cell>
          <cell r="P67">
            <v>15221258.639999999</v>
          </cell>
          <cell r="Q67">
            <v>-175125.00000000012</v>
          </cell>
          <cell r="R67">
            <v>-175125.00000000012</v>
          </cell>
          <cell r="S67">
            <v>-3578616.3600000013</v>
          </cell>
          <cell r="T67">
            <v>-3578616.3600000013</v>
          </cell>
        </row>
        <row r="68">
          <cell r="A68" t="str">
            <v xml:space="preserve">IRNA AEMAN AIRLINES </v>
          </cell>
          <cell r="B68" t="str">
            <v>Iran</v>
          </cell>
          <cell r="C68">
            <v>39162</v>
          </cell>
          <cell r="D68">
            <v>20000000</v>
          </cell>
          <cell r="E68">
            <v>200000000</v>
          </cell>
          <cell r="F68">
            <v>0.02</v>
          </cell>
          <cell r="G68">
            <v>400000</v>
          </cell>
          <cell r="H68">
            <v>4000000</v>
          </cell>
          <cell r="I68">
            <v>4400000</v>
          </cell>
          <cell r="M68">
            <v>0</v>
          </cell>
          <cell r="N68">
            <v>0</v>
          </cell>
          <cell r="O68">
            <v>0</v>
          </cell>
          <cell r="P68">
            <v>0</v>
          </cell>
          <cell r="Q68">
            <v>-400000</v>
          </cell>
          <cell r="R68">
            <v>-400000</v>
          </cell>
          <cell r="S68">
            <v>-4000000</v>
          </cell>
          <cell r="T68">
            <v>-4000000</v>
          </cell>
        </row>
        <row r="69">
          <cell r="A69" t="str">
            <v>JAPAN AIRLINES</v>
          </cell>
          <cell r="B69" t="str">
            <v>Japan</v>
          </cell>
          <cell r="C69">
            <v>39052</v>
          </cell>
          <cell r="D69">
            <v>250000000</v>
          </cell>
          <cell r="E69">
            <v>2000000000</v>
          </cell>
          <cell r="F69">
            <v>0.01</v>
          </cell>
          <cell r="G69">
            <v>2500000</v>
          </cell>
          <cell r="H69">
            <v>20000000</v>
          </cell>
          <cell r="I69">
            <v>22500000</v>
          </cell>
          <cell r="J69">
            <v>39417</v>
          </cell>
          <cell r="K69">
            <v>250000000</v>
          </cell>
          <cell r="L69">
            <v>2000000000</v>
          </cell>
          <cell r="M69">
            <v>0.01</v>
          </cell>
          <cell r="N69">
            <v>2500000</v>
          </cell>
          <cell r="O69">
            <v>20000000</v>
          </cell>
          <cell r="P69">
            <v>22500000</v>
          </cell>
          <cell r="Q69">
            <v>0</v>
          </cell>
          <cell r="R69">
            <v>0</v>
          </cell>
          <cell r="S69">
            <v>0</v>
          </cell>
          <cell r="T69">
            <v>0</v>
          </cell>
        </row>
        <row r="70">
          <cell r="A70" t="str">
            <v>JAT AIRWAYS</v>
          </cell>
          <cell r="B70" t="str">
            <v>Serbia</v>
          </cell>
          <cell r="J70">
            <v>39379</v>
          </cell>
          <cell r="K70">
            <v>60000000</v>
          </cell>
          <cell r="L70">
            <v>750000000</v>
          </cell>
          <cell r="M70">
            <v>0.01</v>
          </cell>
          <cell r="N70">
            <v>600000</v>
          </cell>
          <cell r="O70">
            <v>7500000</v>
          </cell>
          <cell r="P70">
            <v>8100000</v>
          </cell>
          <cell r="Q70">
            <v>600000</v>
          </cell>
          <cell r="R70">
            <v>600000</v>
          </cell>
          <cell r="S70">
            <v>7500000</v>
          </cell>
          <cell r="T70">
            <v>7500000</v>
          </cell>
        </row>
        <row r="71">
          <cell r="A71" t="str">
            <v>JET AIRWAYS(INDIA) LIMITED</v>
          </cell>
          <cell r="B71" t="str">
            <v>India</v>
          </cell>
          <cell r="C71">
            <v>39188</v>
          </cell>
          <cell r="D71">
            <v>200000000</v>
          </cell>
          <cell r="E71">
            <v>1500000000</v>
          </cell>
          <cell r="F71">
            <v>0.01</v>
          </cell>
          <cell r="G71">
            <v>2000000</v>
          </cell>
          <cell r="H71">
            <v>15000000</v>
          </cell>
          <cell r="I71">
            <v>17000000</v>
          </cell>
          <cell r="J71">
            <v>39554</v>
          </cell>
          <cell r="K71">
            <v>200000000</v>
          </cell>
          <cell r="L71">
            <v>1500000000</v>
          </cell>
          <cell r="M71">
            <v>0.01</v>
          </cell>
          <cell r="N71">
            <v>2000000</v>
          </cell>
          <cell r="O71">
            <v>15000000</v>
          </cell>
          <cell r="P71">
            <v>17000000</v>
          </cell>
          <cell r="Q71">
            <v>0</v>
          </cell>
          <cell r="R71">
            <v>0</v>
          </cell>
          <cell r="S71">
            <v>0</v>
          </cell>
          <cell r="T71">
            <v>0</v>
          </cell>
        </row>
        <row r="72">
          <cell r="A72" t="str">
            <v>JETX LTD</v>
          </cell>
          <cell r="B72" t="str">
            <v>Iseland</v>
          </cell>
          <cell r="C72">
            <v>39209</v>
          </cell>
          <cell r="D72">
            <v>75000000</v>
          </cell>
          <cell r="E72">
            <v>600000000</v>
          </cell>
          <cell r="F72">
            <v>0</v>
          </cell>
          <cell r="G72">
            <v>0</v>
          </cell>
          <cell r="H72">
            <v>0</v>
          </cell>
          <cell r="I72">
            <v>0</v>
          </cell>
          <cell r="M72">
            <v>0</v>
          </cell>
          <cell r="N72">
            <v>0</v>
          </cell>
          <cell r="O72">
            <v>0</v>
          </cell>
          <cell r="P72">
            <v>0</v>
          </cell>
          <cell r="Q72">
            <v>0</v>
          </cell>
          <cell r="R72">
            <v>0</v>
          </cell>
          <cell r="S72">
            <v>0</v>
          </cell>
          <cell r="T72">
            <v>0</v>
          </cell>
        </row>
        <row r="73">
          <cell r="A73" t="str">
            <v>KD AVIA</v>
          </cell>
          <cell r="B73" t="str">
            <v>Russia</v>
          </cell>
          <cell r="C73">
            <v>39151</v>
          </cell>
          <cell r="D73">
            <v>38000000</v>
          </cell>
          <cell r="E73">
            <v>600000000</v>
          </cell>
          <cell r="F73">
            <v>0</v>
          </cell>
          <cell r="G73">
            <v>0</v>
          </cell>
          <cell r="H73">
            <v>0</v>
          </cell>
          <cell r="I73">
            <v>0</v>
          </cell>
          <cell r="M73">
            <v>0</v>
          </cell>
          <cell r="N73">
            <v>0</v>
          </cell>
          <cell r="O73">
            <v>0</v>
          </cell>
          <cell r="P73">
            <v>0</v>
          </cell>
          <cell r="Q73">
            <v>0</v>
          </cell>
          <cell r="R73">
            <v>0</v>
          </cell>
          <cell r="S73">
            <v>0</v>
          </cell>
          <cell r="T73">
            <v>0</v>
          </cell>
        </row>
        <row r="74">
          <cell r="A74" t="str">
            <v>KINGFISHER AIRLINES</v>
          </cell>
          <cell r="B74" t="str">
            <v>India</v>
          </cell>
          <cell r="C74">
            <v>39173</v>
          </cell>
          <cell r="D74">
            <v>225000000</v>
          </cell>
          <cell r="E74">
            <v>1000000000</v>
          </cell>
          <cell r="F74">
            <v>0.01</v>
          </cell>
          <cell r="G74">
            <v>2250000</v>
          </cell>
          <cell r="H74">
            <v>10000000</v>
          </cell>
          <cell r="I74">
            <v>12250000</v>
          </cell>
          <cell r="J74">
            <v>39615</v>
          </cell>
          <cell r="K74">
            <v>226500000</v>
          </cell>
          <cell r="L74">
            <v>1000000000</v>
          </cell>
          <cell r="M74">
            <v>0.01</v>
          </cell>
          <cell r="N74">
            <v>2265000</v>
          </cell>
          <cell r="O74">
            <v>10000000</v>
          </cell>
          <cell r="P74">
            <v>12265000</v>
          </cell>
          <cell r="Q74">
            <v>15000</v>
          </cell>
          <cell r="R74">
            <v>15000</v>
          </cell>
          <cell r="S74">
            <v>0</v>
          </cell>
          <cell r="T74">
            <v>0</v>
          </cell>
        </row>
        <row r="75">
          <cell r="A75" t="str">
            <v>KOUNI TRAVEL HOLDING LIMITED</v>
          </cell>
          <cell r="B75" t="str">
            <v>Sweden</v>
          </cell>
          <cell r="C75">
            <v>39036</v>
          </cell>
          <cell r="D75">
            <v>115000000</v>
          </cell>
          <cell r="E75">
            <v>1000000000</v>
          </cell>
          <cell r="F75">
            <v>0</v>
          </cell>
          <cell r="G75">
            <v>0</v>
          </cell>
          <cell r="H75">
            <v>0</v>
          </cell>
          <cell r="I75">
            <v>0</v>
          </cell>
          <cell r="M75">
            <v>0</v>
          </cell>
          <cell r="N75">
            <v>0</v>
          </cell>
          <cell r="O75">
            <v>0</v>
          </cell>
          <cell r="P75">
            <v>0</v>
          </cell>
          <cell r="Q75">
            <v>0</v>
          </cell>
          <cell r="R75">
            <v>0</v>
          </cell>
          <cell r="S75">
            <v>0</v>
          </cell>
          <cell r="T75">
            <v>0</v>
          </cell>
        </row>
        <row r="76">
          <cell r="A76" t="str">
            <v>LIAT(1974)</v>
          </cell>
          <cell r="B76" t="str">
            <v>West Indies</v>
          </cell>
          <cell r="C76">
            <v>39022</v>
          </cell>
          <cell r="D76">
            <v>20000000</v>
          </cell>
          <cell r="E76">
            <v>350000000</v>
          </cell>
          <cell r="F76">
            <v>0</v>
          </cell>
          <cell r="G76">
            <v>0</v>
          </cell>
          <cell r="H76">
            <v>0</v>
          </cell>
          <cell r="I76">
            <v>0</v>
          </cell>
          <cell r="M76">
            <v>0</v>
          </cell>
          <cell r="N76">
            <v>0</v>
          </cell>
          <cell r="O76">
            <v>0</v>
          </cell>
          <cell r="P76">
            <v>0</v>
          </cell>
          <cell r="Q76">
            <v>0</v>
          </cell>
          <cell r="R76">
            <v>0</v>
          </cell>
          <cell r="S76">
            <v>0</v>
          </cell>
          <cell r="T76">
            <v>0</v>
          </cell>
        </row>
        <row r="77">
          <cell r="A77" t="str">
            <v xml:space="preserve">LINEAS AEREAS AZTECA S.A. </v>
          </cell>
          <cell r="B77" t="str">
            <v>Mexico</v>
          </cell>
          <cell r="C77">
            <v>39138</v>
          </cell>
          <cell r="F77">
            <v>0</v>
          </cell>
          <cell r="G77">
            <v>0</v>
          </cell>
          <cell r="H77">
            <v>0</v>
          </cell>
          <cell r="I77">
            <v>0</v>
          </cell>
          <cell r="M77">
            <v>0</v>
          </cell>
          <cell r="N77">
            <v>0</v>
          </cell>
          <cell r="O77">
            <v>0</v>
          </cell>
          <cell r="P77">
            <v>0</v>
          </cell>
          <cell r="Q77">
            <v>0</v>
          </cell>
          <cell r="R77">
            <v>0</v>
          </cell>
          <cell r="S77">
            <v>0</v>
          </cell>
          <cell r="T77">
            <v>0</v>
          </cell>
        </row>
        <row r="78">
          <cell r="A78" t="str">
            <v>LOTUS AIR</v>
          </cell>
          <cell r="B78" t="str">
            <v>Egypt</v>
          </cell>
          <cell r="C78">
            <v>39114</v>
          </cell>
          <cell r="D78">
            <v>50000000</v>
          </cell>
          <cell r="E78">
            <v>750000000</v>
          </cell>
          <cell r="F78">
            <v>0</v>
          </cell>
          <cell r="G78">
            <v>0</v>
          </cell>
          <cell r="H78">
            <v>0</v>
          </cell>
          <cell r="I78">
            <v>0</v>
          </cell>
          <cell r="M78">
            <v>0</v>
          </cell>
          <cell r="N78">
            <v>0</v>
          </cell>
          <cell r="O78">
            <v>0</v>
          </cell>
          <cell r="P78">
            <v>0</v>
          </cell>
          <cell r="Q78">
            <v>0</v>
          </cell>
          <cell r="R78">
            <v>0</v>
          </cell>
          <cell r="S78">
            <v>0</v>
          </cell>
          <cell r="T78">
            <v>0</v>
          </cell>
        </row>
        <row r="79">
          <cell r="A79" t="str">
            <v>MALAYSIAN AIRLINE SYSTEM</v>
          </cell>
          <cell r="B79" t="str">
            <v>Malaysia</v>
          </cell>
          <cell r="C79">
            <v>39052</v>
          </cell>
          <cell r="D79">
            <v>280000000</v>
          </cell>
          <cell r="E79">
            <v>2000000000</v>
          </cell>
          <cell r="F79">
            <v>8.0000000000000002E-3</v>
          </cell>
          <cell r="G79">
            <v>2240000</v>
          </cell>
          <cell r="H79">
            <v>16000000</v>
          </cell>
          <cell r="I79">
            <v>18240000</v>
          </cell>
          <cell r="J79">
            <v>39417</v>
          </cell>
          <cell r="K79">
            <v>280000000</v>
          </cell>
          <cell r="L79">
            <v>2000000000</v>
          </cell>
          <cell r="M79">
            <v>8.0000000000000002E-3</v>
          </cell>
          <cell r="N79">
            <v>2240000</v>
          </cell>
          <cell r="O79">
            <v>16000000</v>
          </cell>
          <cell r="P79">
            <v>18240000</v>
          </cell>
          <cell r="Q79">
            <v>0</v>
          </cell>
          <cell r="R79">
            <v>0</v>
          </cell>
          <cell r="S79">
            <v>0</v>
          </cell>
          <cell r="T79">
            <v>0</v>
          </cell>
        </row>
        <row r="80">
          <cell r="A80" t="str">
            <v>MNG AIRLINES</v>
          </cell>
          <cell r="B80" t="str">
            <v>Turkey</v>
          </cell>
          <cell r="C80">
            <v>39033</v>
          </cell>
          <cell r="D80">
            <v>35000000</v>
          </cell>
          <cell r="E80">
            <v>600000000</v>
          </cell>
          <cell r="F80">
            <v>0</v>
          </cell>
          <cell r="G80">
            <v>0</v>
          </cell>
          <cell r="H80">
            <v>0</v>
          </cell>
          <cell r="I80">
            <v>0</v>
          </cell>
          <cell r="M80">
            <v>0</v>
          </cell>
          <cell r="N80">
            <v>0</v>
          </cell>
          <cell r="O80">
            <v>0</v>
          </cell>
          <cell r="P80">
            <v>0</v>
          </cell>
          <cell r="Q80">
            <v>0</v>
          </cell>
          <cell r="R80">
            <v>0</v>
          </cell>
          <cell r="S80">
            <v>0</v>
          </cell>
          <cell r="T80">
            <v>0</v>
          </cell>
        </row>
        <row r="81">
          <cell r="A81" t="str">
            <v>MORNACH AIRLINES</v>
          </cell>
          <cell r="B81" t="str">
            <v>UK</v>
          </cell>
          <cell r="C81">
            <v>39295</v>
          </cell>
          <cell r="D81">
            <v>150000000</v>
          </cell>
          <cell r="E81">
            <v>1318681319</v>
          </cell>
          <cell r="F81">
            <v>1.4999999999999999E-2</v>
          </cell>
          <cell r="G81">
            <v>2250000</v>
          </cell>
          <cell r="H81">
            <v>19780219.785</v>
          </cell>
          <cell r="I81">
            <v>22030219.785</v>
          </cell>
          <cell r="J81">
            <v>39661</v>
          </cell>
          <cell r="K81">
            <v>135000000</v>
          </cell>
          <cell r="L81">
            <v>2000000000</v>
          </cell>
          <cell r="M81">
            <v>0.01</v>
          </cell>
          <cell r="N81">
            <v>1350000</v>
          </cell>
          <cell r="O81">
            <v>20000000</v>
          </cell>
          <cell r="P81">
            <v>21350000</v>
          </cell>
          <cell r="Q81">
            <v>-900000</v>
          </cell>
          <cell r="R81">
            <v>-900000</v>
          </cell>
          <cell r="S81">
            <v>219780.21499999985</v>
          </cell>
          <cell r="T81">
            <v>219780.21499999985</v>
          </cell>
        </row>
        <row r="82">
          <cell r="A82" t="str">
            <v>MYTRAVEL</v>
          </cell>
          <cell r="B82" t="str">
            <v>UK</v>
          </cell>
          <cell r="C82">
            <v>39127</v>
          </cell>
          <cell r="D82">
            <v>150000000</v>
          </cell>
          <cell r="E82">
            <v>1700000000</v>
          </cell>
          <cell r="F82">
            <v>1.4999999999999999E-2</v>
          </cell>
          <cell r="G82">
            <v>2250000</v>
          </cell>
          <cell r="H82">
            <v>25500000</v>
          </cell>
          <cell r="I82">
            <v>27750000</v>
          </cell>
          <cell r="M82">
            <v>0</v>
          </cell>
          <cell r="N82">
            <v>0</v>
          </cell>
          <cell r="O82">
            <v>0</v>
          </cell>
          <cell r="P82">
            <v>0</v>
          </cell>
          <cell r="Q82">
            <v>-2250000</v>
          </cell>
          <cell r="R82">
            <v>-2250000</v>
          </cell>
          <cell r="S82">
            <v>-25500000</v>
          </cell>
          <cell r="T82">
            <v>-25500000</v>
          </cell>
        </row>
        <row r="83">
          <cell r="A83" t="str">
            <v>NATS HOLDING</v>
          </cell>
          <cell r="B83" t="str">
            <v>UK</v>
          </cell>
          <cell r="C83">
            <v>39264</v>
          </cell>
          <cell r="D83">
            <v>0</v>
          </cell>
          <cell r="E83">
            <v>1500000000</v>
          </cell>
          <cell r="F83">
            <v>0.01</v>
          </cell>
          <cell r="G83">
            <v>0</v>
          </cell>
          <cell r="H83">
            <v>15000000</v>
          </cell>
          <cell r="I83">
            <v>15000000</v>
          </cell>
          <cell r="J83">
            <v>39264</v>
          </cell>
          <cell r="L83">
            <v>1500000000</v>
          </cell>
          <cell r="M83">
            <v>0.01</v>
          </cell>
          <cell r="N83">
            <v>0</v>
          </cell>
          <cell r="O83">
            <v>15000000</v>
          </cell>
          <cell r="P83">
            <v>15000000</v>
          </cell>
          <cell r="Q83">
            <v>0</v>
          </cell>
          <cell r="R83">
            <v>0</v>
          </cell>
          <cell r="S83">
            <v>0</v>
          </cell>
          <cell r="T83">
            <v>0</v>
          </cell>
        </row>
        <row r="84">
          <cell r="A84" t="str">
            <v>NAV CANADA</v>
          </cell>
          <cell r="B84" t="str">
            <v>Canada</v>
          </cell>
          <cell r="C84">
            <v>39036</v>
          </cell>
          <cell r="E84">
            <v>2350000000</v>
          </cell>
          <cell r="F84">
            <v>0.01</v>
          </cell>
          <cell r="G84">
            <v>0</v>
          </cell>
          <cell r="H84">
            <v>23500000</v>
          </cell>
          <cell r="I84">
            <v>23500000</v>
          </cell>
          <cell r="J84">
            <v>39401</v>
          </cell>
          <cell r="L84">
            <v>1000000000</v>
          </cell>
          <cell r="M84">
            <v>0.02</v>
          </cell>
          <cell r="N84">
            <v>0</v>
          </cell>
          <cell r="O84">
            <v>20000000</v>
          </cell>
          <cell r="P84">
            <v>20000000</v>
          </cell>
          <cell r="Q84">
            <v>0</v>
          </cell>
          <cell r="R84">
            <v>0</v>
          </cell>
          <cell r="S84">
            <v>-3500000</v>
          </cell>
          <cell r="T84">
            <v>-3500000</v>
          </cell>
        </row>
        <row r="85">
          <cell r="A85" t="str">
            <v>NEOS S.P.A.</v>
          </cell>
          <cell r="B85" t="str">
            <v>Italy</v>
          </cell>
          <cell r="C85">
            <v>39173</v>
          </cell>
          <cell r="D85">
            <v>85000000</v>
          </cell>
          <cell r="E85">
            <v>1000000000</v>
          </cell>
          <cell r="F85">
            <v>0</v>
          </cell>
          <cell r="G85">
            <v>0</v>
          </cell>
          <cell r="H85">
            <v>0</v>
          </cell>
          <cell r="I85">
            <v>0</v>
          </cell>
          <cell r="M85">
            <v>0</v>
          </cell>
          <cell r="N85">
            <v>0</v>
          </cell>
          <cell r="O85">
            <v>0</v>
          </cell>
          <cell r="P85">
            <v>0</v>
          </cell>
          <cell r="Q85">
            <v>0</v>
          </cell>
          <cell r="R85">
            <v>0</v>
          </cell>
          <cell r="S85">
            <v>0</v>
          </cell>
          <cell r="T85">
            <v>0</v>
          </cell>
        </row>
        <row r="86">
          <cell r="A86" t="str">
            <v>NIPPON CARGO AIRLINES</v>
          </cell>
          <cell r="B86" t="str">
            <v>Japan</v>
          </cell>
          <cell r="C86">
            <v>39052</v>
          </cell>
          <cell r="D86">
            <v>200000000</v>
          </cell>
          <cell r="E86">
            <v>1000000000</v>
          </cell>
          <cell r="F86">
            <v>0.01</v>
          </cell>
          <cell r="G86">
            <v>2000000</v>
          </cell>
          <cell r="H86">
            <v>10000000</v>
          </cell>
          <cell r="I86">
            <v>12000000</v>
          </cell>
          <cell r="J86">
            <v>39417</v>
          </cell>
          <cell r="K86">
            <v>200000000</v>
          </cell>
          <cell r="L86">
            <v>1000000000</v>
          </cell>
          <cell r="M86">
            <v>0.01</v>
          </cell>
          <cell r="N86">
            <v>2000000</v>
          </cell>
          <cell r="O86">
            <v>10000000</v>
          </cell>
          <cell r="P86">
            <v>12000000</v>
          </cell>
          <cell r="Q86">
            <v>0</v>
          </cell>
          <cell r="R86">
            <v>0</v>
          </cell>
          <cell r="S86">
            <v>0</v>
          </cell>
          <cell r="T86">
            <v>0</v>
          </cell>
        </row>
        <row r="87">
          <cell r="A87" t="str">
            <v>NORDIC AIRWAYS</v>
          </cell>
          <cell r="B87" t="str">
            <v>Sweden</v>
          </cell>
          <cell r="C87">
            <v>39202</v>
          </cell>
          <cell r="D87">
            <v>75000000</v>
          </cell>
          <cell r="E87">
            <v>600000000</v>
          </cell>
          <cell r="F87">
            <v>0</v>
          </cell>
          <cell r="G87">
            <v>0</v>
          </cell>
          <cell r="H87">
            <v>0</v>
          </cell>
          <cell r="I87">
            <v>0</v>
          </cell>
          <cell r="M87">
            <v>0</v>
          </cell>
          <cell r="N87">
            <v>0</v>
          </cell>
          <cell r="O87">
            <v>0</v>
          </cell>
          <cell r="P87">
            <v>0</v>
          </cell>
          <cell r="Q87">
            <v>0</v>
          </cell>
          <cell r="R87">
            <v>0</v>
          </cell>
          <cell r="S87">
            <v>0</v>
          </cell>
          <cell r="T87">
            <v>0</v>
          </cell>
        </row>
        <row r="88">
          <cell r="A88" t="str">
            <v>OLYMPIC AIRLINES</v>
          </cell>
          <cell r="B88" t="str">
            <v>Greece</v>
          </cell>
          <cell r="J88">
            <v>39426</v>
          </cell>
          <cell r="K88">
            <v>160000000</v>
          </cell>
          <cell r="L88">
            <v>1500000000</v>
          </cell>
          <cell r="M88">
            <v>1.2999999999999999E-2</v>
          </cell>
          <cell r="N88">
            <v>2080000</v>
          </cell>
          <cell r="O88">
            <v>19500000</v>
          </cell>
          <cell r="P88">
            <v>21580000</v>
          </cell>
          <cell r="Q88">
            <v>2080000</v>
          </cell>
          <cell r="R88">
            <v>2080000</v>
          </cell>
          <cell r="S88">
            <v>19500000</v>
          </cell>
          <cell r="T88">
            <v>19500000</v>
          </cell>
        </row>
        <row r="89">
          <cell r="A89" t="str">
            <v>ORIENT THAI/ONE-TWO GO</v>
          </cell>
          <cell r="B89" t="str">
            <v>Greece</v>
          </cell>
          <cell r="J89">
            <v>39402</v>
          </cell>
          <cell r="K89">
            <v>40000000</v>
          </cell>
          <cell r="L89">
            <v>1000000000</v>
          </cell>
          <cell r="M89">
            <v>0.01</v>
          </cell>
          <cell r="N89">
            <v>400000</v>
          </cell>
          <cell r="O89">
            <v>10000000</v>
          </cell>
          <cell r="P89">
            <v>10400000</v>
          </cell>
          <cell r="Q89">
            <v>400000</v>
          </cell>
          <cell r="R89">
            <v>400000</v>
          </cell>
          <cell r="S89">
            <v>10000000</v>
          </cell>
          <cell r="T89">
            <v>10000000</v>
          </cell>
        </row>
        <row r="90">
          <cell r="A90" t="str">
            <v>P.T. GARUDA / GMF AEROASIA</v>
          </cell>
          <cell r="B90" t="str">
            <v>Indonesia</v>
          </cell>
          <cell r="C90">
            <v>39052</v>
          </cell>
          <cell r="D90">
            <v>177500000</v>
          </cell>
          <cell r="E90">
            <v>1500000000</v>
          </cell>
          <cell r="F90">
            <v>0.01</v>
          </cell>
          <cell r="G90">
            <v>1775000</v>
          </cell>
          <cell r="H90">
            <v>15000000</v>
          </cell>
          <cell r="I90">
            <v>16775000</v>
          </cell>
          <cell r="M90">
            <v>0</v>
          </cell>
          <cell r="N90">
            <v>0</v>
          </cell>
          <cell r="O90">
            <v>0</v>
          </cell>
          <cell r="P90">
            <v>0</v>
          </cell>
          <cell r="Q90">
            <v>-1775000</v>
          </cell>
          <cell r="R90">
            <v>-1775000</v>
          </cell>
          <cell r="S90">
            <v>-15000000</v>
          </cell>
          <cell r="T90">
            <v>-15000000</v>
          </cell>
        </row>
        <row r="91">
          <cell r="A91" t="str">
            <v>PACIFIC AIRLINES</v>
          </cell>
          <cell r="B91" t="str">
            <v>Vietnam</v>
          </cell>
          <cell r="C91">
            <v>39083</v>
          </cell>
          <cell r="D91">
            <v>60000000</v>
          </cell>
          <cell r="E91">
            <v>600000000</v>
          </cell>
          <cell r="F91">
            <v>0</v>
          </cell>
          <cell r="G91">
            <v>0</v>
          </cell>
          <cell r="H91">
            <v>0</v>
          </cell>
          <cell r="I91">
            <v>0</v>
          </cell>
          <cell r="M91">
            <v>0</v>
          </cell>
          <cell r="N91">
            <v>0</v>
          </cell>
          <cell r="O91">
            <v>0</v>
          </cell>
          <cell r="P91">
            <v>0</v>
          </cell>
          <cell r="Q91">
            <v>0</v>
          </cell>
          <cell r="R91">
            <v>0</v>
          </cell>
          <cell r="S91">
            <v>0</v>
          </cell>
          <cell r="T91">
            <v>0</v>
          </cell>
        </row>
        <row r="92">
          <cell r="A92" t="str">
            <v>PARKISTAN INTERNATIONAL AIRLINES</v>
          </cell>
          <cell r="B92" t="str">
            <v>Parkistan</v>
          </cell>
          <cell r="C92">
            <v>39005</v>
          </cell>
          <cell r="D92">
            <v>225000000</v>
          </cell>
          <cell r="E92">
            <v>1000000000</v>
          </cell>
          <cell r="F92">
            <v>0.01</v>
          </cell>
          <cell r="G92">
            <v>2250000</v>
          </cell>
          <cell r="H92">
            <v>10000000</v>
          </cell>
          <cell r="I92">
            <v>12250000</v>
          </cell>
          <cell r="J92">
            <v>39370</v>
          </cell>
          <cell r="K92">
            <v>250000000</v>
          </cell>
          <cell r="L92">
            <v>1000000000</v>
          </cell>
          <cell r="M92">
            <v>0.01</v>
          </cell>
          <cell r="N92">
            <v>2500000</v>
          </cell>
          <cell r="O92">
            <v>10000000</v>
          </cell>
          <cell r="P92">
            <v>12500000</v>
          </cell>
          <cell r="Q92">
            <v>250000</v>
          </cell>
          <cell r="R92">
            <v>250000</v>
          </cell>
          <cell r="S92">
            <v>0</v>
          </cell>
          <cell r="T92">
            <v>0</v>
          </cell>
        </row>
        <row r="93">
          <cell r="A93" t="str">
            <v>PHILIPPINE AIRLINES</v>
          </cell>
          <cell r="B93" t="str">
            <v>Philippine</v>
          </cell>
          <cell r="C93">
            <v>39066</v>
          </cell>
          <cell r="D93">
            <v>150000000</v>
          </cell>
          <cell r="F93">
            <v>0.01</v>
          </cell>
          <cell r="G93">
            <v>1500000</v>
          </cell>
          <cell r="H93">
            <v>0</v>
          </cell>
          <cell r="I93">
            <v>1500000</v>
          </cell>
          <cell r="M93">
            <v>0</v>
          </cell>
          <cell r="N93">
            <v>0</v>
          </cell>
          <cell r="O93">
            <v>0</v>
          </cell>
          <cell r="P93">
            <v>0</v>
          </cell>
          <cell r="Q93">
            <v>-1500000</v>
          </cell>
          <cell r="R93">
            <v>-1500000</v>
          </cell>
          <cell r="S93">
            <v>0</v>
          </cell>
          <cell r="T93">
            <v>0</v>
          </cell>
        </row>
        <row r="94">
          <cell r="A94" t="str">
            <v>PHILIPPINE AIRLINES INC</v>
          </cell>
          <cell r="B94" t="str">
            <v>Philippine</v>
          </cell>
          <cell r="C94">
            <v>39066</v>
          </cell>
          <cell r="D94">
            <v>175000000</v>
          </cell>
          <cell r="E94">
            <v>1500000000</v>
          </cell>
          <cell r="F94">
            <v>0.01</v>
          </cell>
          <cell r="G94">
            <v>1750000</v>
          </cell>
          <cell r="H94">
            <v>15000000</v>
          </cell>
          <cell r="I94">
            <v>16750000</v>
          </cell>
          <cell r="J94">
            <v>39431</v>
          </cell>
          <cell r="K94">
            <v>200000000</v>
          </cell>
          <cell r="L94">
            <v>1500000000</v>
          </cell>
          <cell r="M94">
            <v>0.01</v>
          </cell>
          <cell r="N94">
            <v>2000000</v>
          </cell>
          <cell r="O94">
            <v>15000000</v>
          </cell>
          <cell r="P94">
            <v>17000000</v>
          </cell>
          <cell r="Q94">
            <v>250000</v>
          </cell>
          <cell r="R94">
            <v>250000</v>
          </cell>
          <cell r="S94">
            <v>0</v>
          </cell>
          <cell r="T94">
            <v>0</v>
          </cell>
        </row>
        <row r="95">
          <cell r="A95" t="str">
            <v>ROYAL AIR MAROC</v>
          </cell>
          <cell r="B95" t="str">
            <v>Morocco</v>
          </cell>
          <cell r="C95">
            <v>39052</v>
          </cell>
          <cell r="D95">
            <v>152100000</v>
          </cell>
          <cell r="E95">
            <v>1000000000</v>
          </cell>
          <cell r="F95">
            <v>0.01</v>
          </cell>
          <cell r="G95">
            <v>1521000</v>
          </cell>
          <cell r="H95">
            <v>10000000</v>
          </cell>
          <cell r="I95">
            <v>11521000</v>
          </cell>
          <cell r="M95">
            <v>0</v>
          </cell>
          <cell r="N95">
            <v>0</v>
          </cell>
          <cell r="O95">
            <v>0</v>
          </cell>
          <cell r="P95">
            <v>0</v>
          </cell>
          <cell r="Q95">
            <v>-1521000</v>
          </cell>
          <cell r="R95">
            <v>-1521000</v>
          </cell>
          <cell r="S95">
            <v>-10000000</v>
          </cell>
          <cell r="T95">
            <v>-10000000</v>
          </cell>
        </row>
        <row r="96">
          <cell r="A96" t="str">
            <v>ROYAL JORDANIAN</v>
          </cell>
          <cell r="B96" t="str">
            <v>Jordan</v>
          </cell>
          <cell r="C96">
            <v>39073</v>
          </cell>
          <cell r="D96">
            <v>150000000</v>
          </cell>
          <cell r="E96">
            <v>1500000000</v>
          </cell>
          <cell r="F96">
            <v>1.2999999999999999E-2</v>
          </cell>
          <cell r="G96">
            <v>1950000</v>
          </cell>
          <cell r="H96">
            <v>19500000</v>
          </cell>
          <cell r="I96">
            <v>21450000</v>
          </cell>
          <cell r="J96">
            <v>39438</v>
          </cell>
          <cell r="K96">
            <v>150000000</v>
          </cell>
          <cell r="L96">
            <v>1500000000</v>
          </cell>
          <cell r="M96">
            <v>1.2999999999999999E-2</v>
          </cell>
          <cell r="N96">
            <v>1950000</v>
          </cell>
          <cell r="O96">
            <v>19500000</v>
          </cell>
          <cell r="P96">
            <v>21450000</v>
          </cell>
          <cell r="Q96">
            <v>0</v>
          </cell>
          <cell r="R96">
            <v>0</v>
          </cell>
          <cell r="S96">
            <v>0</v>
          </cell>
          <cell r="T96">
            <v>0</v>
          </cell>
        </row>
        <row r="97">
          <cell r="A97" t="str">
            <v>RYANAIR</v>
          </cell>
          <cell r="B97" t="str">
            <v>Ireland</v>
          </cell>
          <cell r="C97">
            <v>39052</v>
          </cell>
          <cell r="D97">
            <v>66000000</v>
          </cell>
          <cell r="E97">
            <v>750000000</v>
          </cell>
          <cell r="F97">
            <v>0.01</v>
          </cell>
          <cell r="G97">
            <v>660000</v>
          </cell>
          <cell r="H97">
            <v>7500000</v>
          </cell>
          <cell r="I97">
            <v>8160000</v>
          </cell>
          <cell r="J97">
            <v>39417</v>
          </cell>
          <cell r="K97">
            <v>68250000</v>
          </cell>
          <cell r="L97">
            <v>750000000</v>
          </cell>
          <cell r="M97">
            <v>2.5000000000000001E-2</v>
          </cell>
          <cell r="N97">
            <v>1706250</v>
          </cell>
          <cell r="O97">
            <v>18750000</v>
          </cell>
          <cell r="P97">
            <v>20456250</v>
          </cell>
          <cell r="Q97">
            <v>1046250</v>
          </cell>
          <cell r="R97">
            <v>1046250</v>
          </cell>
          <cell r="S97">
            <v>11250000</v>
          </cell>
          <cell r="T97">
            <v>11250000</v>
          </cell>
        </row>
        <row r="98">
          <cell r="A98" t="str">
            <v>SAFARI LINK</v>
          </cell>
          <cell r="B98" t="str">
            <v>Kenya</v>
          </cell>
          <cell r="C98">
            <v>39065</v>
          </cell>
          <cell r="D98">
            <v>3000000</v>
          </cell>
          <cell r="E98">
            <v>75000000</v>
          </cell>
          <cell r="F98">
            <v>0</v>
          </cell>
          <cell r="G98">
            <v>0</v>
          </cell>
          <cell r="H98">
            <v>0</v>
          </cell>
          <cell r="I98">
            <v>0</v>
          </cell>
          <cell r="M98">
            <v>0</v>
          </cell>
          <cell r="N98">
            <v>0</v>
          </cell>
          <cell r="O98">
            <v>0</v>
          </cell>
          <cell r="P98">
            <v>0</v>
          </cell>
          <cell r="Q98">
            <v>0</v>
          </cell>
          <cell r="R98">
            <v>0</v>
          </cell>
          <cell r="S98">
            <v>0</v>
          </cell>
          <cell r="T98">
            <v>0</v>
          </cell>
        </row>
        <row r="99">
          <cell r="A99" t="str">
            <v>SAFARILINK</v>
          </cell>
          <cell r="B99" t="str">
            <v>Kenya</v>
          </cell>
          <cell r="C99">
            <v>39142</v>
          </cell>
          <cell r="D99">
            <v>5000000</v>
          </cell>
          <cell r="E99">
            <v>20000000</v>
          </cell>
          <cell r="F99">
            <v>0</v>
          </cell>
          <cell r="G99">
            <v>0</v>
          </cell>
          <cell r="H99">
            <v>0</v>
          </cell>
          <cell r="I99">
            <v>0</v>
          </cell>
          <cell r="M99">
            <v>0</v>
          </cell>
          <cell r="N99">
            <v>0</v>
          </cell>
          <cell r="O99">
            <v>0</v>
          </cell>
          <cell r="P99">
            <v>0</v>
          </cell>
          <cell r="Q99">
            <v>0</v>
          </cell>
          <cell r="R99">
            <v>0</v>
          </cell>
          <cell r="S99">
            <v>0</v>
          </cell>
          <cell r="T99">
            <v>0</v>
          </cell>
        </row>
        <row r="100">
          <cell r="A100" t="str">
            <v>SAFIT</v>
          </cell>
          <cell r="B100" t="str">
            <v>Scandinavia</v>
          </cell>
          <cell r="C100">
            <v>39051</v>
          </cell>
          <cell r="D100">
            <v>210000000</v>
          </cell>
          <cell r="E100">
            <v>1500000000</v>
          </cell>
          <cell r="F100">
            <v>1.2E-2</v>
          </cell>
          <cell r="G100">
            <v>2520000</v>
          </cell>
          <cell r="H100">
            <v>18000000</v>
          </cell>
          <cell r="I100">
            <v>20520000</v>
          </cell>
          <cell r="J100">
            <v>39416</v>
          </cell>
          <cell r="K100">
            <v>210000000</v>
          </cell>
          <cell r="L100">
            <v>1500000000</v>
          </cell>
          <cell r="M100">
            <v>1.2E-2</v>
          </cell>
          <cell r="N100">
            <v>2520000</v>
          </cell>
          <cell r="O100">
            <v>18000000</v>
          </cell>
          <cell r="P100">
            <v>20520000</v>
          </cell>
          <cell r="Q100">
            <v>0</v>
          </cell>
          <cell r="R100">
            <v>0</v>
          </cell>
          <cell r="S100">
            <v>0</v>
          </cell>
          <cell r="T100">
            <v>0</v>
          </cell>
        </row>
        <row r="101">
          <cell r="A101" t="str">
            <v>SAFRAN S.A.</v>
          </cell>
          <cell r="B101" t="str">
            <v>France</v>
          </cell>
          <cell r="C101">
            <v>39051</v>
          </cell>
          <cell r="D101">
            <v>75000000</v>
          </cell>
          <cell r="E101">
            <v>750000000</v>
          </cell>
          <cell r="F101">
            <v>1.2999999999999999E-2</v>
          </cell>
          <cell r="G101">
            <v>975000</v>
          </cell>
          <cell r="H101">
            <v>9750000</v>
          </cell>
          <cell r="I101">
            <v>10725000</v>
          </cell>
          <cell r="J101">
            <v>39416</v>
          </cell>
          <cell r="K101">
            <v>75000000</v>
          </cell>
          <cell r="L101">
            <v>1500000000</v>
          </cell>
          <cell r="M101">
            <v>1.2999999999999999E-2</v>
          </cell>
          <cell r="N101">
            <v>975000</v>
          </cell>
          <cell r="O101">
            <v>19500000</v>
          </cell>
          <cell r="P101">
            <v>20475000</v>
          </cell>
          <cell r="Q101">
            <v>0</v>
          </cell>
          <cell r="R101">
            <v>0</v>
          </cell>
          <cell r="S101">
            <v>9750000</v>
          </cell>
          <cell r="T101">
            <v>9750000</v>
          </cell>
        </row>
        <row r="102">
          <cell r="A102" t="str">
            <v>SAUDI ORGER</v>
          </cell>
          <cell r="B102" t="str">
            <v>Saudi</v>
          </cell>
          <cell r="C102">
            <v>39010</v>
          </cell>
          <cell r="D102">
            <v>180000000</v>
          </cell>
          <cell r="E102">
            <v>850000000</v>
          </cell>
          <cell r="F102">
            <v>0</v>
          </cell>
          <cell r="G102">
            <v>0</v>
          </cell>
          <cell r="H102">
            <v>0</v>
          </cell>
          <cell r="I102">
            <v>0</v>
          </cell>
          <cell r="M102">
            <v>0</v>
          </cell>
          <cell r="N102">
            <v>0</v>
          </cell>
          <cell r="O102">
            <v>0</v>
          </cell>
          <cell r="P102">
            <v>0</v>
          </cell>
          <cell r="Q102">
            <v>0</v>
          </cell>
          <cell r="R102">
            <v>0</v>
          </cell>
          <cell r="S102">
            <v>0</v>
          </cell>
          <cell r="T102">
            <v>0</v>
          </cell>
        </row>
        <row r="103">
          <cell r="A103" t="str">
            <v>SINGAPORE AIRCRAFT LEASING</v>
          </cell>
          <cell r="B103" t="str">
            <v>Singapore</v>
          </cell>
          <cell r="C103">
            <v>39114</v>
          </cell>
          <cell r="D103">
            <v>200000000</v>
          </cell>
          <cell r="E103">
            <v>1000000000</v>
          </cell>
          <cell r="F103">
            <v>0</v>
          </cell>
          <cell r="G103">
            <v>0</v>
          </cell>
          <cell r="H103">
            <v>0</v>
          </cell>
          <cell r="I103">
            <v>0</v>
          </cell>
          <cell r="M103">
            <v>0</v>
          </cell>
          <cell r="N103">
            <v>0</v>
          </cell>
          <cell r="O103">
            <v>0</v>
          </cell>
          <cell r="P103">
            <v>0</v>
          </cell>
          <cell r="Q103">
            <v>0</v>
          </cell>
          <cell r="R103">
            <v>0</v>
          </cell>
          <cell r="S103">
            <v>0</v>
          </cell>
          <cell r="T103">
            <v>0</v>
          </cell>
        </row>
        <row r="104">
          <cell r="A104" t="str">
            <v>SINGAPORE AIRLINES</v>
          </cell>
          <cell r="B104" t="str">
            <v>Singapore</v>
          </cell>
          <cell r="C104">
            <v>39022</v>
          </cell>
          <cell r="D104">
            <v>275000000</v>
          </cell>
          <cell r="E104">
            <v>1500000000</v>
          </cell>
          <cell r="F104">
            <v>0.01</v>
          </cell>
          <cell r="G104">
            <v>2750000</v>
          </cell>
          <cell r="H104">
            <v>15000000</v>
          </cell>
          <cell r="I104">
            <v>17750000</v>
          </cell>
          <cell r="M104">
            <v>0</v>
          </cell>
          <cell r="N104">
            <v>0</v>
          </cell>
          <cell r="O104">
            <v>0</v>
          </cell>
          <cell r="P104">
            <v>0</v>
          </cell>
          <cell r="Q104">
            <v>-2750000</v>
          </cell>
          <cell r="R104">
            <v>-2750000</v>
          </cell>
          <cell r="S104">
            <v>-15000000</v>
          </cell>
          <cell r="T104">
            <v>-15000000</v>
          </cell>
        </row>
        <row r="105">
          <cell r="A105" t="str">
            <v>SKY EXPRESS</v>
          </cell>
          <cell r="B105" t="str">
            <v>Russia</v>
          </cell>
          <cell r="C105">
            <v>39022</v>
          </cell>
          <cell r="D105">
            <v>20000000</v>
          </cell>
          <cell r="E105">
            <v>10000000</v>
          </cell>
          <cell r="F105">
            <v>0</v>
          </cell>
          <cell r="G105">
            <v>0</v>
          </cell>
          <cell r="H105">
            <v>0</v>
          </cell>
          <cell r="I105">
            <v>0</v>
          </cell>
          <cell r="M105">
            <v>0</v>
          </cell>
          <cell r="N105">
            <v>0</v>
          </cell>
          <cell r="O105">
            <v>0</v>
          </cell>
          <cell r="P105">
            <v>0</v>
          </cell>
          <cell r="Q105">
            <v>0</v>
          </cell>
          <cell r="R105">
            <v>0</v>
          </cell>
          <cell r="S105">
            <v>0</v>
          </cell>
          <cell r="T105">
            <v>0</v>
          </cell>
        </row>
        <row r="106">
          <cell r="A106" t="str">
            <v>SKYEUROPE</v>
          </cell>
          <cell r="B106" t="str">
            <v>Slovakia</v>
          </cell>
          <cell r="C106">
            <v>39241</v>
          </cell>
          <cell r="D106">
            <v>40000000</v>
          </cell>
          <cell r="E106">
            <v>600000000</v>
          </cell>
          <cell r="F106">
            <v>0.02</v>
          </cell>
          <cell r="G106">
            <v>800000</v>
          </cell>
          <cell r="H106">
            <v>12000000</v>
          </cell>
          <cell r="I106">
            <v>12800000</v>
          </cell>
          <cell r="J106">
            <v>39607</v>
          </cell>
          <cell r="K106">
            <v>60000000</v>
          </cell>
          <cell r="L106">
            <v>700000000</v>
          </cell>
          <cell r="M106">
            <v>0.02</v>
          </cell>
          <cell r="N106">
            <v>1200000</v>
          </cell>
          <cell r="O106">
            <v>14000000</v>
          </cell>
          <cell r="P106">
            <v>15200000</v>
          </cell>
          <cell r="Q106">
            <v>400000</v>
          </cell>
          <cell r="R106">
            <v>400000</v>
          </cell>
          <cell r="S106">
            <v>2000000</v>
          </cell>
          <cell r="T106">
            <v>2000000</v>
          </cell>
        </row>
        <row r="107">
          <cell r="A107" t="str">
            <v>SKYLINES</v>
          </cell>
          <cell r="B107" t="str">
            <v>Turkey</v>
          </cell>
          <cell r="J107">
            <v>39547</v>
          </cell>
          <cell r="K107">
            <v>60000000</v>
          </cell>
          <cell r="L107">
            <v>750000000</v>
          </cell>
          <cell r="M107">
            <v>1.4999999999999999E-2</v>
          </cell>
          <cell r="N107">
            <v>900000</v>
          </cell>
          <cell r="O107">
            <v>11250000</v>
          </cell>
          <cell r="P107">
            <v>12150000</v>
          </cell>
          <cell r="Q107">
            <v>900000</v>
          </cell>
          <cell r="R107">
            <v>900000</v>
          </cell>
          <cell r="S107">
            <v>11250000</v>
          </cell>
          <cell r="T107">
            <v>11250000</v>
          </cell>
        </row>
        <row r="108">
          <cell r="A108" t="str">
            <v>SKYMARK AIRLINES INC</v>
          </cell>
          <cell r="B108" t="str">
            <v>Japan</v>
          </cell>
          <cell r="C108">
            <v>39313</v>
          </cell>
          <cell r="D108">
            <v>100000000</v>
          </cell>
          <cell r="E108">
            <v>129500000</v>
          </cell>
          <cell r="F108">
            <v>1.9E-2</v>
          </cell>
          <cell r="G108">
            <v>1900000</v>
          </cell>
          <cell r="H108">
            <v>2460500</v>
          </cell>
          <cell r="I108">
            <v>4360500</v>
          </cell>
          <cell r="J108">
            <v>39661</v>
          </cell>
          <cell r="K108">
            <v>129500000</v>
          </cell>
          <cell r="L108">
            <v>1000000000</v>
          </cell>
          <cell r="M108">
            <v>1.9E-2</v>
          </cell>
          <cell r="N108">
            <v>2460500</v>
          </cell>
          <cell r="O108">
            <v>19000000</v>
          </cell>
          <cell r="P108">
            <v>21460500</v>
          </cell>
          <cell r="Q108">
            <v>560500</v>
          </cell>
          <cell r="R108">
            <v>560500</v>
          </cell>
          <cell r="S108">
            <v>16539500</v>
          </cell>
          <cell r="T108">
            <v>16539500</v>
          </cell>
        </row>
        <row r="109">
          <cell r="A109" t="str">
            <v>SKYNET ASIA AIRWAYS CO., LTD.</v>
          </cell>
          <cell r="B109" t="str">
            <v>Japan</v>
          </cell>
          <cell r="C109">
            <v>39133</v>
          </cell>
          <cell r="D109">
            <v>60000000</v>
          </cell>
          <cell r="E109">
            <v>1000000000</v>
          </cell>
          <cell r="F109">
            <v>0.02</v>
          </cell>
          <cell r="G109">
            <v>1200000</v>
          </cell>
          <cell r="H109">
            <v>20000000</v>
          </cell>
          <cell r="I109">
            <v>21200000</v>
          </cell>
          <cell r="J109">
            <v>39498</v>
          </cell>
          <cell r="K109">
            <v>50000000</v>
          </cell>
          <cell r="L109">
            <v>1000000000</v>
          </cell>
          <cell r="M109">
            <v>0.02</v>
          </cell>
          <cell r="N109">
            <v>1000000</v>
          </cell>
          <cell r="O109">
            <v>20000000</v>
          </cell>
          <cell r="P109">
            <v>21000000</v>
          </cell>
          <cell r="Q109">
            <v>-200000</v>
          </cell>
          <cell r="R109">
            <v>-200000</v>
          </cell>
          <cell r="S109">
            <v>0</v>
          </cell>
          <cell r="T109">
            <v>0</v>
          </cell>
        </row>
        <row r="110">
          <cell r="A110" t="str">
            <v>SOUTHAFRICAN AIRWAYS</v>
          </cell>
          <cell r="B110" t="str">
            <v>South Africa</v>
          </cell>
          <cell r="C110">
            <v>39022</v>
          </cell>
          <cell r="D110">
            <v>225000000</v>
          </cell>
          <cell r="E110">
            <v>1500000000</v>
          </cell>
          <cell r="F110">
            <v>0.01</v>
          </cell>
          <cell r="G110">
            <v>2250000</v>
          </cell>
          <cell r="H110">
            <v>15000000</v>
          </cell>
          <cell r="I110">
            <v>17250000</v>
          </cell>
          <cell r="J110">
            <v>39387</v>
          </cell>
          <cell r="K110">
            <v>225000000</v>
          </cell>
          <cell r="L110">
            <v>1500000000</v>
          </cell>
          <cell r="M110">
            <v>0.01</v>
          </cell>
          <cell r="N110">
            <v>2250000</v>
          </cell>
          <cell r="O110">
            <v>15000000</v>
          </cell>
          <cell r="P110">
            <v>17250000</v>
          </cell>
          <cell r="Q110">
            <v>0</v>
          </cell>
          <cell r="R110">
            <v>0</v>
          </cell>
          <cell r="S110">
            <v>0</v>
          </cell>
          <cell r="T110">
            <v>0</v>
          </cell>
        </row>
        <row r="111">
          <cell r="A111" t="str">
            <v>SOUTHAFRICAN EXPRESS</v>
          </cell>
          <cell r="B111" t="str">
            <v>South Africa</v>
          </cell>
          <cell r="C111">
            <v>39022</v>
          </cell>
          <cell r="D111">
            <v>30000000</v>
          </cell>
          <cell r="E111">
            <v>500000000</v>
          </cell>
          <cell r="F111">
            <v>0.02</v>
          </cell>
          <cell r="G111">
            <v>600000</v>
          </cell>
          <cell r="H111">
            <v>10000000</v>
          </cell>
          <cell r="I111">
            <v>10600000</v>
          </cell>
          <cell r="M111">
            <v>0</v>
          </cell>
          <cell r="N111">
            <v>0</v>
          </cell>
          <cell r="O111">
            <v>0</v>
          </cell>
          <cell r="P111">
            <v>0</v>
          </cell>
          <cell r="Q111">
            <v>-600000</v>
          </cell>
          <cell r="R111">
            <v>-600000</v>
          </cell>
          <cell r="S111">
            <v>-10000000</v>
          </cell>
          <cell r="T111">
            <v>-10000000</v>
          </cell>
        </row>
        <row r="112">
          <cell r="A112" t="str">
            <v>STAR FLYER</v>
          </cell>
          <cell r="B112" t="str">
            <v>Japan</v>
          </cell>
          <cell r="C112">
            <v>39063</v>
          </cell>
          <cell r="D112">
            <v>80500000</v>
          </cell>
          <cell r="E112">
            <v>1000000000</v>
          </cell>
          <cell r="F112">
            <v>0</v>
          </cell>
          <cell r="G112">
            <v>0</v>
          </cell>
          <cell r="H112">
            <v>0</v>
          </cell>
          <cell r="I112">
            <v>0</v>
          </cell>
          <cell r="M112">
            <v>0</v>
          </cell>
          <cell r="N112">
            <v>0</v>
          </cell>
          <cell r="O112">
            <v>0</v>
          </cell>
          <cell r="P112">
            <v>0</v>
          </cell>
          <cell r="Q112">
            <v>0</v>
          </cell>
          <cell r="R112">
            <v>0</v>
          </cell>
          <cell r="S112">
            <v>0</v>
          </cell>
          <cell r="T112">
            <v>0</v>
          </cell>
        </row>
        <row r="113">
          <cell r="A113" t="str">
            <v>SUDAN AIRWAYS</v>
          </cell>
          <cell r="B113" t="str">
            <v>Sudan</v>
          </cell>
          <cell r="C113">
            <v>39142</v>
          </cell>
          <cell r="D113">
            <v>50000000</v>
          </cell>
          <cell r="E113">
            <v>500000000</v>
          </cell>
          <cell r="F113">
            <v>2.5000000000000001E-2</v>
          </cell>
          <cell r="G113">
            <v>1250000</v>
          </cell>
          <cell r="H113">
            <v>12500000</v>
          </cell>
          <cell r="I113">
            <v>13750000</v>
          </cell>
          <cell r="J113">
            <v>39508</v>
          </cell>
          <cell r="K113">
            <v>50000000</v>
          </cell>
          <cell r="L113">
            <v>750000000</v>
          </cell>
          <cell r="M113">
            <v>0.02</v>
          </cell>
          <cell r="N113">
            <v>1000000</v>
          </cell>
          <cell r="O113">
            <v>15000000</v>
          </cell>
          <cell r="P113">
            <v>16000000</v>
          </cell>
          <cell r="Q113">
            <v>-250000</v>
          </cell>
          <cell r="R113">
            <v>-250000</v>
          </cell>
          <cell r="S113">
            <v>2500000</v>
          </cell>
          <cell r="T113">
            <v>2500000</v>
          </cell>
        </row>
        <row r="114">
          <cell r="A114" t="str">
            <v>SULTAN'S FLIGHT</v>
          </cell>
          <cell r="B114" t="str">
            <v>Brunei</v>
          </cell>
          <cell r="C114">
            <v>39025</v>
          </cell>
          <cell r="D114">
            <v>250000000</v>
          </cell>
          <cell r="E114">
            <v>1000000000</v>
          </cell>
          <cell r="F114">
            <v>0</v>
          </cell>
          <cell r="G114">
            <v>0</v>
          </cell>
          <cell r="H114">
            <v>0</v>
          </cell>
          <cell r="I114">
            <v>0</v>
          </cell>
          <cell r="M114">
            <v>0</v>
          </cell>
          <cell r="N114">
            <v>0</v>
          </cell>
          <cell r="O114">
            <v>0</v>
          </cell>
          <cell r="P114">
            <v>0</v>
          </cell>
          <cell r="Q114">
            <v>0</v>
          </cell>
          <cell r="R114">
            <v>0</v>
          </cell>
          <cell r="S114">
            <v>0</v>
          </cell>
          <cell r="T114">
            <v>0</v>
          </cell>
        </row>
        <row r="115">
          <cell r="A115" t="str">
            <v>SYNERGY GROUP CORPORATION</v>
          </cell>
          <cell r="B115" t="str">
            <v>Columbia</v>
          </cell>
          <cell r="C115">
            <v>39039</v>
          </cell>
          <cell r="D115">
            <v>90000000</v>
          </cell>
          <cell r="E115">
            <v>1000000000</v>
          </cell>
          <cell r="F115">
            <v>0.01</v>
          </cell>
          <cell r="G115">
            <v>900000</v>
          </cell>
          <cell r="H115">
            <v>10000000</v>
          </cell>
          <cell r="I115">
            <v>10900000</v>
          </cell>
          <cell r="J115">
            <v>39404</v>
          </cell>
          <cell r="K115">
            <v>130000000</v>
          </cell>
          <cell r="L115">
            <v>1250000000</v>
          </cell>
          <cell r="M115">
            <v>1.4999999999999999E-2</v>
          </cell>
          <cell r="N115">
            <v>1950000</v>
          </cell>
          <cell r="O115">
            <v>18750000</v>
          </cell>
          <cell r="P115">
            <v>20700000</v>
          </cell>
          <cell r="Q115">
            <v>1050000</v>
          </cell>
          <cell r="R115">
            <v>1050000</v>
          </cell>
          <cell r="S115">
            <v>8750000</v>
          </cell>
          <cell r="T115">
            <v>8750000</v>
          </cell>
        </row>
        <row r="116">
          <cell r="A116" t="str">
            <v>TAM LANHAS AEREAS</v>
          </cell>
          <cell r="B116" t="str">
            <v>Brazil</v>
          </cell>
          <cell r="C116">
            <v>39070</v>
          </cell>
          <cell r="D116">
            <v>150000000</v>
          </cell>
          <cell r="E116">
            <v>1500000000</v>
          </cell>
          <cell r="F116">
            <v>1.2999999999999999E-2</v>
          </cell>
          <cell r="G116">
            <v>1950000</v>
          </cell>
          <cell r="H116">
            <v>19500000</v>
          </cell>
          <cell r="I116">
            <v>21450000</v>
          </cell>
          <cell r="J116">
            <v>39435</v>
          </cell>
          <cell r="K116">
            <v>200000000</v>
          </cell>
          <cell r="L116">
            <v>1500000000</v>
          </cell>
          <cell r="M116">
            <v>1.2E-2</v>
          </cell>
          <cell r="N116">
            <v>2400000</v>
          </cell>
          <cell r="O116">
            <v>18000000</v>
          </cell>
          <cell r="P116">
            <v>20400000</v>
          </cell>
          <cell r="Q116">
            <v>450000</v>
          </cell>
          <cell r="R116">
            <v>450000</v>
          </cell>
          <cell r="S116">
            <v>-1500000</v>
          </cell>
          <cell r="T116">
            <v>-1500000</v>
          </cell>
        </row>
        <row r="117">
          <cell r="A117" t="str">
            <v>TAROM S.A.</v>
          </cell>
          <cell r="B117" t="str">
            <v>Rumania</v>
          </cell>
          <cell r="C117">
            <v>39203</v>
          </cell>
          <cell r="D117">
            <v>55000000</v>
          </cell>
          <cell r="E117">
            <v>750000000</v>
          </cell>
          <cell r="F117">
            <v>0</v>
          </cell>
          <cell r="G117">
            <v>0</v>
          </cell>
          <cell r="H117">
            <v>0</v>
          </cell>
          <cell r="I117">
            <v>0</v>
          </cell>
          <cell r="J117">
            <v>39569</v>
          </cell>
          <cell r="K117">
            <v>55000000</v>
          </cell>
          <cell r="L117">
            <v>750000000</v>
          </cell>
          <cell r="M117">
            <v>0.02</v>
          </cell>
          <cell r="N117">
            <v>1100000</v>
          </cell>
          <cell r="O117">
            <v>15000000</v>
          </cell>
          <cell r="P117">
            <v>16100000</v>
          </cell>
          <cell r="Q117">
            <v>1100000</v>
          </cell>
          <cell r="R117">
            <v>1100000</v>
          </cell>
          <cell r="S117">
            <v>15000000</v>
          </cell>
          <cell r="T117">
            <v>15000000</v>
          </cell>
        </row>
        <row r="118">
          <cell r="A118" t="str">
            <v>TENIX PTY LIMITED</v>
          </cell>
          <cell r="B118" t="str">
            <v>Austrailia</v>
          </cell>
          <cell r="C118">
            <v>39051</v>
          </cell>
          <cell r="E118">
            <v>750000000</v>
          </cell>
          <cell r="F118">
            <v>0</v>
          </cell>
          <cell r="G118">
            <v>0</v>
          </cell>
          <cell r="H118">
            <v>0</v>
          </cell>
          <cell r="I118">
            <v>0</v>
          </cell>
          <cell r="M118">
            <v>0</v>
          </cell>
          <cell r="N118">
            <v>0</v>
          </cell>
          <cell r="O118">
            <v>0</v>
          </cell>
          <cell r="P118">
            <v>0</v>
          </cell>
          <cell r="Q118">
            <v>0</v>
          </cell>
          <cell r="R118">
            <v>0</v>
          </cell>
          <cell r="S118">
            <v>0</v>
          </cell>
          <cell r="T118">
            <v>0</v>
          </cell>
        </row>
        <row r="119">
          <cell r="A119" t="str">
            <v>THAI AIRWAYS</v>
          </cell>
          <cell r="B119" t="str">
            <v>Thailand</v>
          </cell>
          <cell r="J119">
            <v>39417</v>
          </cell>
          <cell r="K119">
            <v>260000000</v>
          </cell>
          <cell r="L119">
            <v>1750000000</v>
          </cell>
          <cell r="M119">
            <v>0.01</v>
          </cell>
          <cell r="N119">
            <v>2600000</v>
          </cell>
          <cell r="O119">
            <v>17500000</v>
          </cell>
          <cell r="P119">
            <v>20100000</v>
          </cell>
          <cell r="Q119">
            <v>2600000</v>
          </cell>
          <cell r="R119">
            <v>2600000</v>
          </cell>
          <cell r="S119">
            <v>17500000</v>
          </cell>
          <cell r="T119">
            <v>17500000</v>
          </cell>
        </row>
        <row r="120">
          <cell r="A120" t="str">
            <v>THE AVION GROUP 2006</v>
          </cell>
          <cell r="B120" t="str">
            <v>UK</v>
          </cell>
          <cell r="C120">
            <v>39050</v>
          </cell>
          <cell r="D120">
            <v>110000000</v>
          </cell>
          <cell r="E120">
            <v>1000000000</v>
          </cell>
          <cell r="F120">
            <v>1.4999999999999999E-2</v>
          </cell>
          <cell r="G120">
            <v>1650000</v>
          </cell>
          <cell r="H120">
            <v>15000000</v>
          </cell>
          <cell r="I120">
            <v>16650000</v>
          </cell>
          <cell r="M120">
            <v>0</v>
          </cell>
          <cell r="N120">
            <v>0</v>
          </cell>
          <cell r="O120">
            <v>0</v>
          </cell>
          <cell r="P120">
            <v>0</v>
          </cell>
          <cell r="Q120">
            <v>-1650000</v>
          </cell>
          <cell r="R120">
            <v>-1650000</v>
          </cell>
          <cell r="S120">
            <v>-15000000</v>
          </cell>
          <cell r="T120">
            <v>-15000000</v>
          </cell>
        </row>
        <row r="121">
          <cell r="A121" t="str">
            <v>TIGER AIRWAYS</v>
          </cell>
          <cell r="B121" t="str">
            <v>Singapore</v>
          </cell>
          <cell r="C121">
            <v>39264</v>
          </cell>
          <cell r="D121">
            <v>65000000</v>
          </cell>
          <cell r="E121">
            <v>600000000</v>
          </cell>
          <cell r="F121">
            <v>0</v>
          </cell>
          <cell r="G121">
            <v>0</v>
          </cell>
          <cell r="H121">
            <v>0</v>
          </cell>
          <cell r="I121">
            <v>0</v>
          </cell>
          <cell r="J121">
            <v>39630</v>
          </cell>
          <cell r="K121">
            <v>70000000</v>
          </cell>
          <cell r="L121">
            <v>600000000</v>
          </cell>
          <cell r="M121">
            <v>0.02</v>
          </cell>
          <cell r="N121">
            <v>1400000</v>
          </cell>
          <cell r="O121">
            <v>12000000</v>
          </cell>
          <cell r="P121">
            <v>13400000</v>
          </cell>
          <cell r="Q121">
            <v>1400000</v>
          </cell>
          <cell r="R121">
            <v>1400000</v>
          </cell>
          <cell r="S121">
            <v>12000000</v>
          </cell>
          <cell r="T121">
            <v>12000000</v>
          </cell>
        </row>
        <row r="122">
          <cell r="A122" t="str">
            <v>TRAVEL SERVIS/SMART WINGS/VISIG AIR</v>
          </cell>
          <cell r="B122" t="str">
            <v>Czecho</v>
          </cell>
          <cell r="C122">
            <v>39203</v>
          </cell>
          <cell r="D122">
            <v>70000000</v>
          </cell>
          <cell r="E122">
            <v>600000000</v>
          </cell>
          <cell r="F122">
            <v>0</v>
          </cell>
          <cell r="G122">
            <v>0</v>
          </cell>
          <cell r="H122">
            <v>0</v>
          </cell>
          <cell r="I122">
            <v>0</v>
          </cell>
          <cell r="M122">
            <v>0</v>
          </cell>
          <cell r="N122">
            <v>0</v>
          </cell>
          <cell r="O122">
            <v>0</v>
          </cell>
          <cell r="P122">
            <v>0</v>
          </cell>
          <cell r="Q122">
            <v>0</v>
          </cell>
          <cell r="R122">
            <v>0</v>
          </cell>
          <cell r="S122">
            <v>0</v>
          </cell>
          <cell r="T122">
            <v>0</v>
          </cell>
        </row>
        <row r="123">
          <cell r="A123" t="str">
            <v>TUNISIAN ARILINES</v>
          </cell>
          <cell r="B123" t="str">
            <v>Tunisia</v>
          </cell>
          <cell r="C123">
            <v>39052</v>
          </cell>
          <cell r="D123">
            <v>152100000</v>
          </cell>
          <cell r="E123">
            <v>1000000000</v>
          </cell>
          <cell r="F123">
            <v>0.01</v>
          </cell>
          <cell r="G123">
            <v>1521000</v>
          </cell>
          <cell r="H123">
            <v>10000000</v>
          </cell>
          <cell r="I123">
            <v>11521000</v>
          </cell>
          <cell r="M123">
            <v>0</v>
          </cell>
          <cell r="N123">
            <v>0</v>
          </cell>
          <cell r="O123">
            <v>0</v>
          </cell>
          <cell r="P123">
            <v>0</v>
          </cell>
          <cell r="Q123">
            <v>-1521000</v>
          </cell>
          <cell r="R123">
            <v>-1521000</v>
          </cell>
          <cell r="S123">
            <v>-10000000</v>
          </cell>
          <cell r="T123">
            <v>-10000000</v>
          </cell>
        </row>
        <row r="124">
          <cell r="A124" t="str">
            <v>VIETNAM AIRLINES</v>
          </cell>
          <cell r="B124" t="str">
            <v>Vietnam</v>
          </cell>
          <cell r="C124">
            <v>39083</v>
          </cell>
          <cell r="D124">
            <v>200000000</v>
          </cell>
          <cell r="E124">
            <v>1350000000</v>
          </cell>
          <cell r="F124">
            <v>1.2500000000000001E-2</v>
          </cell>
          <cell r="G124">
            <v>2500000</v>
          </cell>
          <cell r="H124">
            <v>16875000</v>
          </cell>
          <cell r="I124">
            <v>19375000</v>
          </cell>
          <cell r="J124">
            <v>39431</v>
          </cell>
          <cell r="K124">
            <v>200000000</v>
          </cell>
          <cell r="L124">
            <v>1500000000</v>
          </cell>
          <cell r="M124">
            <v>1.2500000000000001E-2</v>
          </cell>
          <cell r="N124">
            <v>2500000</v>
          </cell>
          <cell r="O124">
            <v>18750000</v>
          </cell>
          <cell r="P124">
            <v>21250000</v>
          </cell>
          <cell r="Q124">
            <v>0</v>
          </cell>
          <cell r="R124">
            <v>0</v>
          </cell>
          <cell r="S124">
            <v>1875000</v>
          </cell>
          <cell r="T124">
            <v>1875000</v>
          </cell>
        </row>
        <row r="125">
          <cell r="A125" t="str">
            <v>VLM Airlines/DENIM AIR</v>
          </cell>
          <cell r="B125" t="str">
            <v>Belgium</v>
          </cell>
          <cell r="C125">
            <v>39012</v>
          </cell>
          <cell r="D125">
            <v>15000000</v>
          </cell>
          <cell r="E125">
            <v>250000000</v>
          </cell>
          <cell r="F125">
            <v>0</v>
          </cell>
          <cell r="G125">
            <v>0</v>
          </cell>
          <cell r="H125">
            <v>0</v>
          </cell>
          <cell r="I125">
            <v>0</v>
          </cell>
          <cell r="M125">
            <v>0</v>
          </cell>
          <cell r="N125">
            <v>0</v>
          </cell>
          <cell r="O125">
            <v>0</v>
          </cell>
          <cell r="P125">
            <v>0</v>
          </cell>
          <cell r="Q125">
            <v>0</v>
          </cell>
          <cell r="R125">
            <v>0</v>
          </cell>
          <cell r="S125">
            <v>0</v>
          </cell>
          <cell r="T125">
            <v>0</v>
          </cell>
        </row>
        <row r="126">
          <cell r="A126" t="str">
            <v>VUELLING AIRLINES</v>
          </cell>
          <cell r="B126" t="str">
            <v>Spain</v>
          </cell>
          <cell r="J126">
            <v>39587</v>
          </cell>
          <cell r="K126">
            <v>70000000</v>
          </cell>
          <cell r="L126">
            <v>600000000</v>
          </cell>
          <cell r="M126">
            <v>0.03</v>
          </cell>
          <cell r="N126">
            <v>2100000</v>
          </cell>
          <cell r="O126">
            <v>18000000</v>
          </cell>
          <cell r="P126">
            <v>20100000</v>
          </cell>
          <cell r="Q126">
            <v>2100000</v>
          </cell>
          <cell r="R126">
            <v>2100000</v>
          </cell>
          <cell r="S126">
            <v>18000000</v>
          </cell>
          <cell r="T126">
            <v>18000000</v>
          </cell>
        </row>
        <row r="127">
          <cell r="A127" t="str">
            <v>WIND JET S.P.A.</v>
          </cell>
          <cell r="B127" t="str">
            <v>Italy</v>
          </cell>
          <cell r="C127">
            <v>39237</v>
          </cell>
          <cell r="D127">
            <v>40000000</v>
          </cell>
          <cell r="E127">
            <v>600000000</v>
          </cell>
          <cell r="F127">
            <v>0</v>
          </cell>
          <cell r="G127">
            <v>0</v>
          </cell>
          <cell r="H127">
            <v>0</v>
          </cell>
          <cell r="I127">
            <v>0</v>
          </cell>
          <cell r="M127">
            <v>0</v>
          </cell>
          <cell r="N127">
            <v>0</v>
          </cell>
          <cell r="O127">
            <v>0</v>
          </cell>
          <cell r="P127">
            <v>0</v>
          </cell>
          <cell r="Q127">
            <v>0</v>
          </cell>
          <cell r="R127">
            <v>0</v>
          </cell>
          <cell r="S127">
            <v>0</v>
          </cell>
          <cell r="T127">
            <v>0</v>
          </cell>
        </row>
        <row r="128">
          <cell r="A128" t="str">
            <v>WIZZ AIR</v>
          </cell>
          <cell r="B128" t="str">
            <v>Hungary</v>
          </cell>
          <cell r="C128">
            <v>39264</v>
          </cell>
          <cell r="D128">
            <v>70000000</v>
          </cell>
          <cell r="E128">
            <v>750000000</v>
          </cell>
          <cell r="F128">
            <v>1.7500000000000002E-2</v>
          </cell>
          <cell r="G128">
            <v>1225000.0000000002</v>
          </cell>
          <cell r="H128">
            <v>13125000.000000002</v>
          </cell>
          <cell r="I128">
            <v>14350000.000000002</v>
          </cell>
          <cell r="J128">
            <v>39630</v>
          </cell>
          <cell r="K128">
            <v>70000000</v>
          </cell>
          <cell r="L128">
            <v>750000000</v>
          </cell>
          <cell r="M128">
            <v>0.02</v>
          </cell>
          <cell r="N128">
            <v>1400000</v>
          </cell>
          <cell r="O128">
            <v>15000000</v>
          </cell>
          <cell r="P128">
            <v>16400000</v>
          </cell>
          <cell r="Q128">
            <v>174999.99999999977</v>
          </cell>
          <cell r="R128">
            <v>174999.99999999977</v>
          </cell>
          <cell r="S128">
            <v>1874999.9999999981</v>
          </cell>
          <cell r="T128">
            <v>1874999.9999999981</v>
          </cell>
        </row>
        <row r="129">
          <cell r="A129" t="str">
            <v>XL LEISURE</v>
          </cell>
          <cell r="B129" t="str">
            <v>UK</v>
          </cell>
          <cell r="J129">
            <v>39689</v>
          </cell>
          <cell r="K129">
            <v>130000000</v>
          </cell>
          <cell r="L129">
            <v>1000000000</v>
          </cell>
          <cell r="M129">
            <v>1.4999999999999999E-2</v>
          </cell>
          <cell r="N129">
            <v>1950000</v>
          </cell>
          <cell r="O129">
            <v>15000000</v>
          </cell>
          <cell r="P129">
            <v>16950000</v>
          </cell>
          <cell r="Q129">
            <v>1950000</v>
          </cell>
          <cell r="R129">
            <v>1950000</v>
          </cell>
          <cell r="S129">
            <v>15000000</v>
          </cell>
          <cell r="T129">
            <v>15000000</v>
          </cell>
        </row>
        <row r="130">
          <cell r="A130" t="str">
            <v>YEMENIA</v>
          </cell>
          <cell r="B130" t="str">
            <v>Middle East</v>
          </cell>
          <cell r="C130">
            <v>39037</v>
          </cell>
          <cell r="D130">
            <v>275000000</v>
          </cell>
          <cell r="E130">
            <v>2000000000</v>
          </cell>
          <cell r="F130">
            <v>0</v>
          </cell>
          <cell r="G130">
            <v>0</v>
          </cell>
          <cell r="H130">
            <v>0</v>
          </cell>
          <cell r="I130">
            <v>0</v>
          </cell>
          <cell r="M130">
            <v>0</v>
          </cell>
          <cell r="N130">
            <v>0</v>
          </cell>
          <cell r="O130">
            <v>0</v>
          </cell>
          <cell r="P130">
            <v>0</v>
          </cell>
          <cell r="Q130">
            <v>0</v>
          </cell>
          <cell r="R130">
            <v>0</v>
          </cell>
          <cell r="S130">
            <v>0</v>
          </cell>
          <cell r="T130">
            <v>0</v>
          </cell>
        </row>
      </sheetData>
      <sheetData sheetId="1">
        <row r="8">
          <cell r="A8" t="str">
            <v>Assured</v>
          </cell>
          <cell r="B8" t="str">
            <v>Flag</v>
          </cell>
          <cell r="C8" t="str">
            <v>Inception</v>
          </cell>
          <cell r="D8" t="str">
            <v>Hull Limit</v>
          </cell>
          <cell r="E8" t="str">
            <v>Liability Limit</v>
          </cell>
          <cell r="F8" t="str">
            <v>Line</v>
          </cell>
          <cell r="G8" t="str">
            <v xml:space="preserve">Hull Involvement </v>
          </cell>
          <cell r="H8" t="str">
            <v>Liabs Involvement</v>
          </cell>
          <cell r="I8" t="str">
            <v>Combined</v>
          </cell>
          <cell r="J8" t="str">
            <v>Inception</v>
          </cell>
          <cell r="K8" t="str">
            <v>Hull Limit</v>
          </cell>
          <cell r="L8" t="str">
            <v>Liability Limit</v>
          </cell>
          <cell r="M8" t="str">
            <v>Line</v>
          </cell>
          <cell r="N8" t="str">
            <v xml:space="preserve">Hull Involvement </v>
          </cell>
          <cell r="O8" t="str">
            <v>Liabs Involvement</v>
          </cell>
          <cell r="P8" t="str">
            <v>Hullliab</v>
          </cell>
          <cell r="Q8" t="str">
            <v xml:space="preserve">Change in Hull Involvement </v>
          </cell>
          <cell r="S8" t="str">
            <v>Change in Liabs Involvement</v>
          </cell>
        </row>
        <row r="9">
          <cell r="A9" t="str">
            <v>AERO NORTH ICELANDIC</v>
          </cell>
          <cell r="B9" t="str">
            <v>Indonesia</v>
          </cell>
          <cell r="C9">
            <v>39111</v>
          </cell>
          <cell r="D9">
            <v>20000000</v>
          </cell>
          <cell r="E9">
            <v>350000000</v>
          </cell>
          <cell r="F9">
            <v>0.02</v>
          </cell>
          <cell r="G9">
            <v>400000</v>
          </cell>
          <cell r="H9">
            <v>7000000</v>
          </cell>
          <cell r="I9">
            <v>7400000</v>
          </cell>
          <cell r="J9">
            <v>39536</v>
          </cell>
          <cell r="K9">
            <v>20000000</v>
          </cell>
          <cell r="L9">
            <v>500000000</v>
          </cell>
          <cell r="M9">
            <v>0.02</v>
          </cell>
          <cell r="N9">
            <v>400000</v>
          </cell>
          <cell r="O9">
            <v>10000000</v>
          </cell>
          <cell r="P9">
            <v>10400000</v>
          </cell>
          <cell r="Q9">
            <v>0</v>
          </cell>
          <cell r="R9">
            <v>0</v>
          </cell>
          <cell r="S9">
            <v>3000000</v>
          </cell>
          <cell r="T9">
            <v>3000000</v>
          </cell>
        </row>
        <row r="10">
          <cell r="A10" t="str">
            <v xml:space="preserve">AEROFLOT RUSSIAN AIRLINES </v>
          </cell>
          <cell r="B10" t="str">
            <v>Russia</v>
          </cell>
          <cell r="C10">
            <v>39265</v>
          </cell>
          <cell r="D10">
            <v>181000000</v>
          </cell>
          <cell r="E10">
            <v>1000000000</v>
          </cell>
          <cell r="F10">
            <v>0.01</v>
          </cell>
          <cell r="G10">
            <v>1810000</v>
          </cell>
          <cell r="H10">
            <v>10000000</v>
          </cell>
          <cell r="I10">
            <v>11810000</v>
          </cell>
          <cell r="J10">
            <v>39631</v>
          </cell>
          <cell r="K10">
            <v>181000000</v>
          </cell>
          <cell r="L10">
            <v>1000000000</v>
          </cell>
          <cell r="M10">
            <v>1.2999999999999999E-2</v>
          </cell>
          <cell r="N10">
            <v>2353000</v>
          </cell>
          <cell r="O10">
            <v>13000000</v>
          </cell>
          <cell r="P10">
            <v>15353000</v>
          </cell>
          <cell r="Q10">
            <v>543000</v>
          </cell>
          <cell r="R10">
            <v>543000</v>
          </cell>
          <cell r="S10">
            <v>3000000</v>
          </cell>
          <cell r="T10">
            <v>3000000</v>
          </cell>
        </row>
        <row r="11">
          <cell r="A11" t="str">
            <v xml:space="preserve">AEROLINEAS ARGENTINAS </v>
          </cell>
          <cell r="B11" t="str">
            <v>Spain</v>
          </cell>
          <cell r="C11">
            <v>39173</v>
          </cell>
          <cell r="D11">
            <v>157000000</v>
          </cell>
          <cell r="E11">
            <v>1250000000</v>
          </cell>
          <cell r="F11">
            <v>1.4999999999999999E-2</v>
          </cell>
          <cell r="G11">
            <v>2355000</v>
          </cell>
          <cell r="H11">
            <v>18750000</v>
          </cell>
          <cell r="I11">
            <v>21105000</v>
          </cell>
          <cell r="M11">
            <v>0</v>
          </cell>
          <cell r="N11">
            <v>0</v>
          </cell>
          <cell r="O11">
            <v>0</v>
          </cell>
          <cell r="P11">
            <v>0</v>
          </cell>
          <cell r="Q11">
            <v>-2355000</v>
          </cell>
          <cell r="R11">
            <v>-2355000</v>
          </cell>
          <cell r="S11">
            <v>-18750000</v>
          </cell>
          <cell r="T11">
            <v>-18750000</v>
          </cell>
        </row>
        <row r="12">
          <cell r="A12" t="str">
            <v>AEROMEXICO</v>
          </cell>
          <cell r="B12" t="str">
            <v>Mexico</v>
          </cell>
          <cell r="J12">
            <v>39692</v>
          </cell>
          <cell r="K12">
            <v>201000000</v>
          </cell>
          <cell r="L12">
            <v>1500000000</v>
          </cell>
          <cell r="M12">
            <v>0.01</v>
          </cell>
          <cell r="N12">
            <v>2010000</v>
          </cell>
          <cell r="O12">
            <v>15000000</v>
          </cell>
          <cell r="P12">
            <v>17010000</v>
          </cell>
          <cell r="Q12">
            <v>2010000</v>
          </cell>
          <cell r="R12">
            <v>2010000</v>
          </cell>
          <cell r="S12">
            <v>15000000</v>
          </cell>
          <cell r="T12">
            <v>15000000</v>
          </cell>
        </row>
        <row r="13">
          <cell r="A13" t="str">
            <v>AEROSVIT AIRLINES</v>
          </cell>
          <cell r="B13" t="str">
            <v>Ukraine</v>
          </cell>
          <cell r="C13">
            <v>38990</v>
          </cell>
          <cell r="D13">
            <v>60000000</v>
          </cell>
          <cell r="E13">
            <v>750000000</v>
          </cell>
          <cell r="F13">
            <v>9.2999999999999992E-3</v>
          </cell>
          <cell r="G13">
            <v>558000</v>
          </cell>
          <cell r="H13">
            <v>6974999.9999999991</v>
          </cell>
          <cell r="I13">
            <v>7532999.9999999991</v>
          </cell>
          <cell r="M13">
            <v>0</v>
          </cell>
          <cell r="N13">
            <v>0</v>
          </cell>
          <cell r="O13">
            <v>0</v>
          </cell>
          <cell r="P13">
            <v>0</v>
          </cell>
          <cell r="Q13">
            <v>-558000</v>
          </cell>
          <cell r="R13">
            <v>-558000</v>
          </cell>
          <cell r="S13">
            <v>-6974999.9999999991</v>
          </cell>
          <cell r="T13">
            <v>-6974999.9999999991</v>
          </cell>
        </row>
        <row r="14">
          <cell r="A14" t="str">
            <v>AGEAN AIRLINES</v>
          </cell>
          <cell r="B14" t="str">
            <v>Greece</v>
          </cell>
          <cell r="C14">
            <v>39251</v>
          </cell>
          <cell r="D14">
            <v>65000000</v>
          </cell>
          <cell r="E14">
            <v>750000000</v>
          </cell>
          <cell r="F14">
            <v>0.02</v>
          </cell>
          <cell r="G14">
            <v>1300000</v>
          </cell>
          <cell r="H14">
            <v>15000000</v>
          </cell>
          <cell r="I14">
            <v>16300000</v>
          </cell>
          <cell r="J14">
            <v>39617</v>
          </cell>
          <cell r="K14">
            <v>70000000</v>
          </cell>
          <cell r="L14">
            <v>750000000</v>
          </cell>
          <cell r="M14">
            <v>0.02</v>
          </cell>
          <cell r="N14">
            <v>1400000</v>
          </cell>
          <cell r="O14">
            <v>15000000</v>
          </cell>
          <cell r="P14">
            <v>16400000</v>
          </cell>
          <cell r="Q14">
            <v>100000</v>
          </cell>
          <cell r="R14">
            <v>100000</v>
          </cell>
          <cell r="S14">
            <v>0</v>
          </cell>
          <cell r="T14">
            <v>0</v>
          </cell>
        </row>
        <row r="15">
          <cell r="A15" t="str">
            <v>AIGLE AZUR/AIR MEDITERRANEE</v>
          </cell>
          <cell r="B15" t="str">
            <v>France</v>
          </cell>
          <cell r="C15">
            <v>39264</v>
          </cell>
          <cell r="D15">
            <v>75000000</v>
          </cell>
          <cell r="E15">
            <v>650000000</v>
          </cell>
          <cell r="F15">
            <v>0.02</v>
          </cell>
          <cell r="G15">
            <v>1500000</v>
          </cell>
          <cell r="H15">
            <v>13000000</v>
          </cell>
          <cell r="I15">
            <v>14500000</v>
          </cell>
          <cell r="J15">
            <v>39264</v>
          </cell>
          <cell r="K15">
            <v>75000000</v>
          </cell>
          <cell r="L15">
            <v>800000000</v>
          </cell>
          <cell r="M15">
            <v>0.02</v>
          </cell>
          <cell r="N15">
            <v>1500000</v>
          </cell>
          <cell r="O15">
            <v>16000000</v>
          </cell>
          <cell r="P15">
            <v>17500000</v>
          </cell>
          <cell r="Q15">
            <v>0</v>
          </cell>
          <cell r="R15">
            <v>0</v>
          </cell>
          <cell r="S15">
            <v>3000000</v>
          </cell>
          <cell r="T15">
            <v>3000000</v>
          </cell>
        </row>
        <row r="16">
          <cell r="A16" t="str">
            <v>AIR ALGERIE</v>
          </cell>
          <cell r="B16" t="str">
            <v>Algerie</v>
          </cell>
          <cell r="C16">
            <v>38991</v>
          </cell>
          <cell r="D16">
            <v>166000000</v>
          </cell>
          <cell r="E16">
            <v>1000000000</v>
          </cell>
          <cell r="F16">
            <v>8.0000000000000002E-3</v>
          </cell>
          <cell r="G16">
            <v>1328000</v>
          </cell>
          <cell r="H16">
            <v>8000000</v>
          </cell>
          <cell r="I16">
            <v>9328000</v>
          </cell>
          <cell r="M16">
            <v>0</v>
          </cell>
          <cell r="N16">
            <v>0</v>
          </cell>
          <cell r="O16">
            <v>0</v>
          </cell>
          <cell r="P16">
            <v>0</v>
          </cell>
          <cell r="Q16">
            <v>-1328000</v>
          </cell>
          <cell r="R16">
            <v>-1328000</v>
          </cell>
          <cell r="S16">
            <v>-8000000</v>
          </cell>
          <cell r="T16">
            <v>-8000000</v>
          </cell>
        </row>
        <row r="17">
          <cell r="A17" t="str">
            <v>AIR ATLANTIC ICELLANDIC</v>
          </cell>
          <cell r="B17" t="str">
            <v>Iceland</v>
          </cell>
          <cell r="J17">
            <v>39415</v>
          </cell>
          <cell r="K17">
            <v>175000000</v>
          </cell>
          <cell r="L17">
            <v>1000000000</v>
          </cell>
          <cell r="M17">
            <v>0.01</v>
          </cell>
          <cell r="N17">
            <v>1750000</v>
          </cell>
          <cell r="O17">
            <v>10000000</v>
          </cell>
          <cell r="P17">
            <v>11750000</v>
          </cell>
          <cell r="Q17">
            <v>1750000</v>
          </cell>
          <cell r="R17">
            <v>1750000</v>
          </cell>
          <cell r="S17">
            <v>10000000</v>
          </cell>
          <cell r="T17">
            <v>10000000</v>
          </cell>
        </row>
        <row r="18">
          <cell r="A18" t="str">
            <v>AIR BERLIN / NIKI</v>
          </cell>
          <cell r="B18" t="str">
            <v>Germany</v>
          </cell>
          <cell r="C18">
            <v>39176</v>
          </cell>
          <cell r="D18">
            <v>66000000</v>
          </cell>
          <cell r="E18">
            <v>1200000000</v>
          </cell>
          <cell r="F18">
            <v>0.01</v>
          </cell>
          <cell r="G18">
            <v>660000</v>
          </cell>
          <cell r="H18">
            <v>12000000</v>
          </cell>
          <cell r="I18">
            <v>12660000</v>
          </cell>
          <cell r="J18">
            <v>39542</v>
          </cell>
          <cell r="K18">
            <v>85000000</v>
          </cell>
          <cell r="L18">
            <v>1500000000</v>
          </cell>
          <cell r="M18">
            <v>1.2999999999999999E-2</v>
          </cell>
          <cell r="N18">
            <v>1105000</v>
          </cell>
          <cell r="O18">
            <v>19500000</v>
          </cell>
          <cell r="P18">
            <v>20605000</v>
          </cell>
          <cell r="Q18">
            <v>445000</v>
          </cell>
          <cell r="R18">
            <v>445000</v>
          </cell>
          <cell r="S18">
            <v>7500000</v>
          </cell>
          <cell r="T18">
            <v>7500000</v>
          </cell>
        </row>
        <row r="19">
          <cell r="A19" t="str">
            <v>AIR CAIRO</v>
          </cell>
          <cell r="B19" t="str">
            <v>Egypt</v>
          </cell>
          <cell r="C19">
            <v>39010</v>
          </cell>
          <cell r="D19">
            <v>60000000</v>
          </cell>
          <cell r="E19">
            <v>600000000</v>
          </cell>
          <cell r="F19">
            <v>5.0000000000000001E-3</v>
          </cell>
          <cell r="G19">
            <v>300000</v>
          </cell>
          <cell r="H19">
            <v>3000000</v>
          </cell>
          <cell r="I19">
            <v>3300000</v>
          </cell>
          <cell r="M19">
            <v>0</v>
          </cell>
          <cell r="N19">
            <v>0</v>
          </cell>
          <cell r="O19">
            <v>0</v>
          </cell>
          <cell r="P19">
            <v>0</v>
          </cell>
          <cell r="Q19">
            <v>-300000</v>
          </cell>
          <cell r="R19">
            <v>-300000</v>
          </cell>
          <cell r="S19">
            <v>-3000000</v>
          </cell>
          <cell r="T19">
            <v>-3000000</v>
          </cell>
        </row>
        <row r="20">
          <cell r="A20" t="str">
            <v>AIR EUROPA</v>
          </cell>
          <cell r="B20" t="str">
            <v>Spain</v>
          </cell>
          <cell r="C20">
            <v>39022</v>
          </cell>
          <cell r="D20">
            <v>175000000</v>
          </cell>
          <cell r="E20">
            <v>1000000000</v>
          </cell>
          <cell r="F20">
            <v>1.4999999999999999E-2</v>
          </cell>
          <cell r="G20">
            <v>2625000</v>
          </cell>
          <cell r="H20">
            <v>15000000</v>
          </cell>
          <cell r="I20">
            <v>17625000</v>
          </cell>
          <cell r="J20">
            <v>39387</v>
          </cell>
          <cell r="K20">
            <v>194500000</v>
          </cell>
          <cell r="L20">
            <v>1025000000</v>
          </cell>
          <cell r="M20">
            <v>1.2999999999999999E-2</v>
          </cell>
          <cell r="N20">
            <v>2528500</v>
          </cell>
          <cell r="O20">
            <v>13325000</v>
          </cell>
          <cell r="P20">
            <v>15853500</v>
          </cell>
          <cell r="Q20">
            <v>-96500</v>
          </cell>
          <cell r="R20">
            <v>-96500</v>
          </cell>
          <cell r="S20">
            <v>-1675000</v>
          </cell>
          <cell r="T20">
            <v>-1675000</v>
          </cell>
        </row>
        <row r="21">
          <cell r="A21" t="str">
            <v>AIR INDIA</v>
          </cell>
          <cell r="B21" t="str">
            <v>India</v>
          </cell>
          <cell r="C21">
            <v>39264</v>
          </cell>
          <cell r="D21">
            <v>285000000</v>
          </cell>
          <cell r="E21">
            <v>1500000000</v>
          </cell>
          <cell r="F21">
            <v>0.01</v>
          </cell>
          <cell r="G21">
            <v>2850000</v>
          </cell>
          <cell r="H21">
            <v>15000000</v>
          </cell>
          <cell r="I21">
            <v>17850000</v>
          </cell>
          <cell r="J21">
            <v>39630</v>
          </cell>
          <cell r="K21">
            <v>275000000</v>
          </cell>
          <cell r="L21">
            <v>1500000000</v>
          </cell>
          <cell r="M21">
            <v>0.01</v>
          </cell>
          <cell r="N21">
            <v>2750000</v>
          </cell>
          <cell r="O21">
            <v>15000000</v>
          </cell>
          <cell r="P21">
            <v>17750000</v>
          </cell>
          <cell r="Q21">
            <v>-100000</v>
          </cell>
          <cell r="R21">
            <v>-100000</v>
          </cell>
          <cell r="S21">
            <v>0</v>
          </cell>
          <cell r="T21">
            <v>0</v>
          </cell>
        </row>
        <row r="22">
          <cell r="A22" t="str">
            <v>AIR JAMAICA</v>
          </cell>
          <cell r="B22" t="str">
            <v>Jamaica</v>
          </cell>
          <cell r="C22">
            <v>39173</v>
          </cell>
          <cell r="D22">
            <v>125000000</v>
          </cell>
          <cell r="E22">
            <v>1250000000</v>
          </cell>
          <cell r="F22">
            <v>1.4999999999999999E-2</v>
          </cell>
          <cell r="G22">
            <v>1875000</v>
          </cell>
          <cell r="H22">
            <v>18750000</v>
          </cell>
          <cell r="I22">
            <v>20625000</v>
          </cell>
          <cell r="J22">
            <v>39569</v>
          </cell>
          <cell r="K22">
            <v>125000000</v>
          </cell>
          <cell r="L22">
            <v>1250000000</v>
          </cell>
          <cell r="M22">
            <v>1.4999999999999999E-2</v>
          </cell>
          <cell r="N22">
            <v>1875000</v>
          </cell>
          <cell r="O22">
            <v>18750000</v>
          </cell>
          <cell r="P22">
            <v>20625000</v>
          </cell>
          <cell r="Q22">
            <v>0</v>
          </cell>
          <cell r="R22">
            <v>0</v>
          </cell>
          <cell r="S22">
            <v>0</v>
          </cell>
          <cell r="T22">
            <v>0</v>
          </cell>
        </row>
        <row r="23">
          <cell r="A23" t="str">
            <v>AIR MACAU COMPANY LIMITED</v>
          </cell>
          <cell r="B23" t="str">
            <v>Macau</v>
          </cell>
          <cell r="C23">
            <v>39264</v>
          </cell>
          <cell r="D23">
            <v>100000000</v>
          </cell>
          <cell r="E23">
            <v>750000000</v>
          </cell>
          <cell r="F23">
            <v>0.02</v>
          </cell>
          <cell r="G23">
            <v>2000000</v>
          </cell>
          <cell r="H23">
            <v>15000000</v>
          </cell>
          <cell r="I23">
            <v>17000000</v>
          </cell>
          <cell r="J23">
            <v>39630</v>
          </cell>
          <cell r="K23">
            <v>110000000</v>
          </cell>
          <cell r="L23">
            <v>750000000</v>
          </cell>
          <cell r="M23">
            <v>0.02</v>
          </cell>
          <cell r="N23">
            <v>2200000</v>
          </cell>
          <cell r="O23">
            <v>15000000</v>
          </cell>
          <cell r="P23">
            <v>17200000</v>
          </cell>
          <cell r="Q23">
            <v>200000</v>
          </cell>
          <cell r="R23">
            <v>200000</v>
          </cell>
          <cell r="S23">
            <v>0</v>
          </cell>
          <cell r="T23">
            <v>0</v>
          </cell>
        </row>
        <row r="24">
          <cell r="A24" t="str">
            <v>AIR MAURITIUS</v>
          </cell>
          <cell r="B24" t="str">
            <v>Mauritius</v>
          </cell>
          <cell r="C24">
            <v>39173</v>
          </cell>
          <cell r="D24">
            <v>150000000</v>
          </cell>
          <cell r="E24">
            <v>1500000000</v>
          </cell>
          <cell r="F24">
            <v>0.01</v>
          </cell>
          <cell r="G24">
            <v>1500000</v>
          </cell>
          <cell r="H24">
            <v>15000000</v>
          </cell>
          <cell r="I24">
            <v>16500000</v>
          </cell>
          <cell r="J24">
            <v>39539</v>
          </cell>
          <cell r="K24">
            <v>150000000</v>
          </cell>
          <cell r="L24">
            <v>1500000000</v>
          </cell>
          <cell r="M24">
            <v>0.01</v>
          </cell>
          <cell r="N24">
            <v>1500000</v>
          </cell>
          <cell r="O24">
            <v>15000000</v>
          </cell>
          <cell r="P24">
            <v>16500000</v>
          </cell>
          <cell r="Q24">
            <v>0</v>
          </cell>
          <cell r="R24">
            <v>0</v>
          </cell>
          <cell r="S24">
            <v>0</v>
          </cell>
          <cell r="T24">
            <v>0</v>
          </cell>
        </row>
        <row r="25">
          <cell r="A25" t="str">
            <v>AIR NOSTRUM</v>
          </cell>
          <cell r="B25" t="str">
            <v>Spain</v>
          </cell>
          <cell r="C25">
            <v>39142</v>
          </cell>
          <cell r="D25">
            <v>40000000</v>
          </cell>
          <cell r="E25">
            <v>400000000</v>
          </cell>
          <cell r="F25">
            <v>0.03</v>
          </cell>
          <cell r="G25">
            <v>1200000</v>
          </cell>
          <cell r="H25">
            <v>12000000</v>
          </cell>
          <cell r="I25">
            <v>13200000</v>
          </cell>
          <cell r="J25">
            <v>39508</v>
          </cell>
          <cell r="K25">
            <v>45000000</v>
          </cell>
          <cell r="L25">
            <v>400000000</v>
          </cell>
          <cell r="M25">
            <v>0.05</v>
          </cell>
          <cell r="N25">
            <v>2250000</v>
          </cell>
          <cell r="O25">
            <v>20000000</v>
          </cell>
          <cell r="P25">
            <v>22250000</v>
          </cell>
          <cell r="Q25">
            <v>1050000</v>
          </cell>
          <cell r="R25">
            <v>1050000</v>
          </cell>
          <cell r="S25">
            <v>8000000</v>
          </cell>
          <cell r="T25">
            <v>8000000</v>
          </cell>
        </row>
        <row r="26">
          <cell r="A26" t="str">
            <v>AIR PLUS COMET</v>
          </cell>
          <cell r="B26" t="str">
            <v>Spain</v>
          </cell>
          <cell r="J26">
            <v>39539</v>
          </cell>
          <cell r="K26">
            <v>150000000</v>
          </cell>
          <cell r="L26">
            <v>1000000000</v>
          </cell>
          <cell r="M26">
            <v>0.01</v>
          </cell>
          <cell r="N26">
            <v>1500000</v>
          </cell>
          <cell r="O26">
            <v>10000000</v>
          </cell>
          <cell r="P26">
            <v>11500000</v>
          </cell>
          <cell r="Q26">
            <v>1500000</v>
          </cell>
          <cell r="R26">
            <v>1500000</v>
          </cell>
          <cell r="S26">
            <v>10000000</v>
          </cell>
          <cell r="T26">
            <v>10000000</v>
          </cell>
        </row>
        <row r="27">
          <cell r="A27" t="str">
            <v>AIR TAHITI NUI/AIR CALEDONIE</v>
          </cell>
          <cell r="B27" t="str">
            <v>France</v>
          </cell>
          <cell r="C27">
            <v>39031</v>
          </cell>
          <cell r="D27">
            <v>180500000</v>
          </cell>
          <cell r="E27">
            <v>1500000000</v>
          </cell>
          <cell r="F27">
            <v>0.01</v>
          </cell>
          <cell r="G27">
            <v>1805000</v>
          </cell>
          <cell r="H27">
            <v>15000000</v>
          </cell>
          <cell r="I27">
            <v>16805000</v>
          </cell>
          <cell r="J27">
            <v>39417</v>
          </cell>
          <cell r="K27">
            <v>175000000</v>
          </cell>
          <cell r="L27">
            <v>1500000000</v>
          </cell>
          <cell r="M27">
            <v>1.2999999999999999E-2</v>
          </cell>
          <cell r="N27">
            <v>2275000</v>
          </cell>
          <cell r="O27">
            <v>19500000</v>
          </cell>
          <cell r="P27">
            <v>21775000</v>
          </cell>
          <cell r="Q27">
            <v>470000</v>
          </cell>
          <cell r="R27">
            <v>470000</v>
          </cell>
          <cell r="S27">
            <v>4500000</v>
          </cell>
          <cell r="T27">
            <v>4500000</v>
          </cell>
        </row>
        <row r="28">
          <cell r="A28" t="str">
            <v>AIR TANZANIA</v>
          </cell>
          <cell r="B28" t="str">
            <v>Tanzania</v>
          </cell>
          <cell r="C28">
            <v>39022</v>
          </cell>
          <cell r="D28">
            <v>20000000</v>
          </cell>
          <cell r="E28">
            <v>500000000</v>
          </cell>
          <cell r="F28">
            <v>0.02</v>
          </cell>
          <cell r="G28">
            <v>400000</v>
          </cell>
          <cell r="H28">
            <v>10000000</v>
          </cell>
          <cell r="I28">
            <v>10400000</v>
          </cell>
          <cell r="M28">
            <v>0</v>
          </cell>
          <cell r="N28">
            <v>0</v>
          </cell>
          <cell r="O28">
            <v>0</v>
          </cell>
          <cell r="P28">
            <v>0</v>
          </cell>
          <cell r="Q28">
            <v>-400000</v>
          </cell>
          <cell r="R28">
            <v>-400000</v>
          </cell>
          <cell r="S28">
            <v>-10000000</v>
          </cell>
          <cell r="T28">
            <v>-10000000</v>
          </cell>
        </row>
        <row r="29">
          <cell r="A29" t="str">
            <v>AIR VANAUTU</v>
          </cell>
          <cell r="B29" t="str">
            <v>Vanautu</v>
          </cell>
          <cell r="C29">
            <v>39022</v>
          </cell>
          <cell r="D29">
            <v>50000000</v>
          </cell>
          <cell r="E29">
            <v>800000000</v>
          </cell>
          <cell r="F29">
            <v>0.02</v>
          </cell>
          <cell r="G29">
            <v>1000000</v>
          </cell>
          <cell r="H29">
            <v>16000000</v>
          </cell>
          <cell r="I29">
            <v>17000000</v>
          </cell>
          <cell r="M29">
            <v>0</v>
          </cell>
          <cell r="N29">
            <v>0</v>
          </cell>
          <cell r="O29">
            <v>0</v>
          </cell>
          <cell r="P29">
            <v>0</v>
          </cell>
          <cell r="Q29">
            <v>-1000000</v>
          </cell>
          <cell r="R29">
            <v>-1000000</v>
          </cell>
          <cell r="S29">
            <v>-16000000</v>
          </cell>
          <cell r="T29">
            <v>-16000000</v>
          </cell>
        </row>
        <row r="30">
          <cell r="A30" t="str">
            <v>ALL NIPPON AIRWAYS</v>
          </cell>
          <cell r="B30" t="str">
            <v>Japan</v>
          </cell>
          <cell r="C30">
            <v>39052</v>
          </cell>
          <cell r="D30">
            <v>238340000</v>
          </cell>
          <cell r="E30">
            <v>2000000000</v>
          </cell>
          <cell r="F30">
            <v>0.01</v>
          </cell>
          <cell r="G30">
            <v>2383400</v>
          </cell>
          <cell r="H30">
            <v>20000000</v>
          </cell>
          <cell r="I30">
            <v>22383400</v>
          </cell>
          <cell r="J30">
            <v>39417</v>
          </cell>
          <cell r="K30">
            <v>239130435</v>
          </cell>
          <cell r="L30">
            <v>2000000000</v>
          </cell>
          <cell r="M30">
            <v>0.01</v>
          </cell>
          <cell r="N30">
            <v>2391304.35</v>
          </cell>
          <cell r="O30">
            <v>20000000</v>
          </cell>
          <cell r="P30">
            <v>22391304.350000001</v>
          </cell>
          <cell r="Q30">
            <v>7904.3500000000931</v>
          </cell>
          <cell r="R30">
            <v>7904.3500000000931</v>
          </cell>
          <cell r="S30">
            <v>0</v>
          </cell>
          <cell r="T30">
            <v>0</v>
          </cell>
        </row>
        <row r="31">
          <cell r="A31" t="str">
            <v>ASTRAEUS LIMITED</v>
          </cell>
          <cell r="B31" t="str">
            <v>UK</v>
          </cell>
          <cell r="C31">
            <v>39176</v>
          </cell>
          <cell r="D31">
            <v>55000000</v>
          </cell>
          <cell r="E31">
            <v>750000000</v>
          </cell>
          <cell r="F31">
            <v>2.5000000000000001E-2</v>
          </cell>
          <cell r="G31">
            <v>1375000</v>
          </cell>
          <cell r="H31">
            <v>18750000</v>
          </cell>
          <cell r="I31">
            <v>20125000</v>
          </cell>
          <cell r="M31">
            <v>0</v>
          </cell>
          <cell r="N31">
            <v>0</v>
          </cell>
          <cell r="O31">
            <v>0</v>
          </cell>
          <cell r="P31">
            <v>0</v>
          </cell>
          <cell r="Q31">
            <v>-1375000</v>
          </cell>
          <cell r="R31">
            <v>-1375000</v>
          </cell>
          <cell r="S31">
            <v>-18750000</v>
          </cell>
          <cell r="T31">
            <v>-18750000</v>
          </cell>
        </row>
        <row r="32">
          <cell r="A32" t="str">
            <v>ATR</v>
          </cell>
          <cell r="B32" t="str">
            <v>France</v>
          </cell>
          <cell r="J32">
            <v>39661</v>
          </cell>
          <cell r="K32">
            <v>20000000</v>
          </cell>
          <cell r="L32">
            <v>500000000</v>
          </cell>
          <cell r="M32">
            <v>0.02</v>
          </cell>
          <cell r="N32">
            <v>400000</v>
          </cell>
          <cell r="O32">
            <v>10000000</v>
          </cell>
          <cell r="P32">
            <v>10400000</v>
          </cell>
          <cell r="Q32">
            <v>400000</v>
          </cell>
          <cell r="R32">
            <v>400000</v>
          </cell>
          <cell r="S32">
            <v>10000000</v>
          </cell>
          <cell r="T32">
            <v>10000000</v>
          </cell>
        </row>
        <row r="33">
          <cell r="A33" t="str">
            <v>AUDELI</v>
          </cell>
          <cell r="B33" t="str">
            <v>Spain</v>
          </cell>
          <cell r="C33">
            <v>39217</v>
          </cell>
          <cell r="D33">
            <v>143000000</v>
          </cell>
          <cell r="E33">
            <v>1000000000</v>
          </cell>
          <cell r="F33">
            <v>0.01</v>
          </cell>
          <cell r="G33">
            <v>1430000</v>
          </cell>
          <cell r="H33">
            <v>10000000</v>
          </cell>
          <cell r="I33">
            <v>11430000</v>
          </cell>
          <cell r="M33">
            <v>0</v>
          </cell>
          <cell r="N33">
            <v>0</v>
          </cell>
          <cell r="O33">
            <v>0</v>
          </cell>
          <cell r="P33">
            <v>0</v>
          </cell>
          <cell r="Q33">
            <v>-1430000</v>
          </cell>
          <cell r="R33">
            <v>-1430000</v>
          </cell>
          <cell r="S33">
            <v>-10000000</v>
          </cell>
          <cell r="T33">
            <v>-10000000</v>
          </cell>
        </row>
        <row r="34">
          <cell r="A34" t="str">
            <v>AVION GROUP HF</v>
          </cell>
          <cell r="B34" t="str">
            <v>UK</v>
          </cell>
          <cell r="C34">
            <v>39050</v>
          </cell>
          <cell r="D34">
            <v>110000000</v>
          </cell>
          <cell r="E34">
            <v>1000000000</v>
          </cell>
          <cell r="F34">
            <v>1.4999999999999999E-2</v>
          </cell>
          <cell r="G34">
            <v>1650000</v>
          </cell>
          <cell r="H34">
            <v>15000000</v>
          </cell>
          <cell r="I34">
            <v>16650000</v>
          </cell>
          <cell r="M34">
            <v>0</v>
          </cell>
          <cell r="N34">
            <v>0</v>
          </cell>
          <cell r="O34">
            <v>0</v>
          </cell>
          <cell r="P34">
            <v>0</v>
          </cell>
          <cell r="Q34">
            <v>-1650000</v>
          </cell>
          <cell r="R34">
            <v>-1650000</v>
          </cell>
          <cell r="S34">
            <v>-15000000</v>
          </cell>
          <cell r="T34">
            <v>-15000000</v>
          </cell>
        </row>
        <row r="35">
          <cell r="A35" t="str">
            <v>BANGKOK AIRWAYS</v>
          </cell>
          <cell r="B35" t="str">
            <v>Thai</v>
          </cell>
          <cell r="C35">
            <v>39169</v>
          </cell>
          <cell r="D35">
            <v>90000000</v>
          </cell>
          <cell r="E35">
            <v>750000000</v>
          </cell>
          <cell r="F35">
            <v>1.4999999999999999E-2</v>
          </cell>
          <cell r="G35">
            <v>1350000</v>
          </cell>
          <cell r="H35">
            <v>11250000</v>
          </cell>
          <cell r="I35">
            <v>12600000</v>
          </cell>
          <cell r="J35">
            <v>39535</v>
          </cell>
          <cell r="K35">
            <v>90000000</v>
          </cell>
          <cell r="L35">
            <v>750000000</v>
          </cell>
          <cell r="M35">
            <v>1.4999999999999999E-2</v>
          </cell>
          <cell r="N35">
            <v>1350000</v>
          </cell>
          <cell r="O35">
            <v>11250000</v>
          </cell>
          <cell r="P35">
            <v>12600000</v>
          </cell>
          <cell r="Q35">
            <v>0</v>
          </cell>
          <cell r="R35">
            <v>0</v>
          </cell>
          <cell r="S35">
            <v>0</v>
          </cell>
          <cell r="T35">
            <v>0</v>
          </cell>
        </row>
        <row r="36">
          <cell r="A36" t="str">
            <v>CAL CARGO</v>
          </cell>
          <cell r="B36" t="str">
            <v>Israel</v>
          </cell>
          <cell r="C36">
            <v>39040</v>
          </cell>
          <cell r="D36">
            <v>40000000</v>
          </cell>
          <cell r="E36">
            <v>850000000</v>
          </cell>
          <cell r="F36">
            <v>0.02</v>
          </cell>
          <cell r="G36">
            <v>800000</v>
          </cell>
          <cell r="H36">
            <v>17000000</v>
          </cell>
          <cell r="I36">
            <v>17800000</v>
          </cell>
          <cell r="M36">
            <v>0</v>
          </cell>
          <cell r="N36">
            <v>0</v>
          </cell>
          <cell r="O36">
            <v>0</v>
          </cell>
          <cell r="P36">
            <v>0</v>
          </cell>
          <cell r="Q36">
            <v>-800000</v>
          </cell>
          <cell r="R36">
            <v>-800000</v>
          </cell>
          <cell r="S36">
            <v>-17000000</v>
          </cell>
          <cell r="T36">
            <v>-17000000</v>
          </cell>
        </row>
        <row r="37">
          <cell r="A37" t="str">
            <v>CARPAT AIR / MOLDAVIAN AIRLINES</v>
          </cell>
          <cell r="B37" t="str">
            <v>Rumania</v>
          </cell>
          <cell r="C37">
            <v>39073</v>
          </cell>
          <cell r="D37">
            <v>10000000</v>
          </cell>
          <cell r="E37">
            <v>300000000</v>
          </cell>
          <cell r="F37">
            <v>0.03</v>
          </cell>
          <cell r="G37">
            <v>300000</v>
          </cell>
          <cell r="H37">
            <v>9000000</v>
          </cell>
          <cell r="I37">
            <v>9300000</v>
          </cell>
          <cell r="M37">
            <v>0</v>
          </cell>
          <cell r="N37">
            <v>0</v>
          </cell>
          <cell r="O37">
            <v>0</v>
          </cell>
          <cell r="P37">
            <v>0</v>
          </cell>
          <cell r="Q37">
            <v>-300000</v>
          </cell>
          <cell r="R37">
            <v>-300000</v>
          </cell>
          <cell r="S37">
            <v>-9000000</v>
          </cell>
          <cell r="T37">
            <v>-9000000</v>
          </cell>
        </row>
        <row r="38">
          <cell r="A38" t="str">
            <v>CARIBBEAN AIRLINES</v>
          </cell>
          <cell r="B38" t="str">
            <v>Trinidad</v>
          </cell>
          <cell r="C38">
            <v>39022</v>
          </cell>
          <cell r="D38">
            <v>100000000</v>
          </cell>
          <cell r="E38">
            <v>1000000000</v>
          </cell>
          <cell r="F38">
            <v>0.01</v>
          </cell>
          <cell r="G38">
            <v>1000000</v>
          </cell>
          <cell r="H38">
            <v>10000000</v>
          </cell>
          <cell r="I38">
            <v>11000000</v>
          </cell>
          <cell r="J38">
            <v>39387</v>
          </cell>
          <cell r="K38">
            <v>100000000</v>
          </cell>
          <cell r="L38">
            <v>750000000</v>
          </cell>
          <cell r="M38">
            <v>0.01</v>
          </cell>
          <cell r="N38">
            <v>1000000</v>
          </cell>
          <cell r="O38">
            <v>7500000</v>
          </cell>
          <cell r="P38">
            <v>8500000</v>
          </cell>
          <cell r="Q38">
            <v>0</v>
          </cell>
          <cell r="R38">
            <v>0</v>
          </cell>
          <cell r="S38">
            <v>-2500000</v>
          </cell>
          <cell r="T38">
            <v>-2500000</v>
          </cell>
        </row>
        <row r="39">
          <cell r="A39" t="str">
            <v>CARRIBEAN AIRLINES/LIAT</v>
          </cell>
          <cell r="B39" t="str">
            <v>Antigua</v>
          </cell>
          <cell r="C39">
            <v>39260</v>
          </cell>
          <cell r="D39">
            <v>20000000</v>
          </cell>
          <cell r="E39">
            <v>350000000</v>
          </cell>
          <cell r="F39">
            <v>1.4999999999999999E-2</v>
          </cell>
          <cell r="G39">
            <v>300000</v>
          </cell>
          <cell r="H39">
            <v>5250000</v>
          </cell>
          <cell r="I39">
            <v>5550000</v>
          </cell>
          <cell r="M39">
            <v>0</v>
          </cell>
          <cell r="N39">
            <v>0</v>
          </cell>
          <cell r="O39">
            <v>0</v>
          </cell>
          <cell r="P39">
            <v>0</v>
          </cell>
          <cell r="Q39">
            <v>-300000</v>
          </cell>
          <cell r="R39">
            <v>-300000</v>
          </cell>
          <cell r="S39">
            <v>-5250000</v>
          </cell>
          <cell r="T39">
            <v>-5250000</v>
          </cell>
        </row>
        <row r="40">
          <cell r="A40" t="str">
            <v>CATHAY PACIFIC GROUP</v>
          </cell>
          <cell r="B40" t="str">
            <v>Hong Kong</v>
          </cell>
          <cell r="J40">
            <v>39387</v>
          </cell>
          <cell r="K40">
            <v>280000000</v>
          </cell>
          <cell r="L40">
            <v>2250000000</v>
          </cell>
          <cell r="M40">
            <v>8.0000000000000002E-3</v>
          </cell>
          <cell r="N40">
            <v>2240000</v>
          </cell>
          <cell r="O40">
            <v>18000000</v>
          </cell>
          <cell r="P40">
            <v>20240000</v>
          </cell>
          <cell r="Q40">
            <v>2240000</v>
          </cell>
          <cell r="R40">
            <v>2240000</v>
          </cell>
          <cell r="S40">
            <v>18000000</v>
          </cell>
          <cell r="T40">
            <v>18000000</v>
          </cell>
        </row>
        <row r="41">
          <cell r="A41" t="str">
            <v>CHINA AIRLINES LIMITED</v>
          </cell>
          <cell r="B41" t="str">
            <v>China</v>
          </cell>
          <cell r="C41">
            <v>38991</v>
          </cell>
          <cell r="D41">
            <v>25000000</v>
          </cell>
          <cell r="E41">
            <v>1500000000</v>
          </cell>
          <cell r="F41">
            <v>5.0000000000000001E-3</v>
          </cell>
          <cell r="G41">
            <v>125000</v>
          </cell>
          <cell r="H41">
            <v>7500000</v>
          </cell>
          <cell r="I41">
            <v>7625000</v>
          </cell>
          <cell r="M41">
            <v>0</v>
          </cell>
          <cell r="N41">
            <v>0</v>
          </cell>
          <cell r="O41">
            <v>0</v>
          </cell>
          <cell r="P41">
            <v>0</v>
          </cell>
          <cell r="Q41">
            <v>-125000</v>
          </cell>
          <cell r="R41">
            <v>-125000</v>
          </cell>
          <cell r="S41">
            <v>-7500000</v>
          </cell>
          <cell r="T41">
            <v>-7500000</v>
          </cell>
        </row>
        <row r="42">
          <cell r="A42" t="str">
            <v>CHINA AIRLINES LIMITED</v>
          </cell>
          <cell r="B42" t="str">
            <v>Taiwan</v>
          </cell>
          <cell r="C42">
            <v>39278</v>
          </cell>
          <cell r="D42">
            <v>250000000</v>
          </cell>
          <cell r="E42">
            <v>1650000000</v>
          </cell>
          <cell r="F42">
            <v>0.01</v>
          </cell>
          <cell r="G42">
            <v>2500000</v>
          </cell>
          <cell r="H42">
            <v>16500000</v>
          </cell>
          <cell r="I42">
            <v>19000000</v>
          </cell>
          <cell r="J42">
            <v>39644</v>
          </cell>
          <cell r="K42">
            <v>250000000</v>
          </cell>
          <cell r="L42">
            <v>1750000000</v>
          </cell>
          <cell r="M42">
            <v>0.01</v>
          </cell>
          <cell r="N42">
            <v>2500000</v>
          </cell>
          <cell r="O42">
            <v>17500000</v>
          </cell>
          <cell r="P42">
            <v>20000000</v>
          </cell>
          <cell r="Q42">
            <v>0</v>
          </cell>
          <cell r="R42">
            <v>0</v>
          </cell>
          <cell r="S42">
            <v>1000000</v>
          </cell>
          <cell r="T42">
            <v>1000000</v>
          </cell>
        </row>
        <row r="43">
          <cell r="A43" t="str">
            <v>CHINA CIVIL AVIATION GROUP</v>
          </cell>
          <cell r="B43" t="str">
            <v>China</v>
          </cell>
          <cell r="J43">
            <v>39417</v>
          </cell>
          <cell r="K43">
            <v>470000000</v>
          </cell>
          <cell r="M43">
            <v>1.2500000000000001E-2</v>
          </cell>
          <cell r="N43">
            <v>5875000</v>
          </cell>
          <cell r="O43">
            <v>0</v>
          </cell>
          <cell r="P43">
            <v>5875000</v>
          </cell>
          <cell r="Q43">
            <v>5875000</v>
          </cell>
          <cell r="R43">
            <v>5875000</v>
          </cell>
          <cell r="S43">
            <v>0</v>
          </cell>
          <cell r="T43">
            <v>0</v>
          </cell>
        </row>
        <row r="44">
          <cell r="A44" t="str">
            <v>CYPRUS AIRWAYS</v>
          </cell>
          <cell r="B44" t="str">
            <v>Greece</v>
          </cell>
          <cell r="C44">
            <v>39022</v>
          </cell>
          <cell r="D44">
            <v>115000000</v>
          </cell>
          <cell r="E44">
            <v>1000000000</v>
          </cell>
          <cell r="F44">
            <v>0.02</v>
          </cell>
          <cell r="G44">
            <v>2300000</v>
          </cell>
          <cell r="H44">
            <v>20000000</v>
          </cell>
          <cell r="I44">
            <v>22300000</v>
          </cell>
          <cell r="J44">
            <v>39387</v>
          </cell>
          <cell r="K44">
            <v>117750000</v>
          </cell>
          <cell r="L44">
            <v>1000000000</v>
          </cell>
          <cell r="M44">
            <v>0.02</v>
          </cell>
          <cell r="N44">
            <v>2355000</v>
          </cell>
          <cell r="O44">
            <v>20000000</v>
          </cell>
          <cell r="P44">
            <v>22355000</v>
          </cell>
          <cell r="Q44">
            <v>55000</v>
          </cell>
          <cell r="R44">
            <v>55000</v>
          </cell>
          <cell r="S44">
            <v>0</v>
          </cell>
          <cell r="T44">
            <v>0</v>
          </cell>
        </row>
        <row r="45">
          <cell r="A45" t="str">
            <v>DEUTSCHE LUFTHANSA</v>
          </cell>
          <cell r="B45" t="str">
            <v>Germany</v>
          </cell>
          <cell r="C45">
            <v>39051</v>
          </cell>
          <cell r="D45">
            <v>275000000</v>
          </cell>
          <cell r="E45">
            <v>2250000000</v>
          </cell>
          <cell r="F45">
            <v>0.01</v>
          </cell>
          <cell r="G45">
            <v>2750000</v>
          </cell>
          <cell r="H45">
            <v>22500000</v>
          </cell>
          <cell r="I45">
            <v>25250000</v>
          </cell>
          <cell r="J45">
            <v>39416</v>
          </cell>
          <cell r="K45">
            <v>275000000</v>
          </cell>
          <cell r="L45">
            <v>2250000000</v>
          </cell>
          <cell r="M45">
            <v>0.01</v>
          </cell>
          <cell r="N45">
            <v>2750000</v>
          </cell>
          <cell r="O45">
            <v>22500000</v>
          </cell>
          <cell r="P45">
            <v>25250000</v>
          </cell>
          <cell r="Q45">
            <v>0</v>
          </cell>
          <cell r="R45">
            <v>0</v>
          </cell>
          <cell r="S45">
            <v>0</v>
          </cell>
          <cell r="T45">
            <v>0</v>
          </cell>
        </row>
        <row r="46">
          <cell r="A46" t="str">
            <v>DUTCH ANTILLES EXPRESS</v>
          </cell>
          <cell r="B46" t="str">
            <v>Netherland</v>
          </cell>
          <cell r="C46">
            <v>39106</v>
          </cell>
          <cell r="D46">
            <v>16000000</v>
          </cell>
          <cell r="E46">
            <v>500000000</v>
          </cell>
          <cell r="F46">
            <v>0.01</v>
          </cell>
          <cell r="G46">
            <v>160000</v>
          </cell>
          <cell r="H46">
            <v>5000000</v>
          </cell>
          <cell r="I46">
            <v>5160000</v>
          </cell>
          <cell r="M46">
            <v>0</v>
          </cell>
          <cell r="N46">
            <v>0</v>
          </cell>
          <cell r="O46">
            <v>0</v>
          </cell>
          <cell r="P46">
            <v>0</v>
          </cell>
          <cell r="Q46">
            <v>-160000</v>
          </cell>
          <cell r="R46">
            <v>-160000</v>
          </cell>
          <cell r="S46">
            <v>-5000000</v>
          </cell>
          <cell r="T46">
            <v>-5000000</v>
          </cell>
        </row>
        <row r="47">
          <cell r="A47" t="str">
            <v>EADS</v>
          </cell>
          <cell r="B47" t="str">
            <v>France</v>
          </cell>
          <cell r="J47">
            <v>39722</v>
          </cell>
          <cell r="K47">
            <v>450000000</v>
          </cell>
          <cell r="L47">
            <v>2400000000</v>
          </cell>
          <cell r="M47">
            <v>5.0000000000000001E-3</v>
          </cell>
          <cell r="N47">
            <v>2250000</v>
          </cell>
          <cell r="O47">
            <v>12000000</v>
          </cell>
          <cell r="P47">
            <v>14250000</v>
          </cell>
          <cell r="Q47">
            <v>2250000</v>
          </cell>
          <cell r="R47">
            <v>2250000</v>
          </cell>
          <cell r="S47">
            <v>12000000</v>
          </cell>
          <cell r="T47">
            <v>12000000</v>
          </cell>
        </row>
        <row r="48">
          <cell r="A48" t="str">
            <v>EGYPT AIR</v>
          </cell>
          <cell r="B48" t="str">
            <v>Egypt</v>
          </cell>
          <cell r="C48">
            <v>39067</v>
          </cell>
          <cell r="D48">
            <v>185000000</v>
          </cell>
          <cell r="E48">
            <v>1250000000</v>
          </cell>
          <cell r="F48">
            <v>1.2999999999999999E-2</v>
          </cell>
          <cell r="G48">
            <v>2405000</v>
          </cell>
          <cell r="H48">
            <v>16250000</v>
          </cell>
          <cell r="I48">
            <v>18655000</v>
          </cell>
          <cell r="J48">
            <v>39432</v>
          </cell>
          <cell r="K48">
            <v>192500000</v>
          </cell>
          <cell r="L48">
            <v>1250000000</v>
          </cell>
          <cell r="M48">
            <v>1.2999999999999999E-2</v>
          </cell>
          <cell r="N48">
            <v>2502500</v>
          </cell>
          <cell r="O48">
            <v>16250000</v>
          </cell>
          <cell r="P48">
            <v>18752500</v>
          </cell>
          <cell r="Q48">
            <v>97500</v>
          </cell>
          <cell r="R48">
            <v>97500</v>
          </cell>
          <cell r="S48">
            <v>0</v>
          </cell>
          <cell r="T48">
            <v>0</v>
          </cell>
        </row>
        <row r="49">
          <cell r="A49" t="str">
            <v>ERICSSON MICROWAVE SYSTEMS</v>
          </cell>
          <cell r="B49" t="str">
            <v>Sweden</v>
          </cell>
          <cell r="C49">
            <v>39111</v>
          </cell>
          <cell r="D49">
            <v>101000000</v>
          </cell>
          <cell r="E49">
            <v>500000000</v>
          </cell>
          <cell r="F49">
            <v>0.02</v>
          </cell>
          <cell r="G49">
            <v>2020000</v>
          </cell>
          <cell r="H49">
            <v>10000000</v>
          </cell>
          <cell r="I49">
            <v>12020000</v>
          </cell>
          <cell r="M49">
            <v>0</v>
          </cell>
          <cell r="N49">
            <v>0</v>
          </cell>
          <cell r="O49">
            <v>0</v>
          </cell>
          <cell r="P49">
            <v>0</v>
          </cell>
          <cell r="Q49">
            <v>-2020000</v>
          </cell>
          <cell r="R49">
            <v>-2020000</v>
          </cell>
          <cell r="S49">
            <v>-10000000</v>
          </cell>
          <cell r="T49">
            <v>-10000000</v>
          </cell>
        </row>
        <row r="50">
          <cell r="A50" t="str">
            <v>EUROFLY/MERIDIANA</v>
          </cell>
          <cell r="B50" t="str">
            <v>Italy</v>
          </cell>
          <cell r="C50">
            <v>39173</v>
          </cell>
          <cell r="D50">
            <v>110000000</v>
          </cell>
          <cell r="E50">
            <v>1000000000</v>
          </cell>
          <cell r="F50">
            <v>0.01</v>
          </cell>
          <cell r="G50">
            <v>1100000</v>
          </cell>
          <cell r="H50">
            <v>10000000</v>
          </cell>
          <cell r="I50">
            <v>11100000</v>
          </cell>
          <cell r="M50">
            <v>0</v>
          </cell>
          <cell r="N50">
            <v>0</v>
          </cell>
          <cell r="O50">
            <v>0</v>
          </cell>
          <cell r="P50">
            <v>0</v>
          </cell>
          <cell r="Q50">
            <v>-1100000</v>
          </cell>
          <cell r="R50">
            <v>-1100000</v>
          </cell>
          <cell r="S50">
            <v>-10000000</v>
          </cell>
          <cell r="T50">
            <v>-10000000</v>
          </cell>
        </row>
        <row r="51">
          <cell r="A51" t="str">
            <v>EVA AIRWAYS / UNI AIRWAYS CORPORATION</v>
          </cell>
          <cell r="B51" t="str">
            <v>China</v>
          </cell>
          <cell r="C51">
            <v>39234</v>
          </cell>
          <cell r="D51">
            <v>250000000</v>
          </cell>
          <cell r="E51">
            <v>1500000000</v>
          </cell>
          <cell r="F51">
            <v>0.01</v>
          </cell>
          <cell r="G51">
            <v>2500000</v>
          </cell>
          <cell r="H51">
            <v>15000000</v>
          </cell>
          <cell r="I51">
            <v>17500000</v>
          </cell>
          <cell r="J51">
            <v>39600</v>
          </cell>
          <cell r="K51">
            <v>260000000</v>
          </cell>
          <cell r="L51">
            <v>1650000000</v>
          </cell>
          <cell r="M51">
            <v>0.01</v>
          </cell>
          <cell r="N51">
            <v>2600000</v>
          </cell>
          <cell r="O51">
            <v>16500000</v>
          </cell>
          <cell r="P51">
            <v>19100000</v>
          </cell>
          <cell r="Q51">
            <v>100000</v>
          </cell>
          <cell r="R51">
            <v>100000</v>
          </cell>
          <cell r="S51">
            <v>1500000</v>
          </cell>
          <cell r="T51">
            <v>1500000</v>
          </cell>
        </row>
        <row r="52">
          <cell r="A52" t="str">
            <v>FINNISH COMMUTER AIRLINES</v>
          </cell>
          <cell r="B52" t="str">
            <v>Finland</v>
          </cell>
          <cell r="C52">
            <v>39014</v>
          </cell>
          <cell r="D52">
            <v>30000000</v>
          </cell>
          <cell r="E52">
            <v>350000000</v>
          </cell>
          <cell r="F52">
            <v>0.01</v>
          </cell>
          <cell r="G52">
            <v>300000</v>
          </cell>
          <cell r="H52">
            <v>3500000</v>
          </cell>
          <cell r="I52">
            <v>3800000</v>
          </cell>
          <cell r="J52">
            <v>39379</v>
          </cell>
          <cell r="K52">
            <v>30000000</v>
          </cell>
          <cell r="L52">
            <v>350000000</v>
          </cell>
          <cell r="M52">
            <v>0.01</v>
          </cell>
          <cell r="N52">
            <v>300000</v>
          </cell>
          <cell r="O52">
            <v>3500000</v>
          </cell>
          <cell r="P52">
            <v>3800000</v>
          </cell>
          <cell r="Q52">
            <v>0</v>
          </cell>
          <cell r="R52">
            <v>0</v>
          </cell>
          <cell r="S52">
            <v>0</v>
          </cell>
          <cell r="T52">
            <v>0</v>
          </cell>
        </row>
        <row r="53">
          <cell r="A53" t="str">
            <v>FIRST CHOICE</v>
          </cell>
          <cell r="B53" t="str">
            <v>UK</v>
          </cell>
          <cell r="C53">
            <v>39022</v>
          </cell>
          <cell r="D53">
            <v>125000000</v>
          </cell>
          <cell r="E53">
            <v>1800000000</v>
          </cell>
          <cell r="F53">
            <v>0.01</v>
          </cell>
          <cell r="G53">
            <v>1250000</v>
          </cell>
          <cell r="H53">
            <v>18000000</v>
          </cell>
          <cell r="I53">
            <v>19250000</v>
          </cell>
          <cell r="M53">
            <v>0</v>
          </cell>
          <cell r="N53">
            <v>0</v>
          </cell>
          <cell r="O53">
            <v>0</v>
          </cell>
          <cell r="P53">
            <v>0</v>
          </cell>
          <cell r="Q53">
            <v>-1250000</v>
          </cell>
          <cell r="R53">
            <v>-1250000</v>
          </cell>
          <cell r="S53">
            <v>-18000000</v>
          </cell>
          <cell r="T53">
            <v>-18000000</v>
          </cell>
        </row>
        <row r="54">
          <cell r="A54" t="str">
            <v>FLYME SWEDEN</v>
          </cell>
          <cell r="B54" t="str">
            <v>Sweden</v>
          </cell>
          <cell r="C54">
            <v>39102</v>
          </cell>
          <cell r="D54">
            <v>50000000</v>
          </cell>
          <cell r="E54">
            <v>600000000</v>
          </cell>
          <cell r="F54">
            <v>1.4999999999999999E-2</v>
          </cell>
          <cell r="G54">
            <v>750000</v>
          </cell>
          <cell r="H54">
            <v>9000000</v>
          </cell>
          <cell r="I54">
            <v>9750000</v>
          </cell>
          <cell r="M54">
            <v>0</v>
          </cell>
          <cell r="N54">
            <v>0</v>
          </cell>
          <cell r="O54">
            <v>0</v>
          </cell>
          <cell r="P54">
            <v>0</v>
          </cell>
          <cell r="Q54">
            <v>-750000</v>
          </cell>
          <cell r="R54">
            <v>-750000</v>
          </cell>
          <cell r="S54">
            <v>-9000000</v>
          </cell>
          <cell r="T54">
            <v>-9000000</v>
          </cell>
        </row>
        <row r="55">
          <cell r="A55" t="str">
            <v>GEORGIAN AIRWAYS</v>
          </cell>
          <cell r="B55" t="str">
            <v>Russia</v>
          </cell>
          <cell r="C55">
            <v>39125</v>
          </cell>
          <cell r="D55">
            <v>30000000</v>
          </cell>
          <cell r="E55">
            <v>600000000</v>
          </cell>
          <cell r="F55">
            <v>0.01</v>
          </cell>
          <cell r="G55">
            <v>300000</v>
          </cell>
          <cell r="H55">
            <v>6000000</v>
          </cell>
          <cell r="I55">
            <v>6300000</v>
          </cell>
          <cell r="M55">
            <v>0</v>
          </cell>
          <cell r="N55">
            <v>0</v>
          </cell>
          <cell r="O55">
            <v>0</v>
          </cell>
          <cell r="P55">
            <v>0</v>
          </cell>
          <cell r="Q55">
            <v>-300000</v>
          </cell>
          <cell r="R55">
            <v>-300000</v>
          </cell>
          <cell r="S55">
            <v>-6000000</v>
          </cell>
          <cell r="T55">
            <v>-6000000</v>
          </cell>
        </row>
        <row r="56">
          <cell r="A56" t="str">
            <v>GERMANIA/BULGARIA AIR CHARTER</v>
          </cell>
          <cell r="B56" t="str">
            <v>Germany</v>
          </cell>
          <cell r="C56">
            <v>39176</v>
          </cell>
          <cell r="D56">
            <v>76000000</v>
          </cell>
          <cell r="E56">
            <v>550000000</v>
          </cell>
          <cell r="F56">
            <v>0.02</v>
          </cell>
          <cell r="G56">
            <v>1520000</v>
          </cell>
          <cell r="H56">
            <v>11000000</v>
          </cell>
          <cell r="I56">
            <v>12520000</v>
          </cell>
          <cell r="J56">
            <v>39542</v>
          </cell>
          <cell r="K56">
            <v>71000000</v>
          </cell>
          <cell r="L56">
            <v>750000000</v>
          </cell>
          <cell r="M56">
            <v>2.5000000000000001E-2</v>
          </cell>
          <cell r="N56">
            <v>1775000</v>
          </cell>
          <cell r="O56">
            <v>18750000</v>
          </cell>
          <cell r="P56">
            <v>20525000</v>
          </cell>
          <cell r="Q56">
            <v>255000</v>
          </cell>
          <cell r="R56">
            <v>255000</v>
          </cell>
          <cell r="S56">
            <v>7750000</v>
          </cell>
          <cell r="T56">
            <v>7750000</v>
          </cell>
        </row>
        <row r="57">
          <cell r="A57" t="str">
            <v>GRUPO MEXICANA DE AVIACION</v>
          </cell>
          <cell r="B57" t="str">
            <v>Mexico</v>
          </cell>
          <cell r="J57">
            <v>39600</v>
          </cell>
          <cell r="K57">
            <v>100000000</v>
          </cell>
          <cell r="L57">
            <v>1500000000</v>
          </cell>
          <cell r="M57">
            <v>0.01</v>
          </cell>
          <cell r="N57">
            <v>1000000</v>
          </cell>
          <cell r="O57">
            <v>15000000</v>
          </cell>
          <cell r="P57">
            <v>16000000</v>
          </cell>
          <cell r="Q57">
            <v>1000000</v>
          </cell>
          <cell r="R57">
            <v>1000000</v>
          </cell>
          <cell r="S57">
            <v>15000000</v>
          </cell>
          <cell r="T57">
            <v>15000000</v>
          </cell>
        </row>
        <row r="58">
          <cell r="A58" t="str">
            <v>GMG ARILINES</v>
          </cell>
          <cell r="B58" t="str">
            <v>Bangladesh</v>
          </cell>
          <cell r="C58">
            <v>39027</v>
          </cell>
          <cell r="D58">
            <v>20000000</v>
          </cell>
          <cell r="E58">
            <v>500000000</v>
          </cell>
          <cell r="F58">
            <v>0.01</v>
          </cell>
          <cell r="G58">
            <v>200000</v>
          </cell>
          <cell r="H58">
            <v>5000000</v>
          </cell>
          <cell r="I58">
            <v>5200000</v>
          </cell>
          <cell r="M58">
            <v>0</v>
          </cell>
          <cell r="N58">
            <v>0</v>
          </cell>
          <cell r="O58">
            <v>0</v>
          </cell>
          <cell r="P58">
            <v>0</v>
          </cell>
          <cell r="Q58">
            <v>-200000</v>
          </cell>
          <cell r="R58">
            <v>-200000</v>
          </cell>
          <cell r="S58">
            <v>-5000000</v>
          </cell>
          <cell r="T58">
            <v>-5000000</v>
          </cell>
        </row>
        <row r="59">
          <cell r="A59" t="str">
            <v>GO AIR</v>
          </cell>
          <cell r="B59" t="str">
            <v>India</v>
          </cell>
          <cell r="C59">
            <v>39011</v>
          </cell>
          <cell r="D59">
            <v>70000000</v>
          </cell>
          <cell r="E59">
            <v>750000000</v>
          </cell>
          <cell r="F59">
            <v>0.01</v>
          </cell>
          <cell r="G59">
            <v>700000</v>
          </cell>
          <cell r="H59">
            <v>7500000</v>
          </cell>
          <cell r="I59">
            <v>8200000</v>
          </cell>
          <cell r="M59">
            <v>0</v>
          </cell>
          <cell r="N59">
            <v>0</v>
          </cell>
          <cell r="O59">
            <v>0</v>
          </cell>
          <cell r="P59">
            <v>0</v>
          </cell>
          <cell r="Q59">
            <v>-700000</v>
          </cell>
          <cell r="R59">
            <v>-700000</v>
          </cell>
          <cell r="S59">
            <v>-7500000</v>
          </cell>
          <cell r="T59">
            <v>-7500000</v>
          </cell>
        </row>
        <row r="60">
          <cell r="A60" t="str">
            <v>GULF CO COUNCIL</v>
          </cell>
          <cell r="B60" t="str">
            <v>Middle East</v>
          </cell>
          <cell r="C60">
            <v>39037</v>
          </cell>
          <cell r="D60">
            <v>275000000</v>
          </cell>
          <cell r="E60">
            <v>2000000000</v>
          </cell>
          <cell r="F60">
            <v>8.6999999999999994E-3</v>
          </cell>
          <cell r="G60">
            <v>2392500</v>
          </cell>
          <cell r="H60">
            <v>17400000</v>
          </cell>
          <cell r="I60">
            <v>19792500</v>
          </cell>
          <cell r="J60">
            <v>39402</v>
          </cell>
          <cell r="K60">
            <v>275000000</v>
          </cell>
          <cell r="L60">
            <v>2250000000</v>
          </cell>
          <cell r="M60">
            <v>8.9999999999999993E-3</v>
          </cell>
          <cell r="N60">
            <v>2475000</v>
          </cell>
          <cell r="O60">
            <v>20250000</v>
          </cell>
          <cell r="P60">
            <v>22725000</v>
          </cell>
          <cell r="Q60">
            <v>82500</v>
          </cell>
          <cell r="R60">
            <v>82500</v>
          </cell>
          <cell r="S60">
            <v>2850000</v>
          </cell>
          <cell r="T60">
            <v>2850000</v>
          </cell>
        </row>
        <row r="61">
          <cell r="A61" t="str">
            <v>GULF CO-OPERATION</v>
          </cell>
          <cell r="B61" t="str">
            <v>Middle East</v>
          </cell>
          <cell r="C61">
            <v>39037</v>
          </cell>
          <cell r="D61">
            <v>275000000</v>
          </cell>
          <cell r="E61">
            <v>200000000</v>
          </cell>
          <cell r="F61">
            <v>8.6999999999999994E-3</v>
          </cell>
          <cell r="G61">
            <v>2392500</v>
          </cell>
          <cell r="H61">
            <v>1739999.9999999998</v>
          </cell>
          <cell r="I61">
            <v>4132500</v>
          </cell>
          <cell r="M61">
            <v>0</v>
          </cell>
          <cell r="N61">
            <v>0</v>
          </cell>
          <cell r="O61">
            <v>0</v>
          </cell>
          <cell r="P61">
            <v>0</v>
          </cell>
          <cell r="Q61">
            <v>-2392500</v>
          </cell>
          <cell r="R61">
            <v>-2392500</v>
          </cell>
          <cell r="S61">
            <v>-1739999.9999999998</v>
          </cell>
          <cell r="T61">
            <v>-1739999.9999999998</v>
          </cell>
        </row>
        <row r="62">
          <cell r="A62" t="str">
            <v>HAINAN (T)</v>
          </cell>
          <cell r="B62" t="str">
            <v>China</v>
          </cell>
          <cell r="J62">
            <v>39546</v>
          </cell>
          <cell r="K62">
            <v>200000000</v>
          </cell>
          <cell r="L62">
            <v>1500000000</v>
          </cell>
          <cell r="M62">
            <v>1.2E-2</v>
          </cell>
          <cell r="N62">
            <v>2400000</v>
          </cell>
          <cell r="O62">
            <v>18000000</v>
          </cell>
          <cell r="P62">
            <v>20400000</v>
          </cell>
          <cell r="Q62">
            <v>2400000</v>
          </cell>
          <cell r="R62">
            <v>2400000</v>
          </cell>
          <cell r="S62">
            <v>18000000</v>
          </cell>
          <cell r="T62">
            <v>18000000</v>
          </cell>
        </row>
        <row r="63">
          <cell r="A63" t="str">
            <v>HIS MAJESTY THE SULTAN OF OMAN</v>
          </cell>
          <cell r="B63" t="str">
            <v>Oman</v>
          </cell>
          <cell r="C63">
            <v>39052</v>
          </cell>
          <cell r="D63">
            <v>275000000</v>
          </cell>
          <cell r="E63">
            <v>2000000000</v>
          </cell>
          <cell r="F63">
            <v>8.9999999999999993E-3</v>
          </cell>
          <cell r="G63">
            <v>2475000</v>
          </cell>
          <cell r="H63">
            <v>18000000</v>
          </cell>
          <cell r="I63">
            <v>20475000</v>
          </cell>
          <cell r="M63">
            <v>0</v>
          </cell>
          <cell r="N63">
            <v>0</v>
          </cell>
          <cell r="O63">
            <v>0</v>
          </cell>
          <cell r="P63">
            <v>0</v>
          </cell>
          <cell r="Q63">
            <v>-2475000</v>
          </cell>
          <cell r="R63">
            <v>-2475000</v>
          </cell>
          <cell r="S63">
            <v>-18000000</v>
          </cell>
          <cell r="T63">
            <v>-18000000</v>
          </cell>
        </row>
        <row r="64">
          <cell r="A64" t="str">
            <v>HOKKAIDO INTERNATIONAL AIRLINES(AIRDO)</v>
          </cell>
          <cell r="B64" t="str">
            <v>Japan</v>
          </cell>
          <cell r="C64">
            <v>39055</v>
          </cell>
          <cell r="D64">
            <v>99000000</v>
          </cell>
          <cell r="E64">
            <v>1000000000</v>
          </cell>
          <cell r="F64">
            <v>0.02</v>
          </cell>
          <cell r="G64">
            <v>1980000</v>
          </cell>
          <cell r="H64">
            <v>20000000</v>
          </cell>
          <cell r="I64">
            <v>21980000</v>
          </cell>
          <cell r="J64">
            <v>39417</v>
          </cell>
          <cell r="K64">
            <v>99000000</v>
          </cell>
          <cell r="L64">
            <v>1000000000</v>
          </cell>
          <cell r="M64">
            <v>8.7410000000000005E-3</v>
          </cell>
          <cell r="N64">
            <v>865359</v>
          </cell>
          <cell r="O64">
            <v>8741000</v>
          </cell>
          <cell r="P64">
            <v>9606359</v>
          </cell>
          <cell r="Q64">
            <v>-1114641</v>
          </cell>
          <cell r="R64">
            <v>-1114641</v>
          </cell>
          <cell r="S64">
            <v>-11259000</v>
          </cell>
          <cell r="T64">
            <v>-11259000</v>
          </cell>
        </row>
        <row r="65">
          <cell r="A65" t="str">
            <v>IBERIA AIRLINES</v>
          </cell>
          <cell r="B65" t="str">
            <v>Spain</v>
          </cell>
          <cell r="C65">
            <v>39052</v>
          </cell>
          <cell r="D65">
            <v>200000000</v>
          </cell>
          <cell r="E65">
            <v>1500000000</v>
          </cell>
          <cell r="F65">
            <v>1.2E-2</v>
          </cell>
          <cell r="G65">
            <v>2400000</v>
          </cell>
          <cell r="H65">
            <v>18000000</v>
          </cell>
          <cell r="I65">
            <v>20400000</v>
          </cell>
          <cell r="J65">
            <v>39417</v>
          </cell>
          <cell r="K65">
            <v>200000000</v>
          </cell>
          <cell r="L65">
            <v>2000000000</v>
          </cell>
          <cell r="M65">
            <v>0.01</v>
          </cell>
          <cell r="N65">
            <v>2000000</v>
          </cell>
          <cell r="O65">
            <v>20000000</v>
          </cell>
          <cell r="P65">
            <v>22000000</v>
          </cell>
          <cell r="Q65">
            <v>-400000</v>
          </cell>
          <cell r="R65">
            <v>-400000</v>
          </cell>
          <cell r="S65">
            <v>2000000</v>
          </cell>
          <cell r="T65">
            <v>2000000</v>
          </cell>
        </row>
        <row r="66">
          <cell r="A66" t="str">
            <v>INDIAN AIRLINES</v>
          </cell>
          <cell r="B66" t="str">
            <v>India</v>
          </cell>
          <cell r="C66">
            <v>38991</v>
          </cell>
          <cell r="D66">
            <v>100000000</v>
          </cell>
          <cell r="E66">
            <v>750000000</v>
          </cell>
          <cell r="F66">
            <v>5.0000000000000001E-3</v>
          </cell>
          <cell r="G66">
            <v>500000</v>
          </cell>
          <cell r="H66">
            <v>3750000</v>
          </cell>
          <cell r="I66">
            <v>4250000</v>
          </cell>
          <cell r="M66">
            <v>0</v>
          </cell>
          <cell r="N66">
            <v>0</v>
          </cell>
          <cell r="O66">
            <v>0</v>
          </cell>
          <cell r="P66">
            <v>0</v>
          </cell>
          <cell r="Q66">
            <v>-500000</v>
          </cell>
          <cell r="R66">
            <v>-500000</v>
          </cell>
          <cell r="S66">
            <v>-3750000</v>
          </cell>
          <cell r="T66">
            <v>-3750000</v>
          </cell>
        </row>
        <row r="67">
          <cell r="A67" t="str">
            <v>IRAN AIR</v>
          </cell>
          <cell r="B67" t="str">
            <v>Iran</v>
          </cell>
          <cell r="C67">
            <v>39162</v>
          </cell>
          <cell r="D67">
            <v>65000000</v>
          </cell>
          <cell r="E67">
            <v>1200000000</v>
          </cell>
          <cell r="F67">
            <v>1.4999999999999999E-2</v>
          </cell>
          <cell r="G67">
            <v>975000</v>
          </cell>
          <cell r="H67">
            <v>18000000</v>
          </cell>
          <cell r="I67">
            <v>18975000</v>
          </cell>
          <cell r="J67">
            <v>39519</v>
          </cell>
          <cell r="K67">
            <v>75000000</v>
          </cell>
          <cell r="L67">
            <v>1352216000</v>
          </cell>
          <cell r="M67">
            <v>1.0664999999999999E-2</v>
          </cell>
          <cell r="N67">
            <v>799874.99999999988</v>
          </cell>
          <cell r="O67">
            <v>14421383.639999999</v>
          </cell>
          <cell r="P67">
            <v>15221258.639999999</v>
          </cell>
          <cell r="Q67">
            <v>-175125.00000000012</v>
          </cell>
          <cell r="R67">
            <v>-175125.00000000012</v>
          </cell>
          <cell r="S67">
            <v>-3578616.3600000013</v>
          </cell>
          <cell r="T67">
            <v>-3578616.3600000013</v>
          </cell>
        </row>
        <row r="68">
          <cell r="A68" t="str">
            <v xml:space="preserve">IRNA AEMAN AIRLINES </v>
          </cell>
          <cell r="B68" t="str">
            <v>Iran</v>
          </cell>
          <cell r="C68">
            <v>39162</v>
          </cell>
          <cell r="D68">
            <v>20000000</v>
          </cell>
          <cell r="E68">
            <v>200000000</v>
          </cell>
          <cell r="F68">
            <v>0.02</v>
          </cell>
          <cell r="G68">
            <v>400000</v>
          </cell>
          <cell r="H68">
            <v>4000000</v>
          </cell>
          <cell r="I68">
            <v>4400000</v>
          </cell>
          <cell r="M68">
            <v>0</v>
          </cell>
          <cell r="N68">
            <v>0</v>
          </cell>
          <cell r="O68">
            <v>0</v>
          </cell>
          <cell r="P68">
            <v>0</v>
          </cell>
          <cell r="Q68">
            <v>-400000</v>
          </cell>
          <cell r="R68">
            <v>-400000</v>
          </cell>
          <cell r="S68">
            <v>-4000000</v>
          </cell>
          <cell r="T68">
            <v>-4000000</v>
          </cell>
        </row>
        <row r="69">
          <cell r="A69" t="str">
            <v>JAPAN AIRLINES</v>
          </cell>
          <cell r="B69" t="str">
            <v>Japan</v>
          </cell>
          <cell r="C69">
            <v>39052</v>
          </cell>
          <cell r="D69">
            <v>250000000</v>
          </cell>
          <cell r="E69">
            <v>2000000000</v>
          </cell>
          <cell r="F69">
            <v>0.01</v>
          </cell>
          <cell r="G69">
            <v>2500000</v>
          </cell>
          <cell r="H69">
            <v>20000000</v>
          </cell>
          <cell r="I69">
            <v>22500000</v>
          </cell>
          <cell r="J69">
            <v>39417</v>
          </cell>
          <cell r="K69">
            <v>250000000</v>
          </cell>
          <cell r="L69">
            <v>2000000000</v>
          </cell>
          <cell r="M69">
            <v>0.01</v>
          </cell>
          <cell r="N69">
            <v>2500000</v>
          </cell>
          <cell r="O69">
            <v>20000000</v>
          </cell>
          <cell r="P69">
            <v>22500000</v>
          </cell>
          <cell r="Q69">
            <v>0</v>
          </cell>
          <cell r="R69">
            <v>0</v>
          </cell>
          <cell r="S69">
            <v>0</v>
          </cell>
          <cell r="T69">
            <v>0</v>
          </cell>
        </row>
        <row r="70">
          <cell r="A70" t="str">
            <v>JAT AIRWAYS</v>
          </cell>
          <cell r="B70" t="str">
            <v>Serbia</v>
          </cell>
          <cell r="J70">
            <v>39379</v>
          </cell>
          <cell r="K70">
            <v>60000000</v>
          </cell>
          <cell r="L70">
            <v>750000000</v>
          </cell>
          <cell r="M70">
            <v>0.01</v>
          </cell>
          <cell r="N70">
            <v>600000</v>
          </cell>
          <cell r="O70">
            <v>7500000</v>
          </cell>
          <cell r="P70">
            <v>8100000</v>
          </cell>
          <cell r="Q70">
            <v>600000</v>
          </cell>
          <cell r="R70">
            <v>600000</v>
          </cell>
          <cell r="S70">
            <v>7500000</v>
          </cell>
          <cell r="T70">
            <v>7500000</v>
          </cell>
        </row>
        <row r="71">
          <cell r="A71" t="str">
            <v>JET AIRWAYS(INDIA) LIMITED</v>
          </cell>
          <cell r="B71" t="str">
            <v>India</v>
          </cell>
          <cell r="C71">
            <v>39188</v>
          </cell>
          <cell r="D71">
            <v>200000000</v>
          </cell>
          <cell r="E71">
            <v>1500000000</v>
          </cell>
          <cell r="F71">
            <v>0.01</v>
          </cell>
          <cell r="G71">
            <v>2000000</v>
          </cell>
          <cell r="H71">
            <v>15000000</v>
          </cell>
          <cell r="I71">
            <v>17000000</v>
          </cell>
          <cell r="J71">
            <v>39554</v>
          </cell>
          <cell r="K71">
            <v>200000000</v>
          </cell>
          <cell r="L71">
            <v>1500000000</v>
          </cell>
          <cell r="M71">
            <v>0.01</v>
          </cell>
          <cell r="N71">
            <v>2000000</v>
          </cell>
          <cell r="O71">
            <v>15000000</v>
          </cell>
          <cell r="P71">
            <v>17000000</v>
          </cell>
          <cell r="Q71">
            <v>0</v>
          </cell>
          <cell r="R71">
            <v>0</v>
          </cell>
          <cell r="S71">
            <v>0</v>
          </cell>
          <cell r="T71">
            <v>0</v>
          </cell>
        </row>
        <row r="72">
          <cell r="A72" t="str">
            <v>JETX LTD</v>
          </cell>
          <cell r="B72" t="str">
            <v>Iseland</v>
          </cell>
          <cell r="C72">
            <v>39209</v>
          </cell>
          <cell r="D72">
            <v>75000000</v>
          </cell>
          <cell r="E72">
            <v>600000000</v>
          </cell>
          <cell r="F72">
            <v>0.01</v>
          </cell>
          <cell r="G72">
            <v>750000</v>
          </cell>
          <cell r="H72">
            <v>6000000</v>
          </cell>
          <cell r="I72">
            <v>6750000</v>
          </cell>
          <cell r="M72">
            <v>0</v>
          </cell>
          <cell r="N72">
            <v>0</v>
          </cell>
          <cell r="O72">
            <v>0</v>
          </cell>
          <cell r="P72">
            <v>0</v>
          </cell>
          <cell r="Q72">
            <v>-750000</v>
          </cell>
          <cell r="R72">
            <v>-750000</v>
          </cell>
          <cell r="S72">
            <v>-6000000</v>
          </cell>
          <cell r="T72">
            <v>-6000000</v>
          </cell>
        </row>
        <row r="73">
          <cell r="A73" t="str">
            <v>KD AVIA</v>
          </cell>
          <cell r="B73" t="str">
            <v>Russia</v>
          </cell>
          <cell r="C73">
            <v>39151</v>
          </cell>
          <cell r="D73">
            <v>38000000</v>
          </cell>
          <cell r="E73">
            <v>600000000</v>
          </cell>
          <cell r="F73">
            <v>0.01</v>
          </cell>
          <cell r="G73">
            <v>380000</v>
          </cell>
          <cell r="H73">
            <v>6000000</v>
          </cell>
          <cell r="I73">
            <v>6380000</v>
          </cell>
          <cell r="M73">
            <v>0</v>
          </cell>
          <cell r="N73">
            <v>0</v>
          </cell>
          <cell r="O73">
            <v>0</v>
          </cell>
          <cell r="P73">
            <v>0</v>
          </cell>
          <cell r="Q73">
            <v>-380000</v>
          </cell>
          <cell r="R73">
            <v>-380000</v>
          </cell>
          <cell r="S73">
            <v>-6000000</v>
          </cell>
          <cell r="T73">
            <v>-6000000</v>
          </cell>
        </row>
        <row r="74">
          <cell r="A74" t="str">
            <v>KINGFISHER AIRLINES</v>
          </cell>
          <cell r="B74" t="str">
            <v>India</v>
          </cell>
          <cell r="C74">
            <v>39173</v>
          </cell>
          <cell r="D74">
            <v>225000000</v>
          </cell>
          <cell r="E74">
            <v>1000000000</v>
          </cell>
          <cell r="F74">
            <v>0.01</v>
          </cell>
          <cell r="G74">
            <v>2250000</v>
          </cell>
          <cell r="H74">
            <v>10000000</v>
          </cell>
          <cell r="I74">
            <v>12250000</v>
          </cell>
          <cell r="J74">
            <v>39615</v>
          </cell>
          <cell r="K74">
            <v>226500000</v>
          </cell>
          <cell r="L74">
            <v>1000000000</v>
          </cell>
          <cell r="M74">
            <v>0.01</v>
          </cell>
          <cell r="N74">
            <v>2265000</v>
          </cell>
          <cell r="O74">
            <v>10000000</v>
          </cell>
          <cell r="P74">
            <v>12265000</v>
          </cell>
          <cell r="Q74">
            <v>15000</v>
          </cell>
          <cell r="R74">
            <v>15000</v>
          </cell>
          <cell r="S74">
            <v>0</v>
          </cell>
          <cell r="T74">
            <v>0</v>
          </cell>
        </row>
        <row r="75">
          <cell r="A75" t="str">
            <v>KOUNI TRAVEL HOLDING LIMITED</v>
          </cell>
          <cell r="B75" t="str">
            <v>Sweden</v>
          </cell>
          <cell r="C75">
            <v>39036</v>
          </cell>
          <cell r="D75">
            <v>115000000</v>
          </cell>
          <cell r="E75">
            <v>1000000000</v>
          </cell>
          <cell r="F75">
            <v>0.01</v>
          </cell>
          <cell r="G75">
            <v>1150000</v>
          </cell>
          <cell r="H75">
            <v>10000000</v>
          </cell>
          <cell r="I75">
            <v>11150000</v>
          </cell>
          <cell r="M75">
            <v>0</v>
          </cell>
          <cell r="N75">
            <v>0</v>
          </cell>
          <cell r="O75">
            <v>0</v>
          </cell>
          <cell r="P75">
            <v>0</v>
          </cell>
          <cell r="Q75">
            <v>-1150000</v>
          </cell>
          <cell r="R75">
            <v>-1150000</v>
          </cell>
          <cell r="S75">
            <v>-10000000</v>
          </cell>
          <cell r="T75">
            <v>-10000000</v>
          </cell>
        </row>
        <row r="76">
          <cell r="A76" t="str">
            <v>LIAT(1974)</v>
          </cell>
          <cell r="B76" t="str">
            <v>West Indies</v>
          </cell>
          <cell r="C76">
            <v>39022</v>
          </cell>
          <cell r="D76">
            <v>20000000</v>
          </cell>
          <cell r="E76">
            <v>350000000</v>
          </cell>
          <cell r="F76">
            <v>2.5399999999999999E-2</v>
          </cell>
          <cell r="G76">
            <v>508000</v>
          </cell>
          <cell r="H76">
            <v>8890000</v>
          </cell>
          <cell r="I76">
            <v>9398000</v>
          </cell>
          <cell r="M76">
            <v>0</v>
          </cell>
          <cell r="N76">
            <v>0</v>
          </cell>
          <cell r="O76">
            <v>0</v>
          </cell>
          <cell r="P76">
            <v>0</v>
          </cell>
          <cell r="Q76">
            <v>-508000</v>
          </cell>
          <cell r="R76">
            <v>-508000</v>
          </cell>
          <cell r="S76">
            <v>-8890000</v>
          </cell>
          <cell r="T76">
            <v>-8890000</v>
          </cell>
        </row>
        <row r="77">
          <cell r="A77" t="str">
            <v xml:space="preserve">LINEAS AEREAS AZTECA S.A. </v>
          </cell>
          <cell r="B77" t="str">
            <v>Mexico</v>
          </cell>
          <cell r="C77">
            <v>39138</v>
          </cell>
          <cell r="F77">
            <v>0.01</v>
          </cell>
          <cell r="G77">
            <v>0</v>
          </cell>
          <cell r="H77">
            <v>0</v>
          </cell>
          <cell r="I77">
            <v>0</v>
          </cell>
          <cell r="M77">
            <v>0</v>
          </cell>
          <cell r="N77">
            <v>0</v>
          </cell>
          <cell r="O77">
            <v>0</v>
          </cell>
          <cell r="P77">
            <v>0</v>
          </cell>
          <cell r="Q77">
            <v>0</v>
          </cell>
          <cell r="R77">
            <v>0</v>
          </cell>
          <cell r="S77">
            <v>0</v>
          </cell>
          <cell r="T77">
            <v>0</v>
          </cell>
        </row>
        <row r="78">
          <cell r="A78" t="str">
            <v>LOTUS AIR</v>
          </cell>
          <cell r="B78" t="str">
            <v>Egypt</v>
          </cell>
          <cell r="C78">
            <v>39114</v>
          </cell>
          <cell r="D78">
            <v>50000000</v>
          </cell>
          <cell r="E78">
            <v>750000000</v>
          </cell>
          <cell r="F78">
            <v>0.01</v>
          </cell>
          <cell r="G78">
            <v>500000</v>
          </cell>
          <cell r="H78">
            <v>7500000</v>
          </cell>
          <cell r="I78">
            <v>8000000</v>
          </cell>
          <cell r="M78">
            <v>0</v>
          </cell>
          <cell r="N78">
            <v>0</v>
          </cell>
          <cell r="O78">
            <v>0</v>
          </cell>
          <cell r="P78">
            <v>0</v>
          </cell>
          <cell r="Q78">
            <v>-500000</v>
          </cell>
          <cell r="R78">
            <v>-500000</v>
          </cell>
          <cell r="S78">
            <v>-7500000</v>
          </cell>
          <cell r="T78">
            <v>-7500000</v>
          </cell>
        </row>
        <row r="79">
          <cell r="A79" t="str">
            <v>MALAYSIAN AIRLINE SYSTEM</v>
          </cell>
          <cell r="B79" t="str">
            <v>Malaysia</v>
          </cell>
          <cell r="C79">
            <v>39052</v>
          </cell>
          <cell r="D79">
            <v>280000000</v>
          </cell>
          <cell r="E79">
            <v>2000000000</v>
          </cell>
          <cell r="F79">
            <v>8.0000000000000002E-3</v>
          </cell>
          <cell r="G79">
            <v>2240000</v>
          </cell>
          <cell r="H79">
            <v>16000000</v>
          </cell>
          <cell r="I79">
            <v>18240000</v>
          </cell>
          <cell r="J79">
            <v>39417</v>
          </cell>
          <cell r="K79">
            <v>280000000</v>
          </cell>
          <cell r="L79">
            <v>2000000000</v>
          </cell>
          <cell r="M79">
            <v>8.0000000000000002E-3</v>
          </cell>
          <cell r="N79">
            <v>2240000</v>
          </cell>
          <cell r="O79">
            <v>16000000</v>
          </cell>
          <cell r="P79">
            <v>18240000</v>
          </cell>
          <cell r="Q79">
            <v>0</v>
          </cell>
          <cell r="R79">
            <v>0</v>
          </cell>
          <cell r="S79">
            <v>0</v>
          </cell>
          <cell r="T79">
            <v>0</v>
          </cell>
        </row>
        <row r="80">
          <cell r="A80" t="str">
            <v>MNG AIRLINES</v>
          </cell>
          <cell r="B80" t="str">
            <v>Turkey</v>
          </cell>
          <cell r="C80">
            <v>39033</v>
          </cell>
          <cell r="D80">
            <v>35000000</v>
          </cell>
          <cell r="E80">
            <v>600000000</v>
          </cell>
          <cell r="F80">
            <v>0.03</v>
          </cell>
          <cell r="G80">
            <v>1050000</v>
          </cell>
          <cell r="H80">
            <v>18000000</v>
          </cell>
          <cell r="I80">
            <v>19050000</v>
          </cell>
          <cell r="M80">
            <v>0</v>
          </cell>
          <cell r="N80">
            <v>0</v>
          </cell>
          <cell r="O80">
            <v>0</v>
          </cell>
          <cell r="P80">
            <v>0</v>
          </cell>
          <cell r="Q80">
            <v>-1050000</v>
          </cell>
          <cell r="R80">
            <v>-1050000</v>
          </cell>
          <cell r="S80">
            <v>-18000000</v>
          </cell>
          <cell r="T80">
            <v>-18000000</v>
          </cell>
        </row>
        <row r="81">
          <cell r="A81" t="str">
            <v>MORNACH AIRLINES</v>
          </cell>
          <cell r="B81" t="str">
            <v>UK</v>
          </cell>
          <cell r="C81">
            <v>39295</v>
          </cell>
          <cell r="D81">
            <v>150000000</v>
          </cell>
          <cell r="E81">
            <v>1318681319</v>
          </cell>
          <cell r="F81">
            <v>1.4999999999999999E-2</v>
          </cell>
          <cell r="G81">
            <v>2250000</v>
          </cell>
          <cell r="H81">
            <v>19780219.785</v>
          </cell>
          <cell r="I81">
            <v>22030219.785</v>
          </cell>
          <cell r="J81">
            <v>39661</v>
          </cell>
          <cell r="K81">
            <v>135000000</v>
          </cell>
          <cell r="L81">
            <v>2000000000</v>
          </cell>
          <cell r="M81">
            <v>0.01</v>
          </cell>
          <cell r="N81">
            <v>1350000</v>
          </cell>
          <cell r="O81">
            <v>20000000</v>
          </cell>
          <cell r="P81">
            <v>21350000</v>
          </cell>
          <cell r="Q81">
            <v>-900000</v>
          </cell>
          <cell r="R81">
            <v>-900000</v>
          </cell>
          <cell r="S81">
            <v>219780.21499999985</v>
          </cell>
          <cell r="T81">
            <v>219780.21499999985</v>
          </cell>
        </row>
        <row r="82">
          <cell r="A82" t="str">
            <v>MYTRAVEL</v>
          </cell>
          <cell r="B82" t="str">
            <v>UK</v>
          </cell>
          <cell r="C82">
            <v>39127</v>
          </cell>
          <cell r="D82">
            <v>150000000</v>
          </cell>
          <cell r="E82">
            <v>1700000000</v>
          </cell>
          <cell r="F82">
            <v>1.4999999999999999E-2</v>
          </cell>
          <cell r="G82">
            <v>2250000</v>
          </cell>
          <cell r="H82">
            <v>25500000</v>
          </cell>
          <cell r="I82">
            <v>27750000</v>
          </cell>
          <cell r="M82">
            <v>0</v>
          </cell>
          <cell r="N82">
            <v>0</v>
          </cell>
          <cell r="O82">
            <v>0</v>
          </cell>
          <cell r="P82">
            <v>0</v>
          </cell>
          <cell r="Q82">
            <v>-2250000</v>
          </cell>
          <cell r="R82">
            <v>-2250000</v>
          </cell>
          <cell r="S82">
            <v>-25500000</v>
          </cell>
          <cell r="T82">
            <v>-25500000</v>
          </cell>
        </row>
        <row r="83">
          <cell r="A83" t="str">
            <v>NATS HOLDING</v>
          </cell>
          <cell r="B83" t="str">
            <v>UK</v>
          </cell>
          <cell r="C83">
            <v>39264</v>
          </cell>
          <cell r="D83">
            <v>0</v>
          </cell>
          <cell r="E83">
            <v>1500000000</v>
          </cell>
          <cell r="F83">
            <v>0.01</v>
          </cell>
          <cell r="G83">
            <v>0</v>
          </cell>
          <cell r="H83">
            <v>15000000</v>
          </cell>
          <cell r="I83">
            <v>15000000</v>
          </cell>
          <cell r="J83">
            <v>39264</v>
          </cell>
          <cell r="L83">
            <v>1500000000</v>
          </cell>
          <cell r="M83">
            <v>0.01</v>
          </cell>
          <cell r="N83">
            <v>0</v>
          </cell>
          <cell r="O83">
            <v>15000000</v>
          </cell>
          <cell r="P83">
            <v>15000000</v>
          </cell>
          <cell r="Q83">
            <v>0</v>
          </cell>
          <cell r="R83">
            <v>0</v>
          </cell>
          <cell r="S83">
            <v>0</v>
          </cell>
          <cell r="T83">
            <v>0</v>
          </cell>
        </row>
        <row r="84">
          <cell r="A84" t="str">
            <v>NAV CANADA</v>
          </cell>
          <cell r="B84" t="str">
            <v>Canada</v>
          </cell>
          <cell r="C84">
            <v>39036</v>
          </cell>
          <cell r="E84">
            <v>2350000000</v>
          </cell>
          <cell r="F84">
            <v>0.01</v>
          </cell>
          <cell r="G84">
            <v>0</v>
          </cell>
          <cell r="H84">
            <v>23500000</v>
          </cell>
          <cell r="I84">
            <v>23500000</v>
          </cell>
          <cell r="J84">
            <v>39401</v>
          </cell>
          <cell r="L84">
            <v>1000000000</v>
          </cell>
          <cell r="M84">
            <v>0.02</v>
          </cell>
          <cell r="N84">
            <v>0</v>
          </cell>
          <cell r="O84">
            <v>20000000</v>
          </cell>
          <cell r="P84">
            <v>20000000</v>
          </cell>
          <cell r="Q84">
            <v>0</v>
          </cell>
          <cell r="R84">
            <v>0</v>
          </cell>
          <cell r="S84">
            <v>-3500000</v>
          </cell>
          <cell r="T84">
            <v>-3500000</v>
          </cell>
        </row>
        <row r="85">
          <cell r="A85" t="str">
            <v>NEOS S.P.A.</v>
          </cell>
          <cell r="B85" t="str">
            <v>Italy</v>
          </cell>
          <cell r="C85">
            <v>39173</v>
          </cell>
          <cell r="D85">
            <v>85000000</v>
          </cell>
          <cell r="E85">
            <v>1000000000</v>
          </cell>
          <cell r="F85">
            <v>1.4999999999999999E-2</v>
          </cell>
          <cell r="G85">
            <v>1275000</v>
          </cell>
          <cell r="H85">
            <v>15000000</v>
          </cell>
          <cell r="I85">
            <v>16275000</v>
          </cell>
          <cell r="M85">
            <v>0</v>
          </cell>
          <cell r="N85">
            <v>0</v>
          </cell>
          <cell r="O85">
            <v>0</v>
          </cell>
          <cell r="P85">
            <v>0</v>
          </cell>
          <cell r="Q85">
            <v>-1275000</v>
          </cell>
          <cell r="R85">
            <v>-1275000</v>
          </cell>
          <cell r="S85">
            <v>-15000000</v>
          </cell>
          <cell r="T85">
            <v>-15000000</v>
          </cell>
        </row>
        <row r="86">
          <cell r="A86" t="str">
            <v>NIPPON CARGO AIRLINES</v>
          </cell>
          <cell r="B86" t="str">
            <v>Japan</v>
          </cell>
          <cell r="C86">
            <v>39052</v>
          </cell>
          <cell r="D86">
            <v>200000000</v>
          </cell>
          <cell r="E86">
            <v>1000000000</v>
          </cell>
          <cell r="F86">
            <v>0.01</v>
          </cell>
          <cell r="G86">
            <v>2000000</v>
          </cell>
          <cell r="H86">
            <v>10000000</v>
          </cell>
          <cell r="I86">
            <v>12000000</v>
          </cell>
          <cell r="J86">
            <v>39417</v>
          </cell>
          <cell r="K86">
            <v>200000000</v>
          </cell>
          <cell r="L86">
            <v>1000000000</v>
          </cell>
          <cell r="M86">
            <v>0.01</v>
          </cell>
          <cell r="N86">
            <v>2000000</v>
          </cell>
          <cell r="O86">
            <v>10000000</v>
          </cell>
          <cell r="P86">
            <v>12000000</v>
          </cell>
          <cell r="Q86">
            <v>0</v>
          </cell>
          <cell r="R86">
            <v>0</v>
          </cell>
          <cell r="S86">
            <v>0</v>
          </cell>
          <cell r="T86">
            <v>0</v>
          </cell>
        </row>
        <row r="87">
          <cell r="A87" t="str">
            <v>NORDIC AIRWAYS</v>
          </cell>
          <cell r="B87" t="str">
            <v>Sweden</v>
          </cell>
          <cell r="C87">
            <v>39202</v>
          </cell>
          <cell r="D87">
            <v>75000000</v>
          </cell>
          <cell r="E87">
            <v>600000000</v>
          </cell>
          <cell r="F87">
            <v>0.01</v>
          </cell>
          <cell r="G87">
            <v>750000</v>
          </cell>
          <cell r="H87">
            <v>6000000</v>
          </cell>
          <cell r="I87">
            <v>6750000</v>
          </cell>
          <cell r="M87">
            <v>0</v>
          </cell>
          <cell r="N87">
            <v>0</v>
          </cell>
          <cell r="O87">
            <v>0</v>
          </cell>
          <cell r="P87">
            <v>0</v>
          </cell>
          <cell r="Q87">
            <v>-750000</v>
          </cell>
          <cell r="R87">
            <v>-750000</v>
          </cell>
          <cell r="S87">
            <v>-6000000</v>
          </cell>
          <cell r="T87">
            <v>-6000000</v>
          </cell>
        </row>
        <row r="88">
          <cell r="A88" t="str">
            <v>OLYMPIC AIRLINES</v>
          </cell>
          <cell r="B88" t="str">
            <v>Greece</v>
          </cell>
          <cell r="J88">
            <v>39426</v>
          </cell>
          <cell r="K88">
            <v>160000000</v>
          </cell>
          <cell r="L88">
            <v>1500000000</v>
          </cell>
          <cell r="M88">
            <v>1.2999999999999999E-2</v>
          </cell>
          <cell r="N88">
            <v>2080000</v>
          </cell>
          <cell r="O88">
            <v>19500000</v>
          </cell>
          <cell r="P88">
            <v>21580000</v>
          </cell>
          <cell r="Q88">
            <v>2080000</v>
          </cell>
          <cell r="R88">
            <v>2080000</v>
          </cell>
          <cell r="S88">
            <v>19500000</v>
          </cell>
          <cell r="T88">
            <v>19500000</v>
          </cell>
        </row>
        <row r="89">
          <cell r="A89" t="str">
            <v>ORIENT THAI/ONE-TWO GO</v>
          </cell>
          <cell r="B89" t="str">
            <v>Greece</v>
          </cell>
          <cell r="J89">
            <v>39402</v>
          </cell>
          <cell r="K89">
            <v>40000000</v>
          </cell>
          <cell r="L89">
            <v>1000000000</v>
          </cell>
          <cell r="M89">
            <v>0.01</v>
          </cell>
          <cell r="N89">
            <v>400000</v>
          </cell>
          <cell r="O89">
            <v>10000000</v>
          </cell>
          <cell r="P89">
            <v>10400000</v>
          </cell>
          <cell r="Q89">
            <v>400000</v>
          </cell>
          <cell r="R89">
            <v>400000</v>
          </cell>
          <cell r="S89">
            <v>10000000</v>
          </cell>
          <cell r="T89">
            <v>10000000</v>
          </cell>
        </row>
        <row r="90">
          <cell r="A90" t="str">
            <v>P.T. GARUDA / GMF AEROASIA</v>
          </cell>
          <cell r="B90" t="str">
            <v>Indonesia</v>
          </cell>
          <cell r="C90">
            <v>39052</v>
          </cell>
          <cell r="D90">
            <v>177500000</v>
          </cell>
          <cell r="E90">
            <v>1500000000</v>
          </cell>
          <cell r="F90">
            <v>0.01</v>
          </cell>
          <cell r="G90">
            <v>1775000</v>
          </cell>
          <cell r="H90">
            <v>15000000</v>
          </cell>
          <cell r="I90">
            <v>16775000</v>
          </cell>
          <cell r="M90">
            <v>0</v>
          </cell>
          <cell r="N90">
            <v>0</v>
          </cell>
          <cell r="O90">
            <v>0</v>
          </cell>
          <cell r="P90">
            <v>0</v>
          </cell>
          <cell r="Q90">
            <v>-1775000</v>
          </cell>
          <cell r="R90">
            <v>-1775000</v>
          </cell>
          <cell r="S90">
            <v>-15000000</v>
          </cell>
          <cell r="T90">
            <v>-15000000</v>
          </cell>
        </row>
        <row r="91">
          <cell r="A91" t="str">
            <v>PACIFIC AIRLINES</v>
          </cell>
          <cell r="B91" t="str">
            <v>Vietnam</v>
          </cell>
          <cell r="C91">
            <v>39083</v>
          </cell>
          <cell r="D91">
            <v>60000000</v>
          </cell>
          <cell r="E91">
            <v>600000000</v>
          </cell>
          <cell r="F91">
            <v>0.03</v>
          </cell>
          <cell r="G91">
            <v>1800000</v>
          </cell>
          <cell r="H91">
            <v>18000000</v>
          </cell>
          <cell r="I91">
            <v>19800000</v>
          </cell>
          <cell r="M91">
            <v>0</v>
          </cell>
          <cell r="N91">
            <v>0</v>
          </cell>
          <cell r="O91">
            <v>0</v>
          </cell>
          <cell r="P91">
            <v>0</v>
          </cell>
          <cell r="Q91">
            <v>-1800000</v>
          </cell>
          <cell r="R91">
            <v>-1800000</v>
          </cell>
          <cell r="S91">
            <v>-18000000</v>
          </cell>
          <cell r="T91">
            <v>-18000000</v>
          </cell>
        </row>
        <row r="92">
          <cell r="A92" t="str">
            <v>PARKISTAN INTERNATIONAL AIRLINES</v>
          </cell>
          <cell r="B92" t="str">
            <v>Parkistan</v>
          </cell>
          <cell r="C92">
            <v>39005</v>
          </cell>
          <cell r="D92">
            <v>225000000</v>
          </cell>
          <cell r="E92">
            <v>1000000000</v>
          </cell>
          <cell r="F92">
            <v>0.01</v>
          </cell>
          <cell r="G92">
            <v>2250000</v>
          </cell>
          <cell r="H92">
            <v>10000000</v>
          </cell>
          <cell r="I92">
            <v>12250000</v>
          </cell>
          <cell r="J92">
            <v>39370</v>
          </cell>
          <cell r="K92">
            <v>250000000</v>
          </cell>
          <cell r="L92">
            <v>1000000000</v>
          </cell>
          <cell r="M92">
            <v>0.01</v>
          </cell>
          <cell r="N92">
            <v>2500000</v>
          </cell>
          <cell r="O92">
            <v>10000000</v>
          </cell>
          <cell r="P92">
            <v>12500000</v>
          </cell>
          <cell r="Q92">
            <v>250000</v>
          </cell>
          <cell r="R92">
            <v>250000</v>
          </cell>
          <cell r="S92">
            <v>0</v>
          </cell>
          <cell r="T92">
            <v>0</v>
          </cell>
        </row>
        <row r="93">
          <cell r="A93" t="str">
            <v>PHILIPPINE AIRLINES</v>
          </cell>
          <cell r="B93" t="str">
            <v>Philippine</v>
          </cell>
          <cell r="C93">
            <v>39066</v>
          </cell>
          <cell r="D93">
            <v>150000000</v>
          </cell>
          <cell r="F93">
            <v>0.01</v>
          </cell>
          <cell r="G93">
            <v>1500000</v>
          </cell>
          <cell r="H93">
            <v>0</v>
          </cell>
          <cell r="I93">
            <v>1500000</v>
          </cell>
          <cell r="M93">
            <v>0</v>
          </cell>
          <cell r="N93">
            <v>0</v>
          </cell>
          <cell r="O93">
            <v>0</v>
          </cell>
          <cell r="P93">
            <v>0</v>
          </cell>
          <cell r="Q93">
            <v>-1500000</v>
          </cell>
          <cell r="R93">
            <v>-1500000</v>
          </cell>
          <cell r="S93">
            <v>0</v>
          </cell>
          <cell r="T93">
            <v>0</v>
          </cell>
        </row>
        <row r="94">
          <cell r="A94" t="str">
            <v>PHILIPPINE AIRLINES INC</v>
          </cell>
          <cell r="B94" t="str">
            <v>Philippine</v>
          </cell>
          <cell r="C94">
            <v>39066</v>
          </cell>
          <cell r="D94">
            <v>175000000</v>
          </cell>
          <cell r="E94">
            <v>1500000000</v>
          </cell>
          <cell r="F94">
            <v>0.01</v>
          </cell>
          <cell r="G94">
            <v>1750000</v>
          </cell>
          <cell r="H94">
            <v>15000000</v>
          </cell>
          <cell r="I94">
            <v>16750000</v>
          </cell>
          <cell r="J94">
            <v>39431</v>
          </cell>
          <cell r="K94">
            <v>200000000</v>
          </cell>
          <cell r="L94">
            <v>1500000000</v>
          </cell>
          <cell r="M94">
            <v>0.01</v>
          </cell>
          <cell r="N94">
            <v>2000000</v>
          </cell>
          <cell r="O94">
            <v>15000000</v>
          </cell>
          <cell r="P94">
            <v>17000000</v>
          </cell>
          <cell r="Q94">
            <v>250000</v>
          </cell>
          <cell r="R94">
            <v>250000</v>
          </cell>
          <cell r="S94">
            <v>0</v>
          </cell>
          <cell r="T94">
            <v>0</v>
          </cell>
        </row>
        <row r="95">
          <cell r="A95" t="str">
            <v>ROYAL AIR MAROC</v>
          </cell>
          <cell r="B95" t="str">
            <v>Morocco</v>
          </cell>
          <cell r="C95">
            <v>39052</v>
          </cell>
          <cell r="D95">
            <v>152100000</v>
          </cell>
          <cell r="E95">
            <v>1000000000</v>
          </cell>
          <cell r="F95">
            <v>0.01</v>
          </cell>
          <cell r="G95">
            <v>1521000</v>
          </cell>
          <cell r="H95">
            <v>10000000</v>
          </cell>
          <cell r="I95">
            <v>11521000</v>
          </cell>
          <cell r="M95">
            <v>0</v>
          </cell>
          <cell r="N95">
            <v>0</v>
          </cell>
          <cell r="O95">
            <v>0</v>
          </cell>
          <cell r="P95">
            <v>0</v>
          </cell>
          <cell r="Q95">
            <v>-1521000</v>
          </cell>
          <cell r="R95">
            <v>-1521000</v>
          </cell>
          <cell r="S95">
            <v>-10000000</v>
          </cell>
          <cell r="T95">
            <v>-10000000</v>
          </cell>
        </row>
        <row r="96">
          <cell r="A96" t="str">
            <v>ROYAL JORDANIAN</v>
          </cell>
          <cell r="B96" t="str">
            <v>Jordan</v>
          </cell>
          <cell r="C96">
            <v>39073</v>
          </cell>
          <cell r="D96">
            <v>150000000</v>
          </cell>
          <cell r="E96">
            <v>1500000000</v>
          </cell>
          <cell r="F96">
            <v>1.2999999999999999E-2</v>
          </cell>
          <cell r="G96">
            <v>1950000</v>
          </cell>
          <cell r="H96">
            <v>19500000</v>
          </cell>
          <cell r="I96">
            <v>21450000</v>
          </cell>
          <cell r="J96">
            <v>39438</v>
          </cell>
          <cell r="K96">
            <v>150000000</v>
          </cell>
          <cell r="L96">
            <v>1500000000</v>
          </cell>
          <cell r="M96">
            <v>1.2999999999999999E-2</v>
          </cell>
          <cell r="N96">
            <v>1950000</v>
          </cell>
          <cell r="O96">
            <v>19500000</v>
          </cell>
          <cell r="P96">
            <v>21450000</v>
          </cell>
          <cell r="Q96">
            <v>0</v>
          </cell>
          <cell r="R96">
            <v>0</v>
          </cell>
          <cell r="S96">
            <v>0</v>
          </cell>
          <cell r="T96">
            <v>0</v>
          </cell>
        </row>
        <row r="97">
          <cell r="A97" t="str">
            <v>RYANAIR</v>
          </cell>
          <cell r="B97" t="str">
            <v>Ireland</v>
          </cell>
          <cell r="C97">
            <v>39052</v>
          </cell>
          <cell r="D97">
            <v>66000000</v>
          </cell>
          <cell r="E97">
            <v>750000000</v>
          </cell>
          <cell r="F97">
            <v>0.01</v>
          </cell>
          <cell r="G97">
            <v>660000</v>
          </cell>
          <cell r="H97">
            <v>7500000</v>
          </cell>
          <cell r="I97">
            <v>8160000</v>
          </cell>
          <cell r="J97">
            <v>39417</v>
          </cell>
          <cell r="K97">
            <v>68250000</v>
          </cell>
          <cell r="L97">
            <v>750000000</v>
          </cell>
          <cell r="M97">
            <v>2.5000000000000001E-2</v>
          </cell>
          <cell r="N97">
            <v>1706250</v>
          </cell>
          <cell r="O97">
            <v>18750000</v>
          </cell>
          <cell r="P97">
            <v>20456250</v>
          </cell>
          <cell r="Q97">
            <v>1046250</v>
          </cell>
          <cell r="R97">
            <v>1046250</v>
          </cell>
          <cell r="S97">
            <v>11250000</v>
          </cell>
          <cell r="T97">
            <v>11250000</v>
          </cell>
        </row>
        <row r="98">
          <cell r="A98" t="str">
            <v>SAFARI LINK</v>
          </cell>
          <cell r="B98" t="str">
            <v>Kenya</v>
          </cell>
          <cell r="C98">
            <v>39065</v>
          </cell>
          <cell r="D98">
            <v>3000000</v>
          </cell>
          <cell r="E98">
            <v>75000000</v>
          </cell>
          <cell r="F98">
            <v>0.03</v>
          </cell>
          <cell r="G98">
            <v>90000</v>
          </cell>
          <cell r="H98">
            <v>2250000</v>
          </cell>
          <cell r="I98">
            <v>2340000</v>
          </cell>
          <cell r="M98">
            <v>0</v>
          </cell>
          <cell r="N98">
            <v>0</v>
          </cell>
          <cell r="O98">
            <v>0</v>
          </cell>
          <cell r="P98">
            <v>0</v>
          </cell>
          <cell r="Q98">
            <v>-90000</v>
          </cell>
          <cell r="R98">
            <v>-90000</v>
          </cell>
          <cell r="S98">
            <v>-2250000</v>
          </cell>
          <cell r="T98">
            <v>-2250000</v>
          </cell>
        </row>
        <row r="99">
          <cell r="A99" t="str">
            <v>SAFARILINK</v>
          </cell>
          <cell r="B99" t="str">
            <v>Kenya</v>
          </cell>
          <cell r="C99">
            <v>39142</v>
          </cell>
          <cell r="D99">
            <v>5000000</v>
          </cell>
          <cell r="E99">
            <v>20000000</v>
          </cell>
          <cell r="F99">
            <v>0.03</v>
          </cell>
          <cell r="G99">
            <v>150000</v>
          </cell>
          <cell r="H99">
            <v>600000</v>
          </cell>
          <cell r="I99">
            <v>750000</v>
          </cell>
          <cell r="M99">
            <v>0</v>
          </cell>
          <cell r="N99">
            <v>0</v>
          </cell>
          <cell r="O99">
            <v>0</v>
          </cell>
          <cell r="P99">
            <v>0</v>
          </cell>
          <cell r="Q99">
            <v>-150000</v>
          </cell>
          <cell r="R99">
            <v>-150000</v>
          </cell>
          <cell r="S99">
            <v>-600000</v>
          </cell>
          <cell r="T99">
            <v>-600000</v>
          </cell>
        </row>
        <row r="100">
          <cell r="A100" t="str">
            <v>SAFIT</v>
          </cell>
          <cell r="B100" t="str">
            <v>Scandinavia</v>
          </cell>
          <cell r="C100">
            <v>39051</v>
          </cell>
          <cell r="D100">
            <v>210000000</v>
          </cell>
          <cell r="E100">
            <v>1500000000</v>
          </cell>
          <cell r="F100">
            <v>1.2E-2</v>
          </cell>
          <cell r="G100">
            <v>2520000</v>
          </cell>
          <cell r="H100">
            <v>18000000</v>
          </cell>
          <cell r="I100">
            <v>20520000</v>
          </cell>
          <cell r="J100">
            <v>39416</v>
          </cell>
          <cell r="K100">
            <v>210000000</v>
          </cell>
          <cell r="L100">
            <v>1500000000</v>
          </cell>
          <cell r="M100">
            <v>1.2E-2</v>
          </cell>
          <cell r="N100">
            <v>2520000</v>
          </cell>
          <cell r="O100">
            <v>18000000</v>
          </cell>
          <cell r="P100">
            <v>20520000</v>
          </cell>
          <cell r="Q100">
            <v>0</v>
          </cell>
          <cell r="R100">
            <v>0</v>
          </cell>
          <cell r="S100">
            <v>0</v>
          </cell>
          <cell r="T100">
            <v>0</v>
          </cell>
        </row>
        <row r="101">
          <cell r="A101" t="str">
            <v>SAFRAN S.A.</v>
          </cell>
          <cell r="B101" t="str">
            <v>France</v>
          </cell>
          <cell r="C101">
            <v>39051</v>
          </cell>
          <cell r="D101">
            <v>75000000</v>
          </cell>
          <cell r="E101">
            <v>750000000</v>
          </cell>
          <cell r="F101">
            <v>1.2999999999999999E-2</v>
          </cell>
          <cell r="G101">
            <v>975000</v>
          </cell>
          <cell r="H101">
            <v>9750000</v>
          </cell>
          <cell r="I101">
            <v>10725000</v>
          </cell>
          <cell r="J101">
            <v>39416</v>
          </cell>
          <cell r="K101">
            <v>75000000</v>
          </cell>
          <cell r="L101">
            <v>1500000000</v>
          </cell>
          <cell r="M101">
            <v>1.2999999999999999E-2</v>
          </cell>
          <cell r="N101">
            <v>975000</v>
          </cell>
          <cell r="O101">
            <v>19500000</v>
          </cell>
          <cell r="P101">
            <v>20475000</v>
          </cell>
          <cell r="Q101">
            <v>0</v>
          </cell>
          <cell r="R101">
            <v>0</v>
          </cell>
          <cell r="S101">
            <v>9750000</v>
          </cell>
          <cell r="T101">
            <v>9750000</v>
          </cell>
        </row>
        <row r="102">
          <cell r="A102" t="str">
            <v>SAUDI ORGER</v>
          </cell>
          <cell r="B102" t="str">
            <v>Saudi</v>
          </cell>
          <cell r="C102">
            <v>39010</v>
          </cell>
          <cell r="D102">
            <v>180000000</v>
          </cell>
          <cell r="E102">
            <v>850000000</v>
          </cell>
          <cell r="F102">
            <v>0.01</v>
          </cell>
          <cell r="G102">
            <v>1800000</v>
          </cell>
          <cell r="H102">
            <v>8500000</v>
          </cell>
          <cell r="I102">
            <v>10300000</v>
          </cell>
          <cell r="M102">
            <v>0</v>
          </cell>
          <cell r="N102">
            <v>0</v>
          </cell>
          <cell r="O102">
            <v>0</v>
          </cell>
          <cell r="P102">
            <v>0</v>
          </cell>
          <cell r="Q102">
            <v>-1800000</v>
          </cell>
          <cell r="R102">
            <v>-1800000</v>
          </cell>
          <cell r="S102">
            <v>-8500000</v>
          </cell>
          <cell r="T102">
            <v>-8500000</v>
          </cell>
        </row>
        <row r="103">
          <cell r="A103" t="str">
            <v>SINGAPORE AIRCRAFT LEASING</v>
          </cell>
          <cell r="B103" t="str">
            <v>Singapore</v>
          </cell>
          <cell r="C103">
            <v>39114</v>
          </cell>
          <cell r="D103">
            <v>200000000</v>
          </cell>
          <cell r="E103">
            <v>1000000000</v>
          </cell>
          <cell r="F103">
            <v>1.2500000000000001E-2</v>
          </cell>
          <cell r="G103">
            <v>2500000</v>
          </cell>
          <cell r="H103">
            <v>12500000</v>
          </cell>
          <cell r="I103">
            <v>15000000</v>
          </cell>
          <cell r="M103">
            <v>0</v>
          </cell>
          <cell r="N103">
            <v>0</v>
          </cell>
          <cell r="O103">
            <v>0</v>
          </cell>
          <cell r="P103">
            <v>0</v>
          </cell>
          <cell r="Q103">
            <v>-2500000</v>
          </cell>
          <cell r="R103">
            <v>-2500000</v>
          </cell>
          <cell r="S103">
            <v>-12500000</v>
          </cell>
          <cell r="T103">
            <v>-12500000</v>
          </cell>
        </row>
        <row r="104">
          <cell r="A104" t="str">
            <v>SINGAPORE AIRLINES</v>
          </cell>
          <cell r="B104" t="str">
            <v>Singapore</v>
          </cell>
          <cell r="C104">
            <v>39022</v>
          </cell>
          <cell r="D104">
            <v>275000000</v>
          </cell>
          <cell r="E104">
            <v>1500000000</v>
          </cell>
          <cell r="F104">
            <v>0.01</v>
          </cell>
          <cell r="G104">
            <v>2750000</v>
          </cell>
          <cell r="H104">
            <v>15000000</v>
          </cell>
          <cell r="I104">
            <v>17750000</v>
          </cell>
          <cell r="M104">
            <v>0</v>
          </cell>
          <cell r="N104">
            <v>0</v>
          </cell>
          <cell r="O104">
            <v>0</v>
          </cell>
          <cell r="P104">
            <v>0</v>
          </cell>
          <cell r="Q104">
            <v>-2750000</v>
          </cell>
          <cell r="R104">
            <v>-2750000</v>
          </cell>
          <cell r="S104">
            <v>-15000000</v>
          </cell>
          <cell r="T104">
            <v>-15000000</v>
          </cell>
        </row>
        <row r="105">
          <cell r="A105" t="str">
            <v>SKY EXPRESS</v>
          </cell>
          <cell r="B105" t="str">
            <v>Russia</v>
          </cell>
          <cell r="C105">
            <v>39022</v>
          </cell>
          <cell r="D105">
            <v>20000000</v>
          </cell>
          <cell r="E105">
            <v>10000000</v>
          </cell>
          <cell r="F105">
            <v>2.2877999999999999E-2</v>
          </cell>
          <cell r="G105">
            <v>457560</v>
          </cell>
          <cell r="H105">
            <v>228780</v>
          </cell>
          <cell r="I105">
            <v>686340</v>
          </cell>
          <cell r="M105">
            <v>0</v>
          </cell>
          <cell r="N105">
            <v>0</v>
          </cell>
          <cell r="O105">
            <v>0</v>
          </cell>
          <cell r="P105">
            <v>0</v>
          </cell>
          <cell r="Q105">
            <v>-457560</v>
          </cell>
          <cell r="R105">
            <v>-457560</v>
          </cell>
          <cell r="S105">
            <v>-228780</v>
          </cell>
          <cell r="T105">
            <v>-228780</v>
          </cell>
        </row>
        <row r="106">
          <cell r="A106" t="str">
            <v>SKYEUROPE</v>
          </cell>
          <cell r="B106" t="str">
            <v>Slovakia</v>
          </cell>
          <cell r="C106">
            <v>39241</v>
          </cell>
          <cell r="D106">
            <v>40000000</v>
          </cell>
          <cell r="E106">
            <v>600000000</v>
          </cell>
          <cell r="F106">
            <v>0.02</v>
          </cell>
          <cell r="G106">
            <v>800000</v>
          </cell>
          <cell r="H106">
            <v>12000000</v>
          </cell>
          <cell r="I106">
            <v>12800000</v>
          </cell>
          <cell r="J106">
            <v>39607</v>
          </cell>
          <cell r="K106">
            <v>60000000</v>
          </cell>
          <cell r="L106">
            <v>700000000</v>
          </cell>
          <cell r="M106">
            <v>0.02</v>
          </cell>
          <cell r="N106">
            <v>1200000</v>
          </cell>
          <cell r="O106">
            <v>14000000</v>
          </cell>
          <cell r="P106">
            <v>15200000</v>
          </cell>
          <cell r="Q106">
            <v>400000</v>
          </cell>
          <cell r="R106">
            <v>400000</v>
          </cell>
          <cell r="S106">
            <v>2000000</v>
          </cell>
          <cell r="T106">
            <v>2000000</v>
          </cell>
        </row>
        <row r="107">
          <cell r="A107" t="str">
            <v>SKYLINES</v>
          </cell>
          <cell r="B107" t="str">
            <v>Turkey</v>
          </cell>
          <cell r="J107">
            <v>39547</v>
          </cell>
          <cell r="K107">
            <v>60000000</v>
          </cell>
          <cell r="L107">
            <v>750000000</v>
          </cell>
          <cell r="M107">
            <v>1.4999999999999999E-2</v>
          </cell>
          <cell r="N107">
            <v>900000</v>
          </cell>
          <cell r="O107">
            <v>11250000</v>
          </cell>
          <cell r="P107">
            <v>12150000</v>
          </cell>
          <cell r="Q107">
            <v>900000</v>
          </cell>
          <cell r="R107">
            <v>900000</v>
          </cell>
          <cell r="S107">
            <v>11250000</v>
          </cell>
          <cell r="T107">
            <v>11250000</v>
          </cell>
        </row>
        <row r="108">
          <cell r="A108" t="str">
            <v>SKYMARK AIRLINES INC</v>
          </cell>
          <cell r="B108" t="str">
            <v>Japan</v>
          </cell>
          <cell r="C108">
            <v>39313</v>
          </cell>
          <cell r="D108">
            <v>100000000</v>
          </cell>
          <cell r="E108">
            <v>129500000</v>
          </cell>
          <cell r="F108">
            <v>1.9E-2</v>
          </cell>
          <cell r="G108">
            <v>1900000</v>
          </cell>
          <cell r="H108">
            <v>2460500</v>
          </cell>
          <cell r="I108">
            <v>4360500</v>
          </cell>
          <cell r="J108">
            <v>39661</v>
          </cell>
          <cell r="K108">
            <v>129500000</v>
          </cell>
          <cell r="L108">
            <v>1000000000</v>
          </cell>
          <cell r="M108">
            <v>1.9E-2</v>
          </cell>
          <cell r="N108">
            <v>2460500</v>
          </cell>
          <cell r="O108">
            <v>19000000</v>
          </cell>
          <cell r="P108">
            <v>21460500</v>
          </cell>
          <cell r="Q108">
            <v>560500</v>
          </cell>
          <cell r="R108">
            <v>560500</v>
          </cell>
          <cell r="S108">
            <v>16539500</v>
          </cell>
          <cell r="T108">
            <v>16539500</v>
          </cell>
        </row>
        <row r="109">
          <cell r="A109" t="str">
            <v>SKYNET ASIA AIRWAYS CO., LTD.</v>
          </cell>
          <cell r="B109" t="str">
            <v>Japan</v>
          </cell>
          <cell r="C109">
            <v>39133</v>
          </cell>
          <cell r="D109">
            <v>60000000</v>
          </cell>
          <cell r="E109">
            <v>1000000000</v>
          </cell>
          <cell r="F109">
            <v>0.02</v>
          </cell>
          <cell r="G109">
            <v>1200000</v>
          </cell>
          <cell r="H109">
            <v>20000000</v>
          </cell>
          <cell r="I109">
            <v>21200000</v>
          </cell>
          <cell r="J109">
            <v>39498</v>
          </cell>
          <cell r="K109">
            <v>50000000</v>
          </cell>
          <cell r="L109">
            <v>1000000000</v>
          </cell>
          <cell r="M109">
            <v>0.02</v>
          </cell>
          <cell r="N109">
            <v>1000000</v>
          </cell>
          <cell r="O109">
            <v>20000000</v>
          </cell>
          <cell r="P109">
            <v>21000000</v>
          </cell>
          <cell r="Q109">
            <v>-200000</v>
          </cell>
          <cell r="R109">
            <v>-200000</v>
          </cell>
          <cell r="S109">
            <v>0</v>
          </cell>
          <cell r="T109">
            <v>0</v>
          </cell>
        </row>
        <row r="110">
          <cell r="A110" t="str">
            <v>SOUTHAFRICAN AIRWAYS</v>
          </cell>
          <cell r="B110" t="str">
            <v>South Africa</v>
          </cell>
          <cell r="C110">
            <v>39022</v>
          </cell>
          <cell r="D110">
            <v>225000000</v>
          </cell>
          <cell r="E110">
            <v>1500000000</v>
          </cell>
          <cell r="F110">
            <v>0.01</v>
          </cell>
          <cell r="G110">
            <v>2250000</v>
          </cell>
          <cell r="H110">
            <v>15000000</v>
          </cell>
          <cell r="I110">
            <v>17250000</v>
          </cell>
          <cell r="J110">
            <v>39387</v>
          </cell>
          <cell r="K110">
            <v>225000000</v>
          </cell>
          <cell r="L110">
            <v>1500000000</v>
          </cell>
          <cell r="M110">
            <v>0.01</v>
          </cell>
          <cell r="N110">
            <v>2250000</v>
          </cell>
          <cell r="O110">
            <v>15000000</v>
          </cell>
          <cell r="P110">
            <v>17250000</v>
          </cell>
          <cell r="Q110">
            <v>0</v>
          </cell>
          <cell r="R110">
            <v>0</v>
          </cell>
          <cell r="S110">
            <v>0</v>
          </cell>
          <cell r="T110">
            <v>0</v>
          </cell>
        </row>
        <row r="111">
          <cell r="A111" t="str">
            <v>SOUTHAFRICAN EXPRESS</v>
          </cell>
          <cell r="B111" t="str">
            <v>South Africa</v>
          </cell>
          <cell r="C111">
            <v>39022</v>
          </cell>
          <cell r="D111">
            <v>30000000</v>
          </cell>
          <cell r="E111">
            <v>500000000</v>
          </cell>
          <cell r="F111">
            <v>0.02</v>
          </cell>
          <cell r="G111">
            <v>600000</v>
          </cell>
          <cell r="H111">
            <v>10000000</v>
          </cell>
          <cell r="I111">
            <v>10600000</v>
          </cell>
          <cell r="M111">
            <v>0</v>
          </cell>
          <cell r="N111">
            <v>0</v>
          </cell>
          <cell r="O111">
            <v>0</v>
          </cell>
          <cell r="P111">
            <v>0</v>
          </cell>
          <cell r="Q111">
            <v>-600000</v>
          </cell>
          <cell r="R111">
            <v>-600000</v>
          </cell>
          <cell r="S111">
            <v>-10000000</v>
          </cell>
          <cell r="T111">
            <v>-10000000</v>
          </cell>
        </row>
        <row r="112">
          <cell r="A112" t="str">
            <v>STAR FLYER</v>
          </cell>
          <cell r="B112" t="str">
            <v>Japan</v>
          </cell>
          <cell r="C112">
            <v>39063</v>
          </cell>
          <cell r="D112">
            <v>80500000</v>
          </cell>
          <cell r="E112">
            <v>1000000000</v>
          </cell>
          <cell r="F112">
            <v>0.02</v>
          </cell>
          <cell r="G112">
            <v>1610000</v>
          </cell>
          <cell r="H112">
            <v>20000000</v>
          </cell>
          <cell r="I112">
            <v>21610000</v>
          </cell>
          <cell r="M112">
            <v>0</v>
          </cell>
          <cell r="N112">
            <v>0</v>
          </cell>
          <cell r="O112">
            <v>0</v>
          </cell>
          <cell r="P112">
            <v>0</v>
          </cell>
          <cell r="Q112">
            <v>-1610000</v>
          </cell>
          <cell r="R112">
            <v>-1610000</v>
          </cell>
          <cell r="S112">
            <v>-20000000</v>
          </cell>
          <cell r="T112">
            <v>-20000000</v>
          </cell>
        </row>
        <row r="113">
          <cell r="A113" t="str">
            <v>SUDAN AIRWAYS</v>
          </cell>
          <cell r="B113" t="str">
            <v>Sudan</v>
          </cell>
          <cell r="C113">
            <v>39142</v>
          </cell>
          <cell r="D113">
            <v>50000000</v>
          </cell>
          <cell r="E113">
            <v>500000000</v>
          </cell>
          <cell r="F113">
            <v>2.5000000000000001E-2</v>
          </cell>
          <cell r="G113">
            <v>1250000</v>
          </cell>
          <cell r="H113">
            <v>12500000</v>
          </cell>
          <cell r="I113">
            <v>13750000</v>
          </cell>
          <cell r="J113">
            <v>39508</v>
          </cell>
          <cell r="K113">
            <v>50000000</v>
          </cell>
          <cell r="L113">
            <v>750000000</v>
          </cell>
          <cell r="M113">
            <v>0.02</v>
          </cell>
          <cell r="N113">
            <v>1000000</v>
          </cell>
          <cell r="O113">
            <v>15000000</v>
          </cell>
          <cell r="P113">
            <v>16000000</v>
          </cell>
          <cell r="Q113">
            <v>-250000</v>
          </cell>
          <cell r="R113">
            <v>-250000</v>
          </cell>
          <cell r="S113">
            <v>2500000</v>
          </cell>
          <cell r="T113">
            <v>2500000</v>
          </cell>
        </row>
        <row r="114">
          <cell r="A114" t="str">
            <v>SULTAN'S FLIGHT</v>
          </cell>
          <cell r="B114" t="str">
            <v>Brunei</v>
          </cell>
          <cell r="C114">
            <v>39025</v>
          </cell>
          <cell r="D114">
            <v>250000000</v>
          </cell>
          <cell r="E114">
            <v>1000000000</v>
          </cell>
          <cell r="F114">
            <v>0.01</v>
          </cell>
          <cell r="G114">
            <v>2500000</v>
          </cell>
          <cell r="H114">
            <v>10000000</v>
          </cell>
          <cell r="I114">
            <v>12500000</v>
          </cell>
          <cell r="M114">
            <v>0</v>
          </cell>
          <cell r="N114">
            <v>0</v>
          </cell>
          <cell r="O114">
            <v>0</v>
          </cell>
          <cell r="P114">
            <v>0</v>
          </cell>
          <cell r="Q114">
            <v>-2500000</v>
          </cell>
          <cell r="R114">
            <v>-2500000</v>
          </cell>
          <cell r="S114">
            <v>-10000000</v>
          </cell>
          <cell r="T114">
            <v>-10000000</v>
          </cell>
        </row>
        <row r="115">
          <cell r="A115" t="str">
            <v>SYNERGY GROUP CORPORATION</v>
          </cell>
          <cell r="B115" t="str">
            <v>Columbia</v>
          </cell>
          <cell r="C115">
            <v>39039</v>
          </cell>
          <cell r="D115">
            <v>90000000</v>
          </cell>
          <cell r="E115">
            <v>1000000000</v>
          </cell>
          <cell r="F115">
            <v>0.01</v>
          </cell>
          <cell r="G115">
            <v>900000</v>
          </cell>
          <cell r="H115">
            <v>10000000</v>
          </cell>
          <cell r="I115">
            <v>10900000</v>
          </cell>
          <cell r="J115">
            <v>39404</v>
          </cell>
          <cell r="K115">
            <v>130000000</v>
          </cell>
          <cell r="L115">
            <v>1250000000</v>
          </cell>
          <cell r="M115">
            <v>1.4999999999999999E-2</v>
          </cell>
          <cell r="N115">
            <v>1950000</v>
          </cell>
          <cell r="O115">
            <v>18750000</v>
          </cell>
          <cell r="P115">
            <v>20700000</v>
          </cell>
          <cell r="Q115">
            <v>1050000</v>
          </cell>
          <cell r="R115">
            <v>1050000</v>
          </cell>
          <cell r="S115">
            <v>8750000</v>
          </cell>
          <cell r="T115">
            <v>8750000</v>
          </cell>
        </row>
        <row r="116">
          <cell r="A116" t="str">
            <v>TAM LANHAS AEREAS</v>
          </cell>
          <cell r="B116" t="str">
            <v>Brazil</v>
          </cell>
          <cell r="C116">
            <v>39070</v>
          </cell>
          <cell r="D116">
            <v>150000000</v>
          </cell>
          <cell r="E116">
            <v>1500000000</v>
          </cell>
          <cell r="F116">
            <v>1.2999999999999999E-2</v>
          </cell>
          <cell r="G116">
            <v>1950000</v>
          </cell>
          <cell r="H116">
            <v>19500000</v>
          </cell>
          <cell r="I116">
            <v>21450000</v>
          </cell>
          <cell r="J116">
            <v>39435</v>
          </cell>
          <cell r="K116">
            <v>200000000</v>
          </cell>
          <cell r="L116">
            <v>1500000000</v>
          </cell>
          <cell r="M116">
            <v>1.2E-2</v>
          </cell>
          <cell r="N116">
            <v>2400000</v>
          </cell>
          <cell r="O116">
            <v>18000000</v>
          </cell>
          <cell r="P116">
            <v>20400000</v>
          </cell>
          <cell r="Q116">
            <v>450000</v>
          </cell>
          <cell r="R116">
            <v>450000</v>
          </cell>
          <cell r="S116">
            <v>-1500000</v>
          </cell>
          <cell r="T116">
            <v>-1500000</v>
          </cell>
        </row>
        <row r="117">
          <cell r="A117" t="str">
            <v>TAROM S.A.</v>
          </cell>
          <cell r="B117" t="str">
            <v>Rumania</v>
          </cell>
          <cell r="C117">
            <v>39203</v>
          </cell>
          <cell r="D117">
            <v>55000000</v>
          </cell>
          <cell r="E117">
            <v>750000000</v>
          </cell>
          <cell r="F117">
            <v>0.02</v>
          </cell>
          <cell r="G117">
            <v>1100000</v>
          </cell>
          <cell r="H117">
            <v>15000000</v>
          </cell>
          <cell r="I117">
            <v>16100000</v>
          </cell>
          <cell r="J117">
            <v>39569</v>
          </cell>
          <cell r="K117">
            <v>55000000</v>
          </cell>
          <cell r="L117">
            <v>750000000</v>
          </cell>
          <cell r="M117">
            <v>0.02</v>
          </cell>
          <cell r="N117">
            <v>1100000</v>
          </cell>
          <cell r="O117">
            <v>15000000</v>
          </cell>
          <cell r="P117">
            <v>16100000</v>
          </cell>
          <cell r="Q117">
            <v>0</v>
          </cell>
          <cell r="R117">
            <v>0</v>
          </cell>
          <cell r="S117">
            <v>0</v>
          </cell>
          <cell r="T117">
            <v>0</v>
          </cell>
        </row>
        <row r="118">
          <cell r="A118" t="str">
            <v>TENIX PTY LIMITED</v>
          </cell>
          <cell r="B118" t="str">
            <v>Austrailia</v>
          </cell>
          <cell r="C118">
            <v>39051</v>
          </cell>
          <cell r="E118">
            <v>750000000</v>
          </cell>
          <cell r="F118">
            <v>2.5000000000000001E-2</v>
          </cell>
          <cell r="G118">
            <v>0</v>
          </cell>
          <cell r="H118">
            <v>18750000</v>
          </cell>
          <cell r="I118">
            <v>18750000</v>
          </cell>
          <cell r="M118">
            <v>0</v>
          </cell>
          <cell r="N118">
            <v>0</v>
          </cell>
          <cell r="O118">
            <v>0</v>
          </cell>
          <cell r="P118">
            <v>0</v>
          </cell>
          <cell r="Q118">
            <v>0</v>
          </cell>
          <cell r="R118">
            <v>0</v>
          </cell>
          <cell r="S118">
            <v>-18750000</v>
          </cell>
          <cell r="T118">
            <v>-18750000</v>
          </cell>
        </row>
        <row r="119">
          <cell r="A119" t="str">
            <v>THAI AIRWAYS</v>
          </cell>
          <cell r="B119" t="str">
            <v>Thailand</v>
          </cell>
          <cell r="J119">
            <v>39417</v>
          </cell>
          <cell r="K119">
            <v>260000000</v>
          </cell>
          <cell r="L119">
            <v>1750000000</v>
          </cell>
          <cell r="M119">
            <v>0.01</v>
          </cell>
          <cell r="N119">
            <v>2600000</v>
          </cell>
          <cell r="O119">
            <v>17500000</v>
          </cell>
          <cell r="P119">
            <v>20100000</v>
          </cell>
          <cell r="Q119">
            <v>2600000</v>
          </cell>
          <cell r="R119">
            <v>2600000</v>
          </cell>
          <cell r="S119">
            <v>17500000</v>
          </cell>
          <cell r="T119">
            <v>17500000</v>
          </cell>
        </row>
        <row r="120">
          <cell r="A120" t="str">
            <v>THE AVION GROUP 2006</v>
          </cell>
          <cell r="B120" t="str">
            <v>UK</v>
          </cell>
          <cell r="C120">
            <v>39050</v>
          </cell>
          <cell r="D120">
            <v>110000000</v>
          </cell>
          <cell r="E120">
            <v>1000000000</v>
          </cell>
          <cell r="F120">
            <v>1.4999999999999999E-2</v>
          </cell>
          <cell r="G120">
            <v>1650000</v>
          </cell>
          <cell r="H120">
            <v>15000000</v>
          </cell>
          <cell r="I120">
            <v>16650000</v>
          </cell>
          <cell r="M120">
            <v>0</v>
          </cell>
          <cell r="N120">
            <v>0</v>
          </cell>
          <cell r="O120">
            <v>0</v>
          </cell>
          <cell r="P120">
            <v>0</v>
          </cell>
          <cell r="Q120">
            <v>-1650000</v>
          </cell>
          <cell r="R120">
            <v>-1650000</v>
          </cell>
          <cell r="S120">
            <v>-15000000</v>
          </cell>
          <cell r="T120">
            <v>-15000000</v>
          </cell>
        </row>
        <row r="121">
          <cell r="A121" t="str">
            <v>TIGER AIRWAYS</v>
          </cell>
          <cell r="B121" t="str">
            <v>Singapore</v>
          </cell>
          <cell r="C121">
            <v>39264</v>
          </cell>
          <cell r="D121">
            <v>65000000</v>
          </cell>
          <cell r="E121">
            <v>600000000</v>
          </cell>
          <cell r="F121">
            <v>1.7500000000000002E-2</v>
          </cell>
          <cell r="G121">
            <v>1137500</v>
          </cell>
          <cell r="H121">
            <v>10500000.000000002</v>
          </cell>
          <cell r="I121">
            <v>11637500.000000002</v>
          </cell>
          <cell r="J121">
            <v>39630</v>
          </cell>
          <cell r="K121">
            <v>70000000</v>
          </cell>
          <cell r="L121">
            <v>600000000</v>
          </cell>
          <cell r="M121">
            <v>0.02</v>
          </cell>
          <cell r="N121">
            <v>1400000</v>
          </cell>
          <cell r="O121">
            <v>12000000</v>
          </cell>
          <cell r="P121">
            <v>13400000</v>
          </cell>
          <cell r="Q121">
            <v>262500</v>
          </cell>
          <cell r="R121">
            <v>262500</v>
          </cell>
          <cell r="S121">
            <v>1499999.9999999981</v>
          </cell>
          <cell r="T121">
            <v>1499999.9999999981</v>
          </cell>
        </row>
        <row r="122">
          <cell r="A122" t="str">
            <v>TRAVEL SERVIS/SMART WINGS/VISIG AIR</v>
          </cell>
          <cell r="B122" t="str">
            <v>Czecho</v>
          </cell>
          <cell r="C122">
            <v>39203</v>
          </cell>
          <cell r="D122">
            <v>70000000</v>
          </cell>
          <cell r="E122">
            <v>600000000</v>
          </cell>
          <cell r="F122">
            <v>0.02</v>
          </cell>
          <cell r="G122">
            <v>1400000</v>
          </cell>
          <cell r="H122">
            <v>12000000</v>
          </cell>
          <cell r="I122">
            <v>13400000</v>
          </cell>
          <cell r="M122">
            <v>0</v>
          </cell>
          <cell r="N122">
            <v>0</v>
          </cell>
          <cell r="O122">
            <v>0</v>
          </cell>
          <cell r="P122">
            <v>0</v>
          </cell>
          <cell r="Q122">
            <v>-1400000</v>
          </cell>
          <cell r="R122">
            <v>-1400000</v>
          </cell>
          <cell r="S122">
            <v>-12000000</v>
          </cell>
          <cell r="T122">
            <v>-12000000</v>
          </cell>
        </row>
        <row r="123">
          <cell r="A123" t="str">
            <v>TUNISIAN ARILINES</v>
          </cell>
          <cell r="B123" t="str">
            <v>Tunisia</v>
          </cell>
          <cell r="C123">
            <v>39052</v>
          </cell>
          <cell r="D123">
            <v>152100000</v>
          </cell>
          <cell r="E123">
            <v>1000000000</v>
          </cell>
          <cell r="F123">
            <v>0.01</v>
          </cell>
          <cell r="G123">
            <v>1521000</v>
          </cell>
          <cell r="H123">
            <v>10000000</v>
          </cell>
          <cell r="I123">
            <v>11521000</v>
          </cell>
          <cell r="M123">
            <v>0</v>
          </cell>
          <cell r="N123">
            <v>0</v>
          </cell>
          <cell r="O123">
            <v>0</v>
          </cell>
          <cell r="P123">
            <v>0</v>
          </cell>
          <cell r="Q123">
            <v>-1521000</v>
          </cell>
          <cell r="R123">
            <v>-1521000</v>
          </cell>
          <cell r="S123">
            <v>-10000000</v>
          </cell>
          <cell r="T123">
            <v>-10000000</v>
          </cell>
        </row>
        <row r="124">
          <cell r="A124" t="str">
            <v>VIETNAM AIRLINES</v>
          </cell>
          <cell r="B124" t="str">
            <v>Vietnam</v>
          </cell>
          <cell r="C124">
            <v>39083</v>
          </cell>
          <cell r="D124">
            <v>200000000</v>
          </cell>
          <cell r="E124">
            <v>1350000000</v>
          </cell>
          <cell r="F124">
            <v>1.2500000000000001E-2</v>
          </cell>
          <cell r="G124">
            <v>2500000</v>
          </cell>
          <cell r="H124">
            <v>16875000</v>
          </cell>
          <cell r="I124">
            <v>19375000</v>
          </cell>
          <cell r="J124">
            <v>39431</v>
          </cell>
          <cell r="K124">
            <v>200000000</v>
          </cell>
          <cell r="L124">
            <v>1500000000</v>
          </cell>
          <cell r="M124">
            <v>1.2500000000000001E-2</v>
          </cell>
          <cell r="N124">
            <v>2500000</v>
          </cell>
          <cell r="O124">
            <v>18750000</v>
          </cell>
          <cell r="P124">
            <v>21250000</v>
          </cell>
          <cell r="Q124">
            <v>0</v>
          </cell>
          <cell r="R124">
            <v>0</v>
          </cell>
          <cell r="S124">
            <v>1875000</v>
          </cell>
          <cell r="T124">
            <v>1875000</v>
          </cell>
        </row>
        <row r="125">
          <cell r="A125" t="str">
            <v>VLM Airlines/DENIM AIR</v>
          </cell>
          <cell r="B125" t="str">
            <v>Belgium</v>
          </cell>
          <cell r="C125">
            <v>39012</v>
          </cell>
          <cell r="D125">
            <v>15000000</v>
          </cell>
          <cell r="E125">
            <v>250000000</v>
          </cell>
          <cell r="F125">
            <v>0.02</v>
          </cell>
          <cell r="G125">
            <v>300000</v>
          </cell>
          <cell r="H125">
            <v>5000000</v>
          </cell>
          <cell r="I125">
            <v>5300000</v>
          </cell>
          <cell r="M125">
            <v>0</v>
          </cell>
          <cell r="N125">
            <v>0</v>
          </cell>
          <cell r="O125">
            <v>0</v>
          </cell>
          <cell r="P125">
            <v>0</v>
          </cell>
          <cell r="Q125">
            <v>-300000</v>
          </cell>
          <cell r="R125">
            <v>-300000</v>
          </cell>
          <cell r="S125">
            <v>-5000000</v>
          </cell>
          <cell r="T125">
            <v>-5000000</v>
          </cell>
        </row>
        <row r="126">
          <cell r="A126" t="str">
            <v>VUELLING AIRLINES</v>
          </cell>
          <cell r="B126" t="str">
            <v>Spain</v>
          </cell>
          <cell r="J126">
            <v>39587</v>
          </cell>
          <cell r="K126">
            <v>70000000</v>
          </cell>
          <cell r="L126">
            <v>600000000</v>
          </cell>
          <cell r="M126">
            <v>0.03</v>
          </cell>
          <cell r="N126">
            <v>2100000</v>
          </cell>
          <cell r="O126">
            <v>18000000</v>
          </cell>
          <cell r="P126">
            <v>20100000</v>
          </cell>
          <cell r="Q126">
            <v>2100000</v>
          </cell>
          <cell r="R126">
            <v>2100000</v>
          </cell>
          <cell r="S126">
            <v>18000000</v>
          </cell>
          <cell r="T126">
            <v>18000000</v>
          </cell>
        </row>
        <row r="127">
          <cell r="A127" t="str">
            <v>WIND JET S.P.A.</v>
          </cell>
          <cell r="B127" t="str">
            <v>Italy</v>
          </cell>
          <cell r="C127">
            <v>39237</v>
          </cell>
          <cell r="D127">
            <v>40000000</v>
          </cell>
          <cell r="E127">
            <v>600000000</v>
          </cell>
          <cell r="F127">
            <v>0.01</v>
          </cell>
          <cell r="G127">
            <v>400000</v>
          </cell>
          <cell r="H127">
            <v>6000000</v>
          </cell>
          <cell r="I127">
            <v>6400000</v>
          </cell>
          <cell r="M127">
            <v>0</v>
          </cell>
          <cell r="N127">
            <v>0</v>
          </cell>
          <cell r="O127">
            <v>0</v>
          </cell>
          <cell r="P127">
            <v>0</v>
          </cell>
          <cell r="Q127">
            <v>-400000</v>
          </cell>
          <cell r="R127">
            <v>-400000</v>
          </cell>
          <cell r="S127">
            <v>-6000000</v>
          </cell>
          <cell r="T127">
            <v>-6000000</v>
          </cell>
        </row>
        <row r="128">
          <cell r="A128" t="str">
            <v>WIZZ AIR</v>
          </cell>
          <cell r="B128" t="str">
            <v>Hungary</v>
          </cell>
          <cell r="C128">
            <v>39264</v>
          </cell>
          <cell r="D128">
            <v>70000000</v>
          </cell>
          <cell r="E128">
            <v>750000000</v>
          </cell>
          <cell r="F128">
            <v>1.7500000000000002E-2</v>
          </cell>
          <cell r="G128">
            <v>1225000.0000000002</v>
          </cell>
          <cell r="H128">
            <v>13125000.000000002</v>
          </cell>
          <cell r="I128">
            <v>14350000.000000002</v>
          </cell>
          <cell r="J128">
            <v>39630</v>
          </cell>
          <cell r="K128">
            <v>70000000</v>
          </cell>
          <cell r="L128">
            <v>750000000</v>
          </cell>
          <cell r="M128">
            <v>0.02</v>
          </cell>
          <cell r="N128">
            <v>1400000</v>
          </cell>
          <cell r="O128">
            <v>15000000</v>
          </cell>
          <cell r="P128">
            <v>16400000</v>
          </cell>
          <cell r="Q128">
            <v>174999.99999999977</v>
          </cell>
          <cell r="R128">
            <v>174999.99999999977</v>
          </cell>
          <cell r="S128">
            <v>1874999.9999999981</v>
          </cell>
          <cell r="T128">
            <v>1874999.9999999981</v>
          </cell>
        </row>
        <row r="129">
          <cell r="A129" t="str">
            <v>XL LEISURE</v>
          </cell>
          <cell r="B129" t="str">
            <v>UK</v>
          </cell>
          <cell r="J129">
            <v>39689</v>
          </cell>
          <cell r="K129">
            <v>130000000</v>
          </cell>
          <cell r="L129">
            <v>1000000000</v>
          </cell>
          <cell r="M129">
            <v>1.4999999999999999E-2</v>
          </cell>
          <cell r="N129">
            <v>1950000</v>
          </cell>
          <cell r="O129">
            <v>15000000</v>
          </cell>
          <cell r="P129">
            <v>16950000</v>
          </cell>
          <cell r="Q129">
            <v>1950000</v>
          </cell>
          <cell r="R129">
            <v>1950000</v>
          </cell>
          <cell r="S129">
            <v>15000000</v>
          </cell>
          <cell r="T129">
            <v>15000000</v>
          </cell>
        </row>
        <row r="130">
          <cell r="A130" t="str">
            <v>YEMENIA</v>
          </cell>
          <cell r="B130" t="str">
            <v>Middle East</v>
          </cell>
          <cell r="C130">
            <v>39037</v>
          </cell>
          <cell r="D130">
            <v>275000000</v>
          </cell>
          <cell r="E130">
            <v>2000000000</v>
          </cell>
          <cell r="F130">
            <v>8.6999999999999994E-3</v>
          </cell>
          <cell r="G130">
            <v>2392500</v>
          </cell>
          <cell r="H130">
            <v>17400000</v>
          </cell>
          <cell r="I130">
            <v>19792500</v>
          </cell>
          <cell r="M130">
            <v>0</v>
          </cell>
          <cell r="N130">
            <v>0</v>
          </cell>
          <cell r="O130">
            <v>0</v>
          </cell>
          <cell r="P130">
            <v>0</v>
          </cell>
          <cell r="Q130">
            <v>-2392500</v>
          </cell>
          <cell r="R130">
            <v>-2392500</v>
          </cell>
          <cell r="S130">
            <v>-17400000</v>
          </cell>
          <cell r="T130">
            <v>-17400000</v>
          </cell>
        </row>
      </sheetData>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 process"/>
      <sheetName val="Example data"/>
      <sheetName val="Inflation"/>
      <sheetName val="Motor Claims"/>
      <sheetName val="IBNER"/>
      <sheetName val="Loss database"/>
      <sheetName val="Claim count"/>
      <sheetName val="Payment Pattern"/>
      <sheetName val="Settlement Pattern"/>
    </sheetNames>
    <sheetDataSet>
      <sheetData sheetId="0" refreshError="1"/>
      <sheetData sheetId="1" refreshError="1"/>
      <sheetData sheetId="2" refreshError="1"/>
      <sheetData sheetId="3">
        <row r="10">
          <cell r="C10">
            <v>1998</v>
          </cell>
          <cell r="AC10" t="b">
            <v>1</v>
          </cell>
          <cell r="AD10" t="b">
            <v>0</v>
          </cell>
          <cell r="AF10">
            <v>1997</v>
          </cell>
          <cell r="AG10">
            <v>1997</v>
          </cell>
          <cell r="AH10">
            <v>150000</v>
          </cell>
          <cell r="AI10" t="str">
            <v>Rackham</v>
          </cell>
          <cell r="AJ10">
            <v>35522</v>
          </cell>
          <cell r="AK10">
            <v>4172217</v>
          </cell>
          <cell r="AL10" t="str">
            <v/>
          </cell>
          <cell r="AM10" t="str">
            <v>Link</v>
          </cell>
          <cell r="AN10" t="str">
            <v>Paid</v>
          </cell>
          <cell r="AO10">
            <v>0</v>
          </cell>
          <cell r="AP10">
            <v>0</v>
          </cell>
          <cell r="AQ10">
            <v>0</v>
          </cell>
          <cell r="AR10">
            <v>0</v>
          </cell>
          <cell r="AS10">
            <v>0</v>
          </cell>
          <cell r="AT10">
            <v>0</v>
          </cell>
          <cell r="AU10">
            <v>23347.622154066565</v>
          </cell>
          <cell r="AV10">
            <v>23599.660239295881</v>
          </cell>
          <cell r="AW10">
            <v>30754.576705864667</v>
          </cell>
          <cell r="AX10">
            <v>378543.41309077392</v>
          </cell>
          <cell r="AY10">
            <v>385799.1447914344</v>
          </cell>
          <cell r="AZ10">
            <v>385799.1447914344</v>
          </cell>
          <cell r="BA10">
            <v>385799.1447914344</v>
          </cell>
          <cell r="BB10">
            <v>385799.1447914344</v>
          </cell>
          <cell r="BC10">
            <v>385799.1447914344</v>
          </cell>
          <cell r="BD10">
            <v>385799.1447914344</v>
          </cell>
          <cell r="BE10">
            <v>385799.1447914344</v>
          </cell>
          <cell r="BF10">
            <v>10</v>
          </cell>
          <cell r="BK10">
            <v>35522</v>
          </cell>
          <cell r="BL10">
            <v>1997</v>
          </cell>
          <cell r="BM10" t="str">
            <v>Paid</v>
          </cell>
          <cell r="BN10">
            <v>1998</v>
          </cell>
          <cell r="BO10">
            <v>7959</v>
          </cell>
          <cell r="BR10">
            <v>10372</v>
          </cell>
          <cell r="BU10">
            <v>127664</v>
          </cell>
          <cell r="BX10">
            <v>130111</v>
          </cell>
          <cell r="CA10">
            <v>130111</v>
          </cell>
          <cell r="CD10">
            <v>130111</v>
          </cell>
          <cell r="CG10">
            <v>130111</v>
          </cell>
          <cell r="CJ10">
            <v>130111</v>
          </cell>
          <cell r="CM10">
            <v>130111</v>
          </cell>
          <cell r="CP10" t="str">
            <v/>
          </cell>
          <cell r="CS10" t="str">
            <v/>
          </cell>
          <cell r="CV10" t="str">
            <v/>
          </cell>
          <cell r="CY10" t="str">
            <v/>
          </cell>
          <cell r="DB10" t="str">
            <v/>
          </cell>
          <cell r="DE10" t="str">
            <v/>
          </cell>
          <cell r="DH10" t="str">
            <v/>
          </cell>
        </row>
        <row r="11">
          <cell r="C11">
            <v>1998</v>
          </cell>
          <cell r="AC11" t="b">
            <v>1</v>
          </cell>
          <cell r="AD11" t="b">
            <v>0</v>
          </cell>
          <cell r="AF11">
            <v>1997</v>
          </cell>
          <cell r="AG11">
            <v>1997</v>
          </cell>
          <cell r="AH11">
            <v>150000</v>
          </cell>
          <cell r="AI11" t="str">
            <v/>
          </cell>
          <cell r="AJ11">
            <v>35522</v>
          </cell>
          <cell r="AK11" t="str">
            <v/>
          </cell>
          <cell r="AL11" t="str">
            <v/>
          </cell>
          <cell r="AM11" t="str">
            <v>Link</v>
          </cell>
          <cell r="AN11" t="str">
            <v>O/S</v>
          </cell>
          <cell r="AO11">
            <v>0</v>
          </cell>
          <cell r="AP11">
            <v>0</v>
          </cell>
          <cell r="AQ11">
            <v>0</v>
          </cell>
          <cell r="AR11">
            <v>0</v>
          </cell>
          <cell r="AS11">
            <v>0</v>
          </cell>
          <cell r="AT11">
            <v>0</v>
          </cell>
          <cell r="AU11">
            <v>148257.69719371706</v>
          </cell>
          <cell r="AV11">
            <v>593030.78877486824</v>
          </cell>
          <cell r="AW11">
            <v>1186061.5775497365</v>
          </cell>
          <cell r="AX11">
            <v>29651.539438743413</v>
          </cell>
          <cell r="AY11">
            <v>0</v>
          </cell>
          <cell r="AZ11">
            <v>0</v>
          </cell>
          <cell r="BA11">
            <v>0</v>
          </cell>
          <cell r="BB11">
            <v>0</v>
          </cell>
          <cell r="BC11">
            <v>0</v>
          </cell>
          <cell r="BD11">
            <v>0</v>
          </cell>
          <cell r="BE11">
            <v>0</v>
          </cell>
          <cell r="BF11">
            <v>10</v>
          </cell>
          <cell r="BK11">
            <v>35522</v>
          </cell>
          <cell r="BL11">
            <v>1997</v>
          </cell>
          <cell r="BM11" t="str">
            <v>O/S</v>
          </cell>
          <cell r="BN11">
            <v>1998</v>
          </cell>
          <cell r="BO11">
            <v>200000</v>
          </cell>
          <cell r="BR11">
            <v>400000</v>
          </cell>
          <cell r="BU11">
            <v>10000</v>
          </cell>
          <cell r="BX11">
            <v>0</v>
          </cell>
          <cell r="CA11">
            <v>0</v>
          </cell>
          <cell r="CD11">
            <v>0</v>
          </cell>
          <cell r="CG11">
            <v>0</v>
          </cell>
          <cell r="CJ11">
            <v>0</v>
          </cell>
          <cell r="CM11">
            <v>0</v>
          </cell>
          <cell r="CP11" t="str">
            <v/>
          </cell>
          <cell r="CS11" t="str">
            <v/>
          </cell>
          <cell r="CV11" t="str">
            <v/>
          </cell>
          <cell r="CY11" t="str">
            <v/>
          </cell>
          <cell r="DB11" t="str">
            <v/>
          </cell>
          <cell r="DE11" t="str">
            <v/>
          </cell>
          <cell r="DH11" t="str">
            <v/>
          </cell>
        </row>
        <row r="12">
          <cell r="C12">
            <v>1998</v>
          </cell>
          <cell r="AC12" t="b">
            <v>1</v>
          </cell>
          <cell r="AD12" t="b">
            <v>0</v>
          </cell>
          <cell r="AF12">
            <v>1997</v>
          </cell>
          <cell r="AG12">
            <v>1997</v>
          </cell>
          <cell r="AH12">
            <v>150000</v>
          </cell>
          <cell r="AI12" t="str">
            <v/>
          </cell>
          <cell r="AJ12">
            <v>35522</v>
          </cell>
          <cell r="AK12" t="str">
            <v/>
          </cell>
          <cell r="AL12" t="str">
            <v/>
          </cell>
          <cell r="AM12" t="str">
            <v>Link</v>
          </cell>
          <cell r="AN12" t="str">
            <v>Incurred</v>
          </cell>
          <cell r="AO12">
            <v>0</v>
          </cell>
          <cell r="AP12">
            <v>0</v>
          </cell>
          <cell r="AQ12">
            <v>0</v>
          </cell>
          <cell r="AR12">
            <v>0</v>
          </cell>
          <cell r="AS12">
            <v>0</v>
          </cell>
          <cell r="AT12">
            <v>0</v>
          </cell>
          <cell r="AU12">
            <v>171605.31934778363</v>
          </cell>
          <cell r="AV12">
            <v>616630.44901416416</v>
          </cell>
          <cell r="AW12">
            <v>1216816.1542556011</v>
          </cell>
          <cell r="AX12">
            <v>408194.95252951729</v>
          </cell>
          <cell r="AY12">
            <v>385799.1447914344</v>
          </cell>
          <cell r="AZ12">
            <v>385799.1447914344</v>
          </cell>
          <cell r="BA12">
            <v>385799.1447914344</v>
          </cell>
          <cell r="BB12">
            <v>385799.1447914344</v>
          </cell>
          <cell r="BC12">
            <v>385799.1447914344</v>
          </cell>
          <cell r="BD12">
            <v>385799.1447914344</v>
          </cell>
          <cell r="BE12">
            <v>385799.1447914344</v>
          </cell>
          <cell r="BF12">
            <v>10</v>
          </cell>
          <cell r="BG12">
            <v>0</v>
          </cell>
          <cell r="BH12">
            <v>1</v>
          </cell>
          <cell r="BI12">
            <v>385799.1447914344</v>
          </cell>
          <cell r="BK12">
            <v>35522</v>
          </cell>
          <cell r="BL12">
            <v>1997</v>
          </cell>
          <cell r="BM12" t="str">
            <v>Incurred</v>
          </cell>
          <cell r="BN12">
            <v>1998</v>
          </cell>
          <cell r="BO12">
            <v>207959</v>
          </cell>
          <cell r="BP12">
            <v>0.96172803292956788</v>
          </cell>
          <cell r="BQ12">
            <v>1.9733312816468631</v>
          </cell>
          <cell r="BR12">
            <v>410372</v>
          </cell>
          <cell r="BS12">
            <v>0.974725371126685</v>
          </cell>
          <cell r="BT12">
            <v>0.33546148372695994</v>
          </cell>
          <cell r="BU12">
            <v>137664</v>
          </cell>
          <cell r="BV12">
            <v>7.2640632264063226E-2</v>
          </cell>
          <cell r="BW12">
            <v>0.94513453045095308</v>
          </cell>
          <cell r="BX12">
            <v>130111</v>
          </cell>
          <cell r="BY12">
            <v>0</v>
          </cell>
          <cell r="BZ12">
            <v>1</v>
          </cell>
          <cell r="CA12">
            <v>130111</v>
          </cell>
          <cell r="CB12">
            <v>0</v>
          </cell>
          <cell r="CC12">
            <v>1</v>
          </cell>
          <cell r="CD12">
            <v>130111</v>
          </cell>
          <cell r="CE12">
            <v>0</v>
          </cell>
          <cell r="CF12">
            <v>1</v>
          </cell>
          <cell r="CG12">
            <v>130111</v>
          </cell>
          <cell r="CH12">
            <v>0</v>
          </cell>
          <cell r="CI12">
            <v>1</v>
          </cell>
          <cell r="CJ12">
            <v>130111</v>
          </cell>
          <cell r="CK12">
            <v>0</v>
          </cell>
          <cell r="CL12">
            <v>1</v>
          </cell>
          <cell r="CM12">
            <v>130111</v>
          </cell>
          <cell r="CN12">
            <v>0</v>
          </cell>
          <cell r="CO12" t="str">
            <v/>
          </cell>
          <cell r="CP12" t="str">
            <v/>
          </cell>
          <cell r="CQ12" t="str">
            <v/>
          </cell>
          <cell r="CR12" t="str">
            <v/>
          </cell>
          <cell r="CS12" t="str">
            <v/>
          </cell>
          <cell r="CT12" t="str">
            <v/>
          </cell>
          <cell r="CU12" t="str">
            <v/>
          </cell>
          <cell r="CV12" t="str">
            <v/>
          </cell>
          <cell r="CW12" t="str">
            <v/>
          </cell>
          <cell r="CX12" t="str">
            <v/>
          </cell>
          <cell r="CY12" t="str">
            <v/>
          </cell>
          <cell r="CZ12" t="str">
            <v/>
          </cell>
          <cell r="DA12" t="str">
            <v/>
          </cell>
          <cell r="DB12" t="str">
            <v/>
          </cell>
          <cell r="DC12" t="str">
            <v/>
          </cell>
          <cell r="DD12" t="str">
            <v/>
          </cell>
          <cell r="DE12" t="str">
            <v/>
          </cell>
          <cell r="DF12" t="str">
            <v/>
          </cell>
          <cell r="DG12" t="str">
            <v/>
          </cell>
          <cell r="DH12" t="str">
            <v/>
          </cell>
          <cell r="DI12" t="str">
            <v/>
          </cell>
        </row>
      </sheetData>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frontsheet"/>
      <sheetName val="Workbook map"/>
      <sheetName val="Inflation data"/>
      <sheetName val="IBNER scratchpad"/>
      <sheetName val="Input data"/>
      <sheetName val="Pivot - Frequency 1"/>
      <sheetName val="Pivot - Frequency 2"/>
      <sheetName val="Exhibit - Freq + tot claims"/>
      <sheetName val="Pivot - Rep pattern"/>
      <sheetName val="Pivot - Rep patt months"/>
      <sheetName val="Exhibit - Reporting pattern"/>
      <sheetName val="Pivot - Delay"/>
      <sheetName val="Exhibit - Delay"/>
      <sheetName val="Pivot - Severity"/>
      <sheetName val="Pivot - Monthly severity"/>
      <sheetName val="Median calcs"/>
      <sheetName val="Exhibit - Severity"/>
    </sheetNames>
    <sheetDataSet>
      <sheetData sheetId="0"/>
      <sheetData sheetId="1"/>
      <sheetData sheetId="2"/>
      <sheetData sheetId="3">
        <row r="6">
          <cell r="C6">
            <v>1999</v>
          </cell>
          <cell r="D6">
            <v>1</v>
          </cell>
        </row>
        <row r="7">
          <cell r="C7">
            <v>2000</v>
          </cell>
          <cell r="D7">
            <v>1</v>
          </cell>
        </row>
        <row r="8">
          <cell r="C8">
            <v>2001</v>
          </cell>
          <cell r="D8">
            <v>1</v>
          </cell>
        </row>
        <row r="9">
          <cell r="C9">
            <v>2002</v>
          </cell>
          <cell r="D9">
            <v>1</v>
          </cell>
        </row>
        <row r="10">
          <cell r="C10">
            <v>2003</v>
          </cell>
          <cell r="D10">
            <v>1</v>
          </cell>
        </row>
        <row r="11">
          <cell r="C11">
            <v>2004</v>
          </cell>
          <cell r="D11">
            <v>1</v>
          </cell>
        </row>
        <row r="12">
          <cell r="C12">
            <v>2005</v>
          </cell>
          <cell r="D12">
            <v>0.91656738687807249</v>
          </cell>
        </row>
        <row r="13">
          <cell r="C13">
            <v>2006</v>
          </cell>
          <cell r="D13">
            <v>0.86062468297349548</v>
          </cell>
        </row>
        <row r="14">
          <cell r="C14">
            <v>2007</v>
          </cell>
          <cell r="D14">
            <v>0.8101765121057577</v>
          </cell>
        </row>
        <row r="15">
          <cell r="C15">
            <v>2008</v>
          </cell>
          <cell r="D15">
            <v>0.68937464129221804</v>
          </cell>
        </row>
        <row r="16">
          <cell r="C16">
            <v>2009</v>
          </cell>
          <cell r="D16">
            <v>0.65064162951609095</v>
          </cell>
        </row>
        <row r="17">
          <cell r="C17">
            <v>2010</v>
          </cell>
          <cell r="D17">
            <v>0.565016608675452</v>
          </cell>
        </row>
        <row r="18">
          <cell r="C18">
            <v>2011</v>
          </cell>
          <cell r="D18">
            <v>0.48994150555687599</v>
          </cell>
        </row>
        <row r="19">
          <cell r="C19">
            <v>2012</v>
          </cell>
          <cell r="D19">
            <v>0.41486640243830197</v>
          </cell>
        </row>
      </sheetData>
      <sheetData sheetId="4">
        <row r="5">
          <cell r="F5">
            <v>4</v>
          </cell>
        </row>
        <row r="7">
          <cell r="F7">
            <v>15</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EXHIBIT"/>
      <sheetName val="CHART"/>
      <sheetName val="@Risk Output"/>
      <sheetName val="Claims simulation"/>
      <sheetName val="Layer 1"/>
      <sheetName val="Layer 2"/>
      <sheetName val="Layer 3"/>
      <sheetName val="Layer 4"/>
      <sheetName val="Layer 5"/>
      <sheetName val="Layer 6"/>
      <sheetName val="Layer 7"/>
      <sheetName val="Layer 8"/>
    </sheetNames>
    <sheetDataSet>
      <sheetData sheetId="0"/>
      <sheetData sheetId="1" refreshError="1"/>
      <sheetData sheetId="2" refreshError="1"/>
      <sheetData sheetId="3"/>
      <sheetData sheetId="4" refreshError="1"/>
      <sheetData sheetId="5" refreshError="1"/>
      <sheetData sheetId="6">
        <row r="9">
          <cell r="E9">
            <v>69195.034562422894</v>
          </cell>
          <cell r="F9">
            <v>677521.48576242302</v>
          </cell>
          <cell r="G9">
            <v>1310180.9950104232</v>
          </cell>
          <cell r="H9">
            <v>1310180.9950104232</v>
          </cell>
          <cell r="I9">
            <v>1310180.9950104232</v>
          </cell>
          <cell r="J9">
            <v>1310180.9950104232</v>
          </cell>
          <cell r="K9">
            <v>1310180.9950104232</v>
          </cell>
          <cell r="L9">
            <v>1310180.9950104232</v>
          </cell>
          <cell r="M9">
            <v>1310180.9950104232</v>
          </cell>
          <cell r="N9">
            <v>1310180.9950104232</v>
          </cell>
          <cell r="O9">
            <v>1310180.9950104232</v>
          </cell>
          <cell r="P9">
            <v>1310180.9950104232</v>
          </cell>
          <cell r="Q9">
            <v>1310180.9950104232</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E12">
            <v>0</v>
          </cell>
          <cell r="F12">
            <v>0</v>
          </cell>
          <cell r="G12">
            <v>0</v>
          </cell>
          <cell r="H12">
            <v>0</v>
          </cell>
          <cell r="I12">
            <v>0</v>
          </cell>
          <cell r="J12">
            <v>0</v>
          </cell>
          <cell r="K12">
            <v>0</v>
          </cell>
          <cell r="L12">
            <v>0</v>
          </cell>
          <cell r="M12">
            <v>0</v>
          </cell>
          <cell r="N12">
            <v>0</v>
          </cell>
          <cell r="O12">
            <v>0</v>
          </cell>
          <cell r="P12">
            <v>0</v>
          </cell>
          <cell r="Q12">
            <v>0</v>
          </cell>
        </row>
        <row r="15">
          <cell r="D15">
            <v>0</v>
          </cell>
          <cell r="E15">
            <v>0</v>
          </cell>
          <cell r="F15">
            <v>0</v>
          </cell>
          <cell r="G15">
            <v>0</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608326.45120000013</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69195.034562422894</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632659.50924800022</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7">
        <row r="9">
          <cell r="E9">
            <v>0</v>
          </cell>
          <cell r="F9">
            <v>1520816.1280000005</v>
          </cell>
          <cell r="G9">
            <v>3102464.901120001</v>
          </cell>
          <cell r="H9">
            <v>3102464.901120001</v>
          </cell>
          <cell r="I9">
            <v>3102464.901120001</v>
          </cell>
          <cell r="J9">
            <v>3102464.901120001</v>
          </cell>
          <cell r="K9">
            <v>3102464.901120001</v>
          </cell>
          <cell r="L9">
            <v>3102464.901120001</v>
          </cell>
          <cell r="M9">
            <v>3102464.901120001</v>
          </cell>
          <cell r="N9">
            <v>3102464.901120001</v>
          </cell>
          <cell r="O9">
            <v>3102464.901120001</v>
          </cell>
          <cell r="P9">
            <v>3102464.901120001</v>
          </cell>
          <cell r="Q9">
            <v>3102464.901120001</v>
          </cell>
        </row>
        <row r="11">
          <cell r="D11">
            <v>0</v>
          </cell>
          <cell r="E11">
            <v>0</v>
          </cell>
          <cell r="F11">
            <v>1520816.1280000005</v>
          </cell>
          <cell r="G11">
            <v>3102464.901120001</v>
          </cell>
          <cell r="H11">
            <v>3102464.901120001</v>
          </cell>
          <cell r="I11">
            <v>3102464.901120001</v>
          </cell>
          <cell r="J11">
            <v>3102464.901120001</v>
          </cell>
          <cell r="K11">
            <v>3102464.901120001</v>
          </cell>
          <cell r="L11">
            <v>3102464.901120001</v>
          </cell>
          <cell r="M11">
            <v>3102464.901120001</v>
          </cell>
          <cell r="N11">
            <v>3102464.901120001</v>
          </cell>
          <cell r="O11">
            <v>3102464.901120001</v>
          </cell>
          <cell r="P11">
            <v>3102464.901120001</v>
          </cell>
          <cell r="Q11">
            <v>3102464.901120001</v>
          </cell>
        </row>
        <row r="12">
          <cell r="E12">
            <v>0</v>
          </cell>
          <cell r="F12">
            <v>1520816.1280000005</v>
          </cell>
          <cell r="G12">
            <v>1581648.7731200005</v>
          </cell>
          <cell r="H12">
            <v>0</v>
          </cell>
          <cell r="I12">
            <v>0</v>
          </cell>
          <cell r="J12">
            <v>0</v>
          </cell>
          <cell r="K12">
            <v>0</v>
          </cell>
          <cell r="L12">
            <v>0</v>
          </cell>
          <cell r="M12">
            <v>0</v>
          </cell>
          <cell r="N12">
            <v>0</v>
          </cell>
          <cell r="O12">
            <v>0</v>
          </cell>
          <cell r="P12">
            <v>0</v>
          </cell>
          <cell r="Q12">
            <v>0</v>
          </cell>
        </row>
        <row r="15">
          <cell r="D15">
            <v>0</v>
          </cell>
          <cell r="E15">
            <v>0</v>
          </cell>
          <cell r="F15">
            <v>1282077.1581958802</v>
          </cell>
          <cell r="G15">
            <v>1269866.8995463958</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1520816.1280000005</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1581648.7731200005</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8">
        <row r="9">
          <cell r="E9">
            <v>0</v>
          </cell>
          <cell r="F9">
            <v>1216652.9024000003</v>
          </cell>
          <cell r="G9">
            <v>2481971.9208960007</v>
          </cell>
          <cell r="H9">
            <v>2481971.9208960007</v>
          </cell>
          <cell r="I9">
            <v>2481971.9208960007</v>
          </cell>
          <cell r="J9">
            <v>2481971.9208960007</v>
          </cell>
          <cell r="K9">
            <v>2481971.9208960007</v>
          </cell>
          <cell r="L9">
            <v>2481971.9208960007</v>
          </cell>
          <cell r="M9">
            <v>2481971.9208960007</v>
          </cell>
          <cell r="N9">
            <v>2481971.9208960007</v>
          </cell>
          <cell r="O9">
            <v>2481971.9208960007</v>
          </cell>
          <cell r="P9">
            <v>2481971.9208960007</v>
          </cell>
          <cell r="Q9">
            <v>2481971.9208960007</v>
          </cell>
        </row>
        <row r="11">
          <cell r="D11">
            <v>0</v>
          </cell>
          <cell r="E11">
            <v>0</v>
          </cell>
          <cell r="F11">
            <v>1216652.9024000003</v>
          </cell>
          <cell r="G11">
            <v>2481971.9208960007</v>
          </cell>
          <cell r="H11">
            <v>2481971.9208960007</v>
          </cell>
          <cell r="I11">
            <v>2481971.9208960007</v>
          </cell>
          <cell r="J11">
            <v>2481971.9208960007</v>
          </cell>
          <cell r="K11">
            <v>2481971.9208960007</v>
          </cell>
          <cell r="L11">
            <v>2481971.9208960007</v>
          </cell>
          <cell r="M11">
            <v>2481971.9208960007</v>
          </cell>
          <cell r="N11">
            <v>2481971.9208960007</v>
          </cell>
          <cell r="O11">
            <v>2481971.9208960007</v>
          </cell>
          <cell r="P11">
            <v>2481971.9208960007</v>
          </cell>
          <cell r="Q11">
            <v>2481971.9208960007</v>
          </cell>
        </row>
        <row r="12">
          <cell r="E12">
            <v>0</v>
          </cell>
          <cell r="F12">
            <v>1216652.9024000003</v>
          </cell>
          <cell r="G12">
            <v>1265319.0184960004</v>
          </cell>
          <cell r="H12">
            <v>0</v>
          </cell>
          <cell r="I12">
            <v>0</v>
          </cell>
          <cell r="J12">
            <v>0</v>
          </cell>
          <cell r="K12">
            <v>0</v>
          </cell>
          <cell r="L12">
            <v>0</v>
          </cell>
          <cell r="M12">
            <v>0</v>
          </cell>
          <cell r="N12">
            <v>0</v>
          </cell>
          <cell r="O12">
            <v>0</v>
          </cell>
          <cell r="P12">
            <v>0</v>
          </cell>
          <cell r="Q12">
            <v>0</v>
          </cell>
        </row>
        <row r="15">
          <cell r="D15">
            <v>0</v>
          </cell>
          <cell r="E15">
            <v>0</v>
          </cell>
          <cell r="F15">
            <v>1025661.726556704</v>
          </cell>
          <cell r="G15">
            <v>1015893.5196371167</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1216652.9024000003</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1265319.0184960004</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9">
        <row r="9">
          <cell r="E9">
            <v>0</v>
          </cell>
          <cell r="F9">
            <v>1588503.7160939602</v>
          </cell>
          <cell r="G9">
            <v>1871034.8611130975</v>
          </cell>
          <cell r="H9">
            <v>1871034.8611130975</v>
          </cell>
          <cell r="I9">
            <v>1871034.8611130975</v>
          </cell>
          <cell r="J9">
            <v>1871034.8611130975</v>
          </cell>
          <cell r="K9">
            <v>1871034.8611130975</v>
          </cell>
          <cell r="L9">
            <v>1871034.8611130975</v>
          </cell>
          <cell r="M9">
            <v>1871034.8611130975</v>
          </cell>
          <cell r="N9">
            <v>1871034.8611130975</v>
          </cell>
          <cell r="O9">
            <v>1871034.8611130975</v>
          </cell>
          <cell r="P9">
            <v>1871034.8611130975</v>
          </cell>
          <cell r="Q9">
            <v>1871034.8611130975</v>
          </cell>
        </row>
        <row r="11">
          <cell r="D11">
            <v>0</v>
          </cell>
          <cell r="E11">
            <v>0</v>
          </cell>
          <cell r="F11">
            <v>1588503.7160939602</v>
          </cell>
          <cell r="G11">
            <v>1871034.8611130975</v>
          </cell>
          <cell r="H11">
            <v>1871034.8611130975</v>
          </cell>
          <cell r="I11">
            <v>1871034.8611130975</v>
          </cell>
          <cell r="J11">
            <v>1871034.8611130975</v>
          </cell>
          <cell r="K11">
            <v>1871034.8611130975</v>
          </cell>
          <cell r="L11">
            <v>1871034.8611130975</v>
          </cell>
          <cell r="M11">
            <v>1871034.8611130975</v>
          </cell>
          <cell r="N11">
            <v>1871034.8611130975</v>
          </cell>
          <cell r="O11">
            <v>1871034.8611130975</v>
          </cell>
          <cell r="P11">
            <v>1871034.8611130975</v>
          </cell>
          <cell r="Q11">
            <v>1871034.8611130975</v>
          </cell>
        </row>
        <row r="12">
          <cell r="E12">
            <v>0</v>
          </cell>
          <cell r="F12">
            <v>1588503.7160939602</v>
          </cell>
          <cell r="G12">
            <v>282531.1450191373</v>
          </cell>
          <cell r="H12">
            <v>0</v>
          </cell>
          <cell r="I12">
            <v>0</v>
          </cell>
          <cell r="J12">
            <v>0</v>
          </cell>
          <cell r="K12">
            <v>0</v>
          </cell>
          <cell r="L12">
            <v>0</v>
          </cell>
          <cell r="M12">
            <v>0</v>
          </cell>
          <cell r="N12">
            <v>0</v>
          </cell>
          <cell r="O12">
            <v>0</v>
          </cell>
          <cell r="P12">
            <v>0</v>
          </cell>
          <cell r="Q12">
            <v>0</v>
          </cell>
        </row>
        <row r="15">
          <cell r="D15">
            <v>0</v>
          </cell>
          <cell r="E15">
            <v>0</v>
          </cell>
          <cell r="F15">
            <v>1339139.0928971916</v>
          </cell>
          <cell r="G15">
            <v>226837.30752878371</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1588503.7160939602</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282531.1450191373</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10">
        <row r="9">
          <cell r="E9">
            <v>0</v>
          </cell>
          <cell r="F9">
            <v>0</v>
          </cell>
          <cell r="G9">
            <v>0</v>
          </cell>
          <cell r="H9">
            <v>0</v>
          </cell>
          <cell r="I9">
            <v>0</v>
          </cell>
          <cell r="J9">
            <v>0</v>
          </cell>
          <cell r="K9">
            <v>0</v>
          </cell>
          <cell r="L9">
            <v>0</v>
          </cell>
          <cell r="M9">
            <v>0</v>
          </cell>
          <cell r="N9">
            <v>0</v>
          </cell>
          <cell r="O9">
            <v>0</v>
          </cell>
          <cell r="P9">
            <v>0</v>
          </cell>
          <cell r="Q9">
            <v>0</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E12">
            <v>0</v>
          </cell>
          <cell r="F12">
            <v>0</v>
          </cell>
          <cell r="G12">
            <v>0</v>
          </cell>
          <cell r="H12">
            <v>0</v>
          </cell>
          <cell r="I12">
            <v>0</v>
          </cell>
          <cell r="J12">
            <v>0</v>
          </cell>
          <cell r="K12">
            <v>0</v>
          </cell>
          <cell r="L12">
            <v>0</v>
          </cell>
          <cell r="M12">
            <v>0</v>
          </cell>
          <cell r="N12">
            <v>0</v>
          </cell>
          <cell r="O12">
            <v>0</v>
          </cell>
          <cell r="P12">
            <v>0</v>
          </cell>
          <cell r="Q12">
            <v>0</v>
          </cell>
        </row>
        <row r="15">
          <cell r="D15">
            <v>0</v>
          </cell>
          <cell r="E15">
            <v>0</v>
          </cell>
          <cell r="F15">
            <v>0</v>
          </cell>
          <cell r="G15">
            <v>0</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11">
        <row r="9">
          <cell r="E9">
            <v>0</v>
          </cell>
          <cell r="F9">
            <v>0</v>
          </cell>
          <cell r="G9">
            <v>0</v>
          </cell>
          <cell r="H9">
            <v>0</v>
          </cell>
          <cell r="I9">
            <v>0</v>
          </cell>
          <cell r="J9">
            <v>0</v>
          </cell>
          <cell r="K9">
            <v>0</v>
          </cell>
          <cell r="L9">
            <v>0</v>
          </cell>
          <cell r="M9">
            <v>0</v>
          </cell>
          <cell r="N9">
            <v>0</v>
          </cell>
          <cell r="O9">
            <v>0</v>
          </cell>
          <cell r="P9">
            <v>0</v>
          </cell>
          <cell r="Q9">
            <v>0</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E12">
            <v>0</v>
          </cell>
          <cell r="F12">
            <v>0</v>
          </cell>
          <cell r="G12">
            <v>0</v>
          </cell>
          <cell r="H12">
            <v>0</v>
          </cell>
          <cell r="I12">
            <v>0</v>
          </cell>
          <cell r="J12">
            <v>0</v>
          </cell>
          <cell r="K12">
            <v>0</v>
          </cell>
          <cell r="L12">
            <v>0</v>
          </cell>
          <cell r="M12">
            <v>0</v>
          </cell>
          <cell r="N12">
            <v>0</v>
          </cell>
          <cell r="O12">
            <v>0</v>
          </cell>
          <cell r="P12">
            <v>0</v>
          </cell>
          <cell r="Q12">
            <v>0</v>
          </cell>
        </row>
        <row r="15">
          <cell r="D15">
            <v>0</v>
          </cell>
          <cell r="E15">
            <v>0</v>
          </cell>
          <cell r="F15">
            <v>0</v>
          </cell>
          <cell r="G15">
            <v>0</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 sheetId="12">
        <row r="9">
          <cell r="E9">
            <v>0</v>
          </cell>
          <cell r="F9">
            <v>0</v>
          </cell>
          <cell r="G9">
            <v>0</v>
          </cell>
          <cell r="H9">
            <v>0</v>
          </cell>
          <cell r="I9">
            <v>0</v>
          </cell>
          <cell r="J9">
            <v>0</v>
          </cell>
          <cell r="K9">
            <v>0</v>
          </cell>
          <cell r="L9">
            <v>0</v>
          </cell>
          <cell r="M9">
            <v>0</v>
          </cell>
          <cell r="N9">
            <v>0</v>
          </cell>
          <cell r="O9">
            <v>0</v>
          </cell>
          <cell r="P9">
            <v>0</v>
          </cell>
          <cell r="Q9">
            <v>0</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E12">
            <v>0</v>
          </cell>
          <cell r="F12">
            <v>0</v>
          </cell>
          <cell r="G12">
            <v>0</v>
          </cell>
          <cell r="H12">
            <v>0</v>
          </cell>
          <cell r="I12">
            <v>0</v>
          </cell>
          <cell r="J12">
            <v>0</v>
          </cell>
          <cell r="K12">
            <v>0</v>
          </cell>
          <cell r="L12">
            <v>0</v>
          </cell>
          <cell r="M12">
            <v>0</v>
          </cell>
          <cell r="N12">
            <v>0</v>
          </cell>
          <cell r="O12">
            <v>0</v>
          </cell>
          <cell r="P12">
            <v>0</v>
          </cell>
          <cell r="Q12">
            <v>0</v>
          </cell>
        </row>
        <row r="15">
          <cell r="D15">
            <v>0</v>
          </cell>
          <cell r="E15">
            <v>0</v>
          </cell>
          <cell r="F15">
            <v>0</v>
          </cell>
          <cell r="G15">
            <v>0</v>
          </cell>
          <cell r="H15">
            <v>0</v>
          </cell>
          <cell r="I15">
            <v>0</v>
          </cell>
          <cell r="J15">
            <v>0</v>
          </cell>
          <cell r="K15">
            <v>0</v>
          </cell>
          <cell r="L15">
            <v>0</v>
          </cell>
          <cell r="M15">
            <v>0</v>
          </cell>
          <cell r="N15">
            <v>0</v>
          </cell>
          <cell r="O15">
            <v>0</v>
          </cell>
          <cell r="P15">
            <v>0</v>
          </cell>
          <cell r="Q15">
            <v>0</v>
          </cell>
        </row>
        <row r="20">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row>
        <row r="107">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Fit"/>
    </sheetNames>
    <sheetDataSet>
      <sheetData sheetId="0"/>
      <sheetData sheetId="1">
        <row r="12">
          <cell r="D12" t="str">
            <v>no</v>
          </cell>
        </row>
        <row r="16">
          <cell r="B16" t="str">
            <v>BetaGeneral(0.85675, 1.7674, 33352, 144204)</v>
          </cell>
          <cell r="E16">
            <v>1.0000000000000001E+300</v>
          </cell>
          <cell r="G16">
            <v>8.736583824957378E-2</v>
          </cell>
          <cell r="I16">
            <v>6.9423076923076934</v>
          </cell>
        </row>
        <row r="17">
          <cell r="B17" t="str">
            <v>Expon(35894) Shift=+32661</v>
          </cell>
          <cell r="E17">
            <v>1.3502596176414485</v>
          </cell>
          <cell r="G17">
            <v>0.14827512275848909</v>
          </cell>
          <cell r="I17">
            <v>5.4615384615384679</v>
          </cell>
        </row>
        <row r="18">
          <cell r="B18" t="str">
            <v>ExtValue(57103, 19906)</v>
          </cell>
          <cell r="E18">
            <v>0.57020651824685586</v>
          </cell>
          <cell r="G18">
            <v>8.6990841896833149E-2</v>
          </cell>
          <cell r="I18">
            <v>4.0769230769230722</v>
          </cell>
        </row>
        <row r="19">
          <cell r="B19" t="str">
            <v>InvGauss(47174, 119448) Shift=+22071</v>
          </cell>
          <cell r="E19">
            <v>0.2926112448677145</v>
          </cell>
          <cell r="G19">
            <v>6.8357603934567412E-2</v>
          </cell>
          <cell r="I19">
            <v>1.6538461538461531</v>
          </cell>
        </row>
        <row r="20">
          <cell r="B20" t="str">
            <v>Logistic(66291, 15235)</v>
          </cell>
          <cell r="E20">
            <v>1.1687320831400569</v>
          </cell>
          <cell r="G20">
            <v>0.1036041312125812</v>
          </cell>
          <cell r="I20">
            <v>17.230769230769234</v>
          </cell>
        </row>
        <row r="21">
          <cell r="B21" t="str">
            <v>LogLogistic(28097, 33572, 2.3760)</v>
          </cell>
          <cell r="E21">
            <v>0.37366132945184205</v>
          </cell>
          <cell r="G21">
            <v>7.8407650112536503E-2</v>
          </cell>
          <cell r="I21">
            <v>2.6923076923076916</v>
          </cell>
        </row>
        <row r="22">
          <cell r="B22" t="str">
            <v>Lognorm(45693, 31267) Shift=+24041</v>
          </cell>
          <cell r="E22">
            <v>0.30575788297577589</v>
          </cell>
          <cell r="G22">
            <v>7.137134092908945E-2</v>
          </cell>
          <cell r="I22">
            <v>1.653846153846154</v>
          </cell>
        </row>
        <row r="23">
          <cell r="B23" t="str">
            <v>Normal(69245, 26964)</v>
          </cell>
          <cell r="E23">
            <v>1.3921311003778598</v>
          </cell>
          <cell r="G23">
            <v>0.13400705278364478</v>
          </cell>
          <cell r="I23">
            <v>18.961538461538453</v>
          </cell>
        </row>
        <row r="24">
          <cell r="B24" t="str">
            <v>Pareto(1.5137, 33352)</v>
          </cell>
          <cell r="E24">
            <v>1.0000000000000001E+300</v>
          </cell>
          <cell r="G24">
            <v>0.22257717399623078</v>
          </cell>
          <cell r="I24">
            <v>28.75</v>
          </cell>
        </row>
        <row r="25">
          <cell r="B25" t="str">
            <v>Pearson5(5.5063, 269722) Shift=+9967.9</v>
          </cell>
          <cell r="E25">
            <v>0.34197981232166086</v>
          </cell>
          <cell r="G25">
            <v>7.5568467773328152E-2</v>
          </cell>
          <cell r="I25">
            <v>4.4230769230769207</v>
          </cell>
        </row>
        <row r="26">
          <cell r="B26" t="str">
            <v>Triang(33319, 33352, 145946)</v>
          </cell>
          <cell r="E26">
            <v>0.45334340381094762</v>
          </cell>
          <cell r="G26">
            <v>0.10295635736740971</v>
          </cell>
          <cell r="I26">
            <v>3.7307692307692308</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AD1730" totalsRowShown="0" headerRowDxfId="32" dataDxfId="30" headerRowBorderDxfId="31" headerRowCellStyle="Comma 8" dataCellStyle="Normal 2 2">
  <autoFilter ref="A12:AD1730" xr:uid="{00000000-0009-0000-0100-000001000000}"/>
  <tableColumns count="30">
    <tableColumn id="1" xr3:uid="{00000000-0010-0000-0000-000001000000}" name="Claim ID" dataDxfId="29" dataCellStyle="Normal 2 2"/>
    <tableColumn id="2" xr3:uid="{00000000-0010-0000-0000-000002000000}" name="Claimant Name" dataDxfId="28" dataCellStyle="Normal 2 2"/>
    <tableColumn id="3" xr3:uid="{00000000-0010-0000-0000-000003000000}" name="Class of Business" dataDxfId="27" dataCellStyle="Normal 2 2"/>
    <tableColumn id="4" xr3:uid="{00000000-0010-0000-0000-000004000000}" name="Loss date" dataDxfId="26" dataCellStyle="Normal 2 2"/>
    <tableColumn id="5" xr3:uid="{00000000-0010-0000-0000-000005000000}" name="Reporting date" dataDxfId="25" dataCellStyle="Normal 2 2"/>
    <tableColumn id="6" xr3:uid="{00000000-0010-0000-0000-000006000000}" name="Policy Year" dataDxfId="24" dataCellStyle="Normal 2 2">
      <calculatedColumnFormula>IF(MONTH(Table1[[#This Row],[Loss date]])&lt;Policy_Inception_Month,YEAR(Table1[[#This Row],[Loss date]])-1,YEAR(Table1[[#This Row],[Loss date]]))</calculatedColumnFormula>
    </tableColumn>
    <tableColumn id="7" xr3:uid="{00000000-0010-0000-0000-000007000000}" name="Claim description" dataDxfId="23" dataCellStyle="Normal 2 2"/>
    <tableColumn id="8" xr3:uid="{00000000-0010-0000-0000-000008000000}" name="Original currency" dataDxfId="22" dataCellStyle="Normal 2 2"/>
    <tableColumn id="9" xr3:uid="{00000000-0010-0000-0000-000009000000}" name="Paid" dataDxfId="21" dataCellStyle="Comma 8"/>
    <tableColumn id="10" xr3:uid="{00000000-0010-0000-0000-00000A000000}" name="Outstanding" dataDxfId="20" dataCellStyle="Comma 8"/>
    <tableColumn id="11" xr3:uid="{00000000-0010-0000-0000-00000B000000}" name="Total incurred" dataDxfId="19" dataCellStyle="Comma 8"/>
    <tableColumn id="12" xr3:uid="{00000000-0010-0000-0000-00000C000000}" name="Fees" dataDxfId="18" dataCellStyle="Comma 8"/>
    <tableColumn id="13" xr3:uid="{00000000-0010-0000-0000-00000D000000}" name="Recoveries" dataDxfId="17" dataCellStyle="Comma 8"/>
    <tableColumn id="14" xr3:uid="{00000000-0010-0000-0000-00000E000000}" name="Overall amount" dataDxfId="16" dataCellStyle="Comma 8"/>
    <tableColumn id="15" xr3:uid="{00000000-0010-0000-0000-00000F000000}" name="Non-zero? (1=Yes)" dataDxfId="15" dataCellStyle="Comma 8">
      <calculatedColumnFormula>IF(Table1[[#This Row],[Overall amount]]=0,0,1)</calculatedColumnFormula>
    </tableColumn>
    <tableColumn id="16" xr3:uid="{00000000-0010-0000-0000-000010000000}" name="Overall (destination currency)" dataDxfId="14" dataCellStyle="Comma 8">
      <calculatedColumnFormula>Table1[[#This Row],[Overall amount]]*Exchange_Rate</calculatedColumnFormula>
    </tableColumn>
    <tableColumn id="17" xr3:uid="{00000000-0010-0000-0000-000011000000}" name="Overall amount (revalued)" dataDxfId="13" dataCellStyle="Comma 8">
      <calculatedColumnFormula>Table1[[#This Row],[Overall (destination currency)]]*(1+Claims_Inflation)^((Revalue_at_date-Table1[[#This Row],[Loss date]])/365.25)</calculatedColumnFormula>
    </tableColumn>
    <tableColumn id="20" xr3:uid="{00000000-0010-0000-0000-000014000000}" name="Delay (days)" dataDxfId="12" dataCellStyle="Comma 8">
      <calculatedColumnFormula>INT(Table1[[#This Row],[Reporting date]])-INT(Table1[[#This Row],[Loss date]])</calculatedColumnFormula>
    </tableColumn>
    <tableColumn id="21" xr3:uid="{00000000-0010-0000-0000-000015000000}" name="Claim Status" dataDxfId="11" dataCellStyle="Normal 2 2"/>
    <tableColumn id="22" xr3:uid="{00000000-0010-0000-0000-000016000000}" name="Exposure" dataDxfId="10" dataCellStyle="Comma 8">
      <calculatedColumnFormula>VLOOKUP(Table1[[#This Row],[Policy Year]],exposure_table,3,FALSE)</calculatedColumnFormula>
    </tableColumn>
    <tableColumn id="23" xr3:uid="{00000000-0010-0000-0000-000017000000}" name="Reporting year" dataDxfId="9" dataCellStyle="Normal 2 2">
      <calculatedColumnFormula>IF(MONTH(Table1[[#This Row],[Reporting date]])&lt;Policy_Inception_Month,YEAR(Table1[[#This Row],[Reporting date]])-1,YEAR(Table1[[#This Row],[Reporting date]]))</calculatedColumnFormula>
    </tableColumn>
    <tableColumn id="24" xr3:uid="{00000000-0010-0000-0000-000018000000}" name="Delay (years)" dataDxfId="8" dataCellStyle="Normal 2 2">
      <calculatedColumnFormula>Table1[[#This Row],[Reporting year]]-Table1[[#This Row],[Policy Year]]</calculatedColumnFormula>
    </tableColumn>
    <tableColumn id="25" xr3:uid="{00000000-0010-0000-0000-000019000000}" name="Delay (days)2" dataDxfId="7" dataCellStyle="Normal 2 2">
      <calculatedColumnFormula>INT(Table1[[#This Row],[Reporting date]])-INT(Table1[[#This Row],[Loss date]])</calculatedColumnFormula>
    </tableColumn>
    <tableColumn id="26" xr3:uid="{00000000-0010-0000-0000-00001A000000}" name="Policy third" dataDxfId="6" dataCellStyle="Normal 2 2">
      <calculatedColumnFormula>INT((YEAR(Table1[[#This Row],[Loss date]])*12+MONTH(Table1[[#This Row],[Loss date]])-Earliest_Month)/4)</calculatedColumnFormula>
    </tableColumn>
    <tableColumn id="27" xr3:uid="{00000000-0010-0000-0000-00001B000000}" name="Reporting third" dataDxfId="5" dataCellStyle="Normal 2 2">
      <calculatedColumnFormula>INT((YEAR(Table1[[#This Row],[Reporting date]])*12+MONTH(Table1[[#This Row],[Reporting date]])-Earliest_Month)/4)</calculatedColumnFormula>
    </tableColumn>
    <tableColumn id="28" xr3:uid="{00000000-0010-0000-0000-00001C000000}" name="Delay (thirds)" dataDxfId="4" dataCellStyle="Normal 2 2">
      <calculatedColumnFormula>Table1[[#This Row],[Reporting third]]-Table1[[#This Row],[Policy third]]</calculatedColumnFormula>
    </tableColumn>
    <tableColumn id="29" xr3:uid="{00000000-0010-0000-0000-00001D000000}" name="% O/S" dataDxfId="3">
      <calculatedColumnFormula>IF(Table1[[#This Row],[Overall amount]]=0,"N/A",Table1[[#This Row],[Outstanding]]/Table1[[#This Row],[Overall amount]])</calculatedColumnFormula>
    </tableColumn>
    <tableColumn id="30" xr3:uid="{00000000-0010-0000-0000-00001E000000}" name="Policy Year (shifted)" dataDxfId="2" dataCellStyle="Normal 2 2">
      <calculatedColumnFormula>IF(MONTH(Table1[[#This Row],[Loss date]])&lt;Pol_Inc_Month_Shifted,YEAR(Table1[[#This Row],[Loss date]])-1,YEAR(Table1[[#This Row],[Loss date]]))</calculatedColumnFormula>
    </tableColumn>
    <tableColumn id="31" xr3:uid="{00000000-0010-0000-0000-00001F000000}" name="Reporting year (shifted)" dataDxfId="1" dataCellStyle="Normal 2 2">
      <calculatedColumnFormula>IF(MONTH(Table1[[#This Row],[Reporting date]])&lt;Pol_Inc_Month_Shifted,YEAR(Table1[[#This Row],[Reporting date]])-1,YEAR(Table1[[#This Row],[Reporting date]]))</calculatedColumnFormula>
    </tableColumn>
    <tableColumn id="32" xr3:uid="{00000000-0010-0000-0000-000020000000}" name="Delay (shifted)" dataDxfId="0" dataCellStyle="Normal 2 2">
      <calculatedColumnFormula>Table1[[#This Row],[Reporting year (shifted)]]-Table1[[#This Row],[Policy Year (shifted)]]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4"/>
  <sheetViews>
    <sheetView showGridLines="0" workbookViewId="0">
      <selection activeCell="D12" sqref="D12"/>
    </sheetView>
  </sheetViews>
  <sheetFormatPr defaultColWidth="9.1328125" defaultRowHeight="12.75"/>
  <cols>
    <col min="1" max="1" width="9.1328125" style="61"/>
    <col min="2" max="2" width="45.33203125" style="61" customWidth="1"/>
    <col min="3" max="16384" width="9.1328125" style="61"/>
  </cols>
  <sheetData>
    <row r="4" spans="2:2" ht="118.15">
      <c r="B4" s="103" t="s">
        <v>3581</v>
      </c>
    </row>
  </sheetData>
  <phoneticPr fontId="7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
  <sheetViews>
    <sheetView showGridLines="0" workbookViewId="0">
      <selection activeCell="B2" sqref="B2"/>
    </sheetView>
  </sheetViews>
  <sheetFormatPr defaultRowHeight="12.75"/>
  <sheetData>
    <row r="2" spans="2:2" ht="13.15">
      <c r="B2" s="105" t="s">
        <v>3590</v>
      </c>
    </row>
  </sheetData>
  <phoneticPr fontId="7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H25"/>
  <sheetViews>
    <sheetView showGridLines="0" topLeftCell="A4" workbookViewId="0">
      <selection activeCell="E7" sqref="E7"/>
    </sheetView>
  </sheetViews>
  <sheetFormatPr defaultColWidth="10.6640625" defaultRowHeight="13.9"/>
  <cols>
    <col min="1" max="1" width="10.6640625" style="90"/>
    <col min="2" max="2" width="11" style="90" customWidth="1"/>
    <col min="3" max="3" width="4.86328125" style="91" customWidth="1"/>
    <col min="4" max="4" width="10.6640625" style="90"/>
    <col min="5" max="5" width="17.1328125" style="90" customWidth="1"/>
    <col min="6" max="6" width="21.1328125" style="90" customWidth="1"/>
    <col min="7" max="7" width="10.6640625" style="90"/>
    <col min="8" max="8" width="12.1328125" style="90" customWidth="1"/>
    <col min="9" max="16384" width="10.6640625" style="90"/>
  </cols>
  <sheetData>
    <row r="1" spans="1:8" ht="14.65">
      <c r="A1" s="89" t="s">
        <v>3506</v>
      </c>
      <c r="E1" s="90" t="s">
        <v>3510</v>
      </c>
      <c r="F1" s="92">
        <v>0.04</v>
      </c>
    </row>
    <row r="2" spans="1:8" ht="14.25">
      <c r="A2" s="93"/>
    </row>
    <row r="3" spans="1:8" ht="42.75">
      <c r="A3" s="94" t="s">
        <v>111</v>
      </c>
      <c r="B3" s="94" t="s">
        <v>3507</v>
      </c>
      <c r="D3" s="94" t="s">
        <v>114</v>
      </c>
      <c r="E3" s="94" t="s">
        <v>3508</v>
      </c>
      <c r="F3" s="94" t="s">
        <v>3511</v>
      </c>
      <c r="H3" s="94" t="s">
        <v>3505</v>
      </c>
    </row>
    <row r="4" spans="1:8" ht="14.65">
      <c r="A4" s="95">
        <v>2005</v>
      </c>
      <c r="B4" s="96">
        <v>311.19</v>
      </c>
      <c r="D4" s="95">
        <v>2005</v>
      </c>
      <c r="E4" s="97">
        <f>B4</f>
        <v>311.19</v>
      </c>
      <c r="F4" s="98">
        <f>E4*(1+$F$1)^(2012-D4)</f>
        <v>409.50481038040112</v>
      </c>
      <c r="H4" s="99">
        <v>12696</v>
      </c>
    </row>
    <row r="5" spans="1:8" ht="14.65">
      <c r="A5" s="95">
        <v>2006</v>
      </c>
      <c r="B5" s="96">
        <v>381.97500000000002</v>
      </c>
      <c r="D5" s="95">
        <v>2006</v>
      </c>
      <c r="E5" s="97">
        <f t="shared" ref="E5:E14" si="0">B5</f>
        <v>381.97500000000002</v>
      </c>
      <c r="F5" s="98">
        <f t="shared" ref="F5:F14" si="1">E5*(1+$F$1)^(2012-D5)</f>
        <v>483.32023209000977</v>
      </c>
      <c r="H5" s="99">
        <v>15964</v>
      </c>
    </row>
    <row r="6" spans="1:8" ht="14.65">
      <c r="A6" s="95">
        <v>2007</v>
      </c>
      <c r="B6" s="96">
        <v>450.23000000000008</v>
      </c>
      <c r="D6" s="95">
        <v>2007</v>
      </c>
      <c r="E6" s="97">
        <f t="shared" si="0"/>
        <v>450.23000000000008</v>
      </c>
      <c r="F6" s="98">
        <f t="shared" si="1"/>
        <v>547.7736362475523</v>
      </c>
      <c r="H6" s="99">
        <v>16706</v>
      </c>
    </row>
    <row r="7" spans="1:8" ht="14.65">
      <c r="A7" s="95">
        <v>2008</v>
      </c>
      <c r="B7" s="96">
        <v>514.58000000000004</v>
      </c>
      <c r="D7" s="95">
        <v>2008</v>
      </c>
      <c r="E7" s="97">
        <f t="shared" si="0"/>
        <v>514.58000000000004</v>
      </c>
      <c r="F7" s="98">
        <f t="shared" si="1"/>
        <v>601.98581780480015</v>
      </c>
      <c r="H7" s="99">
        <v>17831</v>
      </c>
    </row>
    <row r="8" spans="1:8" ht="14.65">
      <c r="A8" s="95">
        <v>2009</v>
      </c>
      <c r="B8" s="96">
        <v>675.84</v>
      </c>
      <c r="D8" s="95">
        <v>2009</v>
      </c>
      <c r="E8" s="97">
        <f t="shared" si="0"/>
        <v>675.84</v>
      </c>
      <c r="F8" s="98">
        <f t="shared" si="1"/>
        <v>760.22808576000011</v>
      </c>
      <c r="H8" s="99">
        <v>23301</v>
      </c>
    </row>
    <row r="9" spans="1:8" ht="14.65">
      <c r="A9" s="95">
        <v>2010</v>
      </c>
      <c r="B9" s="96">
        <v>773.96</v>
      </c>
      <c r="D9" s="95">
        <v>2010</v>
      </c>
      <c r="E9" s="97">
        <f t="shared" si="0"/>
        <v>773.96</v>
      </c>
      <c r="F9" s="98">
        <f t="shared" si="1"/>
        <v>837.11513600000012</v>
      </c>
      <c r="H9" s="99">
        <v>26377</v>
      </c>
    </row>
    <row r="10" spans="1:8" ht="14.65">
      <c r="A10" s="95">
        <v>2011</v>
      </c>
      <c r="B10" s="96">
        <v>837.04500000000007</v>
      </c>
      <c r="D10" s="95">
        <v>2011</v>
      </c>
      <c r="E10" s="97">
        <f t="shared" si="0"/>
        <v>837.04500000000007</v>
      </c>
      <c r="F10" s="98">
        <f t="shared" si="1"/>
        <v>870.52680000000009</v>
      </c>
      <c r="H10" s="99">
        <v>27529</v>
      </c>
    </row>
    <row r="11" spans="1:8" ht="14.65">
      <c r="A11" s="95">
        <v>2012</v>
      </c>
      <c r="B11" s="96">
        <v>1057.54</v>
      </c>
      <c r="D11" s="95">
        <v>2012</v>
      </c>
      <c r="E11" s="97">
        <f t="shared" si="0"/>
        <v>1057.54</v>
      </c>
      <c r="F11" s="98">
        <f t="shared" si="1"/>
        <v>1057.54</v>
      </c>
      <c r="H11" s="99">
        <v>29497</v>
      </c>
    </row>
    <row r="12" spans="1:8" ht="14.65">
      <c r="A12" s="95">
        <v>2013</v>
      </c>
      <c r="B12" s="96">
        <v>1134.21</v>
      </c>
      <c r="D12" s="95">
        <v>2013</v>
      </c>
      <c r="E12" s="97">
        <f t="shared" si="0"/>
        <v>1134.21</v>
      </c>
      <c r="F12" s="98">
        <f t="shared" si="1"/>
        <v>1090.5865384615383</v>
      </c>
      <c r="H12" s="99">
        <v>32373</v>
      </c>
    </row>
    <row r="13" spans="1:8" ht="14.65">
      <c r="A13" s="95">
        <v>2014</v>
      </c>
      <c r="B13" s="96">
        <v>1164.3500000000001</v>
      </c>
      <c r="D13" s="95">
        <v>2014</v>
      </c>
      <c r="E13" s="97">
        <f t="shared" si="0"/>
        <v>1164.3500000000001</v>
      </c>
      <c r="F13" s="98">
        <f t="shared" si="1"/>
        <v>1076.5070266272189</v>
      </c>
      <c r="H13" s="99">
        <v>34375</v>
      </c>
    </row>
    <row r="14" spans="1:8" ht="14.65">
      <c r="A14" s="95">
        <v>2015</v>
      </c>
      <c r="B14" s="96">
        <v>1265</v>
      </c>
      <c r="D14" s="95">
        <v>2015</v>
      </c>
      <c r="E14" s="97">
        <f t="shared" si="0"/>
        <v>1265</v>
      </c>
      <c r="F14" s="98">
        <f t="shared" si="1"/>
        <v>1124.5803937187072</v>
      </c>
      <c r="H14" s="99">
        <v>37290</v>
      </c>
    </row>
    <row r="15" spans="1:8" ht="14.65">
      <c r="A15" s="100"/>
      <c r="B15" s="100"/>
      <c r="H15" s="101"/>
    </row>
    <row r="25" spans="2:2">
      <c r="B25" s="102"/>
    </row>
  </sheetData>
  <phoneticPr fontId="7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F3449"/>
  <sheetViews>
    <sheetView showGridLines="0" topLeftCell="V7" workbookViewId="0">
      <selection activeCell="X12" sqref="X12"/>
    </sheetView>
  </sheetViews>
  <sheetFormatPr defaultColWidth="12.1328125" defaultRowHeight="13.5"/>
  <cols>
    <col min="1" max="1" width="12.1328125" style="5" customWidth="1"/>
    <col min="2" max="2" width="18.86328125" style="7" customWidth="1"/>
    <col min="3" max="3" width="31.6640625" style="7" customWidth="1"/>
    <col min="4" max="4" width="13.33203125" style="7" customWidth="1"/>
    <col min="5" max="5" width="18.53125" style="7" customWidth="1"/>
    <col min="6" max="6" width="14.6640625" style="7" customWidth="1"/>
    <col min="7" max="7" width="33.86328125" style="7" customWidth="1"/>
    <col min="8" max="8" width="21" style="7" customWidth="1"/>
    <col min="9" max="9" width="9.1328125" style="6" customWidth="1"/>
    <col min="10" max="10" width="15.86328125" style="6" customWidth="1"/>
    <col min="11" max="11" width="17.6640625" style="6" customWidth="1"/>
    <col min="12" max="12" width="8.1328125" style="6" customWidth="1"/>
    <col min="13" max="13" width="14.6640625" style="6" customWidth="1"/>
    <col min="14" max="14" width="18.86328125" style="6" customWidth="1"/>
    <col min="15" max="15" width="21.86328125" style="6" customWidth="1"/>
    <col min="16" max="16" width="34" style="6" customWidth="1"/>
    <col min="17" max="17" width="29.86328125" style="6" customWidth="1"/>
    <col min="18" max="18" width="15.6640625" style="7" customWidth="1"/>
    <col min="19" max="19" width="16.1328125" style="7" customWidth="1"/>
    <col min="20" max="20" width="12.86328125" style="5" customWidth="1"/>
    <col min="21" max="21" width="18.46484375" style="5" customWidth="1"/>
    <col min="22" max="22" width="16.53125" style="5" customWidth="1"/>
    <col min="23" max="23" width="17" style="5" customWidth="1"/>
    <col min="24" max="24" width="14.6640625" style="5" customWidth="1"/>
    <col min="25" max="25" width="18.6640625" style="5" customWidth="1"/>
    <col min="26" max="26" width="16.86328125" style="5" customWidth="1"/>
    <col min="27" max="27" width="12.1328125" style="5"/>
    <col min="28" max="28" width="23.86328125" style="5" customWidth="1"/>
    <col min="29" max="29" width="27.53125" style="5" customWidth="1"/>
    <col min="30" max="30" width="18" style="5" customWidth="1"/>
    <col min="31" max="226" width="12.1328125" style="5"/>
    <col min="227" max="241" width="12.1328125" style="5" customWidth="1"/>
    <col min="242" max="242" width="15.53125" style="5" customWidth="1"/>
    <col min="243" max="247" width="12.1328125" style="5" customWidth="1"/>
    <col min="248" max="257" width="0" style="5" hidden="1" customWidth="1"/>
    <col min="258" max="266" width="12.1328125" style="5" customWidth="1"/>
    <col min="267" max="267" width="38.86328125" style="5" bestFit="1" customWidth="1"/>
    <col min="268" max="268" width="42.6640625" style="5" bestFit="1" customWidth="1"/>
    <col min="269" max="269" width="42.46484375" style="5" bestFit="1" customWidth="1"/>
    <col min="270" max="271" width="12.1328125" style="5" customWidth="1"/>
    <col min="272" max="272" width="21.6640625" style="5" bestFit="1" customWidth="1"/>
    <col min="273" max="273" width="11.6640625" style="5" bestFit="1" customWidth="1"/>
    <col min="274" max="274" width="12.1328125" style="5" customWidth="1"/>
    <col min="275" max="482" width="12.1328125" style="5"/>
    <col min="483" max="497" width="12.1328125" style="5" customWidth="1"/>
    <col min="498" max="498" width="15.53125" style="5" customWidth="1"/>
    <col min="499" max="503" width="12.1328125" style="5" customWidth="1"/>
    <col min="504" max="513" width="0" style="5" hidden="1" customWidth="1"/>
    <col min="514" max="522" width="12.1328125" style="5" customWidth="1"/>
    <col min="523" max="523" width="38.86328125" style="5" bestFit="1" customWidth="1"/>
    <col min="524" max="524" width="42.6640625" style="5" bestFit="1" customWidth="1"/>
    <col min="525" max="525" width="42.46484375" style="5" bestFit="1" customWidth="1"/>
    <col min="526" max="527" width="12.1328125" style="5" customWidth="1"/>
    <col min="528" max="528" width="21.6640625" style="5" bestFit="1" customWidth="1"/>
    <col min="529" max="529" width="11.6640625" style="5" bestFit="1" customWidth="1"/>
    <col min="530" max="530" width="12.1328125" style="5" customWidth="1"/>
    <col min="531" max="738" width="12.1328125" style="5"/>
    <col min="739" max="753" width="12.1328125" style="5" customWidth="1"/>
    <col min="754" max="754" width="15.53125" style="5" customWidth="1"/>
    <col min="755" max="759" width="12.1328125" style="5" customWidth="1"/>
    <col min="760" max="769" width="0" style="5" hidden="1" customWidth="1"/>
    <col min="770" max="778" width="12.1328125" style="5" customWidth="1"/>
    <col min="779" max="779" width="38.86328125" style="5" bestFit="1" customWidth="1"/>
    <col min="780" max="780" width="42.6640625" style="5" bestFit="1" customWidth="1"/>
    <col min="781" max="781" width="42.46484375" style="5" bestFit="1" customWidth="1"/>
    <col min="782" max="783" width="12.1328125" style="5" customWidth="1"/>
    <col min="784" max="784" width="21.6640625" style="5" bestFit="1" customWidth="1"/>
    <col min="785" max="785" width="11.6640625" style="5" bestFit="1" customWidth="1"/>
    <col min="786" max="786" width="12.1328125" style="5" customWidth="1"/>
    <col min="787" max="994" width="12.1328125" style="5"/>
    <col min="995" max="1009" width="12.1328125" style="5" customWidth="1"/>
    <col min="1010" max="1010" width="15.53125" style="5" customWidth="1"/>
    <col min="1011" max="1015" width="12.1328125" style="5" customWidth="1"/>
    <col min="1016" max="1025" width="0" style="5" hidden="1" customWidth="1"/>
    <col min="1026" max="1034" width="12.1328125" style="5" customWidth="1"/>
    <col min="1035" max="1035" width="38.86328125" style="5" bestFit="1" customWidth="1"/>
    <col min="1036" max="1036" width="42.6640625" style="5" bestFit="1" customWidth="1"/>
    <col min="1037" max="1037" width="42.46484375" style="5" bestFit="1" customWidth="1"/>
    <col min="1038" max="1039" width="12.1328125" style="5" customWidth="1"/>
    <col min="1040" max="1040" width="21.6640625" style="5" bestFit="1" customWidth="1"/>
    <col min="1041" max="1041" width="11.6640625" style="5" bestFit="1" customWidth="1"/>
    <col min="1042" max="1042" width="12.1328125" style="5" customWidth="1"/>
    <col min="1043" max="1250" width="12.1328125" style="5"/>
    <col min="1251" max="1265" width="12.1328125" style="5" customWidth="1"/>
    <col min="1266" max="1266" width="15.53125" style="5" customWidth="1"/>
    <col min="1267" max="1271" width="12.1328125" style="5" customWidth="1"/>
    <col min="1272" max="1281" width="0" style="5" hidden="1" customWidth="1"/>
    <col min="1282" max="1290" width="12.1328125" style="5" customWidth="1"/>
    <col min="1291" max="1291" width="38.86328125" style="5" bestFit="1" customWidth="1"/>
    <col min="1292" max="1292" width="42.6640625" style="5" bestFit="1" customWidth="1"/>
    <col min="1293" max="1293" width="42.46484375" style="5" bestFit="1" customWidth="1"/>
    <col min="1294" max="1295" width="12.1328125" style="5" customWidth="1"/>
    <col min="1296" max="1296" width="21.6640625" style="5" bestFit="1" customWidth="1"/>
    <col min="1297" max="1297" width="11.6640625" style="5" bestFit="1" customWidth="1"/>
    <col min="1298" max="1298" width="12.1328125" style="5" customWidth="1"/>
    <col min="1299" max="1506" width="12.1328125" style="5"/>
    <col min="1507" max="1521" width="12.1328125" style="5" customWidth="1"/>
    <col min="1522" max="1522" width="15.53125" style="5" customWidth="1"/>
    <col min="1523" max="1527" width="12.1328125" style="5" customWidth="1"/>
    <col min="1528" max="1537" width="0" style="5" hidden="1" customWidth="1"/>
    <col min="1538" max="1546" width="12.1328125" style="5" customWidth="1"/>
    <col min="1547" max="1547" width="38.86328125" style="5" bestFit="1" customWidth="1"/>
    <col min="1548" max="1548" width="42.6640625" style="5" bestFit="1" customWidth="1"/>
    <col min="1549" max="1549" width="42.46484375" style="5" bestFit="1" customWidth="1"/>
    <col min="1550" max="1551" width="12.1328125" style="5" customWidth="1"/>
    <col min="1552" max="1552" width="21.6640625" style="5" bestFit="1" customWidth="1"/>
    <col min="1553" max="1553" width="11.6640625" style="5" bestFit="1" customWidth="1"/>
    <col min="1554" max="1554" width="12.1328125" style="5" customWidth="1"/>
    <col min="1555" max="1762" width="12.1328125" style="5"/>
    <col min="1763" max="1777" width="12.1328125" style="5" customWidth="1"/>
    <col min="1778" max="1778" width="15.53125" style="5" customWidth="1"/>
    <col min="1779" max="1783" width="12.1328125" style="5" customWidth="1"/>
    <col min="1784" max="1793" width="0" style="5" hidden="1" customWidth="1"/>
    <col min="1794" max="1802" width="12.1328125" style="5" customWidth="1"/>
    <col min="1803" max="1803" width="38.86328125" style="5" bestFit="1" customWidth="1"/>
    <col min="1804" max="1804" width="42.6640625" style="5" bestFit="1" customWidth="1"/>
    <col min="1805" max="1805" width="42.46484375" style="5" bestFit="1" customWidth="1"/>
    <col min="1806" max="1807" width="12.1328125" style="5" customWidth="1"/>
    <col min="1808" max="1808" width="21.6640625" style="5" bestFit="1" customWidth="1"/>
    <col min="1809" max="1809" width="11.6640625" style="5" bestFit="1" customWidth="1"/>
    <col min="1810" max="1810" width="12.1328125" style="5" customWidth="1"/>
    <col min="1811" max="2018" width="12.1328125" style="5"/>
    <col min="2019" max="2033" width="12.1328125" style="5" customWidth="1"/>
    <col min="2034" max="2034" width="15.53125" style="5" customWidth="1"/>
    <col min="2035" max="2039" width="12.1328125" style="5" customWidth="1"/>
    <col min="2040" max="2049" width="0" style="5" hidden="1" customWidth="1"/>
    <col min="2050" max="2058" width="12.1328125" style="5" customWidth="1"/>
    <col min="2059" max="2059" width="38.86328125" style="5" bestFit="1" customWidth="1"/>
    <col min="2060" max="2060" width="42.6640625" style="5" bestFit="1" customWidth="1"/>
    <col min="2061" max="2061" width="42.46484375" style="5" bestFit="1" customWidth="1"/>
    <col min="2062" max="2063" width="12.1328125" style="5" customWidth="1"/>
    <col min="2064" max="2064" width="21.6640625" style="5" bestFit="1" customWidth="1"/>
    <col min="2065" max="2065" width="11.6640625" style="5" bestFit="1" customWidth="1"/>
    <col min="2066" max="2066" width="12.1328125" style="5" customWidth="1"/>
    <col min="2067" max="2274" width="12.1328125" style="5"/>
    <col min="2275" max="2289" width="12.1328125" style="5" customWidth="1"/>
    <col min="2290" max="2290" width="15.53125" style="5" customWidth="1"/>
    <col min="2291" max="2295" width="12.1328125" style="5" customWidth="1"/>
    <col min="2296" max="2305" width="0" style="5" hidden="1" customWidth="1"/>
    <col min="2306" max="2314" width="12.1328125" style="5" customWidth="1"/>
    <col min="2315" max="2315" width="38.86328125" style="5" bestFit="1" customWidth="1"/>
    <col min="2316" max="2316" width="42.6640625" style="5" bestFit="1" customWidth="1"/>
    <col min="2317" max="2317" width="42.46484375" style="5" bestFit="1" customWidth="1"/>
    <col min="2318" max="2319" width="12.1328125" style="5" customWidth="1"/>
    <col min="2320" max="2320" width="21.6640625" style="5" bestFit="1" customWidth="1"/>
    <col min="2321" max="2321" width="11.6640625" style="5" bestFit="1" customWidth="1"/>
    <col min="2322" max="2322" width="12.1328125" style="5" customWidth="1"/>
    <col min="2323" max="2530" width="12.1328125" style="5"/>
    <col min="2531" max="2545" width="12.1328125" style="5" customWidth="1"/>
    <col min="2546" max="2546" width="15.53125" style="5" customWidth="1"/>
    <col min="2547" max="2551" width="12.1328125" style="5" customWidth="1"/>
    <col min="2552" max="2561" width="0" style="5" hidden="1" customWidth="1"/>
    <col min="2562" max="2570" width="12.1328125" style="5" customWidth="1"/>
    <col min="2571" max="2571" width="38.86328125" style="5" bestFit="1" customWidth="1"/>
    <col min="2572" max="2572" width="42.6640625" style="5" bestFit="1" customWidth="1"/>
    <col min="2573" max="2573" width="42.46484375" style="5" bestFit="1" customWidth="1"/>
    <col min="2574" max="2575" width="12.1328125" style="5" customWidth="1"/>
    <col min="2576" max="2576" width="21.6640625" style="5" bestFit="1" customWidth="1"/>
    <col min="2577" max="2577" width="11.6640625" style="5" bestFit="1" customWidth="1"/>
    <col min="2578" max="2578" width="12.1328125" style="5" customWidth="1"/>
    <col min="2579" max="2786" width="12.1328125" style="5"/>
    <col min="2787" max="2801" width="12.1328125" style="5" customWidth="1"/>
    <col min="2802" max="2802" width="15.53125" style="5" customWidth="1"/>
    <col min="2803" max="2807" width="12.1328125" style="5" customWidth="1"/>
    <col min="2808" max="2817" width="0" style="5" hidden="1" customWidth="1"/>
    <col min="2818" max="2826" width="12.1328125" style="5" customWidth="1"/>
    <col min="2827" max="2827" width="38.86328125" style="5" bestFit="1" customWidth="1"/>
    <col min="2828" max="2828" width="42.6640625" style="5" bestFit="1" customWidth="1"/>
    <col min="2829" max="2829" width="42.46484375" style="5" bestFit="1" customWidth="1"/>
    <col min="2830" max="2831" width="12.1328125" style="5" customWidth="1"/>
    <col min="2832" max="2832" width="21.6640625" style="5" bestFit="1" customWidth="1"/>
    <col min="2833" max="2833" width="11.6640625" style="5" bestFit="1" customWidth="1"/>
    <col min="2834" max="2834" width="12.1328125" style="5" customWidth="1"/>
    <col min="2835" max="3042" width="12.1328125" style="5"/>
    <col min="3043" max="3057" width="12.1328125" style="5" customWidth="1"/>
    <col min="3058" max="3058" width="15.53125" style="5" customWidth="1"/>
    <col min="3059" max="3063" width="12.1328125" style="5" customWidth="1"/>
    <col min="3064" max="3073" width="0" style="5" hidden="1" customWidth="1"/>
    <col min="3074" max="3082" width="12.1328125" style="5" customWidth="1"/>
    <col min="3083" max="3083" width="38.86328125" style="5" bestFit="1" customWidth="1"/>
    <col min="3084" max="3084" width="42.6640625" style="5" bestFit="1" customWidth="1"/>
    <col min="3085" max="3085" width="42.46484375" style="5" bestFit="1" customWidth="1"/>
    <col min="3086" max="3087" width="12.1328125" style="5" customWidth="1"/>
    <col min="3088" max="3088" width="21.6640625" style="5" bestFit="1" customWidth="1"/>
    <col min="3089" max="3089" width="11.6640625" style="5" bestFit="1" customWidth="1"/>
    <col min="3090" max="3090" width="12.1328125" style="5" customWidth="1"/>
    <col min="3091" max="3298" width="12.1328125" style="5"/>
    <col min="3299" max="3313" width="12.1328125" style="5" customWidth="1"/>
    <col min="3314" max="3314" width="15.53125" style="5" customWidth="1"/>
    <col min="3315" max="3319" width="12.1328125" style="5" customWidth="1"/>
    <col min="3320" max="3329" width="0" style="5" hidden="1" customWidth="1"/>
    <col min="3330" max="3338" width="12.1328125" style="5" customWidth="1"/>
    <col min="3339" max="3339" width="38.86328125" style="5" bestFit="1" customWidth="1"/>
    <col min="3340" max="3340" width="42.6640625" style="5" bestFit="1" customWidth="1"/>
    <col min="3341" max="3341" width="42.46484375" style="5" bestFit="1" customWidth="1"/>
    <col min="3342" max="3343" width="12.1328125" style="5" customWidth="1"/>
    <col min="3344" max="3344" width="21.6640625" style="5" bestFit="1" customWidth="1"/>
    <col min="3345" max="3345" width="11.6640625" style="5" bestFit="1" customWidth="1"/>
    <col min="3346" max="3346" width="12.1328125" style="5" customWidth="1"/>
    <col min="3347" max="3554" width="12.1328125" style="5"/>
    <col min="3555" max="3569" width="12.1328125" style="5" customWidth="1"/>
    <col min="3570" max="3570" width="15.53125" style="5" customWidth="1"/>
    <col min="3571" max="3575" width="12.1328125" style="5" customWidth="1"/>
    <col min="3576" max="3585" width="0" style="5" hidden="1" customWidth="1"/>
    <col min="3586" max="3594" width="12.1328125" style="5" customWidth="1"/>
    <col min="3595" max="3595" width="38.86328125" style="5" bestFit="1" customWidth="1"/>
    <col min="3596" max="3596" width="42.6640625" style="5" bestFit="1" customWidth="1"/>
    <col min="3597" max="3597" width="42.46484375" style="5" bestFit="1" customWidth="1"/>
    <col min="3598" max="3599" width="12.1328125" style="5" customWidth="1"/>
    <col min="3600" max="3600" width="21.6640625" style="5" bestFit="1" customWidth="1"/>
    <col min="3601" max="3601" width="11.6640625" style="5" bestFit="1" customWidth="1"/>
    <col min="3602" max="3602" width="12.1328125" style="5" customWidth="1"/>
    <col min="3603" max="3810" width="12.1328125" style="5"/>
    <col min="3811" max="3825" width="12.1328125" style="5" customWidth="1"/>
    <col min="3826" max="3826" width="15.53125" style="5" customWidth="1"/>
    <col min="3827" max="3831" width="12.1328125" style="5" customWidth="1"/>
    <col min="3832" max="3841" width="0" style="5" hidden="1" customWidth="1"/>
    <col min="3842" max="3850" width="12.1328125" style="5" customWidth="1"/>
    <col min="3851" max="3851" width="38.86328125" style="5" bestFit="1" customWidth="1"/>
    <col min="3852" max="3852" width="42.6640625" style="5" bestFit="1" customWidth="1"/>
    <col min="3853" max="3853" width="42.46484375" style="5" bestFit="1" customWidth="1"/>
    <col min="3854" max="3855" width="12.1328125" style="5" customWidth="1"/>
    <col min="3856" max="3856" width="21.6640625" style="5" bestFit="1" customWidth="1"/>
    <col min="3857" max="3857" width="11.6640625" style="5" bestFit="1" customWidth="1"/>
    <col min="3858" max="3858" width="12.1328125" style="5" customWidth="1"/>
    <col min="3859" max="4066" width="12.1328125" style="5"/>
    <col min="4067" max="4081" width="12.1328125" style="5" customWidth="1"/>
    <col min="4082" max="4082" width="15.53125" style="5" customWidth="1"/>
    <col min="4083" max="4087" width="12.1328125" style="5" customWidth="1"/>
    <col min="4088" max="4097" width="0" style="5" hidden="1" customWidth="1"/>
    <col min="4098" max="4106" width="12.1328125" style="5" customWidth="1"/>
    <col min="4107" max="4107" width="38.86328125" style="5" bestFit="1" customWidth="1"/>
    <col min="4108" max="4108" width="42.6640625" style="5" bestFit="1" customWidth="1"/>
    <col min="4109" max="4109" width="42.46484375" style="5" bestFit="1" customWidth="1"/>
    <col min="4110" max="4111" width="12.1328125" style="5" customWidth="1"/>
    <col min="4112" max="4112" width="21.6640625" style="5" bestFit="1" customWidth="1"/>
    <col min="4113" max="4113" width="11.6640625" style="5" bestFit="1" customWidth="1"/>
    <col min="4114" max="4114" width="12.1328125" style="5" customWidth="1"/>
    <col min="4115" max="4322" width="12.1328125" style="5"/>
    <col min="4323" max="4337" width="12.1328125" style="5" customWidth="1"/>
    <col min="4338" max="4338" width="15.53125" style="5" customWidth="1"/>
    <col min="4339" max="4343" width="12.1328125" style="5" customWidth="1"/>
    <col min="4344" max="4353" width="0" style="5" hidden="1" customWidth="1"/>
    <col min="4354" max="4362" width="12.1328125" style="5" customWidth="1"/>
    <col min="4363" max="4363" width="38.86328125" style="5" bestFit="1" customWidth="1"/>
    <col min="4364" max="4364" width="42.6640625" style="5" bestFit="1" customWidth="1"/>
    <col min="4365" max="4365" width="42.46484375" style="5" bestFit="1" customWidth="1"/>
    <col min="4366" max="4367" width="12.1328125" style="5" customWidth="1"/>
    <col min="4368" max="4368" width="21.6640625" style="5" bestFit="1" customWidth="1"/>
    <col min="4369" max="4369" width="11.6640625" style="5" bestFit="1" customWidth="1"/>
    <col min="4370" max="4370" width="12.1328125" style="5" customWidth="1"/>
    <col min="4371" max="4578" width="12.1328125" style="5"/>
    <col min="4579" max="4593" width="12.1328125" style="5" customWidth="1"/>
    <col min="4594" max="4594" width="15.53125" style="5" customWidth="1"/>
    <col min="4595" max="4599" width="12.1328125" style="5" customWidth="1"/>
    <col min="4600" max="4609" width="0" style="5" hidden="1" customWidth="1"/>
    <col min="4610" max="4618" width="12.1328125" style="5" customWidth="1"/>
    <col min="4619" max="4619" width="38.86328125" style="5" bestFit="1" customWidth="1"/>
    <col min="4620" max="4620" width="42.6640625" style="5" bestFit="1" customWidth="1"/>
    <col min="4621" max="4621" width="42.46484375" style="5" bestFit="1" customWidth="1"/>
    <col min="4622" max="4623" width="12.1328125" style="5" customWidth="1"/>
    <col min="4624" max="4624" width="21.6640625" style="5" bestFit="1" customWidth="1"/>
    <col min="4625" max="4625" width="11.6640625" style="5" bestFit="1" customWidth="1"/>
    <col min="4626" max="4626" width="12.1328125" style="5" customWidth="1"/>
    <col min="4627" max="4834" width="12.1328125" style="5"/>
    <col min="4835" max="4849" width="12.1328125" style="5" customWidth="1"/>
    <col min="4850" max="4850" width="15.53125" style="5" customWidth="1"/>
    <col min="4851" max="4855" width="12.1328125" style="5" customWidth="1"/>
    <col min="4856" max="4865" width="0" style="5" hidden="1" customWidth="1"/>
    <col min="4866" max="4874" width="12.1328125" style="5" customWidth="1"/>
    <col min="4875" max="4875" width="38.86328125" style="5" bestFit="1" customWidth="1"/>
    <col min="4876" max="4876" width="42.6640625" style="5" bestFit="1" customWidth="1"/>
    <col min="4877" max="4877" width="42.46484375" style="5" bestFit="1" customWidth="1"/>
    <col min="4878" max="4879" width="12.1328125" style="5" customWidth="1"/>
    <col min="4880" max="4880" width="21.6640625" style="5" bestFit="1" customWidth="1"/>
    <col min="4881" max="4881" width="11.6640625" style="5" bestFit="1" customWidth="1"/>
    <col min="4882" max="4882" width="12.1328125" style="5" customWidth="1"/>
    <col min="4883" max="5090" width="12.1328125" style="5"/>
    <col min="5091" max="5105" width="12.1328125" style="5" customWidth="1"/>
    <col min="5106" max="5106" width="15.53125" style="5" customWidth="1"/>
    <col min="5107" max="5111" width="12.1328125" style="5" customWidth="1"/>
    <col min="5112" max="5121" width="0" style="5" hidden="1" customWidth="1"/>
    <col min="5122" max="5130" width="12.1328125" style="5" customWidth="1"/>
    <col min="5131" max="5131" width="38.86328125" style="5" bestFit="1" customWidth="1"/>
    <col min="5132" max="5132" width="42.6640625" style="5" bestFit="1" customWidth="1"/>
    <col min="5133" max="5133" width="42.46484375" style="5" bestFit="1" customWidth="1"/>
    <col min="5134" max="5135" width="12.1328125" style="5" customWidth="1"/>
    <col min="5136" max="5136" width="21.6640625" style="5" bestFit="1" customWidth="1"/>
    <col min="5137" max="5137" width="11.6640625" style="5" bestFit="1" customWidth="1"/>
    <col min="5138" max="5138" width="12.1328125" style="5" customWidth="1"/>
    <col min="5139" max="5346" width="12.1328125" style="5"/>
    <col min="5347" max="5361" width="12.1328125" style="5" customWidth="1"/>
    <col min="5362" max="5362" width="15.53125" style="5" customWidth="1"/>
    <col min="5363" max="5367" width="12.1328125" style="5" customWidth="1"/>
    <col min="5368" max="5377" width="0" style="5" hidden="1" customWidth="1"/>
    <col min="5378" max="5386" width="12.1328125" style="5" customWidth="1"/>
    <col min="5387" max="5387" width="38.86328125" style="5" bestFit="1" customWidth="1"/>
    <col min="5388" max="5388" width="42.6640625" style="5" bestFit="1" customWidth="1"/>
    <col min="5389" max="5389" width="42.46484375" style="5" bestFit="1" customWidth="1"/>
    <col min="5390" max="5391" width="12.1328125" style="5" customWidth="1"/>
    <col min="5392" max="5392" width="21.6640625" style="5" bestFit="1" customWidth="1"/>
    <col min="5393" max="5393" width="11.6640625" style="5" bestFit="1" customWidth="1"/>
    <col min="5394" max="5394" width="12.1328125" style="5" customWidth="1"/>
    <col min="5395" max="5602" width="12.1328125" style="5"/>
    <col min="5603" max="5617" width="12.1328125" style="5" customWidth="1"/>
    <col min="5618" max="5618" width="15.53125" style="5" customWidth="1"/>
    <col min="5619" max="5623" width="12.1328125" style="5" customWidth="1"/>
    <col min="5624" max="5633" width="0" style="5" hidden="1" customWidth="1"/>
    <col min="5634" max="5642" width="12.1328125" style="5" customWidth="1"/>
    <col min="5643" max="5643" width="38.86328125" style="5" bestFit="1" customWidth="1"/>
    <col min="5644" max="5644" width="42.6640625" style="5" bestFit="1" customWidth="1"/>
    <col min="5645" max="5645" width="42.46484375" style="5" bestFit="1" customWidth="1"/>
    <col min="5646" max="5647" width="12.1328125" style="5" customWidth="1"/>
    <col min="5648" max="5648" width="21.6640625" style="5" bestFit="1" customWidth="1"/>
    <col min="5649" max="5649" width="11.6640625" style="5" bestFit="1" customWidth="1"/>
    <col min="5650" max="5650" width="12.1328125" style="5" customWidth="1"/>
    <col min="5651" max="5858" width="12.1328125" style="5"/>
    <col min="5859" max="5873" width="12.1328125" style="5" customWidth="1"/>
    <col min="5874" max="5874" width="15.53125" style="5" customWidth="1"/>
    <col min="5875" max="5879" width="12.1328125" style="5" customWidth="1"/>
    <col min="5880" max="5889" width="0" style="5" hidden="1" customWidth="1"/>
    <col min="5890" max="5898" width="12.1328125" style="5" customWidth="1"/>
    <col min="5899" max="5899" width="38.86328125" style="5" bestFit="1" customWidth="1"/>
    <col min="5900" max="5900" width="42.6640625" style="5" bestFit="1" customWidth="1"/>
    <col min="5901" max="5901" width="42.46484375" style="5" bestFit="1" customWidth="1"/>
    <col min="5902" max="5903" width="12.1328125" style="5" customWidth="1"/>
    <col min="5904" max="5904" width="21.6640625" style="5" bestFit="1" customWidth="1"/>
    <col min="5905" max="5905" width="11.6640625" style="5" bestFit="1" customWidth="1"/>
    <col min="5906" max="5906" width="12.1328125" style="5" customWidth="1"/>
    <col min="5907" max="6114" width="12.1328125" style="5"/>
    <col min="6115" max="6129" width="12.1328125" style="5" customWidth="1"/>
    <col min="6130" max="6130" width="15.53125" style="5" customWidth="1"/>
    <col min="6131" max="6135" width="12.1328125" style="5" customWidth="1"/>
    <col min="6136" max="6145" width="0" style="5" hidden="1" customWidth="1"/>
    <col min="6146" max="6154" width="12.1328125" style="5" customWidth="1"/>
    <col min="6155" max="6155" width="38.86328125" style="5" bestFit="1" customWidth="1"/>
    <col min="6156" max="6156" width="42.6640625" style="5" bestFit="1" customWidth="1"/>
    <col min="6157" max="6157" width="42.46484375" style="5" bestFit="1" customWidth="1"/>
    <col min="6158" max="6159" width="12.1328125" style="5" customWidth="1"/>
    <col min="6160" max="6160" width="21.6640625" style="5" bestFit="1" customWidth="1"/>
    <col min="6161" max="6161" width="11.6640625" style="5" bestFit="1" customWidth="1"/>
    <col min="6162" max="6162" width="12.1328125" style="5" customWidth="1"/>
    <col min="6163" max="6370" width="12.1328125" style="5"/>
    <col min="6371" max="6385" width="12.1328125" style="5" customWidth="1"/>
    <col min="6386" max="6386" width="15.53125" style="5" customWidth="1"/>
    <col min="6387" max="6391" width="12.1328125" style="5" customWidth="1"/>
    <col min="6392" max="6401" width="0" style="5" hidden="1" customWidth="1"/>
    <col min="6402" max="6410" width="12.1328125" style="5" customWidth="1"/>
    <col min="6411" max="6411" width="38.86328125" style="5" bestFit="1" customWidth="1"/>
    <col min="6412" max="6412" width="42.6640625" style="5" bestFit="1" customWidth="1"/>
    <col min="6413" max="6413" width="42.46484375" style="5" bestFit="1" customWidth="1"/>
    <col min="6414" max="6415" width="12.1328125" style="5" customWidth="1"/>
    <col min="6416" max="6416" width="21.6640625" style="5" bestFit="1" customWidth="1"/>
    <col min="6417" max="6417" width="11.6640625" style="5" bestFit="1" customWidth="1"/>
    <col min="6418" max="6418" width="12.1328125" style="5" customWidth="1"/>
    <col min="6419" max="6626" width="12.1328125" style="5"/>
    <col min="6627" max="6641" width="12.1328125" style="5" customWidth="1"/>
    <col min="6642" max="6642" width="15.53125" style="5" customWidth="1"/>
    <col min="6643" max="6647" width="12.1328125" style="5" customWidth="1"/>
    <col min="6648" max="6657" width="0" style="5" hidden="1" customWidth="1"/>
    <col min="6658" max="6666" width="12.1328125" style="5" customWidth="1"/>
    <col min="6667" max="6667" width="38.86328125" style="5" bestFit="1" customWidth="1"/>
    <col min="6668" max="6668" width="42.6640625" style="5" bestFit="1" customWidth="1"/>
    <col min="6669" max="6669" width="42.46484375" style="5" bestFit="1" customWidth="1"/>
    <col min="6670" max="6671" width="12.1328125" style="5" customWidth="1"/>
    <col min="6672" max="6672" width="21.6640625" style="5" bestFit="1" customWidth="1"/>
    <col min="6673" max="6673" width="11.6640625" style="5" bestFit="1" customWidth="1"/>
    <col min="6674" max="6674" width="12.1328125" style="5" customWidth="1"/>
    <col min="6675" max="6882" width="12.1328125" style="5"/>
    <col min="6883" max="6897" width="12.1328125" style="5" customWidth="1"/>
    <col min="6898" max="6898" width="15.53125" style="5" customWidth="1"/>
    <col min="6899" max="6903" width="12.1328125" style="5" customWidth="1"/>
    <col min="6904" max="6913" width="0" style="5" hidden="1" customWidth="1"/>
    <col min="6914" max="6922" width="12.1328125" style="5" customWidth="1"/>
    <col min="6923" max="6923" width="38.86328125" style="5" bestFit="1" customWidth="1"/>
    <col min="6924" max="6924" width="42.6640625" style="5" bestFit="1" customWidth="1"/>
    <col min="6925" max="6925" width="42.46484375" style="5" bestFit="1" customWidth="1"/>
    <col min="6926" max="6927" width="12.1328125" style="5" customWidth="1"/>
    <col min="6928" max="6928" width="21.6640625" style="5" bestFit="1" customWidth="1"/>
    <col min="6929" max="6929" width="11.6640625" style="5" bestFit="1" customWidth="1"/>
    <col min="6930" max="6930" width="12.1328125" style="5" customWidth="1"/>
    <col min="6931" max="7138" width="12.1328125" style="5"/>
    <col min="7139" max="7153" width="12.1328125" style="5" customWidth="1"/>
    <col min="7154" max="7154" width="15.53125" style="5" customWidth="1"/>
    <col min="7155" max="7159" width="12.1328125" style="5" customWidth="1"/>
    <col min="7160" max="7169" width="0" style="5" hidden="1" customWidth="1"/>
    <col min="7170" max="7178" width="12.1328125" style="5" customWidth="1"/>
    <col min="7179" max="7179" width="38.86328125" style="5" bestFit="1" customWidth="1"/>
    <col min="7180" max="7180" width="42.6640625" style="5" bestFit="1" customWidth="1"/>
    <col min="7181" max="7181" width="42.46484375" style="5" bestFit="1" customWidth="1"/>
    <col min="7182" max="7183" width="12.1328125" style="5" customWidth="1"/>
    <col min="7184" max="7184" width="21.6640625" style="5" bestFit="1" customWidth="1"/>
    <col min="7185" max="7185" width="11.6640625" style="5" bestFit="1" customWidth="1"/>
    <col min="7186" max="7186" width="12.1328125" style="5" customWidth="1"/>
    <col min="7187" max="7394" width="12.1328125" style="5"/>
    <col min="7395" max="7409" width="12.1328125" style="5" customWidth="1"/>
    <col min="7410" max="7410" width="15.53125" style="5" customWidth="1"/>
    <col min="7411" max="7415" width="12.1328125" style="5" customWidth="1"/>
    <col min="7416" max="7425" width="0" style="5" hidden="1" customWidth="1"/>
    <col min="7426" max="7434" width="12.1328125" style="5" customWidth="1"/>
    <col min="7435" max="7435" width="38.86328125" style="5" bestFit="1" customWidth="1"/>
    <col min="7436" max="7436" width="42.6640625" style="5" bestFit="1" customWidth="1"/>
    <col min="7437" max="7437" width="42.46484375" style="5" bestFit="1" customWidth="1"/>
    <col min="7438" max="7439" width="12.1328125" style="5" customWidth="1"/>
    <col min="7440" max="7440" width="21.6640625" style="5" bestFit="1" customWidth="1"/>
    <col min="7441" max="7441" width="11.6640625" style="5" bestFit="1" customWidth="1"/>
    <col min="7442" max="7442" width="12.1328125" style="5" customWidth="1"/>
    <col min="7443" max="7650" width="12.1328125" style="5"/>
    <col min="7651" max="7665" width="12.1328125" style="5" customWidth="1"/>
    <col min="7666" max="7666" width="15.53125" style="5" customWidth="1"/>
    <col min="7667" max="7671" width="12.1328125" style="5" customWidth="1"/>
    <col min="7672" max="7681" width="0" style="5" hidden="1" customWidth="1"/>
    <col min="7682" max="7690" width="12.1328125" style="5" customWidth="1"/>
    <col min="7691" max="7691" width="38.86328125" style="5" bestFit="1" customWidth="1"/>
    <col min="7692" max="7692" width="42.6640625" style="5" bestFit="1" customWidth="1"/>
    <col min="7693" max="7693" width="42.46484375" style="5" bestFit="1" customWidth="1"/>
    <col min="7694" max="7695" width="12.1328125" style="5" customWidth="1"/>
    <col min="7696" max="7696" width="21.6640625" style="5" bestFit="1" customWidth="1"/>
    <col min="7697" max="7697" width="11.6640625" style="5" bestFit="1" customWidth="1"/>
    <col min="7698" max="7698" width="12.1328125" style="5" customWidth="1"/>
    <col min="7699" max="7906" width="12.1328125" style="5"/>
    <col min="7907" max="7921" width="12.1328125" style="5" customWidth="1"/>
    <col min="7922" max="7922" width="15.53125" style="5" customWidth="1"/>
    <col min="7923" max="7927" width="12.1328125" style="5" customWidth="1"/>
    <col min="7928" max="7937" width="0" style="5" hidden="1" customWidth="1"/>
    <col min="7938" max="7946" width="12.1328125" style="5" customWidth="1"/>
    <col min="7947" max="7947" width="38.86328125" style="5" bestFit="1" customWidth="1"/>
    <col min="7948" max="7948" width="42.6640625" style="5" bestFit="1" customWidth="1"/>
    <col min="7949" max="7949" width="42.46484375" style="5" bestFit="1" customWidth="1"/>
    <col min="7950" max="7951" width="12.1328125" style="5" customWidth="1"/>
    <col min="7952" max="7952" width="21.6640625" style="5" bestFit="1" customWidth="1"/>
    <col min="7953" max="7953" width="11.6640625" style="5" bestFit="1" customWidth="1"/>
    <col min="7954" max="7954" width="12.1328125" style="5" customWidth="1"/>
    <col min="7955" max="8162" width="12.1328125" style="5"/>
    <col min="8163" max="8177" width="12.1328125" style="5" customWidth="1"/>
    <col min="8178" max="8178" width="15.53125" style="5" customWidth="1"/>
    <col min="8179" max="8183" width="12.1328125" style="5" customWidth="1"/>
    <col min="8184" max="8193" width="0" style="5" hidden="1" customWidth="1"/>
    <col min="8194" max="8202" width="12.1328125" style="5" customWidth="1"/>
    <col min="8203" max="8203" width="38.86328125" style="5" bestFit="1" customWidth="1"/>
    <col min="8204" max="8204" width="42.6640625" style="5" bestFit="1" customWidth="1"/>
    <col min="8205" max="8205" width="42.46484375" style="5" bestFit="1" customWidth="1"/>
    <col min="8206" max="8207" width="12.1328125" style="5" customWidth="1"/>
    <col min="8208" max="8208" width="21.6640625" style="5" bestFit="1" customWidth="1"/>
    <col min="8209" max="8209" width="11.6640625" style="5" bestFit="1" customWidth="1"/>
    <col min="8210" max="8210" width="12.1328125" style="5" customWidth="1"/>
    <col min="8211" max="8418" width="12.1328125" style="5"/>
    <col min="8419" max="8433" width="12.1328125" style="5" customWidth="1"/>
    <col min="8434" max="8434" width="15.53125" style="5" customWidth="1"/>
    <col min="8435" max="8439" width="12.1328125" style="5" customWidth="1"/>
    <col min="8440" max="8449" width="0" style="5" hidden="1" customWidth="1"/>
    <col min="8450" max="8458" width="12.1328125" style="5" customWidth="1"/>
    <col min="8459" max="8459" width="38.86328125" style="5" bestFit="1" customWidth="1"/>
    <col min="8460" max="8460" width="42.6640625" style="5" bestFit="1" customWidth="1"/>
    <col min="8461" max="8461" width="42.46484375" style="5" bestFit="1" customWidth="1"/>
    <col min="8462" max="8463" width="12.1328125" style="5" customWidth="1"/>
    <col min="8464" max="8464" width="21.6640625" style="5" bestFit="1" customWidth="1"/>
    <col min="8465" max="8465" width="11.6640625" style="5" bestFit="1" customWidth="1"/>
    <col min="8466" max="8466" width="12.1328125" style="5" customWidth="1"/>
    <col min="8467" max="8674" width="12.1328125" style="5"/>
    <col min="8675" max="8689" width="12.1328125" style="5" customWidth="1"/>
    <col min="8690" max="8690" width="15.53125" style="5" customWidth="1"/>
    <col min="8691" max="8695" width="12.1328125" style="5" customWidth="1"/>
    <col min="8696" max="8705" width="0" style="5" hidden="1" customWidth="1"/>
    <col min="8706" max="8714" width="12.1328125" style="5" customWidth="1"/>
    <col min="8715" max="8715" width="38.86328125" style="5" bestFit="1" customWidth="1"/>
    <col min="8716" max="8716" width="42.6640625" style="5" bestFit="1" customWidth="1"/>
    <col min="8717" max="8717" width="42.46484375" style="5" bestFit="1" customWidth="1"/>
    <col min="8718" max="8719" width="12.1328125" style="5" customWidth="1"/>
    <col min="8720" max="8720" width="21.6640625" style="5" bestFit="1" customWidth="1"/>
    <col min="8721" max="8721" width="11.6640625" style="5" bestFit="1" customWidth="1"/>
    <col min="8722" max="8722" width="12.1328125" style="5" customWidth="1"/>
    <col min="8723" max="8930" width="12.1328125" style="5"/>
    <col min="8931" max="8945" width="12.1328125" style="5" customWidth="1"/>
    <col min="8946" max="8946" width="15.53125" style="5" customWidth="1"/>
    <col min="8947" max="8951" width="12.1328125" style="5" customWidth="1"/>
    <col min="8952" max="8961" width="0" style="5" hidden="1" customWidth="1"/>
    <col min="8962" max="8970" width="12.1328125" style="5" customWidth="1"/>
    <col min="8971" max="8971" width="38.86328125" style="5" bestFit="1" customWidth="1"/>
    <col min="8972" max="8972" width="42.6640625" style="5" bestFit="1" customWidth="1"/>
    <col min="8973" max="8973" width="42.46484375" style="5" bestFit="1" customWidth="1"/>
    <col min="8974" max="8975" width="12.1328125" style="5" customWidth="1"/>
    <col min="8976" max="8976" width="21.6640625" style="5" bestFit="1" customWidth="1"/>
    <col min="8977" max="8977" width="11.6640625" style="5" bestFit="1" customWidth="1"/>
    <col min="8978" max="8978" width="12.1328125" style="5" customWidth="1"/>
    <col min="8979" max="9186" width="12.1328125" style="5"/>
    <col min="9187" max="9201" width="12.1328125" style="5" customWidth="1"/>
    <col min="9202" max="9202" width="15.53125" style="5" customWidth="1"/>
    <col min="9203" max="9207" width="12.1328125" style="5" customWidth="1"/>
    <col min="9208" max="9217" width="0" style="5" hidden="1" customWidth="1"/>
    <col min="9218" max="9226" width="12.1328125" style="5" customWidth="1"/>
    <col min="9227" max="9227" width="38.86328125" style="5" bestFit="1" customWidth="1"/>
    <col min="9228" max="9228" width="42.6640625" style="5" bestFit="1" customWidth="1"/>
    <col min="9229" max="9229" width="42.46484375" style="5" bestFit="1" customWidth="1"/>
    <col min="9230" max="9231" width="12.1328125" style="5" customWidth="1"/>
    <col min="9232" max="9232" width="21.6640625" style="5" bestFit="1" customWidth="1"/>
    <col min="9233" max="9233" width="11.6640625" style="5" bestFit="1" customWidth="1"/>
    <col min="9234" max="9234" width="12.1328125" style="5" customWidth="1"/>
    <col min="9235" max="9442" width="12.1328125" style="5"/>
    <col min="9443" max="9457" width="12.1328125" style="5" customWidth="1"/>
    <col min="9458" max="9458" width="15.53125" style="5" customWidth="1"/>
    <col min="9459" max="9463" width="12.1328125" style="5" customWidth="1"/>
    <col min="9464" max="9473" width="0" style="5" hidden="1" customWidth="1"/>
    <col min="9474" max="9482" width="12.1328125" style="5" customWidth="1"/>
    <col min="9483" max="9483" width="38.86328125" style="5" bestFit="1" customWidth="1"/>
    <col min="9484" max="9484" width="42.6640625" style="5" bestFit="1" customWidth="1"/>
    <col min="9485" max="9485" width="42.46484375" style="5" bestFit="1" customWidth="1"/>
    <col min="9486" max="9487" width="12.1328125" style="5" customWidth="1"/>
    <col min="9488" max="9488" width="21.6640625" style="5" bestFit="1" customWidth="1"/>
    <col min="9489" max="9489" width="11.6640625" style="5" bestFit="1" customWidth="1"/>
    <col min="9490" max="9490" width="12.1328125" style="5" customWidth="1"/>
    <col min="9491" max="9698" width="12.1328125" style="5"/>
    <col min="9699" max="9713" width="12.1328125" style="5" customWidth="1"/>
    <col min="9714" max="9714" width="15.53125" style="5" customWidth="1"/>
    <col min="9715" max="9719" width="12.1328125" style="5" customWidth="1"/>
    <col min="9720" max="9729" width="0" style="5" hidden="1" customWidth="1"/>
    <col min="9730" max="9738" width="12.1328125" style="5" customWidth="1"/>
    <col min="9739" max="9739" width="38.86328125" style="5" bestFit="1" customWidth="1"/>
    <col min="9740" max="9740" width="42.6640625" style="5" bestFit="1" customWidth="1"/>
    <col min="9741" max="9741" width="42.46484375" style="5" bestFit="1" customWidth="1"/>
    <col min="9742" max="9743" width="12.1328125" style="5" customWidth="1"/>
    <col min="9744" max="9744" width="21.6640625" style="5" bestFit="1" customWidth="1"/>
    <col min="9745" max="9745" width="11.6640625" style="5" bestFit="1" customWidth="1"/>
    <col min="9746" max="9746" width="12.1328125" style="5" customWidth="1"/>
    <col min="9747" max="9954" width="12.1328125" style="5"/>
    <col min="9955" max="9969" width="12.1328125" style="5" customWidth="1"/>
    <col min="9970" max="9970" width="15.53125" style="5" customWidth="1"/>
    <col min="9971" max="9975" width="12.1328125" style="5" customWidth="1"/>
    <col min="9976" max="9985" width="0" style="5" hidden="1" customWidth="1"/>
    <col min="9986" max="9994" width="12.1328125" style="5" customWidth="1"/>
    <col min="9995" max="9995" width="38.86328125" style="5" bestFit="1" customWidth="1"/>
    <col min="9996" max="9996" width="42.6640625" style="5" bestFit="1" customWidth="1"/>
    <col min="9997" max="9997" width="42.46484375" style="5" bestFit="1" customWidth="1"/>
    <col min="9998" max="9999" width="12.1328125" style="5" customWidth="1"/>
    <col min="10000" max="10000" width="21.6640625" style="5" bestFit="1" customWidth="1"/>
    <col min="10001" max="10001" width="11.6640625" style="5" bestFit="1" customWidth="1"/>
    <col min="10002" max="10002" width="12.1328125" style="5" customWidth="1"/>
    <col min="10003" max="10210" width="12.1328125" style="5"/>
    <col min="10211" max="10225" width="12.1328125" style="5" customWidth="1"/>
    <col min="10226" max="10226" width="15.53125" style="5" customWidth="1"/>
    <col min="10227" max="10231" width="12.1328125" style="5" customWidth="1"/>
    <col min="10232" max="10241" width="0" style="5" hidden="1" customWidth="1"/>
    <col min="10242" max="10250" width="12.1328125" style="5" customWidth="1"/>
    <col min="10251" max="10251" width="38.86328125" style="5" bestFit="1" customWidth="1"/>
    <col min="10252" max="10252" width="42.6640625" style="5" bestFit="1" customWidth="1"/>
    <col min="10253" max="10253" width="42.46484375" style="5" bestFit="1" customWidth="1"/>
    <col min="10254" max="10255" width="12.1328125" style="5" customWidth="1"/>
    <col min="10256" max="10256" width="21.6640625" style="5" bestFit="1" customWidth="1"/>
    <col min="10257" max="10257" width="11.6640625" style="5" bestFit="1" customWidth="1"/>
    <col min="10258" max="10258" width="12.1328125" style="5" customWidth="1"/>
    <col min="10259" max="10466" width="12.1328125" style="5"/>
    <col min="10467" max="10481" width="12.1328125" style="5" customWidth="1"/>
    <col min="10482" max="10482" width="15.53125" style="5" customWidth="1"/>
    <col min="10483" max="10487" width="12.1328125" style="5" customWidth="1"/>
    <col min="10488" max="10497" width="0" style="5" hidden="1" customWidth="1"/>
    <col min="10498" max="10506" width="12.1328125" style="5" customWidth="1"/>
    <col min="10507" max="10507" width="38.86328125" style="5" bestFit="1" customWidth="1"/>
    <col min="10508" max="10508" width="42.6640625" style="5" bestFit="1" customWidth="1"/>
    <col min="10509" max="10509" width="42.46484375" style="5" bestFit="1" customWidth="1"/>
    <col min="10510" max="10511" width="12.1328125" style="5" customWidth="1"/>
    <col min="10512" max="10512" width="21.6640625" style="5" bestFit="1" customWidth="1"/>
    <col min="10513" max="10513" width="11.6640625" style="5" bestFit="1" customWidth="1"/>
    <col min="10514" max="10514" width="12.1328125" style="5" customWidth="1"/>
    <col min="10515" max="10722" width="12.1328125" style="5"/>
    <col min="10723" max="10737" width="12.1328125" style="5" customWidth="1"/>
    <col min="10738" max="10738" width="15.53125" style="5" customWidth="1"/>
    <col min="10739" max="10743" width="12.1328125" style="5" customWidth="1"/>
    <col min="10744" max="10753" width="0" style="5" hidden="1" customWidth="1"/>
    <col min="10754" max="10762" width="12.1328125" style="5" customWidth="1"/>
    <col min="10763" max="10763" width="38.86328125" style="5" bestFit="1" customWidth="1"/>
    <col min="10764" max="10764" width="42.6640625" style="5" bestFit="1" customWidth="1"/>
    <col min="10765" max="10765" width="42.46484375" style="5" bestFit="1" customWidth="1"/>
    <col min="10766" max="10767" width="12.1328125" style="5" customWidth="1"/>
    <col min="10768" max="10768" width="21.6640625" style="5" bestFit="1" customWidth="1"/>
    <col min="10769" max="10769" width="11.6640625" style="5" bestFit="1" customWidth="1"/>
    <col min="10770" max="10770" width="12.1328125" style="5" customWidth="1"/>
    <col min="10771" max="10978" width="12.1328125" style="5"/>
    <col min="10979" max="10993" width="12.1328125" style="5" customWidth="1"/>
    <col min="10994" max="10994" width="15.53125" style="5" customWidth="1"/>
    <col min="10995" max="10999" width="12.1328125" style="5" customWidth="1"/>
    <col min="11000" max="11009" width="0" style="5" hidden="1" customWidth="1"/>
    <col min="11010" max="11018" width="12.1328125" style="5" customWidth="1"/>
    <col min="11019" max="11019" width="38.86328125" style="5" bestFit="1" customWidth="1"/>
    <col min="11020" max="11020" width="42.6640625" style="5" bestFit="1" customWidth="1"/>
    <col min="11021" max="11021" width="42.46484375" style="5" bestFit="1" customWidth="1"/>
    <col min="11022" max="11023" width="12.1328125" style="5" customWidth="1"/>
    <col min="11024" max="11024" width="21.6640625" style="5" bestFit="1" customWidth="1"/>
    <col min="11025" max="11025" width="11.6640625" style="5" bestFit="1" customWidth="1"/>
    <col min="11026" max="11026" width="12.1328125" style="5" customWidth="1"/>
    <col min="11027" max="11234" width="12.1328125" style="5"/>
    <col min="11235" max="11249" width="12.1328125" style="5" customWidth="1"/>
    <col min="11250" max="11250" width="15.53125" style="5" customWidth="1"/>
    <col min="11251" max="11255" width="12.1328125" style="5" customWidth="1"/>
    <col min="11256" max="11265" width="0" style="5" hidden="1" customWidth="1"/>
    <col min="11266" max="11274" width="12.1328125" style="5" customWidth="1"/>
    <col min="11275" max="11275" width="38.86328125" style="5" bestFit="1" customWidth="1"/>
    <col min="11276" max="11276" width="42.6640625" style="5" bestFit="1" customWidth="1"/>
    <col min="11277" max="11277" width="42.46484375" style="5" bestFit="1" customWidth="1"/>
    <col min="11278" max="11279" width="12.1328125" style="5" customWidth="1"/>
    <col min="11280" max="11280" width="21.6640625" style="5" bestFit="1" customWidth="1"/>
    <col min="11281" max="11281" width="11.6640625" style="5" bestFit="1" customWidth="1"/>
    <col min="11282" max="11282" width="12.1328125" style="5" customWidth="1"/>
    <col min="11283" max="11490" width="12.1328125" style="5"/>
    <col min="11491" max="11505" width="12.1328125" style="5" customWidth="1"/>
    <col min="11506" max="11506" width="15.53125" style="5" customWidth="1"/>
    <col min="11507" max="11511" width="12.1328125" style="5" customWidth="1"/>
    <col min="11512" max="11521" width="0" style="5" hidden="1" customWidth="1"/>
    <col min="11522" max="11530" width="12.1328125" style="5" customWidth="1"/>
    <col min="11531" max="11531" width="38.86328125" style="5" bestFit="1" customWidth="1"/>
    <col min="11532" max="11532" width="42.6640625" style="5" bestFit="1" customWidth="1"/>
    <col min="11533" max="11533" width="42.46484375" style="5" bestFit="1" customWidth="1"/>
    <col min="11534" max="11535" width="12.1328125" style="5" customWidth="1"/>
    <col min="11536" max="11536" width="21.6640625" style="5" bestFit="1" customWidth="1"/>
    <col min="11537" max="11537" width="11.6640625" style="5" bestFit="1" customWidth="1"/>
    <col min="11538" max="11538" width="12.1328125" style="5" customWidth="1"/>
    <col min="11539" max="11746" width="12.1328125" style="5"/>
    <col min="11747" max="11761" width="12.1328125" style="5" customWidth="1"/>
    <col min="11762" max="11762" width="15.53125" style="5" customWidth="1"/>
    <col min="11763" max="11767" width="12.1328125" style="5" customWidth="1"/>
    <col min="11768" max="11777" width="0" style="5" hidden="1" customWidth="1"/>
    <col min="11778" max="11786" width="12.1328125" style="5" customWidth="1"/>
    <col min="11787" max="11787" width="38.86328125" style="5" bestFit="1" customWidth="1"/>
    <col min="11788" max="11788" width="42.6640625" style="5" bestFit="1" customWidth="1"/>
    <col min="11789" max="11789" width="42.46484375" style="5" bestFit="1" customWidth="1"/>
    <col min="11790" max="11791" width="12.1328125" style="5" customWidth="1"/>
    <col min="11792" max="11792" width="21.6640625" style="5" bestFit="1" customWidth="1"/>
    <col min="11793" max="11793" width="11.6640625" style="5" bestFit="1" customWidth="1"/>
    <col min="11794" max="11794" width="12.1328125" style="5" customWidth="1"/>
    <col min="11795" max="12002" width="12.1328125" style="5"/>
    <col min="12003" max="12017" width="12.1328125" style="5" customWidth="1"/>
    <col min="12018" max="12018" width="15.53125" style="5" customWidth="1"/>
    <col min="12019" max="12023" width="12.1328125" style="5" customWidth="1"/>
    <col min="12024" max="12033" width="0" style="5" hidden="1" customWidth="1"/>
    <col min="12034" max="12042" width="12.1328125" style="5" customWidth="1"/>
    <col min="12043" max="12043" width="38.86328125" style="5" bestFit="1" customWidth="1"/>
    <col min="12044" max="12044" width="42.6640625" style="5" bestFit="1" customWidth="1"/>
    <col min="12045" max="12045" width="42.46484375" style="5" bestFit="1" customWidth="1"/>
    <col min="12046" max="12047" width="12.1328125" style="5" customWidth="1"/>
    <col min="12048" max="12048" width="21.6640625" style="5" bestFit="1" customWidth="1"/>
    <col min="12049" max="12049" width="11.6640625" style="5" bestFit="1" customWidth="1"/>
    <col min="12050" max="12050" width="12.1328125" style="5" customWidth="1"/>
    <col min="12051" max="12258" width="12.1328125" style="5"/>
    <col min="12259" max="12273" width="12.1328125" style="5" customWidth="1"/>
    <col min="12274" max="12274" width="15.53125" style="5" customWidth="1"/>
    <col min="12275" max="12279" width="12.1328125" style="5" customWidth="1"/>
    <col min="12280" max="12289" width="0" style="5" hidden="1" customWidth="1"/>
    <col min="12290" max="12298" width="12.1328125" style="5" customWidth="1"/>
    <col min="12299" max="12299" width="38.86328125" style="5" bestFit="1" customWidth="1"/>
    <col min="12300" max="12300" width="42.6640625" style="5" bestFit="1" customWidth="1"/>
    <col min="12301" max="12301" width="42.46484375" style="5" bestFit="1" customWidth="1"/>
    <col min="12302" max="12303" width="12.1328125" style="5" customWidth="1"/>
    <col min="12304" max="12304" width="21.6640625" style="5" bestFit="1" customWidth="1"/>
    <col min="12305" max="12305" width="11.6640625" style="5" bestFit="1" customWidth="1"/>
    <col min="12306" max="12306" width="12.1328125" style="5" customWidth="1"/>
    <col min="12307" max="12514" width="12.1328125" style="5"/>
    <col min="12515" max="12529" width="12.1328125" style="5" customWidth="1"/>
    <col min="12530" max="12530" width="15.53125" style="5" customWidth="1"/>
    <col min="12531" max="12535" width="12.1328125" style="5" customWidth="1"/>
    <col min="12536" max="12545" width="0" style="5" hidden="1" customWidth="1"/>
    <col min="12546" max="12554" width="12.1328125" style="5" customWidth="1"/>
    <col min="12555" max="12555" width="38.86328125" style="5" bestFit="1" customWidth="1"/>
    <col min="12556" max="12556" width="42.6640625" style="5" bestFit="1" customWidth="1"/>
    <col min="12557" max="12557" width="42.46484375" style="5" bestFit="1" customWidth="1"/>
    <col min="12558" max="12559" width="12.1328125" style="5" customWidth="1"/>
    <col min="12560" max="12560" width="21.6640625" style="5" bestFit="1" customWidth="1"/>
    <col min="12561" max="12561" width="11.6640625" style="5" bestFit="1" customWidth="1"/>
    <col min="12562" max="12562" width="12.1328125" style="5" customWidth="1"/>
    <col min="12563" max="12770" width="12.1328125" style="5"/>
    <col min="12771" max="12785" width="12.1328125" style="5" customWidth="1"/>
    <col min="12786" max="12786" width="15.53125" style="5" customWidth="1"/>
    <col min="12787" max="12791" width="12.1328125" style="5" customWidth="1"/>
    <col min="12792" max="12801" width="0" style="5" hidden="1" customWidth="1"/>
    <col min="12802" max="12810" width="12.1328125" style="5" customWidth="1"/>
    <col min="12811" max="12811" width="38.86328125" style="5" bestFit="1" customWidth="1"/>
    <col min="12812" max="12812" width="42.6640625" style="5" bestFit="1" customWidth="1"/>
    <col min="12813" max="12813" width="42.46484375" style="5" bestFit="1" customWidth="1"/>
    <col min="12814" max="12815" width="12.1328125" style="5" customWidth="1"/>
    <col min="12816" max="12816" width="21.6640625" style="5" bestFit="1" customWidth="1"/>
    <col min="12817" max="12817" width="11.6640625" style="5" bestFit="1" customWidth="1"/>
    <col min="12818" max="12818" width="12.1328125" style="5" customWidth="1"/>
    <col min="12819" max="13026" width="12.1328125" style="5"/>
    <col min="13027" max="13041" width="12.1328125" style="5" customWidth="1"/>
    <col min="13042" max="13042" width="15.53125" style="5" customWidth="1"/>
    <col min="13043" max="13047" width="12.1328125" style="5" customWidth="1"/>
    <col min="13048" max="13057" width="0" style="5" hidden="1" customWidth="1"/>
    <col min="13058" max="13066" width="12.1328125" style="5" customWidth="1"/>
    <col min="13067" max="13067" width="38.86328125" style="5" bestFit="1" customWidth="1"/>
    <col min="13068" max="13068" width="42.6640625" style="5" bestFit="1" customWidth="1"/>
    <col min="13069" max="13069" width="42.46484375" style="5" bestFit="1" customWidth="1"/>
    <col min="13070" max="13071" width="12.1328125" style="5" customWidth="1"/>
    <col min="13072" max="13072" width="21.6640625" style="5" bestFit="1" customWidth="1"/>
    <col min="13073" max="13073" width="11.6640625" style="5" bestFit="1" customWidth="1"/>
    <col min="13074" max="13074" width="12.1328125" style="5" customWidth="1"/>
    <col min="13075" max="13282" width="12.1328125" style="5"/>
    <col min="13283" max="13297" width="12.1328125" style="5" customWidth="1"/>
    <col min="13298" max="13298" width="15.53125" style="5" customWidth="1"/>
    <col min="13299" max="13303" width="12.1328125" style="5" customWidth="1"/>
    <col min="13304" max="13313" width="0" style="5" hidden="1" customWidth="1"/>
    <col min="13314" max="13322" width="12.1328125" style="5" customWidth="1"/>
    <col min="13323" max="13323" width="38.86328125" style="5" bestFit="1" customWidth="1"/>
    <col min="13324" max="13324" width="42.6640625" style="5" bestFit="1" customWidth="1"/>
    <col min="13325" max="13325" width="42.46484375" style="5" bestFit="1" customWidth="1"/>
    <col min="13326" max="13327" width="12.1328125" style="5" customWidth="1"/>
    <col min="13328" max="13328" width="21.6640625" style="5" bestFit="1" customWidth="1"/>
    <col min="13329" max="13329" width="11.6640625" style="5" bestFit="1" customWidth="1"/>
    <col min="13330" max="13330" width="12.1328125" style="5" customWidth="1"/>
    <col min="13331" max="13538" width="12.1328125" style="5"/>
    <col min="13539" max="13553" width="12.1328125" style="5" customWidth="1"/>
    <col min="13554" max="13554" width="15.53125" style="5" customWidth="1"/>
    <col min="13555" max="13559" width="12.1328125" style="5" customWidth="1"/>
    <col min="13560" max="13569" width="0" style="5" hidden="1" customWidth="1"/>
    <col min="13570" max="13578" width="12.1328125" style="5" customWidth="1"/>
    <col min="13579" max="13579" width="38.86328125" style="5" bestFit="1" customWidth="1"/>
    <col min="13580" max="13580" width="42.6640625" style="5" bestFit="1" customWidth="1"/>
    <col min="13581" max="13581" width="42.46484375" style="5" bestFit="1" customWidth="1"/>
    <col min="13582" max="13583" width="12.1328125" style="5" customWidth="1"/>
    <col min="13584" max="13584" width="21.6640625" style="5" bestFit="1" customWidth="1"/>
    <col min="13585" max="13585" width="11.6640625" style="5" bestFit="1" customWidth="1"/>
    <col min="13586" max="13586" width="12.1328125" style="5" customWidth="1"/>
    <col min="13587" max="13794" width="12.1328125" style="5"/>
    <col min="13795" max="13809" width="12.1328125" style="5" customWidth="1"/>
    <col min="13810" max="13810" width="15.53125" style="5" customWidth="1"/>
    <col min="13811" max="13815" width="12.1328125" style="5" customWidth="1"/>
    <col min="13816" max="13825" width="0" style="5" hidden="1" customWidth="1"/>
    <col min="13826" max="13834" width="12.1328125" style="5" customWidth="1"/>
    <col min="13835" max="13835" width="38.86328125" style="5" bestFit="1" customWidth="1"/>
    <col min="13836" max="13836" width="42.6640625" style="5" bestFit="1" customWidth="1"/>
    <col min="13837" max="13837" width="42.46484375" style="5" bestFit="1" customWidth="1"/>
    <col min="13838" max="13839" width="12.1328125" style="5" customWidth="1"/>
    <col min="13840" max="13840" width="21.6640625" style="5" bestFit="1" customWidth="1"/>
    <col min="13841" max="13841" width="11.6640625" style="5" bestFit="1" customWidth="1"/>
    <col min="13842" max="13842" width="12.1328125" style="5" customWidth="1"/>
    <col min="13843" max="14050" width="12.1328125" style="5"/>
    <col min="14051" max="14065" width="12.1328125" style="5" customWidth="1"/>
    <col min="14066" max="14066" width="15.53125" style="5" customWidth="1"/>
    <col min="14067" max="14071" width="12.1328125" style="5" customWidth="1"/>
    <col min="14072" max="14081" width="0" style="5" hidden="1" customWidth="1"/>
    <col min="14082" max="14090" width="12.1328125" style="5" customWidth="1"/>
    <col min="14091" max="14091" width="38.86328125" style="5" bestFit="1" customWidth="1"/>
    <col min="14092" max="14092" width="42.6640625" style="5" bestFit="1" customWidth="1"/>
    <col min="14093" max="14093" width="42.46484375" style="5" bestFit="1" customWidth="1"/>
    <col min="14094" max="14095" width="12.1328125" style="5" customWidth="1"/>
    <col min="14096" max="14096" width="21.6640625" style="5" bestFit="1" customWidth="1"/>
    <col min="14097" max="14097" width="11.6640625" style="5" bestFit="1" customWidth="1"/>
    <col min="14098" max="14098" width="12.1328125" style="5" customWidth="1"/>
    <col min="14099" max="14306" width="12.1328125" style="5"/>
    <col min="14307" max="14321" width="12.1328125" style="5" customWidth="1"/>
    <col min="14322" max="14322" width="15.53125" style="5" customWidth="1"/>
    <col min="14323" max="14327" width="12.1328125" style="5" customWidth="1"/>
    <col min="14328" max="14337" width="0" style="5" hidden="1" customWidth="1"/>
    <col min="14338" max="14346" width="12.1328125" style="5" customWidth="1"/>
    <col min="14347" max="14347" width="38.86328125" style="5" bestFit="1" customWidth="1"/>
    <col min="14348" max="14348" width="42.6640625" style="5" bestFit="1" customWidth="1"/>
    <col min="14349" max="14349" width="42.46484375" style="5" bestFit="1" customWidth="1"/>
    <col min="14350" max="14351" width="12.1328125" style="5" customWidth="1"/>
    <col min="14352" max="14352" width="21.6640625" style="5" bestFit="1" customWidth="1"/>
    <col min="14353" max="14353" width="11.6640625" style="5" bestFit="1" customWidth="1"/>
    <col min="14354" max="14354" width="12.1328125" style="5" customWidth="1"/>
    <col min="14355" max="14562" width="12.1328125" style="5"/>
    <col min="14563" max="14577" width="12.1328125" style="5" customWidth="1"/>
    <col min="14578" max="14578" width="15.53125" style="5" customWidth="1"/>
    <col min="14579" max="14583" width="12.1328125" style="5" customWidth="1"/>
    <col min="14584" max="14593" width="0" style="5" hidden="1" customWidth="1"/>
    <col min="14594" max="14602" width="12.1328125" style="5" customWidth="1"/>
    <col min="14603" max="14603" width="38.86328125" style="5" bestFit="1" customWidth="1"/>
    <col min="14604" max="14604" width="42.6640625" style="5" bestFit="1" customWidth="1"/>
    <col min="14605" max="14605" width="42.46484375" style="5" bestFit="1" customWidth="1"/>
    <col min="14606" max="14607" width="12.1328125" style="5" customWidth="1"/>
    <col min="14608" max="14608" width="21.6640625" style="5" bestFit="1" customWidth="1"/>
    <col min="14609" max="14609" width="11.6640625" style="5" bestFit="1" customWidth="1"/>
    <col min="14610" max="14610" width="12.1328125" style="5" customWidth="1"/>
    <col min="14611" max="14818" width="12.1328125" style="5"/>
    <col min="14819" max="14833" width="12.1328125" style="5" customWidth="1"/>
    <col min="14834" max="14834" width="15.53125" style="5" customWidth="1"/>
    <col min="14835" max="14839" width="12.1328125" style="5" customWidth="1"/>
    <col min="14840" max="14849" width="0" style="5" hidden="1" customWidth="1"/>
    <col min="14850" max="14858" width="12.1328125" style="5" customWidth="1"/>
    <col min="14859" max="14859" width="38.86328125" style="5" bestFit="1" customWidth="1"/>
    <col min="14860" max="14860" width="42.6640625" style="5" bestFit="1" customWidth="1"/>
    <col min="14861" max="14861" width="42.46484375" style="5" bestFit="1" customWidth="1"/>
    <col min="14862" max="14863" width="12.1328125" style="5" customWidth="1"/>
    <col min="14864" max="14864" width="21.6640625" style="5" bestFit="1" customWidth="1"/>
    <col min="14865" max="14865" width="11.6640625" style="5" bestFit="1" customWidth="1"/>
    <col min="14866" max="14866" width="12.1328125" style="5" customWidth="1"/>
    <col min="14867" max="15074" width="12.1328125" style="5"/>
    <col min="15075" max="15089" width="12.1328125" style="5" customWidth="1"/>
    <col min="15090" max="15090" width="15.53125" style="5" customWidth="1"/>
    <col min="15091" max="15095" width="12.1328125" style="5" customWidth="1"/>
    <col min="15096" max="15105" width="0" style="5" hidden="1" customWidth="1"/>
    <col min="15106" max="15114" width="12.1328125" style="5" customWidth="1"/>
    <col min="15115" max="15115" width="38.86328125" style="5" bestFit="1" customWidth="1"/>
    <col min="15116" max="15116" width="42.6640625" style="5" bestFit="1" customWidth="1"/>
    <col min="15117" max="15117" width="42.46484375" style="5" bestFit="1" customWidth="1"/>
    <col min="15118" max="15119" width="12.1328125" style="5" customWidth="1"/>
    <col min="15120" max="15120" width="21.6640625" style="5" bestFit="1" customWidth="1"/>
    <col min="15121" max="15121" width="11.6640625" style="5" bestFit="1" customWidth="1"/>
    <col min="15122" max="15122" width="12.1328125" style="5" customWidth="1"/>
    <col min="15123" max="15330" width="12.1328125" style="5"/>
    <col min="15331" max="15345" width="12.1328125" style="5" customWidth="1"/>
    <col min="15346" max="15346" width="15.53125" style="5" customWidth="1"/>
    <col min="15347" max="15351" width="12.1328125" style="5" customWidth="1"/>
    <col min="15352" max="15361" width="0" style="5" hidden="1" customWidth="1"/>
    <col min="15362" max="15370" width="12.1328125" style="5" customWidth="1"/>
    <col min="15371" max="15371" width="38.86328125" style="5" bestFit="1" customWidth="1"/>
    <col min="15372" max="15372" width="42.6640625" style="5" bestFit="1" customWidth="1"/>
    <col min="15373" max="15373" width="42.46484375" style="5" bestFit="1" customWidth="1"/>
    <col min="15374" max="15375" width="12.1328125" style="5" customWidth="1"/>
    <col min="15376" max="15376" width="21.6640625" style="5" bestFit="1" customWidth="1"/>
    <col min="15377" max="15377" width="11.6640625" style="5" bestFit="1" customWidth="1"/>
    <col min="15378" max="15378" width="12.1328125" style="5" customWidth="1"/>
    <col min="15379" max="15586" width="12.1328125" style="5"/>
    <col min="15587" max="15601" width="12.1328125" style="5" customWidth="1"/>
    <col min="15602" max="15602" width="15.53125" style="5" customWidth="1"/>
    <col min="15603" max="15607" width="12.1328125" style="5" customWidth="1"/>
    <col min="15608" max="15617" width="0" style="5" hidden="1" customWidth="1"/>
    <col min="15618" max="15626" width="12.1328125" style="5" customWidth="1"/>
    <col min="15627" max="15627" width="38.86328125" style="5" bestFit="1" customWidth="1"/>
    <col min="15628" max="15628" width="42.6640625" style="5" bestFit="1" customWidth="1"/>
    <col min="15629" max="15629" width="42.46484375" style="5" bestFit="1" customWidth="1"/>
    <col min="15630" max="15631" width="12.1328125" style="5" customWidth="1"/>
    <col min="15632" max="15632" width="21.6640625" style="5" bestFit="1" customWidth="1"/>
    <col min="15633" max="15633" width="11.6640625" style="5" bestFit="1" customWidth="1"/>
    <col min="15634" max="15634" width="12.1328125" style="5" customWidth="1"/>
    <col min="15635" max="15842" width="12.1328125" style="5"/>
    <col min="15843" max="15857" width="12.1328125" style="5" customWidth="1"/>
    <col min="15858" max="15858" width="15.53125" style="5" customWidth="1"/>
    <col min="15859" max="15863" width="12.1328125" style="5" customWidth="1"/>
    <col min="15864" max="15873" width="0" style="5" hidden="1" customWidth="1"/>
    <col min="15874" max="15882" width="12.1328125" style="5" customWidth="1"/>
    <col min="15883" max="15883" width="38.86328125" style="5" bestFit="1" customWidth="1"/>
    <col min="15884" max="15884" width="42.6640625" style="5" bestFit="1" customWidth="1"/>
    <col min="15885" max="15885" width="42.46484375" style="5" bestFit="1" customWidth="1"/>
    <col min="15886" max="15887" width="12.1328125" style="5" customWidth="1"/>
    <col min="15888" max="15888" width="21.6640625" style="5" bestFit="1" customWidth="1"/>
    <col min="15889" max="15889" width="11.6640625" style="5" bestFit="1" customWidth="1"/>
    <col min="15890" max="15890" width="12.1328125" style="5" customWidth="1"/>
    <col min="15891" max="16098" width="12.1328125" style="5"/>
    <col min="16099" max="16113" width="12.1328125" style="5" customWidth="1"/>
    <col min="16114" max="16114" width="15.53125" style="5" customWidth="1"/>
    <col min="16115" max="16119" width="12.1328125" style="5" customWidth="1"/>
    <col min="16120" max="16129" width="0" style="5" hidden="1" customWidth="1"/>
    <col min="16130" max="16138" width="12.1328125" style="5" customWidth="1"/>
    <col min="16139" max="16139" width="38.86328125" style="5" bestFit="1" customWidth="1"/>
    <col min="16140" max="16140" width="42.6640625" style="5" bestFit="1" customWidth="1"/>
    <col min="16141" max="16141" width="42.46484375" style="5" bestFit="1" customWidth="1"/>
    <col min="16142" max="16143" width="12.1328125" style="5" customWidth="1"/>
    <col min="16144" max="16144" width="21.6640625" style="5" bestFit="1" customWidth="1"/>
    <col min="16145" max="16145" width="11.6640625" style="5" bestFit="1" customWidth="1"/>
    <col min="16146" max="16146" width="12.1328125" style="5" customWidth="1"/>
    <col min="16147" max="16384" width="12.1328125" style="5"/>
  </cols>
  <sheetData>
    <row r="1" spans="1:32">
      <c r="U1" s="106" t="s">
        <v>3591</v>
      </c>
    </row>
    <row r="2" spans="1:32" ht="16.899999999999999">
      <c r="C2" s="62"/>
      <c r="D2" s="62" t="s">
        <v>3555</v>
      </c>
    </row>
    <row r="3" spans="1:32" ht="13.9">
      <c r="C3" s="63" t="s">
        <v>3556</v>
      </c>
      <c r="D3" s="64">
        <v>41973</v>
      </c>
      <c r="F3" s="63" t="s">
        <v>3565</v>
      </c>
      <c r="G3" s="65">
        <f>MIN(Table1[Policy Year])</f>
        <v>2005</v>
      </c>
    </row>
    <row r="4" spans="1:32" ht="13.9">
      <c r="B4" s="5"/>
      <c r="C4" s="63" t="s">
        <v>3557</v>
      </c>
      <c r="D4" s="66">
        <v>4</v>
      </c>
      <c r="F4" s="63" t="s">
        <v>3568</v>
      </c>
      <c r="G4" s="65">
        <f>MAX(Table1[Policy Year])</f>
        <v>2014</v>
      </c>
    </row>
    <row r="5" spans="1:32" ht="13.9">
      <c r="B5" s="5"/>
      <c r="C5" s="63" t="s">
        <v>3558</v>
      </c>
      <c r="D5" s="64">
        <v>42278</v>
      </c>
      <c r="F5" s="63" t="s">
        <v>3569</v>
      </c>
      <c r="G5" s="65">
        <f>MIN(Table1[Policy Year (shifted)])</f>
        <v>2004</v>
      </c>
    </row>
    <row r="6" spans="1:32" ht="13.9">
      <c r="B6" s="5"/>
      <c r="C6" s="63" t="s">
        <v>3559</v>
      </c>
      <c r="D6" s="67">
        <v>0.05</v>
      </c>
      <c r="F6" s="63" t="s">
        <v>3570</v>
      </c>
      <c r="G6" s="65">
        <f>MAX(Table1[Policy Year (shifted)])</f>
        <v>2013</v>
      </c>
    </row>
    <row r="7" spans="1:32" ht="13.9">
      <c r="B7" s="5"/>
      <c r="C7" s="63" t="s">
        <v>3560</v>
      </c>
      <c r="D7" s="67" t="s">
        <v>2</v>
      </c>
      <c r="E7" s="3"/>
      <c r="F7" s="63" t="s">
        <v>3566</v>
      </c>
      <c r="G7" s="65">
        <f>Earliest_Year*12+Policy_Inception_Month</f>
        <v>24064</v>
      </c>
    </row>
    <row r="8" spans="1:32" ht="13.9">
      <c r="B8" s="5"/>
      <c r="C8" s="63" t="s">
        <v>3561</v>
      </c>
      <c r="D8" s="68">
        <v>1</v>
      </c>
      <c r="F8" s="63" t="s">
        <v>3575</v>
      </c>
      <c r="G8" s="65">
        <f>MAX(Table1[Reporting third])</f>
        <v>28</v>
      </c>
      <c r="T8" s="6"/>
    </row>
    <row r="9" spans="1:32" ht="13.9">
      <c r="B9" s="5"/>
      <c r="C9" s="63" t="s">
        <v>3567</v>
      </c>
      <c r="D9" s="66">
        <v>12</v>
      </c>
    </row>
    <row r="10" spans="1:32" ht="13.9">
      <c r="B10" s="5"/>
      <c r="D10" s="19"/>
      <c r="X10" s="31"/>
      <c r="Y10" s="31"/>
      <c r="Z10" s="31"/>
      <c r="AB10" s="107" t="s">
        <v>3592</v>
      </c>
      <c r="AC10" s="107" t="s">
        <v>3592</v>
      </c>
      <c r="AD10" s="107" t="s">
        <v>3593</v>
      </c>
    </row>
    <row r="11" spans="1:32" ht="27.4">
      <c r="E11" s="19"/>
      <c r="F11" s="109" t="s">
        <v>3594</v>
      </c>
      <c r="I11" s="110" t="s">
        <v>3595</v>
      </c>
      <c r="J11" s="110" t="s">
        <v>3596</v>
      </c>
      <c r="K11" s="110" t="s">
        <v>3597</v>
      </c>
      <c r="L11" s="110" t="s">
        <v>3598</v>
      </c>
      <c r="M11" s="110" t="s">
        <v>3599</v>
      </c>
      <c r="O11" s="110" t="s">
        <v>3600</v>
      </c>
      <c r="P11" s="110" t="s">
        <v>3601</v>
      </c>
      <c r="Q11" s="110" t="s">
        <v>3602</v>
      </c>
      <c r="R11" s="108" t="s">
        <v>3603</v>
      </c>
      <c r="T11" s="111" t="s">
        <v>3604</v>
      </c>
      <c r="X11" s="31"/>
      <c r="Y11" s="31"/>
      <c r="Z11" s="31"/>
    </row>
    <row r="12" spans="1:32" s="4" customFormat="1" ht="15.75">
      <c r="A12" s="13" t="s">
        <v>1</v>
      </c>
      <c r="B12" s="13" t="s">
        <v>3</v>
      </c>
      <c r="C12" s="13" t="s">
        <v>0</v>
      </c>
      <c r="D12" s="14" t="s">
        <v>113</v>
      </c>
      <c r="E12" s="14" t="s">
        <v>4</v>
      </c>
      <c r="F12" s="13" t="s">
        <v>116</v>
      </c>
      <c r="G12" s="15" t="s">
        <v>3502</v>
      </c>
      <c r="H12" s="15" t="s">
        <v>115</v>
      </c>
      <c r="I12" s="16" t="s">
        <v>112</v>
      </c>
      <c r="J12" s="16" t="s">
        <v>3501</v>
      </c>
      <c r="K12" s="16" t="s">
        <v>3503</v>
      </c>
      <c r="L12" s="16" t="s">
        <v>5</v>
      </c>
      <c r="M12" s="16" t="s">
        <v>6</v>
      </c>
      <c r="N12" s="16" t="s">
        <v>7</v>
      </c>
      <c r="O12" s="16" t="s">
        <v>3504</v>
      </c>
      <c r="P12" s="16" t="s">
        <v>3562</v>
      </c>
      <c r="Q12" s="16" t="s">
        <v>3563</v>
      </c>
      <c r="R12" s="16" t="s">
        <v>3514</v>
      </c>
      <c r="S12" s="13" t="s">
        <v>117</v>
      </c>
      <c r="T12" s="16" t="s">
        <v>3509</v>
      </c>
      <c r="U12" s="13" t="s">
        <v>3512</v>
      </c>
      <c r="V12" s="13" t="s">
        <v>3513</v>
      </c>
      <c r="W12" s="13" t="s">
        <v>3564</v>
      </c>
      <c r="X12" s="13" t="s">
        <v>3523</v>
      </c>
      <c r="Y12" s="13" t="s">
        <v>3524</v>
      </c>
      <c r="Z12" s="13" t="s">
        <v>3525</v>
      </c>
      <c r="AA12" s="16" t="s">
        <v>3534</v>
      </c>
      <c r="AB12" s="13" t="s">
        <v>3538</v>
      </c>
      <c r="AC12" s="13" t="s">
        <v>3539</v>
      </c>
      <c r="AD12" s="13" t="s">
        <v>3540</v>
      </c>
    </row>
    <row r="13" spans="1:32" ht="13.9">
      <c r="A13" s="8" t="s">
        <v>1783</v>
      </c>
      <c r="B13" s="8" t="s">
        <v>8</v>
      </c>
      <c r="C13" s="8" t="s">
        <v>123</v>
      </c>
      <c r="D13" s="9">
        <v>40195</v>
      </c>
      <c r="E13" s="9">
        <v>40561</v>
      </c>
      <c r="F13" s="17">
        <f>IF(MONTH(Table1[[#This Row],[Loss date]])&lt;Policy_Inception_Month,YEAR(Table1[[#This Row],[Loss date]])-1,YEAR(Table1[[#This Row],[Loss date]]))</f>
        <v>2009</v>
      </c>
      <c r="G13" s="10" t="s">
        <v>124</v>
      </c>
      <c r="H13" s="10" t="s">
        <v>2</v>
      </c>
      <c r="I13" s="11">
        <v>17056.229938966644</v>
      </c>
      <c r="J13" s="11">
        <v>0</v>
      </c>
      <c r="K13" s="11">
        <v>17056.229938966644</v>
      </c>
      <c r="L13" s="12">
        <v>0</v>
      </c>
      <c r="M13" s="12">
        <v>0</v>
      </c>
      <c r="N13" s="12">
        <v>17056.229938966644</v>
      </c>
      <c r="O13" s="70">
        <f>IF(Table1[[#This Row],[Overall amount]]=0,0,1)</f>
        <v>1</v>
      </c>
      <c r="P13" s="70">
        <f>Table1[[#This Row],[Overall amount]]*Exchange_Rate</f>
        <v>17056.229938966644</v>
      </c>
      <c r="Q13" s="70">
        <f>Table1[[#This Row],[Overall (destination currency)]]*(1+Claims_Inflation)^((Revalue_at_date-Table1[[#This Row],[Loss date]])/365.25)</f>
        <v>22528.092000000001</v>
      </c>
      <c r="R13" s="70">
        <f>INT(Table1[[#This Row],[Reporting date]])-INT(Table1[[#This Row],[Loss date]])</f>
        <v>366</v>
      </c>
      <c r="S13" s="69" t="s">
        <v>9</v>
      </c>
      <c r="T13" s="70">
        <f>VLOOKUP(Table1[[#This Row],[Policy Year]],exposure_table,3,FALSE)</f>
        <v>760.22808576000011</v>
      </c>
      <c r="U13" s="17">
        <f>IF(MONTH(Table1[[#This Row],[Reporting date]])&lt;Policy_Inception_Month,YEAR(Table1[[#This Row],[Reporting date]])-1,YEAR(Table1[[#This Row],[Reporting date]]))</f>
        <v>2010</v>
      </c>
      <c r="V13" s="17">
        <f>Table1[[#This Row],[Reporting year]]-Table1[[#This Row],[Policy Year]]</f>
        <v>1</v>
      </c>
      <c r="W13" s="70">
        <f>INT(Table1[[#This Row],[Reporting date]])-INT(Table1[[#This Row],[Loss date]])</f>
        <v>366</v>
      </c>
      <c r="X13" s="17">
        <f>INT((YEAR(Table1[[#This Row],[Loss date]])*12+MONTH(Table1[[#This Row],[Loss date]])-Earliest_Month)/4)</f>
        <v>14</v>
      </c>
      <c r="Y13" s="17">
        <f>INT((YEAR(Table1[[#This Row],[Reporting date]])*12+MONTH(Table1[[#This Row],[Reporting date]])-Earliest_Month)/4)</f>
        <v>17</v>
      </c>
      <c r="Z13" s="17">
        <f>Table1[[#This Row],[Reporting third]]-Table1[[#This Row],[Policy third]]</f>
        <v>3</v>
      </c>
      <c r="AA13" s="71">
        <f>IF(Table1[[#This Row],[Overall amount]]=0,"N/A",Table1[[#This Row],[Outstanding]]/Table1[[#This Row],[Overall amount]])</f>
        <v>0</v>
      </c>
      <c r="AB13" s="17">
        <f>IF(MONTH(Table1[[#This Row],[Loss date]])&lt;Pol_Inc_Month_Shifted,YEAR(Table1[[#This Row],[Loss date]])-1,YEAR(Table1[[#This Row],[Loss date]]))</f>
        <v>2009</v>
      </c>
      <c r="AC13" s="17">
        <f>IF(MONTH(Table1[[#This Row],[Reporting date]])&lt;Pol_Inc_Month_Shifted,YEAR(Table1[[#This Row],[Reporting date]])-1,YEAR(Table1[[#This Row],[Reporting date]]))</f>
        <v>2010</v>
      </c>
      <c r="AD13" s="17">
        <f>Table1[[#This Row],[Reporting year (shifted)]]-Table1[[#This Row],[Policy Year (shifted)]]</f>
        <v>1</v>
      </c>
      <c r="AF13" s="5">
        <f>COUNTIFS(Table1[Policy Year (shifted)],2010, Table1[Non-zero? (1=Yes)],1)</f>
        <v>268</v>
      </c>
    </row>
    <row r="14" spans="1:32" ht="13.9">
      <c r="A14" s="8" t="s">
        <v>1784</v>
      </c>
      <c r="B14" s="8" t="s">
        <v>10</v>
      </c>
      <c r="C14" s="8" t="s">
        <v>123</v>
      </c>
      <c r="D14" s="9">
        <v>39144</v>
      </c>
      <c r="E14" s="9">
        <v>39195</v>
      </c>
      <c r="F14" s="17">
        <f>IF(MONTH(Table1[[#This Row],[Loss date]])&lt;Policy_Inception_Month,YEAR(Table1[[#This Row],[Loss date]])-1,YEAR(Table1[[#This Row],[Loss date]]))</f>
        <v>2006</v>
      </c>
      <c r="G14" s="10" t="s">
        <v>125</v>
      </c>
      <c r="H14" s="10" t="s">
        <v>2</v>
      </c>
      <c r="I14" s="11">
        <v>27297.095523228149</v>
      </c>
      <c r="J14" s="11">
        <v>0</v>
      </c>
      <c r="K14" s="11">
        <v>27297.095523228149</v>
      </c>
      <c r="L14" s="12">
        <v>0</v>
      </c>
      <c r="M14" s="12">
        <v>0</v>
      </c>
      <c r="N14" s="12">
        <v>27297.095523228149</v>
      </c>
      <c r="O14" s="70">
        <f>IF(Table1[[#This Row],[Overall amount]]=0,0,1)</f>
        <v>1</v>
      </c>
      <c r="P14" s="70">
        <f>Table1[[#This Row],[Overall amount]]*Exchange_Rate</f>
        <v>27297.095523228149</v>
      </c>
      <c r="Q14" s="70">
        <f>Table1[[#This Row],[Overall (destination currency)]]*(1+Claims_Inflation)^((Revalue_at_date-Table1[[#This Row],[Loss date]])/365.25)</f>
        <v>41488.68</v>
      </c>
      <c r="R14" s="70">
        <f>INT(Table1[[#This Row],[Reporting date]])-INT(Table1[[#This Row],[Loss date]])</f>
        <v>51</v>
      </c>
      <c r="S14" s="69" t="s">
        <v>9</v>
      </c>
      <c r="T14" s="70">
        <f>VLOOKUP(Table1[[#This Row],[Policy Year]],exposure_table,3,FALSE)</f>
        <v>483.32023209000977</v>
      </c>
      <c r="U14" s="17">
        <f>IF(MONTH(Table1[[#This Row],[Reporting date]])&lt;Policy_Inception_Month,YEAR(Table1[[#This Row],[Reporting date]])-1,YEAR(Table1[[#This Row],[Reporting date]]))</f>
        <v>2007</v>
      </c>
      <c r="V14" s="17">
        <f>Table1[[#This Row],[Reporting year]]-Table1[[#This Row],[Policy Year]]</f>
        <v>1</v>
      </c>
      <c r="W14" s="17">
        <f>INT(Table1[[#This Row],[Reporting date]])-INT(Table1[[#This Row],[Loss date]])</f>
        <v>51</v>
      </c>
      <c r="X14" s="17">
        <f>INT((YEAR(Table1[[#This Row],[Loss date]])*12+MONTH(Table1[[#This Row],[Loss date]])-Earliest_Month)/4)</f>
        <v>5</v>
      </c>
      <c r="Y14" s="17">
        <f>INT((YEAR(Table1[[#This Row],[Reporting date]])*12+MONTH(Table1[[#This Row],[Reporting date]])-Earliest_Month)/4)</f>
        <v>6</v>
      </c>
      <c r="Z14" s="17">
        <f>Table1[[#This Row],[Reporting third]]-Table1[[#This Row],[Policy third]]</f>
        <v>1</v>
      </c>
      <c r="AA14" s="71">
        <f>IF(Table1[[#This Row],[Overall amount]]=0,"N/A",Table1[[#This Row],[Outstanding]]/Table1[[#This Row],[Overall amount]])</f>
        <v>0</v>
      </c>
      <c r="AB14" s="17">
        <f>IF(MONTH(Table1[[#This Row],[Loss date]])&lt;Pol_Inc_Month_Shifted,YEAR(Table1[[#This Row],[Loss date]])-1,YEAR(Table1[[#This Row],[Loss date]]))</f>
        <v>2006</v>
      </c>
      <c r="AC14" s="17">
        <f>IF(MONTH(Table1[[#This Row],[Reporting date]])&lt;Pol_Inc_Month_Shifted,YEAR(Table1[[#This Row],[Reporting date]])-1,YEAR(Table1[[#This Row],[Reporting date]]))</f>
        <v>2006</v>
      </c>
      <c r="AD14" s="17">
        <f>Table1[[#This Row],[Reporting year (shifted)]]-Table1[[#This Row],[Policy Year (shifted)]]</f>
        <v>0</v>
      </c>
    </row>
    <row r="15" spans="1:32" ht="13.9">
      <c r="A15" s="8" t="s">
        <v>1785</v>
      </c>
      <c r="B15" s="8" t="s">
        <v>11</v>
      </c>
      <c r="C15" s="8" t="s">
        <v>123</v>
      </c>
      <c r="D15" s="9">
        <v>39268</v>
      </c>
      <c r="E15" s="9">
        <v>39622</v>
      </c>
      <c r="F15" s="17">
        <f>IF(MONTH(Table1[[#This Row],[Loss date]])&lt;Policy_Inception_Month,YEAR(Table1[[#This Row],[Loss date]])-1,YEAR(Table1[[#This Row],[Loss date]]))</f>
        <v>2007</v>
      </c>
      <c r="G15" s="10" t="s">
        <v>126</v>
      </c>
      <c r="H15" s="10" t="s">
        <v>2</v>
      </c>
      <c r="I15" s="11">
        <v>2230.5459431601771</v>
      </c>
      <c r="J15" s="11">
        <v>0</v>
      </c>
      <c r="K15" s="11">
        <v>2230.5459431601771</v>
      </c>
      <c r="L15" s="12">
        <v>0</v>
      </c>
      <c r="M15" s="12">
        <v>0</v>
      </c>
      <c r="N15" s="12">
        <v>2230.5459431601771</v>
      </c>
      <c r="O15" s="70">
        <f>IF(Table1[[#This Row],[Overall amount]]=0,0,1)</f>
        <v>1</v>
      </c>
      <c r="P15" s="70">
        <f>Table1[[#This Row],[Overall amount]]*Exchange_Rate</f>
        <v>2230.5459431601771</v>
      </c>
      <c r="Q15" s="70">
        <f>Table1[[#This Row],[Overall (destination currency)]]*(1+Claims_Inflation)^((Revalue_at_date-Table1[[#This Row],[Loss date]])/365.25)</f>
        <v>3334.5000000000005</v>
      </c>
      <c r="R15" s="70">
        <f>INT(Table1[[#This Row],[Reporting date]])-INT(Table1[[#This Row],[Loss date]])</f>
        <v>354</v>
      </c>
      <c r="S15" s="69" t="s">
        <v>9</v>
      </c>
      <c r="T15" s="70">
        <f>VLOOKUP(Table1[[#This Row],[Policy Year]],exposure_table,3,FALSE)</f>
        <v>547.7736362475523</v>
      </c>
      <c r="U15" s="17">
        <f>IF(MONTH(Table1[[#This Row],[Reporting date]])&lt;Policy_Inception_Month,YEAR(Table1[[#This Row],[Reporting date]])-1,YEAR(Table1[[#This Row],[Reporting date]]))</f>
        <v>2008</v>
      </c>
      <c r="V15" s="17">
        <f>Table1[[#This Row],[Reporting year]]-Table1[[#This Row],[Policy Year]]</f>
        <v>1</v>
      </c>
      <c r="W15" s="17">
        <f>INT(Table1[[#This Row],[Reporting date]])-INT(Table1[[#This Row],[Loss date]])</f>
        <v>354</v>
      </c>
      <c r="X15" s="17">
        <f>INT((YEAR(Table1[[#This Row],[Loss date]])*12+MONTH(Table1[[#This Row],[Loss date]])-Earliest_Month)/4)</f>
        <v>6</v>
      </c>
      <c r="Y15" s="17">
        <f>INT((YEAR(Table1[[#This Row],[Reporting date]])*12+MONTH(Table1[[#This Row],[Reporting date]])-Earliest_Month)/4)</f>
        <v>9</v>
      </c>
      <c r="Z15" s="17">
        <f>Table1[[#This Row],[Reporting third]]-Table1[[#This Row],[Policy third]]</f>
        <v>3</v>
      </c>
      <c r="AA15" s="71">
        <f>IF(Table1[[#This Row],[Overall amount]]=0,"N/A",Table1[[#This Row],[Outstanding]]/Table1[[#This Row],[Overall amount]])</f>
        <v>0</v>
      </c>
      <c r="AB15" s="17">
        <f>IF(MONTH(Table1[[#This Row],[Loss date]])&lt;Pol_Inc_Month_Shifted,YEAR(Table1[[#This Row],[Loss date]])-1,YEAR(Table1[[#This Row],[Loss date]]))</f>
        <v>2006</v>
      </c>
      <c r="AC15" s="17">
        <f>IF(MONTH(Table1[[#This Row],[Reporting date]])&lt;Pol_Inc_Month_Shifted,YEAR(Table1[[#This Row],[Reporting date]])-1,YEAR(Table1[[#This Row],[Reporting date]]))</f>
        <v>2007</v>
      </c>
      <c r="AD15" s="17">
        <f>Table1[[#This Row],[Reporting year (shifted)]]-Table1[[#This Row],[Policy Year (shifted)]]</f>
        <v>1</v>
      </c>
    </row>
    <row r="16" spans="1:32" ht="13.9">
      <c r="A16" s="8" t="s">
        <v>1786</v>
      </c>
      <c r="B16" s="8" t="s">
        <v>12</v>
      </c>
      <c r="C16" s="8" t="s">
        <v>123</v>
      </c>
      <c r="D16" s="9">
        <v>39605</v>
      </c>
      <c r="E16" s="9">
        <v>40201</v>
      </c>
      <c r="F16" s="17">
        <f>IF(MONTH(Table1[[#This Row],[Loss date]])&lt;Policy_Inception_Month,YEAR(Table1[[#This Row],[Loss date]])-1,YEAR(Table1[[#This Row],[Loss date]]))</f>
        <v>2008</v>
      </c>
      <c r="G16" s="10" t="s">
        <v>125</v>
      </c>
      <c r="H16" s="10" t="s">
        <v>2</v>
      </c>
      <c r="I16" s="11">
        <v>13516.419298279647</v>
      </c>
      <c r="J16" s="11">
        <v>0</v>
      </c>
      <c r="K16" s="11">
        <v>13516.419298279647</v>
      </c>
      <c r="L16" s="12">
        <v>0</v>
      </c>
      <c r="M16" s="12">
        <v>1189.444898248609</v>
      </c>
      <c r="N16" s="12">
        <v>12326.974400031038</v>
      </c>
      <c r="O16" s="70">
        <f>IF(Table1[[#This Row],[Overall amount]]=0,0,1)</f>
        <v>1</v>
      </c>
      <c r="P16" s="70">
        <f>Table1[[#This Row],[Overall amount]]*Exchange_Rate</f>
        <v>12326.974400031038</v>
      </c>
      <c r="Q16" s="70">
        <f>Table1[[#This Row],[Overall (destination currency)]]*(1+Claims_Inflation)^((Revalue_at_date-Table1[[#This Row],[Loss date]])/365.25)</f>
        <v>17616.742847999998</v>
      </c>
      <c r="R16" s="70">
        <f>INT(Table1[[#This Row],[Reporting date]])-INT(Table1[[#This Row],[Loss date]])</f>
        <v>596</v>
      </c>
      <c r="S16" s="69" t="s">
        <v>9</v>
      </c>
      <c r="T16" s="70">
        <f>VLOOKUP(Table1[[#This Row],[Policy Year]],exposure_table,3,FALSE)</f>
        <v>601.98581780480015</v>
      </c>
      <c r="U16" s="17">
        <f>IF(MONTH(Table1[[#This Row],[Reporting date]])&lt;Policy_Inception_Month,YEAR(Table1[[#This Row],[Reporting date]])-1,YEAR(Table1[[#This Row],[Reporting date]]))</f>
        <v>2009</v>
      </c>
      <c r="V16" s="17">
        <f>Table1[[#This Row],[Reporting year]]-Table1[[#This Row],[Policy Year]]</f>
        <v>1</v>
      </c>
      <c r="W16" s="17">
        <f>INT(Table1[[#This Row],[Reporting date]])-INT(Table1[[#This Row],[Loss date]])</f>
        <v>596</v>
      </c>
      <c r="X16" s="17">
        <f>INT((YEAR(Table1[[#This Row],[Loss date]])*12+MONTH(Table1[[#This Row],[Loss date]])-Earliest_Month)/4)</f>
        <v>9</v>
      </c>
      <c r="Y16" s="17">
        <f>INT((YEAR(Table1[[#This Row],[Reporting date]])*12+MONTH(Table1[[#This Row],[Reporting date]])-Earliest_Month)/4)</f>
        <v>14</v>
      </c>
      <c r="Z16" s="17">
        <f>Table1[[#This Row],[Reporting third]]-Table1[[#This Row],[Policy third]]</f>
        <v>5</v>
      </c>
      <c r="AA16" s="71">
        <f>IF(Table1[[#This Row],[Overall amount]]=0,"N/A",Table1[[#This Row],[Outstanding]]/Table1[[#This Row],[Overall amount]])</f>
        <v>0</v>
      </c>
      <c r="AB16" s="17">
        <f>IF(MONTH(Table1[[#This Row],[Loss date]])&lt;Pol_Inc_Month_Shifted,YEAR(Table1[[#This Row],[Loss date]])-1,YEAR(Table1[[#This Row],[Loss date]]))</f>
        <v>2007</v>
      </c>
      <c r="AC16" s="17">
        <f>IF(MONTH(Table1[[#This Row],[Reporting date]])&lt;Pol_Inc_Month_Shifted,YEAR(Table1[[#This Row],[Reporting date]])-1,YEAR(Table1[[#This Row],[Reporting date]]))</f>
        <v>2009</v>
      </c>
      <c r="AD16" s="17">
        <f>Table1[[#This Row],[Reporting year (shifted)]]-Table1[[#This Row],[Policy Year (shifted)]]</f>
        <v>2</v>
      </c>
    </row>
    <row r="17" spans="1:30" ht="13.9">
      <c r="A17" s="8" t="s">
        <v>1787</v>
      </c>
      <c r="B17" s="8" t="s">
        <v>13</v>
      </c>
      <c r="C17" s="8" t="s">
        <v>123</v>
      </c>
      <c r="D17" s="9">
        <v>40344</v>
      </c>
      <c r="E17" s="9">
        <v>40348</v>
      </c>
      <c r="F17" s="17">
        <f>IF(MONTH(Table1[[#This Row],[Loss date]])&lt;Policy_Inception_Month,YEAR(Table1[[#This Row],[Loss date]])-1,YEAR(Table1[[#This Row],[Loss date]]))</f>
        <v>2010</v>
      </c>
      <c r="G17" s="10" t="s">
        <v>127</v>
      </c>
      <c r="H17" s="10" t="s">
        <v>2</v>
      </c>
      <c r="I17" s="11">
        <v>873.5045948750768</v>
      </c>
      <c r="J17" s="11">
        <v>0</v>
      </c>
      <c r="K17" s="11">
        <v>873.5045948750768</v>
      </c>
      <c r="L17" s="12">
        <v>0</v>
      </c>
      <c r="M17" s="12">
        <v>0</v>
      </c>
      <c r="N17" s="12">
        <v>873.5045948750768</v>
      </c>
      <c r="O17" s="70">
        <f>IF(Table1[[#This Row],[Overall amount]]=0,0,1)</f>
        <v>1</v>
      </c>
      <c r="P17" s="70">
        <f>Table1[[#This Row],[Overall amount]]*Exchange_Rate</f>
        <v>873.5045948750768</v>
      </c>
      <c r="Q17" s="70">
        <f>Table1[[#This Row],[Overall (destination currency)]]*(1+Claims_Inflation)^((Revalue_at_date-Table1[[#This Row],[Loss date]])/365.25)</f>
        <v>1131</v>
      </c>
      <c r="R17" s="70">
        <f>INT(Table1[[#This Row],[Reporting date]])-INT(Table1[[#This Row],[Loss date]])</f>
        <v>4</v>
      </c>
      <c r="S17" s="69" t="s">
        <v>9</v>
      </c>
      <c r="T17" s="70">
        <f>VLOOKUP(Table1[[#This Row],[Policy Year]],exposure_table,3,FALSE)</f>
        <v>837.11513600000012</v>
      </c>
      <c r="U17" s="17">
        <f>IF(MONTH(Table1[[#This Row],[Reporting date]])&lt;Policy_Inception_Month,YEAR(Table1[[#This Row],[Reporting date]])-1,YEAR(Table1[[#This Row],[Reporting date]]))</f>
        <v>2010</v>
      </c>
      <c r="V17" s="17">
        <f>Table1[[#This Row],[Reporting year]]-Table1[[#This Row],[Policy Year]]</f>
        <v>0</v>
      </c>
      <c r="W17" s="17">
        <f>INT(Table1[[#This Row],[Reporting date]])-INT(Table1[[#This Row],[Loss date]])</f>
        <v>4</v>
      </c>
      <c r="X17" s="17">
        <f>INT((YEAR(Table1[[#This Row],[Loss date]])*12+MONTH(Table1[[#This Row],[Loss date]])-Earliest_Month)/4)</f>
        <v>15</v>
      </c>
      <c r="Y17" s="17">
        <f>INT((YEAR(Table1[[#This Row],[Reporting date]])*12+MONTH(Table1[[#This Row],[Reporting date]])-Earliest_Month)/4)</f>
        <v>15</v>
      </c>
      <c r="Z17" s="17">
        <f>Table1[[#This Row],[Reporting third]]-Table1[[#This Row],[Policy third]]</f>
        <v>0</v>
      </c>
      <c r="AA17" s="71">
        <f>IF(Table1[[#This Row],[Overall amount]]=0,"N/A",Table1[[#This Row],[Outstanding]]/Table1[[#This Row],[Overall amount]])</f>
        <v>0</v>
      </c>
      <c r="AB17" s="17">
        <f>IF(MONTH(Table1[[#This Row],[Loss date]])&lt;Pol_Inc_Month_Shifted,YEAR(Table1[[#This Row],[Loss date]])-1,YEAR(Table1[[#This Row],[Loss date]]))</f>
        <v>2009</v>
      </c>
      <c r="AC17" s="17">
        <f>IF(MONTH(Table1[[#This Row],[Reporting date]])&lt;Pol_Inc_Month_Shifted,YEAR(Table1[[#This Row],[Reporting date]])-1,YEAR(Table1[[#This Row],[Reporting date]]))</f>
        <v>2009</v>
      </c>
      <c r="AD17" s="17">
        <f>Table1[[#This Row],[Reporting year (shifted)]]-Table1[[#This Row],[Policy Year (shifted)]]</f>
        <v>0</v>
      </c>
    </row>
    <row r="18" spans="1:30" ht="13.9">
      <c r="A18" s="8" t="s">
        <v>1788</v>
      </c>
      <c r="B18" s="8" t="s">
        <v>14</v>
      </c>
      <c r="C18" s="8" t="s">
        <v>123</v>
      </c>
      <c r="D18" s="9">
        <v>39284</v>
      </c>
      <c r="E18" s="9">
        <v>39691</v>
      </c>
      <c r="F18" s="17">
        <f>IF(MONTH(Table1[[#This Row],[Loss date]])&lt;Policy_Inception_Month,YEAR(Table1[[#This Row],[Loss date]])-1,YEAR(Table1[[#This Row],[Loss date]]))</f>
        <v>2007</v>
      </c>
      <c r="G18" s="10" t="s">
        <v>125</v>
      </c>
      <c r="H18" s="10" t="s">
        <v>2</v>
      </c>
      <c r="I18" s="11">
        <v>866.10893645333545</v>
      </c>
      <c r="J18" s="11">
        <v>0</v>
      </c>
      <c r="K18" s="11">
        <v>866.10893645333545</v>
      </c>
      <c r="L18" s="12">
        <v>0</v>
      </c>
      <c r="M18" s="12">
        <v>0</v>
      </c>
      <c r="N18" s="12">
        <v>866.10893645333545</v>
      </c>
      <c r="O18" s="70">
        <f>IF(Table1[[#This Row],[Overall amount]]=0,0,1)</f>
        <v>1</v>
      </c>
      <c r="P18" s="70">
        <f>Table1[[#This Row],[Overall amount]]*Exchange_Rate</f>
        <v>866.10893645333545</v>
      </c>
      <c r="Q18" s="70">
        <f>Table1[[#This Row],[Overall (destination currency)]]*(1+Claims_Inflation)^((Revalue_at_date-Table1[[#This Row],[Loss date]])/365.25)</f>
        <v>1292.0040000000001</v>
      </c>
      <c r="R18" s="70">
        <f>INT(Table1[[#This Row],[Reporting date]])-INT(Table1[[#This Row],[Loss date]])</f>
        <v>407</v>
      </c>
      <c r="S18" s="69" t="s">
        <v>9</v>
      </c>
      <c r="T18" s="70">
        <f>VLOOKUP(Table1[[#This Row],[Policy Year]],exposure_table,3,FALSE)</f>
        <v>547.7736362475523</v>
      </c>
      <c r="U18" s="17">
        <f>IF(MONTH(Table1[[#This Row],[Reporting date]])&lt;Policy_Inception_Month,YEAR(Table1[[#This Row],[Reporting date]])-1,YEAR(Table1[[#This Row],[Reporting date]]))</f>
        <v>2008</v>
      </c>
      <c r="V18" s="17">
        <f>Table1[[#This Row],[Reporting year]]-Table1[[#This Row],[Policy Year]]</f>
        <v>1</v>
      </c>
      <c r="W18" s="17">
        <f>INT(Table1[[#This Row],[Reporting date]])-INT(Table1[[#This Row],[Loss date]])</f>
        <v>407</v>
      </c>
      <c r="X18" s="17">
        <f>INT((YEAR(Table1[[#This Row],[Loss date]])*12+MONTH(Table1[[#This Row],[Loss date]])-Earliest_Month)/4)</f>
        <v>6</v>
      </c>
      <c r="Y18" s="17">
        <f>INT((YEAR(Table1[[#This Row],[Reporting date]])*12+MONTH(Table1[[#This Row],[Reporting date]])-Earliest_Month)/4)</f>
        <v>10</v>
      </c>
      <c r="Z18" s="17">
        <f>Table1[[#This Row],[Reporting third]]-Table1[[#This Row],[Policy third]]</f>
        <v>4</v>
      </c>
      <c r="AA18" s="71">
        <f>IF(Table1[[#This Row],[Overall amount]]=0,"N/A",Table1[[#This Row],[Outstanding]]/Table1[[#This Row],[Overall amount]])</f>
        <v>0</v>
      </c>
      <c r="AB18" s="17">
        <f>IF(MONTH(Table1[[#This Row],[Loss date]])&lt;Pol_Inc_Month_Shifted,YEAR(Table1[[#This Row],[Loss date]])-1,YEAR(Table1[[#This Row],[Loss date]]))</f>
        <v>2006</v>
      </c>
      <c r="AC18" s="17">
        <f>IF(MONTH(Table1[[#This Row],[Reporting date]])&lt;Pol_Inc_Month_Shifted,YEAR(Table1[[#This Row],[Reporting date]])-1,YEAR(Table1[[#This Row],[Reporting date]]))</f>
        <v>2007</v>
      </c>
      <c r="AD18" s="17">
        <f>Table1[[#This Row],[Reporting year (shifted)]]-Table1[[#This Row],[Policy Year (shifted)]]</f>
        <v>1</v>
      </c>
    </row>
    <row r="19" spans="1:30" ht="13.9">
      <c r="A19" s="8" t="s">
        <v>1789</v>
      </c>
      <c r="B19" s="8" t="s">
        <v>15</v>
      </c>
      <c r="C19" s="8" t="s">
        <v>123</v>
      </c>
      <c r="D19" s="9">
        <v>40055</v>
      </c>
      <c r="E19" s="9">
        <v>40111</v>
      </c>
      <c r="F19" s="17">
        <f>IF(MONTH(Table1[[#This Row],[Loss date]])&lt;Policy_Inception_Month,YEAR(Table1[[#This Row],[Loss date]])-1,YEAR(Table1[[#This Row],[Loss date]]))</f>
        <v>2009</v>
      </c>
      <c r="G19" s="10" t="s">
        <v>125</v>
      </c>
      <c r="H19" s="10" t="s">
        <v>2</v>
      </c>
      <c r="I19" s="11">
        <v>413.748105586664</v>
      </c>
      <c r="J19" s="11">
        <v>0</v>
      </c>
      <c r="K19" s="11">
        <v>413.748105586664</v>
      </c>
      <c r="L19" s="12">
        <v>0</v>
      </c>
      <c r="M19" s="12">
        <v>0</v>
      </c>
      <c r="N19" s="12">
        <v>413.748105586664</v>
      </c>
      <c r="O19" s="70">
        <f>IF(Table1[[#This Row],[Overall amount]]=0,0,1)</f>
        <v>1</v>
      </c>
      <c r="P19" s="70">
        <f>Table1[[#This Row],[Overall amount]]*Exchange_Rate</f>
        <v>413.748105586664</v>
      </c>
      <c r="Q19" s="70">
        <f>Table1[[#This Row],[Overall (destination currency)]]*(1+Claims_Inflation)^((Revalue_at_date-Table1[[#This Row],[Loss date]])/365.25)</f>
        <v>556.80000000000007</v>
      </c>
      <c r="R19" s="70">
        <f>INT(Table1[[#This Row],[Reporting date]])-INT(Table1[[#This Row],[Loss date]])</f>
        <v>56</v>
      </c>
      <c r="S19" s="69" t="s">
        <v>9</v>
      </c>
      <c r="T19" s="70">
        <f>VLOOKUP(Table1[[#This Row],[Policy Year]],exposure_table,3,FALSE)</f>
        <v>760.22808576000011</v>
      </c>
      <c r="U19" s="17">
        <f>IF(MONTH(Table1[[#This Row],[Reporting date]])&lt;Policy_Inception_Month,YEAR(Table1[[#This Row],[Reporting date]])-1,YEAR(Table1[[#This Row],[Reporting date]]))</f>
        <v>2009</v>
      </c>
      <c r="V19" s="17">
        <f>Table1[[#This Row],[Reporting year]]-Table1[[#This Row],[Policy Year]]</f>
        <v>0</v>
      </c>
      <c r="W19" s="17">
        <f>INT(Table1[[#This Row],[Reporting date]])-INT(Table1[[#This Row],[Loss date]])</f>
        <v>56</v>
      </c>
      <c r="X19" s="17">
        <f>INT((YEAR(Table1[[#This Row],[Loss date]])*12+MONTH(Table1[[#This Row],[Loss date]])-Earliest_Month)/4)</f>
        <v>13</v>
      </c>
      <c r="Y19" s="17">
        <f>INT((YEAR(Table1[[#This Row],[Reporting date]])*12+MONTH(Table1[[#This Row],[Reporting date]])-Earliest_Month)/4)</f>
        <v>13</v>
      </c>
      <c r="Z19" s="17">
        <f>Table1[[#This Row],[Reporting third]]-Table1[[#This Row],[Policy third]]</f>
        <v>0</v>
      </c>
      <c r="AA19" s="71">
        <f>IF(Table1[[#This Row],[Overall amount]]=0,"N/A",Table1[[#This Row],[Outstanding]]/Table1[[#This Row],[Overall amount]])</f>
        <v>0</v>
      </c>
      <c r="AB19" s="17">
        <f>IF(MONTH(Table1[[#This Row],[Loss date]])&lt;Pol_Inc_Month_Shifted,YEAR(Table1[[#This Row],[Loss date]])-1,YEAR(Table1[[#This Row],[Loss date]]))</f>
        <v>2008</v>
      </c>
      <c r="AC19" s="17">
        <f>IF(MONTH(Table1[[#This Row],[Reporting date]])&lt;Pol_Inc_Month_Shifted,YEAR(Table1[[#This Row],[Reporting date]])-1,YEAR(Table1[[#This Row],[Reporting date]]))</f>
        <v>2008</v>
      </c>
      <c r="AD19" s="17">
        <f>Table1[[#This Row],[Reporting year (shifted)]]-Table1[[#This Row],[Policy Year (shifted)]]</f>
        <v>0</v>
      </c>
    </row>
    <row r="20" spans="1:30" ht="13.9">
      <c r="A20" s="8" t="s">
        <v>1790</v>
      </c>
      <c r="B20" s="8" t="s">
        <v>17</v>
      </c>
      <c r="C20" s="8" t="s">
        <v>123</v>
      </c>
      <c r="D20" s="9">
        <v>39298</v>
      </c>
      <c r="E20" s="9">
        <v>39487</v>
      </c>
      <c r="F20" s="17">
        <f>IF(MONTH(Table1[[#This Row],[Loss date]])&lt;Policy_Inception_Month,YEAR(Table1[[#This Row],[Loss date]])-1,YEAR(Table1[[#This Row],[Loss date]]))</f>
        <v>2007</v>
      </c>
      <c r="G20" s="10" t="s">
        <v>127</v>
      </c>
      <c r="H20" s="10" t="s">
        <v>2</v>
      </c>
      <c r="I20" s="11">
        <v>38016.94150455491</v>
      </c>
      <c r="J20" s="11">
        <v>0</v>
      </c>
      <c r="K20" s="11">
        <v>38016.94150455491</v>
      </c>
      <c r="L20" s="12">
        <v>0</v>
      </c>
      <c r="M20" s="12">
        <v>0</v>
      </c>
      <c r="N20" s="12">
        <v>38016.94150455491</v>
      </c>
      <c r="O20" s="70">
        <f>IF(Table1[[#This Row],[Overall amount]]=0,0,1)</f>
        <v>1</v>
      </c>
      <c r="P20" s="70">
        <f>Table1[[#This Row],[Overall amount]]*Exchange_Rate</f>
        <v>38016.94150455491</v>
      </c>
      <c r="Q20" s="70">
        <f>Table1[[#This Row],[Overall (destination currency)]]*(1+Claims_Inflation)^((Revalue_at_date-Table1[[#This Row],[Loss date]])/365.25)</f>
        <v>56605.200000000004</v>
      </c>
      <c r="R20" s="70">
        <f>INT(Table1[[#This Row],[Reporting date]])-INT(Table1[[#This Row],[Loss date]])</f>
        <v>189</v>
      </c>
      <c r="S20" s="69" t="s">
        <v>9</v>
      </c>
      <c r="T20" s="70">
        <f>VLOOKUP(Table1[[#This Row],[Policy Year]],exposure_table,3,FALSE)</f>
        <v>547.7736362475523</v>
      </c>
      <c r="U20" s="17">
        <f>IF(MONTH(Table1[[#This Row],[Reporting date]])&lt;Policy_Inception_Month,YEAR(Table1[[#This Row],[Reporting date]])-1,YEAR(Table1[[#This Row],[Reporting date]]))</f>
        <v>2007</v>
      </c>
      <c r="V20" s="17">
        <f>Table1[[#This Row],[Reporting year]]-Table1[[#This Row],[Policy Year]]</f>
        <v>0</v>
      </c>
      <c r="W20" s="17">
        <f>INT(Table1[[#This Row],[Reporting date]])-INT(Table1[[#This Row],[Loss date]])</f>
        <v>189</v>
      </c>
      <c r="X20" s="17">
        <f>INT((YEAR(Table1[[#This Row],[Loss date]])*12+MONTH(Table1[[#This Row],[Loss date]])-Earliest_Month)/4)</f>
        <v>7</v>
      </c>
      <c r="Y20" s="17">
        <f>INT((YEAR(Table1[[#This Row],[Reporting date]])*12+MONTH(Table1[[#This Row],[Reporting date]])-Earliest_Month)/4)</f>
        <v>8</v>
      </c>
      <c r="Z20" s="17">
        <f>Table1[[#This Row],[Reporting third]]-Table1[[#This Row],[Policy third]]</f>
        <v>1</v>
      </c>
      <c r="AA20" s="71">
        <f>IF(Table1[[#This Row],[Overall amount]]=0,"N/A",Table1[[#This Row],[Outstanding]]/Table1[[#This Row],[Overall amount]])</f>
        <v>0</v>
      </c>
      <c r="AB20" s="17">
        <f>IF(MONTH(Table1[[#This Row],[Loss date]])&lt;Pol_Inc_Month_Shifted,YEAR(Table1[[#This Row],[Loss date]])-1,YEAR(Table1[[#This Row],[Loss date]]))</f>
        <v>2006</v>
      </c>
      <c r="AC20" s="17">
        <f>IF(MONTH(Table1[[#This Row],[Reporting date]])&lt;Pol_Inc_Month_Shifted,YEAR(Table1[[#This Row],[Reporting date]])-1,YEAR(Table1[[#This Row],[Reporting date]]))</f>
        <v>2007</v>
      </c>
      <c r="AD20" s="17">
        <f>Table1[[#This Row],[Reporting year (shifted)]]-Table1[[#This Row],[Policy Year (shifted)]]</f>
        <v>1</v>
      </c>
    </row>
    <row r="21" spans="1:30" ht="13.9">
      <c r="A21" s="8" t="s">
        <v>1791</v>
      </c>
      <c r="B21" s="8" t="s">
        <v>18</v>
      </c>
      <c r="C21" s="8" t="s">
        <v>123</v>
      </c>
      <c r="D21" s="9">
        <v>39937</v>
      </c>
      <c r="E21" s="9">
        <v>39959</v>
      </c>
      <c r="F21" s="17">
        <f>IF(MONTH(Table1[[#This Row],[Loss date]])&lt;Policy_Inception_Month,YEAR(Table1[[#This Row],[Loss date]])-1,YEAR(Table1[[#This Row],[Loss date]]))</f>
        <v>2009</v>
      </c>
      <c r="G21" s="10" t="s">
        <v>125</v>
      </c>
      <c r="H21" s="10" t="s">
        <v>2</v>
      </c>
      <c r="I21" s="11">
        <v>674.55343654388946</v>
      </c>
      <c r="J21" s="11">
        <v>0</v>
      </c>
      <c r="K21" s="11">
        <v>674.55343654388946</v>
      </c>
      <c r="L21" s="12">
        <v>0</v>
      </c>
      <c r="M21" s="12">
        <v>0</v>
      </c>
      <c r="N21" s="12">
        <v>674.55343654388946</v>
      </c>
      <c r="O21" s="70">
        <f>IF(Table1[[#This Row],[Overall amount]]=0,0,1)</f>
        <v>1</v>
      </c>
      <c r="P21" s="70">
        <f>Table1[[#This Row],[Overall amount]]*Exchange_Rate</f>
        <v>674.55343654388946</v>
      </c>
      <c r="Q21" s="70">
        <f>Table1[[#This Row],[Overall (destination currency)]]*(1+Claims_Inflation)^((Revalue_at_date-Table1[[#This Row],[Loss date]])/365.25)</f>
        <v>922.2</v>
      </c>
      <c r="R21" s="70">
        <f>INT(Table1[[#This Row],[Reporting date]])-INT(Table1[[#This Row],[Loss date]])</f>
        <v>22</v>
      </c>
      <c r="S21" s="69" t="s">
        <v>9</v>
      </c>
      <c r="T21" s="70">
        <f>VLOOKUP(Table1[[#This Row],[Policy Year]],exposure_table,3,FALSE)</f>
        <v>760.22808576000011</v>
      </c>
      <c r="U21" s="17">
        <f>IF(MONTH(Table1[[#This Row],[Reporting date]])&lt;Policy_Inception_Month,YEAR(Table1[[#This Row],[Reporting date]])-1,YEAR(Table1[[#This Row],[Reporting date]]))</f>
        <v>2009</v>
      </c>
      <c r="V21" s="17">
        <f>Table1[[#This Row],[Reporting year]]-Table1[[#This Row],[Policy Year]]</f>
        <v>0</v>
      </c>
      <c r="W21" s="17">
        <f>INT(Table1[[#This Row],[Reporting date]])-INT(Table1[[#This Row],[Loss date]])</f>
        <v>22</v>
      </c>
      <c r="X21" s="17">
        <f>INT((YEAR(Table1[[#This Row],[Loss date]])*12+MONTH(Table1[[#This Row],[Loss date]])-Earliest_Month)/4)</f>
        <v>12</v>
      </c>
      <c r="Y21" s="17">
        <f>INT((YEAR(Table1[[#This Row],[Reporting date]])*12+MONTH(Table1[[#This Row],[Reporting date]])-Earliest_Month)/4)</f>
        <v>12</v>
      </c>
      <c r="Z21" s="17">
        <f>Table1[[#This Row],[Reporting third]]-Table1[[#This Row],[Policy third]]</f>
        <v>0</v>
      </c>
      <c r="AA21" s="71">
        <f>IF(Table1[[#This Row],[Overall amount]]=0,"N/A",Table1[[#This Row],[Outstanding]]/Table1[[#This Row],[Overall amount]])</f>
        <v>0</v>
      </c>
      <c r="AB21" s="17">
        <f>IF(MONTH(Table1[[#This Row],[Loss date]])&lt;Pol_Inc_Month_Shifted,YEAR(Table1[[#This Row],[Loss date]])-1,YEAR(Table1[[#This Row],[Loss date]]))</f>
        <v>2008</v>
      </c>
      <c r="AC21" s="17">
        <f>IF(MONTH(Table1[[#This Row],[Reporting date]])&lt;Pol_Inc_Month_Shifted,YEAR(Table1[[#This Row],[Reporting date]])-1,YEAR(Table1[[#This Row],[Reporting date]]))</f>
        <v>2008</v>
      </c>
      <c r="AD21" s="17">
        <f>Table1[[#This Row],[Reporting year (shifted)]]-Table1[[#This Row],[Policy Year (shifted)]]</f>
        <v>0</v>
      </c>
    </row>
    <row r="22" spans="1:30" ht="13.9">
      <c r="A22" s="8" t="s">
        <v>1792</v>
      </c>
      <c r="B22" s="8" t="s">
        <v>19</v>
      </c>
      <c r="C22" s="8" t="s">
        <v>123</v>
      </c>
      <c r="D22" s="9">
        <v>40489</v>
      </c>
      <c r="E22" s="9">
        <v>40517</v>
      </c>
      <c r="F22" s="17">
        <f>IF(MONTH(Table1[[#This Row],[Loss date]])&lt;Policy_Inception_Month,YEAR(Table1[[#This Row],[Loss date]])-1,YEAR(Table1[[#This Row],[Loss date]]))</f>
        <v>2010</v>
      </c>
      <c r="G22" s="10" t="s">
        <v>125</v>
      </c>
      <c r="H22" s="10" t="s">
        <v>2</v>
      </c>
      <c r="I22" s="11">
        <v>3572.9844994905857</v>
      </c>
      <c r="J22" s="11">
        <v>0</v>
      </c>
      <c r="K22" s="11">
        <v>3572.9844994905857</v>
      </c>
      <c r="L22" s="12">
        <v>0</v>
      </c>
      <c r="M22" s="12">
        <v>0</v>
      </c>
      <c r="N22" s="12">
        <v>3572.9844994905857</v>
      </c>
      <c r="O22" s="70">
        <f>IF(Table1[[#This Row],[Overall amount]]=0,0,1)</f>
        <v>1</v>
      </c>
      <c r="P22" s="70">
        <f>Table1[[#This Row],[Overall amount]]*Exchange_Rate</f>
        <v>3572.9844994905857</v>
      </c>
      <c r="Q22" s="70">
        <f>Table1[[#This Row],[Overall (destination currency)]]*(1+Claims_Inflation)^((Revalue_at_date-Table1[[#This Row],[Loss date]])/365.25)</f>
        <v>4537.5</v>
      </c>
      <c r="R22" s="70">
        <f>INT(Table1[[#This Row],[Reporting date]])-INT(Table1[[#This Row],[Loss date]])</f>
        <v>28</v>
      </c>
      <c r="S22" s="69" t="s">
        <v>9</v>
      </c>
      <c r="T22" s="70">
        <f>VLOOKUP(Table1[[#This Row],[Policy Year]],exposure_table,3,FALSE)</f>
        <v>837.11513600000012</v>
      </c>
      <c r="U22" s="17">
        <f>IF(MONTH(Table1[[#This Row],[Reporting date]])&lt;Policy_Inception_Month,YEAR(Table1[[#This Row],[Reporting date]])-1,YEAR(Table1[[#This Row],[Reporting date]]))</f>
        <v>2010</v>
      </c>
      <c r="V22" s="17">
        <f>Table1[[#This Row],[Reporting year]]-Table1[[#This Row],[Policy Year]]</f>
        <v>0</v>
      </c>
      <c r="W22" s="17">
        <f>INT(Table1[[#This Row],[Reporting date]])-INT(Table1[[#This Row],[Loss date]])</f>
        <v>28</v>
      </c>
      <c r="X22" s="17">
        <f>INT((YEAR(Table1[[#This Row],[Loss date]])*12+MONTH(Table1[[#This Row],[Loss date]])-Earliest_Month)/4)</f>
        <v>16</v>
      </c>
      <c r="Y22" s="17">
        <f>INT((YEAR(Table1[[#This Row],[Reporting date]])*12+MONTH(Table1[[#This Row],[Reporting date]])-Earliest_Month)/4)</f>
        <v>17</v>
      </c>
      <c r="Z22" s="17">
        <f>Table1[[#This Row],[Reporting third]]-Table1[[#This Row],[Policy third]]</f>
        <v>1</v>
      </c>
      <c r="AA22" s="71">
        <f>IF(Table1[[#This Row],[Overall amount]]=0,"N/A",Table1[[#This Row],[Outstanding]]/Table1[[#This Row],[Overall amount]])</f>
        <v>0</v>
      </c>
      <c r="AB22" s="17">
        <f>IF(MONTH(Table1[[#This Row],[Loss date]])&lt;Pol_Inc_Month_Shifted,YEAR(Table1[[#This Row],[Loss date]])-1,YEAR(Table1[[#This Row],[Loss date]]))</f>
        <v>2009</v>
      </c>
      <c r="AC22" s="17">
        <f>IF(MONTH(Table1[[#This Row],[Reporting date]])&lt;Pol_Inc_Month_Shifted,YEAR(Table1[[#This Row],[Reporting date]])-1,YEAR(Table1[[#This Row],[Reporting date]]))</f>
        <v>2010</v>
      </c>
      <c r="AD22" s="17">
        <f>Table1[[#This Row],[Reporting year (shifted)]]-Table1[[#This Row],[Policy Year (shifted)]]</f>
        <v>1</v>
      </c>
    </row>
    <row r="23" spans="1:30" ht="13.9">
      <c r="A23" s="8" t="s">
        <v>1793</v>
      </c>
      <c r="B23" s="8" t="s">
        <v>20</v>
      </c>
      <c r="C23" s="8" t="s">
        <v>123</v>
      </c>
      <c r="D23" s="9">
        <v>40421</v>
      </c>
      <c r="E23" s="9">
        <v>40557</v>
      </c>
      <c r="F23" s="17">
        <f>IF(MONTH(Table1[[#This Row],[Loss date]])&lt;Policy_Inception_Month,YEAR(Table1[[#This Row],[Loss date]])-1,YEAR(Table1[[#This Row],[Loss date]]))</f>
        <v>2010</v>
      </c>
      <c r="G23" s="10" t="s">
        <v>125</v>
      </c>
      <c r="H23" s="10" t="s">
        <v>2</v>
      </c>
      <c r="I23" s="11">
        <v>6885.4159030998553</v>
      </c>
      <c r="J23" s="11">
        <v>0</v>
      </c>
      <c r="K23" s="11">
        <v>6885.4159030998553</v>
      </c>
      <c r="L23" s="12">
        <v>0</v>
      </c>
      <c r="M23" s="12">
        <v>0</v>
      </c>
      <c r="N23" s="12">
        <v>6885.4159030998553</v>
      </c>
      <c r="O23" s="70">
        <f>IF(Table1[[#This Row],[Overall amount]]=0,0,1)</f>
        <v>1</v>
      </c>
      <c r="P23" s="70">
        <f>Table1[[#This Row],[Overall amount]]*Exchange_Rate</f>
        <v>6885.4159030998553</v>
      </c>
      <c r="Q23" s="70">
        <f>Table1[[#This Row],[Overall (destination currency)]]*(1+Claims_Inflation)^((Revalue_at_date-Table1[[#This Row],[Loss date]])/365.25)</f>
        <v>8823.9</v>
      </c>
      <c r="R23" s="70">
        <f>INT(Table1[[#This Row],[Reporting date]])-INT(Table1[[#This Row],[Loss date]])</f>
        <v>136</v>
      </c>
      <c r="S23" s="69" t="s">
        <v>9</v>
      </c>
      <c r="T23" s="70">
        <f>VLOOKUP(Table1[[#This Row],[Policy Year]],exposure_table,3,FALSE)</f>
        <v>837.11513600000012</v>
      </c>
      <c r="U23" s="17">
        <f>IF(MONTH(Table1[[#This Row],[Reporting date]])&lt;Policy_Inception_Month,YEAR(Table1[[#This Row],[Reporting date]])-1,YEAR(Table1[[#This Row],[Reporting date]]))</f>
        <v>2010</v>
      </c>
      <c r="V23" s="17">
        <f>Table1[[#This Row],[Reporting year]]-Table1[[#This Row],[Policy Year]]</f>
        <v>0</v>
      </c>
      <c r="W23" s="17">
        <f>INT(Table1[[#This Row],[Reporting date]])-INT(Table1[[#This Row],[Loss date]])</f>
        <v>136</v>
      </c>
      <c r="X23" s="17">
        <f>INT((YEAR(Table1[[#This Row],[Loss date]])*12+MONTH(Table1[[#This Row],[Loss date]])-Earliest_Month)/4)</f>
        <v>16</v>
      </c>
      <c r="Y23" s="17">
        <f>INT((YEAR(Table1[[#This Row],[Reporting date]])*12+MONTH(Table1[[#This Row],[Reporting date]])-Earliest_Month)/4)</f>
        <v>17</v>
      </c>
      <c r="Z23" s="17">
        <f>Table1[[#This Row],[Reporting third]]-Table1[[#This Row],[Policy third]]</f>
        <v>1</v>
      </c>
      <c r="AA23" s="71">
        <f>IF(Table1[[#This Row],[Overall amount]]=0,"N/A",Table1[[#This Row],[Outstanding]]/Table1[[#This Row],[Overall amount]])</f>
        <v>0</v>
      </c>
      <c r="AB23" s="17">
        <f>IF(MONTH(Table1[[#This Row],[Loss date]])&lt;Pol_Inc_Month_Shifted,YEAR(Table1[[#This Row],[Loss date]])-1,YEAR(Table1[[#This Row],[Loss date]]))</f>
        <v>2009</v>
      </c>
      <c r="AC23" s="17">
        <f>IF(MONTH(Table1[[#This Row],[Reporting date]])&lt;Pol_Inc_Month_Shifted,YEAR(Table1[[#This Row],[Reporting date]])-1,YEAR(Table1[[#This Row],[Reporting date]]))</f>
        <v>2010</v>
      </c>
      <c r="AD23" s="17">
        <f>Table1[[#This Row],[Reporting year (shifted)]]-Table1[[#This Row],[Policy Year (shifted)]]</f>
        <v>1</v>
      </c>
    </row>
    <row r="24" spans="1:30" ht="13.9">
      <c r="A24" s="8" t="s">
        <v>1794</v>
      </c>
      <c r="B24" s="8" t="s">
        <v>21</v>
      </c>
      <c r="C24" s="8" t="s">
        <v>118</v>
      </c>
      <c r="D24" s="9">
        <v>39368</v>
      </c>
      <c r="E24" s="9">
        <v>39451</v>
      </c>
      <c r="F24" s="17">
        <f>IF(MONTH(Table1[[#This Row],[Loss date]])&lt;Policy_Inception_Month,YEAR(Table1[[#This Row],[Loss date]])-1,YEAR(Table1[[#This Row],[Loss date]]))</f>
        <v>2007</v>
      </c>
      <c r="G24" s="10" t="s">
        <v>124</v>
      </c>
      <c r="H24" s="10" t="s">
        <v>2</v>
      </c>
      <c r="I24" s="11">
        <v>3893.5168396100339</v>
      </c>
      <c r="J24" s="11">
        <v>0</v>
      </c>
      <c r="K24" s="11">
        <v>3893.5168396100339</v>
      </c>
      <c r="L24" s="12">
        <v>0</v>
      </c>
      <c r="M24" s="12">
        <v>0</v>
      </c>
      <c r="N24" s="12">
        <v>3893.5168396100339</v>
      </c>
      <c r="O24" s="70">
        <f>IF(Table1[[#This Row],[Overall amount]]=0,0,1)</f>
        <v>1</v>
      </c>
      <c r="P24" s="70">
        <f>Table1[[#This Row],[Overall amount]]*Exchange_Rate</f>
        <v>3893.5168396100339</v>
      </c>
      <c r="Q24" s="70">
        <f>Table1[[#This Row],[Overall (destination currency)]]*(1+Claims_Inflation)^((Revalue_at_date-Table1[[#This Row],[Loss date]])/365.25)</f>
        <v>5743.2839999999997</v>
      </c>
      <c r="R24" s="70">
        <f>INT(Table1[[#This Row],[Reporting date]])-INT(Table1[[#This Row],[Loss date]])</f>
        <v>83</v>
      </c>
      <c r="S24" s="69" t="s">
        <v>9</v>
      </c>
      <c r="T24" s="70">
        <f>VLOOKUP(Table1[[#This Row],[Policy Year]],exposure_table,3,FALSE)</f>
        <v>547.7736362475523</v>
      </c>
      <c r="U24" s="17">
        <f>IF(MONTH(Table1[[#This Row],[Reporting date]])&lt;Policy_Inception_Month,YEAR(Table1[[#This Row],[Reporting date]])-1,YEAR(Table1[[#This Row],[Reporting date]]))</f>
        <v>2007</v>
      </c>
      <c r="V24" s="17">
        <f>Table1[[#This Row],[Reporting year]]-Table1[[#This Row],[Policy Year]]</f>
        <v>0</v>
      </c>
      <c r="W24" s="17">
        <f>INT(Table1[[#This Row],[Reporting date]])-INT(Table1[[#This Row],[Loss date]])</f>
        <v>83</v>
      </c>
      <c r="X24" s="17">
        <f>INT((YEAR(Table1[[#This Row],[Loss date]])*12+MONTH(Table1[[#This Row],[Loss date]])-Earliest_Month)/4)</f>
        <v>7</v>
      </c>
      <c r="Y24" s="17">
        <f>INT((YEAR(Table1[[#This Row],[Reporting date]])*12+MONTH(Table1[[#This Row],[Reporting date]])-Earliest_Month)/4)</f>
        <v>8</v>
      </c>
      <c r="Z24" s="17">
        <f>Table1[[#This Row],[Reporting third]]-Table1[[#This Row],[Policy third]]</f>
        <v>1</v>
      </c>
      <c r="AA24" s="71">
        <f>IF(Table1[[#This Row],[Overall amount]]=0,"N/A",Table1[[#This Row],[Outstanding]]/Table1[[#This Row],[Overall amount]])</f>
        <v>0</v>
      </c>
      <c r="AB24" s="17">
        <f>IF(MONTH(Table1[[#This Row],[Loss date]])&lt;Pol_Inc_Month_Shifted,YEAR(Table1[[#This Row],[Loss date]])-1,YEAR(Table1[[#This Row],[Loss date]]))</f>
        <v>2006</v>
      </c>
      <c r="AC24" s="17">
        <f>IF(MONTH(Table1[[#This Row],[Reporting date]])&lt;Pol_Inc_Month_Shifted,YEAR(Table1[[#This Row],[Reporting date]])-1,YEAR(Table1[[#This Row],[Reporting date]]))</f>
        <v>2007</v>
      </c>
      <c r="AD24" s="17">
        <f>Table1[[#This Row],[Reporting year (shifted)]]-Table1[[#This Row],[Policy Year (shifted)]]</f>
        <v>1</v>
      </c>
    </row>
    <row r="25" spans="1:30" ht="13.9">
      <c r="A25" s="8" t="s">
        <v>1795</v>
      </c>
      <c r="B25" s="8" t="s">
        <v>22</v>
      </c>
      <c r="C25" s="8" t="s">
        <v>118</v>
      </c>
      <c r="D25" s="9">
        <v>39089</v>
      </c>
      <c r="E25" s="9">
        <v>39192</v>
      </c>
      <c r="F25" s="17">
        <f>IF(MONTH(Table1[[#This Row],[Loss date]])&lt;Policy_Inception_Month,YEAR(Table1[[#This Row],[Loss date]])-1,YEAR(Table1[[#This Row],[Loss date]]))</f>
        <v>2006</v>
      </c>
      <c r="G25" s="10" t="s">
        <v>124</v>
      </c>
      <c r="H25" s="10" t="s">
        <v>2</v>
      </c>
      <c r="I25" s="11">
        <v>482.98570562344503</v>
      </c>
      <c r="J25" s="11">
        <v>0</v>
      </c>
      <c r="K25" s="11">
        <v>482.98570562344503</v>
      </c>
      <c r="L25" s="12">
        <v>0</v>
      </c>
      <c r="M25" s="12">
        <v>7.2447855843516757</v>
      </c>
      <c r="N25" s="12">
        <v>475.74092003909334</v>
      </c>
      <c r="O25" s="70">
        <f>IF(Table1[[#This Row],[Overall amount]]=0,0,1)</f>
        <v>1</v>
      </c>
      <c r="P25" s="70">
        <f>Table1[[#This Row],[Overall amount]]*Exchange_Rate</f>
        <v>475.74092003909334</v>
      </c>
      <c r="Q25" s="70">
        <f>Table1[[#This Row],[Overall (destination currency)]]*(1+Claims_Inflation)^((Revalue_at_date-Table1[[#This Row],[Loss date]])/365.25)</f>
        <v>728.40749999999991</v>
      </c>
      <c r="R25" s="70">
        <f>INT(Table1[[#This Row],[Reporting date]])-INT(Table1[[#This Row],[Loss date]])</f>
        <v>103</v>
      </c>
      <c r="S25" s="69" t="s">
        <v>9</v>
      </c>
      <c r="T25" s="70">
        <f>VLOOKUP(Table1[[#This Row],[Policy Year]],exposure_table,3,FALSE)</f>
        <v>483.32023209000977</v>
      </c>
      <c r="U25" s="17">
        <f>IF(MONTH(Table1[[#This Row],[Reporting date]])&lt;Policy_Inception_Month,YEAR(Table1[[#This Row],[Reporting date]])-1,YEAR(Table1[[#This Row],[Reporting date]]))</f>
        <v>2007</v>
      </c>
      <c r="V25" s="17">
        <f>Table1[[#This Row],[Reporting year]]-Table1[[#This Row],[Policy Year]]</f>
        <v>1</v>
      </c>
      <c r="W25" s="17">
        <f>INT(Table1[[#This Row],[Reporting date]])-INT(Table1[[#This Row],[Loss date]])</f>
        <v>103</v>
      </c>
      <c r="X25" s="17">
        <f>INT((YEAR(Table1[[#This Row],[Loss date]])*12+MONTH(Table1[[#This Row],[Loss date]])-Earliest_Month)/4)</f>
        <v>5</v>
      </c>
      <c r="Y25" s="17">
        <f>INT((YEAR(Table1[[#This Row],[Reporting date]])*12+MONTH(Table1[[#This Row],[Reporting date]])-Earliest_Month)/4)</f>
        <v>6</v>
      </c>
      <c r="Z25" s="17">
        <f>Table1[[#This Row],[Reporting third]]-Table1[[#This Row],[Policy third]]</f>
        <v>1</v>
      </c>
      <c r="AA25" s="71">
        <f>IF(Table1[[#This Row],[Overall amount]]=0,"N/A",Table1[[#This Row],[Outstanding]]/Table1[[#This Row],[Overall amount]])</f>
        <v>0</v>
      </c>
      <c r="AB25" s="17">
        <f>IF(MONTH(Table1[[#This Row],[Loss date]])&lt;Pol_Inc_Month_Shifted,YEAR(Table1[[#This Row],[Loss date]])-1,YEAR(Table1[[#This Row],[Loss date]]))</f>
        <v>2006</v>
      </c>
      <c r="AC25" s="17">
        <f>IF(MONTH(Table1[[#This Row],[Reporting date]])&lt;Pol_Inc_Month_Shifted,YEAR(Table1[[#This Row],[Reporting date]])-1,YEAR(Table1[[#This Row],[Reporting date]]))</f>
        <v>2006</v>
      </c>
      <c r="AD25" s="17">
        <f>Table1[[#This Row],[Reporting year (shifted)]]-Table1[[#This Row],[Policy Year (shifted)]]</f>
        <v>0</v>
      </c>
    </row>
    <row r="26" spans="1:30" ht="13.9">
      <c r="A26" s="8" t="s">
        <v>1796</v>
      </c>
      <c r="B26" s="8" t="s">
        <v>23</v>
      </c>
      <c r="C26" s="8" t="s">
        <v>118</v>
      </c>
      <c r="D26" s="9">
        <v>40725</v>
      </c>
      <c r="E26" s="9">
        <v>41091</v>
      </c>
      <c r="F26" s="17">
        <f>IF(MONTH(Table1[[#This Row],[Loss date]])&lt;Policy_Inception_Month,YEAR(Table1[[#This Row],[Loss date]])-1,YEAR(Table1[[#This Row],[Loss date]]))</f>
        <v>2011</v>
      </c>
      <c r="G26" s="10" t="s">
        <v>128</v>
      </c>
      <c r="H26" s="10" t="s">
        <v>2</v>
      </c>
      <c r="I26" s="11">
        <v>98.981238411039939</v>
      </c>
      <c r="J26" s="11">
        <v>0</v>
      </c>
      <c r="K26" s="11">
        <v>98.981238411039939</v>
      </c>
      <c r="L26" s="12">
        <v>146.27769223306393</v>
      </c>
      <c r="M26" s="12">
        <v>15.696571561222646</v>
      </c>
      <c r="N26" s="12">
        <v>229.56235908288124</v>
      </c>
      <c r="O26" s="70">
        <f>IF(Table1[[#This Row],[Overall amount]]=0,0,1)</f>
        <v>1</v>
      </c>
      <c r="P26" s="70">
        <f>Table1[[#This Row],[Overall amount]]*Exchange_Rate</f>
        <v>229.56235908288124</v>
      </c>
      <c r="Q26" s="70">
        <f>Table1[[#This Row],[Overall (destination currency)]]*(1+Claims_Inflation)^((Revalue_at_date-Table1[[#This Row],[Loss date]])/365.25)</f>
        <v>282.48480000000006</v>
      </c>
      <c r="R26" s="70">
        <f>INT(Table1[[#This Row],[Reporting date]])-INT(Table1[[#This Row],[Loss date]])</f>
        <v>366</v>
      </c>
      <c r="S26" s="69" t="s">
        <v>9</v>
      </c>
      <c r="T26" s="70">
        <f>VLOOKUP(Table1[[#This Row],[Policy Year]],exposure_table,3,FALSE)</f>
        <v>870.52680000000009</v>
      </c>
      <c r="U26" s="17">
        <f>IF(MONTH(Table1[[#This Row],[Reporting date]])&lt;Policy_Inception_Month,YEAR(Table1[[#This Row],[Reporting date]])-1,YEAR(Table1[[#This Row],[Reporting date]]))</f>
        <v>2012</v>
      </c>
      <c r="V26" s="17">
        <f>Table1[[#This Row],[Reporting year]]-Table1[[#This Row],[Policy Year]]</f>
        <v>1</v>
      </c>
      <c r="W26" s="17">
        <f>INT(Table1[[#This Row],[Reporting date]])-INT(Table1[[#This Row],[Loss date]])</f>
        <v>366</v>
      </c>
      <c r="X26" s="17">
        <f>INT((YEAR(Table1[[#This Row],[Loss date]])*12+MONTH(Table1[[#This Row],[Loss date]])-Earliest_Month)/4)</f>
        <v>18</v>
      </c>
      <c r="Y26" s="17">
        <f>INT((YEAR(Table1[[#This Row],[Reporting date]])*12+MONTH(Table1[[#This Row],[Reporting date]])-Earliest_Month)/4)</f>
        <v>21</v>
      </c>
      <c r="Z26" s="17">
        <f>Table1[[#This Row],[Reporting third]]-Table1[[#This Row],[Policy third]]</f>
        <v>3</v>
      </c>
      <c r="AA26" s="71">
        <f>IF(Table1[[#This Row],[Overall amount]]=0,"N/A",Table1[[#This Row],[Outstanding]]/Table1[[#This Row],[Overall amount]])</f>
        <v>0</v>
      </c>
      <c r="AB26" s="17">
        <f>IF(MONTH(Table1[[#This Row],[Loss date]])&lt;Pol_Inc_Month_Shifted,YEAR(Table1[[#This Row],[Loss date]])-1,YEAR(Table1[[#This Row],[Loss date]]))</f>
        <v>2010</v>
      </c>
      <c r="AC26" s="17">
        <f>IF(MONTH(Table1[[#This Row],[Reporting date]])&lt;Pol_Inc_Month_Shifted,YEAR(Table1[[#This Row],[Reporting date]])-1,YEAR(Table1[[#This Row],[Reporting date]]))</f>
        <v>2011</v>
      </c>
      <c r="AD26" s="17">
        <f>Table1[[#This Row],[Reporting year (shifted)]]-Table1[[#This Row],[Policy Year (shifted)]]</f>
        <v>1</v>
      </c>
    </row>
    <row r="27" spans="1:30" ht="13.9">
      <c r="A27" s="8" t="s">
        <v>1797</v>
      </c>
      <c r="B27" s="8" t="s">
        <v>24</v>
      </c>
      <c r="C27" s="8" t="s">
        <v>118</v>
      </c>
      <c r="D27" s="9">
        <v>40354</v>
      </c>
      <c r="E27" s="9">
        <v>40425</v>
      </c>
      <c r="F27" s="17">
        <f>IF(MONTH(Table1[[#This Row],[Loss date]])&lt;Policy_Inception_Month,YEAR(Table1[[#This Row],[Loss date]])-1,YEAR(Table1[[#This Row],[Loss date]]))</f>
        <v>2010</v>
      </c>
      <c r="G27" s="10" t="s">
        <v>121</v>
      </c>
      <c r="H27" s="10" t="s">
        <v>2</v>
      </c>
      <c r="I27" s="11">
        <v>1237.9975805373163</v>
      </c>
      <c r="J27" s="11">
        <v>0</v>
      </c>
      <c r="K27" s="11">
        <v>1237.9975805373163</v>
      </c>
      <c r="L27" s="12">
        <v>0</v>
      </c>
      <c r="M27" s="12">
        <v>0</v>
      </c>
      <c r="N27" s="12">
        <v>1237.9975805373163</v>
      </c>
      <c r="O27" s="70">
        <f>IF(Table1[[#This Row],[Overall amount]]=0,0,1)</f>
        <v>1</v>
      </c>
      <c r="P27" s="70">
        <f>Table1[[#This Row],[Overall amount]]*Exchange_Rate</f>
        <v>1237.9975805373163</v>
      </c>
      <c r="Q27" s="70">
        <f>Table1[[#This Row],[Overall (destination currency)]]*(1+Claims_Inflation)^((Revalue_at_date-Table1[[#This Row],[Loss date]])/365.25)</f>
        <v>1600.7999999999997</v>
      </c>
      <c r="R27" s="70">
        <f>INT(Table1[[#This Row],[Reporting date]])-INT(Table1[[#This Row],[Loss date]])</f>
        <v>71</v>
      </c>
      <c r="S27" s="69" t="s">
        <v>9</v>
      </c>
      <c r="T27" s="70">
        <f>VLOOKUP(Table1[[#This Row],[Policy Year]],exposure_table,3,FALSE)</f>
        <v>837.11513600000012</v>
      </c>
      <c r="U27" s="17">
        <f>IF(MONTH(Table1[[#This Row],[Reporting date]])&lt;Policy_Inception_Month,YEAR(Table1[[#This Row],[Reporting date]])-1,YEAR(Table1[[#This Row],[Reporting date]]))</f>
        <v>2010</v>
      </c>
      <c r="V27" s="17">
        <f>Table1[[#This Row],[Reporting year]]-Table1[[#This Row],[Policy Year]]</f>
        <v>0</v>
      </c>
      <c r="W27" s="17">
        <f>INT(Table1[[#This Row],[Reporting date]])-INT(Table1[[#This Row],[Loss date]])</f>
        <v>71</v>
      </c>
      <c r="X27" s="17">
        <f>INT((YEAR(Table1[[#This Row],[Loss date]])*12+MONTH(Table1[[#This Row],[Loss date]])-Earliest_Month)/4)</f>
        <v>15</v>
      </c>
      <c r="Y27" s="17">
        <f>INT((YEAR(Table1[[#This Row],[Reporting date]])*12+MONTH(Table1[[#This Row],[Reporting date]])-Earliest_Month)/4)</f>
        <v>16</v>
      </c>
      <c r="Z27" s="17">
        <f>Table1[[#This Row],[Reporting third]]-Table1[[#This Row],[Policy third]]</f>
        <v>1</v>
      </c>
      <c r="AA27" s="71">
        <f>IF(Table1[[#This Row],[Overall amount]]=0,"N/A",Table1[[#This Row],[Outstanding]]/Table1[[#This Row],[Overall amount]])</f>
        <v>0</v>
      </c>
      <c r="AB27" s="17">
        <f>IF(MONTH(Table1[[#This Row],[Loss date]])&lt;Pol_Inc_Month_Shifted,YEAR(Table1[[#This Row],[Loss date]])-1,YEAR(Table1[[#This Row],[Loss date]]))</f>
        <v>2009</v>
      </c>
      <c r="AC27" s="17">
        <f>IF(MONTH(Table1[[#This Row],[Reporting date]])&lt;Pol_Inc_Month_Shifted,YEAR(Table1[[#This Row],[Reporting date]])-1,YEAR(Table1[[#This Row],[Reporting date]]))</f>
        <v>2009</v>
      </c>
      <c r="AD27" s="17">
        <f>Table1[[#This Row],[Reporting year (shifted)]]-Table1[[#This Row],[Policy Year (shifted)]]</f>
        <v>0</v>
      </c>
    </row>
    <row r="28" spans="1:30" ht="13.9">
      <c r="A28" s="8" t="s">
        <v>1798</v>
      </c>
      <c r="B28" s="8" t="s">
        <v>25</v>
      </c>
      <c r="C28" s="8" t="s">
        <v>118</v>
      </c>
      <c r="D28" s="9">
        <v>41054</v>
      </c>
      <c r="E28" s="9">
        <v>41064</v>
      </c>
      <c r="F28" s="17">
        <f>IF(MONTH(Table1[[#This Row],[Loss date]])&lt;Policy_Inception_Month,YEAR(Table1[[#This Row],[Loss date]])-1,YEAR(Table1[[#This Row],[Loss date]]))</f>
        <v>2012</v>
      </c>
      <c r="G28" s="10" t="s">
        <v>119</v>
      </c>
      <c r="H28" s="10" t="s">
        <v>2</v>
      </c>
      <c r="I28" s="11">
        <v>591.01861155241841</v>
      </c>
      <c r="J28" s="11">
        <v>35073.897602817662</v>
      </c>
      <c r="K28" s="11">
        <v>35664.916214370074</v>
      </c>
      <c r="L28" s="12">
        <v>0</v>
      </c>
      <c r="M28" s="12">
        <v>2829.6035025678157</v>
      </c>
      <c r="N28" s="12">
        <v>32835.31271180226</v>
      </c>
      <c r="O28" s="70">
        <f>IF(Table1[[#This Row],[Overall amount]]=0,0,1)</f>
        <v>1</v>
      </c>
      <c r="P28" s="70">
        <f>Table1[[#This Row],[Overall amount]]*Exchange_Rate</f>
        <v>32835.31271180226</v>
      </c>
      <c r="Q28" s="70">
        <f>Table1[[#This Row],[Overall (destination currency)]]*(1+Claims_Inflation)^((Revalue_at_date-Table1[[#This Row],[Loss date]])/365.25)</f>
        <v>38667.78</v>
      </c>
      <c r="R28" s="70">
        <f>INT(Table1[[#This Row],[Reporting date]])-INT(Table1[[#This Row],[Loss date]])</f>
        <v>10</v>
      </c>
      <c r="S28" s="69" t="s">
        <v>16</v>
      </c>
      <c r="T28" s="70">
        <f>VLOOKUP(Table1[[#This Row],[Policy Year]],exposure_table,3,FALSE)</f>
        <v>1057.54</v>
      </c>
      <c r="U28" s="17">
        <f>IF(MONTH(Table1[[#This Row],[Reporting date]])&lt;Policy_Inception_Month,YEAR(Table1[[#This Row],[Reporting date]])-1,YEAR(Table1[[#This Row],[Reporting date]]))</f>
        <v>2012</v>
      </c>
      <c r="V28" s="17">
        <f>Table1[[#This Row],[Reporting year]]-Table1[[#This Row],[Policy Year]]</f>
        <v>0</v>
      </c>
      <c r="W28" s="17">
        <f>INT(Table1[[#This Row],[Reporting date]])-INT(Table1[[#This Row],[Loss date]])</f>
        <v>10</v>
      </c>
      <c r="X28" s="17">
        <f>INT((YEAR(Table1[[#This Row],[Loss date]])*12+MONTH(Table1[[#This Row],[Loss date]])-Earliest_Month)/4)</f>
        <v>21</v>
      </c>
      <c r="Y28" s="17">
        <f>INT((YEAR(Table1[[#This Row],[Reporting date]])*12+MONTH(Table1[[#This Row],[Reporting date]])-Earliest_Month)/4)</f>
        <v>21</v>
      </c>
      <c r="Z28" s="17">
        <f>Table1[[#This Row],[Reporting third]]-Table1[[#This Row],[Policy third]]</f>
        <v>0</v>
      </c>
      <c r="AA28" s="71">
        <f>IF(Table1[[#This Row],[Overall amount]]=0,"N/A",Table1[[#This Row],[Outstanding]]/Table1[[#This Row],[Overall amount]])</f>
        <v>1.0681761404456114</v>
      </c>
      <c r="AB28" s="17">
        <f>IF(MONTH(Table1[[#This Row],[Loss date]])&lt;Pol_Inc_Month_Shifted,YEAR(Table1[[#This Row],[Loss date]])-1,YEAR(Table1[[#This Row],[Loss date]]))</f>
        <v>2011</v>
      </c>
      <c r="AC28" s="17">
        <f>IF(MONTH(Table1[[#This Row],[Reporting date]])&lt;Pol_Inc_Month_Shifted,YEAR(Table1[[#This Row],[Reporting date]])-1,YEAR(Table1[[#This Row],[Reporting date]]))</f>
        <v>2011</v>
      </c>
      <c r="AD28" s="17">
        <f>Table1[[#This Row],[Reporting year (shifted)]]-Table1[[#This Row],[Policy Year (shifted)]]</f>
        <v>0</v>
      </c>
    </row>
    <row r="29" spans="1:30" ht="13.9">
      <c r="A29" s="8" t="s">
        <v>1799</v>
      </c>
      <c r="B29" s="8" t="s">
        <v>26</v>
      </c>
      <c r="C29" s="8" t="s">
        <v>118</v>
      </c>
      <c r="D29" s="9">
        <v>40434</v>
      </c>
      <c r="E29" s="9">
        <v>40446</v>
      </c>
      <c r="F29" s="17">
        <f>IF(MONTH(Table1[[#This Row],[Loss date]])&lt;Policy_Inception_Month,YEAR(Table1[[#This Row],[Loss date]])-1,YEAR(Table1[[#This Row],[Loss date]]))</f>
        <v>2010</v>
      </c>
      <c r="G29" s="10" t="s">
        <v>119</v>
      </c>
      <c r="H29" s="10" t="s">
        <v>2</v>
      </c>
      <c r="I29" s="11">
        <v>61054.210442474374</v>
      </c>
      <c r="J29" s="11">
        <v>0</v>
      </c>
      <c r="K29" s="11">
        <v>61054.210442474374</v>
      </c>
      <c r="L29" s="12">
        <v>0</v>
      </c>
      <c r="M29" s="12">
        <v>0</v>
      </c>
      <c r="N29" s="12">
        <v>61054.210442474374</v>
      </c>
      <c r="O29" s="70">
        <f>IF(Table1[[#This Row],[Overall amount]]=0,0,1)</f>
        <v>1</v>
      </c>
      <c r="P29" s="70">
        <f>Table1[[#This Row],[Overall amount]]*Exchange_Rate</f>
        <v>61054.210442474374</v>
      </c>
      <c r="Q29" s="70">
        <f>Table1[[#This Row],[Overall (destination currency)]]*(1+Claims_Inflation)^((Revalue_at_date-Table1[[#This Row],[Loss date]])/365.25)</f>
        <v>78107.34</v>
      </c>
      <c r="R29" s="70">
        <f>INT(Table1[[#This Row],[Reporting date]])-INT(Table1[[#This Row],[Loss date]])</f>
        <v>12</v>
      </c>
      <c r="S29" s="69" t="s">
        <v>9</v>
      </c>
      <c r="T29" s="70">
        <f>VLOOKUP(Table1[[#This Row],[Policy Year]],exposure_table,3,FALSE)</f>
        <v>837.11513600000012</v>
      </c>
      <c r="U29" s="17">
        <f>IF(MONTH(Table1[[#This Row],[Reporting date]])&lt;Policy_Inception_Month,YEAR(Table1[[#This Row],[Reporting date]])-1,YEAR(Table1[[#This Row],[Reporting date]]))</f>
        <v>2010</v>
      </c>
      <c r="V29" s="17">
        <f>Table1[[#This Row],[Reporting year]]-Table1[[#This Row],[Policy Year]]</f>
        <v>0</v>
      </c>
      <c r="W29" s="17">
        <f>INT(Table1[[#This Row],[Reporting date]])-INT(Table1[[#This Row],[Loss date]])</f>
        <v>12</v>
      </c>
      <c r="X29" s="17">
        <f>INT((YEAR(Table1[[#This Row],[Loss date]])*12+MONTH(Table1[[#This Row],[Loss date]])-Earliest_Month)/4)</f>
        <v>16</v>
      </c>
      <c r="Y29" s="17">
        <f>INT((YEAR(Table1[[#This Row],[Reporting date]])*12+MONTH(Table1[[#This Row],[Reporting date]])-Earliest_Month)/4)</f>
        <v>16</v>
      </c>
      <c r="Z29" s="17">
        <f>Table1[[#This Row],[Reporting third]]-Table1[[#This Row],[Policy third]]</f>
        <v>0</v>
      </c>
      <c r="AA29" s="71">
        <f>IF(Table1[[#This Row],[Overall amount]]=0,"N/A",Table1[[#This Row],[Outstanding]]/Table1[[#This Row],[Overall amount]])</f>
        <v>0</v>
      </c>
      <c r="AB29" s="17">
        <f>IF(MONTH(Table1[[#This Row],[Loss date]])&lt;Pol_Inc_Month_Shifted,YEAR(Table1[[#This Row],[Loss date]])-1,YEAR(Table1[[#This Row],[Loss date]]))</f>
        <v>2009</v>
      </c>
      <c r="AC29" s="17">
        <f>IF(MONTH(Table1[[#This Row],[Reporting date]])&lt;Pol_Inc_Month_Shifted,YEAR(Table1[[#This Row],[Reporting date]])-1,YEAR(Table1[[#This Row],[Reporting date]]))</f>
        <v>2009</v>
      </c>
      <c r="AD29" s="17">
        <f>Table1[[#This Row],[Reporting year (shifted)]]-Table1[[#This Row],[Policy Year (shifted)]]</f>
        <v>0</v>
      </c>
    </row>
    <row r="30" spans="1:30" ht="13.9">
      <c r="A30" s="8" t="s">
        <v>1800</v>
      </c>
      <c r="B30" s="8" t="s">
        <v>27</v>
      </c>
      <c r="C30" s="8" t="s">
        <v>118</v>
      </c>
      <c r="D30" s="9">
        <v>41071</v>
      </c>
      <c r="E30" s="9">
        <v>41078</v>
      </c>
      <c r="F30" s="17">
        <f>IF(MONTH(Table1[[#This Row],[Loss date]])&lt;Policy_Inception_Month,YEAR(Table1[[#This Row],[Loss date]])-1,YEAR(Table1[[#This Row],[Loss date]]))</f>
        <v>2012</v>
      </c>
      <c r="G30" s="10" t="s">
        <v>119</v>
      </c>
      <c r="H30" s="10" t="s">
        <v>2</v>
      </c>
      <c r="I30" s="11">
        <v>103.66339532880828</v>
      </c>
      <c r="J30" s="11">
        <v>0</v>
      </c>
      <c r="K30" s="11">
        <v>103.66339532880828</v>
      </c>
      <c r="L30" s="12">
        <v>0</v>
      </c>
      <c r="M30" s="12">
        <v>0</v>
      </c>
      <c r="N30" s="12">
        <v>103.66339532880828</v>
      </c>
      <c r="O30" s="70">
        <f>IF(Table1[[#This Row],[Overall amount]]=0,0,1)</f>
        <v>1</v>
      </c>
      <c r="P30" s="70">
        <f>Table1[[#This Row],[Overall amount]]*Exchange_Rate</f>
        <v>103.66339532880828</v>
      </c>
      <c r="Q30" s="70">
        <f>Table1[[#This Row],[Overall (destination currency)]]*(1+Claims_Inflation)^((Revalue_at_date-Table1[[#This Row],[Loss date]])/365.25)</f>
        <v>121.80000000000003</v>
      </c>
      <c r="R30" s="70">
        <f>INT(Table1[[#This Row],[Reporting date]])-INT(Table1[[#This Row],[Loss date]])</f>
        <v>7</v>
      </c>
      <c r="S30" s="69" t="s">
        <v>9</v>
      </c>
      <c r="T30" s="70">
        <f>VLOOKUP(Table1[[#This Row],[Policy Year]],exposure_table,3,FALSE)</f>
        <v>1057.54</v>
      </c>
      <c r="U30" s="17">
        <f>IF(MONTH(Table1[[#This Row],[Reporting date]])&lt;Policy_Inception_Month,YEAR(Table1[[#This Row],[Reporting date]])-1,YEAR(Table1[[#This Row],[Reporting date]]))</f>
        <v>2012</v>
      </c>
      <c r="V30" s="17">
        <f>Table1[[#This Row],[Reporting year]]-Table1[[#This Row],[Policy Year]]</f>
        <v>0</v>
      </c>
      <c r="W30" s="17">
        <f>INT(Table1[[#This Row],[Reporting date]])-INT(Table1[[#This Row],[Loss date]])</f>
        <v>7</v>
      </c>
      <c r="X30" s="17">
        <f>INT((YEAR(Table1[[#This Row],[Loss date]])*12+MONTH(Table1[[#This Row],[Loss date]])-Earliest_Month)/4)</f>
        <v>21</v>
      </c>
      <c r="Y30" s="17">
        <f>INT((YEAR(Table1[[#This Row],[Reporting date]])*12+MONTH(Table1[[#This Row],[Reporting date]])-Earliest_Month)/4)</f>
        <v>21</v>
      </c>
      <c r="Z30" s="17">
        <f>Table1[[#This Row],[Reporting third]]-Table1[[#This Row],[Policy third]]</f>
        <v>0</v>
      </c>
      <c r="AA30" s="71">
        <f>IF(Table1[[#This Row],[Overall amount]]=0,"N/A",Table1[[#This Row],[Outstanding]]/Table1[[#This Row],[Overall amount]])</f>
        <v>0</v>
      </c>
      <c r="AB30" s="17">
        <f>IF(MONTH(Table1[[#This Row],[Loss date]])&lt;Pol_Inc_Month_Shifted,YEAR(Table1[[#This Row],[Loss date]])-1,YEAR(Table1[[#This Row],[Loss date]]))</f>
        <v>2011</v>
      </c>
      <c r="AC30" s="17">
        <f>IF(MONTH(Table1[[#This Row],[Reporting date]])&lt;Pol_Inc_Month_Shifted,YEAR(Table1[[#This Row],[Reporting date]])-1,YEAR(Table1[[#This Row],[Reporting date]]))</f>
        <v>2011</v>
      </c>
      <c r="AD30" s="17">
        <f>Table1[[#This Row],[Reporting year (shifted)]]-Table1[[#This Row],[Policy Year (shifted)]]</f>
        <v>0</v>
      </c>
    </row>
    <row r="31" spans="1:30" ht="13.9">
      <c r="A31" s="8" t="s">
        <v>1801</v>
      </c>
      <c r="B31" s="8" t="s">
        <v>28</v>
      </c>
      <c r="C31" s="8" t="s">
        <v>118</v>
      </c>
      <c r="D31" s="9">
        <v>41012</v>
      </c>
      <c r="E31" s="9">
        <v>41022</v>
      </c>
      <c r="F31" s="17">
        <f>IF(MONTH(Table1[[#This Row],[Loss date]])&lt;Policy_Inception_Month,YEAR(Table1[[#This Row],[Loss date]])-1,YEAR(Table1[[#This Row],[Loss date]]))</f>
        <v>2012</v>
      </c>
      <c r="G31" s="10" t="s">
        <v>119</v>
      </c>
      <c r="H31" s="10" t="s">
        <v>2</v>
      </c>
      <c r="I31" s="11">
        <v>719.94727818185925</v>
      </c>
      <c r="J31" s="11">
        <v>0</v>
      </c>
      <c r="K31" s="11">
        <v>719.94727818185925</v>
      </c>
      <c r="L31" s="12">
        <v>0</v>
      </c>
      <c r="M31" s="12">
        <v>0</v>
      </c>
      <c r="N31" s="12">
        <v>719.94727818185925</v>
      </c>
      <c r="O31" s="70">
        <f>IF(Table1[[#This Row],[Overall amount]]=0,0,1)</f>
        <v>1</v>
      </c>
      <c r="P31" s="70">
        <f>Table1[[#This Row],[Overall amount]]*Exchange_Rate</f>
        <v>719.94727818185925</v>
      </c>
      <c r="Q31" s="70">
        <f>Table1[[#This Row],[Overall (destination currency)]]*(1+Claims_Inflation)^((Revalue_at_date-Table1[[#This Row],[Loss date]])/365.25)</f>
        <v>852.6</v>
      </c>
      <c r="R31" s="70">
        <f>INT(Table1[[#This Row],[Reporting date]])-INT(Table1[[#This Row],[Loss date]])</f>
        <v>10</v>
      </c>
      <c r="S31" s="69" t="s">
        <v>9</v>
      </c>
      <c r="T31" s="70">
        <f>VLOOKUP(Table1[[#This Row],[Policy Year]],exposure_table,3,FALSE)</f>
        <v>1057.54</v>
      </c>
      <c r="U31" s="17">
        <f>IF(MONTH(Table1[[#This Row],[Reporting date]])&lt;Policy_Inception_Month,YEAR(Table1[[#This Row],[Reporting date]])-1,YEAR(Table1[[#This Row],[Reporting date]]))</f>
        <v>2012</v>
      </c>
      <c r="V31" s="17">
        <f>Table1[[#This Row],[Reporting year]]-Table1[[#This Row],[Policy Year]]</f>
        <v>0</v>
      </c>
      <c r="W31" s="17">
        <f>INT(Table1[[#This Row],[Reporting date]])-INT(Table1[[#This Row],[Loss date]])</f>
        <v>10</v>
      </c>
      <c r="X31" s="17">
        <f>INT((YEAR(Table1[[#This Row],[Loss date]])*12+MONTH(Table1[[#This Row],[Loss date]])-Earliest_Month)/4)</f>
        <v>21</v>
      </c>
      <c r="Y31" s="17">
        <f>INT((YEAR(Table1[[#This Row],[Reporting date]])*12+MONTH(Table1[[#This Row],[Reporting date]])-Earliest_Month)/4)</f>
        <v>21</v>
      </c>
      <c r="Z31" s="17">
        <f>Table1[[#This Row],[Reporting third]]-Table1[[#This Row],[Policy third]]</f>
        <v>0</v>
      </c>
      <c r="AA31" s="71">
        <f>IF(Table1[[#This Row],[Overall amount]]=0,"N/A",Table1[[#This Row],[Outstanding]]/Table1[[#This Row],[Overall amount]])</f>
        <v>0</v>
      </c>
      <c r="AB31" s="17">
        <f>IF(MONTH(Table1[[#This Row],[Loss date]])&lt;Pol_Inc_Month_Shifted,YEAR(Table1[[#This Row],[Loss date]])-1,YEAR(Table1[[#This Row],[Loss date]]))</f>
        <v>2011</v>
      </c>
      <c r="AC31" s="17">
        <f>IF(MONTH(Table1[[#This Row],[Reporting date]])&lt;Pol_Inc_Month_Shifted,YEAR(Table1[[#This Row],[Reporting date]])-1,YEAR(Table1[[#This Row],[Reporting date]]))</f>
        <v>2011</v>
      </c>
      <c r="AD31" s="17">
        <f>Table1[[#This Row],[Reporting year (shifted)]]-Table1[[#This Row],[Policy Year (shifted)]]</f>
        <v>0</v>
      </c>
    </row>
    <row r="32" spans="1:30" ht="13.9">
      <c r="A32" s="8" t="s">
        <v>1802</v>
      </c>
      <c r="B32" s="8" t="s">
        <v>29</v>
      </c>
      <c r="C32" s="8" t="s">
        <v>118</v>
      </c>
      <c r="D32" s="9">
        <v>40242</v>
      </c>
      <c r="E32" s="9">
        <v>40242</v>
      </c>
      <c r="F32" s="17">
        <f>IF(MONTH(Table1[[#This Row],[Loss date]])&lt;Policy_Inception_Month,YEAR(Table1[[#This Row],[Loss date]])-1,YEAR(Table1[[#This Row],[Loss date]]))</f>
        <v>2009</v>
      </c>
      <c r="G32" s="10" t="s">
        <v>128</v>
      </c>
      <c r="H32" s="10" t="s">
        <v>2</v>
      </c>
      <c r="I32" s="11">
        <v>517.01019134559397</v>
      </c>
      <c r="J32" s="11">
        <v>0</v>
      </c>
      <c r="K32" s="11">
        <v>517.01019134559397</v>
      </c>
      <c r="L32" s="12">
        <v>0</v>
      </c>
      <c r="M32" s="12">
        <v>0</v>
      </c>
      <c r="N32" s="12">
        <v>517.01019134559397</v>
      </c>
      <c r="O32" s="70">
        <f>IF(Table1[[#This Row],[Overall amount]]=0,0,1)</f>
        <v>1</v>
      </c>
      <c r="P32" s="70">
        <f>Table1[[#This Row],[Overall amount]]*Exchange_Rate</f>
        <v>517.01019134559397</v>
      </c>
      <c r="Q32" s="70">
        <f>Table1[[#This Row],[Overall (destination currency)]]*(1+Claims_Inflation)^((Revalue_at_date-Table1[[#This Row],[Loss date]])/365.25)</f>
        <v>678.6</v>
      </c>
      <c r="R32" s="70">
        <f>INT(Table1[[#This Row],[Reporting date]])-INT(Table1[[#This Row],[Loss date]])</f>
        <v>0</v>
      </c>
      <c r="S32" s="69" t="s">
        <v>9</v>
      </c>
      <c r="T32" s="70">
        <f>VLOOKUP(Table1[[#This Row],[Policy Year]],exposure_table,3,FALSE)</f>
        <v>760.22808576000011</v>
      </c>
      <c r="U32" s="17">
        <f>IF(MONTH(Table1[[#This Row],[Reporting date]])&lt;Policy_Inception_Month,YEAR(Table1[[#This Row],[Reporting date]])-1,YEAR(Table1[[#This Row],[Reporting date]]))</f>
        <v>2009</v>
      </c>
      <c r="V32" s="17">
        <f>Table1[[#This Row],[Reporting year]]-Table1[[#This Row],[Policy Year]]</f>
        <v>0</v>
      </c>
      <c r="W32" s="17">
        <f>INT(Table1[[#This Row],[Reporting date]])-INT(Table1[[#This Row],[Loss date]])</f>
        <v>0</v>
      </c>
      <c r="X32" s="17">
        <f>INT((YEAR(Table1[[#This Row],[Loss date]])*12+MONTH(Table1[[#This Row],[Loss date]])-Earliest_Month)/4)</f>
        <v>14</v>
      </c>
      <c r="Y32" s="17">
        <f>INT((YEAR(Table1[[#This Row],[Reporting date]])*12+MONTH(Table1[[#This Row],[Reporting date]])-Earliest_Month)/4)</f>
        <v>14</v>
      </c>
      <c r="Z32" s="17">
        <f>Table1[[#This Row],[Reporting third]]-Table1[[#This Row],[Policy third]]</f>
        <v>0</v>
      </c>
      <c r="AA32" s="71">
        <f>IF(Table1[[#This Row],[Overall amount]]=0,"N/A",Table1[[#This Row],[Outstanding]]/Table1[[#This Row],[Overall amount]])</f>
        <v>0</v>
      </c>
      <c r="AB32" s="17">
        <f>IF(MONTH(Table1[[#This Row],[Loss date]])&lt;Pol_Inc_Month_Shifted,YEAR(Table1[[#This Row],[Loss date]])-1,YEAR(Table1[[#This Row],[Loss date]]))</f>
        <v>2009</v>
      </c>
      <c r="AC32" s="17">
        <f>IF(MONTH(Table1[[#This Row],[Reporting date]])&lt;Pol_Inc_Month_Shifted,YEAR(Table1[[#This Row],[Reporting date]])-1,YEAR(Table1[[#This Row],[Reporting date]]))</f>
        <v>2009</v>
      </c>
      <c r="AD32" s="17">
        <f>Table1[[#This Row],[Reporting year (shifted)]]-Table1[[#This Row],[Policy Year (shifted)]]</f>
        <v>0</v>
      </c>
    </row>
    <row r="33" spans="1:30" ht="13.9">
      <c r="A33" s="8" t="s">
        <v>1803</v>
      </c>
      <c r="B33" s="8" t="s">
        <v>30</v>
      </c>
      <c r="C33" s="8" t="s">
        <v>118</v>
      </c>
      <c r="D33" s="9">
        <v>40179</v>
      </c>
      <c r="E33" s="9">
        <v>40223</v>
      </c>
      <c r="F33" s="17">
        <f>IF(MONTH(Table1[[#This Row],[Loss date]])&lt;Policy_Inception_Month,YEAR(Table1[[#This Row],[Loss date]])-1,YEAR(Table1[[#This Row],[Loss date]]))</f>
        <v>2009</v>
      </c>
      <c r="G33" s="10" t="s">
        <v>129</v>
      </c>
      <c r="H33" s="10" t="s">
        <v>2</v>
      </c>
      <c r="I33" s="11">
        <v>7890.5195582001197</v>
      </c>
      <c r="J33" s="11">
        <v>0</v>
      </c>
      <c r="K33" s="11">
        <v>7890.5195582001197</v>
      </c>
      <c r="L33" s="12">
        <v>0</v>
      </c>
      <c r="M33" s="12">
        <v>0</v>
      </c>
      <c r="N33" s="12">
        <v>7890.5195582001197</v>
      </c>
      <c r="O33" s="70">
        <f>IF(Table1[[#This Row],[Overall amount]]=0,0,1)</f>
        <v>1</v>
      </c>
      <c r="P33" s="70">
        <f>Table1[[#This Row],[Overall amount]]*Exchange_Rate</f>
        <v>7890.5195582001197</v>
      </c>
      <c r="Q33" s="70">
        <f>Table1[[#This Row],[Overall (destination currency)]]*(1+Claims_Inflation)^((Revalue_at_date-Table1[[#This Row],[Loss date]])/365.25)</f>
        <v>10444.199999999997</v>
      </c>
      <c r="R33" s="70">
        <f>INT(Table1[[#This Row],[Reporting date]])-INT(Table1[[#This Row],[Loss date]])</f>
        <v>44</v>
      </c>
      <c r="S33" s="69" t="s">
        <v>9</v>
      </c>
      <c r="T33" s="70">
        <f>VLOOKUP(Table1[[#This Row],[Policy Year]],exposure_table,3,FALSE)</f>
        <v>760.22808576000011</v>
      </c>
      <c r="U33" s="17">
        <f>IF(MONTH(Table1[[#This Row],[Reporting date]])&lt;Policy_Inception_Month,YEAR(Table1[[#This Row],[Reporting date]])-1,YEAR(Table1[[#This Row],[Reporting date]]))</f>
        <v>2009</v>
      </c>
      <c r="V33" s="17">
        <f>Table1[[#This Row],[Reporting year]]-Table1[[#This Row],[Policy Year]]</f>
        <v>0</v>
      </c>
      <c r="W33" s="17">
        <f>INT(Table1[[#This Row],[Reporting date]])-INT(Table1[[#This Row],[Loss date]])</f>
        <v>44</v>
      </c>
      <c r="X33" s="17">
        <f>INT((YEAR(Table1[[#This Row],[Loss date]])*12+MONTH(Table1[[#This Row],[Loss date]])-Earliest_Month)/4)</f>
        <v>14</v>
      </c>
      <c r="Y33" s="17">
        <f>INT((YEAR(Table1[[#This Row],[Reporting date]])*12+MONTH(Table1[[#This Row],[Reporting date]])-Earliest_Month)/4)</f>
        <v>14</v>
      </c>
      <c r="Z33" s="17">
        <f>Table1[[#This Row],[Reporting third]]-Table1[[#This Row],[Policy third]]</f>
        <v>0</v>
      </c>
      <c r="AA33" s="71">
        <f>IF(Table1[[#This Row],[Overall amount]]=0,"N/A",Table1[[#This Row],[Outstanding]]/Table1[[#This Row],[Overall amount]])</f>
        <v>0</v>
      </c>
      <c r="AB33" s="17">
        <f>IF(MONTH(Table1[[#This Row],[Loss date]])&lt;Pol_Inc_Month_Shifted,YEAR(Table1[[#This Row],[Loss date]])-1,YEAR(Table1[[#This Row],[Loss date]]))</f>
        <v>2009</v>
      </c>
      <c r="AC33" s="17">
        <f>IF(MONTH(Table1[[#This Row],[Reporting date]])&lt;Pol_Inc_Month_Shifted,YEAR(Table1[[#This Row],[Reporting date]])-1,YEAR(Table1[[#This Row],[Reporting date]]))</f>
        <v>2009</v>
      </c>
      <c r="AD33" s="17">
        <f>Table1[[#This Row],[Reporting year (shifted)]]-Table1[[#This Row],[Policy Year (shifted)]]</f>
        <v>0</v>
      </c>
    </row>
    <row r="34" spans="1:30" ht="13.9">
      <c r="A34" s="8" t="s">
        <v>1804</v>
      </c>
      <c r="B34" s="8" t="s">
        <v>31</v>
      </c>
      <c r="C34" s="8" t="s">
        <v>118</v>
      </c>
      <c r="D34" s="9">
        <v>40487</v>
      </c>
      <c r="E34" s="9">
        <v>40488</v>
      </c>
      <c r="F34" s="17">
        <f>IF(MONTH(Table1[[#This Row],[Loss date]])&lt;Policy_Inception_Month,YEAR(Table1[[#This Row],[Loss date]])-1,YEAR(Table1[[#This Row],[Loss date]]))</f>
        <v>2010</v>
      </c>
      <c r="G34" s="10" t="s">
        <v>119</v>
      </c>
      <c r="H34" s="10" t="s">
        <v>2</v>
      </c>
      <c r="I34" s="11">
        <v>1109.5138681139456</v>
      </c>
      <c r="J34" s="11">
        <v>0</v>
      </c>
      <c r="K34" s="11">
        <v>1109.5138681139456</v>
      </c>
      <c r="L34" s="12">
        <v>0</v>
      </c>
      <c r="M34" s="12">
        <v>0</v>
      </c>
      <c r="N34" s="12">
        <v>1109.5138681139456</v>
      </c>
      <c r="O34" s="70">
        <f>IF(Table1[[#This Row],[Overall amount]]=0,0,1)</f>
        <v>1</v>
      </c>
      <c r="P34" s="70">
        <f>Table1[[#This Row],[Overall amount]]*Exchange_Rate</f>
        <v>1109.5138681139456</v>
      </c>
      <c r="Q34" s="70">
        <f>Table1[[#This Row],[Overall (destination currency)]]*(1+Claims_Inflation)^((Revalue_at_date-Table1[[#This Row],[Loss date]])/365.25)</f>
        <v>1409.3999999999999</v>
      </c>
      <c r="R34" s="70">
        <f>INT(Table1[[#This Row],[Reporting date]])-INT(Table1[[#This Row],[Loss date]])</f>
        <v>1</v>
      </c>
      <c r="S34" s="69" t="s">
        <v>9</v>
      </c>
      <c r="T34" s="70">
        <f>VLOOKUP(Table1[[#This Row],[Policy Year]],exposure_table,3,FALSE)</f>
        <v>837.11513600000012</v>
      </c>
      <c r="U34" s="17">
        <f>IF(MONTH(Table1[[#This Row],[Reporting date]])&lt;Policy_Inception_Month,YEAR(Table1[[#This Row],[Reporting date]])-1,YEAR(Table1[[#This Row],[Reporting date]]))</f>
        <v>2010</v>
      </c>
      <c r="V34" s="17">
        <f>Table1[[#This Row],[Reporting year]]-Table1[[#This Row],[Policy Year]]</f>
        <v>0</v>
      </c>
      <c r="W34" s="17">
        <f>INT(Table1[[#This Row],[Reporting date]])-INT(Table1[[#This Row],[Loss date]])</f>
        <v>1</v>
      </c>
      <c r="X34" s="17">
        <f>INT((YEAR(Table1[[#This Row],[Loss date]])*12+MONTH(Table1[[#This Row],[Loss date]])-Earliest_Month)/4)</f>
        <v>16</v>
      </c>
      <c r="Y34" s="17">
        <f>INT((YEAR(Table1[[#This Row],[Reporting date]])*12+MONTH(Table1[[#This Row],[Reporting date]])-Earliest_Month)/4)</f>
        <v>16</v>
      </c>
      <c r="Z34" s="17">
        <f>Table1[[#This Row],[Reporting third]]-Table1[[#This Row],[Policy third]]</f>
        <v>0</v>
      </c>
      <c r="AA34" s="71">
        <f>IF(Table1[[#This Row],[Overall amount]]=0,"N/A",Table1[[#This Row],[Outstanding]]/Table1[[#This Row],[Overall amount]])</f>
        <v>0</v>
      </c>
      <c r="AB34" s="17">
        <f>IF(MONTH(Table1[[#This Row],[Loss date]])&lt;Pol_Inc_Month_Shifted,YEAR(Table1[[#This Row],[Loss date]])-1,YEAR(Table1[[#This Row],[Loss date]]))</f>
        <v>2009</v>
      </c>
      <c r="AC34" s="17">
        <f>IF(MONTH(Table1[[#This Row],[Reporting date]])&lt;Pol_Inc_Month_Shifted,YEAR(Table1[[#This Row],[Reporting date]])-1,YEAR(Table1[[#This Row],[Reporting date]]))</f>
        <v>2009</v>
      </c>
      <c r="AD34" s="17">
        <f>Table1[[#This Row],[Reporting year (shifted)]]-Table1[[#This Row],[Policy Year (shifted)]]</f>
        <v>0</v>
      </c>
    </row>
    <row r="35" spans="1:30" ht="13.9">
      <c r="A35" s="8" t="s">
        <v>1805</v>
      </c>
      <c r="B35" s="8" t="s">
        <v>32</v>
      </c>
      <c r="C35" s="8" t="s">
        <v>118</v>
      </c>
      <c r="D35" s="9">
        <v>40504</v>
      </c>
      <c r="E35" s="9">
        <v>40505</v>
      </c>
      <c r="F35" s="17">
        <f>IF(MONTH(Table1[[#This Row],[Loss date]])&lt;Policy_Inception_Month,YEAR(Table1[[#This Row],[Loss date]])-1,YEAR(Table1[[#This Row],[Loss date]]))</f>
        <v>2010</v>
      </c>
      <c r="G35" s="10" t="s">
        <v>119</v>
      </c>
      <c r="H35" s="10" t="s">
        <v>2</v>
      </c>
      <c r="I35" s="11">
        <v>1665.0719551491964</v>
      </c>
      <c r="J35" s="11">
        <v>0</v>
      </c>
      <c r="K35" s="11">
        <v>1665.0719551491964</v>
      </c>
      <c r="L35" s="12">
        <v>0</v>
      </c>
      <c r="M35" s="12">
        <v>0</v>
      </c>
      <c r="N35" s="12">
        <v>1665.0719551491964</v>
      </c>
      <c r="O35" s="70">
        <f>IF(Table1[[#This Row],[Overall amount]]=0,0,1)</f>
        <v>1</v>
      </c>
      <c r="P35" s="70">
        <f>Table1[[#This Row],[Overall amount]]*Exchange_Rate</f>
        <v>1665.0719551491964</v>
      </c>
      <c r="Q35" s="70">
        <f>Table1[[#This Row],[Overall (destination currency)]]*(1+Claims_Inflation)^((Revalue_at_date-Table1[[#This Row],[Loss date]])/365.25)</f>
        <v>2110.3199999999997</v>
      </c>
      <c r="R35" s="70">
        <f>INT(Table1[[#This Row],[Reporting date]])-INT(Table1[[#This Row],[Loss date]])</f>
        <v>1</v>
      </c>
      <c r="S35" s="69" t="s">
        <v>9</v>
      </c>
      <c r="T35" s="70">
        <f>VLOOKUP(Table1[[#This Row],[Policy Year]],exposure_table,3,FALSE)</f>
        <v>837.11513600000012</v>
      </c>
      <c r="U35" s="17">
        <f>IF(MONTH(Table1[[#This Row],[Reporting date]])&lt;Policy_Inception_Month,YEAR(Table1[[#This Row],[Reporting date]])-1,YEAR(Table1[[#This Row],[Reporting date]]))</f>
        <v>2010</v>
      </c>
      <c r="V35" s="17">
        <f>Table1[[#This Row],[Reporting year]]-Table1[[#This Row],[Policy Year]]</f>
        <v>0</v>
      </c>
      <c r="W35" s="17">
        <f>INT(Table1[[#This Row],[Reporting date]])-INT(Table1[[#This Row],[Loss date]])</f>
        <v>1</v>
      </c>
      <c r="X35" s="17">
        <f>INT((YEAR(Table1[[#This Row],[Loss date]])*12+MONTH(Table1[[#This Row],[Loss date]])-Earliest_Month)/4)</f>
        <v>16</v>
      </c>
      <c r="Y35" s="17">
        <f>INT((YEAR(Table1[[#This Row],[Reporting date]])*12+MONTH(Table1[[#This Row],[Reporting date]])-Earliest_Month)/4)</f>
        <v>16</v>
      </c>
      <c r="Z35" s="17">
        <f>Table1[[#This Row],[Reporting third]]-Table1[[#This Row],[Policy third]]</f>
        <v>0</v>
      </c>
      <c r="AA35" s="71">
        <f>IF(Table1[[#This Row],[Overall amount]]=0,"N/A",Table1[[#This Row],[Outstanding]]/Table1[[#This Row],[Overall amount]])</f>
        <v>0</v>
      </c>
      <c r="AB35" s="17">
        <f>IF(MONTH(Table1[[#This Row],[Loss date]])&lt;Pol_Inc_Month_Shifted,YEAR(Table1[[#This Row],[Loss date]])-1,YEAR(Table1[[#This Row],[Loss date]]))</f>
        <v>2009</v>
      </c>
      <c r="AC35" s="17">
        <f>IF(MONTH(Table1[[#This Row],[Reporting date]])&lt;Pol_Inc_Month_Shifted,YEAR(Table1[[#This Row],[Reporting date]])-1,YEAR(Table1[[#This Row],[Reporting date]]))</f>
        <v>2009</v>
      </c>
      <c r="AD35" s="17">
        <f>Table1[[#This Row],[Reporting year (shifted)]]-Table1[[#This Row],[Policy Year (shifted)]]</f>
        <v>0</v>
      </c>
    </row>
    <row r="36" spans="1:30" ht="13.9">
      <c r="A36" s="8" t="s">
        <v>1806</v>
      </c>
      <c r="B36" s="8" t="s">
        <v>33</v>
      </c>
      <c r="C36" s="8" t="s">
        <v>118</v>
      </c>
      <c r="D36" s="9">
        <v>40731</v>
      </c>
      <c r="E36" s="9">
        <v>40770</v>
      </c>
      <c r="F36" s="17">
        <f>IF(MONTH(Table1[[#This Row],[Loss date]])&lt;Policy_Inception_Month,YEAR(Table1[[#This Row],[Loss date]])-1,YEAR(Table1[[#This Row],[Loss date]]))</f>
        <v>2011</v>
      </c>
      <c r="G36" s="10" t="s">
        <v>125</v>
      </c>
      <c r="H36" s="10" t="s">
        <v>2</v>
      </c>
      <c r="I36" s="11">
        <v>778.33329990706011</v>
      </c>
      <c r="J36" s="11">
        <v>0</v>
      </c>
      <c r="K36" s="11">
        <v>778.33329990706011</v>
      </c>
      <c r="L36" s="12">
        <v>146.39497803894545</v>
      </c>
      <c r="M36" s="12">
        <v>0</v>
      </c>
      <c r="N36" s="12">
        <v>924.72827794600562</v>
      </c>
      <c r="O36" s="70">
        <f>IF(Table1[[#This Row],[Overall amount]]=0,0,1)</f>
        <v>1</v>
      </c>
      <c r="P36" s="70">
        <f>Table1[[#This Row],[Overall amount]]*Exchange_Rate</f>
        <v>924.72827794600562</v>
      </c>
      <c r="Q36" s="70">
        <f>Table1[[#This Row],[Overall (destination currency)]]*(1+Claims_Inflation)^((Revalue_at_date-Table1[[#This Row],[Loss date]])/365.25)</f>
        <v>1137</v>
      </c>
      <c r="R36" s="70">
        <f>INT(Table1[[#This Row],[Reporting date]])-INT(Table1[[#This Row],[Loss date]])</f>
        <v>39</v>
      </c>
      <c r="S36" s="69" t="s">
        <v>9</v>
      </c>
      <c r="T36" s="70">
        <f>VLOOKUP(Table1[[#This Row],[Policy Year]],exposure_table,3,FALSE)</f>
        <v>870.52680000000009</v>
      </c>
      <c r="U36" s="17">
        <f>IF(MONTH(Table1[[#This Row],[Reporting date]])&lt;Policy_Inception_Month,YEAR(Table1[[#This Row],[Reporting date]])-1,YEAR(Table1[[#This Row],[Reporting date]]))</f>
        <v>2011</v>
      </c>
      <c r="V36" s="17">
        <f>Table1[[#This Row],[Reporting year]]-Table1[[#This Row],[Policy Year]]</f>
        <v>0</v>
      </c>
      <c r="W36" s="17">
        <f>INT(Table1[[#This Row],[Reporting date]])-INT(Table1[[#This Row],[Loss date]])</f>
        <v>39</v>
      </c>
      <c r="X36" s="17">
        <f>INT((YEAR(Table1[[#This Row],[Loss date]])*12+MONTH(Table1[[#This Row],[Loss date]])-Earliest_Month)/4)</f>
        <v>18</v>
      </c>
      <c r="Y36" s="17">
        <f>INT((YEAR(Table1[[#This Row],[Reporting date]])*12+MONTH(Table1[[#This Row],[Reporting date]])-Earliest_Month)/4)</f>
        <v>19</v>
      </c>
      <c r="Z36" s="17">
        <f>Table1[[#This Row],[Reporting third]]-Table1[[#This Row],[Policy third]]</f>
        <v>1</v>
      </c>
      <c r="AA36" s="71">
        <f>IF(Table1[[#This Row],[Overall amount]]=0,"N/A",Table1[[#This Row],[Outstanding]]/Table1[[#This Row],[Overall amount]])</f>
        <v>0</v>
      </c>
      <c r="AB36" s="17">
        <f>IF(MONTH(Table1[[#This Row],[Loss date]])&lt;Pol_Inc_Month_Shifted,YEAR(Table1[[#This Row],[Loss date]])-1,YEAR(Table1[[#This Row],[Loss date]]))</f>
        <v>2010</v>
      </c>
      <c r="AC36" s="17">
        <f>IF(MONTH(Table1[[#This Row],[Reporting date]])&lt;Pol_Inc_Month_Shifted,YEAR(Table1[[#This Row],[Reporting date]])-1,YEAR(Table1[[#This Row],[Reporting date]]))</f>
        <v>2010</v>
      </c>
      <c r="AD36" s="17">
        <f>Table1[[#This Row],[Reporting year (shifted)]]-Table1[[#This Row],[Policy Year (shifted)]]</f>
        <v>0</v>
      </c>
    </row>
    <row r="37" spans="1:30" ht="13.9">
      <c r="A37" s="8" t="s">
        <v>1807</v>
      </c>
      <c r="B37" s="8" t="s">
        <v>34</v>
      </c>
      <c r="C37" s="8" t="s">
        <v>118</v>
      </c>
      <c r="D37" s="9">
        <v>40894</v>
      </c>
      <c r="E37" s="9">
        <v>40934</v>
      </c>
      <c r="F37" s="17">
        <f>IF(MONTH(Table1[[#This Row],[Loss date]])&lt;Policy_Inception_Month,YEAR(Table1[[#This Row],[Loss date]])-1,YEAR(Table1[[#This Row],[Loss date]]))</f>
        <v>2011</v>
      </c>
      <c r="G37" s="10" t="s">
        <v>124</v>
      </c>
      <c r="H37" s="10" t="s">
        <v>2</v>
      </c>
      <c r="I37" s="11">
        <v>1378.6552086770885</v>
      </c>
      <c r="J37" s="11">
        <v>0</v>
      </c>
      <c r="K37" s="11">
        <v>1378.6552086770885</v>
      </c>
      <c r="L37" s="12">
        <v>0</v>
      </c>
      <c r="M37" s="12">
        <v>0</v>
      </c>
      <c r="N37" s="12">
        <v>1378.6552086770885</v>
      </c>
      <c r="O37" s="70">
        <f>IF(Table1[[#This Row],[Overall amount]]=0,0,1)</f>
        <v>1</v>
      </c>
      <c r="P37" s="70">
        <f>Table1[[#This Row],[Overall amount]]*Exchange_Rate</f>
        <v>1378.6552086770885</v>
      </c>
      <c r="Q37" s="70">
        <f>Table1[[#This Row],[Overall (destination currency)]]*(1+Claims_Inflation)^((Revalue_at_date-Table1[[#This Row],[Loss date]])/365.25)</f>
        <v>1658.616</v>
      </c>
      <c r="R37" s="70">
        <f>INT(Table1[[#This Row],[Reporting date]])-INT(Table1[[#This Row],[Loss date]])</f>
        <v>40</v>
      </c>
      <c r="S37" s="69" t="s">
        <v>9</v>
      </c>
      <c r="T37" s="70">
        <f>VLOOKUP(Table1[[#This Row],[Policy Year]],exposure_table,3,FALSE)</f>
        <v>870.52680000000009</v>
      </c>
      <c r="U37" s="17">
        <f>IF(MONTH(Table1[[#This Row],[Reporting date]])&lt;Policy_Inception_Month,YEAR(Table1[[#This Row],[Reporting date]])-1,YEAR(Table1[[#This Row],[Reporting date]]))</f>
        <v>2011</v>
      </c>
      <c r="V37" s="17">
        <f>Table1[[#This Row],[Reporting year]]-Table1[[#This Row],[Policy Year]]</f>
        <v>0</v>
      </c>
      <c r="W37" s="17">
        <f>INT(Table1[[#This Row],[Reporting date]])-INT(Table1[[#This Row],[Loss date]])</f>
        <v>40</v>
      </c>
      <c r="X37" s="17">
        <f>INT((YEAR(Table1[[#This Row],[Loss date]])*12+MONTH(Table1[[#This Row],[Loss date]])-Earliest_Month)/4)</f>
        <v>20</v>
      </c>
      <c r="Y37" s="17">
        <f>INT((YEAR(Table1[[#This Row],[Reporting date]])*12+MONTH(Table1[[#This Row],[Reporting date]])-Earliest_Month)/4)</f>
        <v>20</v>
      </c>
      <c r="Z37" s="17">
        <f>Table1[[#This Row],[Reporting third]]-Table1[[#This Row],[Policy third]]</f>
        <v>0</v>
      </c>
      <c r="AA37" s="71">
        <f>IF(Table1[[#This Row],[Overall amount]]=0,"N/A",Table1[[#This Row],[Outstanding]]/Table1[[#This Row],[Overall amount]])</f>
        <v>0</v>
      </c>
      <c r="AB37" s="17">
        <f>IF(MONTH(Table1[[#This Row],[Loss date]])&lt;Pol_Inc_Month_Shifted,YEAR(Table1[[#This Row],[Loss date]])-1,YEAR(Table1[[#This Row],[Loss date]]))</f>
        <v>2011</v>
      </c>
      <c r="AC37" s="17">
        <f>IF(MONTH(Table1[[#This Row],[Reporting date]])&lt;Pol_Inc_Month_Shifted,YEAR(Table1[[#This Row],[Reporting date]])-1,YEAR(Table1[[#This Row],[Reporting date]]))</f>
        <v>2011</v>
      </c>
      <c r="AD37" s="17">
        <f>Table1[[#This Row],[Reporting year (shifted)]]-Table1[[#This Row],[Policy Year (shifted)]]</f>
        <v>0</v>
      </c>
    </row>
    <row r="38" spans="1:30" ht="13.9">
      <c r="A38" s="8" t="s">
        <v>1808</v>
      </c>
      <c r="B38" s="8" t="s">
        <v>35</v>
      </c>
      <c r="C38" s="8" t="s">
        <v>123</v>
      </c>
      <c r="D38" s="9">
        <v>40278</v>
      </c>
      <c r="E38" s="9">
        <v>41363</v>
      </c>
      <c r="F38" s="17">
        <f>IF(MONTH(Table1[[#This Row],[Loss date]])&lt;Policy_Inception_Month,YEAR(Table1[[#This Row],[Loss date]])-1,YEAR(Table1[[#This Row],[Loss date]]))</f>
        <v>2010</v>
      </c>
      <c r="G38" s="10" t="s">
        <v>125</v>
      </c>
      <c r="H38" s="10" t="s">
        <v>2</v>
      </c>
      <c r="I38" s="11">
        <v>16451.828705070147</v>
      </c>
      <c r="J38" s="11">
        <v>0</v>
      </c>
      <c r="K38" s="11">
        <v>16451.828705070147</v>
      </c>
      <c r="L38" s="12">
        <v>0</v>
      </c>
      <c r="M38" s="12">
        <v>0</v>
      </c>
      <c r="N38" s="12">
        <v>16451.828705070147</v>
      </c>
      <c r="O38" s="70">
        <f>IF(Table1[[#This Row],[Overall amount]]=0,0,1)</f>
        <v>1</v>
      </c>
      <c r="P38" s="70">
        <f>Table1[[#This Row],[Overall amount]]*Exchange_Rate</f>
        <v>16451.828705070147</v>
      </c>
      <c r="Q38" s="70">
        <f>Table1[[#This Row],[Overall (destination currency)]]*(1+Claims_Inflation)^((Revalue_at_date-Table1[[#This Row],[Loss date]])/365.25)</f>
        <v>21490.2</v>
      </c>
      <c r="R38" s="70">
        <f>INT(Table1[[#This Row],[Reporting date]])-INT(Table1[[#This Row],[Loss date]])</f>
        <v>1085</v>
      </c>
      <c r="S38" s="69" t="s">
        <v>9</v>
      </c>
      <c r="T38" s="70">
        <f>VLOOKUP(Table1[[#This Row],[Policy Year]],exposure_table,3,FALSE)</f>
        <v>837.11513600000012</v>
      </c>
      <c r="U38" s="17">
        <f>IF(MONTH(Table1[[#This Row],[Reporting date]])&lt;Policy_Inception_Month,YEAR(Table1[[#This Row],[Reporting date]])-1,YEAR(Table1[[#This Row],[Reporting date]]))</f>
        <v>2012</v>
      </c>
      <c r="V38" s="17">
        <f>Table1[[#This Row],[Reporting year]]-Table1[[#This Row],[Policy Year]]</f>
        <v>2</v>
      </c>
      <c r="W38" s="17">
        <f>INT(Table1[[#This Row],[Reporting date]])-INT(Table1[[#This Row],[Loss date]])</f>
        <v>1085</v>
      </c>
      <c r="X38" s="17">
        <f>INT((YEAR(Table1[[#This Row],[Loss date]])*12+MONTH(Table1[[#This Row],[Loss date]])-Earliest_Month)/4)</f>
        <v>15</v>
      </c>
      <c r="Y38" s="17">
        <f>INT((YEAR(Table1[[#This Row],[Reporting date]])*12+MONTH(Table1[[#This Row],[Reporting date]])-Earliest_Month)/4)</f>
        <v>23</v>
      </c>
      <c r="Z38" s="17">
        <f>Table1[[#This Row],[Reporting third]]-Table1[[#This Row],[Policy third]]</f>
        <v>8</v>
      </c>
      <c r="AA38" s="71">
        <f>IF(Table1[[#This Row],[Overall amount]]=0,"N/A",Table1[[#This Row],[Outstanding]]/Table1[[#This Row],[Overall amount]])</f>
        <v>0</v>
      </c>
      <c r="AB38" s="17">
        <f>IF(MONTH(Table1[[#This Row],[Loss date]])&lt;Pol_Inc_Month_Shifted,YEAR(Table1[[#This Row],[Loss date]])-1,YEAR(Table1[[#This Row],[Loss date]]))</f>
        <v>2009</v>
      </c>
      <c r="AC38" s="17">
        <f>IF(MONTH(Table1[[#This Row],[Reporting date]])&lt;Pol_Inc_Month_Shifted,YEAR(Table1[[#This Row],[Reporting date]])-1,YEAR(Table1[[#This Row],[Reporting date]]))</f>
        <v>2012</v>
      </c>
      <c r="AD38" s="17">
        <f>Table1[[#This Row],[Reporting year (shifted)]]-Table1[[#This Row],[Policy Year (shifted)]]</f>
        <v>3</v>
      </c>
    </row>
    <row r="39" spans="1:30" ht="13.9">
      <c r="A39" s="8" t="s">
        <v>1809</v>
      </c>
      <c r="B39" s="8" t="s">
        <v>36</v>
      </c>
      <c r="C39" s="8" t="s">
        <v>123</v>
      </c>
      <c r="D39" s="9">
        <v>40720</v>
      </c>
      <c r="E39" s="9">
        <v>41616</v>
      </c>
      <c r="F39" s="17">
        <f>IF(MONTH(Table1[[#This Row],[Loss date]])&lt;Policy_Inception_Month,YEAR(Table1[[#This Row],[Loss date]])-1,YEAR(Table1[[#This Row],[Loss date]]))</f>
        <v>2011</v>
      </c>
      <c r="G39" s="10" t="s">
        <v>125</v>
      </c>
      <c r="H39" s="10" t="s">
        <v>2</v>
      </c>
      <c r="I39" s="11">
        <v>0</v>
      </c>
      <c r="J39" s="11">
        <v>0</v>
      </c>
      <c r="K39" s="11">
        <v>0</v>
      </c>
      <c r="L39" s="12">
        <v>0</v>
      </c>
      <c r="M39" s="12">
        <v>0</v>
      </c>
      <c r="N39" s="12">
        <v>0</v>
      </c>
      <c r="O39" s="70">
        <f>IF(Table1[[#This Row],[Overall amount]]=0,0,1)</f>
        <v>0</v>
      </c>
      <c r="P39" s="70">
        <f>Table1[[#This Row],[Overall amount]]*Exchange_Rate</f>
        <v>0</v>
      </c>
      <c r="Q39" s="70">
        <f>Table1[[#This Row],[Overall (destination currency)]]*(1+Claims_Inflation)^((Revalue_at_date-Table1[[#This Row],[Loss date]])/365.25)</f>
        <v>0</v>
      </c>
      <c r="R39" s="70">
        <f>INT(Table1[[#This Row],[Reporting date]])-INT(Table1[[#This Row],[Loss date]])</f>
        <v>896</v>
      </c>
      <c r="S39" s="69" t="s">
        <v>9</v>
      </c>
      <c r="T39" s="70">
        <f>VLOOKUP(Table1[[#This Row],[Policy Year]],exposure_table,3,FALSE)</f>
        <v>870.52680000000009</v>
      </c>
      <c r="U39" s="17">
        <f>IF(MONTH(Table1[[#This Row],[Reporting date]])&lt;Policy_Inception_Month,YEAR(Table1[[#This Row],[Reporting date]])-1,YEAR(Table1[[#This Row],[Reporting date]]))</f>
        <v>2013</v>
      </c>
      <c r="V39" s="17">
        <f>Table1[[#This Row],[Reporting year]]-Table1[[#This Row],[Policy Year]]</f>
        <v>2</v>
      </c>
      <c r="W39" s="17">
        <f>INT(Table1[[#This Row],[Reporting date]])-INT(Table1[[#This Row],[Loss date]])</f>
        <v>896</v>
      </c>
      <c r="X39" s="17">
        <f>INT((YEAR(Table1[[#This Row],[Loss date]])*12+MONTH(Table1[[#This Row],[Loss date]])-Earliest_Month)/4)</f>
        <v>18</v>
      </c>
      <c r="Y39" s="17">
        <f>INT((YEAR(Table1[[#This Row],[Reporting date]])*12+MONTH(Table1[[#This Row],[Reporting date]])-Earliest_Month)/4)</f>
        <v>26</v>
      </c>
      <c r="Z39" s="17">
        <f>Table1[[#This Row],[Reporting third]]-Table1[[#This Row],[Policy third]]</f>
        <v>8</v>
      </c>
      <c r="AA39" s="71" t="str">
        <f>IF(Table1[[#This Row],[Overall amount]]=0,"N/A",Table1[[#This Row],[Outstanding]]/Table1[[#This Row],[Overall amount]])</f>
        <v>N/A</v>
      </c>
      <c r="AB39" s="17">
        <f>IF(MONTH(Table1[[#This Row],[Loss date]])&lt;Pol_Inc_Month_Shifted,YEAR(Table1[[#This Row],[Loss date]])-1,YEAR(Table1[[#This Row],[Loss date]]))</f>
        <v>2010</v>
      </c>
      <c r="AC39" s="17">
        <f>IF(MONTH(Table1[[#This Row],[Reporting date]])&lt;Pol_Inc_Month_Shifted,YEAR(Table1[[#This Row],[Reporting date]])-1,YEAR(Table1[[#This Row],[Reporting date]]))</f>
        <v>2013</v>
      </c>
      <c r="AD39" s="17">
        <f>Table1[[#This Row],[Reporting year (shifted)]]-Table1[[#This Row],[Policy Year (shifted)]]</f>
        <v>3</v>
      </c>
    </row>
    <row r="40" spans="1:30" ht="13.9">
      <c r="A40" s="8" t="s">
        <v>1810</v>
      </c>
      <c r="B40" s="8" t="s">
        <v>37</v>
      </c>
      <c r="C40" s="8" t="s">
        <v>123</v>
      </c>
      <c r="D40" s="9">
        <v>40503</v>
      </c>
      <c r="E40" s="9">
        <v>41131</v>
      </c>
      <c r="F40" s="17">
        <f>IF(MONTH(Table1[[#This Row],[Loss date]])&lt;Policy_Inception_Month,YEAR(Table1[[#This Row],[Loss date]])-1,YEAR(Table1[[#This Row],[Loss date]]))</f>
        <v>2010</v>
      </c>
      <c r="G40" s="10" t="s">
        <v>125</v>
      </c>
      <c r="H40" s="10" t="s">
        <v>2</v>
      </c>
      <c r="I40" s="11">
        <v>21028.358134615726</v>
      </c>
      <c r="J40" s="11">
        <v>0</v>
      </c>
      <c r="K40" s="11">
        <v>21028.358134615726</v>
      </c>
      <c r="L40" s="12">
        <v>284.00708791827657</v>
      </c>
      <c r="M40" s="12">
        <v>0</v>
      </c>
      <c r="N40" s="12">
        <v>21312.365222534001</v>
      </c>
      <c r="O40" s="70">
        <f>IF(Table1[[#This Row],[Overall amount]]=0,0,1)</f>
        <v>1</v>
      </c>
      <c r="P40" s="70">
        <f>Table1[[#This Row],[Overall amount]]*Exchange_Rate</f>
        <v>21312.365222534001</v>
      </c>
      <c r="Q40" s="70">
        <f>Table1[[#This Row],[Overall (destination currency)]]*(1+Claims_Inflation)^((Revalue_at_date-Table1[[#This Row],[Loss date]])/365.25)</f>
        <v>27014.999999999996</v>
      </c>
      <c r="R40" s="70">
        <f>INT(Table1[[#This Row],[Reporting date]])-INT(Table1[[#This Row],[Loss date]])</f>
        <v>628</v>
      </c>
      <c r="S40" s="69" t="s">
        <v>9</v>
      </c>
      <c r="T40" s="70">
        <f>VLOOKUP(Table1[[#This Row],[Policy Year]],exposure_table,3,FALSE)</f>
        <v>837.11513600000012</v>
      </c>
      <c r="U40" s="17">
        <f>IF(MONTH(Table1[[#This Row],[Reporting date]])&lt;Policy_Inception_Month,YEAR(Table1[[#This Row],[Reporting date]])-1,YEAR(Table1[[#This Row],[Reporting date]]))</f>
        <v>2012</v>
      </c>
      <c r="V40" s="17">
        <f>Table1[[#This Row],[Reporting year]]-Table1[[#This Row],[Policy Year]]</f>
        <v>2</v>
      </c>
      <c r="W40" s="17">
        <f>INT(Table1[[#This Row],[Reporting date]])-INT(Table1[[#This Row],[Loss date]])</f>
        <v>628</v>
      </c>
      <c r="X40" s="17">
        <f>INT((YEAR(Table1[[#This Row],[Loss date]])*12+MONTH(Table1[[#This Row],[Loss date]])-Earliest_Month)/4)</f>
        <v>16</v>
      </c>
      <c r="Y40" s="17">
        <f>INT((YEAR(Table1[[#This Row],[Reporting date]])*12+MONTH(Table1[[#This Row],[Reporting date]])-Earliest_Month)/4)</f>
        <v>22</v>
      </c>
      <c r="Z40" s="17">
        <f>Table1[[#This Row],[Reporting third]]-Table1[[#This Row],[Policy third]]</f>
        <v>6</v>
      </c>
      <c r="AA40" s="71">
        <f>IF(Table1[[#This Row],[Overall amount]]=0,"N/A",Table1[[#This Row],[Outstanding]]/Table1[[#This Row],[Overall amount]])</f>
        <v>0</v>
      </c>
      <c r="AB40" s="17">
        <f>IF(MONTH(Table1[[#This Row],[Loss date]])&lt;Pol_Inc_Month_Shifted,YEAR(Table1[[#This Row],[Loss date]])-1,YEAR(Table1[[#This Row],[Loss date]]))</f>
        <v>2009</v>
      </c>
      <c r="AC40" s="17">
        <f>IF(MONTH(Table1[[#This Row],[Reporting date]])&lt;Pol_Inc_Month_Shifted,YEAR(Table1[[#This Row],[Reporting date]])-1,YEAR(Table1[[#This Row],[Reporting date]]))</f>
        <v>2011</v>
      </c>
      <c r="AD40" s="17">
        <f>Table1[[#This Row],[Reporting year (shifted)]]-Table1[[#This Row],[Policy Year (shifted)]]</f>
        <v>2</v>
      </c>
    </row>
    <row r="41" spans="1:30" ht="13.9">
      <c r="A41" s="8" t="s">
        <v>1811</v>
      </c>
      <c r="B41" s="8" t="s">
        <v>38</v>
      </c>
      <c r="C41" s="8" t="s">
        <v>123</v>
      </c>
      <c r="D41" s="9">
        <v>40105</v>
      </c>
      <c r="E41" s="9">
        <v>41456</v>
      </c>
      <c r="F41" s="17">
        <f>IF(MONTH(Table1[[#This Row],[Loss date]])&lt;Policy_Inception_Month,YEAR(Table1[[#This Row],[Loss date]])-1,YEAR(Table1[[#This Row],[Loss date]]))</f>
        <v>2009</v>
      </c>
      <c r="G41" s="10" t="s">
        <v>125</v>
      </c>
      <c r="H41" s="10" t="s">
        <v>2</v>
      </c>
      <c r="I41" s="11">
        <v>14500.973542629436</v>
      </c>
      <c r="J41" s="11">
        <v>0</v>
      </c>
      <c r="K41" s="11">
        <v>14500.973542629436</v>
      </c>
      <c r="L41" s="12">
        <v>0</v>
      </c>
      <c r="M41" s="12">
        <v>0</v>
      </c>
      <c r="N41" s="12">
        <v>14500.973542629436</v>
      </c>
      <c r="O41" s="70">
        <f>IF(Table1[[#This Row],[Overall amount]]=0,0,1)</f>
        <v>1</v>
      </c>
      <c r="P41" s="70">
        <f>Table1[[#This Row],[Overall amount]]*Exchange_Rate</f>
        <v>14500.973542629436</v>
      </c>
      <c r="Q41" s="70">
        <f>Table1[[#This Row],[Overall (destination currency)]]*(1+Claims_Inflation)^((Revalue_at_date-Table1[[#This Row],[Loss date]])/365.25)</f>
        <v>19384.727999999999</v>
      </c>
      <c r="R41" s="70">
        <f>INT(Table1[[#This Row],[Reporting date]])-INT(Table1[[#This Row],[Loss date]])</f>
        <v>1351</v>
      </c>
      <c r="S41" s="69" t="s">
        <v>9</v>
      </c>
      <c r="T41" s="70">
        <f>VLOOKUP(Table1[[#This Row],[Policy Year]],exposure_table,3,FALSE)</f>
        <v>760.22808576000011</v>
      </c>
      <c r="U41" s="17">
        <f>IF(MONTH(Table1[[#This Row],[Reporting date]])&lt;Policy_Inception_Month,YEAR(Table1[[#This Row],[Reporting date]])-1,YEAR(Table1[[#This Row],[Reporting date]]))</f>
        <v>2013</v>
      </c>
      <c r="V41" s="17">
        <f>Table1[[#This Row],[Reporting year]]-Table1[[#This Row],[Policy Year]]</f>
        <v>4</v>
      </c>
      <c r="W41" s="17">
        <f>INT(Table1[[#This Row],[Reporting date]])-INT(Table1[[#This Row],[Loss date]])</f>
        <v>1351</v>
      </c>
      <c r="X41" s="17">
        <f>INT((YEAR(Table1[[#This Row],[Loss date]])*12+MONTH(Table1[[#This Row],[Loss date]])-Earliest_Month)/4)</f>
        <v>13</v>
      </c>
      <c r="Y41" s="17">
        <f>INT((YEAR(Table1[[#This Row],[Reporting date]])*12+MONTH(Table1[[#This Row],[Reporting date]])-Earliest_Month)/4)</f>
        <v>24</v>
      </c>
      <c r="Z41" s="17">
        <f>Table1[[#This Row],[Reporting third]]-Table1[[#This Row],[Policy third]]</f>
        <v>11</v>
      </c>
      <c r="AA41" s="71">
        <f>IF(Table1[[#This Row],[Overall amount]]=0,"N/A",Table1[[#This Row],[Outstanding]]/Table1[[#This Row],[Overall amount]])</f>
        <v>0</v>
      </c>
      <c r="AB41" s="17">
        <f>IF(MONTH(Table1[[#This Row],[Loss date]])&lt;Pol_Inc_Month_Shifted,YEAR(Table1[[#This Row],[Loss date]])-1,YEAR(Table1[[#This Row],[Loss date]]))</f>
        <v>2008</v>
      </c>
      <c r="AC41" s="17">
        <f>IF(MONTH(Table1[[#This Row],[Reporting date]])&lt;Pol_Inc_Month_Shifted,YEAR(Table1[[#This Row],[Reporting date]])-1,YEAR(Table1[[#This Row],[Reporting date]]))</f>
        <v>2012</v>
      </c>
      <c r="AD41" s="17">
        <f>Table1[[#This Row],[Reporting year (shifted)]]-Table1[[#This Row],[Policy Year (shifted)]]</f>
        <v>4</v>
      </c>
    </row>
    <row r="42" spans="1:30" ht="13.9">
      <c r="A42" s="8" t="s">
        <v>1812</v>
      </c>
      <c r="B42" s="8" t="s">
        <v>39</v>
      </c>
      <c r="C42" s="8" t="s">
        <v>123</v>
      </c>
      <c r="D42" s="9">
        <v>40879</v>
      </c>
      <c r="E42" s="9">
        <v>41126</v>
      </c>
      <c r="F42" s="17">
        <f>IF(MONTH(Table1[[#This Row],[Loss date]])&lt;Policy_Inception_Month,YEAR(Table1[[#This Row],[Loss date]])-1,YEAR(Table1[[#This Row],[Loss date]]))</f>
        <v>2011</v>
      </c>
      <c r="G42" s="10" t="s">
        <v>125</v>
      </c>
      <c r="H42" s="10" t="s">
        <v>2</v>
      </c>
      <c r="I42" s="11">
        <v>5714.3595050032918</v>
      </c>
      <c r="J42" s="11">
        <v>45100.542027609612</v>
      </c>
      <c r="K42" s="11">
        <v>50814.901532612901</v>
      </c>
      <c r="L42" s="12">
        <v>0</v>
      </c>
      <c r="M42" s="12">
        <v>0</v>
      </c>
      <c r="N42" s="12">
        <v>50814.901532612901</v>
      </c>
      <c r="O42" s="70">
        <f>IF(Table1[[#This Row],[Overall amount]]=0,0,1)</f>
        <v>1</v>
      </c>
      <c r="P42" s="70">
        <f>Table1[[#This Row],[Overall amount]]*Exchange_Rate</f>
        <v>50814.901532612901</v>
      </c>
      <c r="Q42" s="70">
        <f>Table1[[#This Row],[Overall (destination currency)]]*(1+Claims_Inflation)^((Revalue_at_date-Table1[[#This Row],[Loss date]])/365.25)</f>
        <v>61256.400000000009</v>
      </c>
      <c r="R42" s="70">
        <f>INT(Table1[[#This Row],[Reporting date]])-INT(Table1[[#This Row],[Loss date]])</f>
        <v>247</v>
      </c>
      <c r="S42" s="69" t="s">
        <v>16</v>
      </c>
      <c r="T42" s="70">
        <f>VLOOKUP(Table1[[#This Row],[Policy Year]],exposure_table,3,FALSE)</f>
        <v>870.52680000000009</v>
      </c>
      <c r="U42" s="17">
        <f>IF(MONTH(Table1[[#This Row],[Reporting date]])&lt;Policy_Inception_Month,YEAR(Table1[[#This Row],[Reporting date]])-1,YEAR(Table1[[#This Row],[Reporting date]]))</f>
        <v>2012</v>
      </c>
      <c r="V42" s="17">
        <f>Table1[[#This Row],[Reporting year]]-Table1[[#This Row],[Policy Year]]</f>
        <v>1</v>
      </c>
      <c r="W42" s="17">
        <f>INT(Table1[[#This Row],[Reporting date]])-INT(Table1[[#This Row],[Loss date]])</f>
        <v>247</v>
      </c>
      <c r="X42" s="17">
        <f>INT((YEAR(Table1[[#This Row],[Loss date]])*12+MONTH(Table1[[#This Row],[Loss date]])-Earliest_Month)/4)</f>
        <v>20</v>
      </c>
      <c r="Y42" s="17">
        <f>INT((YEAR(Table1[[#This Row],[Reporting date]])*12+MONTH(Table1[[#This Row],[Reporting date]])-Earliest_Month)/4)</f>
        <v>22</v>
      </c>
      <c r="Z42" s="17">
        <f>Table1[[#This Row],[Reporting third]]-Table1[[#This Row],[Policy third]]</f>
        <v>2</v>
      </c>
      <c r="AA42" s="71">
        <f>IF(Table1[[#This Row],[Overall amount]]=0,"N/A",Table1[[#This Row],[Outstanding]]/Table1[[#This Row],[Overall amount]])</f>
        <v>0.88754559523576315</v>
      </c>
      <c r="AB42" s="17">
        <f>IF(MONTH(Table1[[#This Row],[Loss date]])&lt;Pol_Inc_Month_Shifted,YEAR(Table1[[#This Row],[Loss date]])-1,YEAR(Table1[[#This Row],[Loss date]]))</f>
        <v>2011</v>
      </c>
      <c r="AC42" s="17">
        <f>IF(MONTH(Table1[[#This Row],[Reporting date]])&lt;Pol_Inc_Month_Shifted,YEAR(Table1[[#This Row],[Reporting date]])-1,YEAR(Table1[[#This Row],[Reporting date]]))</f>
        <v>2011</v>
      </c>
      <c r="AD42" s="17">
        <f>Table1[[#This Row],[Reporting year (shifted)]]-Table1[[#This Row],[Policy Year (shifted)]]</f>
        <v>0</v>
      </c>
    </row>
    <row r="43" spans="1:30" ht="13.9">
      <c r="A43" s="8" t="s">
        <v>1813</v>
      </c>
      <c r="B43" s="8" t="s">
        <v>40</v>
      </c>
      <c r="C43" s="8" t="s">
        <v>123</v>
      </c>
      <c r="D43" s="9">
        <v>40829</v>
      </c>
      <c r="E43" s="9">
        <v>41119</v>
      </c>
      <c r="F43" s="17">
        <f>IF(MONTH(Table1[[#This Row],[Loss date]])&lt;Policy_Inception_Month,YEAR(Table1[[#This Row],[Loss date]])-1,YEAR(Table1[[#This Row],[Loss date]]))</f>
        <v>2011</v>
      </c>
      <c r="G43" s="10" t="s">
        <v>125</v>
      </c>
      <c r="H43" s="10" t="s">
        <v>2</v>
      </c>
      <c r="I43" s="11">
        <v>5748.6432055263258</v>
      </c>
      <c r="J43" s="11">
        <v>0</v>
      </c>
      <c r="K43" s="11">
        <v>5748.6432055263258</v>
      </c>
      <c r="L43" s="12">
        <v>0</v>
      </c>
      <c r="M43" s="12">
        <v>0</v>
      </c>
      <c r="N43" s="12">
        <v>5748.6432055263258</v>
      </c>
      <c r="O43" s="70">
        <f>IF(Table1[[#This Row],[Overall amount]]=0,0,1)</f>
        <v>1</v>
      </c>
      <c r="P43" s="70">
        <f>Table1[[#This Row],[Overall amount]]*Exchange_Rate</f>
        <v>5748.6432055263258</v>
      </c>
      <c r="Q43" s="70">
        <f>Table1[[#This Row],[Overall (destination currency)]]*(1+Claims_Inflation)^((Revalue_at_date-Table1[[#This Row],[Loss date]])/365.25)</f>
        <v>6976.3200000000006</v>
      </c>
      <c r="R43" s="70">
        <f>INT(Table1[[#This Row],[Reporting date]])-INT(Table1[[#This Row],[Loss date]])</f>
        <v>290</v>
      </c>
      <c r="S43" s="69" t="s">
        <v>9</v>
      </c>
      <c r="T43" s="70">
        <f>VLOOKUP(Table1[[#This Row],[Policy Year]],exposure_table,3,FALSE)</f>
        <v>870.52680000000009</v>
      </c>
      <c r="U43" s="17">
        <f>IF(MONTH(Table1[[#This Row],[Reporting date]])&lt;Policy_Inception_Month,YEAR(Table1[[#This Row],[Reporting date]])-1,YEAR(Table1[[#This Row],[Reporting date]]))</f>
        <v>2012</v>
      </c>
      <c r="V43" s="17">
        <f>Table1[[#This Row],[Reporting year]]-Table1[[#This Row],[Policy Year]]</f>
        <v>1</v>
      </c>
      <c r="W43" s="17">
        <f>INT(Table1[[#This Row],[Reporting date]])-INT(Table1[[#This Row],[Loss date]])</f>
        <v>290</v>
      </c>
      <c r="X43" s="17">
        <f>INT((YEAR(Table1[[#This Row],[Loss date]])*12+MONTH(Table1[[#This Row],[Loss date]])-Earliest_Month)/4)</f>
        <v>19</v>
      </c>
      <c r="Y43" s="17">
        <f>INT((YEAR(Table1[[#This Row],[Reporting date]])*12+MONTH(Table1[[#This Row],[Reporting date]])-Earliest_Month)/4)</f>
        <v>21</v>
      </c>
      <c r="Z43" s="17">
        <f>Table1[[#This Row],[Reporting third]]-Table1[[#This Row],[Policy third]]</f>
        <v>2</v>
      </c>
      <c r="AA43" s="71">
        <f>IF(Table1[[#This Row],[Overall amount]]=0,"N/A",Table1[[#This Row],[Outstanding]]/Table1[[#This Row],[Overall amount]])</f>
        <v>0</v>
      </c>
      <c r="AB43" s="17">
        <f>IF(MONTH(Table1[[#This Row],[Loss date]])&lt;Pol_Inc_Month_Shifted,YEAR(Table1[[#This Row],[Loss date]])-1,YEAR(Table1[[#This Row],[Loss date]]))</f>
        <v>2010</v>
      </c>
      <c r="AC43" s="17">
        <f>IF(MONTH(Table1[[#This Row],[Reporting date]])&lt;Pol_Inc_Month_Shifted,YEAR(Table1[[#This Row],[Reporting date]])-1,YEAR(Table1[[#This Row],[Reporting date]]))</f>
        <v>2011</v>
      </c>
      <c r="AD43" s="17">
        <f>Table1[[#This Row],[Reporting year (shifted)]]-Table1[[#This Row],[Policy Year (shifted)]]</f>
        <v>1</v>
      </c>
    </row>
    <row r="44" spans="1:30" ht="13.9">
      <c r="A44" s="8" t="s">
        <v>1814</v>
      </c>
      <c r="B44" s="8" t="s">
        <v>41</v>
      </c>
      <c r="C44" s="8" t="s">
        <v>123</v>
      </c>
      <c r="D44" s="9">
        <v>40071</v>
      </c>
      <c r="E44" s="9">
        <v>41315</v>
      </c>
      <c r="F44" s="17">
        <f>IF(MONTH(Table1[[#This Row],[Loss date]])&lt;Policy_Inception_Month,YEAR(Table1[[#This Row],[Loss date]])-1,YEAR(Table1[[#This Row],[Loss date]]))</f>
        <v>2009</v>
      </c>
      <c r="G44" s="10" t="s">
        <v>125</v>
      </c>
      <c r="H44" s="10" t="s">
        <v>2</v>
      </c>
      <c r="I44" s="11">
        <v>13491.221923180281</v>
      </c>
      <c r="J44" s="11">
        <v>0</v>
      </c>
      <c r="K44" s="11">
        <v>13491.221923180281</v>
      </c>
      <c r="L44" s="12">
        <v>0</v>
      </c>
      <c r="M44" s="12">
        <v>0</v>
      </c>
      <c r="N44" s="12">
        <v>13491.221923180281</v>
      </c>
      <c r="O44" s="70">
        <f>IF(Table1[[#This Row],[Overall amount]]=0,0,1)</f>
        <v>1</v>
      </c>
      <c r="P44" s="70">
        <f>Table1[[#This Row],[Overall amount]]*Exchange_Rate</f>
        <v>13491.221923180281</v>
      </c>
      <c r="Q44" s="70">
        <f>Table1[[#This Row],[Overall (destination currency)]]*(1+Claims_Inflation)^((Revalue_at_date-Table1[[#This Row],[Loss date]])/365.25)</f>
        <v>18117.000000000004</v>
      </c>
      <c r="R44" s="70">
        <f>INT(Table1[[#This Row],[Reporting date]])-INT(Table1[[#This Row],[Loss date]])</f>
        <v>1244</v>
      </c>
      <c r="S44" s="69" t="s">
        <v>9</v>
      </c>
      <c r="T44" s="70">
        <f>VLOOKUP(Table1[[#This Row],[Policy Year]],exposure_table,3,FALSE)</f>
        <v>760.22808576000011</v>
      </c>
      <c r="U44" s="17">
        <f>IF(MONTH(Table1[[#This Row],[Reporting date]])&lt;Policy_Inception_Month,YEAR(Table1[[#This Row],[Reporting date]])-1,YEAR(Table1[[#This Row],[Reporting date]]))</f>
        <v>2012</v>
      </c>
      <c r="V44" s="17">
        <f>Table1[[#This Row],[Reporting year]]-Table1[[#This Row],[Policy Year]]</f>
        <v>3</v>
      </c>
      <c r="W44" s="17">
        <f>INT(Table1[[#This Row],[Reporting date]])-INT(Table1[[#This Row],[Loss date]])</f>
        <v>1244</v>
      </c>
      <c r="X44" s="17">
        <f>INT((YEAR(Table1[[#This Row],[Loss date]])*12+MONTH(Table1[[#This Row],[Loss date]])-Earliest_Month)/4)</f>
        <v>13</v>
      </c>
      <c r="Y44" s="17">
        <f>INT((YEAR(Table1[[#This Row],[Reporting date]])*12+MONTH(Table1[[#This Row],[Reporting date]])-Earliest_Month)/4)</f>
        <v>23</v>
      </c>
      <c r="Z44" s="17">
        <f>Table1[[#This Row],[Reporting third]]-Table1[[#This Row],[Policy third]]</f>
        <v>10</v>
      </c>
      <c r="AA44" s="71">
        <f>IF(Table1[[#This Row],[Overall amount]]=0,"N/A",Table1[[#This Row],[Outstanding]]/Table1[[#This Row],[Overall amount]])</f>
        <v>0</v>
      </c>
      <c r="AB44" s="17">
        <f>IF(MONTH(Table1[[#This Row],[Loss date]])&lt;Pol_Inc_Month_Shifted,YEAR(Table1[[#This Row],[Loss date]])-1,YEAR(Table1[[#This Row],[Loss date]]))</f>
        <v>2008</v>
      </c>
      <c r="AC44" s="17">
        <f>IF(MONTH(Table1[[#This Row],[Reporting date]])&lt;Pol_Inc_Month_Shifted,YEAR(Table1[[#This Row],[Reporting date]])-1,YEAR(Table1[[#This Row],[Reporting date]]))</f>
        <v>2012</v>
      </c>
      <c r="AD44" s="17">
        <f>Table1[[#This Row],[Reporting year (shifted)]]-Table1[[#This Row],[Policy Year (shifted)]]</f>
        <v>4</v>
      </c>
    </row>
    <row r="45" spans="1:30" ht="13.9">
      <c r="A45" s="8" t="s">
        <v>1815</v>
      </c>
      <c r="B45" s="8" t="s">
        <v>42</v>
      </c>
      <c r="C45" s="8" t="s">
        <v>123</v>
      </c>
      <c r="D45" s="9">
        <v>40864</v>
      </c>
      <c r="E45" s="9">
        <v>41383</v>
      </c>
      <c r="F45" s="17">
        <f>IF(MONTH(Table1[[#This Row],[Loss date]])&lt;Policy_Inception_Month,YEAR(Table1[[#This Row],[Loss date]])-1,YEAR(Table1[[#This Row],[Loss date]]))</f>
        <v>2011</v>
      </c>
      <c r="G45" s="10" t="s">
        <v>125</v>
      </c>
      <c r="H45" s="10" t="s">
        <v>2</v>
      </c>
      <c r="I45" s="11">
        <v>1361.1404287247694</v>
      </c>
      <c r="J45" s="11">
        <v>28939.409221742691</v>
      </c>
      <c r="K45" s="11">
        <v>30300.549650467463</v>
      </c>
      <c r="L45" s="12">
        <v>0</v>
      </c>
      <c r="M45" s="12">
        <v>0</v>
      </c>
      <c r="N45" s="12">
        <v>30300.549650467463</v>
      </c>
      <c r="O45" s="70">
        <f>IF(Table1[[#This Row],[Overall amount]]=0,0,1)</f>
        <v>1</v>
      </c>
      <c r="P45" s="70">
        <f>Table1[[#This Row],[Overall amount]]*Exchange_Rate</f>
        <v>30300.549650467463</v>
      </c>
      <c r="Q45" s="70">
        <f>Table1[[#This Row],[Overall (destination currency)]]*(1+Claims_Inflation)^((Revalue_at_date-Table1[[#This Row],[Loss date]])/365.25)</f>
        <v>36600</v>
      </c>
      <c r="R45" s="70">
        <f>INT(Table1[[#This Row],[Reporting date]])-INT(Table1[[#This Row],[Loss date]])</f>
        <v>519</v>
      </c>
      <c r="S45" s="69" t="s">
        <v>16</v>
      </c>
      <c r="T45" s="70">
        <f>VLOOKUP(Table1[[#This Row],[Policy Year]],exposure_table,3,FALSE)</f>
        <v>870.52680000000009</v>
      </c>
      <c r="U45" s="17">
        <f>IF(MONTH(Table1[[#This Row],[Reporting date]])&lt;Policy_Inception_Month,YEAR(Table1[[#This Row],[Reporting date]])-1,YEAR(Table1[[#This Row],[Reporting date]]))</f>
        <v>2013</v>
      </c>
      <c r="V45" s="17">
        <f>Table1[[#This Row],[Reporting year]]-Table1[[#This Row],[Policy Year]]</f>
        <v>2</v>
      </c>
      <c r="W45" s="17">
        <f>INT(Table1[[#This Row],[Reporting date]])-INT(Table1[[#This Row],[Loss date]])</f>
        <v>519</v>
      </c>
      <c r="X45" s="17">
        <f>INT((YEAR(Table1[[#This Row],[Loss date]])*12+MONTH(Table1[[#This Row],[Loss date]])-Earliest_Month)/4)</f>
        <v>19</v>
      </c>
      <c r="Y45" s="17">
        <f>INT((YEAR(Table1[[#This Row],[Reporting date]])*12+MONTH(Table1[[#This Row],[Reporting date]])-Earliest_Month)/4)</f>
        <v>24</v>
      </c>
      <c r="Z45" s="17">
        <f>Table1[[#This Row],[Reporting third]]-Table1[[#This Row],[Policy third]]</f>
        <v>5</v>
      </c>
      <c r="AA45" s="71">
        <f>IF(Table1[[#This Row],[Overall amount]]=0,"N/A",Table1[[#This Row],[Outstanding]]/Table1[[#This Row],[Overall amount]])</f>
        <v>0.9550786885245901</v>
      </c>
      <c r="AB45" s="17">
        <f>IF(MONTH(Table1[[#This Row],[Loss date]])&lt;Pol_Inc_Month_Shifted,YEAR(Table1[[#This Row],[Loss date]])-1,YEAR(Table1[[#This Row],[Loss date]]))</f>
        <v>2010</v>
      </c>
      <c r="AC45" s="17">
        <f>IF(MONTH(Table1[[#This Row],[Reporting date]])&lt;Pol_Inc_Month_Shifted,YEAR(Table1[[#This Row],[Reporting date]])-1,YEAR(Table1[[#This Row],[Reporting date]]))</f>
        <v>2012</v>
      </c>
      <c r="AD45" s="17">
        <f>Table1[[#This Row],[Reporting year (shifted)]]-Table1[[#This Row],[Policy Year (shifted)]]</f>
        <v>2</v>
      </c>
    </row>
    <row r="46" spans="1:30" ht="13.9">
      <c r="A46" s="8" t="s">
        <v>1816</v>
      </c>
      <c r="B46" s="8" t="s">
        <v>43</v>
      </c>
      <c r="C46" s="8" t="s">
        <v>123</v>
      </c>
      <c r="D46" s="9">
        <v>41442</v>
      </c>
      <c r="E46" s="9">
        <v>41446</v>
      </c>
      <c r="F46" s="17">
        <f>IF(MONTH(Table1[[#This Row],[Loss date]])&lt;Policy_Inception_Month,YEAR(Table1[[#This Row],[Loss date]])-1,YEAR(Table1[[#This Row],[Loss date]]))</f>
        <v>2013</v>
      </c>
      <c r="G46" s="10" t="s">
        <v>130</v>
      </c>
      <c r="H46" s="10" t="s">
        <v>2</v>
      </c>
      <c r="I46" s="11">
        <v>87626.640893637566</v>
      </c>
      <c r="J46" s="11">
        <v>73353.951337841834</v>
      </c>
      <c r="K46" s="11">
        <v>160980.59223147939</v>
      </c>
      <c r="L46" s="12">
        <v>0</v>
      </c>
      <c r="M46" s="12">
        <v>0</v>
      </c>
      <c r="N46" s="12">
        <v>160980.59223147939</v>
      </c>
      <c r="O46" s="70">
        <f>IF(Table1[[#This Row],[Overall amount]]=0,0,1)</f>
        <v>1</v>
      </c>
      <c r="P46" s="70">
        <f>Table1[[#This Row],[Overall amount]]*Exchange_Rate</f>
        <v>160980.59223147939</v>
      </c>
      <c r="Q46" s="70">
        <f>Table1[[#This Row],[Overall (destination currency)]]*(1+Claims_Inflation)^((Revalue_at_date-Table1[[#This Row],[Loss date]])/365.25)</f>
        <v>180000</v>
      </c>
      <c r="R46" s="70">
        <f>INT(Table1[[#This Row],[Reporting date]])-INT(Table1[[#This Row],[Loss date]])</f>
        <v>4</v>
      </c>
      <c r="S46" s="69" t="s">
        <v>16</v>
      </c>
      <c r="T46" s="70">
        <f>VLOOKUP(Table1[[#This Row],[Policy Year]],exposure_table,3,FALSE)</f>
        <v>1090.5865384615383</v>
      </c>
      <c r="U46" s="17">
        <f>IF(MONTH(Table1[[#This Row],[Reporting date]])&lt;Policy_Inception_Month,YEAR(Table1[[#This Row],[Reporting date]])-1,YEAR(Table1[[#This Row],[Reporting date]]))</f>
        <v>2013</v>
      </c>
      <c r="V46" s="17">
        <f>Table1[[#This Row],[Reporting year]]-Table1[[#This Row],[Policy Year]]</f>
        <v>0</v>
      </c>
      <c r="W46" s="17">
        <f>INT(Table1[[#This Row],[Reporting date]])-INT(Table1[[#This Row],[Loss date]])</f>
        <v>4</v>
      </c>
      <c r="X46" s="17">
        <f>INT((YEAR(Table1[[#This Row],[Loss date]])*12+MONTH(Table1[[#This Row],[Loss date]])-Earliest_Month)/4)</f>
        <v>24</v>
      </c>
      <c r="Y46" s="17">
        <f>INT((YEAR(Table1[[#This Row],[Reporting date]])*12+MONTH(Table1[[#This Row],[Reporting date]])-Earliest_Month)/4)</f>
        <v>24</v>
      </c>
      <c r="Z46" s="17">
        <f>Table1[[#This Row],[Reporting third]]-Table1[[#This Row],[Policy third]]</f>
        <v>0</v>
      </c>
      <c r="AA46" s="71">
        <f>IF(Table1[[#This Row],[Overall amount]]=0,"N/A",Table1[[#This Row],[Outstanding]]/Table1[[#This Row],[Overall amount]])</f>
        <v>0.45566953333333332</v>
      </c>
      <c r="AB46" s="17">
        <f>IF(MONTH(Table1[[#This Row],[Loss date]])&lt;Pol_Inc_Month_Shifted,YEAR(Table1[[#This Row],[Loss date]])-1,YEAR(Table1[[#This Row],[Loss date]]))</f>
        <v>2012</v>
      </c>
      <c r="AC46" s="17">
        <f>IF(MONTH(Table1[[#This Row],[Reporting date]])&lt;Pol_Inc_Month_Shifted,YEAR(Table1[[#This Row],[Reporting date]])-1,YEAR(Table1[[#This Row],[Reporting date]]))</f>
        <v>2012</v>
      </c>
      <c r="AD46" s="17">
        <f>Table1[[#This Row],[Reporting year (shifted)]]-Table1[[#This Row],[Policy Year (shifted)]]</f>
        <v>0</v>
      </c>
    </row>
    <row r="47" spans="1:30" ht="13.9">
      <c r="A47" s="8" t="s">
        <v>1817</v>
      </c>
      <c r="B47" s="8" t="s">
        <v>44</v>
      </c>
      <c r="C47" s="8" t="s">
        <v>123</v>
      </c>
      <c r="D47" s="9">
        <v>41180</v>
      </c>
      <c r="E47" s="9">
        <v>41457</v>
      </c>
      <c r="F47" s="17">
        <f>IF(MONTH(Table1[[#This Row],[Loss date]])&lt;Policy_Inception_Month,YEAR(Table1[[#This Row],[Loss date]])-1,YEAR(Table1[[#This Row],[Loss date]]))</f>
        <v>2012</v>
      </c>
      <c r="G47" s="10" t="s">
        <v>125</v>
      </c>
      <c r="H47" s="10" t="s">
        <v>2</v>
      </c>
      <c r="I47" s="11">
        <v>2447.4146134472494</v>
      </c>
      <c r="J47" s="11">
        <v>14910.503316535996</v>
      </c>
      <c r="K47" s="11">
        <v>17357.917929983247</v>
      </c>
      <c r="L47" s="12">
        <v>0</v>
      </c>
      <c r="M47" s="12">
        <v>0</v>
      </c>
      <c r="N47" s="12">
        <v>17357.917929983247</v>
      </c>
      <c r="O47" s="70">
        <f>IF(Table1[[#This Row],[Overall amount]]=0,0,1)</f>
        <v>1</v>
      </c>
      <c r="P47" s="70">
        <f>Table1[[#This Row],[Overall amount]]*Exchange_Rate</f>
        <v>17357.917929983247</v>
      </c>
      <c r="Q47" s="70">
        <f>Table1[[#This Row],[Overall (destination currency)]]*(1+Claims_Inflation)^((Revalue_at_date-Table1[[#This Row],[Loss date]])/365.25)</f>
        <v>20099.999999999996</v>
      </c>
      <c r="R47" s="70">
        <f>INT(Table1[[#This Row],[Reporting date]])-INT(Table1[[#This Row],[Loss date]])</f>
        <v>277</v>
      </c>
      <c r="S47" s="69" t="s">
        <v>16</v>
      </c>
      <c r="T47" s="70">
        <f>VLOOKUP(Table1[[#This Row],[Policy Year]],exposure_table,3,FALSE)</f>
        <v>1057.54</v>
      </c>
      <c r="U47" s="17">
        <f>IF(MONTH(Table1[[#This Row],[Reporting date]])&lt;Policy_Inception_Month,YEAR(Table1[[#This Row],[Reporting date]])-1,YEAR(Table1[[#This Row],[Reporting date]]))</f>
        <v>2013</v>
      </c>
      <c r="V47" s="17">
        <f>Table1[[#This Row],[Reporting year]]-Table1[[#This Row],[Policy Year]]</f>
        <v>1</v>
      </c>
      <c r="W47" s="17">
        <f>INT(Table1[[#This Row],[Reporting date]])-INT(Table1[[#This Row],[Loss date]])</f>
        <v>277</v>
      </c>
      <c r="X47" s="17">
        <f>INT((YEAR(Table1[[#This Row],[Loss date]])*12+MONTH(Table1[[#This Row],[Loss date]])-Earliest_Month)/4)</f>
        <v>22</v>
      </c>
      <c r="Y47" s="17">
        <f>INT((YEAR(Table1[[#This Row],[Reporting date]])*12+MONTH(Table1[[#This Row],[Reporting date]])-Earliest_Month)/4)</f>
        <v>24</v>
      </c>
      <c r="Z47" s="17">
        <f>Table1[[#This Row],[Reporting third]]-Table1[[#This Row],[Policy third]]</f>
        <v>2</v>
      </c>
      <c r="AA47" s="71">
        <f>IF(Table1[[#This Row],[Overall amount]]=0,"N/A",Table1[[#This Row],[Outstanding]]/Table1[[#This Row],[Overall amount]])</f>
        <v>0.8590029850746268</v>
      </c>
      <c r="AB47" s="17">
        <f>IF(MONTH(Table1[[#This Row],[Loss date]])&lt;Pol_Inc_Month_Shifted,YEAR(Table1[[#This Row],[Loss date]])-1,YEAR(Table1[[#This Row],[Loss date]]))</f>
        <v>2011</v>
      </c>
      <c r="AC47" s="17">
        <f>IF(MONTH(Table1[[#This Row],[Reporting date]])&lt;Pol_Inc_Month_Shifted,YEAR(Table1[[#This Row],[Reporting date]])-1,YEAR(Table1[[#This Row],[Reporting date]]))</f>
        <v>2012</v>
      </c>
      <c r="AD47" s="17">
        <f>Table1[[#This Row],[Reporting year (shifted)]]-Table1[[#This Row],[Policy Year (shifted)]]</f>
        <v>1</v>
      </c>
    </row>
    <row r="48" spans="1:30" ht="13.9">
      <c r="A48" s="8" t="s">
        <v>1818</v>
      </c>
      <c r="B48" s="8" t="s">
        <v>45</v>
      </c>
      <c r="C48" s="8" t="s">
        <v>123</v>
      </c>
      <c r="D48" s="9">
        <v>40579</v>
      </c>
      <c r="E48" s="9">
        <v>41618</v>
      </c>
      <c r="F48" s="17">
        <f>IF(MONTH(Table1[[#This Row],[Loss date]])&lt;Policy_Inception_Month,YEAR(Table1[[#This Row],[Loss date]])-1,YEAR(Table1[[#This Row],[Loss date]]))</f>
        <v>2010</v>
      </c>
      <c r="G48" s="10" t="s">
        <v>131</v>
      </c>
      <c r="H48" s="10" t="s">
        <v>2</v>
      </c>
      <c r="I48" s="11">
        <v>16985.256539185018</v>
      </c>
      <c r="J48" s="11">
        <v>1376.6660166187232</v>
      </c>
      <c r="K48" s="11">
        <v>18361.922555803743</v>
      </c>
      <c r="L48" s="12">
        <v>0</v>
      </c>
      <c r="M48" s="12">
        <v>1603.7991732334831</v>
      </c>
      <c r="N48" s="12">
        <v>16758.123382570258</v>
      </c>
      <c r="O48" s="70">
        <f>IF(Table1[[#This Row],[Overall amount]]=0,0,1)</f>
        <v>1</v>
      </c>
      <c r="P48" s="70">
        <f>Table1[[#This Row],[Overall amount]]*Exchange_Rate</f>
        <v>16758.123382570258</v>
      </c>
      <c r="Q48" s="70">
        <f>Table1[[#This Row],[Overall (destination currency)]]*(1+Claims_Inflation)^((Revalue_at_date-Table1[[#This Row],[Loss date]])/365.25)</f>
        <v>21027.599999999995</v>
      </c>
      <c r="R48" s="70">
        <f>INT(Table1[[#This Row],[Reporting date]])-INT(Table1[[#This Row],[Loss date]])</f>
        <v>1039</v>
      </c>
      <c r="S48" s="69" t="s">
        <v>16</v>
      </c>
      <c r="T48" s="70">
        <f>VLOOKUP(Table1[[#This Row],[Policy Year]],exposure_table,3,FALSE)</f>
        <v>837.11513600000012</v>
      </c>
      <c r="U48" s="17">
        <f>IF(MONTH(Table1[[#This Row],[Reporting date]])&lt;Policy_Inception_Month,YEAR(Table1[[#This Row],[Reporting date]])-1,YEAR(Table1[[#This Row],[Reporting date]]))</f>
        <v>2013</v>
      </c>
      <c r="V48" s="17">
        <f>Table1[[#This Row],[Reporting year]]-Table1[[#This Row],[Policy Year]]</f>
        <v>3</v>
      </c>
      <c r="W48" s="17">
        <f>INT(Table1[[#This Row],[Reporting date]])-INT(Table1[[#This Row],[Loss date]])</f>
        <v>1039</v>
      </c>
      <c r="X48" s="17">
        <f>INT((YEAR(Table1[[#This Row],[Loss date]])*12+MONTH(Table1[[#This Row],[Loss date]])-Earliest_Month)/4)</f>
        <v>17</v>
      </c>
      <c r="Y48" s="17">
        <f>INT((YEAR(Table1[[#This Row],[Reporting date]])*12+MONTH(Table1[[#This Row],[Reporting date]])-Earliest_Month)/4)</f>
        <v>26</v>
      </c>
      <c r="Z48" s="17">
        <f>Table1[[#This Row],[Reporting third]]-Table1[[#This Row],[Policy third]]</f>
        <v>9</v>
      </c>
      <c r="AA48" s="71">
        <f>IF(Table1[[#This Row],[Overall amount]]=0,"N/A",Table1[[#This Row],[Outstanding]]/Table1[[#This Row],[Overall amount]])</f>
        <v>8.2149175369514355E-2</v>
      </c>
      <c r="AB48" s="17">
        <f>IF(MONTH(Table1[[#This Row],[Loss date]])&lt;Pol_Inc_Month_Shifted,YEAR(Table1[[#This Row],[Loss date]])-1,YEAR(Table1[[#This Row],[Loss date]]))</f>
        <v>2010</v>
      </c>
      <c r="AC48" s="17">
        <f>IF(MONTH(Table1[[#This Row],[Reporting date]])&lt;Pol_Inc_Month_Shifted,YEAR(Table1[[#This Row],[Reporting date]])-1,YEAR(Table1[[#This Row],[Reporting date]]))</f>
        <v>2013</v>
      </c>
      <c r="AD48" s="17">
        <f>Table1[[#This Row],[Reporting year (shifted)]]-Table1[[#This Row],[Policy Year (shifted)]]</f>
        <v>3</v>
      </c>
    </row>
    <row r="49" spans="1:30" ht="13.9">
      <c r="A49" s="8" t="s">
        <v>1819</v>
      </c>
      <c r="B49" s="8" t="s">
        <v>46</v>
      </c>
      <c r="C49" s="8" t="s">
        <v>123</v>
      </c>
      <c r="D49" s="9">
        <v>41511</v>
      </c>
      <c r="E49" s="9">
        <v>41874</v>
      </c>
      <c r="F49" s="17">
        <f>IF(MONTH(Table1[[#This Row],[Loss date]])&lt;Policy_Inception_Month,YEAR(Table1[[#This Row],[Loss date]])-1,YEAR(Table1[[#This Row],[Loss date]]))</f>
        <v>2013</v>
      </c>
      <c r="G49" s="10" t="s">
        <v>125</v>
      </c>
      <c r="H49" s="10" t="s">
        <v>2</v>
      </c>
      <c r="I49" s="11">
        <v>0</v>
      </c>
      <c r="J49" s="11">
        <v>22096.085196288506</v>
      </c>
      <c r="K49" s="11">
        <v>22096.085196288506</v>
      </c>
      <c r="L49" s="12">
        <v>0</v>
      </c>
      <c r="M49" s="12">
        <v>0</v>
      </c>
      <c r="N49" s="12">
        <v>22096.085196288506</v>
      </c>
      <c r="O49" s="70">
        <f>IF(Table1[[#This Row],[Overall amount]]=0,0,1)</f>
        <v>1</v>
      </c>
      <c r="P49" s="70">
        <f>Table1[[#This Row],[Overall amount]]*Exchange_Rate</f>
        <v>22096.085196288506</v>
      </c>
      <c r="Q49" s="70">
        <f>Table1[[#This Row],[Overall (destination currency)]]*(1+Claims_Inflation)^((Revalue_at_date-Table1[[#This Row],[Loss date]])/365.25)</f>
        <v>24480</v>
      </c>
      <c r="R49" s="70">
        <f>INT(Table1[[#This Row],[Reporting date]])-INT(Table1[[#This Row],[Loss date]])</f>
        <v>363</v>
      </c>
      <c r="S49" s="69" t="s">
        <v>16</v>
      </c>
      <c r="T49" s="70">
        <f>VLOOKUP(Table1[[#This Row],[Policy Year]],exposure_table,3,FALSE)</f>
        <v>1090.5865384615383</v>
      </c>
      <c r="U49" s="17">
        <f>IF(MONTH(Table1[[#This Row],[Reporting date]])&lt;Policy_Inception_Month,YEAR(Table1[[#This Row],[Reporting date]])-1,YEAR(Table1[[#This Row],[Reporting date]]))</f>
        <v>2014</v>
      </c>
      <c r="V49" s="17">
        <f>Table1[[#This Row],[Reporting year]]-Table1[[#This Row],[Policy Year]]</f>
        <v>1</v>
      </c>
      <c r="W49" s="17">
        <f>INT(Table1[[#This Row],[Reporting date]])-INT(Table1[[#This Row],[Loss date]])</f>
        <v>363</v>
      </c>
      <c r="X49" s="17">
        <f>INT((YEAR(Table1[[#This Row],[Loss date]])*12+MONTH(Table1[[#This Row],[Loss date]])-Earliest_Month)/4)</f>
        <v>25</v>
      </c>
      <c r="Y49" s="17">
        <f>INT((YEAR(Table1[[#This Row],[Reporting date]])*12+MONTH(Table1[[#This Row],[Reporting date]])-Earliest_Month)/4)</f>
        <v>28</v>
      </c>
      <c r="Z49" s="17">
        <f>Table1[[#This Row],[Reporting third]]-Table1[[#This Row],[Policy third]]</f>
        <v>3</v>
      </c>
      <c r="AA49" s="71">
        <f>IF(Table1[[#This Row],[Overall amount]]=0,"N/A",Table1[[#This Row],[Outstanding]]/Table1[[#This Row],[Overall amount]])</f>
        <v>1</v>
      </c>
      <c r="AB49" s="17">
        <f>IF(MONTH(Table1[[#This Row],[Loss date]])&lt;Pol_Inc_Month_Shifted,YEAR(Table1[[#This Row],[Loss date]])-1,YEAR(Table1[[#This Row],[Loss date]]))</f>
        <v>2012</v>
      </c>
      <c r="AC49" s="17">
        <f>IF(MONTH(Table1[[#This Row],[Reporting date]])&lt;Pol_Inc_Month_Shifted,YEAR(Table1[[#This Row],[Reporting date]])-1,YEAR(Table1[[#This Row],[Reporting date]]))</f>
        <v>2013</v>
      </c>
      <c r="AD49" s="17">
        <f>Table1[[#This Row],[Reporting year (shifted)]]-Table1[[#This Row],[Policy Year (shifted)]]</f>
        <v>1</v>
      </c>
    </row>
    <row r="50" spans="1:30" ht="13.9">
      <c r="A50" s="8" t="s">
        <v>1820</v>
      </c>
      <c r="B50" s="8" t="s">
        <v>47</v>
      </c>
      <c r="C50" s="8" t="s">
        <v>123</v>
      </c>
      <c r="D50" s="9">
        <v>40501</v>
      </c>
      <c r="E50" s="9">
        <v>41126</v>
      </c>
      <c r="F50" s="17">
        <f>IF(MONTH(Table1[[#This Row],[Loss date]])&lt;Policy_Inception_Month,YEAR(Table1[[#This Row],[Loss date]])-1,YEAR(Table1[[#This Row],[Loss date]]))</f>
        <v>2010</v>
      </c>
      <c r="G50" s="10" t="s">
        <v>125</v>
      </c>
      <c r="H50" s="10" t="s">
        <v>2</v>
      </c>
      <c r="I50" s="11">
        <v>607.32888516632704</v>
      </c>
      <c r="J50" s="11">
        <v>0</v>
      </c>
      <c r="K50" s="11">
        <v>607.32888516632704</v>
      </c>
      <c r="L50" s="12">
        <v>283.93122261165354</v>
      </c>
      <c r="M50" s="12">
        <v>0</v>
      </c>
      <c r="N50" s="12">
        <v>891.26010777798058</v>
      </c>
      <c r="O50" s="70">
        <f>IF(Table1[[#This Row],[Overall amount]]=0,0,1)</f>
        <v>1</v>
      </c>
      <c r="P50" s="70">
        <f>Table1[[#This Row],[Overall amount]]*Exchange_Rate</f>
        <v>891.26010777798058</v>
      </c>
      <c r="Q50" s="70">
        <f>Table1[[#This Row],[Overall (destination currency)]]*(1+Claims_Inflation)^((Revalue_at_date-Table1[[#This Row],[Loss date]])/365.25)</f>
        <v>1130.04</v>
      </c>
      <c r="R50" s="70">
        <f>INT(Table1[[#This Row],[Reporting date]])-INT(Table1[[#This Row],[Loss date]])</f>
        <v>625</v>
      </c>
      <c r="S50" s="69" t="s">
        <v>9</v>
      </c>
      <c r="T50" s="70">
        <f>VLOOKUP(Table1[[#This Row],[Policy Year]],exposure_table,3,FALSE)</f>
        <v>837.11513600000012</v>
      </c>
      <c r="U50" s="17">
        <f>IF(MONTH(Table1[[#This Row],[Reporting date]])&lt;Policy_Inception_Month,YEAR(Table1[[#This Row],[Reporting date]])-1,YEAR(Table1[[#This Row],[Reporting date]]))</f>
        <v>2012</v>
      </c>
      <c r="V50" s="17">
        <f>Table1[[#This Row],[Reporting year]]-Table1[[#This Row],[Policy Year]]</f>
        <v>2</v>
      </c>
      <c r="W50" s="17">
        <f>INT(Table1[[#This Row],[Reporting date]])-INT(Table1[[#This Row],[Loss date]])</f>
        <v>625</v>
      </c>
      <c r="X50" s="17">
        <f>INT((YEAR(Table1[[#This Row],[Loss date]])*12+MONTH(Table1[[#This Row],[Loss date]])-Earliest_Month)/4)</f>
        <v>16</v>
      </c>
      <c r="Y50" s="17">
        <f>INT((YEAR(Table1[[#This Row],[Reporting date]])*12+MONTH(Table1[[#This Row],[Reporting date]])-Earliest_Month)/4)</f>
        <v>22</v>
      </c>
      <c r="Z50" s="17">
        <f>Table1[[#This Row],[Reporting third]]-Table1[[#This Row],[Policy third]]</f>
        <v>6</v>
      </c>
      <c r="AA50" s="71">
        <f>IF(Table1[[#This Row],[Overall amount]]=0,"N/A",Table1[[#This Row],[Outstanding]]/Table1[[#This Row],[Overall amount]])</f>
        <v>0</v>
      </c>
      <c r="AB50" s="17">
        <f>IF(MONTH(Table1[[#This Row],[Loss date]])&lt;Pol_Inc_Month_Shifted,YEAR(Table1[[#This Row],[Loss date]])-1,YEAR(Table1[[#This Row],[Loss date]]))</f>
        <v>2009</v>
      </c>
      <c r="AC50" s="17">
        <f>IF(MONTH(Table1[[#This Row],[Reporting date]])&lt;Pol_Inc_Month_Shifted,YEAR(Table1[[#This Row],[Reporting date]])-1,YEAR(Table1[[#This Row],[Reporting date]]))</f>
        <v>2011</v>
      </c>
      <c r="AD50" s="17">
        <f>Table1[[#This Row],[Reporting year (shifted)]]-Table1[[#This Row],[Policy Year (shifted)]]</f>
        <v>2</v>
      </c>
    </row>
    <row r="51" spans="1:30" ht="13.9">
      <c r="A51" s="8" t="s">
        <v>1821</v>
      </c>
      <c r="B51" s="8" t="s">
        <v>48</v>
      </c>
      <c r="C51" s="8" t="s">
        <v>123</v>
      </c>
      <c r="D51" s="9">
        <v>40685</v>
      </c>
      <c r="E51" s="9">
        <v>41138</v>
      </c>
      <c r="F51" s="17">
        <f>IF(MONTH(Table1[[#This Row],[Loss date]])&lt;Policy_Inception_Month,YEAR(Table1[[#This Row],[Loss date]])-1,YEAR(Table1[[#This Row],[Loss date]]))</f>
        <v>2011</v>
      </c>
      <c r="G51" s="10" t="s">
        <v>125</v>
      </c>
      <c r="H51" s="10" t="s">
        <v>2</v>
      </c>
      <c r="I51" s="11">
        <v>15952.711950443669</v>
      </c>
      <c r="J51" s="11">
        <v>0</v>
      </c>
      <c r="K51" s="11">
        <v>15952.711950443669</v>
      </c>
      <c r="L51" s="12">
        <v>0</v>
      </c>
      <c r="M51" s="12">
        <v>0</v>
      </c>
      <c r="N51" s="12">
        <v>15952.711950443669</v>
      </c>
      <c r="O51" s="70">
        <f>IF(Table1[[#This Row],[Overall amount]]=0,0,1)</f>
        <v>1</v>
      </c>
      <c r="P51" s="70">
        <f>Table1[[#This Row],[Overall amount]]*Exchange_Rate</f>
        <v>15952.711950443669</v>
      </c>
      <c r="Q51" s="70">
        <f>Table1[[#This Row],[Overall (destination currency)]]*(1+Claims_Inflation)^((Revalue_at_date-Table1[[#This Row],[Loss date]])/365.25)</f>
        <v>19735.560000000001</v>
      </c>
      <c r="R51" s="70">
        <f>INT(Table1[[#This Row],[Reporting date]])-INT(Table1[[#This Row],[Loss date]])</f>
        <v>453</v>
      </c>
      <c r="S51" s="69" t="s">
        <v>9</v>
      </c>
      <c r="T51" s="70">
        <f>VLOOKUP(Table1[[#This Row],[Policy Year]],exposure_table,3,FALSE)</f>
        <v>870.52680000000009</v>
      </c>
      <c r="U51" s="17">
        <f>IF(MONTH(Table1[[#This Row],[Reporting date]])&lt;Policy_Inception_Month,YEAR(Table1[[#This Row],[Reporting date]])-1,YEAR(Table1[[#This Row],[Reporting date]]))</f>
        <v>2012</v>
      </c>
      <c r="V51" s="17">
        <f>Table1[[#This Row],[Reporting year]]-Table1[[#This Row],[Policy Year]]</f>
        <v>1</v>
      </c>
      <c r="W51" s="17">
        <f>INT(Table1[[#This Row],[Reporting date]])-INT(Table1[[#This Row],[Loss date]])</f>
        <v>453</v>
      </c>
      <c r="X51" s="17">
        <f>INT((YEAR(Table1[[#This Row],[Loss date]])*12+MONTH(Table1[[#This Row],[Loss date]])-Earliest_Month)/4)</f>
        <v>18</v>
      </c>
      <c r="Y51" s="17">
        <f>INT((YEAR(Table1[[#This Row],[Reporting date]])*12+MONTH(Table1[[#This Row],[Reporting date]])-Earliest_Month)/4)</f>
        <v>22</v>
      </c>
      <c r="Z51" s="17">
        <f>Table1[[#This Row],[Reporting third]]-Table1[[#This Row],[Policy third]]</f>
        <v>4</v>
      </c>
      <c r="AA51" s="71">
        <f>IF(Table1[[#This Row],[Overall amount]]=0,"N/A",Table1[[#This Row],[Outstanding]]/Table1[[#This Row],[Overall amount]])</f>
        <v>0</v>
      </c>
      <c r="AB51" s="17">
        <f>IF(MONTH(Table1[[#This Row],[Loss date]])&lt;Pol_Inc_Month_Shifted,YEAR(Table1[[#This Row],[Loss date]])-1,YEAR(Table1[[#This Row],[Loss date]]))</f>
        <v>2010</v>
      </c>
      <c r="AC51" s="17">
        <f>IF(MONTH(Table1[[#This Row],[Reporting date]])&lt;Pol_Inc_Month_Shifted,YEAR(Table1[[#This Row],[Reporting date]])-1,YEAR(Table1[[#This Row],[Reporting date]]))</f>
        <v>2011</v>
      </c>
      <c r="AD51" s="17">
        <f>Table1[[#This Row],[Reporting year (shifted)]]-Table1[[#This Row],[Policy Year (shifted)]]</f>
        <v>1</v>
      </c>
    </row>
    <row r="52" spans="1:30" ht="13.9">
      <c r="A52" s="8" t="s">
        <v>1822</v>
      </c>
      <c r="B52" s="8" t="s">
        <v>49</v>
      </c>
      <c r="C52" s="8" t="s">
        <v>123</v>
      </c>
      <c r="D52" s="9">
        <v>40808</v>
      </c>
      <c r="E52" s="9">
        <v>41229</v>
      </c>
      <c r="F52" s="17">
        <f>IF(MONTH(Table1[[#This Row],[Loss date]])&lt;Policy_Inception_Month,YEAR(Table1[[#This Row],[Loss date]])-1,YEAR(Table1[[#This Row],[Loss date]]))</f>
        <v>2011</v>
      </c>
      <c r="G52" s="10" t="s">
        <v>124</v>
      </c>
      <c r="H52" s="10" t="s">
        <v>2</v>
      </c>
      <c r="I52" s="11">
        <v>6067.2074780208677</v>
      </c>
      <c r="J52" s="11">
        <v>0</v>
      </c>
      <c r="K52" s="11">
        <v>6067.2074780208677</v>
      </c>
      <c r="L52" s="12">
        <v>0</v>
      </c>
      <c r="M52" s="12">
        <v>0</v>
      </c>
      <c r="N52" s="12">
        <v>6067.2074780208677</v>
      </c>
      <c r="O52" s="70">
        <f>IF(Table1[[#This Row],[Overall amount]]=0,0,1)</f>
        <v>1</v>
      </c>
      <c r="P52" s="70">
        <f>Table1[[#This Row],[Overall amount]]*Exchange_Rate</f>
        <v>6067.2074780208677</v>
      </c>
      <c r="Q52" s="70">
        <f>Table1[[#This Row],[Overall (destination currency)]]*(1+Claims_Inflation)^((Revalue_at_date-Table1[[#This Row],[Loss date]])/365.25)</f>
        <v>7383.5999999999995</v>
      </c>
      <c r="R52" s="70">
        <f>INT(Table1[[#This Row],[Reporting date]])-INT(Table1[[#This Row],[Loss date]])</f>
        <v>421</v>
      </c>
      <c r="S52" s="69" t="s">
        <v>9</v>
      </c>
      <c r="T52" s="70">
        <f>VLOOKUP(Table1[[#This Row],[Policy Year]],exposure_table,3,FALSE)</f>
        <v>870.52680000000009</v>
      </c>
      <c r="U52" s="17">
        <f>IF(MONTH(Table1[[#This Row],[Reporting date]])&lt;Policy_Inception_Month,YEAR(Table1[[#This Row],[Reporting date]])-1,YEAR(Table1[[#This Row],[Reporting date]]))</f>
        <v>2012</v>
      </c>
      <c r="V52" s="17">
        <f>Table1[[#This Row],[Reporting year]]-Table1[[#This Row],[Policy Year]]</f>
        <v>1</v>
      </c>
      <c r="W52" s="17">
        <f>INT(Table1[[#This Row],[Reporting date]])-INT(Table1[[#This Row],[Loss date]])</f>
        <v>421</v>
      </c>
      <c r="X52" s="17">
        <f>INT((YEAR(Table1[[#This Row],[Loss date]])*12+MONTH(Table1[[#This Row],[Loss date]])-Earliest_Month)/4)</f>
        <v>19</v>
      </c>
      <c r="Y52" s="17">
        <f>INT((YEAR(Table1[[#This Row],[Reporting date]])*12+MONTH(Table1[[#This Row],[Reporting date]])-Earliest_Month)/4)</f>
        <v>22</v>
      </c>
      <c r="Z52" s="17">
        <f>Table1[[#This Row],[Reporting third]]-Table1[[#This Row],[Policy third]]</f>
        <v>3</v>
      </c>
      <c r="AA52" s="71">
        <f>IF(Table1[[#This Row],[Overall amount]]=0,"N/A",Table1[[#This Row],[Outstanding]]/Table1[[#This Row],[Overall amount]])</f>
        <v>0</v>
      </c>
      <c r="AB52" s="17">
        <f>IF(MONTH(Table1[[#This Row],[Loss date]])&lt;Pol_Inc_Month_Shifted,YEAR(Table1[[#This Row],[Loss date]])-1,YEAR(Table1[[#This Row],[Loss date]]))</f>
        <v>2010</v>
      </c>
      <c r="AC52" s="17">
        <f>IF(MONTH(Table1[[#This Row],[Reporting date]])&lt;Pol_Inc_Month_Shifted,YEAR(Table1[[#This Row],[Reporting date]])-1,YEAR(Table1[[#This Row],[Reporting date]]))</f>
        <v>2011</v>
      </c>
      <c r="AD52" s="17">
        <f>Table1[[#This Row],[Reporting year (shifted)]]-Table1[[#This Row],[Policy Year (shifted)]]</f>
        <v>1</v>
      </c>
    </row>
    <row r="53" spans="1:30" ht="13.9">
      <c r="A53" s="8" t="s">
        <v>1823</v>
      </c>
      <c r="B53" s="8" t="s">
        <v>50</v>
      </c>
      <c r="C53" s="8" t="s">
        <v>123</v>
      </c>
      <c r="D53" s="9">
        <v>41082</v>
      </c>
      <c r="E53" s="9">
        <v>41278</v>
      </c>
      <c r="F53" s="17">
        <f>IF(MONTH(Table1[[#This Row],[Loss date]])&lt;Policy_Inception_Month,YEAR(Table1[[#This Row],[Loss date]])-1,YEAR(Table1[[#This Row],[Loss date]]))</f>
        <v>2012</v>
      </c>
      <c r="G53" s="10" t="s">
        <v>125</v>
      </c>
      <c r="H53" s="10" t="s">
        <v>2</v>
      </c>
      <c r="I53" s="11">
        <v>12646.097563434299</v>
      </c>
      <c r="J53" s="11">
        <v>0</v>
      </c>
      <c r="K53" s="11">
        <v>12646.097563434299</v>
      </c>
      <c r="L53" s="12">
        <v>306.8448130888296</v>
      </c>
      <c r="M53" s="12">
        <v>0</v>
      </c>
      <c r="N53" s="12">
        <v>12952.942376523129</v>
      </c>
      <c r="O53" s="70">
        <f>IF(Table1[[#This Row],[Overall amount]]=0,0,1)</f>
        <v>1</v>
      </c>
      <c r="P53" s="70">
        <f>Table1[[#This Row],[Overall amount]]*Exchange_Rate</f>
        <v>12952.942376523129</v>
      </c>
      <c r="Q53" s="70">
        <f>Table1[[#This Row],[Overall (destination currency)]]*(1+Claims_Inflation)^((Revalue_at_date-Table1[[#This Row],[Loss date]])/365.25)</f>
        <v>15196.800000000001</v>
      </c>
      <c r="R53" s="70">
        <f>INT(Table1[[#This Row],[Reporting date]])-INT(Table1[[#This Row],[Loss date]])</f>
        <v>196</v>
      </c>
      <c r="S53" s="69" t="s">
        <v>9</v>
      </c>
      <c r="T53" s="70">
        <f>VLOOKUP(Table1[[#This Row],[Policy Year]],exposure_table,3,FALSE)</f>
        <v>1057.54</v>
      </c>
      <c r="U53" s="17">
        <f>IF(MONTH(Table1[[#This Row],[Reporting date]])&lt;Policy_Inception_Month,YEAR(Table1[[#This Row],[Reporting date]])-1,YEAR(Table1[[#This Row],[Reporting date]]))</f>
        <v>2012</v>
      </c>
      <c r="V53" s="17">
        <f>Table1[[#This Row],[Reporting year]]-Table1[[#This Row],[Policy Year]]</f>
        <v>0</v>
      </c>
      <c r="W53" s="17">
        <f>INT(Table1[[#This Row],[Reporting date]])-INT(Table1[[#This Row],[Loss date]])</f>
        <v>196</v>
      </c>
      <c r="X53" s="17">
        <f>INT((YEAR(Table1[[#This Row],[Loss date]])*12+MONTH(Table1[[#This Row],[Loss date]])-Earliest_Month)/4)</f>
        <v>21</v>
      </c>
      <c r="Y53" s="17">
        <f>INT((YEAR(Table1[[#This Row],[Reporting date]])*12+MONTH(Table1[[#This Row],[Reporting date]])-Earliest_Month)/4)</f>
        <v>23</v>
      </c>
      <c r="Z53" s="17">
        <f>Table1[[#This Row],[Reporting third]]-Table1[[#This Row],[Policy third]]</f>
        <v>2</v>
      </c>
      <c r="AA53" s="71">
        <f>IF(Table1[[#This Row],[Overall amount]]=0,"N/A",Table1[[#This Row],[Outstanding]]/Table1[[#This Row],[Overall amount]])</f>
        <v>0</v>
      </c>
      <c r="AB53" s="17">
        <f>IF(MONTH(Table1[[#This Row],[Loss date]])&lt;Pol_Inc_Month_Shifted,YEAR(Table1[[#This Row],[Loss date]])-1,YEAR(Table1[[#This Row],[Loss date]]))</f>
        <v>2011</v>
      </c>
      <c r="AC53" s="17">
        <f>IF(MONTH(Table1[[#This Row],[Reporting date]])&lt;Pol_Inc_Month_Shifted,YEAR(Table1[[#This Row],[Reporting date]])-1,YEAR(Table1[[#This Row],[Reporting date]]))</f>
        <v>2012</v>
      </c>
      <c r="AD53" s="17">
        <f>Table1[[#This Row],[Reporting year (shifted)]]-Table1[[#This Row],[Policy Year (shifted)]]</f>
        <v>1</v>
      </c>
    </row>
    <row r="54" spans="1:30" ht="13.9">
      <c r="A54" s="8" t="s">
        <v>1824</v>
      </c>
      <c r="B54" s="8" t="s">
        <v>51</v>
      </c>
      <c r="C54" s="8" t="s">
        <v>123</v>
      </c>
      <c r="D54" s="9">
        <v>40590</v>
      </c>
      <c r="E54" s="9">
        <v>41311</v>
      </c>
      <c r="F54" s="17">
        <f>IF(MONTH(Table1[[#This Row],[Loss date]])&lt;Policy_Inception_Month,YEAR(Table1[[#This Row],[Loss date]])-1,YEAR(Table1[[#This Row],[Loss date]]))</f>
        <v>2010</v>
      </c>
      <c r="G54" s="10" t="s">
        <v>125</v>
      </c>
      <c r="H54" s="10" t="s">
        <v>2</v>
      </c>
      <c r="I54" s="11">
        <v>26102.233469378971</v>
      </c>
      <c r="J54" s="11">
        <v>0</v>
      </c>
      <c r="K54" s="11">
        <v>26102.233469378971</v>
      </c>
      <c r="L54" s="12">
        <v>0</v>
      </c>
      <c r="M54" s="12">
        <v>0</v>
      </c>
      <c r="N54" s="12">
        <v>26102.233469378971</v>
      </c>
      <c r="O54" s="70">
        <f>IF(Table1[[#This Row],[Overall amount]]=0,0,1)</f>
        <v>1</v>
      </c>
      <c r="P54" s="70">
        <f>Table1[[#This Row],[Overall amount]]*Exchange_Rate</f>
        <v>26102.233469378971</v>
      </c>
      <c r="Q54" s="70">
        <f>Table1[[#This Row],[Overall (destination currency)]]*(1+Claims_Inflation)^((Revalue_at_date-Table1[[#This Row],[Loss date]])/365.25)</f>
        <v>32704.223999999998</v>
      </c>
      <c r="R54" s="70">
        <f>INT(Table1[[#This Row],[Reporting date]])-INT(Table1[[#This Row],[Loss date]])</f>
        <v>721</v>
      </c>
      <c r="S54" s="69" t="s">
        <v>9</v>
      </c>
      <c r="T54" s="70">
        <f>VLOOKUP(Table1[[#This Row],[Policy Year]],exposure_table,3,FALSE)</f>
        <v>837.11513600000012</v>
      </c>
      <c r="U54" s="17">
        <f>IF(MONTH(Table1[[#This Row],[Reporting date]])&lt;Policy_Inception_Month,YEAR(Table1[[#This Row],[Reporting date]])-1,YEAR(Table1[[#This Row],[Reporting date]]))</f>
        <v>2012</v>
      </c>
      <c r="V54" s="17">
        <f>Table1[[#This Row],[Reporting year]]-Table1[[#This Row],[Policy Year]]</f>
        <v>2</v>
      </c>
      <c r="W54" s="17">
        <f>INT(Table1[[#This Row],[Reporting date]])-INT(Table1[[#This Row],[Loss date]])</f>
        <v>721</v>
      </c>
      <c r="X54" s="17">
        <f>INT((YEAR(Table1[[#This Row],[Loss date]])*12+MONTH(Table1[[#This Row],[Loss date]])-Earliest_Month)/4)</f>
        <v>17</v>
      </c>
      <c r="Y54" s="17">
        <f>INT((YEAR(Table1[[#This Row],[Reporting date]])*12+MONTH(Table1[[#This Row],[Reporting date]])-Earliest_Month)/4)</f>
        <v>23</v>
      </c>
      <c r="Z54" s="17">
        <f>Table1[[#This Row],[Reporting third]]-Table1[[#This Row],[Policy third]]</f>
        <v>6</v>
      </c>
      <c r="AA54" s="71">
        <f>IF(Table1[[#This Row],[Overall amount]]=0,"N/A",Table1[[#This Row],[Outstanding]]/Table1[[#This Row],[Overall amount]])</f>
        <v>0</v>
      </c>
      <c r="AB54" s="17">
        <f>IF(MONTH(Table1[[#This Row],[Loss date]])&lt;Pol_Inc_Month_Shifted,YEAR(Table1[[#This Row],[Loss date]])-1,YEAR(Table1[[#This Row],[Loss date]]))</f>
        <v>2010</v>
      </c>
      <c r="AC54" s="17">
        <f>IF(MONTH(Table1[[#This Row],[Reporting date]])&lt;Pol_Inc_Month_Shifted,YEAR(Table1[[#This Row],[Reporting date]])-1,YEAR(Table1[[#This Row],[Reporting date]]))</f>
        <v>2012</v>
      </c>
      <c r="AD54" s="17">
        <f>Table1[[#This Row],[Reporting year (shifted)]]-Table1[[#This Row],[Policy Year (shifted)]]</f>
        <v>2</v>
      </c>
    </row>
    <row r="55" spans="1:30" ht="13.9">
      <c r="A55" s="8" t="s">
        <v>1825</v>
      </c>
      <c r="B55" s="8" t="s">
        <v>52</v>
      </c>
      <c r="C55" s="8" t="s">
        <v>123</v>
      </c>
      <c r="D55" s="9">
        <v>40404</v>
      </c>
      <c r="E55" s="9">
        <v>41496</v>
      </c>
      <c r="F55" s="17">
        <f>IF(MONTH(Table1[[#This Row],[Loss date]])&lt;Policy_Inception_Month,YEAR(Table1[[#This Row],[Loss date]])-1,YEAR(Table1[[#This Row],[Loss date]]))</f>
        <v>2010</v>
      </c>
      <c r="G55" s="10" t="s">
        <v>125</v>
      </c>
      <c r="H55" s="10" t="s">
        <v>2</v>
      </c>
      <c r="I55" s="11">
        <v>6130.3363477889225</v>
      </c>
      <c r="J55" s="11">
        <v>21056.433602400837</v>
      </c>
      <c r="K55" s="11">
        <v>27186.769950189762</v>
      </c>
      <c r="L55" s="12">
        <v>280.27597886793563</v>
      </c>
      <c r="M55" s="12">
        <v>0</v>
      </c>
      <c r="N55" s="12">
        <v>27467.045929057698</v>
      </c>
      <c r="O55" s="70">
        <f>IF(Table1[[#This Row],[Overall amount]]=0,0,1)</f>
        <v>1</v>
      </c>
      <c r="P55" s="70">
        <f>Table1[[#This Row],[Overall amount]]*Exchange_Rate</f>
        <v>27467.045929057698</v>
      </c>
      <c r="Q55" s="70">
        <f>Table1[[#This Row],[Overall (destination currency)]]*(1+Claims_Inflation)^((Revalue_at_date-Table1[[#This Row],[Loss date]])/365.25)</f>
        <v>35280</v>
      </c>
      <c r="R55" s="70">
        <f>INT(Table1[[#This Row],[Reporting date]])-INT(Table1[[#This Row],[Loss date]])</f>
        <v>1092</v>
      </c>
      <c r="S55" s="69" t="s">
        <v>16</v>
      </c>
      <c r="T55" s="70">
        <f>VLOOKUP(Table1[[#This Row],[Policy Year]],exposure_table,3,FALSE)</f>
        <v>837.11513600000012</v>
      </c>
      <c r="U55" s="17">
        <f>IF(MONTH(Table1[[#This Row],[Reporting date]])&lt;Policy_Inception_Month,YEAR(Table1[[#This Row],[Reporting date]])-1,YEAR(Table1[[#This Row],[Reporting date]]))</f>
        <v>2013</v>
      </c>
      <c r="V55" s="17">
        <f>Table1[[#This Row],[Reporting year]]-Table1[[#This Row],[Policy Year]]</f>
        <v>3</v>
      </c>
      <c r="W55" s="17">
        <f>INT(Table1[[#This Row],[Reporting date]])-INT(Table1[[#This Row],[Loss date]])</f>
        <v>1092</v>
      </c>
      <c r="X55" s="17">
        <f>INT((YEAR(Table1[[#This Row],[Loss date]])*12+MONTH(Table1[[#This Row],[Loss date]])-Earliest_Month)/4)</f>
        <v>16</v>
      </c>
      <c r="Y55" s="17">
        <f>INT((YEAR(Table1[[#This Row],[Reporting date]])*12+MONTH(Table1[[#This Row],[Reporting date]])-Earliest_Month)/4)</f>
        <v>25</v>
      </c>
      <c r="Z55" s="17">
        <f>Table1[[#This Row],[Reporting third]]-Table1[[#This Row],[Policy third]]</f>
        <v>9</v>
      </c>
      <c r="AA55" s="71">
        <f>IF(Table1[[#This Row],[Overall amount]]=0,"N/A",Table1[[#This Row],[Outstanding]]/Table1[[#This Row],[Overall amount]])</f>
        <v>0.76660714285714282</v>
      </c>
      <c r="AB55" s="17">
        <f>IF(MONTH(Table1[[#This Row],[Loss date]])&lt;Pol_Inc_Month_Shifted,YEAR(Table1[[#This Row],[Loss date]])-1,YEAR(Table1[[#This Row],[Loss date]]))</f>
        <v>2009</v>
      </c>
      <c r="AC55" s="17">
        <f>IF(MONTH(Table1[[#This Row],[Reporting date]])&lt;Pol_Inc_Month_Shifted,YEAR(Table1[[#This Row],[Reporting date]])-1,YEAR(Table1[[#This Row],[Reporting date]]))</f>
        <v>2012</v>
      </c>
      <c r="AD55" s="17">
        <f>Table1[[#This Row],[Reporting year (shifted)]]-Table1[[#This Row],[Policy Year (shifted)]]</f>
        <v>3</v>
      </c>
    </row>
    <row r="56" spans="1:30" ht="13.9">
      <c r="A56" s="8" t="s">
        <v>1826</v>
      </c>
      <c r="B56" s="8" t="s">
        <v>53</v>
      </c>
      <c r="C56" s="8" t="s">
        <v>123</v>
      </c>
      <c r="D56" s="9">
        <v>40670</v>
      </c>
      <c r="E56" s="9">
        <v>41384</v>
      </c>
      <c r="F56" s="17">
        <f>IF(MONTH(Table1[[#This Row],[Loss date]])&lt;Policy_Inception_Month,YEAR(Table1[[#This Row],[Loss date]])-1,YEAR(Table1[[#This Row],[Loss date]]))</f>
        <v>2011</v>
      </c>
      <c r="G56" s="10" t="s">
        <v>125</v>
      </c>
      <c r="H56" s="10" t="s">
        <v>2</v>
      </c>
      <c r="I56" s="11">
        <v>2603.0957953743705</v>
      </c>
      <c r="J56" s="11">
        <v>6351.332251725662</v>
      </c>
      <c r="K56" s="11">
        <v>8954.4280471000329</v>
      </c>
      <c r="L56" s="12">
        <v>0</v>
      </c>
      <c r="M56" s="12">
        <v>0</v>
      </c>
      <c r="N56" s="12">
        <v>8954.4280471000329</v>
      </c>
      <c r="O56" s="70">
        <f>IF(Table1[[#This Row],[Overall amount]]=0,0,1)</f>
        <v>1</v>
      </c>
      <c r="P56" s="70">
        <f>Table1[[#This Row],[Overall amount]]*Exchange_Rate</f>
        <v>8954.4280471000329</v>
      </c>
      <c r="Q56" s="70">
        <f>Table1[[#This Row],[Overall (destination currency)]]*(1+Claims_Inflation)^((Revalue_at_date-Table1[[#This Row],[Loss date]])/365.25)</f>
        <v>11100.000000000002</v>
      </c>
      <c r="R56" s="70">
        <f>INT(Table1[[#This Row],[Reporting date]])-INT(Table1[[#This Row],[Loss date]])</f>
        <v>714</v>
      </c>
      <c r="S56" s="69" t="s">
        <v>16</v>
      </c>
      <c r="T56" s="70">
        <f>VLOOKUP(Table1[[#This Row],[Policy Year]],exposure_table,3,FALSE)</f>
        <v>870.52680000000009</v>
      </c>
      <c r="U56" s="17">
        <f>IF(MONTH(Table1[[#This Row],[Reporting date]])&lt;Policy_Inception_Month,YEAR(Table1[[#This Row],[Reporting date]])-1,YEAR(Table1[[#This Row],[Reporting date]]))</f>
        <v>2013</v>
      </c>
      <c r="V56" s="17">
        <f>Table1[[#This Row],[Reporting year]]-Table1[[#This Row],[Policy Year]]</f>
        <v>2</v>
      </c>
      <c r="W56" s="17">
        <f>INT(Table1[[#This Row],[Reporting date]])-INT(Table1[[#This Row],[Loss date]])</f>
        <v>714</v>
      </c>
      <c r="X56" s="17">
        <f>INT((YEAR(Table1[[#This Row],[Loss date]])*12+MONTH(Table1[[#This Row],[Loss date]])-Earliest_Month)/4)</f>
        <v>18</v>
      </c>
      <c r="Y56" s="17">
        <f>INT((YEAR(Table1[[#This Row],[Reporting date]])*12+MONTH(Table1[[#This Row],[Reporting date]])-Earliest_Month)/4)</f>
        <v>24</v>
      </c>
      <c r="Z56" s="17">
        <f>Table1[[#This Row],[Reporting third]]-Table1[[#This Row],[Policy third]]</f>
        <v>6</v>
      </c>
      <c r="AA56" s="71">
        <f>IF(Table1[[#This Row],[Overall amount]]=0,"N/A",Table1[[#This Row],[Outstanding]]/Table1[[#This Row],[Overall amount]])</f>
        <v>0.70929513513513509</v>
      </c>
      <c r="AB56" s="17">
        <f>IF(MONTH(Table1[[#This Row],[Loss date]])&lt;Pol_Inc_Month_Shifted,YEAR(Table1[[#This Row],[Loss date]])-1,YEAR(Table1[[#This Row],[Loss date]]))</f>
        <v>2010</v>
      </c>
      <c r="AC56" s="17">
        <f>IF(MONTH(Table1[[#This Row],[Reporting date]])&lt;Pol_Inc_Month_Shifted,YEAR(Table1[[#This Row],[Reporting date]])-1,YEAR(Table1[[#This Row],[Reporting date]]))</f>
        <v>2012</v>
      </c>
      <c r="AD56" s="17">
        <f>Table1[[#This Row],[Reporting year (shifted)]]-Table1[[#This Row],[Policy Year (shifted)]]</f>
        <v>2</v>
      </c>
    </row>
    <row r="57" spans="1:30" ht="13.9">
      <c r="A57" s="8" t="s">
        <v>1827</v>
      </c>
      <c r="B57" s="8" t="s">
        <v>54</v>
      </c>
      <c r="C57" s="8" t="s">
        <v>123</v>
      </c>
      <c r="D57" s="9">
        <v>40571</v>
      </c>
      <c r="E57" s="9">
        <v>41660</v>
      </c>
      <c r="F57" s="17">
        <f>IF(MONTH(Table1[[#This Row],[Loss date]])&lt;Policy_Inception_Month,YEAR(Table1[[#This Row],[Loss date]])-1,YEAR(Table1[[#This Row],[Loss date]]))</f>
        <v>2010</v>
      </c>
      <c r="G57" s="10" t="s">
        <v>125</v>
      </c>
      <c r="H57" s="10" t="s">
        <v>2</v>
      </c>
      <c r="I57" s="11">
        <v>1999.8850661196434</v>
      </c>
      <c r="J57" s="11">
        <v>0</v>
      </c>
      <c r="K57" s="11">
        <v>1999.8850661196434</v>
      </c>
      <c r="L57" s="12">
        <v>0</v>
      </c>
      <c r="M57" s="12">
        <v>0</v>
      </c>
      <c r="N57" s="12">
        <v>1999.8850661196434</v>
      </c>
      <c r="O57" s="70">
        <f>IF(Table1[[#This Row],[Overall amount]]=0,0,1)</f>
        <v>1</v>
      </c>
      <c r="P57" s="70">
        <f>Table1[[#This Row],[Overall amount]]*Exchange_Rate</f>
        <v>1999.8850661196434</v>
      </c>
      <c r="Q57" s="70">
        <f>Table1[[#This Row],[Overall (destination currency)]]*(1+Claims_Inflation)^((Revalue_at_date-Table1[[#This Row],[Loss date]])/365.25)</f>
        <v>2512.08</v>
      </c>
      <c r="R57" s="70">
        <f>INT(Table1[[#This Row],[Reporting date]])-INT(Table1[[#This Row],[Loss date]])</f>
        <v>1089</v>
      </c>
      <c r="S57" s="69" t="s">
        <v>9</v>
      </c>
      <c r="T57" s="70">
        <f>VLOOKUP(Table1[[#This Row],[Policy Year]],exposure_table,3,FALSE)</f>
        <v>837.11513600000012</v>
      </c>
      <c r="U57" s="17">
        <f>IF(MONTH(Table1[[#This Row],[Reporting date]])&lt;Policy_Inception_Month,YEAR(Table1[[#This Row],[Reporting date]])-1,YEAR(Table1[[#This Row],[Reporting date]]))</f>
        <v>2013</v>
      </c>
      <c r="V57" s="17">
        <f>Table1[[#This Row],[Reporting year]]-Table1[[#This Row],[Policy Year]]</f>
        <v>3</v>
      </c>
      <c r="W57" s="17">
        <f>INT(Table1[[#This Row],[Reporting date]])-INT(Table1[[#This Row],[Loss date]])</f>
        <v>1089</v>
      </c>
      <c r="X57" s="17">
        <f>INT((YEAR(Table1[[#This Row],[Loss date]])*12+MONTH(Table1[[#This Row],[Loss date]])-Earliest_Month)/4)</f>
        <v>17</v>
      </c>
      <c r="Y57" s="17">
        <f>INT((YEAR(Table1[[#This Row],[Reporting date]])*12+MONTH(Table1[[#This Row],[Reporting date]])-Earliest_Month)/4)</f>
        <v>26</v>
      </c>
      <c r="Z57" s="17">
        <f>Table1[[#This Row],[Reporting third]]-Table1[[#This Row],[Policy third]]</f>
        <v>9</v>
      </c>
      <c r="AA57" s="71">
        <f>IF(Table1[[#This Row],[Overall amount]]=0,"N/A",Table1[[#This Row],[Outstanding]]/Table1[[#This Row],[Overall amount]])</f>
        <v>0</v>
      </c>
      <c r="AB57" s="17">
        <f>IF(MONTH(Table1[[#This Row],[Loss date]])&lt;Pol_Inc_Month_Shifted,YEAR(Table1[[#This Row],[Loss date]])-1,YEAR(Table1[[#This Row],[Loss date]]))</f>
        <v>2010</v>
      </c>
      <c r="AC57" s="17">
        <f>IF(MONTH(Table1[[#This Row],[Reporting date]])&lt;Pol_Inc_Month_Shifted,YEAR(Table1[[#This Row],[Reporting date]])-1,YEAR(Table1[[#This Row],[Reporting date]]))</f>
        <v>2013</v>
      </c>
      <c r="AD57" s="17">
        <f>Table1[[#This Row],[Reporting year (shifted)]]-Table1[[#This Row],[Policy Year (shifted)]]</f>
        <v>3</v>
      </c>
    </row>
    <row r="58" spans="1:30" ht="13.9">
      <c r="A58" s="8" t="s">
        <v>1828</v>
      </c>
      <c r="B58" s="8" t="s">
        <v>55</v>
      </c>
      <c r="C58" s="8" t="s">
        <v>123</v>
      </c>
      <c r="D58" s="9">
        <v>41020</v>
      </c>
      <c r="E58" s="9">
        <v>41125</v>
      </c>
      <c r="F58" s="17">
        <f>IF(MONTH(Table1[[#This Row],[Loss date]])&lt;Policy_Inception_Month,YEAR(Table1[[#This Row],[Loss date]])-1,YEAR(Table1[[#This Row],[Loss date]]))</f>
        <v>2012</v>
      </c>
      <c r="G58" s="10" t="s">
        <v>125</v>
      </c>
      <c r="H58" s="10" t="s">
        <v>2</v>
      </c>
      <c r="I58" s="11">
        <v>481.83054343284795</v>
      </c>
      <c r="J58" s="11">
        <v>40093.373114070135</v>
      </c>
      <c r="K58" s="11">
        <v>40575.203657502985</v>
      </c>
      <c r="L58" s="12">
        <v>0</v>
      </c>
      <c r="M58" s="12">
        <v>0</v>
      </c>
      <c r="N58" s="12">
        <v>40575.203657502985</v>
      </c>
      <c r="O58" s="70">
        <f>IF(Table1[[#This Row],[Overall amount]]=0,0,1)</f>
        <v>1</v>
      </c>
      <c r="P58" s="70">
        <f>Table1[[#This Row],[Overall amount]]*Exchange_Rate</f>
        <v>40575.203657502985</v>
      </c>
      <c r="Q58" s="70">
        <f>Table1[[#This Row],[Overall (destination currency)]]*(1+Claims_Inflation)^((Revalue_at_date-Table1[[#This Row],[Loss date]])/365.25)</f>
        <v>47999.999999999993</v>
      </c>
      <c r="R58" s="70">
        <f>INT(Table1[[#This Row],[Reporting date]])-INT(Table1[[#This Row],[Loss date]])</f>
        <v>105</v>
      </c>
      <c r="S58" s="69" t="s">
        <v>16</v>
      </c>
      <c r="T58" s="70">
        <f>VLOOKUP(Table1[[#This Row],[Policy Year]],exposure_table,3,FALSE)</f>
        <v>1057.54</v>
      </c>
      <c r="U58" s="17">
        <f>IF(MONTH(Table1[[#This Row],[Reporting date]])&lt;Policy_Inception_Month,YEAR(Table1[[#This Row],[Reporting date]])-1,YEAR(Table1[[#This Row],[Reporting date]]))</f>
        <v>2012</v>
      </c>
      <c r="V58" s="17">
        <f>Table1[[#This Row],[Reporting year]]-Table1[[#This Row],[Policy Year]]</f>
        <v>0</v>
      </c>
      <c r="W58" s="17">
        <f>INT(Table1[[#This Row],[Reporting date]])-INT(Table1[[#This Row],[Loss date]])</f>
        <v>105</v>
      </c>
      <c r="X58" s="17">
        <f>INT((YEAR(Table1[[#This Row],[Loss date]])*12+MONTH(Table1[[#This Row],[Loss date]])-Earliest_Month)/4)</f>
        <v>21</v>
      </c>
      <c r="Y58" s="17">
        <f>INT((YEAR(Table1[[#This Row],[Reporting date]])*12+MONTH(Table1[[#This Row],[Reporting date]])-Earliest_Month)/4)</f>
        <v>22</v>
      </c>
      <c r="Z58" s="17">
        <f>Table1[[#This Row],[Reporting third]]-Table1[[#This Row],[Policy third]]</f>
        <v>1</v>
      </c>
      <c r="AA58" s="71">
        <f>IF(Table1[[#This Row],[Overall amount]]=0,"N/A",Table1[[#This Row],[Outstanding]]/Table1[[#This Row],[Overall amount]])</f>
        <v>0.98812499999999992</v>
      </c>
      <c r="AB58" s="17">
        <f>IF(MONTH(Table1[[#This Row],[Loss date]])&lt;Pol_Inc_Month_Shifted,YEAR(Table1[[#This Row],[Loss date]])-1,YEAR(Table1[[#This Row],[Loss date]]))</f>
        <v>2011</v>
      </c>
      <c r="AC58" s="17">
        <f>IF(MONTH(Table1[[#This Row],[Reporting date]])&lt;Pol_Inc_Month_Shifted,YEAR(Table1[[#This Row],[Reporting date]])-1,YEAR(Table1[[#This Row],[Reporting date]]))</f>
        <v>2011</v>
      </c>
      <c r="AD58" s="17">
        <f>Table1[[#This Row],[Reporting year (shifted)]]-Table1[[#This Row],[Policy Year (shifted)]]</f>
        <v>0</v>
      </c>
    </row>
    <row r="59" spans="1:30" ht="13.9">
      <c r="A59" s="8" t="s">
        <v>1829</v>
      </c>
      <c r="B59" s="8" t="s">
        <v>56</v>
      </c>
      <c r="C59" s="8" t="s">
        <v>123</v>
      </c>
      <c r="D59" s="9">
        <v>40386</v>
      </c>
      <c r="E59" s="9">
        <v>41120</v>
      </c>
      <c r="F59" s="17">
        <f>IF(MONTH(Table1[[#This Row],[Loss date]])&lt;Policy_Inception_Month,YEAR(Table1[[#This Row],[Loss date]])-1,YEAR(Table1[[#This Row],[Loss date]]))</f>
        <v>2010</v>
      </c>
      <c r="G59" s="10" t="s">
        <v>125</v>
      </c>
      <c r="H59" s="10" t="s">
        <v>2</v>
      </c>
      <c r="I59" s="11">
        <v>4110.1623459291668</v>
      </c>
      <c r="J59" s="11">
        <v>0</v>
      </c>
      <c r="K59" s="11">
        <v>4110.1623459291668</v>
      </c>
      <c r="L59" s="12">
        <v>0</v>
      </c>
      <c r="M59" s="12">
        <v>0</v>
      </c>
      <c r="N59" s="12">
        <v>4110.1623459291668</v>
      </c>
      <c r="O59" s="70">
        <f>IF(Table1[[#This Row],[Overall amount]]=0,0,1)</f>
        <v>1</v>
      </c>
      <c r="P59" s="70">
        <f>Table1[[#This Row],[Overall amount]]*Exchange_Rate</f>
        <v>4110.1623459291668</v>
      </c>
      <c r="Q59" s="70">
        <f>Table1[[#This Row],[Overall (destination currency)]]*(1+Claims_Inflation)^((Revalue_at_date-Table1[[#This Row],[Loss date]])/365.25)</f>
        <v>5292</v>
      </c>
      <c r="R59" s="70">
        <f>INT(Table1[[#This Row],[Reporting date]])-INT(Table1[[#This Row],[Loss date]])</f>
        <v>734</v>
      </c>
      <c r="S59" s="69" t="s">
        <v>9</v>
      </c>
      <c r="T59" s="70">
        <f>VLOOKUP(Table1[[#This Row],[Policy Year]],exposure_table,3,FALSE)</f>
        <v>837.11513600000012</v>
      </c>
      <c r="U59" s="17">
        <f>IF(MONTH(Table1[[#This Row],[Reporting date]])&lt;Policy_Inception_Month,YEAR(Table1[[#This Row],[Reporting date]])-1,YEAR(Table1[[#This Row],[Reporting date]]))</f>
        <v>2012</v>
      </c>
      <c r="V59" s="17">
        <f>Table1[[#This Row],[Reporting year]]-Table1[[#This Row],[Policy Year]]</f>
        <v>2</v>
      </c>
      <c r="W59" s="17">
        <f>INT(Table1[[#This Row],[Reporting date]])-INT(Table1[[#This Row],[Loss date]])</f>
        <v>734</v>
      </c>
      <c r="X59" s="17">
        <f>INT((YEAR(Table1[[#This Row],[Loss date]])*12+MONTH(Table1[[#This Row],[Loss date]])-Earliest_Month)/4)</f>
        <v>15</v>
      </c>
      <c r="Y59" s="17">
        <f>INT((YEAR(Table1[[#This Row],[Reporting date]])*12+MONTH(Table1[[#This Row],[Reporting date]])-Earliest_Month)/4)</f>
        <v>21</v>
      </c>
      <c r="Z59" s="17">
        <f>Table1[[#This Row],[Reporting third]]-Table1[[#This Row],[Policy third]]</f>
        <v>6</v>
      </c>
      <c r="AA59" s="71">
        <f>IF(Table1[[#This Row],[Overall amount]]=0,"N/A",Table1[[#This Row],[Outstanding]]/Table1[[#This Row],[Overall amount]])</f>
        <v>0</v>
      </c>
      <c r="AB59" s="17">
        <f>IF(MONTH(Table1[[#This Row],[Loss date]])&lt;Pol_Inc_Month_Shifted,YEAR(Table1[[#This Row],[Loss date]])-1,YEAR(Table1[[#This Row],[Loss date]]))</f>
        <v>2009</v>
      </c>
      <c r="AC59" s="17">
        <f>IF(MONTH(Table1[[#This Row],[Reporting date]])&lt;Pol_Inc_Month_Shifted,YEAR(Table1[[#This Row],[Reporting date]])-1,YEAR(Table1[[#This Row],[Reporting date]]))</f>
        <v>2011</v>
      </c>
      <c r="AD59" s="17">
        <f>Table1[[#This Row],[Reporting year (shifted)]]-Table1[[#This Row],[Policy Year (shifted)]]</f>
        <v>2</v>
      </c>
    </row>
    <row r="60" spans="1:30" ht="13.9">
      <c r="A60" s="8" t="s">
        <v>1830</v>
      </c>
      <c r="B60" s="8" t="s">
        <v>57</v>
      </c>
      <c r="C60" s="8" t="s">
        <v>123</v>
      </c>
      <c r="D60" s="9">
        <v>41025</v>
      </c>
      <c r="E60" s="9">
        <v>41128</v>
      </c>
      <c r="F60" s="17">
        <f>IF(MONTH(Table1[[#This Row],[Loss date]])&lt;Policy_Inception_Month,YEAR(Table1[[#This Row],[Loss date]])-1,YEAR(Table1[[#This Row],[Loss date]]))</f>
        <v>2012</v>
      </c>
      <c r="G60" s="10" t="s">
        <v>125</v>
      </c>
      <c r="H60" s="10" t="s">
        <v>2</v>
      </c>
      <c r="I60" s="11">
        <v>0</v>
      </c>
      <c r="J60" s="11">
        <v>0</v>
      </c>
      <c r="K60" s="11">
        <v>0</v>
      </c>
      <c r="L60" s="12">
        <v>0</v>
      </c>
      <c r="M60" s="12">
        <v>0</v>
      </c>
      <c r="N60" s="12">
        <v>0</v>
      </c>
      <c r="O60" s="70">
        <f>IF(Table1[[#This Row],[Overall amount]]=0,0,1)</f>
        <v>0</v>
      </c>
      <c r="P60" s="70">
        <f>Table1[[#This Row],[Overall amount]]*Exchange_Rate</f>
        <v>0</v>
      </c>
      <c r="Q60" s="70">
        <f>Table1[[#This Row],[Overall (destination currency)]]*(1+Claims_Inflation)^((Revalue_at_date-Table1[[#This Row],[Loss date]])/365.25)</f>
        <v>0</v>
      </c>
      <c r="R60" s="70">
        <f>INT(Table1[[#This Row],[Reporting date]])-INT(Table1[[#This Row],[Loss date]])</f>
        <v>103</v>
      </c>
      <c r="S60" s="69" t="s">
        <v>9</v>
      </c>
      <c r="T60" s="70">
        <f>VLOOKUP(Table1[[#This Row],[Policy Year]],exposure_table,3,FALSE)</f>
        <v>1057.54</v>
      </c>
      <c r="U60" s="17">
        <f>IF(MONTH(Table1[[#This Row],[Reporting date]])&lt;Policy_Inception_Month,YEAR(Table1[[#This Row],[Reporting date]])-1,YEAR(Table1[[#This Row],[Reporting date]]))</f>
        <v>2012</v>
      </c>
      <c r="V60" s="17">
        <f>Table1[[#This Row],[Reporting year]]-Table1[[#This Row],[Policy Year]]</f>
        <v>0</v>
      </c>
      <c r="W60" s="17">
        <f>INT(Table1[[#This Row],[Reporting date]])-INT(Table1[[#This Row],[Loss date]])</f>
        <v>103</v>
      </c>
      <c r="X60" s="17">
        <f>INT((YEAR(Table1[[#This Row],[Loss date]])*12+MONTH(Table1[[#This Row],[Loss date]])-Earliest_Month)/4)</f>
        <v>21</v>
      </c>
      <c r="Y60" s="17">
        <f>INT((YEAR(Table1[[#This Row],[Reporting date]])*12+MONTH(Table1[[#This Row],[Reporting date]])-Earliest_Month)/4)</f>
        <v>22</v>
      </c>
      <c r="Z60" s="17">
        <f>Table1[[#This Row],[Reporting third]]-Table1[[#This Row],[Policy third]]</f>
        <v>1</v>
      </c>
      <c r="AA60" s="71" t="str">
        <f>IF(Table1[[#This Row],[Overall amount]]=0,"N/A",Table1[[#This Row],[Outstanding]]/Table1[[#This Row],[Overall amount]])</f>
        <v>N/A</v>
      </c>
      <c r="AB60" s="17">
        <f>IF(MONTH(Table1[[#This Row],[Loss date]])&lt;Pol_Inc_Month_Shifted,YEAR(Table1[[#This Row],[Loss date]])-1,YEAR(Table1[[#This Row],[Loss date]]))</f>
        <v>2011</v>
      </c>
      <c r="AC60" s="17">
        <f>IF(MONTH(Table1[[#This Row],[Reporting date]])&lt;Pol_Inc_Month_Shifted,YEAR(Table1[[#This Row],[Reporting date]])-1,YEAR(Table1[[#This Row],[Reporting date]]))</f>
        <v>2011</v>
      </c>
      <c r="AD60" s="17">
        <f>Table1[[#This Row],[Reporting year (shifted)]]-Table1[[#This Row],[Policy Year (shifted)]]</f>
        <v>0</v>
      </c>
    </row>
    <row r="61" spans="1:30" ht="13.9">
      <c r="A61" s="8" t="s">
        <v>1831</v>
      </c>
      <c r="B61" s="8" t="s">
        <v>58</v>
      </c>
      <c r="C61" s="8" t="s">
        <v>123</v>
      </c>
      <c r="D61" s="9">
        <v>40704</v>
      </c>
      <c r="E61" s="9">
        <v>41131</v>
      </c>
      <c r="F61" s="17">
        <f>IF(MONTH(Table1[[#This Row],[Loss date]])&lt;Policy_Inception_Month,YEAR(Table1[[#This Row],[Loss date]])-1,YEAR(Table1[[#This Row],[Loss date]]))</f>
        <v>2011</v>
      </c>
      <c r="G61" s="10" t="s">
        <v>125</v>
      </c>
      <c r="H61" s="10" t="s">
        <v>2</v>
      </c>
      <c r="I61" s="11">
        <v>29173.586278122617</v>
      </c>
      <c r="J61" s="11">
        <v>24311.321898435515</v>
      </c>
      <c r="K61" s="11">
        <v>53484.908176558129</v>
      </c>
      <c r="L61" s="12">
        <v>291.73586278122616</v>
      </c>
      <c r="M61" s="12">
        <v>0</v>
      </c>
      <c r="N61" s="12">
        <v>53776.644039339357</v>
      </c>
      <c r="O61" s="70">
        <f>IF(Table1[[#This Row],[Overall amount]]=0,0,1)</f>
        <v>1</v>
      </c>
      <c r="P61" s="70">
        <f>Table1[[#This Row],[Overall amount]]*Exchange_Rate</f>
        <v>53776.644039339357</v>
      </c>
      <c r="Q61" s="70">
        <f>Table1[[#This Row],[Overall (destination currency)]]*(1+Claims_Inflation)^((Revalue_at_date-Table1[[#This Row],[Loss date]])/365.25)</f>
        <v>66360</v>
      </c>
      <c r="R61" s="70">
        <f>INT(Table1[[#This Row],[Reporting date]])-INT(Table1[[#This Row],[Loss date]])</f>
        <v>427</v>
      </c>
      <c r="S61" s="69" t="s">
        <v>16</v>
      </c>
      <c r="T61" s="70">
        <f>VLOOKUP(Table1[[#This Row],[Policy Year]],exposure_table,3,FALSE)</f>
        <v>870.52680000000009</v>
      </c>
      <c r="U61" s="17">
        <f>IF(MONTH(Table1[[#This Row],[Reporting date]])&lt;Policy_Inception_Month,YEAR(Table1[[#This Row],[Reporting date]])-1,YEAR(Table1[[#This Row],[Reporting date]]))</f>
        <v>2012</v>
      </c>
      <c r="V61" s="17">
        <f>Table1[[#This Row],[Reporting year]]-Table1[[#This Row],[Policy Year]]</f>
        <v>1</v>
      </c>
      <c r="W61" s="17">
        <f>INT(Table1[[#This Row],[Reporting date]])-INT(Table1[[#This Row],[Loss date]])</f>
        <v>427</v>
      </c>
      <c r="X61" s="17">
        <f>INT((YEAR(Table1[[#This Row],[Loss date]])*12+MONTH(Table1[[#This Row],[Loss date]])-Earliest_Month)/4)</f>
        <v>18</v>
      </c>
      <c r="Y61" s="17">
        <f>INT((YEAR(Table1[[#This Row],[Reporting date]])*12+MONTH(Table1[[#This Row],[Reporting date]])-Earliest_Month)/4)</f>
        <v>22</v>
      </c>
      <c r="Z61" s="17">
        <f>Table1[[#This Row],[Reporting third]]-Table1[[#This Row],[Policy third]]</f>
        <v>4</v>
      </c>
      <c r="AA61" s="71">
        <f>IF(Table1[[#This Row],[Overall amount]]=0,"N/A",Table1[[#This Row],[Outstanding]]/Table1[[#This Row],[Overall amount]])</f>
        <v>0.45207956600361665</v>
      </c>
      <c r="AB61" s="17">
        <f>IF(MONTH(Table1[[#This Row],[Loss date]])&lt;Pol_Inc_Month_Shifted,YEAR(Table1[[#This Row],[Loss date]])-1,YEAR(Table1[[#This Row],[Loss date]]))</f>
        <v>2010</v>
      </c>
      <c r="AC61" s="17">
        <f>IF(MONTH(Table1[[#This Row],[Reporting date]])&lt;Pol_Inc_Month_Shifted,YEAR(Table1[[#This Row],[Reporting date]])-1,YEAR(Table1[[#This Row],[Reporting date]]))</f>
        <v>2011</v>
      </c>
      <c r="AD61" s="17">
        <f>Table1[[#This Row],[Reporting year (shifted)]]-Table1[[#This Row],[Policy Year (shifted)]]</f>
        <v>1</v>
      </c>
    </row>
    <row r="62" spans="1:30" ht="13.9">
      <c r="A62" s="8" t="s">
        <v>1832</v>
      </c>
      <c r="B62" s="8" t="s">
        <v>59</v>
      </c>
      <c r="C62" s="8" t="s">
        <v>123</v>
      </c>
      <c r="D62" s="9">
        <v>40860</v>
      </c>
      <c r="E62" s="9">
        <v>41127</v>
      </c>
      <c r="F62" s="17">
        <f>IF(MONTH(Table1[[#This Row],[Loss date]])&lt;Policy_Inception_Month,YEAR(Table1[[#This Row],[Loss date]])-1,YEAR(Table1[[#This Row],[Loss date]]))</f>
        <v>2011</v>
      </c>
      <c r="G62" s="10" t="s">
        <v>124</v>
      </c>
      <c r="H62" s="10" t="s">
        <v>2</v>
      </c>
      <c r="I62" s="11">
        <v>0</v>
      </c>
      <c r="J62" s="11">
        <v>11468.341031349682</v>
      </c>
      <c r="K62" s="11">
        <v>11468.341031349682</v>
      </c>
      <c r="L62" s="12">
        <v>0</v>
      </c>
      <c r="M62" s="12">
        <v>0</v>
      </c>
      <c r="N62" s="12">
        <v>11468.341031349682</v>
      </c>
      <c r="O62" s="70">
        <f>IF(Table1[[#This Row],[Overall amount]]=0,0,1)</f>
        <v>1</v>
      </c>
      <c r="P62" s="70">
        <f>Table1[[#This Row],[Overall amount]]*Exchange_Rate</f>
        <v>11468.341031349682</v>
      </c>
      <c r="Q62" s="70">
        <f>Table1[[#This Row],[Overall (destination currency)]]*(1+Claims_Inflation)^((Revalue_at_date-Table1[[#This Row],[Loss date]])/365.25)</f>
        <v>13860.000000000002</v>
      </c>
      <c r="R62" s="70">
        <f>INT(Table1[[#This Row],[Reporting date]])-INT(Table1[[#This Row],[Loss date]])</f>
        <v>267</v>
      </c>
      <c r="S62" s="69" t="s">
        <v>16</v>
      </c>
      <c r="T62" s="70">
        <f>VLOOKUP(Table1[[#This Row],[Policy Year]],exposure_table,3,FALSE)</f>
        <v>870.52680000000009</v>
      </c>
      <c r="U62" s="17">
        <f>IF(MONTH(Table1[[#This Row],[Reporting date]])&lt;Policy_Inception_Month,YEAR(Table1[[#This Row],[Reporting date]])-1,YEAR(Table1[[#This Row],[Reporting date]]))</f>
        <v>2012</v>
      </c>
      <c r="V62" s="17">
        <f>Table1[[#This Row],[Reporting year]]-Table1[[#This Row],[Policy Year]]</f>
        <v>1</v>
      </c>
      <c r="W62" s="17">
        <f>INT(Table1[[#This Row],[Reporting date]])-INT(Table1[[#This Row],[Loss date]])</f>
        <v>267</v>
      </c>
      <c r="X62" s="17">
        <f>INT((YEAR(Table1[[#This Row],[Loss date]])*12+MONTH(Table1[[#This Row],[Loss date]])-Earliest_Month)/4)</f>
        <v>19</v>
      </c>
      <c r="Y62" s="17">
        <f>INT((YEAR(Table1[[#This Row],[Reporting date]])*12+MONTH(Table1[[#This Row],[Reporting date]])-Earliest_Month)/4)</f>
        <v>22</v>
      </c>
      <c r="Z62" s="17">
        <f>Table1[[#This Row],[Reporting third]]-Table1[[#This Row],[Policy third]]</f>
        <v>3</v>
      </c>
      <c r="AA62" s="71">
        <f>IF(Table1[[#This Row],[Overall amount]]=0,"N/A",Table1[[#This Row],[Outstanding]]/Table1[[#This Row],[Overall amount]])</f>
        <v>1</v>
      </c>
      <c r="AB62" s="17">
        <f>IF(MONTH(Table1[[#This Row],[Loss date]])&lt;Pol_Inc_Month_Shifted,YEAR(Table1[[#This Row],[Loss date]])-1,YEAR(Table1[[#This Row],[Loss date]]))</f>
        <v>2010</v>
      </c>
      <c r="AC62" s="17">
        <f>IF(MONTH(Table1[[#This Row],[Reporting date]])&lt;Pol_Inc_Month_Shifted,YEAR(Table1[[#This Row],[Reporting date]])-1,YEAR(Table1[[#This Row],[Reporting date]]))</f>
        <v>2011</v>
      </c>
      <c r="AD62" s="17">
        <f>Table1[[#This Row],[Reporting year (shifted)]]-Table1[[#This Row],[Policy Year (shifted)]]</f>
        <v>1</v>
      </c>
    </row>
    <row r="63" spans="1:30" ht="13.9">
      <c r="A63" s="8" t="s">
        <v>1833</v>
      </c>
      <c r="B63" s="8" t="s">
        <v>60</v>
      </c>
      <c r="C63" s="8" t="s">
        <v>123</v>
      </c>
      <c r="D63" s="9">
        <v>41091</v>
      </c>
      <c r="E63" s="9">
        <v>41133</v>
      </c>
      <c r="F63" s="17">
        <f>IF(MONTH(Table1[[#This Row],[Loss date]])&lt;Policy_Inception_Month,YEAR(Table1[[#This Row],[Loss date]])-1,YEAR(Table1[[#This Row],[Loss date]]))</f>
        <v>2012</v>
      </c>
      <c r="G63" s="10" t="s">
        <v>125</v>
      </c>
      <c r="H63" s="10" t="s">
        <v>2</v>
      </c>
      <c r="I63" s="11">
        <v>17697.775294289433</v>
      </c>
      <c r="J63" s="11">
        <v>0</v>
      </c>
      <c r="K63" s="11">
        <v>17697.775294289433</v>
      </c>
      <c r="L63" s="12">
        <v>0</v>
      </c>
      <c r="M63" s="12">
        <v>0</v>
      </c>
      <c r="N63" s="12">
        <v>17697.775294289433</v>
      </c>
      <c r="O63" s="70">
        <f>IF(Table1[[#This Row],[Overall amount]]=0,0,1)</f>
        <v>1</v>
      </c>
      <c r="P63" s="70">
        <f>Table1[[#This Row],[Overall amount]]*Exchange_Rate</f>
        <v>17697.775294289433</v>
      </c>
      <c r="Q63" s="70">
        <f>Table1[[#This Row],[Overall (destination currency)]]*(1+Claims_Inflation)^((Revalue_at_date-Table1[[#This Row],[Loss date]])/365.25)</f>
        <v>20738.64</v>
      </c>
      <c r="R63" s="70">
        <f>INT(Table1[[#This Row],[Reporting date]])-INT(Table1[[#This Row],[Loss date]])</f>
        <v>42</v>
      </c>
      <c r="S63" s="69" t="s">
        <v>9</v>
      </c>
      <c r="T63" s="70">
        <f>VLOOKUP(Table1[[#This Row],[Policy Year]],exposure_table,3,FALSE)</f>
        <v>1057.54</v>
      </c>
      <c r="U63" s="17">
        <f>IF(MONTH(Table1[[#This Row],[Reporting date]])&lt;Policy_Inception_Month,YEAR(Table1[[#This Row],[Reporting date]])-1,YEAR(Table1[[#This Row],[Reporting date]]))</f>
        <v>2012</v>
      </c>
      <c r="V63" s="17">
        <f>Table1[[#This Row],[Reporting year]]-Table1[[#This Row],[Policy Year]]</f>
        <v>0</v>
      </c>
      <c r="W63" s="17">
        <f>INT(Table1[[#This Row],[Reporting date]])-INT(Table1[[#This Row],[Loss date]])</f>
        <v>42</v>
      </c>
      <c r="X63" s="17">
        <f>INT((YEAR(Table1[[#This Row],[Loss date]])*12+MONTH(Table1[[#This Row],[Loss date]])-Earliest_Month)/4)</f>
        <v>21</v>
      </c>
      <c r="Y63" s="17">
        <f>INT((YEAR(Table1[[#This Row],[Reporting date]])*12+MONTH(Table1[[#This Row],[Reporting date]])-Earliest_Month)/4)</f>
        <v>22</v>
      </c>
      <c r="Z63" s="17">
        <f>Table1[[#This Row],[Reporting third]]-Table1[[#This Row],[Policy third]]</f>
        <v>1</v>
      </c>
      <c r="AA63" s="71">
        <f>IF(Table1[[#This Row],[Overall amount]]=0,"N/A",Table1[[#This Row],[Outstanding]]/Table1[[#This Row],[Overall amount]])</f>
        <v>0</v>
      </c>
      <c r="AB63" s="17">
        <f>IF(MONTH(Table1[[#This Row],[Loss date]])&lt;Pol_Inc_Month_Shifted,YEAR(Table1[[#This Row],[Loss date]])-1,YEAR(Table1[[#This Row],[Loss date]]))</f>
        <v>2011</v>
      </c>
      <c r="AC63" s="17">
        <f>IF(MONTH(Table1[[#This Row],[Reporting date]])&lt;Pol_Inc_Month_Shifted,YEAR(Table1[[#This Row],[Reporting date]])-1,YEAR(Table1[[#This Row],[Reporting date]]))</f>
        <v>2011</v>
      </c>
      <c r="AD63" s="17">
        <f>Table1[[#This Row],[Reporting year (shifted)]]-Table1[[#This Row],[Policy Year (shifted)]]</f>
        <v>0</v>
      </c>
    </row>
    <row r="64" spans="1:30" ht="13.9">
      <c r="A64" s="8" t="s">
        <v>1834</v>
      </c>
      <c r="B64" s="8" t="s">
        <v>61</v>
      </c>
      <c r="C64" s="8" t="s">
        <v>123</v>
      </c>
      <c r="D64" s="9">
        <v>40991</v>
      </c>
      <c r="E64" s="9">
        <v>41133</v>
      </c>
      <c r="F64" s="17">
        <f>IF(MONTH(Table1[[#This Row],[Loss date]])&lt;Policy_Inception_Month,YEAR(Table1[[#This Row],[Loss date]])-1,YEAR(Table1[[#This Row],[Loss date]]))</f>
        <v>2011</v>
      </c>
      <c r="G64" s="10" t="s">
        <v>125</v>
      </c>
      <c r="H64" s="10" t="s">
        <v>2</v>
      </c>
      <c r="I64" s="11">
        <v>0</v>
      </c>
      <c r="J64" s="11">
        <v>7578.4362099140208</v>
      </c>
      <c r="K64" s="11">
        <v>7578.4362099140208</v>
      </c>
      <c r="L64" s="12">
        <v>0</v>
      </c>
      <c r="M64" s="12">
        <v>338.90766730735504</v>
      </c>
      <c r="N64" s="12">
        <v>7239.5285426066657</v>
      </c>
      <c r="O64" s="70">
        <f>IF(Table1[[#This Row],[Overall amount]]=0,0,1)</f>
        <v>1</v>
      </c>
      <c r="P64" s="70">
        <f>Table1[[#This Row],[Overall amount]]*Exchange_Rate</f>
        <v>7239.5285426066657</v>
      </c>
      <c r="Q64" s="70">
        <f>Table1[[#This Row],[Overall (destination currency)]]*(1+Claims_Inflation)^((Revalue_at_date-Table1[[#This Row],[Loss date]])/365.25)</f>
        <v>8597.5199999999968</v>
      </c>
      <c r="R64" s="70">
        <f>INT(Table1[[#This Row],[Reporting date]])-INT(Table1[[#This Row],[Loss date]])</f>
        <v>142</v>
      </c>
      <c r="S64" s="69" t="s">
        <v>16</v>
      </c>
      <c r="T64" s="70">
        <f>VLOOKUP(Table1[[#This Row],[Policy Year]],exposure_table,3,FALSE)</f>
        <v>870.52680000000009</v>
      </c>
      <c r="U64" s="17">
        <f>IF(MONTH(Table1[[#This Row],[Reporting date]])&lt;Policy_Inception_Month,YEAR(Table1[[#This Row],[Reporting date]])-1,YEAR(Table1[[#This Row],[Reporting date]]))</f>
        <v>2012</v>
      </c>
      <c r="V64" s="17">
        <f>Table1[[#This Row],[Reporting year]]-Table1[[#This Row],[Policy Year]]</f>
        <v>1</v>
      </c>
      <c r="W64" s="17">
        <f>INT(Table1[[#This Row],[Reporting date]])-INT(Table1[[#This Row],[Loss date]])</f>
        <v>142</v>
      </c>
      <c r="X64" s="17">
        <f>INT((YEAR(Table1[[#This Row],[Loss date]])*12+MONTH(Table1[[#This Row],[Loss date]])-Earliest_Month)/4)</f>
        <v>20</v>
      </c>
      <c r="Y64" s="17">
        <f>INT((YEAR(Table1[[#This Row],[Reporting date]])*12+MONTH(Table1[[#This Row],[Reporting date]])-Earliest_Month)/4)</f>
        <v>22</v>
      </c>
      <c r="Z64" s="17">
        <f>Table1[[#This Row],[Reporting third]]-Table1[[#This Row],[Policy third]]</f>
        <v>2</v>
      </c>
      <c r="AA64" s="71">
        <f>IF(Table1[[#This Row],[Overall amount]]=0,"N/A",Table1[[#This Row],[Outstanding]]/Table1[[#This Row],[Overall amount]])</f>
        <v>1.0468134997068923</v>
      </c>
      <c r="AB64" s="17">
        <f>IF(MONTH(Table1[[#This Row],[Loss date]])&lt;Pol_Inc_Month_Shifted,YEAR(Table1[[#This Row],[Loss date]])-1,YEAR(Table1[[#This Row],[Loss date]]))</f>
        <v>2011</v>
      </c>
      <c r="AC64" s="17">
        <f>IF(MONTH(Table1[[#This Row],[Reporting date]])&lt;Pol_Inc_Month_Shifted,YEAR(Table1[[#This Row],[Reporting date]])-1,YEAR(Table1[[#This Row],[Reporting date]]))</f>
        <v>2011</v>
      </c>
      <c r="AD64" s="17">
        <f>Table1[[#This Row],[Reporting year (shifted)]]-Table1[[#This Row],[Policy Year (shifted)]]</f>
        <v>0</v>
      </c>
    </row>
    <row r="65" spans="1:30" ht="13.9">
      <c r="A65" s="8" t="s">
        <v>1835</v>
      </c>
      <c r="B65" s="8" t="s">
        <v>62</v>
      </c>
      <c r="C65" s="8" t="s">
        <v>123</v>
      </c>
      <c r="D65" s="9">
        <v>40764</v>
      </c>
      <c r="E65" s="9">
        <v>41134</v>
      </c>
      <c r="F65" s="17">
        <f>IF(MONTH(Table1[[#This Row],[Loss date]])&lt;Policy_Inception_Month,YEAR(Table1[[#This Row],[Loss date]])-1,YEAR(Table1[[#This Row],[Loss date]]))</f>
        <v>2011</v>
      </c>
      <c r="G65" s="10" t="s">
        <v>125</v>
      </c>
      <c r="H65" s="10" t="s">
        <v>2</v>
      </c>
      <c r="I65" s="11">
        <v>0</v>
      </c>
      <c r="J65" s="11">
        <v>0</v>
      </c>
      <c r="K65" s="11">
        <v>0</v>
      </c>
      <c r="L65" s="12">
        <v>294.0834659203199</v>
      </c>
      <c r="M65" s="12">
        <v>0</v>
      </c>
      <c r="N65" s="12">
        <v>294.0834659203199</v>
      </c>
      <c r="O65" s="70">
        <f>IF(Table1[[#This Row],[Overall amount]]=0,0,1)</f>
        <v>1</v>
      </c>
      <c r="P65" s="70">
        <f>Table1[[#This Row],[Overall amount]]*Exchange_Rate</f>
        <v>294.0834659203199</v>
      </c>
      <c r="Q65" s="70">
        <f>Table1[[#This Row],[Overall (destination currency)]]*(1+Claims_Inflation)^((Revalue_at_date-Table1[[#This Row],[Loss date]])/365.25)</f>
        <v>360</v>
      </c>
      <c r="R65" s="70">
        <f>INT(Table1[[#This Row],[Reporting date]])-INT(Table1[[#This Row],[Loss date]])</f>
        <v>370</v>
      </c>
      <c r="S65" s="69" t="s">
        <v>9</v>
      </c>
      <c r="T65" s="70">
        <f>VLOOKUP(Table1[[#This Row],[Policy Year]],exposure_table,3,FALSE)</f>
        <v>870.52680000000009</v>
      </c>
      <c r="U65" s="17">
        <f>IF(MONTH(Table1[[#This Row],[Reporting date]])&lt;Policy_Inception_Month,YEAR(Table1[[#This Row],[Reporting date]])-1,YEAR(Table1[[#This Row],[Reporting date]]))</f>
        <v>2012</v>
      </c>
      <c r="V65" s="17">
        <f>Table1[[#This Row],[Reporting year]]-Table1[[#This Row],[Policy Year]]</f>
        <v>1</v>
      </c>
      <c r="W65" s="17">
        <f>INT(Table1[[#This Row],[Reporting date]])-INT(Table1[[#This Row],[Loss date]])</f>
        <v>370</v>
      </c>
      <c r="X65" s="17">
        <f>INT((YEAR(Table1[[#This Row],[Loss date]])*12+MONTH(Table1[[#This Row],[Loss date]])-Earliest_Month)/4)</f>
        <v>19</v>
      </c>
      <c r="Y65" s="17">
        <f>INT((YEAR(Table1[[#This Row],[Reporting date]])*12+MONTH(Table1[[#This Row],[Reporting date]])-Earliest_Month)/4)</f>
        <v>22</v>
      </c>
      <c r="Z65" s="17">
        <f>Table1[[#This Row],[Reporting third]]-Table1[[#This Row],[Policy third]]</f>
        <v>3</v>
      </c>
      <c r="AA65" s="71">
        <f>IF(Table1[[#This Row],[Overall amount]]=0,"N/A",Table1[[#This Row],[Outstanding]]/Table1[[#This Row],[Overall amount]])</f>
        <v>0</v>
      </c>
      <c r="AB65" s="17">
        <f>IF(MONTH(Table1[[#This Row],[Loss date]])&lt;Pol_Inc_Month_Shifted,YEAR(Table1[[#This Row],[Loss date]])-1,YEAR(Table1[[#This Row],[Loss date]]))</f>
        <v>2010</v>
      </c>
      <c r="AC65" s="17">
        <f>IF(MONTH(Table1[[#This Row],[Reporting date]])&lt;Pol_Inc_Month_Shifted,YEAR(Table1[[#This Row],[Reporting date]])-1,YEAR(Table1[[#This Row],[Reporting date]]))</f>
        <v>2011</v>
      </c>
      <c r="AD65" s="17">
        <f>Table1[[#This Row],[Reporting year (shifted)]]-Table1[[#This Row],[Policy Year (shifted)]]</f>
        <v>1</v>
      </c>
    </row>
    <row r="66" spans="1:30" ht="13.9">
      <c r="A66" s="8" t="s">
        <v>1836</v>
      </c>
      <c r="B66" s="8" t="s">
        <v>63</v>
      </c>
      <c r="C66" s="8" t="s">
        <v>123</v>
      </c>
      <c r="D66" s="9">
        <v>40575</v>
      </c>
      <c r="E66" s="9">
        <v>41134</v>
      </c>
      <c r="F66" s="17">
        <f>IF(MONTH(Table1[[#This Row],[Loss date]])&lt;Policy_Inception_Month,YEAR(Table1[[#This Row],[Loss date]])-1,YEAR(Table1[[#This Row],[Loss date]]))</f>
        <v>2010</v>
      </c>
      <c r="G66" s="10" t="s">
        <v>126</v>
      </c>
      <c r="H66" s="10" t="s">
        <v>2</v>
      </c>
      <c r="I66" s="11">
        <v>0</v>
      </c>
      <c r="J66" s="11">
        <v>0</v>
      </c>
      <c r="K66" s="11">
        <v>0</v>
      </c>
      <c r="L66" s="12">
        <v>286.75178156437494</v>
      </c>
      <c r="M66" s="12">
        <v>0</v>
      </c>
      <c r="N66" s="12">
        <v>286.75178156437494</v>
      </c>
      <c r="O66" s="70">
        <f>IF(Table1[[#This Row],[Overall amount]]=0,0,1)</f>
        <v>1</v>
      </c>
      <c r="P66" s="70">
        <f>Table1[[#This Row],[Overall amount]]*Exchange_Rate</f>
        <v>286.75178156437494</v>
      </c>
      <c r="Q66" s="70">
        <f>Table1[[#This Row],[Overall (destination currency)]]*(1+Claims_Inflation)^((Revalue_at_date-Table1[[#This Row],[Loss date]])/365.25)</f>
        <v>360</v>
      </c>
      <c r="R66" s="70">
        <f>INT(Table1[[#This Row],[Reporting date]])-INT(Table1[[#This Row],[Loss date]])</f>
        <v>559</v>
      </c>
      <c r="S66" s="69" t="s">
        <v>9</v>
      </c>
      <c r="T66" s="70">
        <f>VLOOKUP(Table1[[#This Row],[Policy Year]],exposure_table,3,FALSE)</f>
        <v>837.11513600000012</v>
      </c>
      <c r="U66" s="17">
        <f>IF(MONTH(Table1[[#This Row],[Reporting date]])&lt;Policy_Inception_Month,YEAR(Table1[[#This Row],[Reporting date]])-1,YEAR(Table1[[#This Row],[Reporting date]]))</f>
        <v>2012</v>
      </c>
      <c r="V66" s="17">
        <f>Table1[[#This Row],[Reporting year]]-Table1[[#This Row],[Policy Year]]</f>
        <v>2</v>
      </c>
      <c r="W66" s="17">
        <f>INT(Table1[[#This Row],[Reporting date]])-INT(Table1[[#This Row],[Loss date]])</f>
        <v>559</v>
      </c>
      <c r="X66" s="17">
        <f>INT((YEAR(Table1[[#This Row],[Loss date]])*12+MONTH(Table1[[#This Row],[Loss date]])-Earliest_Month)/4)</f>
        <v>17</v>
      </c>
      <c r="Y66" s="17">
        <f>INT((YEAR(Table1[[#This Row],[Reporting date]])*12+MONTH(Table1[[#This Row],[Reporting date]])-Earliest_Month)/4)</f>
        <v>22</v>
      </c>
      <c r="Z66" s="17">
        <f>Table1[[#This Row],[Reporting third]]-Table1[[#This Row],[Policy third]]</f>
        <v>5</v>
      </c>
      <c r="AA66" s="71">
        <f>IF(Table1[[#This Row],[Overall amount]]=0,"N/A",Table1[[#This Row],[Outstanding]]/Table1[[#This Row],[Overall amount]])</f>
        <v>0</v>
      </c>
      <c r="AB66" s="17">
        <f>IF(MONTH(Table1[[#This Row],[Loss date]])&lt;Pol_Inc_Month_Shifted,YEAR(Table1[[#This Row],[Loss date]])-1,YEAR(Table1[[#This Row],[Loss date]]))</f>
        <v>2010</v>
      </c>
      <c r="AC66" s="17">
        <f>IF(MONTH(Table1[[#This Row],[Reporting date]])&lt;Pol_Inc_Month_Shifted,YEAR(Table1[[#This Row],[Reporting date]])-1,YEAR(Table1[[#This Row],[Reporting date]]))</f>
        <v>2011</v>
      </c>
      <c r="AD66" s="17">
        <f>Table1[[#This Row],[Reporting year (shifted)]]-Table1[[#This Row],[Policy Year (shifted)]]</f>
        <v>1</v>
      </c>
    </row>
    <row r="67" spans="1:30" ht="13.9">
      <c r="A67" s="8" t="s">
        <v>1837</v>
      </c>
      <c r="B67" s="8" t="s">
        <v>64</v>
      </c>
      <c r="C67" s="8" t="s">
        <v>123</v>
      </c>
      <c r="D67" s="9">
        <v>41090</v>
      </c>
      <c r="E67" s="9">
        <v>41149</v>
      </c>
      <c r="F67" s="17">
        <f>IF(MONTH(Table1[[#This Row],[Loss date]])&lt;Policy_Inception_Month,YEAR(Table1[[#This Row],[Loss date]])-1,YEAR(Table1[[#This Row],[Loss date]]))</f>
        <v>2012</v>
      </c>
      <c r="G67" s="10" t="s">
        <v>125</v>
      </c>
      <c r="H67" s="10" t="s">
        <v>2</v>
      </c>
      <c r="I67" s="11">
        <v>7002.6819324892613</v>
      </c>
      <c r="J67" s="11">
        <v>0</v>
      </c>
      <c r="K67" s="11">
        <v>7002.6819324892613</v>
      </c>
      <c r="L67" s="12">
        <v>0</v>
      </c>
      <c r="M67" s="12">
        <v>0</v>
      </c>
      <c r="N67" s="12">
        <v>7002.6819324892613</v>
      </c>
      <c r="O67" s="70">
        <f>IF(Table1[[#This Row],[Overall amount]]=0,0,1)</f>
        <v>1</v>
      </c>
      <c r="P67" s="70">
        <f>Table1[[#This Row],[Overall amount]]*Exchange_Rate</f>
        <v>7002.6819324892613</v>
      </c>
      <c r="Q67" s="70">
        <f>Table1[[#This Row],[Overall (destination currency)]]*(1+Claims_Inflation)^((Revalue_at_date-Table1[[#This Row],[Loss date]])/365.25)</f>
        <v>8206.9920000000002</v>
      </c>
      <c r="R67" s="70">
        <f>INT(Table1[[#This Row],[Reporting date]])-INT(Table1[[#This Row],[Loss date]])</f>
        <v>59</v>
      </c>
      <c r="S67" s="69" t="s">
        <v>9</v>
      </c>
      <c r="T67" s="70">
        <f>VLOOKUP(Table1[[#This Row],[Policy Year]],exposure_table,3,FALSE)</f>
        <v>1057.54</v>
      </c>
      <c r="U67" s="17">
        <f>IF(MONTH(Table1[[#This Row],[Reporting date]])&lt;Policy_Inception_Month,YEAR(Table1[[#This Row],[Reporting date]])-1,YEAR(Table1[[#This Row],[Reporting date]]))</f>
        <v>2012</v>
      </c>
      <c r="V67" s="17">
        <f>Table1[[#This Row],[Reporting year]]-Table1[[#This Row],[Policy Year]]</f>
        <v>0</v>
      </c>
      <c r="W67" s="17">
        <f>INT(Table1[[#This Row],[Reporting date]])-INT(Table1[[#This Row],[Loss date]])</f>
        <v>59</v>
      </c>
      <c r="X67" s="17">
        <f>INT((YEAR(Table1[[#This Row],[Loss date]])*12+MONTH(Table1[[#This Row],[Loss date]])-Earliest_Month)/4)</f>
        <v>21</v>
      </c>
      <c r="Y67" s="17">
        <f>INT((YEAR(Table1[[#This Row],[Reporting date]])*12+MONTH(Table1[[#This Row],[Reporting date]])-Earliest_Month)/4)</f>
        <v>22</v>
      </c>
      <c r="Z67" s="17">
        <f>Table1[[#This Row],[Reporting third]]-Table1[[#This Row],[Policy third]]</f>
        <v>1</v>
      </c>
      <c r="AA67" s="71">
        <f>IF(Table1[[#This Row],[Overall amount]]=0,"N/A",Table1[[#This Row],[Outstanding]]/Table1[[#This Row],[Overall amount]])</f>
        <v>0</v>
      </c>
      <c r="AB67" s="17">
        <f>IF(MONTH(Table1[[#This Row],[Loss date]])&lt;Pol_Inc_Month_Shifted,YEAR(Table1[[#This Row],[Loss date]])-1,YEAR(Table1[[#This Row],[Loss date]]))</f>
        <v>2011</v>
      </c>
      <c r="AC67" s="17">
        <f>IF(MONTH(Table1[[#This Row],[Reporting date]])&lt;Pol_Inc_Month_Shifted,YEAR(Table1[[#This Row],[Reporting date]])-1,YEAR(Table1[[#This Row],[Reporting date]]))</f>
        <v>2011</v>
      </c>
      <c r="AD67" s="17">
        <f>Table1[[#This Row],[Reporting year (shifted)]]-Table1[[#This Row],[Policy Year (shifted)]]</f>
        <v>0</v>
      </c>
    </row>
    <row r="68" spans="1:30" ht="13.9">
      <c r="A68" s="8" t="s">
        <v>1838</v>
      </c>
      <c r="B68" s="8" t="s">
        <v>65</v>
      </c>
      <c r="C68" s="8" t="s">
        <v>123</v>
      </c>
      <c r="D68" s="9">
        <v>41136</v>
      </c>
      <c r="E68" s="9">
        <v>41162</v>
      </c>
      <c r="F68" s="17">
        <f>IF(MONTH(Table1[[#This Row],[Loss date]])&lt;Policy_Inception_Month,YEAR(Table1[[#This Row],[Loss date]])-1,YEAR(Table1[[#This Row],[Loss date]]))</f>
        <v>2012</v>
      </c>
      <c r="G68" s="10" t="s">
        <v>125</v>
      </c>
      <c r="H68" s="10" t="s">
        <v>2</v>
      </c>
      <c r="I68" s="11">
        <v>13548.328447033518</v>
      </c>
      <c r="J68" s="11">
        <v>0</v>
      </c>
      <c r="K68" s="11">
        <v>13548.328447033518</v>
      </c>
      <c r="L68" s="12">
        <v>0</v>
      </c>
      <c r="M68" s="12">
        <v>0</v>
      </c>
      <c r="N68" s="12">
        <v>13548.328447033518</v>
      </c>
      <c r="O68" s="70">
        <f>IF(Table1[[#This Row],[Overall amount]]=0,0,1)</f>
        <v>1</v>
      </c>
      <c r="P68" s="70">
        <f>Table1[[#This Row],[Overall amount]]*Exchange_Rate</f>
        <v>13548.328447033518</v>
      </c>
      <c r="Q68" s="70">
        <f>Table1[[#This Row],[Overall (destination currency)]]*(1+Claims_Inflation)^((Revalue_at_date-Table1[[#This Row],[Loss date]])/365.25)</f>
        <v>15781.079999999998</v>
      </c>
      <c r="R68" s="70">
        <f>INT(Table1[[#This Row],[Reporting date]])-INT(Table1[[#This Row],[Loss date]])</f>
        <v>26</v>
      </c>
      <c r="S68" s="69" t="s">
        <v>9</v>
      </c>
      <c r="T68" s="70">
        <f>VLOOKUP(Table1[[#This Row],[Policy Year]],exposure_table,3,FALSE)</f>
        <v>1057.54</v>
      </c>
      <c r="U68" s="17">
        <f>IF(MONTH(Table1[[#This Row],[Reporting date]])&lt;Policy_Inception_Month,YEAR(Table1[[#This Row],[Reporting date]])-1,YEAR(Table1[[#This Row],[Reporting date]]))</f>
        <v>2012</v>
      </c>
      <c r="V68" s="17">
        <f>Table1[[#This Row],[Reporting year]]-Table1[[#This Row],[Policy Year]]</f>
        <v>0</v>
      </c>
      <c r="W68" s="17">
        <f>INT(Table1[[#This Row],[Reporting date]])-INT(Table1[[#This Row],[Loss date]])</f>
        <v>26</v>
      </c>
      <c r="X68" s="17">
        <f>INT((YEAR(Table1[[#This Row],[Loss date]])*12+MONTH(Table1[[#This Row],[Loss date]])-Earliest_Month)/4)</f>
        <v>22</v>
      </c>
      <c r="Y68" s="17">
        <f>INT((YEAR(Table1[[#This Row],[Reporting date]])*12+MONTH(Table1[[#This Row],[Reporting date]])-Earliest_Month)/4)</f>
        <v>22</v>
      </c>
      <c r="Z68" s="17">
        <f>Table1[[#This Row],[Reporting third]]-Table1[[#This Row],[Policy third]]</f>
        <v>0</v>
      </c>
      <c r="AA68" s="71">
        <f>IF(Table1[[#This Row],[Overall amount]]=0,"N/A",Table1[[#This Row],[Outstanding]]/Table1[[#This Row],[Overall amount]])</f>
        <v>0</v>
      </c>
      <c r="AB68" s="17">
        <f>IF(MONTH(Table1[[#This Row],[Loss date]])&lt;Pol_Inc_Month_Shifted,YEAR(Table1[[#This Row],[Loss date]])-1,YEAR(Table1[[#This Row],[Loss date]]))</f>
        <v>2011</v>
      </c>
      <c r="AC68" s="17">
        <f>IF(MONTH(Table1[[#This Row],[Reporting date]])&lt;Pol_Inc_Month_Shifted,YEAR(Table1[[#This Row],[Reporting date]])-1,YEAR(Table1[[#This Row],[Reporting date]]))</f>
        <v>2011</v>
      </c>
      <c r="AD68" s="17">
        <f>Table1[[#This Row],[Reporting year (shifted)]]-Table1[[#This Row],[Policy Year (shifted)]]</f>
        <v>0</v>
      </c>
    </row>
    <row r="69" spans="1:30" ht="13.9">
      <c r="A69" s="8" t="s">
        <v>1839</v>
      </c>
      <c r="B69" s="8" t="s">
        <v>66</v>
      </c>
      <c r="C69" s="8" t="s">
        <v>123</v>
      </c>
      <c r="D69" s="9">
        <v>40918</v>
      </c>
      <c r="E69" s="9">
        <v>41167</v>
      </c>
      <c r="F69" s="17">
        <f>IF(MONTH(Table1[[#This Row],[Loss date]])&lt;Policy_Inception_Month,YEAR(Table1[[#This Row],[Loss date]])-1,YEAR(Table1[[#This Row],[Loss date]]))</f>
        <v>2011</v>
      </c>
      <c r="G69" s="10" t="s">
        <v>125</v>
      </c>
      <c r="H69" s="10" t="s">
        <v>2</v>
      </c>
      <c r="I69" s="11">
        <v>0</v>
      </c>
      <c r="J69" s="11">
        <v>15009.7906825065</v>
      </c>
      <c r="K69" s="11">
        <v>15009.7906825065</v>
      </c>
      <c r="L69" s="12">
        <v>0</v>
      </c>
      <c r="M69" s="12">
        <v>0</v>
      </c>
      <c r="N69" s="12">
        <v>15009.7906825065</v>
      </c>
      <c r="O69" s="70">
        <f>IF(Table1[[#This Row],[Overall amount]]=0,0,1)</f>
        <v>1</v>
      </c>
      <c r="P69" s="70">
        <f>Table1[[#This Row],[Overall amount]]*Exchange_Rate</f>
        <v>15009.7906825065</v>
      </c>
      <c r="Q69" s="70">
        <f>Table1[[#This Row],[Overall (destination currency)]]*(1+Claims_Inflation)^((Revalue_at_date-Table1[[#This Row],[Loss date]])/365.25)</f>
        <v>18000</v>
      </c>
      <c r="R69" s="70">
        <f>INT(Table1[[#This Row],[Reporting date]])-INT(Table1[[#This Row],[Loss date]])</f>
        <v>249</v>
      </c>
      <c r="S69" s="69" t="s">
        <v>16</v>
      </c>
      <c r="T69" s="70">
        <f>VLOOKUP(Table1[[#This Row],[Policy Year]],exposure_table,3,FALSE)</f>
        <v>870.52680000000009</v>
      </c>
      <c r="U69" s="17">
        <f>IF(MONTH(Table1[[#This Row],[Reporting date]])&lt;Policy_Inception_Month,YEAR(Table1[[#This Row],[Reporting date]])-1,YEAR(Table1[[#This Row],[Reporting date]]))</f>
        <v>2012</v>
      </c>
      <c r="V69" s="17">
        <f>Table1[[#This Row],[Reporting year]]-Table1[[#This Row],[Policy Year]]</f>
        <v>1</v>
      </c>
      <c r="W69" s="17">
        <f>INT(Table1[[#This Row],[Reporting date]])-INT(Table1[[#This Row],[Loss date]])</f>
        <v>249</v>
      </c>
      <c r="X69" s="17">
        <f>INT((YEAR(Table1[[#This Row],[Loss date]])*12+MONTH(Table1[[#This Row],[Loss date]])-Earliest_Month)/4)</f>
        <v>20</v>
      </c>
      <c r="Y69" s="17">
        <f>INT((YEAR(Table1[[#This Row],[Reporting date]])*12+MONTH(Table1[[#This Row],[Reporting date]])-Earliest_Month)/4)</f>
        <v>22</v>
      </c>
      <c r="Z69" s="17">
        <f>Table1[[#This Row],[Reporting third]]-Table1[[#This Row],[Policy third]]</f>
        <v>2</v>
      </c>
      <c r="AA69" s="71">
        <f>IF(Table1[[#This Row],[Overall amount]]=0,"N/A",Table1[[#This Row],[Outstanding]]/Table1[[#This Row],[Overall amount]])</f>
        <v>1</v>
      </c>
      <c r="AB69" s="17">
        <f>IF(MONTH(Table1[[#This Row],[Loss date]])&lt;Pol_Inc_Month_Shifted,YEAR(Table1[[#This Row],[Loss date]])-1,YEAR(Table1[[#This Row],[Loss date]]))</f>
        <v>2011</v>
      </c>
      <c r="AC69" s="17">
        <f>IF(MONTH(Table1[[#This Row],[Reporting date]])&lt;Pol_Inc_Month_Shifted,YEAR(Table1[[#This Row],[Reporting date]])-1,YEAR(Table1[[#This Row],[Reporting date]]))</f>
        <v>2011</v>
      </c>
      <c r="AD69" s="17">
        <f>Table1[[#This Row],[Reporting year (shifted)]]-Table1[[#This Row],[Policy Year (shifted)]]</f>
        <v>0</v>
      </c>
    </row>
    <row r="70" spans="1:30" ht="13.9">
      <c r="A70" s="8" t="s">
        <v>1840</v>
      </c>
      <c r="B70" s="8" t="s">
        <v>67</v>
      </c>
      <c r="C70" s="8" t="s">
        <v>123</v>
      </c>
      <c r="D70" s="9">
        <v>40777</v>
      </c>
      <c r="E70" s="9">
        <v>41169</v>
      </c>
      <c r="F70" s="17">
        <f>IF(MONTH(Table1[[#This Row],[Loss date]])&lt;Policy_Inception_Month,YEAR(Table1[[#This Row],[Loss date]])-1,YEAR(Table1[[#This Row],[Loss date]]))</f>
        <v>2011</v>
      </c>
      <c r="G70" s="10" t="s">
        <v>125</v>
      </c>
      <c r="H70" s="10" t="s">
        <v>2</v>
      </c>
      <c r="I70" s="11">
        <v>0</v>
      </c>
      <c r="J70" s="11">
        <v>0</v>
      </c>
      <c r="K70" s="11">
        <v>0</v>
      </c>
      <c r="L70" s="12">
        <v>0</v>
      </c>
      <c r="M70" s="12">
        <v>0</v>
      </c>
      <c r="N70" s="12">
        <v>0</v>
      </c>
      <c r="O70" s="70">
        <f>IF(Table1[[#This Row],[Overall amount]]=0,0,1)</f>
        <v>0</v>
      </c>
      <c r="P70" s="70">
        <f>Table1[[#This Row],[Overall amount]]*Exchange_Rate</f>
        <v>0</v>
      </c>
      <c r="Q70" s="70">
        <f>Table1[[#This Row],[Overall (destination currency)]]*(1+Claims_Inflation)^((Revalue_at_date-Table1[[#This Row],[Loss date]])/365.25)</f>
        <v>0</v>
      </c>
      <c r="R70" s="70">
        <f>INT(Table1[[#This Row],[Reporting date]])-INT(Table1[[#This Row],[Loss date]])</f>
        <v>392</v>
      </c>
      <c r="S70" s="69" t="s">
        <v>9</v>
      </c>
      <c r="T70" s="70">
        <f>VLOOKUP(Table1[[#This Row],[Policy Year]],exposure_table,3,FALSE)</f>
        <v>870.52680000000009</v>
      </c>
      <c r="U70" s="17">
        <f>IF(MONTH(Table1[[#This Row],[Reporting date]])&lt;Policy_Inception_Month,YEAR(Table1[[#This Row],[Reporting date]])-1,YEAR(Table1[[#This Row],[Reporting date]]))</f>
        <v>2012</v>
      </c>
      <c r="V70" s="17">
        <f>Table1[[#This Row],[Reporting year]]-Table1[[#This Row],[Policy Year]]</f>
        <v>1</v>
      </c>
      <c r="W70" s="17">
        <f>INT(Table1[[#This Row],[Reporting date]])-INT(Table1[[#This Row],[Loss date]])</f>
        <v>392</v>
      </c>
      <c r="X70" s="17">
        <f>INT((YEAR(Table1[[#This Row],[Loss date]])*12+MONTH(Table1[[#This Row],[Loss date]])-Earliest_Month)/4)</f>
        <v>19</v>
      </c>
      <c r="Y70" s="17">
        <f>INT((YEAR(Table1[[#This Row],[Reporting date]])*12+MONTH(Table1[[#This Row],[Reporting date]])-Earliest_Month)/4)</f>
        <v>22</v>
      </c>
      <c r="Z70" s="17">
        <f>Table1[[#This Row],[Reporting third]]-Table1[[#This Row],[Policy third]]</f>
        <v>3</v>
      </c>
      <c r="AA70" s="71" t="str">
        <f>IF(Table1[[#This Row],[Overall amount]]=0,"N/A",Table1[[#This Row],[Outstanding]]/Table1[[#This Row],[Overall amount]])</f>
        <v>N/A</v>
      </c>
      <c r="AB70" s="17">
        <f>IF(MONTH(Table1[[#This Row],[Loss date]])&lt;Pol_Inc_Month_Shifted,YEAR(Table1[[#This Row],[Loss date]])-1,YEAR(Table1[[#This Row],[Loss date]]))</f>
        <v>2010</v>
      </c>
      <c r="AC70" s="17">
        <f>IF(MONTH(Table1[[#This Row],[Reporting date]])&lt;Pol_Inc_Month_Shifted,YEAR(Table1[[#This Row],[Reporting date]])-1,YEAR(Table1[[#This Row],[Reporting date]]))</f>
        <v>2011</v>
      </c>
      <c r="AD70" s="17">
        <f>Table1[[#This Row],[Reporting year (shifted)]]-Table1[[#This Row],[Policy Year (shifted)]]</f>
        <v>1</v>
      </c>
    </row>
    <row r="71" spans="1:30" ht="13.9">
      <c r="A71" s="8" t="s">
        <v>1841</v>
      </c>
      <c r="B71" s="8" t="s">
        <v>68</v>
      </c>
      <c r="C71" s="8" t="s">
        <v>123</v>
      </c>
      <c r="D71" s="9">
        <v>40510</v>
      </c>
      <c r="E71" s="9">
        <v>41170</v>
      </c>
      <c r="F71" s="17">
        <f>IF(MONTH(Table1[[#This Row],[Loss date]])&lt;Policy_Inception_Month,YEAR(Table1[[#This Row],[Loss date]])-1,YEAR(Table1[[#This Row],[Loss date]]))</f>
        <v>2010</v>
      </c>
      <c r="G71" s="10" t="s">
        <v>125</v>
      </c>
      <c r="H71" s="10" t="s">
        <v>2</v>
      </c>
      <c r="I71" s="11">
        <v>0</v>
      </c>
      <c r="J71" s="11">
        <v>0</v>
      </c>
      <c r="K71" s="11">
        <v>0</v>
      </c>
      <c r="L71" s="12">
        <v>0</v>
      </c>
      <c r="M71" s="12">
        <v>0</v>
      </c>
      <c r="N71" s="12">
        <v>0</v>
      </c>
      <c r="O71" s="70">
        <f>IF(Table1[[#This Row],[Overall amount]]=0,0,1)</f>
        <v>0</v>
      </c>
      <c r="P71" s="70">
        <f>Table1[[#This Row],[Overall amount]]*Exchange_Rate</f>
        <v>0</v>
      </c>
      <c r="Q71" s="70">
        <f>Table1[[#This Row],[Overall (destination currency)]]*(1+Claims_Inflation)^((Revalue_at_date-Table1[[#This Row],[Loss date]])/365.25)</f>
        <v>0</v>
      </c>
      <c r="R71" s="70">
        <f>INT(Table1[[#This Row],[Reporting date]])-INT(Table1[[#This Row],[Loss date]])</f>
        <v>660</v>
      </c>
      <c r="S71" s="69" t="s">
        <v>9</v>
      </c>
      <c r="T71" s="70">
        <f>VLOOKUP(Table1[[#This Row],[Policy Year]],exposure_table,3,FALSE)</f>
        <v>837.11513600000012</v>
      </c>
      <c r="U71" s="17">
        <f>IF(MONTH(Table1[[#This Row],[Reporting date]])&lt;Policy_Inception_Month,YEAR(Table1[[#This Row],[Reporting date]])-1,YEAR(Table1[[#This Row],[Reporting date]]))</f>
        <v>2012</v>
      </c>
      <c r="V71" s="17">
        <f>Table1[[#This Row],[Reporting year]]-Table1[[#This Row],[Policy Year]]</f>
        <v>2</v>
      </c>
      <c r="W71" s="17">
        <f>INT(Table1[[#This Row],[Reporting date]])-INT(Table1[[#This Row],[Loss date]])</f>
        <v>660</v>
      </c>
      <c r="X71" s="17">
        <f>INT((YEAR(Table1[[#This Row],[Loss date]])*12+MONTH(Table1[[#This Row],[Loss date]])-Earliest_Month)/4)</f>
        <v>16</v>
      </c>
      <c r="Y71" s="17">
        <f>INT((YEAR(Table1[[#This Row],[Reporting date]])*12+MONTH(Table1[[#This Row],[Reporting date]])-Earliest_Month)/4)</f>
        <v>22</v>
      </c>
      <c r="Z71" s="17">
        <f>Table1[[#This Row],[Reporting third]]-Table1[[#This Row],[Policy third]]</f>
        <v>6</v>
      </c>
      <c r="AA71" s="71" t="str">
        <f>IF(Table1[[#This Row],[Overall amount]]=0,"N/A",Table1[[#This Row],[Outstanding]]/Table1[[#This Row],[Overall amount]])</f>
        <v>N/A</v>
      </c>
      <c r="AB71" s="17">
        <f>IF(MONTH(Table1[[#This Row],[Loss date]])&lt;Pol_Inc_Month_Shifted,YEAR(Table1[[#This Row],[Loss date]])-1,YEAR(Table1[[#This Row],[Loss date]]))</f>
        <v>2009</v>
      </c>
      <c r="AC71" s="17">
        <f>IF(MONTH(Table1[[#This Row],[Reporting date]])&lt;Pol_Inc_Month_Shifted,YEAR(Table1[[#This Row],[Reporting date]])-1,YEAR(Table1[[#This Row],[Reporting date]]))</f>
        <v>2011</v>
      </c>
      <c r="AD71" s="17">
        <f>Table1[[#This Row],[Reporting year (shifted)]]-Table1[[#This Row],[Policy Year (shifted)]]</f>
        <v>2</v>
      </c>
    </row>
    <row r="72" spans="1:30" ht="13.9">
      <c r="A72" s="8" t="s">
        <v>1842</v>
      </c>
      <c r="B72" s="8" t="s">
        <v>69</v>
      </c>
      <c r="C72" s="8" t="s">
        <v>123</v>
      </c>
      <c r="D72" s="9">
        <v>41022</v>
      </c>
      <c r="E72" s="9">
        <v>41169</v>
      </c>
      <c r="F72" s="17">
        <f>IF(MONTH(Table1[[#This Row],[Loss date]])&lt;Policy_Inception_Month,YEAR(Table1[[#This Row],[Loss date]])-1,YEAR(Table1[[#This Row],[Loss date]]))</f>
        <v>2012</v>
      </c>
      <c r="G72" s="10" t="s">
        <v>125</v>
      </c>
      <c r="H72" s="10" t="s">
        <v>2</v>
      </c>
      <c r="I72" s="11">
        <v>7486.6033613085883</v>
      </c>
      <c r="J72" s="11">
        <v>0</v>
      </c>
      <c r="K72" s="11">
        <v>7486.6033613085883</v>
      </c>
      <c r="L72" s="12">
        <v>304.39533894322381</v>
      </c>
      <c r="M72" s="12">
        <v>0</v>
      </c>
      <c r="N72" s="12">
        <v>7790.9987002518119</v>
      </c>
      <c r="O72" s="70">
        <f>IF(Table1[[#This Row],[Overall amount]]=0,0,1)</f>
        <v>1</v>
      </c>
      <c r="P72" s="70">
        <f>Table1[[#This Row],[Overall amount]]*Exchange_Rate</f>
        <v>7790.9987002518119</v>
      </c>
      <c r="Q72" s="70">
        <f>Table1[[#This Row],[Overall (destination currency)]]*(1+Claims_Inflation)^((Revalue_at_date-Table1[[#This Row],[Loss date]])/365.25)</f>
        <v>9214.1999999999989</v>
      </c>
      <c r="R72" s="70">
        <f>INT(Table1[[#This Row],[Reporting date]])-INT(Table1[[#This Row],[Loss date]])</f>
        <v>147</v>
      </c>
      <c r="S72" s="69" t="s">
        <v>9</v>
      </c>
      <c r="T72" s="70">
        <f>VLOOKUP(Table1[[#This Row],[Policy Year]],exposure_table,3,FALSE)</f>
        <v>1057.54</v>
      </c>
      <c r="U72" s="17">
        <f>IF(MONTH(Table1[[#This Row],[Reporting date]])&lt;Policy_Inception_Month,YEAR(Table1[[#This Row],[Reporting date]])-1,YEAR(Table1[[#This Row],[Reporting date]]))</f>
        <v>2012</v>
      </c>
      <c r="V72" s="17">
        <f>Table1[[#This Row],[Reporting year]]-Table1[[#This Row],[Policy Year]]</f>
        <v>0</v>
      </c>
      <c r="W72" s="17">
        <f>INT(Table1[[#This Row],[Reporting date]])-INT(Table1[[#This Row],[Loss date]])</f>
        <v>147</v>
      </c>
      <c r="X72" s="17">
        <f>INT((YEAR(Table1[[#This Row],[Loss date]])*12+MONTH(Table1[[#This Row],[Loss date]])-Earliest_Month)/4)</f>
        <v>21</v>
      </c>
      <c r="Y72" s="17">
        <f>INT((YEAR(Table1[[#This Row],[Reporting date]])*12+MONTH(Table1[[#This Row],[Reporting date]])-Earliest_Month)/4)</f>
        <v>22</v>
      </c>
      <c r="Z72" s="17">
        <f>Table1[[#This Row],[Reporting third]]-Table1[[#This Row],[Policy third]]</f>
        <v>1</v>
      </c>
      <c r="AA72" s="71">
        <f>IF(Table1[[#This Row],[Overall amount]]=0,"N/A",Table1[[#This Row],[Outstanding]]/Table1[[#This Row],[Overall amount]])</f>
        <v>0</v>
      </c>
      <c r="AB72" s="17">
        <f>IF(MONTH(Table1[[#This Row],[Loss date]])&lt;Pol_Inc_Month_Shifted,YEAR(Table1[[#This Row],[Loss date]])-1,YEAR(Table1[[#This Row],[Loss date]]))</f>
        <v>2011</v>
      </c>
      <c r="AC72" s="17">
        <f>IF(MONTH(Table1[[#This Row],[Reporting date]])&lt;Pol_Inc_Month_Shifted,YEAR(Table1[[#This Row],[Reporting date]])-1,YEAR(Table1[[#This Row],[Reporting date]]))</f>
        <v>2011</v>
      </c>
      <c r="AD72" s="17">
        <f>Table1[[#This Row],[Reporting year (shifted)]]-Table1[[#This Row],[Policy Year (shifted)]]</f>
        <v>0</v>
      </c>
    </row>
    <row r="73" spans="1:30" ht="13.9">
      <c r="A73" s="8" t="s">
        <v>1843</v>
      </c>
      <c r="B73" s="8" t="s">
        <v>70</v>
      </c>
      <c r="C73" s="8" t="s">
        <v>123</v>
      </c>
      <c r="D73" s="9">
        <v>41091</v>
      </c>
      <c r="E73" s="9">
        <v>41173</v>
      </c>
      <c r="F73" s="17">
        <f>IF(MONTH(Table1[[#This Row],[Loss date]])&lt;Policy_Inception_Month,YEAR(Table1[[#This Row],[Loss date]])-1,YEAR(Table1[[#This Row],[Loss date]]))</f>
        <v>2012</v>
      </c>
      <c r="G73" s="10" t="s">
        <v>131</v>
      </c>
      <c r="H73" s="10" t="s">
        <v>2</v>
      </c>
      <c r="I73" s="11">
        <v>0</v>
      </c>
      <c r="J73" s="11">
        <v>0</v>
      </c>
      <c r="K73" s="11">
        <v>0</v>
      </c>
      <c r="L73" s="12">
        <v>0</v>
      </c>
      <c r="M73" s="12">
        <v>0</v>
      </c>
      <c r="N73" s="12">
        <v>0</v>
      </c>
      <c r="O73" s="70">
        <f>IF(Table1[[#This Row],[Overall amount]]=0,0,1)</f>
        <v>0</v>
      </c>
      <c r="P73" s="70">
        <f>Table1[[#This Row],[Overall amount]]*Exchange_Rate</f>
        <v>0</v>
      </c>
      <c r="Q73" s="70">
        <f>Table1[[#This Row],[Overall (destination currency)]]*(1+Claims_Inflation)^((Revalue_at_date-Table1[[#This Row],[Loss date]])/365.25)</f>
        <v>0</v>
      </c>
      <c r="R73" s="70">
        <f>INT(Table1[[#This Row],[Reporting date]])-INT(Table1[[#This Row],[Loss date]])</f>
        <v>82</v>
      </c>
      <c r="S73" s="69" t="s">
        <v>9</v>
      </c>
      <c r="T73" s="70">
        <f>VLOOKUP(Table1[[#This Row],[Policy Year]],exposure_table,3,FALSE)</f>
        <v>1057.54</v>
      </c>
      <c r="U73" s="17">
        <f>IF(MONTH(Table1[[#This Row],[Reporting date]])&lt;Policy_Inception_Month,YEAR(Table1[[#This Row],[Reporting date]])-1,YEAR(Table1[[#This Row],[Reporting date]]))</f>
        <v>2012</v>
      </c>
      <c r="V73" s="17">
        <f>Table1[[#This Row],[Reporting year]]-Table1[[#This Row],[Policy Year]]</f>
        <v>0</v>
      </c>
      <c r="W73" s="17">
        <f>INT(Table1[[#This Row],[Reporting date]])-INT(Table1[[#This Row],[Loss date]])</f>
        <v>82</v>
      </c>
      <c r="X73" s="17">
        <f>INT((YEAR(Table1[[#This Row],[Loss date]])*12+MONTH(Table1[[#This Row],[Loss date]])-Earliest_Month)/4)</f>
        <v>21</v>
      </c>
      <c r="Y73" s="17">
        <f>INT((YEAR(Table1[[#This Row],[Reporting date]])*12+MONTH(Table1[[#This Row],[Reporting date]])-Earliest_Month)/4)</f>
        <v>22</v>
      </c>
      <c r="Z73" s="17">
        <f>Table1[[#This Row],[Reporting third]]-Table1[[#This Row],[Policy third]]</f>
        <v>1</v>
      </c>
      <c r="AA73" s="71" t="str">
        <f>IF(Table1[[#This Row],[Overall amount]]=0,"N/A",Table1[[#This Row],[Outstanding]]/Table1[[#This Row],[Overall amount]])</f>
        <v>N/A</v>
      </c>
      <c r="AB73" s="17">
        <f>IF(MONTH(Table1[[#This Row],[Loss date]])&lt;Pol_Inc_Month_Shifted,YEAR(Table1[[#This Row],[Loss date]])-1,YEAR(Table1[[#This Row],[Loss date]]))</f>
        <v>2011</v>
      </c>
      <c r="AC73" s="17">
        <f>IF(MONTH(Table1[[#This Row],[Reporting date]])&lt;Pol_Inc_Month_Shifted,YEAR(Table1[[#This Row],[Reporting date]])-1,YEAR(Table1[[#This Row],[Reporting date]]))</f>
        <v>2011</v>
      </c>
      <c r="AD73" s="17">
        <f>Table1[[#This Row],[Reporting year (shifted)]]-Table1[[#This Row],[Policy Year (shifted)]]</f>
        <v>0</v>
      </c>
    </row>
    <row r="74" spans="1:30" ht="13.9">
      <c r="A74" s="8" t="s">
        <v>1844</v>
      </c>
      <c r="B74" s="8" t="s">
        <v>71</v>
      </c>
      <c r="C74" s="8" t="s">
        <v>123</v>
      </c>
      <c r="D74" s="9">
        <v>40836</v>
      </c>
      <c r="E74" s="9">
        <v>41173</v>
      </c>
      <c r="F74" s="17">
        <f>IF(MONTH(Table1[[#This Row],[Loss date]])&lt;Policy_Inception_Month,YEAR(Table1[[#This Row],[Loss date]])-1,YEAR(Table1[[#This Row],[Loss date]]))</f>
        <v>2011</v>
      </c>
      <c r="G74" s="10" t="s">
        <v>125</v>
      </c>
      <c r="H74" s="10" t="s">
        <v>2</v>
      </c>
      <c r="I74" s="11">
        <v>0</v>
      </c>
      <c r="J74" s="11">
        <v>7423.1384856795958</v>
      </c>
      <c r="K74" s="11">
        <v>7423.1384856795958</v>
      </c>
      <c r="L74" s="12">
        <v>0</v>
      </c>
      <c r="M74" s="12">
        <v>0</v>
      </c>
      <c r="N74" s="12">
        <v>7423.1384856795958</v>
      </c>
      <c r="O74" s="70">
        <f>IF(Table1[[#This Row],[Overall amount]]=0,0,1)</f>
        <v>1</v>
      </c>
      <c r="P74" s="70">
        <f>Table1[[#This Row],[Overall amount]]*Exchange_Rate</f>
        <v>7423.1384856795958</v>
      </c>
      <c r="Q74" s="70">
        <f>Table1[[#This Row],[Overall (destination currency)]]*(1+Claims_Inflation)^((Revalue_at_date-Table1[[#This Row],[Loss date]])/365.25)</f>
        <v>9000</v>
      </c>
      <c r="R74" s="70">
        <f>INT(Table1[[#This Row],[Reporting date]])-INT(Table1[[#This Row],[Loss date]])</f>
        <v>337</v>
      </c>
      <c r="S74" s="69" t="s">
        <v>16</v>
      </c>
      <c r="T74" s="70">
        <f>VLOOKUP(Table1[[#This Row],[Policy Year]],exposure_table,3,FALSE)</f>
        <v>870.52680000000009</v>
      </c>
      <c r="U74" s="17">
        <f>IF(MONTH(Table1[[#This Row],[Reporting date]])&lt;Policy_Inception_Month,YEAR(Table1[[#This Row],[Reporting date]])-1,YEAR(Table1[[#This Row],[Reporting date]]))</f>
        <v>2012</v>
      </c>
      <c r="V74" s="17">
        <f>Table1[[#This Row],[Reporting year]]-Table1[[#This Row],[Policy Year]]</f>
        <v>1</v>
      </c>
      <c r="W74" s="17">
        <f>INT(Table1[[#This Row],[Reporting date]])-INT(Table1[[#This Row],[Loss date]])</f>
        <v>337</v>
      </c>
      <c r="X74" s="17">
        <f>INT((YEAR(Table1[[#This Row],[Loss date]])*12+MONTH(Table1[[#This Row],[Loss date]])-Earliest_Month)/4)</f>
        <v>19</v>
      </c>
      <c r="Y74" s="17">
        <f>INT((YEAR(Table1[[#This Row],[Reporting date]])*12+MONTH(Table1[[#This Row],[Reporting date]])-Earliest_Month)/4)</f>
        <v>22</v>
      </c>
      <c r="Z74" s="17">
        <f>Table1[[#This Row],[Reporting third]]-Table1[[#This Row],[Policy third]]</f>
        <v>3</v>
      </c>
      <c r="AA74" s="71">
        <f>IF(Table1[[#This Row],[Overall amount]]=0,"N/A",Table1[[#This Row],[Outstanding]]/Table1[[#This Row],[Overall amount]])</f>
        <v>1</v>
      </c>
      <c r="AB74" s="17">
        <f>IF(MONTH(Table1[[#This Row],[Loss date]])&lt;Pol_Inc_Month_Shifted,YEAR(Table1[[#This Row],[Loss date]])-1,YEAR(Table1[[#This Row],[Loss date]]))</f>
        <v>2010</v>
      </c>
      <c r="AC74" s="17">
        <f>IF(MONTH(Table1[[#This Row],[Reporting date]])&lt;Pol_Inc_Month_Shifted,YEAR(Table1[[#This Row],[Reporting date]])-1,YEAR(Table1[[#This Row],[Reporting date]]))</f>
        <v>2011</v>
      </c>
      <c r="AD74" s="17">
        <f>Table1[[#This Row],[Reporting year (shifted)]]-Table1[[#This Row],[Policy Year (shifted)]]</f>
        <v>1</v>
      </c>
    </row>
    <row r="75" spans="1:30" ht="13.9">
      <c r="A75" s="8" t="s">
        <v>1845</v>
      </c>
      <c r="B75" s="8" t="s">
        <v>72</v>
      </c>
      <c r="C75" s="8" t="s">
        <v>123</v>
      </c>
      <c r="D75" s="9">
        <v>41162</v>
      </c>
      <c r="E75" s="9">
        <v>41180</v>
      </c>
      <c r="F75" s="17">
        <f>IF(MONTH(Table1[[#This Row],[Loss date]])&lt;Policy_Inception_Month,YEAR(Table1[[#This Row],[Loss date]])-1,YEAR(Table1[[#This Row],[Loss date]]))</f>
        <v>2012</v>
      </c>
      <c r="G75" s="10" t="s">
        <v>124</v>
      </c>
      <c r="H75" s="10" t="s">
        <v>2</v>
      </c>
      <c r="I75" s="11">
        <v>3270.8552965745398</v>
      </c>
      <c r="J75" s="11">
        <v>22553.590895919533</v>
      </c>
      <c r="K75" s="11">
        <v>25824.44619249407</v>
      </c>
      <c r="L75" s="12">
        <v>310.14146748391602</v>
      </c>
      <c r="M75" s="12">
        <v>0</v>
      </c>
      <c r="N75" s="12">
        <v>26134.587659977984</v>
      </c>
      <c r="O75" s="70">
        <f>IF(Table1[[#This Row],[Overall amount]]=0,0,1)</f>
        <v>1</v>
      </c>
      <c r="P75" s="70">
        <f>Table1[[#This Row],[Overall amount]]*Exchange_Rate</f>
        <v>26134.587659977984</v>
      </c>
      <c r="Q75" s="70">
        <f>Table1[[#This Row],[Overall (destination currency)]]*(1+Claims_Inflation)^((Revalue_at_date-Table1[[#This Row],[Loss date]])/365.25)</f>
        <v>30335.999999999985</v>
      </c>
      <c r="R75" s="70">
        <f>INT(Table1[[#This Row],[Reporting date]])-INT(Table1[[#This Row],[Loss date]])</f>
        <v>18</v>
      </c>
      <c r="S75" s="69" t="s">
        <v>16</v>
      </c>
      <c r="T75" s="70">
        <f>VLOOKUP(Table1[[#This Row],[Policy Year]],exposure_table,3,FALSE)</f>
        <v>1057.54</v>
      </c>
      <c r="U75" s="17">
        <f>IF(MONTH(Table1[[#This Row],[Reporting date]])&lt;Policy_Inception_Month,YEAR(Table1[[#This Row],[Reporting date]])-1,YEAR(Table1[[#This Row],[Reporting date]]))</f>
        <v>2012</v>
      </c>
      <c r="V75" s="17">
        <f>Table1[[#This Row],[Reporting year]]-Table1[[#This Row],[Policy Year]]</f>
        <v>0</v>
      </c>
      <c r="W75" s="17">
        <f>INT(Table1[[#This Row],[Reporting date]])-INT(Table1[[#This Row],[Loss date]])</f>
        <v>18</v>
      </c>
      <c r="X75" s="17">
        <f>INT((YEAR(Table1[[#This Row],[Loss date]])*12+MONTH(Table1[[#This Row],[Loss date]])-Earliest_Month)/4)</f>
        <v>22</v>
      </c>
      <c r="Y75" s="17">
        <f>INT((YEAR(Table1[[#This Row],[Reporting date]])*12+MONTH(Table1[[#This Row],[Reporting date]])-Earliest_Month)/4)</f>
        <v>22</v>
      </c>
      <c r="Z75" s="17">
        <f>Table1[[#This Row],[Reporting third]]-Table1[[#This Row],[Policy third]]</f>
        <v>0</v>
      </c>
      <c r="AA75" s="71">
        <f>IF(Table1[[#This Row],[Overall amount]]=0,"N/A",Table1[[#This Row],[Outstanding]]/Table1[[#This Row],[Overall amount]])</f>
        <v>0.86297863924050644</v>
      </c>
      <c r="AB75" s="17">
        <f>IF(MONTH(Table1[[#This Row],[Loss date]])&lt;Pol_Inc_Month_Shifted,YEAR(Table1[[#This Row],[Loss date]])-1,YEAR(Table1[[#This Row],[Loss date]]))</f>
        <v>2011</v>
      </c>
      <c r="AC75" s="17">
        <f>IF(MONTH(Table1[[#This Row],[Reporting date]])&lt;Pol_Inc_Month_Shifted,YEAR(Table1[[#This Row],[Reporting date]])-1,YEAR(Table1[[#This Row],[Reporting date]]))</f>
        <v>2011</v>
      </c>
      <c r="AD75" s="17">
        <f>Table1[[#This Row],[Reporting year (shifted)]]-Table1[[#This Row],[Policy Year (shifted)]]</f>
        <v>0</v>
      </c>
    </row>
    <row r="76" spans="1:30" ht="13.9">
      <c r="A76" s="8" t="s">
        <v>1846</v>
      </c>
      <c r="B76" s="8" t="s">
        <v>73</v>
      </c>
      <c r="C76" s="8" t="s">
        <v>123</v>
      </c>
      <c r="D76" s="9">
        <v>41148</v>
      </c>
      <c r="E76" s="9">
        <v>41182</v>
      </c>
      <c r="F76" s="17">
        <f>IF(MONTH(Table1[[#This Row],[Loss date]])&lt;Policy_Inception_Month,YEAR(Table1[[#This Row],[Loss date]])-1,YEAR(Table1[[#This Row],[Loss date]]))</f>
        <v>2012</v>
      </c>
      <c r="G76" s="10" t="s">
        <v>131</v>
      </c>
      <c r="H76" s="10" t="s">
        <v>2</v>
      </c>
      <c r="I76" s="11">
        <v>7223.1134943460029</v>
      </c>
      <c r="J76" s="11">
        <v>0</v>
      </c>
      <c r="K76" s="11">
        <v>7223.1134943460029</v>
      </c>
      <c r="L76" s="12">
        <v>309.562006900543</v>
      </c>
      <c r="M76" s="12">
        <v>0</v>
      </c>
      <c r="N76" s="12">
        <v>7532.6755012465455</v>
      </c>
      <c r="O76" s="70">
        <f>IF(Table1[[#This Row],[Overall amount]]=0,0,1)</f>
        <v>1</v>
      </c>
      <c r="P76" s="70">
        <f>Table1[[#This Row],[Overall amount]]*Exchange_Rate</f>
        <v>7532.6755012465455</v>
      </c>
      <c r="Q76" s="70">
        <f>Table1[[#This Row],[Overall (destination currency)]]*(1+Claims_Inflation)^((Revalue_at_date-Table1[[#This Row],[Loss date]])/365.25)</f>
        <v>8759.9999999999982</v>
      </c>
      <c r="R76" s="70">
        <f>INT(Table1[[#This Row],[Reporting date]])-INT(Table1[[#This Row],[Loss date]])</f>
        <v>34</v>
      </c>
      <c r="S76" s="69" t="s">
        <v>9</v>
      </c>
      <c r="T76" s="70">
        <f>VLOOKUP(Table1[[#This Row],[Policy Year]],exposure_table,3,FALSE)</f>
        <v>1057.54</v>
      </c>
      <c r="U76" s="17">
        <f>IF(MONTH(Table1[[#This Row],[Reporting date]])&lt;Policy_Inception_Month,YEAR(Table1[[#This Row],[Reporting date]])-1,YEAR(Table1[[#This Row],[Reporting date]]))</f>
        <v>2012</v>
      </c>
      <c r="V76" s="17">
        <f>Table1[[#This Row],[Reporting year]]-Table1[[#This Row],[Policy Year]]</f>
        <v>0</v>
      </c>
      <c r="W76" s="17">
        <f>INT(Table1[[#This Row],[Reporting date]])-INT(Table1[[#This Row],[Loss date]])</f>
        <v>34</v>
      </c>
      <c r="X76" s="17">
        <f>INT((YEAR(Table1[[#This Row],[Loss date]])*12+MONTH(Table1[[#This Row],[Loss date]])-Earliest_Month)/4)</f>
        <v>22</v>
      </c>
      <c r="Y76" s="17">
        <f>INT((YEAR(Table1[[#This Row],[Reporting date]])*12+MONTH(Table1[[#This Row],[Reporting date]])-Earliest_Month)/4)</f>
        <v>22</v>
      </c>
      <c r="Z76" s="17">
        <f>Table1[[#This Row],[Reporting third]]-Table1[[#This Row],[Policy third]]</f>
        <v>0</v>
      </c>
      <c r="AA76" s="71">
        <f>IF(Table1[[#This Row],[Overall amount]]=0,"N/A",Table1[[#This Row],[Outstanding]]/Table1[[#This Row],[Overall amount]])</f>
        <v>0</v>
      </c>
      <c r="AB76" s="17">
        <f>IF(MONTH(Table1[[#This Row],[Loss date]])&lt;Pol_Inc_Month_Shifted,YEAR(Table1[[#This Row],[Loss date]])-1,YEAR(Table1[[#This Row],[Loss date]]))</f>
        <v>2011</v>
      </c>
      <c r="AC76" s="17">
        <f>IF(MONTH(Table1[[#This Row],[Reporting date]])&lt;Pol_Inc_Month_Shifted,YEAR(Table1[[#This Row],[Reporting date]])-1,YEAR(Table1[[#This Row],[Reporting date]]))</f>
        <v>2011</v>
      </c>
      <c r="AD76" s="17">
        <f>Table1[[#This Row],[Reporting year (shifted)]]-Table1[[#This Row],[Policy Year (shifted)]]</f>
        <v>0</v>
      </c>
    </row>
    <row r="77" spans="1:30" ht="13.9">
      <c r="A77" s="8" t="s">
        <v>1847</v>
      </c>
      <c r="B77" s="8" t="s">
        <v>74</v>
      </c>
      <c r="C77" s="8" t="s">
        <v>123</v>
      </c>
      <c r="D77" s="9">
        <v>40881</v>
      </c>
      <c r="E77" s="9">
        <v>41189</v>
      </c>
      <c r="F77" s="17">
        <f>IF(MONTH(Table1[[#This Row],[Loss date]])&lt;Policy_Inception_Month,YEAR(Table1[[#This Row],[Loss date]])-1,YEAR(Table1[[#This Row],[Loss date]]))</f>
        <v>2011</v>
      </c>
      <c r="G77" s="10" t="s">
        <v>131</v>
      </c>
      <c r="H77" s="10" t="s">
        <v>2</v>
      </c>
      <c r="I77" s="11">
        <v>12328.756421851507</v>
      </c>
      <c r="J77" s="11">
        <v>0</v>
      </c>
      <c r="K77" s="11">
        <v>12328.756421851507</v>
      </c>
      <c r="L77" s="12">
        <v>0</v>
      </c>
      <c r="M77" s="12">
        <v>0</v>
      </c>
      <c r="N77" s="12">
        <v>12328.756421851507</v>
      </c>
      <c r="O77" s="70">
        <f>IF(Table1[[#This Row],[Overall amount]]=0,0,1)</f>
        <v>1</v>
      </c>
      <c r="P77" s="70">
        <f>Table1[[#This Row],[Overall amount]]*Exchange_Rate</f>
        <v>12328.756421851507</v>
      </c>
      <c r="Q77" s="70">
        <f>Table1[[#This Row],[Overall (destination currency)]]*(1+Claims_Inflation)^((Revalue_at_date-Table1[[#This Row],[Loss date]])/365.25)</f>
        <v>14858.111999999999</v>
      </c>
      <c r="R77" s="70">
        <f>INT(Table1[[#This Row],[Reporting date]])-INT(Table1[[#This Row],[Loss date]])</f>
        <v>308</v>
      </c>
      <c r="S77" s="69" t="s">
        <v>9</v>
      </c>
      <c r="T77" s="70">
        <f>VLOOKUP(Table1[[#This Row],[Policy Year]],exposure_table,3,FALSE)</f>
        <v>870.52680000000009</v>
      </c>
      <c r="U77" s="17">
        <f>IF(MONTH(Table1[[#This Row],[Reporting date]])&lt;Policy_Inception_Month,YEAR(Table1[[#This Row],[Reporting date]])-1,YEAR(Table1[[#This Row],[Reporting date]]))</f>
        <v>2012</v>
      </c>
      <c r="V77" s="17">
        <f>Table1[[#This Row],[Reporting year]]-Table1[[#This Row],[Policy Year]]</f>
        <v>1</v>
      </c>
      <c r="W77" s="17">
        <f>INT(Table1[[#This Row],[Reporting date]])-INT(Table1[[#This Row],[Loss date]])</f>
        <v>308</v>
      </c>
      <c r="X77" s="17">
        <f>INT((YEAR(Table1[[#This Row],[Loss date]])*12+MONTH(Table1[[#This Row],[Loss date]])-Earliest_Month)/4)</f>
        <v>20</v>
      </c>
      <c r="Y77" s="17">
        <f>INT((YEAR(Table1[[#This Row],[Reporting date]])*12+MONTH(Table1[[#This Row],[Reporting date]])-Earliest_Month)/4)</f>
        <v>22</v>
      </c>
      <c r="Z77" s="17">
        <f>Table1[[#This Row],[Reporting third]]-Table1[[#This Row],[Policy third]]</f>
        <v>2</v>
      </c>
      <c r="AA77" s="71">
        <f>IF(Table1[[#This Row],[Overall amount]]=0,"N/A",Table1[[#This Row],[Outstanding]]/Table1[[#This Row],[Overall amount]])</f>
        <v>0</v>
      </c>
      <c r="AB77" s="17">
        <f>IF(MONTH(Table1[[#This Row],[Loss date]])&lt;Pol_Inc_Month_Shifted,YEAR(Table1[[#This Row],[Loss date]])-1,YEAR(Table1[[#This Row],[Loss date]]))</f>
        <v>2011</v>
      </c>
      <c r="AC77" s="17">
        <f>IF(MONTH(Table1[[#This Row],[Reporting date]])&lt;Pol_Inc_Month_Shifted,YEAR(Table1[[#This Row],[Reporting date]])-1,YEAR(Table1[[#This Row],[Reporting date]]))</f>
        <v>2011</v>
      </c>
      <c r="AD77" s="17">
        <f>Table1[[#This Row],[Reporting year (shifted)]]-Table1[[#This Row],[Policy Year (shifted)]]</f>
        <v>0</v>
      </c>
    </row>
    <row r="78" spans="1:30" ht="13.9">
      <c r="A78" s="8" t="s">
        <v>1848</v>
      </c>
      <c r="B78" s="8" t="s">
        <v>75</v>
      </c>
      <c r="C78" s="8" t="s">
        <v>123</v>
      </c>
      <c r="D78" s="9">
        <v>41085</v>
      </c>
      <c r="E78" s="9">
        <v>41191</v>
      </c>
      <c r="F78" s="17">
        <f>IF(MONTH(Table1[[#This Row],[Loss date]])&lt;Policy_Inception_Month,YEAR(Table1[[#This Row],[Loss date]])-1,YEAR(Table1[[#This Row],[Loss date]]))</f>
        <v>2012</v>
      </c>
      <c r="G78" s="10" t="s">
        <v>125</v>
      </c>
      <c r="H78" s="10" t="s">
        <v>2</v>
      </c>
      <c r="I78" s="11">
        <v>255.80650241284172</v>
      </c>
      <c r="J78" s="11">
        <v>0</v>
      </c>
      <c r="K78" s="11">
        <v>255.80650241284172</v>
      </c>
      <c r="L78" s="12">
        <v>306.96780289541005</v>
      </c>
      <c r="M78" s="12">
        <v>24.762069433563081</v>
      </c>
      <c r="N78" s="12">
        <v>538.01223587468871</v>
      </c>
      <c r="O78" s="70">
        <f>IF(Table1[[#This Row],[Overall amount]]=0,0,1)</f>
        <v>1</v>
      </c>
      <c r="P78" s="70">
        <f>Table1[[#This Row],[Overall amount]]*Exchange_Rate</f>
        <v>538.01223587468871</v>
      </c>
      <c r="Q78" s="70">
        <f>Table1[[#This Row],[Overall (destination currency)]]*(1+Claims_Inflation)^((Revalue_at_date-Table1[[#This Row],[Loss date]])/365.25)</f>
        <v>630.95999999999992</v>
      </c>
      <c r="R78" s="70">
        <f>INT(Table1[[#This Row],[Reporting date]])-INT(Table1[[#This Row],[Loss date]])</f>
        <v>106</v>
      </c>
      <c r="S78" s="69" t="s">
        <v>9</v>
      </c>
      <c r="T78" s="70">
        <f>VLOOKUP(Table1[[#This Row],[Policy Year]],exposure_table,3,FALSE)</f>
        <v>1057.54</v>
      </c>
      <c r="U78" s="17">
        <f>IF(MONTH(Table1[[#This Row],[Reporting date]])&lt;Policy_Inception_Month,YEAR(Table1[[#This Row],[Reporting date]])-1,YEAR(Table1[[#This Row],[Reporting date]]))</f>
        <v>2012</v>
      </c>
      <c r="V78" s="17">
        <f>Table1[[#This Row],[Reporting year]]-Table1[[#This Row],[Policy Year]]</f>
        <v>0</v>
      </c>
      <c r="W78" s="17">
        <f>INT(Table1[[#This Row],[Reporting date]])-INT(Table1[[#This Row],[Loss date]])</f>
        <v>106</v>
      </c>
      <c r="X78" s="17">
        <f>INT((YEAR(Table1[[#This Row],[Loss date]])*12+MONTH(Table1[[#This Row],[Loss date]])-Earliest_Month)/4)</f>
        <v>21</v>
      </c>
      <c r="Y78" s="17">
        <f>INT((YEAR(Table1[[#This Row],[Reporting date]])*12+MONTH(Table1[[#This Row],[Reporting date]])-Earliest_Month)/4)</f>
        <v>22</v>
      </c>
      <c r="Z78" s="17">
        <f>Table1[[#This Row],[Reporting third]]-Table1[[#This Row],[Policy third]]</f>
        <v>1</v>
      </c>
      <c r="AA78" s="71">
        <f>IF(Table1[[#This Row],[Overall amount]]=0,"N/A",Table1[[#This Row],[Outstanding]]/Table1[[#This Row],[Overall amount]])</f>
        <v>0</v>
      </c>
      <c r="AB78" s="17">
        <f>IF(MONTH(Table1[[#This Row],[Loss date]])&lt;Pol_Inc_Month_Shifted,YEAR(Table1[[#This Row],[Loss date]])-1,YEAR(Table1[[#This Row],[Loss date]]))</f>
        <v>2011</v>
      </c>
      <c r="AC78" s="17">
        <f>IF(MONTH(Table1[[#This Row],[Reporting date]])&lt;Pol_Inc_Month_Shifted,YEAR(Table1[[#This Row],[Reporting date]])-1,YEAR(Table1[[#This Row],[Reporting date]]))</f>
        <v>2011</v>
      </c>
      <c r="AD78" s="17">
        <f>Table1[[#This Row],[Reporting year (shifted)]]-Table1[[#This Row],[Policy Year (shifted)]]</f>
        <v>0</v>
      </c>
    </row>
    <row r="79" spans="1:30" ht="13.9">
      <c r="A79" s="8" t="s">
        <v>1849</v>
      </c>
      <c r="B79" s="8" t="s">
        <v>76</v>
      </c>
      <c r="C79" s="8" t="s">
        <v>123</v>
      </c>
      <c r="D79" s="9">
        <v>41090</v>
      </c>
      <c r="E79" s="9">
        <v>41197</v>
      </c>
      <c r="F79" s="17">
        <f>IF(MONTH(Table1[[#This Row],[Loss date]])&lt;Policy_Inception_Month,YEAR(Table1[[#This Row],[Loss date]])-1,YEAR(Table1[[#This Row],[Loss date]]))</f>
        <v>2012</v>
      </c>
      <c r="G79" s="10" t="s">
        <v>125</v>
      </c>
      <c r="H79" s="10" t="s">
        <v>2</v>
      </c>
      <c r="I79" s="11">
        <v>6322.6420983163416</v>
      </c>
      <c r="J79" s="11">
        <v>0</v>
      </c>
      <c r="K79" s="11">
        <v>6322.6420983163416</v>
      </c>
      <c r="L79" s="12">
        <v>0</v>
      </c>
      <c r="M79" s="12">
        <v>0</v>
      </c>
      <c r="N79" s="12">
        <v>6322.6420983163416</v>
      </c>
      <c r="O79" s="70">
        <f>IF(Table1[[#This Row],[Overall amount]]=0,0,1)</f>
        <v>1</v>
      </c>
      <c r="P79" s="70">
        <f>Table1[[#This Row],[Overall amount]]*Exchange_Rate</f>
        <v>6322.6420983163416</v>
      </c>
      <c r="Q79" s="70">
        <f>Table1[[#This Row],[Overall (destination currency)]]*(1+Claims_Inflation)^((Revalue_at_date-Table1[[#This Row],[Loss date]])/365.25)</f>
        <v>7410.0000000000009</v>
      </c>
      <c r="R79" s="70">
        <f>INT(Table1[[#This Row],[Reporting date]])-INT(Table1[[#This Row],[Loss date]])</f>
        <v>107</v>
      </c>
      <c r="S79" s="69" t="s">
        <v>9</v>
      </c>
      <c r="T79" s="70">
        <f>VLOOKUP(Table1[[#This Row],[Policy Year]],exposure_table,3,FALSE)</f>
        <v>1057.54</v>
      </c>
      <c r="U79" s="17">
        <f>IF(MONTH(Table1[[#This Row],[Reporting date]])&lt;Policy_Inception_Month,YEAR(Table1[[#This Row],[Reporting date]])-1,YEAR(Table1[[#This Row],[Reporting date]]))</f>
        <v>2012</v>
      </c>
      <c r="V79" s="17">
        <f>Table1[[#This Row],[Reporting year]]-Table1[[#This Row],[Policy Year]]</f>
        <v>0</v>
      </c>
      <c r="W79" s="17">
        <f>INT(Table1[[#This Row],[Reporting date]])-INT(Table1[[#This Row],[Loss date]])</f>
        <v>107</v>
      </c>
      <c r="X79" s="17">
        <f>INT((YEAR(Table1[[#This Row],[Loss date]])*12+MONTH(Table1[[#This Row],[Loss date]])-Earliest_Month)/4)</f>
        <v>21</v>
      </c>
      <c r="Y79" s="17">
        <f>INT((YEAR(Table1[[#This Row],[Reporting date]])*12+MONTH(Table1[[#This Row],[Reporting date]])-Earliest_Month)/4)</f>
        <v>22</v>
      </c>
      <c r="Z79" s="17">
        <f>Table1[[#This Row],[Reporting third]]-Table1[[#This Row],[Policy third]]</f>
        <v>1</v>
      </c>
      <c r="AA79" s="71">
        <f>IF(Table1[[#This Row],[Overall amount]]=0,"N/A",Table1[[#This Row],[Outstanding]]/Table1[[#This Row],[Overall amount]])</f>
        <v>0</v>
      </c>
      <c r="AB79" s="17">
        <f>IF(MONTH(Table1[[#This Row],[Loss date]])&lt;Pol_Inc_Month_Shifted,YEAR(Table1[[#This Row],[Loss date]])-1,YEAR(Table1[[#This Row],[Loss date]]))</f>
        <v>2011</v>
      </c>
      <c r="AC79" s="17">
        <f>IF(MONTH(Table1[[#This Row],[Reporting date]])&lt;Pol_Inc_Month_Shifted,YEAR(Table1[[#This Row],[Reporting date]])-1,YEAR(Table1[[#This Row],[Reporting date]]))</f>
        <v>2011</v>
      </c>
      <c r="AD79" s="17">
        <f>Table1[[#This Row],[Reporting year (shifted)]]-Table1[[#This Row],[Policy Year (shifted)]]</f>
        <v>0</v>
      </c>
    </row>
    <row r="80" spans="1:30" ht="13.9">
      <c r="A80" s="8" t="s">
        <v>1850</v>
      </c>
      <c r="B80" s="8" t="s">
        <v>77</v>
      </c>
      <c r="C80" s="8" t="s">
        <v>123</v>
      </c>
      <c r="D80" s="9">
        <v>40527</v>
      </c>
      <c r="E80" s="9">
        <v>41201</v>
      </c>
      <c r="F80" s="17">
        <f>IF(MONTH(Table1[[#This Row],[Loss date]])&lt;Policy_Inception_Month,YEAR(Table1[[#This Row],[Loss date]])-1,YEAR(Table1[[#This Row],[Loss date]]))</f>
        <v>2010</v>
      </c>
      <c r="G80" s="10" t="s">
        <v>125</v>
      </c>
      <c r="H80" s="10" t="s">
        <v>2</v>
      </c>
      <c r="I80" s="11">
        <v>1082.6924062600717</v>
      </c>
      <c r="J80" s="11">
        <v>0</v>
      </c>
      <c r="K80" s="11">
        <v>1082.6924062600717</v>
      </c>
      <c r="L80" s="12">
        <v>0</v>
      </c>
      <c r="M80" s="12">
        <v>0</v>
      </c>
      <c r="N80" s="12">
        <v>1082.6924062600717</v>
      </c>
      <c r="O80" s="70">
        <f>IF(Table1[[#This Row],[Overall amount]]=0,0,1)</f>
        <v>1</v>
      </c>
      <c r="P80" s="70">
        <f>Table1[[#This Row],[Overall amount]]*Exchange_Rate</f>
        <v>1082.6924062600717</v>
      </c>
      <c r="Q80" s="70">
        <f>Table1[[#This Row],[Overall (destination currency)]]*(1+Claims_Inflation)^((Revalue_at_date-Table1[[#This Row],[Loss date]])/365.25)</f>
        <v>1368</v>
      </c>
      <c r="R80" s="70">
        <f>INT(Table1[[#This Row],[Reporting date]])-INT(Table1[[#This Row],[Loss date]])</f>
        <v>674</v>
      </c>
      <c r="S80" s="69" t="s">
        <v>9</v>
      </c>
      <c r="T80" s="70">
        <f>VLOOKUP(Table1[[#This Row],[Policy Year]],exposure_table,3,FALSE)</f>
        <v>837.11513600000012</v>
      </c>
      <c r="U80" s="17">
        <f>IF(MONTH(Table1[[#This Row],[Reporting date]])&lt;Policy_Inception_Month,YEAR(Table1[[#This Row],[Reporting date]])-1,YEAR(Table1[[#This Row],[Reporting date]]))</f>
        <v>2012</v>
      </c>
      <c r="V80" s="17">
        <f>Table1[[#This Row],[Reporting year]]-Table1[[#This Row],[Policy Year]]</f>
        <v>2</v>
      </c>
      <c r="W80" s="17">
        <f>INT(Table1[[#This Row],[Reporting date]])-INT(Table1[[#This Row],[Loss date]])</f>
        <v>674</v>
      </c>
      <c r="X80" s="17">
        <f>INT((YEAR(Table1[[#This Row],[Loss date]])*12+MONTH(Table1[[#This Row],[Loss date]])-Earliest_Month)/4)</f>
        <v>17</v>
      </c>
      <c r="Y80" s="17">
        <f>INT((YEAR(Table1[[#This Row],[Reporting date]])*12+MONTH(Table1[[#This Row],[Reporting date]])-Earliest_Month)/4)</f>
        <v>22</v>
      </c>
      <c r="Z80" s="17">
        <f>Table1[[#This Row],[Reporting third]]-Table1[[#This Row],[Policy third]]</f>
        <v>5</v>
      </c>
      <c r="AA80" s="71">
        <f>IF(Table1[[#This Row],[Overall amount]]=0,"N/A",Table1[[#This Row],[Outstanding]]/Table1[[#This Row],[Overall amount]])</f>
        <v>0</v>
      </c>
      <c r="AB80" s="17">
        <f>IF(MONTH(Table1[[#This Row],[Loss date]])&lt;Pol_Inc_Month_Shifted,YEAR(Table1[[#This Row],[Loss date]])-1,YEAR(Table1[[#This Row],[Loss date]]))</f>
        <v>2010</v>
      </c>
      <c r="AC80" s="17">
        <f>IF(MONTH(Table1[[#This Row],[Reporting date]])&lt;Pol_Inc_Month_Shifted,YEAR(Table1[[#This Row],[Reporting date]])-1,YEAR(Table1[[#This Row],[Reporting date]]))</f>
        <v>2011</v>
      </c>
      <c r="AD80" s="17">
        <f>Table1[[#This Row],[Reporting year (shifted)]]-Table1[[#This Row],[Policy Year (shifted)]]</f>
        <v>1</v>
      </c>
    </row>
    <row r="81" spans="1:30" ht="13.9">
      <c r="A81" s="8" t="s">
        <v>1851</v>
      </c>
      <c r="B81" s="8" t="s">
        <v>78</v>
      </c>
      <c r="C81" s="8" t="s">
        <v>123</v>
      </c>
      <c r="D81" s="9">
        <v>41210</v>
      </c>
      <c r="E81" s="9">
        <v>41219</v>
      </c>
      <c r="F81" s="17">
        <f>IF(MONTH(Table1[[#This Row],[Loss date]])&lt;Policy_Inception_Month,YEAR(Table1[[#This Row],[Loss date]])-1,YEAR(Table1[[#This Row],[Loss date]]))</f>
        <v>2012</v>
      </c>
      <c r="G81" s="10" t="s">
        <v>125</v>
      </c>
      <c r="H81" s="10" t="s">
        <v>2</v>
      </c>
      <c r="I81" s="11">
        <v>8928.7356023769498</v>
      </c>
      <c r="J81" s="11">
        <v>0</v>
      </c>
      <c r="K81" s="11">
        <v>8928.7356023769498</v>
      </c>
      <c r="L81" s="12">
        <v>312.13643665588984</v>
      </c>
      <c r="M81" s="12">
        <v>0</v>
      </c>
      <c r="N81" s="12">
        <v>9240.8720390328399</v>
      </c>
      <c r="O81" s="70">
        <f>IF(Table1[[#This Row],[Overall amount]]=0,0,1)</f>
        <v>1</v>
      </c>
      <c r="P81" s="70">
        <f>Table1[[#This Row],[Overall amount]]*Exchange_Rate</f>
        <v>9240.8720390328399</v>
      </c>
      <c r="Q81" s="70">
        <f>Table1[[#This Row],[Overall (destination currency)]]*(1+Claims_Inflation)^((Revalue_at_date-Table1[[#This Row],[Loss date]])/365.25)</f>
        <v>10657.884</v>
      </c>
      <c r="R81" s="70">
        <f>INT(Table1[[#This Row],[Reporting date]])-INT(Table1[[#This Row],[Loss date]])</f>
        <v>9</v>
      </c>
      <c r="S81" s="69" t="s">
        <v>9</v>
      </c>
      <c r="T81" s="70">
        <f>VLOOKUP(Table1[[#This Row],[Policy Year]],exposure_table,3,FALSE)</f>
        <v>1057.54</v>
      </c>
      <c r="U81" s="17">
        <f>IF(MONTH(Table1[[#This Row],[Reporting date]])&lt;Policy_Inception_Month,YEAR(Table1[[#This Row],[Reporting date]])-1,YEAR(Table1[[#This Row],[Reporting date]]))</f>
        <v>2012</v>
      </c>
      <c r="V81" s="17">
        <f>Table1[[#This Row],[Reporting year]]-Table1[[#This Row],[Policy Year]]</f>
        <v>0</v>
      </c>
      <c r="W81" s="17">
        <f>INT(Table1[[#This Row],[Reporting date]])-INT(Table1[[#This Row],[Loss date]])</f>
        <v>9</v>
      </c>
      <c r="X81" s="17">
        <f>INT((YEAR(Table1[[#This Row],[Loss date]])*12+MONTH(Table1[[#This Row],[Loss date]])-Earliest_Month)/4)</f>
        <v>22</v>
      </c>
      <c r="Y81" s="17">
        <f>INT((YEAR(Table1[[#This Row],[Reporting date]])*12+MONTH(Table1[[#This Row],[Reporting date]])-Earliest_Month)/4)</f>
        <v>22</v>
      </c>
      <c r="Z81" s="17">
        <f>Table1[[#This Row],[Reporting third]]-Table1[[#This Row],[Policy third]]</f>
        <v>0</v>
      </c>
      <c r="AA81" s="71">
        <f>IF(Table1[[#This Row],[Overall amount]]=0,"N/A",Table1[[#This Row],[Outstanding]]/Table1[[#This Row],[Overall amount]])</f>
        <v>0</v>
      </c>
      <c r="AB81" s="17">
        <f>IF(MONTH(Table1[[#This Row],[Loss date]])&lt;Pol_Inc_Month_Shifted,YEAR(Table1[[#This Row],[Loss date]])-1,YEAR(Table1[[#This Row],[Loss date]]))</f>
        <v>2011</v>
      </c>
      <c r="AC81" s="17">
        <f>IF(MONTH(Table1[[#This Row],[Reporting date]])&lt;Pol_Inc_Month_Shifted,YEAR(Table1[[#This Row],[Reporting date]])-1,YEAR(Table1[[#This Row],[Reporting date]]))</f>
        <v>2011</v>
      </c>
      <c r="AD81" s="17">
        <f>Table1[[#This Row],[Reporting year (shifted)]]-Table1[[#This Row],[Policy Year (shifted)]]</f>
        <v>0</v>
      </c>
    </row>
    <row r="82" spans="1:30" ht="13.9">
      <c r="A82" s="8" t="s">
        <v>1852</v>
      </c>
      <c r="B82" s="8" t="s">
        <v>79</v>
      </c>
      <c r="C82" s="8" t="s">
        <v>123</v>
      </c>
      <c r="D82" s="9">
        <v>41089</v>
      </c>
      <c r="E82" s="9">
        <v>41224</v>
      </c>
      <c r="F82" s="17">
        <f>IF(MONTH(Table1[[#This Row],[Loss date]])&lt;Policy_Inception_Month,YEAR(Table1[[#This Row],[Loss date]])-1,YEAR(Table1[[#This Row],[Loss date]]))</f>
        <v>2012</v>
      </c>
      <c r="G82" s="10" t="s">
        <v>125</v>
      </c>
      <c r="H82" s="10" t="s">
        <v>2</v>
      </c>
      <c r="I82" s="11">
        <v>7166.4102064715435</v>
      </c>
      <c r="J82" s="11">
        <v>0</v>
      </c>
      <c r="K82" s="11">
        <v>7166.4102064715435</v>
      </c>
      <c r="L82" s="12">
        <v>0</v>
      </c>
      <c r="M82" s="12">
        <v>0</v>
      </c>
      <c r="N82" s="12">
        <v>7166.4102064715435</v>
      </c>
      <c r="O82" s="70">
        <f>IF(Table1[[#This Row],[Overall amount]]=0,0,1)</f>
        <v>1</v>
      </c>
      <c r="P82" s="70">
        <f>Table1[[#This Row],[Overall amount]]*Exchange_Rate</f>
        <v>7166.4102064715435</v>
      </c>
      <c r="Q82" s="70">
        <f>Table1[[#This Row],[Overall (destination currency)]]*(1+Claims_Inflation)^((Revalue_at_date-Table1[[#This Row],[Loss date]])/365.25)</f>
        <v>8399.9999999999982</v>
      </c>
      <c r="R82" s="70">
        <f>INT(Table1[[#This Row],[Reporting date]])-INT(Table1[[#This Row],[Loss date]])</f>
        <v>135</v>
      </c>
      <c r="S82" s="69" t="s">
        <v>9</v>
      </c>
      <c r="T82" s="70">
        <f>VLOOKUP(Table1[[#This Row],[Policy Year]],exposure_table,3,FALSE)</f>
        <v>1057.54</v>
      </c>
      <c r="U82" s="17">
        <f>IF(MONTH(Table1[[#This Row],[Reporting date]])&lt;Policy_Inception_Month,YEAR(Table1[[#This Row],[Reporting date]])-1,YEAR(Table1[[#This Row],[Reporting date]]))</f>
        <v>2012</v>
      </c>
      <c r="V82" s="17">
        <f>Table1[[#This Row],[Reporting year]]-Table1[[#This Row],[Policy Year]]</f>
        <v>0</v>
      </c>
      <c r="W82" s="17">
        <f>INT(Table1[[#This Row],[Reporting date]])-INT(Table1[[#This Row],[Loss date]])</f>
        <v>135</v>
      </c>
      <c r="X82" s="17">
        <f>INT((YEAR(Table1[[#This Row],[Loss date]])*12+MONTH(Table1[[#This Row],[Loss date]])-Earliest_Month)/4)</f>
        <v>21</v>
      </c>
      <c r="Y82" s="17">
        <f>INT((YEAR(Table1[[#This Row],[Reporting date]])*12+MONTH(Table1[[#This Row],[Reporting date]])-Earliest_Month)/4)</f>
        <v>22</v>
      </c>
      <c r="Z82" s="17">
        <f>Table1[[#This Row],[Reporting third]]-Table1[[#This Row],[Policy third]]</f>
        <v>1</v>
      </c>
      <c r="AA82" s="71">
        <f>IF(Table1[[#This Row],[Overall amount]]=0,"N/A",Table1[[#This Row],[Outstanding]]/Table1[[#This Row],[Overall amount]])</f>
        <v>0</v>
      </c>
      <c r="AB82" s="17">
        <f>IF(MONTH(Table1[[#This Row],[Loss date]])&lt;Pol_Inc_Month_Shifted,YEAR(Table1[[#This Row],[Loss date]])-1,YEAR(Table1[[#This Row],[Loss date]]))</f>
        <v>2011</v>
      </c>
      <c r="AC82" s="17">
        <f>IF(MONTH(Table1[[#This Row],[Reporting date]])&lt;Pol_Inc_Month_Shifted,YEAR(Table1[[#This Row],[Reporting date]])-1,YEAR(Table1[[#This Row],[Reporting date]]))</f>
        <v>2011</v>
      </c>
      <c r="AD82" s="17">
        <f>Table1[[#This Row],[Reporting year (shifted)]]-Table1[[#This Row],[Policy Year (shifted)]]</f>
        <v>0</v>
      </c>
    </row>
    <row r="83" spans="1:30" ht="13.9">
      <c r="A83" s="8" t="s">
        <v>1853</v>
      </c>
      <c r="B83" s="8" t="s">
        <v>80</v>
      </c>
      <c r="C83" s="8" t="s">
        <v>123</v>
      </c>
      <c r="D83" s="9">
        <v>40650</v>
      </c>
      <c r="E83" s="9">
        <v>41205</v>
      </c>
      <c r="F83" s="17">
        <f>IF(MONTH(Table1[[#This Row],[Loss date]])&lt;Policy_Inception_Month,YEAR(Table1[[#This Row],[Loss date]])-1,YEAR(Table1[[#This Row],[Loss date]]))</f>
        <v>2011</v>
      </c>
      <c r="G83" s="10" t="s">
        <v>125</v>
      </c>
      <c r="H83" s="10" t="s">
        <v>2</v>
      </c>
      <c r="I83" s="11">
        <v>0</v>
      </c>
      <c r="J83" s="11">
        <v>0</v>
      </c>
      <c r="K83" s="11">
        <v>0</v>
      </c>
      <c r="L83" s="12">
        <v>0</v>
      </c>
      <c r="M83" s="12">
        <v>0</v>
      </c>
      <c r="N83" s="12">
        <v>0</v>
      </c>
      <c r="O83" s="70">
        <f>IF(Table1[[#This Row],[Overall amount]]=0,0,1)</f>
        <v>0</v>
      </c>
      <c r="P83" s="70">
        <f>Table1[[#This Row],[Overall amount]]*Exchange_Rate</f>
        <v>0</v>
      </c>
      <c r="Q83" s="70">
        <f>Table1[[#This Row],[Overall (destination currency)]]*(1+Claims_Inflation)^((Revalue_at_date-Table1[[#This Row],[Loss date]])/365.25)</f>
        <v>0</v>
      </c>
      <c r="R83" s="70">
        <f>INT(Table1[[#This Row],[Reporting date]])-INT(Table1[[#This Row],[Loss date]])</f>
        <v>555</v>
      </c>
      <c r="S83" s="69" t="s">
        <v>9</v>
      </c>
      <c r="T83" s="70">
        <f>VLOOKUP(Table1[[#This Row],[Policy Year]],exposure_table,3,FALSE)</f>
        <v>870.52680000000009</v>
      </c>
      <c r="U83" s="17">
        <f>IF(MONTH(Table1[[#This Row],[Reporting date]])&lt;Policy_Inception_Month,YEAR(Table1[[#This Row],[Reporting date]])-1,YEAR(Table1[[#This Row],[Reporting date]]))</f>
        <v>2012</v>
      </c>
      <c r="V83" s="17">
        <f>Table1[[#This Row],[Reporting year]]-Table1[[#This Row],[Policy Year]]</f>
        <v>1</v>
      </c>
      <c r="W83" s="17">
        <f>INT(Table1[[#This Row],[Reporting date]])-INT(Table1[[#This Row],[Loss date]])</f>
        <v>555</v>
      </c>
      <c r="X83" s="17">
        <f>INT((YEAR(Table1[[#This Row],[Loss date]])*12+MONTH(Table1[[#This Row],[Loss date]])-Earliest_Month)/4)</f>
        <v>18</v>
      </c>
      <c r="Y83" s="17">
        <f>INT((YEAR(Table1[[#This Row],[Reporting date]])*12+MONTH(Table1[[#This Row],[Reporting date]])-Earliest_Month)/4)</f>
        <v>22</v>
      </c>
      <c r="Z83" s="17">
        <f>Table1[[#This Row],[Reporting third]]-Table1[[#This Row],[Policy third]]</f>
        <v>4</v>
      </c>
      <c r="AA83" s="71" t="str">
        <f>IF(Table1[[#This Row],[Overall amount]]=0,"N/A",Table1[[#This Row],[Outstanding]]/Table1[[#This Row],[Overall amount]])</f>
        <v>N/A</v>
      </c>
      <c r="AB83" s="17">
        <f>IF(MONTH(Table1[[#This Row],[Loss date]])&lt;Pol_Inc_Month_Shifted,YEAR(Table1[[#This Row],[Loss date]])-1,YEAR(Table1[[#This Row],[Loss date]]))</f>
        <v>2010</v>
      </c>
      <c r="AC83" s="17">
        <f>IF(MONTH(Table1[[#This Row],[Reporting date]])&lt;Pol_Inc_Month_Shifted,YEAR(Table1[[#This Row],[Reporting date]])-1,YEAR(Table1[[#This Row],[Reporting date]]))</f>
        <v>2011</v>
      </c>
      <c r="AD83" s="17">
        <f>Table1[[#This Row],[Reporting year (shifted)]]-Table1[[#This Row],[Policy Year (shifted)]]</f>
        <v>1</v>
      </c>
    </row>
    <row r="84" spans="1:30" ht="13.9">
      <c r="A84" s="8" t="s">
        <v>1854</v>
      </c>
      <c r="B84" s="8" t="s">
        <v>81</v>
      </c>
      <c r="C84" s="8" t="s">
        <v>123</v>
      </c>
      <c r="D84" s="9">
        <v>41134</v>
      </c>
      <c r="E84" s="9">
        <v>41233</v>
      </c>
      <c r="F84" s="17">
        <f>IF(MONTH(Table1[[#This Row],[Loss date]])&lt;Policy_Inception_Month,YEAR(Table1[[#This Row],[Loss date]])-1,YEAR(Table1[[#This Row],[Loss date]]))</f>
        <v>2012</v>
      </c>
      <c r="G84" s="10" t="s">
        <v>125</v>
      </c>
      <c r="H84" s="10" t="s">
        <v>2</v>
      </c>
      <c r="I84" s="11">
        <v>7613.7067991899112</v>
      </c>
      <c r="J84" s="11">
        <v>0</v>
      </c>
      <c r="K84" s="11">
        <v>7613.7067991899112</v>
      </c>
      <c r="L84" s="12">
        <v>0</v>
      </c>
      <c r="M84" s="12">
        <v>0</v>
      </c>
      <c r="N84" s="12">
        <v>7613.7067991899112</v>
      </c>
      <c r="O84" s="70">
        <f>IF(Table1[[#This Row],[Overall amount]]=0,0,1)</f>
        <v>1</v>
      </c>
      <c r="P84" s="70">
        <f>Table1[[#This Row],[Overall amount]]*Exchange_Rate</f>
        <v>7613.7067991899112</v>
      </c>
      <c r="Q84" s="70">
        <f>Table1[[#This Row],[Overall (destination currency)]]*(1+Claims_Inflation)^((Revalue_at_date-Table1[[#This Row],[Loss date]])/365.25)</f>
        <v>8870.8079999999991</v>
      </c>
      <c r="R84" s="70">
        <f>INT(Table1[[#This Row],[Reporting date]])-INT(Table1[[#This Row],[Loss date]])</f>
        <v>99</v>
      </c>
      <c r="S84" s="69" t="s">
        <v>9</v>
      </c>
      <c r="T84" s="70">
        <f>VLOOKUP(Table1[[#This Row],[Policy Year]],exposure_table,3,FALSE)</f>
        <v>1057.54</v>
      </c>
      <c r="U84" s="17">
        <f>IF(MONTH(Table1[[#This Row],[Reporting date]])&lt;Policy_Inception_Month,YEAR(Table1[[#This Row],[Reporting date]])-1,YEAR(Table1[[#This Row],[Reporting date]]))</f>
        <v>2012</v>
      </c>
      <c r="V84" s="17">
        <f>Table1[[#This Row],[Reporting year]]-Table1[[#This Row],[Policy Year]]</f>
        <v>0</v>
      </c>
      <c r="W84" s="17">
        <f>INT(Table1[[#This Row],[Reporting date]])-INT(Table1[[#This Row],[Loss date]])</f>
        <v>99</v>
      </c>
      <c r="X84" s="17">
        <f>INT((YEAR(Table1[[#This Row],[Loss date]])*12+MONTH(Table1[[#This Row],[Loss date]])-Earliest_Month)/4)</f>
        <v>22</v>
      </c>
      <c r="Y84" s="17">
        <f>INT((YEAR(Table1[[#This Row],[Reporting date]])*12+MONTH(Table1[[#This Row],[Reporting date]])-Earliest_Month)/4)</f>
        <v>22</v>
      </c>
      <c r="Z84" s="17">
        <f>Table1[[#This Row],[Reporting third]]-Table1[[#This Row],[Policy third]]</f>
        <v>0</v>
      </c>
      <c r="AA84" s="71">
        <f>IF(Table1[[#This Row],[Overall amount]]=0,"N/A",Table1[[#This Row],[Outstanding]]/Table1[[#This Row],[Overall amount]])</f>
        <v>0</v>
      </c>
      <c r="AB84" s="17">
        <f>IF(MONTH(Table1[[#This Row],[Loss date]])&lt;Pol_Inc_Month_Shifted,YEAR(Table1[[#This Row],[Loss date]])-1,YEAR(Table1[[#This Row],[Loss date]]))</f>
        <v>2011</v>
      </c>
      <c r="AC84" s="17">
        <f>IF(MONTH(Table1[[#This Row],[Reporting date]])&lt;Pol_Inc_Month_Shifted,YEAR(Table1[[#This Row],[Reporting date]])-1,YEAR(Table1[[#This Row],[Reporting date]]))</f>
        <v>2011</v>
      </c>
      <c r="AD84" s="17">
        <f>Table1[[#This Row],[Reporting year (shifted)]]-Table1[[#This Row],[Policy Year (shifted)]]</f>
        <v>0</v>
      </c>
    </row>
    <row r="85" spans="1:30" ht="13.9">
      <c r="A85" s="8" t="s">
        <v>1855</v>
      </c>
      <c r="B85" s="8" t="s">
        <v>82</v>
      </c>
      <c r="C85" s="8" t="s">
        <v>123</v>
      </c>
      <c r="D85" s="9">
        <v>41059</v>
      </c>
      <c r="E85" s="9">
        <v>41238</v>
      </c>
      <c r="F85" s="17">
        <f>IF(MONTH(Table1[[#This Row],[Loss date]])&lt;Policy_Inception_Month,YEAR(Table1[[#This Row],[Loss date]])-1,YEAR(Table1[[#This Row],[Loss date]]))</f>
        <v>2012</v>
      </c>
      <c r="G85" s="10" t="s">
        <v>125</v>
      </c>
      <c r="H85" s="10" t="s">
        <v>2</v>
      </c>
      <c r="I85" s="11">
        <v>14674.192184308498</v>
      </c>
      <c r="J85" s="11">
        <v>0</v>
      </c>
      <c r="K85" s="11">
        <v>14674.192184308498</v>
      </c>
      <c r="L85" s="12">
        <v>0</v>
      </c>
      <c r="M85" s="12">
        <v>0</v>
      </c>
      <c r="N85" s="12">
        <v>14674.192184308498</v>
      </c>
      <c r="O85" s="70">
        <f>IF(Table1[[#This Row],[Overall amount]]=0,0,1)</f>
        <v>1</v>
      </c>
      <c r="P85" s="70">
        <f>Table1[[#This Row],[Overall amount]]*Exchange_Rate</f>
        <v>14674.192184308498</v>
      </c>
      <c r="Q85" s="70">
        <f>Table1[[#This Row],[Overall (destination currency)]]*(1+Claims_Inflation)^((Revalue_at_date-Table1[[#This Row],[Loss date]])/365.25)</f>
        <v>17269.2</v>
      </c>
      <c r="R85" s="70">
        <f>INT(Table1[[#This Row],[Reporting date]])-INT(Table1[[#This Row],[Loss date]])</f>
        <v>179</v>
      </c>
      <c r="S85" s="69" t="s">
        <v>9</v>
      </c>
      <c r="T85" s="70">
        <f>VLOOKUP(Table1[[#This Row],[Policy Year]],exposure_table,3,FALSE)</f>
        <v>1057.54</v>
      </c>
      <c r="U85" s="17">
        <f>IF(MONTH(Table1[[#This Row],[Reporting date]])&lt;Policy_Inception_Month,YEAR(Table1[[#This Row],[Reporting date]])-1,YEAR(Table1[[#This Row],[Reporting date]]))</f>
        <v>2012</v>
      </c>
      <c r="V85" s="17">
        <f>Table1[[#This Row],[Reporting year]]-Table1[[#This Row],[Policy Year]]</f>
        <v>0</v>
      </c>
      <c r="W85" s="17">
        <f>INT(Table1[[#This Row],[Reporting date]])-INT(Table1[[#This Row],[Loss date]])</f>
        <v>179</v>
      </c>
      <c r="X85" s="17">
        <f>INT((YEAR(Table1[[#This Row],[Loss date]])*12+MONTH(Table1[[#This Row],[Loss date]])-Earliest_Month)/4)</f>
        <v>21</v>
      </c>
      <c r="Y85" s="17">
        <f>INT((YEAR(Table1[[#This Row],[Reporting date]])*12+MONTH(Table1[[#This Row],[Reporting date]])-Earliest_Month)/4)</f>
        <v>22</v>
      </c>
      <c r="Z85" s="17">
        <f>Table1[[#This Row],[Reporting third]]-Table1[[#This Row],[Policy third]]</f>
        <v>1</v>
      </c>
      <c r="AA85" s="71">
        <f>IF(Table1[[#This Row],[Overall amount]]=0,"N/A",Table1[[#This Row],[Outstanding]]/Table1[[#This Row],[Overall amount]])</f>
        <v>0</v>
      </c>
      <c r="AB85" s="17">
        <f>IF(MONTH(Table1[[#This Row],[Loss date]])&lt;Pol_Inc_Month_Shifted,YEAR(Table1[[#This Row],[Loss date]])-1,YEAR(Table1[[#This Row],[Loss date]]))</f>
        <v>2011</v>
      </c>
      <c r="AC85" s="17">
        <f>IF(MONTH(Table1[[#This Row],[Reporting date]])&lt;Pol_Inc_Month_Shifted,YEAR(Table1[[#This Row],[Reporting date]])-1,YEAR(Table1[[#This Row],[Reporting date]]))</f>
        <v>2011</v>
      </c>
      <c r="AD85" s="17">
        <f>Table1[[#This Row],[Reporting year (shifted)]]-Table1[[#This Row],[Policy Year (shifted)]]</f>
        <v>0</v>
      </c>
    </row>
    <row r="86" spans="1:30" ht="13.9">
      <c r="A86" s="8" t="s">
        <v>1856</v>
      </c>
      <c r="B86" s="8" t="s">
        <v>83</v>
      </c>
      <c r="C86" s="8" t="s">
        <v>123</v>
      </c>
      <c r="D86" s="9">
        <v>41164</v>
      </c>
      <c r="E86" s="9">
        <v>41239</v>
      </c>
      <c r="F86" s="17">
        <f>IF(MONTH(Table1[[#This Row],[Loss date]])&lt;Policy_Inception_Month,YEAR(Table1[[#This Row],[Loss date]])-1,YEAR(Table1[[#This Row],[Loss date]]))</f>
        <v>2012</v>
      </c>
      <c r="G86" s="10" t="s">
        <v>125</v>
      </c>
      <c r="H86" s="10" t="s">
        <v>2</v>
      </c>
      <c r="I86" s="11">
        <v>25977.151820958145</v>
      </c>
      <c r="J86" s="11">
        <v>0</v>
      </c>
      <c r="K86" s="11">
        <v>25977.151820958145</v>
      </c>
      <c r="L86" s="12">
        <v>0</v>
      </c>
      <c r="M86" s="12">
        <v>0</v>
      </c>
      <c r="N86" s="12">
        <v>25977.151820958145</v>
      </c>
      <c r="O86" s="70">
        <f>IF(Table1[[#This Row],[Overall amount]]=0,0,1)</f>
        <v>1</v>
      </c>
      <c r="P86" s="70">
        <f>Table1[[#This Row],[Overall amount]]*Exchange_Rate</f>
        <v>25977.151820958145</v>
      </c>
      <c r="Q86" s="70">
        <f>Table1[[#This Row],[Overall (destination currency)]]*(1+Claims_Inflation)^((Revalue_at_date-Table1[[#This Row],[Loss date]])/365.25)</f>
        <v>30145.200000000004</v>
      </c>
      <c r="R86" s="70">
        <f>INT(Table1[[#This Row],[Reporting date]])-INT(Table1[[#This Row],[Loss date]])</f>
        <v>75</v>
      </c>
      <c r="S86" s="69" t="s">
        <v>9</v>
      </c>
      <c r="T86" s="70">
        <f>VLOOKUP(Table1[[#This Row],[Policy Year]],exposure_table,3,FALSE)</f>
        <v>1057.54</v>
      </c>
      <c r="U86" s="17">
        <f>IF(MONTH(Table1[[#This Row],[Reporting date]])&lt;Policy_Inception_Month,YEAR(Table1[[#This Row],[Reporting date]])-1,YEAR(Table1[[#This Row],[Reporting date]]))</f>
        <v>2012</v>
      </c>
      <c r="V86" s="17">
        <f>Table1[[#This Row],[Reporting year]]-Table1[[#This Row],[Policy Year]]</f>
        <v>0</v>
      </c>
      <c r="W86" s="17">
        <f>INT(Table1[[#This Row],[Reporting date]])-INT(Table1[[#This Row],[Loss date]])</f>
        <v>75</v>
      </c>
      <c r="X86" s="17">
        <f>INT((YEAR(Table1[[#This Row],[Loss date]])*12+MONTH(Table1[[#This Row],[Loss date]])-Earliest_Month)/4)</f>
        <v>22</v>
      </c>
      <c r="Y86" s="17">
        <f>INT((YEAR(Table1[[#This Row],[Reporting date]])*12+MONTH(Table1[[#This Row],[Reporting date]])-Earliest_Month)/4)</f>
        <v>22</v>
      </c>
      <c r="Z86" s="17">
        <f>Table1[[#This Row],[Reporting third]]-Table1[[#This Row],[Policy third]]</f>
        <v>0</v>
      </c>
      <c r="AA86" s="71">
        <f>IF(Table1[[#This Row],[Overall amount]]=0,"N/A",Table1[[#This Row],[Outstanding]]/Table1[[#This Row],[Overall amount]])</f>
        <v>0</v>
      </c>
      <c r="AB86" s="17">
        <f>IF(MONTH(Table1[[#This Row],[Loss date]])&lt;Pol_Inc_Month_Shifted,YEAR(Table1[[#This Row],[Loss date]])-1,YEAR(Table1[[#This Row],[Loss date]]))</f>
        <v>2011</v>
      </c>
      <c r="AC86" s="17">
        <f>IF(MONTH(Table1[[#This Row],[Reporting date]])&lt;Pol_Inc_Month_Shifted,YEAR(Table1[[#This Row],[Reporting date]])-1,YEAR(Table1[[#This Row],[Reporting date]]))</f>
        <v>2011</v>
      </c>
      <c r="AD86" s="17">
        <f>Table1[[#This Row],[Reporting year (shifted)]]-Table1[[#This Row],[Policy Year (shifted)]]</f>
        <v>0</v>
      </c>
    </row>
    <row r="87" spans="1:30" ht="13.9">
      <c r="A87" s="8" t="s">
        <v>1857</v>
      </c>
      <c r="B87" s="8" t="s">
        <v>84</v>
      </c>
      <c r="C87" s="8" t="s">
        <v>123</v>
      </c>
      <c r="D87" s="9">
        <v>41187</v>
      </c>
      <c r="E87" s="9">
        <v>41233</v>
      </c>
      <c r="F87" s="17">
        <f>IF(MONTH(Table1[[#This Row],[Loss date]])&lt;Policy_Inception_Month,YEAR(Table1[[#This Row],[Loss date]])-1,YEAR(Table1[[#This Row],[Loss date]]))</f>
        <v>2012</v>
      </c>
      <c r="G87" s="10" t="s">
        <v>125</v>
      </c>
      <c r="H87" s="10" t="s">
        <v>2</v>
      </c>
      <c r="I87" s="11">
        <v>51.863152950617902</v>
      </c>
      <c r="J87" s="11">
        <v>7935.0624014445375</v>
      </c>
      <c r="K87" s="11">
        <v>7986.9255543951558</v>
      </c>
      <c r="L87" s="12">
        <v>0</v>
      </c>
      <c r="M87" s="12">
        <v>0</v>
      </c>
      <c r="N87" s="12">
        <v>7986.9255543951558</v>
      </c>
      <c r="O87" s="70">
        <f>IF(Table1[[#This Row],[Overall amount]]=0,0,1)</f>
        <v>1</v>
      </c>
      <c r="P87" s="70">
        <f>Table1[[#This Row],[Overall amount]]*Exchange_Rate</f>
        <v>7986.9255543951558</v>
      </c>
      <c r="Q87" s="70">
        <f>Table1[[#This Row],[Overall (destination currency)]]*(1+Claims_Inflation)^((Revalue_at_date-Table1[[#This Row],[Loss date]])/365.25)</f>
        <v>9240</v>
      </c>
      <c r="R87" s="70">
        <f>INT(Table1[[#This Row],[Reporting date]])-INT(Table1[[#This Row],[Loss date]])</f>
        <v>46</v>
      </c>
      <c r="S87" s="69" t="s">
        <v>16</v>
      </c>
      <c r="T87" s="70">
        <f>VLOOKUP(Table1[[#This Row],[Policy Year]],exposure_table,3,FALSE)</f>
        <v>1057.54</v>
      </c>
      <c r="U87" s="17">
        <f>IF(MONTH(Table1[[#This Row],[Reporting date]])&lt;Policy_Inception_Month,YEAR(Table1[[#This Row],[Reporting date]])-1,YEAR(Table1[[#This Row],[Reporting date]]))</f>
        <v>2012</v>
      </c>
      <c r="V87" s="17">
        <f>Table1[[#This Row],[Reporting year]]-Table1[[#This Row],[Policy Year]]</f>
        <v>0</v>
      </c>
      <c r="W87" s="17">
        <f>INT(Table1[[#This Row],[Reporting date]])-INT(Table1[[#This Row],[Loss date]])</f>
        <v>46</v>
      </c>
      <c r="X87" s="17">
        <f>INT((YEAR(Table1[[#This Row],[Loss date]])*12+MONTH(Table1[[#This Row],[Loss date]])-Earliest_Month)/4)</f>
        <v>22</v>
      </c>
      <c r="Y87" s="17">
        <f>INT((YEAR(Table1[[#This Row],[Reporting date]])*12+MONTH(Table1[[#This Row],[Reporting date]])-Earliest_Month)/4)</f>
        <v>22</v>
      </c>
      <c r="Z87" s="17">
        <f>Table1[[#This Row],[Reporting third]]-Table1[[#This Row],[Policy third]]</f>
        <v>0</v>
      </c>
      <c r="AA87" s="71">
        <f>IF(Table1[[#This Row],[Overall amount]]=0,"N/A",Table1[[#This Row],[Outstanding]]/Table1[[#This Row],[Overall amount]])</f>
        <v>0.99350649350649345</v>
      </c>
      <c r="AB87" s="17">
        <f>IF(MONTH(Table1[[#This Row],[Loss date]])&lt;Pol_Inc_Month_Shifted,YEAR(Table1[[#This Row],[Loss date]])-1,YEAR(Table1[[#This Row],[Loss date]]))</f>
        <v>2011</v>
      </c>
      <c r="AC87" s="17">
        <f>IF(MONTH(Table1[[#This Row],[Reporting date]])&lt;Pol_Inc_Month_Shifted,YEAR(Table1[[#This Row],[Reporting date]])-1,YEAR(Table1[[#This Row],[Reporting date]]))</f>
        <v>2011</v>
      </c>
      <c r="AD87" s="17">
        <f>Table1[[#This Row],[Reporting year (shifted)]]-Table1[[#This Row],[Policy Year (shifted)]]</f>
        <v>0</v>
      </c>
    </row>
    <row r="88" spans="1:30" ht="13.9">
      <c r="A88" s="8" t="s">
        <v>1858</v>
      </c>
      <c r="B88" s="8" t="s">
        <v>85</v>
      </c>
      <c r="C88" s="8" t="s">
        <v>123</v>
      </c>
      <c r="D88" s="9">
        <v>40944</v>
      </c>
      <c r="E88" s="9">
        <v>41233</v>
      </c>
      <c r="F88" s="17">
        <f>IF(MONTH(Table1[[#This Row],[Loss date]])&lt;Policy_Inception_Month,YEAR(Table1[[#This Row],[Loss date]])-1,YEAR(Table1[[#This Row],[Loss date]]))</f>
        <v>2011</v>
      </c>
      <c r="G88" s="10" t="s">
        <v>125</v>
      </c>
      <c r="H88" s="10" t="s">
        <v>2</v>
      </c>
      <c r="I88" s="11">
        <v>1119.940892561619</v>
      </c>
      <c r="J88" s="11">
        <v>13355.656381041979</v>
      </c>
      <c r="K88" s="11">
        <v>14475.597273603598</v>
      </c>
      <c r="L88" s="12">
        <v>0</v>
      </c>
      <c r="M88" s="12">
        <v>0</v>
      </c>
      <c r="N88" s="12">
        <v>14475.597273603598</v>
      </c>
      <c r="O88" s="70">
        <f>IF(Table1[[#This Row],[Overall amount]]=0,0,1)</f>
        <v>1</v>
      </c>
      <c r="P88" s="70">
        <f>Table1[[#This Row],[Overall amount]]*Exchange_Rate</f>
        <v>14475.597273603598</v>
      </c>
      <c r="Q88" s="70">
        <f>Table1[[#This Row],[Overall (destination currency)]]*(1+Claims_Inflation)^((Revalue_at_date-Table1[[#This Row],[Loss date]])/365.25)</f>
        <v>17299.199999999997</v>
      </c>
      <c r="R88" s="70">
        <f>INT(Table1[[#This Row],[Reporting date]])-INT(Table1[[#This Row],[Loss date]])</f>
        <v>289</v>
      </c>
      <c r="S88" s="69" t="s">
        <v>16</v>
      </c>
      <c r="T88" s="70">
        <f>VLOOKUP(Table1[[#This Row],[Policy Year]],exposure_table,3,FALSE)</f>
        <v>870.52680000000009</v>
      </c>
      <c r="U88" s="17">
        <f>IF(MONTH(Table1[[#This Row],[Reporting date]])&lt;Policy_Inception_Month,YEAR(Table1[[#This Row],[Reporting date]])-1,YEAR(Table1[[#This Row],[Reporting date]]))</f>
        <v>2012</v>
      </c>
      <c r="V88" s="17">
        <f>Table1[[#This Row],[Reporting year]]-Table1[[#This Row],[Policy Year]]</f>
        <v>1</v>
      </c>
      <c r="W88" s="17">
        <f>INT(Table1[[#This Row],[Reporting date]])-INT(Table1[[#This Row],[Loss date]])</f>
        <v>289</v>
      </c>
      <c r="X88" s="17">
        <f>INT((YEAR(Table1[[#This Row],[Loss date]])*12+MONTH(Table1[[#This Row],[Loss date]])-Earliest_Month)/4)</f>
        <v>20</v>
      </c>
      <c r="Y88" s="17">
        <f>INT((YEAR(Table1[[#This Row],[Reporting date]])*12+MONTH(Table1[[#This Row],[Reporting date]])-Earliest_Month)/4)</f>
        <v>22</v>
      </c>
      <c r="Z88" s="17">
        <f>Table1[[#This Row],[Reporting third]]-Table1[[#This Row],[Policy third]]</f>
        <v>2</v>
      </c>
      <c r="AA88" s="71">
        <f>IF(Table1[[#This Row],[Overall amount]]=0,"N/A",Table1[[#This Row],[Outstanding]]/Table1[[#This Row],[Overall amount]])</f>
        <v>0.92263249167591566</v>
      </c>
      <c r="AB88" s="17">
        <f>IF(MONTH(Table1[[#This Row],[Loss date]])&lt;Pol_Inc_Month_Shifted,YEAR(Table1[[#This Row],[Loss date]])-1,YEAR(Table1[[#This Row],[Loss date]]))</f>
        <v>2011</v>
      </c>
      <c r="AC88" s="17">
        <f>IF(MONTH(Table1[[#This Row],[Reporting date]])&lt;Pol_Inc_Month_Shifted,YEAR(Table1[[#This Row],[Reporting date]])-1,YEAR(Table1[[#This Row],[Reporting date]]))</f>
        <v>2011</v>
      </c>
      <c r="AD88" s="17">
        <f>Table1[[#This Row],[Reporting year (shifted)]]-Table1[[#This Row],[Policy Year (shifted)]]</f>
        <v>0</v>
      </c>
    </row>
    <row r="89" spans="1:30" ht="13.9">
      <c r="A89" s="8" t="s">
        <v>1859</v>
      </c>
      <c r="B89" s="8" t="s">
        <v>86</v>
      </c>
      <c r="C89" s="8" t="s">
        <v>123</v>
      </c>
      <c r="D89" s="9">
        <v>40459</v>
      </c>
      <c r="E89" s="9">
        <v>41243</v>
      </c>
      <c r="F89" s="17">
        <f>IF(MONTH(Table1[[#This Row],[Loss date]])&lt;Policy_Inception_Month,YEAR(Table1[[#This Row],[Loss date]])-1,YEAR(Table1[[#This Row],[Loss date]]))</f>
        <v>2010</v>
      </c>
      <c r="G89" s="10" t="s">
        <v>125</v>
      </c>
      <c r="H89" s="10" t="s">
        <v>2</v>
      </c>
      <c r="I89" s="11">
        <v>0</v>
      </c>
      <c r="J89" s="11">
        <v>0</v>
      </c>
      <c r="K89" s="11">
        <v>0</v>
      </c>
      <c r="L89" s="12">
        <v>0</v>
      </c>
      <c r="M89" s="12">
        <v>0</v>
      </c>
      <c r="N89" s="12">
        <v>0</v>
      </c>
      <c r="O89" s="70">
        <f>IF(Table1[[#This Row],[Overall amount]]=0,0,1)</f>
        <v>0</v>
      </c>
      <c r="P89" s="70">
        <f>Table1[[#This Row],[Overall amount]]*Exchange_Rate</f>
        <v>0</v>
      </c>
      <c r="Q89" s="70">
        <f>Table1[[#This Row],[Overall (destination currency)]]*(1+Claims_Inflation)^((Revalue_at_date-Table1[[#This Row],[Loss date]])/365.25)</f>
        <v>0</v>
      </c>
      <c r="R89" s="70">
        <f>INT(Table1[[#This Row],[Reporting date]])-INT(Table1[[#This Row],[Loss date]])</f>
        <v>784</v>
      </c>
      <c r="S89" s="69" t="s">
        <v>9</v>
      </c>
      <c r="T89" s="70">
        <f>VLOOKUP(Table1[[#This Row],[Policy Year]],exposure_table,3,FALSE)</f>
        <v>837.11513600000012</v>
      </c>
      <c r="U89" s="17">
        <f>IF(MONTH(Table1[[#This Row],[Reporting date]])&lt;Policy_Inception_Month,YEAR(Table1[[#This Row],[Reporting date]])-1,YEAR(Table1[[#This Row],[Reporting date]]))</f>
        <v>2012</v>
      </c>
      <c r="V89" s="17">
        <f>Table1[[#This Row],[Reporting year]]-Table1[[#This Row],[Policy Year]]</f>
        <v>2</v>
      </c>
      <c r="W89" s="17">
        <f>INT(Table1[[#This Row],[Reporting date]])-INT(Table1[[#This Row],[Loss date]])</f>
        <v>784</v>
      </c>
      <c r="X89" s="17">
        <f>INT((YEAR(Table1[[#This Row],[Loss date]])*12+MONTH(Table1[[#This Row],[Loss date]])-Earliest_Month)/4)</f>
        <v>16</v>
      </c>
      <c r="Y89" s="17">
        <f>INT((YEAR(Table1[[#This Row],[Reporting date]])*12+MONTH(Table1[[#This Row],[Reporting date]])-Earliest_Month)/4)</f>
        <v>22</v>
      </c>
      <c r="Z89" s="17">
        <f>Table1[[#This Row],[Reporting third]]-Table1[[#This Row],[Policy third]]</f>
        <v>6</v>
      </c>
      <c r="AA89" s="71" t="str">
        <f>IF(Table1[[#This Row],[Overall amount]]=0,"N/A",Table1[[#This Row],[Outstanding]]/Table1[[#This Row],[Overall amount]])</f>
        <v>N/A</v>
      </c>
      <c r="AB89" s="17">
        <f>IF(MONTH(Table1[[#This Row],[Loss date]])&lt;Pol_Inc_Month_Shifted,YEAR(Table1[[#This Row],[Loss date]])-1,YEAR(Table1[[#This Row],[Loss date]]))</f>
        <v>2009</v>
      </c>
      <c r="AC89" s="17">
        <f>IF(MONTH(Table1[[#This Row],[Reporting date]])&lt;Pol_Inc_Month_Shifted,YEAR(Table1[[#This Row],[Reporting date]])-1,YEAR(Table1[[#This Row],[Reporting date]]))</f>
        <v>2011</v>
      </c>
      <c r="AD89" s="17">
        <f>Table1[[#This Row],[Reporting year (shifted)]]-Table1[[#This Row],[Policy Year (shifted)]]</f>
        <v>2</v>
      </c>
    </row>
    <row r="90" spans="1:30" ht="13.9">
      <c r="A90" s="8" t="s">
        <v>1860</v>
      </c>
      <c r="B90" s="8" t="s">
        <v>87</v>
      </c>
      <c r="C90" s="8" t="s">
        <v>123</v>
      </c>
      <c r="D90" s="9">
        <v>40879</v>
      </c>
      <c r="E90" s="9">
        <v>41244</v>
      </c>
      <c r="F90" s="17">
        <f>IF(MONTH(Table1[[#This Row],[Loss date]])&lt;Policy_Inception_Month,YEAR(Table1[[#This Row],[Loss date]])-1,YEAR(Table1[[#This Row],[Loss date]]))</f>
        <v>2011</v>
      </c>
      <c r="G90" s="10" t="s">
        <v>125</v>
      </c>
      <c r="H90" s="10" t="s">
        <v>2</v>
      </c>
      <c r="I90" s="11">
        <v>7367.3693369032198</v>
      </c>
      <c r="J90" s="11">
        <v>0</v>
      </c>
      <c r="K90" s="11">
        <v>7367.3693369032198</v>
      </c>
      <c r="L90" s="12">
        <v>0</v>
      </c>
      <c r="M90" s="12">
        <v>0</v>
      </c>
      <c r="N90" s="12">
        <v>7367.3693369032198</v>
      </c>
      <c r="O90" s="70">
        <f>IF(Table1[[#This Row],[Overall amount]]=0,0,1)</f>
        <v>1</v>
      </c>
      <c r="P90" s="70">
        <f>Table1[[#This Row],[Overall amount]]*Exchange_Rate</f>
        <v>7367.3693369032198</v>
      </c>
      <c r="Q90" s="70">
        <f>Table1[[#This Row],[Overall (destination currency)]]*(1+Claims_Inflation)^((Revalue_at_date-Table1[[#This Row],[Loss date]])/365.25)</f>
        <v>8881.2240000000002</v>
      </c>
      <c r="R90" s="70">
        <f>INT(Table1[[#This Row],[Reporting date]])-INT(Table1[[#This Row],[Loss date]])</f>
        <v>365</v>
      </c>
      <c r="S90" s="69" t="s">
        <v>9</v>
      </c>
      <c r="T90" s="70">
        <f>VLOOKUP(Table1[[#This Row],[Policy Year]],exposure_table,3,FALSE)</f>
        <v>870.52680000000009</v>
      </c>
      <c r="U90" s="17">
        <f>IF(MONTH(Table1[[#This Row],[Reporting date]])&lt;Policy_Inception_Month,YEAR(Table1[[#This Row],[Reporting date]])-1,YEAR(Table1[[#This Row],[Reporting date]]))</f>
        <v>2012</v>
      </c>
      <c r="V90" s="17">
        <f>Table1[[#This Row],[Reporting year]]-Table1[[#This Row],[Policy Year]]</f>
        <v>1</v>
      </c>
      <c r="W90" s="17">
        <f>INT(Table1[[#This Row],[Reporting date]])-INT(Table1[[#This Row],[Loss date]])</f>
        <v>365</v>
      </c>
      <c r="X90" s="17">
        <f>INT((YEAR(Table1[[#This Row],[Loss date]])*12+MONTH(Table1[[#This Row],[Loss date]])-Earliest_Month)/4)</f>
        <v>20</v>
      </c>
      <c r="Y90" s="17">
        <f>INT((YEAR(Table1[[#This Row],[Reporting date]])*12+MONTH(Table1[[#This Row],[Reporting date]])-Earliest_Month)/4)</f>
        <v>23</v>
      </c>
      <c r="Z90" s="17">
        <f>Table1[[#This Row],[Reporting third]]-Table1[[#This Row],[Policy third]]</f>
        <v>3</v>
      </c>
      <c r="AA90" s="71">
        <f>IF(Table1[[#This Row],[Overall amount]]=0,"N/A",Table1[[#This Row],[Outstanding]]/Table1[[#This Row],[Overall amount]])</f>
        <v>0</v>
      </c>
      <c r="AB90" s="17">
        <f>IF(MONTH(Table1[[#This Row],[Loss date]])&lt;Pol_Inc_Month_Shifted,YEAR(Table1[[#This Row],[Loss date]])-1,YEAR(Table1[[#This Row],[Loss date]]))</f>
        <v>2011</v>
      </c>
      <c r="AC90" s="17">
        <f>IF(MONTH(Table1[[#This Row],[Reporting date]])&lt;Pol_Inc_Month_Shifted,YEAR(Table1[[#This Row],[Reporting date]])-1,YEAR(Table1[[#This Row],[Reporting date]]))</f>
        <v>2012</v>
      </c>
      <c r="AD90" s="17">
        <f>Table1[[#This Row],[Reporting year (shifted)]]-Table1[[#This Row],[Policy Year (shifted)]]</f>
        <v>1</v>
      </c>
    </row>
    <row r="91" spans="1:30" ht="13.9">
      <c r="A91" s="8" t="s">
        <v>1861</v>
      </c>
      <c r="B91" s="8" t="s">
        <v>88</v>
      </c>
      <c r="C91" s="8" t="s">
        <v>123</v>
      </c>
      <c r="D91" s="9">
        <v>41124</v>
      </c>
      <c r="E91" s="9">
        <v>41247</v>
      </c>
      <c r="F91" s="17">
        <f>IF(MONTH(Table1[[#This Row],[Loss date]])&lt;Policy_Inception_Month,YEAR(Table1[[#This Row],[Loss date]])-1,YEAR(Table1[[#This Row],[Loss date]]))</f>
        <v>2012</v>
      </c>
      <c r="G91" s="10" t="s">
        <v>125</v>
      </c>
      <c r="H91" s="10" t="s">
        <v>2</v>
      </c>
      <c r="I91" s="11">
        <v>5914.2806356188012</v>
      </c>
      <c r="J91" s="11">
        <v>0</v>
      </c>
      <c r="K91" s="11">
        <v>5914.2806356188012</v>
      </c>
      <c r="L91" s="12">
        <v>0</v>
      </c>
      <c r="M91" s="12">
        <v>0</v>
      </c>
      <c r="N91" s="12">
        <v>5914.2806356188012</v>
      </c>
      <c r="O91" s="70">
        <f>IF(Table1[[#This Row],[Overall amount]]=0,0,1)</f>
        <v>1</v>
      </c>
      <c r="P91" s="70">
        <f>Table1[[#This Row],[Overall amount]]*Exchange_Rate</f>
        <v>5914.2806356188012</v>
      </c>
      <c r="Q91" s="70">
        <f>Table1[[#This Row],[Overall (destination currency)]]*(1+Claims_Inflation)^((Revalue_at_date-Table1[[#This Row],[Loss date]])/365.25)</f>
        <v>6900</v>
      </c>
      <c r="R91" s="70">
        <f>INT(Table1[[#This Row],[Reporting date]])-INT(Table1[[#This Row],[Loss date]])</f>
        <v>123</v>
      </c>
      <c r="S91" s="69" t="s">
        <v>9</v>
      </c>
      <c r="T91" s="70">
        <f>VLOOKUP(Table1[[#This Row],[Policy Year]],exposure_table,3,FALSE)</f>
        <v>1057.54</v>
      </c>
      <c r="U91" s="17">
        <f>IF(MONTH(Table1[[#This Row],[Reporting date]])&lt;Policy_Inception_Month,YEAR(Table1[[#This Row],[Reporting date]])-1,YEAR(Table1[[#This Row],[Reporting date]]))</f>
        <v>2012</v>
      </c>
      <c r="V91" s="17">
        <f>Table1[[#This Row],[Reporting year]]-Table1[[#This Row],[Policy Year]]</f>
        <v>0</v>
      </c>
      <c r="W91" s="17">
        <f>INT(Table1[[#This Row],[Reporting date]])-INT(Table1[[#This Row],[Loss date]])</f>
        <v>123</v>
      </c>
      <c r="X91" s="17">
        <f>INT((YEAR(Table1[[#This Row],[Loss date]])*12+MONTH(Table1[[#This Row],[Loss date]])-Earliest_Month)/4)</f>
        <v>22</v>
      </c>
      <c r="Y91" s="17">
        <f>INT((YEAR(Table1[[#This Row],[Reporting date]])*12+MONTH(Table1[[#This Row],[Reporting date]])-Earliest_Month)/4)</f>
        <v>23</v>
      </c>
      <c r="Z91" s="17">
        <f>Table1[[#This Row],[Reporting third]]-Table1[[#This Row],[Policy third]]</f>
        <v>1</v>
      </c>
      <c r="AA91" s="71">
        <f>IF(Table1[[#This Row],[Overall amount]]=0,"N/A",Table1[[#This Row],[Outstanding]]/Table1[[#This Row],[Overall amount]])</f>
        <v>0</v>
      </c>
      <c r="AB91" s="17">
        <f>IF(MONTH(Table1[[#This Row],[Loss date]])&lt;Pol_Inc_Month_Shifted,YEAR(Table1[[#This Row],[Loss date]])-1,YEAR(Table1[[#This Row],[Loss date]]))</f>
        <v>2011</v>
      </c>
      <c r="AC91" s="17">
        <f>IF(MONTH(Table1[[#This Row],[Reporting date]])&lt;Pol_Inc_Month_Shifted,YEAR(Table1[[#This Row],[Reporting date]])-1,YEAR(Table1[[#This Row],[Reporting date]]))</f>
        <v>2012</v>
      </c>
      <c r="AD91" s="17">
        <f>Table1[[#This Row],[Reporting year (shifted)]]-Table1[[#This Row],[Policy Year (shifted)]]</f>
        <v>1</v>
      </c>
    </row>
    <row r="92" spans="1:30" ht="13.9">
      <c r="A92" s="8" t="s">
        <v>1862</v>
      </c>
      <c r="B92" s="8" t="s">
        <v>89</v>
      </c>
      <c r="C92" s="8" t="s">
        <v>123</v>
      </c>
      <c r="D92" s="9">
        <v>41112</v>
      </c>
      <c r="E92" s="9">
        <v>41251</v>
      </c>
      <c r="F92" s="17">
        <f>IF(MONTH(Table1[[#This Row],[Loss date]])&lt;Policy_Inception_Month,YEAR(Table1[[#This Row],[Loss date]])-1,YEAR(Table1[[#This Row],[Loss date]]))</f>
        <v>2012</v>
      </c>
      <c r="G92" s="10" t="s">
        <v>125</v>
      </c>
      <c r="H92" s="10" t="s">
        <v>2</v>
      </c>
      <c r="I92" s="11">
        <v>8420.7694715805137</v>
      </c>
      <c r="J92" s="11">
        <v>0</v>
      </c>
      <c r="K92" s="11">
        <v>8420.7694715805137</v>
      </c>
      <c r="L92" s="12">
        <v>0</v>
      </c>
      <c r="M92" s="12">
        <v>0</v>
      </c>
      <c r="N92" s="12">
        <v>8420.7694715805137</v>
      </c>
      <c r="O92" s="70">
        <f>IF(Table1[[#This Row],[Overall amount]]=0,0,1)</f>
        <v>1</v>
      </c>
      <c r="P92" s="70">
        <f>Table1[[#This Row],[Overall amount]]*Exchange_Rate</f>
        <v>8420.7694715805137</v>
      </c>
      <c r="Q92" s="70">
        <f>Table1[[#This Row],[Overall (destination currency)]]*(1+Claims_Inflation)^((Revalue_at_date-Table1[[#This Row],[Loss date]])/365.25)</f>
        <v>9840</v>
      </c>
      <c r="R92" s="70">
        <f>INT(Table1[[#This Row],[Reporting date]])-INT(Table1[[#This Row],[Loss date]])</f>
        <v>139</v>
      </c>
      <c r="S92" s="69" t="s">
        <v>9</v>
      </c>
      <c r="T92" s="70">
        <f>VLOOKUP(Table1[[#This Row],[Policy Year]],exposure_table,3,FALSE)</f>
        <v>1057.54</v>
      </c>
      <c r="U92" s="17">
        <f>IF(MONTH(Table1[[#This Row],[Reporting date]])&lt;Policy_Inception_Month,YEAR(Table1[[#This Row],[Reporting date]])-1,YEAR(Table1[[#This Row],[Reporting date]]))</f>
        <v>2012</v>
      </c>
      <c r="V92" s="17">
        <f>Table1[[#This Row],[Reporting year]]-Table1[[#This Row],[Policy Year]]</f>
        <v>0</v>
      </c>
      <c r="W92" s="17">
        <f>INT(Table1[[#This Row],[Reporting date]])-INT(Table1[[#This Row],[Loss date]])</f>
        <v>139</v>
      </c>
      <c r="X92" s="17">
        <f>INT((YEAR(Table1[[#This Row],[Loss date]])*12+MONTH(Table1[[#This Row],[Loss date]])-Earliest_Month)/4)</f>
        <v>21</v>
      </c>
      <c r="Y92" s="17">
        <f>INT((YEAR(Table1[[#This Row],[Reporting date]])*12+MONTH(Table1[[#This Row],[Reporting date]])-Earliest_Month)/4)</f>
        <v>23</v>
      </c>
      <c r="Z92" s="17">
        <f>Table1[[#This Row],[Reporting third]]-Table1[[#This Row],[Policy third]]</f>
        <v>2</v>
      </c>
      <c r="AA92" s="71">
        <f>IF(Table1[[#This Row],[Overall amount]]=0,"N/A",Table1[[#This Row],[Outstanding]]/Table1[[#This Row],[Overall amount]])</f>
        <v>0</v>
      </c>
      <c r="AB92" s="17">
        <f>IF(MONTH(Table1[[#This Row],[Loss date]])&lt;Pol_Inc_Month_Shifted,YEAR(Table1[[#This Row],[Loss date]])-1,YEAR(Table1[[#This Row],[Loss date]]))</f>
        <v>2011</v>
      </c>
      <c r="AC92" s="17">
        <f>IF(MONTH(Table1[[#This Row],[Reporting date]])&lt;Pol_Inc_Month_Shifted,YEAR(Table1[[#This Row],[Reporting date]])-1,YEAR(Table1[[#This Row],[Reporting date]]))</f>
        <v>2012</v>
      </c>
      <c r="AD92" s="17">
        <f>Table1[[#This Row],[Reporting year (shifted)]]-Table1[[#This Row],[Policy Year (shifted)]]</f>
        <v>1</v>
      </c>
    </row>
    <row r="93" spans="1:30" ht="13.9">
      <c r="A93" s="8" t="s">
        <v>1863</v>
      </c>
      <c r="B93" s="8" t="s">
        <v>90</v>
      </c>
      <c r="C93" s="8" t="s">
        <v>123</v>
      </c>
      <c r="D93" s="9">
        <v>41119</v>
      </c>
      <c r="E93" s="9">
        <v>41253</v>
      </c>
      <c r="F93" s="17">
        <f>IF(MONTH(Table1[[#This Row],[Loss date]])&lt;Policy_Inception_Month,YEAR(Table1[[#This Row],[Loss date]])-1,YEAR(Table1[[#This Row],[Loss date]]))</f>
        <v>2012</v>
      </c>
      <c r="G93" s="10" t="s">
        <v>125</v>
      </c>
      <c r="H93" s="10" t="s">
        <v>2</v>
      </c>
      <c r="I93" s="11">
        <v>0</v>
      </c>
      <c r="J93" s="11">
        <v>0</v>
      </c>
      <c r="K93" s="11">
        <v>0</v>
      </c>
      <c r="L93" s="12">
        <v>0</v>
      </c>
      <c r="M93" s="12">
        <v>0</v>
      </c>
      <c r="N93" s="12">
        <v>0</v>
      </c>
      <c r="O93" s="70">
        <f>IF(Table1[[#This Row],[Overall amount]]=0,0,1)</f>
        <v>0</v>
      </c>
      <c r="P93" s="70">
        <f>Table1[[#This Row],[Overall amount]]*Exchange_Rate</f>
        <v>0</v>
      </c>
      <c r="Q93" s="70">
        <f>Table1[[#This Row],[Overall (destination currency)]]*(1+Claims_Inflation)^((Revalue_at_date-Table1[[#This Row],[Loss date]])/365.25)</f>
        <v>0</v>
      </c>
      <c r="R93" s="70">
        <f>INT(Table1[[#This Row],[Reporting date]])-INT(Table1[[#This Row],[Loss date]])</f>
        <v>134</v>
      </c>
      <c r="S93" s="69" t="s">
        <v>9</v>
      </c>
      <c r="T93" s="70">
        <f>VLOOKUP(Table1[[#This Row],[Policy Year]],exposure_table,3,FALSE)</f>
        <v>1057.54</v>
      </c>
      <c r="U93" s="17">
        <f>IF(MONTH(Table1[[#This Row],[Reporting date]])&lt;Policy_Inception_Month,YEAR(Table1[[#This Row],[Reporting date]])-1,YEAR(Table1[[#This Row],[Reporting date]]))</f>
        <v>2012</v>
      </c>
      <c r="V93" s="17">
        <f>Table1[[#This Row],[Reporting year]]-Table1[[#This Row],[Policy Year]]</f>
        <v>0</v>
      </c>
      <c r="W93" s="17">
        <f>INT(Table1[[#This Row],[Reporting date]])-INT(Table1[[#This Row],[Loss date]])</f>
        <v>134</v>
      </c>
      <c r="X93" s="17">
        <f>INT((YEAR(Table1[[#This Row],[Loss date]])*12+MONTH(Table1[[#This Row],[Loss date]])-Earliest_Month)/4)</f>
        <v>21</v>
      </c>
      <c r="Y93" s="17">
        <f>INT((YEAR(Table1[[#This Row],[Reporting date]])*12+MONTH(Table1[[#This Row],[Reporting date]])-Earliest_Month)/4)</f>
        <v>23</v>
      </c>
      <c r="Z93" s="17">
        <f>Table1[[#This Row],[Reporting third]]-Table1[[#This Row],[Policy third]]</f>
        <v>2</v>
      </c>
      <c r="AA93" s="71" t="str">
        <f>IF(Table1[[#This Row],[Overall amount]]=0,"N/A",Table1[[#This Row],[Outstanding]]/Table1[[#This Row],[Overall amount]])</f>
        <v>N/A</v>
      </c>
      <c r="AB93" s="17">
        <f>IF(MONTH(Table1[[#This Row],[Loss date]])&lt;Pol_Inc_Month_Shifted,YEAR(Table1[[#This Row],[Loss date]])-1,YEAR(Table1[[#This Row],[Loss date]]))</f>
        <v>2011</v>
      </c>
      <c r="AC93" s="17">
        <f>IF(MONTH(Table1[[#This Row],[Reporting date]])&lt;Pol_Inc_Month_Shifted,YEAR(Table1[[#This Row],[Reporting date]])-1,YEAR(Table1[[#This Row],[Reporting date]]))</f>
        <v>2012</v>
      </c>
      <c r="AD93" s="17">
        <f>Table1[[#This Row],[Reporting year (shifted)]]-Table1[[#This Row],[Policy Year (shifted)]]</f>
        <v>1</v>
      </c>
    </row>
    <row r="94" spans="1:30" ht="13.9">
      <c r="A94" s="8" t="s">
        <v>1864</v>
      </c>
      <c r="B94" s="8" t="s">
        <v>91</v>
      </c>
      <c r="C94" s="8" t="s">
        <v>123</v>
      </c>
      <c r="D94" s="9">
        <v>41189</v>
      </c>
      <c r="E94" s="9">
        <v>41257</v>
      </c>
      <c r="F94" s="17">
        <f>IF(MONTH(Table1[[#This Row],[Loss date]])&lt;Policy_Inception_Month,YEAR(Table1[[#This Row],[Loss date]])-1,YEAR(Table1[[#This Row],[Loss date]]))</f>
        <v>2012</v>
      </c>
      <c r="G94" s="10" t="s">
        <v>124</v>
      </c>
      <c r="H94" s="10" t="s">
        <v>2</v>
      </c>
      <c r="I94" s="11">
        <v>51.877010581225925</v>
      </c>
      <c r="J94" s="11">
        <v>0</v>
      </c>
      <c r="K94" s="11">
        <v>51.877010581225925</v>
      </c>
      <c r="L94" s="12">
        <v>0</v>
      </c>
      <c r="M94" s="12">
        <v>0</v>
      </c>
      <c r="N94" s="12">
        <v>51.877010581225925</v>
      </c>
      <c r="O94" s="70">
        <f>IF(Table1[[#This Row],[Overall amount]]=0,0,1)</f>
        <v>1</v>
      </c>
      <c r="P94" s="70">
        <f>Table1[[#This Row],[Overall amount]]*Exchange_Rate</f>
        <v>51.877010581225925</v>
      </c>
      <c r="Q94" s="70">
        <f>Table1[[#This Row],[Overall (destination currency)]]*(1+Claims_Inflation)^((Revalue_at_date-Table1[[#This Row],[Loss date]])/365.25)</f>
        <v>60.000000000000014</v>
      </c>
      <c r="R94" s="70">
        <f>INT(Table1[[#This Row],[Reporting date]])-INT(Table1[[#This Row],[Loss date]])</f>
        <v>68</v>
      </c>
      <c r="S94" s="69" t="s">
        <v>9</v>
      </c>
      <c r="T94" s="70">
        <f>VLOOKUP(Table1[[#This Row],[Policy Year]],exposure_table,3,FALSE)</f>
        <v>1057.54</v>
      </c>
      <c r="U94" s="17">
        <f>IF(MONTH(Table1[[#This Row],[Reporting date]])&lt;Policy_Inception_Month,YEAR(Table1[[#This Row],[Reporting date]])-1,YEAR(Table1[[#This Row],[Reporting date]]))</f>
        <v>2012</v>
      </c>
      <c r="V94" s="17">
        <f>Table1[[#This Row],[Reporting year]]-Table1[[#This Row],[Policy Year]]</f>
        <v>0</v>
      </c>
      <c r="W94" s="17">
        <f>INT(Table1[[#This Row],[Reporting date]])-INT(Table1[[#This Row],[Loss date]])</f>
        <v>68</v>
      </c>
      <c r="X94" s="17">
        <f>INT((YEAR(Table1[[#This Row],[Loss date]])*12+MONTH(Table1[[#This Row],[Loss date]])-Earliest_Month)/4)</f>
        <v>22</v>
      </c>
      <c r="Y94" s="17">
        <f>INT((YEAR(Table1[[#This Row],[Reporting date]])*12+MONTH(Table1[[#This Row],[Reporting date]])-Earliest_Month)/4)</f>
        <v>23</v>
      </c>
      <c r="Z94" s="17">
        <f>Table1[[#This Row],[Reporting third]]-Table1[[#This Row],[Policy third]]</f>
        <v>1</v>
      </c>
      <c r="AA94" s="71">
        <f>IF(Table1[[#This Row],[Overall amount]]=0,"N/A",Table1[[#This Row],[Outstanding]]/Table1[[#This Row],[Overall amount]])</f>
        <v>0</v>
      </c>
      <c r="AB94" s="17">
        <f>IF(MONTH(Table1[[#This Row],[Loss date]])&lt;Pol_Inc_Month_Shifted,YEAR(Table1[[#This Row],[Loss date]])-1,YEAR(Table1[[#This Row],[Loss date]]))</f>
        <v>2011</v>
      </c>
      <c r="AC94" s="17">
        <f>IF(MONTH(Table1[[#This Row],[Reporting date]])&lt;Pol_Inc_Month_Shifted,YEAR(Table1[[#This Row],[Reporting date]])-1,YEAR(Table1[[#This Row],[Reporting date]]))</f>
        <v>2012</v>
      </c>
      <c r="AD94" s="17">
        <f>Table1[[#This Row],[Reporting year (shifted)]]-Table1[[#This Row],[Policy Year (shifted)]]</f>
        <v>1</v>
      </c>
    </row>
    <row r="95" spans="1:30" ht="13.9">
      <c r="A95" s="8" t="s">
        <v>1865</v>
      </c>
      <c r="B95" s="8" t="s">
        <v>92</v>
      </c>
      <c r="C95" s="8" t="s">
        <v>123</v>
      </c>
      <c r="D95" s="9">
        <v>41125</v>
      </c>
      <c r="E95" s="9">
        <v>41259</v>
      </c>
      <c r="F95" s="17">
        <f>IF(MONTH(Table1[[#This Row],[Loss date]])&lt;Policy_Inception_Month,YEAR(Table1[[#This Row],[Loss date]])-1,YEAR(Table1[[#This Row],[Loss date]]))</f>
        <v>2012</v>
      </c>
      <c r="G95" s="10" t="s">
        <v>125</v>
      </c>
      <c r="H95" s="10" t="s">
        <v>2</v>
      </c>
      <c r="I95" s="11">
        <v>6311.3598831363652</v>
      </c>
      <c r="J95" s="11">
        <v>0</v>
      </c>
      <c r="K95" s="11">
        <v>6311.3598831363652</v>
      </c>
      <c r="L95" s="12">
        <v>0</v>
      </c>
      <c r="M95" s="12">
        <v>0</v>
      </c>
      <c r="N95" s="12">
        <v>6311.3598831363652</v>
      </c>
      <c r="O95" s="70">
        <f>IF(Table1[[#This Row],[Overall amount]]=0,0,1)</f>
        <v>1</v>
      </c>
      <c r="P95" s="70">
        <f>Table1[[#This Row],[Overall amount]]*Exchange_Rate</f>
        <v>6311.3598831363652</v>
      </c>
      <c r="Q95" s="70">
        <f>Table1[[#This Row],[Overall (destination currency)]]*(1+Claims_Inflation)^((Revalue_at_date-Table1[[#This Row],[Loss date]])/365.25)</f>
        <v>7362.2759999999989</v>
      </c>
      <c r="R95" s="70">
        <f>INT(Table1[[#This Row],[Reporting date]])-INT(Table1[[#This Row],[Loss date]])</f>
        <v>134</v>
      </c>
      <c r="S95" s="69" t="s">
        <v>9</v>
      </c>
      <c r="T95" s="70">
        <f>VLOOKUP(Table1[[#This Row],[Policy Year]],exposure_table,3,FALSE)</f>
        <v>1057.54</v>
      </c>
      <c r="U95" s="17">
        <f>IF(MONTH(Table1[[#This Row],[Reporting date]])&lt;Policy_Inception_Month,YEAR(Table1[[#This Row],[Reporting date]])-1,YEAR(Table1[[#This Row],[Reporting date]]))</f>
        <v>2012</v>
      </c>
      <c r="V95" s="17">
        <f>Table1[[#This Row],[Reporting year]]-Table1[[#This Row],[Policy Year]]</f>
        <v>0</v>
      </c>
      <c r="W95" s="17">
        <f>INT(Table1[[#This Row],[Reporting date]])-INT(Table1[[#This Row],[Loss date]])</f>
        <v>134</v>
      </c>
      <c r="X95" s="17">
        <f>INT((YEAR(Table1[[#This Row],[Loss date]])*12+MONTH(Table1[[#This Row],[Loss date]])-Earliest_Month)/4)</f>
        <v>22</v>
      </c>
      <c r="Y95" s="17">
        <f>INT((YEAR(Table1[[#This Row],[Reporting date]])*12+MONTH(Table1[[#This Row],[Reporting date]])-Earliest_Month)/4)</f>
        <v>23</v>
      </c>
      <c r="Z95" s="17">
        <f>Table1[[#This Row],[Reporting third]]-Table1[[#This Row],[Policy third]]</f>
        <v>1</v>
      </c>
      <c r="AA95" s="71">
        <f>IF(Table1[[#This Row],[Overall amount]]=0,"N/A",Table1[[#This Row],[Outstanding]]/Table1[[#This Row],[Overall amount]])</f>
        <v>0</v>
      </c>
      <c r="AB95" s="17">
        <f>IF(MONTH(Table1[[#This Row],[Loss date]])&lt;Pol_Inc_Month_Shifted,YEAR(Table1[[#This Row],[Loss date]])-1,YEAR(Table1[[#This Row],[Loss date]]))</f>
        <v>2011</v>
      </c>
      <c r="AC95" s="17">
        <f>IF(MONTH(Table1[[#This Row],[Reporting date]])&lt;Pol_Inc_Month_Shifted,YEAR(Table1[[#This Row],[Reporting date]])-1,YEAR(Table1[[#This Row],[Reporting date]]))</f>
        <v>2012</v>
      </c>
      <c r="AD95" s="17">
        <f>Table1[[#This Row],[Reporting year (shifted)]]-Table1[[#This Row],[Policy Year (shifted)]]</f>
        <v>1</v>
      </c>
    </row>
    <row r="96" spans="1:30" ht="13.9">
      <c r="A96" s="8" t="s">
        <v>1866</v>
      </c>
      <c r="B96" s="8" t="s">
        <v>93</v>
      </c>
      <c r="C96" s="8" t="s">
        <v>123</v>
      </c>
      <c r="D96" s="9">
        <v>40813</v>
      </c>
      <c r="E96" s="9">
        <v>41258</v>
      </c>
      <c r="F96" s="17">
        <f>IF(MONTH(Table1[[#This Row],[Loss date]])&lt;Policy_Inception_Month,YEAR(Table1[[#This Row],[Loss date]])-1,YEAR(Table1[[#This Row],[Loss date]]))</f>
        <v>2011</v>
      </c>
      <c r="G96" s="10" t="s">
        <v>125</v>
      </c>
      <c r="H96" s="10" t="s">
        <v>2</v>
      </c>
      <c r="I96" s="11">
        <v>0</v>
      </c>
      <c r="J96" s="11">
        <v>0</v>
      </c>
      <c r="K96" s="11">
        <v>0</v>
      </c>
      <c r="L96" s="12">
        <v>0</v>
      </c>
      <c r="M96" s="12">
        <v>8.8804404561780341</v>
      </c>
      <c r="N96" s="12">
        <v>-8.8804404561780341</v>
      </c>
      <c r="O96" s="70">
        <f>IF(Table1[[#This Row],[Overall amount]]=0,0,1)</f>
        <v>1</v>
      </c>
      <c r="P96" s="70">
        <f>Table1[[#This Row],[Overall amount]]*Exchange_Rate</f>
        <v>-8.8804404561780341</v>
      </c>
      <c r="Q96" s="70">
        <f>Table1[[#This Row],[Overall (destination currency)]]*(1+Claims_Inflation)^((Revalue_at_date-Table1[[#This Row],[Loss date]])/365.25)</f>
        <v>-10.8</v>
      </c>
      <c r="R96" s="70">
        <f>INT(Table1[[#This Row],[Reporting date]])-INT(Table1[[#This Row],[Loss date]])</f>
        <v>445</v>
      </c>
      <c r="S96" s="69" t="s">
        <v>9</v>
      </c>
      <c r="T96" s="70">
        <f>VLOOKUP(Table1[[#This Row],[Policy Year]],exposure_table,3,FALSE)</f>
        <v>870.52680000000009</v>
      </c>
      <c r="U96" s="17">
        <f>IF(MONTH(Table1[[#This Row],[Reporting date]])&lt;Policy_Inception_Month,YEAR(Table1[[#This Row],[Reporting date]])-1,YEAR(Table1[[#This Row],[Reporting date]]))</f>
        <v>2012</v>
      </c>
      <c r="V96" s="17">
        <f>Table1[[#This Row],[Reporting year]]-Table1[[#This Row],[Policy Year]]</f>
        <v>1</v>
      </c>
      <c r="W96" s="17">
        <f>INT(Table1[[#This Row],[Reporting date]])-INT(Table1[[#This Row],[Loss date]])</f>
        <v>445</v>
      </c>
      <c r="X96" s="17">
        <f>INT((YEAR(Table1[[#This Row],[Loss date]])*12+MONTH(Table1[[#This Row],[Loss date]])-Earliest_Month)/4)</f>
        <v>19</v>
      </c>
      <c r="Y96" s="17">
        <f>INT((YEAR(Table1[[#This Row],[Reporting date]])*12+MONTH(Table1[[#This Row],[Reporting date]])-Earliest_Month)/4)</f>
        <v>23</v>
      </c>
      <c r="Z96" s="17">
        <f>Table1[[#This Row],[Reporting third]]-Table1[[#This Row],[Policy third]]</f>
        <v>4</v>
      </c>
      <c r="AA96" s="71">
        <f>IF(Table1[[#This Row],[Overall amount]]=0,"N/A",Table1[[#This Row],[Outstanding]]/Table1[[#This Row],[Overall amount]])</f>
        <v>0</v>
      </c>
      <c r="AB96" s="17">
        <f>IF(MONTH(Table1[[#This Row],[Loss date]])&lt;Pol_Inc_Month_Shifted,YEAR(Table1[[#This Row],[Loss date]])-1,YEAR(Table1[[#This Row],[Loss date]]))</f>
        <v>2010</v>
      </c>
      <c r="AC96" s="17">
        <f>IF(MONTH(Table1[[#This Row],[Reporting date]])&lt;Pol_Inc_Month_Shifted,YEAR(Table1[[#This Row],[Reporting date]])-1,YEAR(Table1[[#This Row],[Reporting date]]))</f>
        <v>2012</v>
      </c>
      <c r="AD96" s="17">
        <f>Table1[[#This Row],[Reporting year (shifted)]]-Table1[[#This Row],[Policy Year (shifted)]]</f>
        <v>2</v>
      </c>
    </row>
    <row r="97" spans="1:30" ht="13.9">
      <c r="A97" s="8" t="s">
        <v>1867</v>
      </c>
      <c r="B97" s="8" t="s">
        <v>94</v>
      </c>
      <c r="C97" s="8" t="s">
        <v>123</v>
      </c>
      <c r="D97" s="9">
        <v>41026</v>
      </c>
      <c r="E97" s="9">
        <v>41280</v>
      </c>
      <c r="F97" s="17">
        <f>IF(MONTH(Table1[[#This Row],[Loss date]])&lt;Policy_Inception_Month,YEAR(Table1[[#This Row],[Loss date]])-1,YEAR(Table1[[#This Row],[Loss date]]))</f>
        <v>2012</v>
      </c>
      <c r="G97" s="10" t="s">
        <v>125</v>
      </c>
      <c r="H97" s="10" t="s">
        <v>2</v>
      </c>
      <c r="I97" s="11">
        <v>0</v>
      </c>
      <c r="J97" s="11">
        <v>0</v>
      </c>
      <c r="K97" s="11">
        <v>0</v>
      </c>
      <c r="L97" s="12">
        <v>0</v>
      </c>
      <c r="M97" s="12">
        <v>0</v>
      </c>
      <c r="N97" s="12">
        <v>0</v>
      </c>
      <c r="O97" s="70">
        <f>IF(Table1[[#This Row],[Overall amount]]=0,0,1)</f>
        <v>0</v>
      </c>
      <c r="P97" s="70">
        <f>Table1[[#This Row],[Overall amount]]*Exchange_Rate</f>
        <v>0</v>
      </c>
      <c r="Q97" s="70">
        <f>Table1[[#This Row],[Overall (destination currency)]]*(1+Claims_Inflation)^((Revalue_at_date-Table1[[#This Row],[Loss date]])/365.25)</f>
        <v>0</v>
      </c>
      <c r="R97" s="70">
        <f>INT(Table1[[#This Row],[Reporting date]])-INT(Table1[[#This Row],[Loss date]])</f>
        <v>254</v>
      </c>
      <c r="S97" s="69" t="s">
        <v>9</v>
      </c>
      <c r="T97" s="70">
        <f>VLOOKUP(Table1[[#This Row],[Policy Year]],exposure_table,3,FALSE)</f>
        <v>1057.54</v>
      </c>
      <c r="U97" s="17">
        <f>IF(MONTH(Table1[[#This Row],[Reporting date]])&lt;Policy_Inception_Month,YEAR(Table1[[#This Row],[Reporting date]])-1,YEAR(Table1[[#This Row],[Reporting date]]))</f>
        <v>2012</v>
      </c>
      <c r="V97" s="17">
        <f>Table1[[#This Row],[Reporting year]]-Table1[[#This Row],[Policy Year]]</f>
        <v>0</v>
      </c>
      <c r="W97" s="17">
        <f>INT(Table1[[#This Row],[Reporting date]])-INT(Table1[[#This Row],[Loss date]])</f>
        <v>254</v>
      </c>
      <c r="X97" s="17">
        <f>INT((YEAR(Table1[[#This Row],[Loss date]])*12+MONTH(Table1[[#This Row],[Loss date]])-Earliest_Month)/4)</f>
        <v>21</v>
      </c>
      <c r="Y97" s="17">
        <f>INT((YEAR(Table1[[#This Row],[Reporting date]])*12+MONTH(Table1[[#This Row],[Reporting date]])-Earliest_Month)/4)</f>
        <v>23</v>
      </c>
      <c r="Z97" s="17">
        <f>Table1[[#This Row],[Reporting third]]-Table1[[#This Row],[Policy third]]</f>
        <v>2</v>
      </c>
      <c r="AA97" s="71" t="str">
        <f>IF(Table1[[#This Row],[Overall amount]]=0,"N/A",Table1[[#This Row],[Outstanding]]/Table1[[#This Row],[Overall amount]])</f>
        <v>N/A</v>
      </c>
      <c r="AB97" s="17">
        <f>IF(MONTH(Table1[[#This Row],[Loss date]])&lt;Pol_Inc_Month_Shifted,YEAR(Table1[[#This Row],[Loss date]])-1,YEAR(Table1[[#This Row],[Loss date]]))</f>
        <v>2011</v>
      </c>
      <c r="AC97" s="17">
        <f>IF(MONTH(Table1[[#This Row],[Reporting date]])&lt;Pol_Inc_Month_Shifted,YEAR(Table1[[#This Row],[Reporting date]])-1,YEAR(Table1[[#This Row],[Reporting date]]))</f>
        <v>2012</v>
      </c>
      <c r="AD97" s="17">
        <f>Table1[[#This Row],[Reporting year (shifted)]]-Table1[[#This Row],[Policy Year (shifted)]]</f>
        <v>1</v>
      </c>
    </row>
    <row r="98" spans="1:30" ht="13.9">
      <c r="A98" s="8" t="s">
        <v>1868</v>
      </c>
      <c r="B98" s="8" t="s">
        <v>95</v>
      </c>
      <c r="C98" s="8" t="s">
        <v>123</v>
      </c>
      <c r="D98" s="9">
        <v>41188</v>
      </c>
      <c r="E98" s="9">
        <v>41273</v>
      </c>
      <c r="F98" s="17">
        <f>IF(MONTH(Table1[[#This Row],[Loss date]])&lt;Policy_Inception_Month,YEAR(Table1[[#This Row],[Loss date]])-1,YEAR(Table1[[#This Row],[Loss date]]))</f>
        <v>2012</v>
      </c>
      <c r="G98" s="10" t="s">
        <v>133</v>
      </c>
      <c r="H98" s="10" t="s">
        <v>2</v>
      </c>
      <c r="I98" s="11">
        <v>0</v>
      </c>
      <c r="J98" s="11">
        <v>0</v>
      </c>
      <c r="K98" s="11">
        <v>0</v>
      </c>
      <c r="L98" s="12">
        <v>0</v>
      </c>
      <c r="M98" s="12">
        <v>0</v>
      </c>
      <c r="N98" s="12">
        <v>0</v>
      </c>
      <c r="O98" s="70">
        <f>IF(Table1[[#This Row],[Overall amount]]=0,0,1)</f>
        <v>0</v>
      </c>
      <c r="P98" s="70">
        <f>Table1[[#This Row],[Overall amount]]*Exchange_Rate</f>
        <v>0</v>
      </c>
      <c r="Q98" s="70">
        <f>Table1[[#This Row],[Overall (destination currency)]]*(1+Claims_Inflation)^((Revalue_at_date-Table1[[#This Row],[Loss date]])/365.25)</f>
        <v>0</v>
      </c>
      <c r="R98" s="70">
        <f>INT(Table1[[#This Row],[Reporting date]])-INT(Table1[[#This Row],[Loss date]])</f>
        <v>85</v>
      </c>
      <c r="S98" s="69" t="s">
        <v>9</v>
      </c>
      <c r="T98" s="70">
        <f>VLOOKUP(Table1[[#This Row],[Policy Year]],exposure_table,3,FALSE)</f>
        <v>1057.54</v>
      </c>
      <c r="U98" s="17">
        <f>IF(MONTH(Table1[[#This Row],[Reporting date]])&lt;Policy_Inception_Month,YEAR(Table1[[#This Row],[Reporting date]])-1,YEAR(Table1[[#This Row],[Reporting date]]))</f>
        <v>2012</v>
      </c>
      <c r="V98" s="17">
        <f>Table1[[#This Row],[Reporting year]]-Table1[[#This Row],[Policy Year]]</f>
        <v>0</v>
      </c>
      <c r="W98" s="17">
        <f>INT(Table1[[#This Row],[Reporting date]])-INT(Table1[[#This Row],[Loss date]])</f>
        <v>85</v>
      </c>
      <c r="X98" s="17">
        <f>INT((YEAR(Table1[[#This Row],[Loss date]])*12+MONTH(Table1[[#This Row],[Loss date]])-Earliest_Month)/4)</f>
        <v>22</v>
      </c>
      <c r="Y98" s="17">
        <f>INT((YEAR(Table1[[#This Row],[Reporting date]])*12+MONTH(Table1[[#This Row],[Reporting date]])-Earliest_Month)/4)</f>
        <v>23</v>
      </c>
      <c r="Z98" s="17">
        <f>Table1[[#This Row],[Reporting third]]-Table1[[#This Row],[Policy third]]</f>
        <v>1</v>
      </c>
      <c r="AA98" s="71" t="str">
        <f>IF(Table1[[#This Row],[Overall amount]]=0,"N/A",Table1[[#This Row],[Outstanding]]/Table1[[#This Row],[Overall amount]])</f>
        <v>N/A</v>
      </c>
      <c r="AB98" s="17">
        <f>IF(MONTH(Table1[[#This Row],[Loss date]])&lt;Pol_Inc_Month_Shifted,YEAR(Table1[[#This Row],[Loss date]])-1,YEAR(Table1[[#This Row],[Loss date]]))</f>
        <v>2011</v>
      </c>
      <c r="AC98" s="17">
        <f>IF(MONTH(Table1[[#This Row],[Reporting date]])&lt;Pol_Inc_Month_Shifted,YEAR(Table1[[#This Row],[Reporting date]])-1,YEAR(Table1[[#This Row],[Reporting date]]))</f>
        <v>2012</v>
      </c>
      <c r="AD98" s="17">
        <f>Table1[[#This Row],[Reporting year (shifted)]]-Table1[[#This Row],[Policy Year (shifted)]]</f>
        <v>1</v>
      </c>
    </row>
    <row r="99" spans="1:30" ht="13.9">
      <c r="A99" s="8" t="s">
        <v>1869</v>
      </c>
      <c r="B99" s="8" t="s">
        <v>96</v>
      </c>
      <c r="C99" s="8" t="s">
        <v>123</v>
      </c>
      <c r="D99" s="9">
        <v>40946</v>
      </c>
      <c r="E99" s="9">
        <v>41259</v>
      </c>
      <c r="F99" s="17">
        <f>IF(MONTH(Table1[[#This Row],[Loss date]])&lt;Policy_Inception_Month,YEAR(Table1[[#This Row],[Loss date]])-1,YEAR(Table1[[#This Row],[Loss date]]))</f>
        <v>2011</v>
      </c>
      <c r="G99" s="10" t="s">
        <v>125</v>
      </c>
      <c r="H99" s="10" t="s">
        <v>2</v>
      </c>
      <c r="I99" s="11">
        <v>2064.0469459549763</v>
      </c>
      <c r="J99" s="11">
        <v>0</v>
      </c>
      <c r="K99" s="11">
        <v>2064.0469459549763</v>
      </c>
      <c r="L99" s="12">
        <v>301.32072203722282</v>
      </c>
      <c r="M99" s="12">
        <v>0</v>
      </c>
      <c r="N99" s="12">
        <v>2365.3676679921991</v>
      </c>
      <c r="O99" s="70">
        <f>IF(Table1[[#This Row],[Overall amount]]=0,0,1)</f>
        <v>1</v>
      </c>
      <c r="P99" s="70">
        <f>Table1[[#This Row],[Overall amount]]*Exchange_Rate</f>
        <v>2365.3676679921991</v>
      </c>
      <c r="Q99" s="70">
        <f>Table1[[#This Row],[Overall (destination currency)]]*(1+Claims_Inflation)^((Revalue_at_date-Table1[[#This Row],[Loss date]])/365.25)</f>
        <v>2826</v>
      </c>
      <c r="R99" s="70">
        <f>INT(Table1[[#This Row],[Reporting date]])-INT(Table1[[#This Row],[Loss date]])</f>
        <v>313</v>
      </c>
      <c r="S99" s="69" t="s">
        <v>9</v>
      </c>
      <c r="T99" s="70">
        <f>VLOOKUP(Table1[[#This Row],[Policy Year]],exposure_table,3,FALSE)</f>
        <v>870.52680000000009</v>
      </c>
      <c r="U99" s="17">
        <f>IF(MONTH(Table1[[#This Row],[Reporting date]])&lt;Policy_Inception_Month,YEAR(Table1[[#This Row],[Reporting date]])-1,YEAR(Table1[[#This Row],[Reporting date]]))</f>
        <v>2012</v>
      </c>
      <c r="V99" s="17">
        <f>Table1[[#This Row],[Reporting year]]-Table1[[#This Row],[Policy Year]]</f>
        <v>1</v>
      </c>
      <c r="W99" s="17">
        <f>INT(Table1[[#This Row],[Reporting date]])-INT(Table1[[#This Row],[Loss date]])</f>
        <v>313</v>
      </c>
      <c r="X99" s="17">
        <f>INT((YEAR(Table1[[#This Row],[Loss date]])*12+MONTH(Table1[[#This Row],[Loss date]])-Earliest_Month)/4)</f>
        <v>20</v>
      </c>
      <c r="Y99" s="17">
        <f>INT((YEAR(Table1[[#This Row],[Reporting date]])*12+MONTH(Table1[[#This Row],[Reporting date]])-Earliest_Month)/4)</f>
        <v>23</v>
      </c>
      <c r="Z99" s="17">
        <f>Table1[[#This Row],[Reporting third]]-Table1[[#This Row],[Policy third]]</f>
        <v>3</v>
      </c>
      <c r="AA99" s="71">
        <f>IF(Table1[[#This Row],[Overall amount]]=0,"N/A",Table1[[#This Row],[Outstanding]]/Table1[[#This Row],[Overall amount]])</f>
        <v>0</v>
      </c>
      <c r="AB99" s="17">
        <f>IF(MONTH(Table1[[#This Row],[Loss date]])&lt;Pol_Inc_Month_Shifted,YEAR(Table1[[#This Row],[Loss date]])-1,YEAR(Table1[[#This Row],[Loss date]]))</f>
        <v>2011</v>
      </c>
      <c r="AC99" s="17">
        <f>IF(MONTH(Table1[[#This Row],[Reporting date]])&lt;Pol_Inc_Month_Shifted,YEAR(Table1[[#This Row],[Reporting date]])-1,YEAR(Table1[[#This Row],[Reporting date]]))</f>
        <v>2012</v>
      </c>
      <c r="AD99" s="17">
        <f>Table1[[#This Row],[Reporting year (shifted)]]-Table1[[#This Row],[Policy Year (shifted)]]</f>
        <v>1</v>
      </c>
    </row>
    <row r="100" spans="1:30" ht="13.9">
      <c r="A100" s="8" t="s">
        <v>1870</v>
      </c>
      <c r="B100" s="8" t="s">
        <v>97</v>
      </c>
      <c r="C100" s="8" t="s">
        <v>123</v>
      </c>
      <c r="D100" s="9">
        <v>41130</v>
      </c>
      <c r="E100" s="9">
        <v>41286</v>
      </c>
      <c r="F100" s="17">
        <f>IF(MONTH(Table1[[#This Row],[Loss date]])&lt;Policy_Inception_Month,YEAR(Table1[[#This Row],[Loss date]])-1,YEAR(Table1[[#This Row],[Loss date]]))</f>
        <v>2012</v>
      </c>
      <c r="G100" s="10" t="s">
        <v>125</v>
      </c>
      <c r="H100" s="10" t="s">
        <v>2</v>
      </c>
      <c r="I100" s="11">
        <v>0</v>
      </c>
      <c r="J100" s="11">
        <v>0</v>
      </c>
      <c r="K100" s="11">
        <v>0</v>
      </c>
      <c r="L100" s="12">
        <v>0</v>
      </c>
      <c r="M100" s="12">
        <v>0</v>
      </c>
      <c r="N100" s="12">
        <v>0</v>
      </c>
      <c r="O100" s="70">
        <f>IF(Table1[[#This Row],[Overall amount]]=0,0,1)</f>
        <v>0</v>
      </c>
      <c r="P100" s="70">
        <f>Table1[[#This Row],[Overall amount]]*Exchange_Rate</f>
        <v>0</v>
      </c>
      <c r="Q100" s="70">
        <f>Table1[[#This Row],[Overall (destination currency)]]*(1+Claims_Inflation)^((Revalue_at_date-Table1[[#This Row],[Loss date]])/365.25)</f>
        <v>0</v>
      </c>
      <c r="R100" s="70">
        <f>INT(Table1[[#This Row],[Reporting date]])-INT(Table1[[#This Row],[Loss date]])</f>
        <v>156</v>
      </c>
      <c r="S100" s="69" t="s">
        <v>9</v>
      </c>
      <c r="T100" s="70">
        <f>VLOOKUP(Table1[[#This Row],[Policy Year]],exposure_table,3,FALSE)</f>
        <v>1057.54</v>
      </c>
      <c r="U100" s="17">
        <f>IF(MONTH(Table1[[#This Row],[Reporting date]])&lt;Policy_Inception_Month,YEAR(Table1[[#This Row],[Reporting date]])-1,YEAR(Table1[[#This Row],[Reporting date]]))</f>
        <v>2012</v>
      </c>
      <c r="V100" s="17">
        <f>Table1[[#This Row],[Reporting year]]-Table1[[#This Row],[Policy Year]]</f>
        <v>0</v>
      </c>
      <c r="W100" s="17">
        <f>INT(Table1[[#This Row],[Reporting date]])-INT(Table1[[#This Row],[Loss date]])</f>
        <v>156</v>
      </c>
      <c r="X100" s="17">
        <f>INT((YEAR(Table1[[#This Row],[Loss date]])*12+MONTH(Table1[[#This Row],[Loss date]])-Earliest_Month)/4)</f>
        <v>22</v>
      </c>
      <c r="Y100" s="17">
        <f>INT((YEAR(Table1[[#This Row],[Reporting date]])*12+MONTH(Table1[[#This Row],[Reporting date]])-Earliest_Month)/4)</f>
        <v>23</v>
      </c>
      <c r="Z100" s="17">
        <f>Table1[[#This Row],[Reporting third]]-Table1[[#This Row],[Policy third]]</f>
        <v>1</v>
      </c>
      <c r="AA100" s="71" t="str">
        <f>IF(Table1[[#This Row],[Overall amount]]=0,"N/A",Table1[[#This Row],[Outstanding]]/Table1[[#This Row],[Overall amount]])</f>
        <v>N/A</v>
      </c>
      <c r="AB100" s="17">
        <f>IF(MONTH(Table1[[#This Row],[Loss date]])&lt;Pol_Inc_Month_Shifted,YEAR(Table1[[#This Row],[Loss date]])-1,YEAR(Table1[[#This Row],[Loss date]]))</f>
        <v>2011</v>
      </c>
      <c r="AC100" s="17">
        <f>IF(MONTH(Table1[[#This Row],[Reporting date]])&lt;Pol_Inc_Month_Shifted,YEAR(Table1[[#This Row],[Reporting date]])-1,YEAR(Table1[[#This Row],[Reporting date]]))</f>
        <v>2012</v>
      </c>
      <c r="AD100" s="17">
        <f>Table1[[#This Row],[Reporting year (shifted)]]-Table1[[#This Row],[Policy Year (shifted)]]</f>
        <v>1</v>
      </c>
    </row>
    <row r="101" spans="1:30" ht="13.9">
      <c r="A101" s="8" t="s">
        <v>1871</v>
      </c>
      <c r="B101" s="8" t="s">
        <v>98</v>
      </c>
      <c r="C101" s="8" t="s">
        <v>123</v>
      </c>
      <c r="D101" s="9">
        <v>41204</v>
      </c>
      <c r="E101" s="9">
        <v>41286</v>
      </c>
      <c r="F101" s="17">
        <f>IF(MONTH(Table1[[#This Row],[Loss date]])&lt;Policy_Inception_Month,YEAR(Table1[[#This Row],[Loss date]])-1,YEAR(Table1[[#This Row],[Loss date]]))</f>
        <v>2012</v>
      </c>
      <c r="G101" s="10" t="s">
        <v>125</v>
      </c>
      <c r="H101" s="10" t="s">
        <v>2</v>
      </c>
      <c r="I101" s="11">
        <v>14103.501444158983</v>
      </c>
      <c r="J101" s="11">
        <v>0</v>
      </c>
      <c r="K101" s="11">
        <v>14103.501444158983</v>
      </c>
      <c r="L101" s="12">
        <v>0</v>
      </c>
      <c r="M101" s="12">
        <v>0</v>
      </c>
      <c r="N101" s="12">
        <v>14103.501444158983</v>
      </c>
      <c r="O101" s="70">
        <f>IF(Table1[[#This Row],[Overall amount]]=0,0,1)</f>
        <v>1</v>
      </c>
      <c r="P101" s="70">
        <f>Table1[[#This Row],[Overall amount]]*Exchange_Rate</f>
        <v>14103.501444158983</v>
      </c>
      <c r="Q101" s="70">
        <f>Table1[[#This Row],[Overall (destination currency)]]*(1+Claims_Inflation)^((Revalue_at_date-Table1[[#This Row],[Loss date]])/365.25)</f>
        <v>16279.199999999999</v>
      </c>
      <c r="R101" s="70">
        <f>INT(Table1[[#This Row],[Reporting date]])-INT(Table1[[#This Row],[Loss date]])</f>
        <v>82</v>
      </c>
      <c r="S101" s="69" t="s">
        <v>9</v>
      </c>
      <c r="T101" s="70">
        <f>VLOOKUP(Table1[[#This Row],[Policy Year]],exposure_table,3,FALSE)</f>
        <v>1057.54</v>
      </c>
      <c r="U101" s="17">
        <f>IF(MONTH(Table1[[#This Row],[Reporting date]])&lt;Policy_Inception_Month,YEAR(Table1[[#This Row],[Reporting date]])-1,YEAR(Table1[[#This Row],[Reporting date]]))</f>
        <v>2012</v>
      </c>
      <c r="V101" s="17">
        <f>Table1[[#This Row],[Reporting year]]-Table1[[#This Row],[Policy Year]]</f>
        <v>0</v>
      </c>
      <c r="W101" s="17">
        <f>INT(Table1[[#This Row],[Reporting date]])-INT(Table1[[#This Row],[Loss date]])</f>
        <v>82</v>
      </c>
      <c r="X101" s="17">
        <f>INT((YEAR(Table1[[#This Row],[Loss date]])*12+MONTH(Table1[[#This Row],[Loss date]])-Earliest_Month)/4)</f>
        <v>22</v>
      </c>
      <c r="Y101" s="17">
        <f>INT((YEAR(Table1[[#This Row],[Reporting date]])*12+MONTH(Table1[[#This Row],[Reporting date]])-Earliest_Month)/4)</f>
        <v>23</v>
      </c>
      <c r="Z101" s="17">
        <f>Table1[[#This Row],[Reporting third]]-Table1[[#This Row],[Policy third]]</f>
        <v>1</v>
      </c>
      <c r="AA101" s="71">
        <f>IF(Table1[[#This Row],[Overall amount]]=0,"N/A",Table1[[#This Row],[Outstanding]]/Table1[[#This Row],[Overall amount]])</f>
        <v>0</v>
      </c>
      <c r="AB101" s="17">
        <f>IF(MONTH(Table1[[#This Row],[Loss date]])&lt;Pol_Inc_Month_Shifted,YEAR(Table1[[#This Row],[Loss date]])-1,YEAR(Table1[[#This Row],[Loss date]]))</f>
        <v>2011</v>
      </c>
      <c r="AC101" s="17">
        <f>IF(MONTH(Table1[[#This Row],[Reporting date]])&lt;Pol_Inc_Month_Shifted,YEAR(Table1[[#This Row],[Reporting date]])-1,YEAR(Table1[[#This Row],[Reporting date]]))</f>
        <v>2012</v>
      </c>
      <c r="AD101" s="17">
        <f>Table1[[#This Row],[Reporting year (shifted)]]-Table1[[#This Row],[Policy Year (shifted)]]</f>
        <v>1</v>
      </c>
    </row>
    <row r="102" spans="1:30" ht="13.9">
      <c r="A102" s="8" t="s">
        <v>1872</v>
      </c>
      <c r="B102" s="8" t="s">
        <v>99</v>
      </c>
      <c r="C102" s="8" t="s">
        <v>123</v>
      </c>
      <c r="D102" s="9">
        <v>41185</v>
      </c>
      <c r="E102" s="9">
        <v>41286</v>
      </c>
      <c r="F102" s="17">
        <f>IF(MONTH(Table1[[#This Row],[Loss date]])&lt;Policy_Inception_Month,YEAR(Table1[[#This Row],[Loss date]])-1,YEAR(Table1[[#This Row],[Loss date]]))</f>
        <v>2012</v>
      </c>
      <c r="G102" s="10" t="s">
        <v>125</v>
      </c>
      <c r="H102" s="10" t="s">
        <v>2</v>
      </c>
      <c r="I102" s="11">
        <v>0</v>
      </c>
      <c r="J102" s="11">
        <v>0</v>
      </c>
      <c r="K102" s="11">
        <v>0</v>
      </c>
      <c r="L102" s="12">
        <v>0</v>
      </c>
      <c r="M102" s="12">
        <v>0</v>
      </c>
      <c r="N102" s="12">
        <v>0</v>
      </c>
      <c r="O102" s="70">
        <f>IF(Table1[[#This Row],[Overall amount]]=0,0,1)</f>
        <v>0</v>
      </c>
      <c r="P102" s="70">
        <f>Table1[[#This Row],[Overall amount]]*Exchange_Rate</f>
        <v>0</v>
      </c>
      <c r="Q102" s="70">
        <f>Table1[[#This Row],[Overall (destination currency)]]*(1+Claims_Inflation)^((Revalue_at_date-Table1[[#This Row],[Loss date]])/365.25)</f>
        <v>0</v>
      </c>
      <c r="R102" s="70">
        <f>INT(Table1[[#This Row],[Reporting date]])-INT(Table1[[#This Row],[Loss date]])</f>
        <v>101</v>
      </c>
      <c r="S102" s="69" t="s">
        <v>9</v>
      </c>
      <c r="T102" s="70">
        <f>VLOOKUP(Table1[[#This Row],[Policy Year]],exposure_table,3,FALSE)</f>
        <v>1057.54</v>
      </c>
      <c r="U102" s="17">
        <f>IF(MONTH(Table1[[#This Row],[Reporting date]])&lt;Policy_Inception_Month,YEAR(Table1[[#This Row],[Reporting date]])-1,YEAR(Table1[[#This Row],[Reporting date]]))</f>
        <v>2012</v>
      </c>
      <c r="V102" s="17">
        <f>Table1[[#This Row],[Reporting year]]-Table1[[#This Row],[Policy Year]]</f>
        <v>0</v>
      </c>
      <c r="W102" s="17">
        <f>INT(Table1[[#This Row],[Reporting date]])-INT(Table1[[#This Row],[Loss date]])</f>
        <v>101</v>
      </c>
      <c r="X102" s="17">
        <f>INT((YEAR(Table1[[#This Row],[Loss date]])*12+MONTH(Table1[[#This Row],[Loss date]])-Earliest_Month)/4)</f>
        <v>22</v>
      </c>
      <c r="Y102" s="17">
        <f>INT((YEAR(Table1[[#This Row],[Reporting date]])*12+MONTH(Table1[[#This Row],[Reporting date]])-Earliest_Month)/4)</f>
        <v>23</v>
      </c>
      <c r="Z102" s="17">
        <f>Table1[[#This Row],[Reporting third]]-Table1[[#This Row],[Policy third]]</f>
        <v>1</v>
      </c>
      <c r="AA102" s="71" t="str">
        <f>IF(Table1[[#This Row],[Overall amount]]=0,"N/A",Table1[[#This Row],[Outstanding]]/Table1[[#This Row],[Overall amount]])</f>
        <v>N/A</v>
      </c>
      <c r="AB102" s="17">
        <f>IF(MONTH(Table1[[#This Row],[Loss date]])&lt;Pol_Inc_Month_Shifted,YEAR(Table1[[#This Row],[Loss date]])-1,YEAR(Table1[[#This Row],[Loss date]]))</f>
        <v>2011</v>
      </c>
      <c r="AC102" s="17">
        <f>IF(MONTH(Table1[[#This Row],[Reporting date]])&lt;Pol_Inc_Month_Shifted,YEAR(Table1[[#This Row],[Reporting date]])-1,YEAR(Table1[[#This Row],[Reporting date]]))</f>
        <v>2012</v>
      </c>
      <c r="AD102" s="17">
        <f>Table1[[#This Row],[Reporting year (shifted)]]-Table1[[#This Row],[Policy Year (shifted)]]</f>
        <v>1</v>
      </c>
    </row>
    <row r="103" spans="1:30" ht="13.9">
      <c r="A103" s="8" t="s">
        <v>1873</v>
      </c>
      <c r="B103" s="8" t="s">
        <v>100</v>
      </c>
      <c r="C103" s="8" t="s">
        <v>123</v>
      </c>
      <c r="D103" s="9">
        <v>41248</v>
      </c>
      <c r="E103" s="9">
        <v>41288</v>
      </c>
      <c r="F103" s="17">
        <f>IF(MONTH(Table1[[#This Row],[Loss date]])&lt;Policy_Inception_Month,YEAR(Table1[[#This Row],[Loss date]])-1,YEAR(Table1[[#This Row],[Loss date]]))</f>
        <v>2012</v>
      </c>
      <c r="G103" s="10" t="s">
        <v>125</v>
      </c>
      <c r="H103" s="10" t="s">
        <v>2</v>
      </c>
      <c r="I103" s="11">
        <v>0</v>
      </c>
      <c r="J103" s="11">
        <v>0</v>
      </c>
      <c r="K103" s="11">
        <v>0</v>
      </c>
      <c r="L103" s="12">
        <v>313.724884046299</v>
      </c>
      <c r="M103" s="12">
        <v>0</v>
      </c>
      <c r="N103" s="12">
        <v>313.724884046299</v>
      </c>
      <c r="O103" s="70">
        <f>IF(Table1[[#This Row],[Overall amount]]=0,0,1)</f>
        <v>1</v>
      </c>
      <c r="P103" s="70">
        <f>Table1[[#This Row],[Overall amount]]*Exchange_Rate</f>
        <v>313.724884046299</v>
      </c>
      <c r="Q103" s="70">
        <f>Table1[[#This Row],[Overall (destination currency)]]*(1+Claims_Inflation)^((Revalue_at_date-Table1[[#This Row],[Loss date]])/365.25)</f>
        <v>360</v>
      </c>
      <c r="R103" s="70">
        <f>INT(Table1[[#This Row],[Reporting date]])-INT(Table1[[#This Row],[Loss date]])</f>
        <v>40</v>
      </c>
      <c r="S103" s="69" t="s">
        <v>9</v>
      </c>
      <c r="T103" s="70">
        <f>VLOOKUP(Table1[[#This Row],[Policy Year]],exposure_table,3,FALSE)</f>
        <v>1057.54</v>
      </c>
      <c r="U103" s="17">
        <f>IF(MONTH(Table1[[#This Row],[Reporting date]])&lt;Policy_Inception_Month,YEAR(Table1[[#This Row],[Reporting date]])-1,YEAR(Table1[[#This Row],[Reporting date]]))</f>
        <v>2012</v>
      </c>
      <c r="V103" s="17">
        <f>Table1[[#This Row],[Reporting year]]-Table1[[#This Row],[Policy Year]]</f>
        <v>0</v>
      </c>
      <c r="W103" s="17">
        <f>INT(Table1[[#This Row],[Reporting date]])-INT(Table1[[#This Row],[Loss date]])</f>
        <v>40</v>
      </c>
      <c r="X103" s="17">
        <f>INT((YEAR(Table1[[#This Row],[Loss date]])*12+MONTH(Table1[[#This Row],[Loss date]])-Earliest_Month)/4)</f>
        <v>23</v>
      </c>
      <c r="Y103" s="17">
        <f>INT((YEAR(Table1[[#This Row],[Reporting date]])*12+MONTH(Table1[[#This Row],[Reporting date]])-Earliest_Month)/4)</f>
        <v>23</v>
      </c>
      <c r="Z103" s="17">
        <f>Table1[[#This Row],[Reporting third]]-Table1[[#This Row],[Policy third]]</f>
        <v>0</v>
      </c>
      <c r="AA103" s="71">
        <f>IF(Table1[[#This Row],[Overall amount]]=0,"N/A",Table1[[#This Row],[Outstanding]]/Table1[[#This Row],[Overall amount]])</f>
        <v>0</v>
      </c>
      <c r="AB103" s="17">
        <f>IF(MONTH(Table1[[#This Row],[Loss date]])&lt;Pol_Inc_Month_Shifted,YEAR(Table1[[#This Row],[Loss date]])-1,YEAR(Table1[[#This Row],[Loss date]]))</f>
        <v>2012</v>
      </c>
      <c r="AC103" s="17">
        <f>IF(MONTH(Table1[[#This Row],[Reporting date]])&lt;Pol_Inc_Month_Shifted,YEAR(Table1[[#This Row],[Reporting date]])-1,YEAR(Table1[[#This Row],[Reporting date]]))</f>
        <v>2012</v>
      </c>
      <c r="AD103" s="17">
        <f>Table1[[#This Row],[Reporting year (shifted)]]-Table1[[#This Row],[Policy Year (shifted)]]</f>
        <v>0</v>
      </c>
    </row>
    <row r="104" spans="1:30" ht="13.9">
      <c r="A104" s="8" t="s">
        <v>1874</v>
      </c>
      <c r="B104" s="8" t="s">
        <v>101</v>
      </c>
      <c r="C104" s="8" t="s">
        <v>123</v>
      </c>
      <c r="D104" s="9">
        <v>41089</v>
      </c>
      <c r="E104" s="9">
        <v>41288</v>
      </c>
      <c r="F104" s="17">
        <f>IF(MONTH(Table1[[#This Row],[Loss date]])&lt;Policy_Inception_Month,YEAR(Table1[[#This Row],[Loss date]])-1,YEAR(Table1[[#This Row],[Loss date]]))</f>
        <v>2012</v>
      </c>
      <c r="G104" s="10" t="s">
        <v>127</v>
      </c>
      <c r="H104" s="10" t="s">
        <v>2</v>
      </c>
      <c r="I104" s="11">
        <v>0</v>
      </c>
      <c r="J104" s="11">
        <v>10561.241098565781</v>
      </c>
      <c r="K104" s="11">
        <v>10561.241098565781</v>
      </c>
      <c r="L104" s="12">
        <v>0</v>
      </c>
      <c r="M104" s="12">
        <v>0</v>
      </c>
      <c r="N104" s="12">
        <v>10561.241098565781</v>
      </c>
      <c r="O104" s="70">
        <f>IF(Table1[[#This Row],[Overall amount]]=0,0,1)</f>
        <v>1</v>
      </c>
      <c r="P104" s="70">
        <f>Table1[[#This Row],[Overall amount]]*Exchange_Rate</f>
        <v>10561.241098565781</v>
      </c>
      <c r="Q104" s="70">
        <f>Table1[[#This Row],[Overall (destination currency)]]*(1+Claims_Inflation)^((Revalue_at_date-Table1[[#This Row],[Loss date]])/365.25)</f>
        <v>12379.200000000003</v>
      </c>
      <c r="R104" s="70">
        <f>INT(Table1[[#This Row],[Reporting date]])-INT(Table1[[#This Row],[Loss date]])</f>
        <v>199</v>
      </c>
      <c r="S104" s="69" t="s">
        <v>16</v>
      </c>
      <c r="T104" s="70">
        <f>VLOOKUP(Table1[[#This Row],[Policy Year]],exposure_table,3,FALSE)</f>
        <v>1057.54</v>
      </c>
      <c r="U104" s="17">
        <f>IF(MONTH(Table1[[#This Row],[Reporting date]])&lt;Policy_Inception_Month,YEAR(Table1[[#This Row],[Reporting date]])-1,YEAR(Table1[[#This Row],[Reporting date]]))</f>
        <v>2012</v>
      </c>
      <c r="V104" s="17">
        <f>Table1[[#This Row],[Reporting year]]-Table1[[#This Row],[Policy Year]]</f>
        <v>0</v>
      </c>
      <c r="W104" s="17">
        <f>INT(Table1[[#This Row],[Reporting date]])-INT(Table1[[#This Row],[Loss date]])</f>
        <v>199</v>
      </c>
      <c r="X104" s="17">
        <f>INT((YEAR(Table1[[#This Row],[Loss date]])*12+MONTH(Table1[[#This Row],[Loss date]])-Earliest_Month)/4)</f>
        <v>21</v>
      </c>
      <c r="Y104" s="17">
        <f>INT((YEAR(Table1[[#This Row],[Reporting date]])*12+MONTH(Table1[[#This Row],[Reporting date]])-Earliest_Month)/4)</f>
        <v>23</v>
      </c>
      <c r="Z104" s="17">
        <f>Table1[[#This Row],[Reporting third]]-Table1[[#This Row],[Policy third]]</f>
        <v>2</v>
      </c>
      <c r="AA104" s="71">
        <f>IF(Table1[[#This Row],[Overall amount]]=0,"N/A",Table1[[#This Row],[Outstanding]]/Table1[[#This Row],[Overall amount]])</f>
        <v>1</v>
      </c>
      <c r="AB104" s="17">
        <f>IF(MONTH(Table1[[#This Row],[Loss date]])&lt;Pol_Inc_Month_Shifted,YEAR(Table1[[#This Row],[Loss date]])-1,YEAR(Table1[[#This Row],[Loss date]]))</f>
        <v>2011</v>
      </c>
      <c r="AC104" s="17">
        <f>IF(MONTH(Table1[[#This Row],[Reporting date]])&lt;Pol_Inc_Month_Shifted,YEAR(Table1[[#This Row],[Reporting date]])-1,YEAR(Table1[[#This Row],[Reporting date]]))</f>
        <v>2012</v>
      </c>
      <c r="AD104" s="17">
        <f>Table1[[#This Row],[Reporting year (shifted)]]-Table1[[#This Row],[Policy Year (shifted)]]</f>
        <v>1</v>
      </c>
    </row>
    <row r="105" spans="1:30" ht="13.9">
      <c r="A105" s="8" t="s">
        <v>1875</v>
      </c>
      <c r="B105" s="8" t="s">
        <v>102</v>
      </c>
      <c r="C105" s="8" t="s">
        <v>123</v>
      </c>
      <c r="D105" s="9">
        <v>41261</v>
      </c>
      <c r="E105" s="9">
        <v>41299</v>
      </c>
      <c r="F105" s="17">
        <f>IF(MONTH(Table1[[#This Row],[Loss date]])&lt;Policy_Inception_Month,YEAR(Table1[[#This Row],[Loss date]])-1,YEAR(Table1[[#This Row],[Loss date]]))</f>
        <v>2012</v>
      </c>
      <c r="G105" s="10" t="s">
        <v>125</v>
      </c>
      <c r="H105" s="10" t="s">
        <v>2</v>
      </c>
      <c r="I105" s="11">
        <v>0</v>
      </c>
      <c r="J105" s="11">
        <v>0</v>
      </c>
      <c r="K105" s="11">
        <v>0</v>
      </c>
      <c r="L105" s="12">
        <v>314.27015393392577</v>
      </c>
      <c r="M105" s="12">
        <v>0</v>
      </c>
      <c r="N105" s="12">
        <v>314.27015393392577</v>
      </c>
      <c r="O105" s="70">
        <f>IF(Table1[[#This Row],[Overall amount]]=0,0,1)</f>
        <v>1</v>
      </c>
      <c r="P105" s="70">
        <f>Table1[[#This Row],[Overall amount]]*Exchange_Rate</f>
        <v>314.27015393392577</v>
      </c>
      <c r="Q105" s="70">
        <f>Table1[[#This Row],[Overall (destination currency)]]*(1+Claims_Inflation)^((Revalue_at_date-Table1[[#This Row],[Loss date]])/365.25)</f>
        <v>360</v>
      </c>
      <c r="R105" s="70">
        <f>INT(Table1[[#This Row],[Reporting date]])-INT(Table1[[#This Row],[Loss date]])</f>
        <v>38</v>
      </c>
      <c r="S105" s="69" t="s">
        <v>9</v>
      </c>
      <c r="T105" s="70">
        <f>VLOOKUP(Table1[[#This Row],[Policy Year]],exposure_table,3,FALSE)</f>
        <v>1057.54</v>
      </c>
      <c r="U105" s="17">
        <f>IF(MONTH(Table1[[#This Row],[Reporting date]])&lt;Policy_Inception_Month,YEAR(Table1[[#This Row],[Reporting date]])-1,YEAR(Table1[[#This Row],[Reporting date]]))</f>
        <v>2012</v>
      </c>
      <c r="V105" s="17">
        <f>Table1[[#This Row],[Reporting year]]-Table1[[#This Row],[Policy Year]]</f>
        <v>0</v>
      </c>
      <c r="W105" s="17">
        <f>INT(Table1[[#This Row],[Reporting date]])-INT(Table1[[#This Row],[Loss date]])</f>
        <v>38</v>
      </c>
      <c r="X105" s="17">
        <f>INT((YEAR(Table1[[#This Row],[Loss date]])*12+MONTH(Table1[[#This Row],[Loss date]])-Earliest_Month)/4)</f>
        <v>23</v>
      </c>
      <c r="Y105" s="17">
        <f>INT((YEAR(Table1[[#This Row],[Reporting date]])*12+MONTH(Table1[[#This Row],[Reporting date]])-Earliest_Month)/4)</f>
        <v>23</v>
      </c>
      <c r="Z105" s="17">
        <f>Table1[[#This Row],[Reporting third]]-Table1[[#This Row],[Policy third]]</f>
        <v>0</v>
      </c>
      <c r="AA105" s="71">
        <f>IF(Table1[[#This Row],[Overall amount]]=0,"N/A",Table1[[#This Row],[Outstanding]]/Table1[[#This Row],[Overall amount]])</f>
        <v>0</v>
      </c>
      <c r="AB105" s="17">
        <f>IF(MONTH(Table1[[#This Row],[Loss date]])&lt;Pol_Inc_Month_Shifted,YEAR(Table1[[#This Row],[Loss date]])-1,YEAR(Table1[[#This Row],[Loss date]]))</f>
        <v>2012</v>
      </c>
      <c r="AC105" s="17">
        <f>IF(MONTH(Table1[[#This Row],[Reporting date]])&lt;Pol_Inc_Month_Shifted,YEAR(Table1[[#This Row],[Reporting date]])-1,YEAR(Table1[[#This Row],[Reporting date]]))</f>
        <v>2012</v>
      </c>
      <c r="AD105" s="17">
        <f>Table1[[#This Row],[Reporting year (shifted)]]-Table1[[#This Row],[Policy Year (shifted)]]</f>
        <v>0</v>
      </c>
    </row>
    <row r="106" spans="1:30" ht="13.9">
      <c r="A106" s="8" t="s">
        <v>1876</v>
      </c>
      <c r="B106" s="8" t="s">
        <v>103</v>
      </c>
      <c r="C106" s="8" t="s">
        <v>123</v>
      </c>
      <c r="D106" s="9">
        <v>40822</v>
      </c>
      <c r="E106" s="9">
        <v>41309</v>
      </c>
      <c r="F106" s="17">
        <f>IF(MONTH(Table1[[#This Row],[Loss date]])&lt;Policy_Inception_Month,YEAR(Table1[[#This Row],[Loss date]])-1,YEAR(Table1[[#This Row],[Loss date]]))</f>
        <v>2011</v>
      </c>
      <c r="G106" s="10" t="s">
        <v>125</v>
      </c>
      <c r="H106" s="10" t="s">
        <v>2</v>
      </c>
      <c r="I106" s="11">
        <v>0</v>
      </c>
      <c r="J106" s="11">
        <v>0</v>
      </c>
      <c r="K106" s="11">
        <v>0</v>
      </c>
      <c r="L106" s="12">
        <v>0</v>
      </c>
      <c r="M106" s="12">
        <v>0</v>
      </c>
      <c r="N106" s="12">
        <v>0</v>
      </c>
      <c r="O106" s="70">
        <f>IF(Table1[[#This Row],[Overall amount]]=0,0,1)</f>
        <v>0</v>
      </c>
      <c r="P106" s="70">
        <f>Table1[[#This Row],[Overall amount]]*Exchange_Rate</f>
        <v>0</v>
      </c>
      <c r="Q106" s="70">
        <f>Table1[[#This Row],[Overall (destination currency)]]*(1+Claims_Inflation)^((Revalue_at_date-Table1[[#This Row],[Loss date]])/365.25)</f>
        <v>0</v>
      </c>
      <c r="R106" s="70">
        <f>INT(Table1[[#This Row],[Reporting date]])-INT(Table1[[#This Row],[Loss date]])</f>
        <v>487</v>
      </c>
      <c r="S106" s="69" t="s">
        <v>9</v>
      </c>
      <c r="T106" s="70">
        <f>VLOOKUP(Table1[[#This Row],[Policy Year]],exposure_table,3,FALSE)</f>
        <v>870.52680000000009</v>
      </c>
      <c r="U106" s="17">
        <f>IF(MONTH(Table1[[#This Row],[Reporting date]])&lt;Policy_Inception_Month,YEAR(Table1[[#This Row],[Reporting date]])-1,YEAR(Table1[[#This Row],[Reporting date]]))</f>
        <v>2012</v>
      </c>
      <c r="V106" s="17">
        <f>Table1[[#This Row],[Reporting year]]-Table1[[#This Row],[Policy Year]]</f>
        <v>1</v>
      </c>
      <c r="W106" s="17">
        <f>INT(Table1[[#This Row],[Reporting date]])-INT(Table1[[#This Row],[Loss date]])</f>
        <v>487</v>
      </c>
      <c r="X106" s="17">
        <f>INT((YEAR(Table1[[#This Row],[Loss date]])*12+MONTH(Table1[[#This Row],[Loss date]])-Earliest_Month)/4)</f>
        <v>19</v>
      </c>
      <c r="Y106" s="17">
        <f>INT((YEAR(Table1[[#This Row],[Reporting date]])*12+MONTH(Table1[[#This Row],[Reporting date]])-Earliest_Month)/4)</f>
        <v>23</v>
      </c>
      <c r="Z106" s="17">
        <f>Table1[[#This Row],[Reporting third]]-Table1[[#This Row],[Policy third]]</f>
        <v>4</v>
      </c>
      <c r="AA106" s="71" t="str">
        <f>IF(Table1[[#This Row],[Overall amount]]=0,"N/A",Table1[[#This Row],[Outstanding]]/Table1[[#This Row],[Overall amount]])</f>
        <v>N/A</v>
      </c>
      <c r="AB106" s="17">
        <f>IF(MONTH(Table1[[#This Row],[Loss date]])&lt;Pol_Inc_Month_Shifted,YEAR(Table1[[#This Row],[Loss date]])-1,YEAR(Table1[[#This Row],[Loss date]]))</f>
        <v>2010</v>
      </c>
      <c r="AC106" s="17">
        <f>IF(MONTH(Table1[[#This Row],[Reporting date]])&lt;Pol_Inc_Month_Shifted,YEAR(Table1[[#This Row],[Reporting date]])-1,YEAR(Table1[[#This Row],[Reporting date]]))</f>
        <v>2012</v>
      </c>
      <c r="AD106" s="17">
        <f>Table1[[#This Row],[Reporting year (shifted)]]-Table1[[#This Row],[Policy Year (shifted)]]</f>
        <v>2</v>
      </c>
    </row>
    <row r="107" spans="1:30" ht="13.9">
      <c r="A107" s="8" t="s">
        <v>1877</v>
      </c>
      <c r="B107" s="8" t="s">
        <v>104</v>
      </c>
      <c r="C107" s="8" t="s">
        <v>123</v>
      </c>
      <c r="D107" s="9">
        <v>41183</v>
      </c>
      <c r="E107" s="9">
        <v>41308</v>
      </c>
      <c r="F107" s="17">
        <f>IF(MONTH(Table1[[#This Row],[Loss date]])&lt;Policy_Inception_Month,YEAR(Table1[[#This Row],[Loss date]])-1,YEAR(Table1[[#This Row],[Loss date]]))</f>
        <v>2012</v>
      </c>
      <c r="G107" s="10" t="s">
        <v>124</v>
      </c>
      <c r="H107" s="10" t="s">
        <v>2</v>
      </c>
      <c r="I107" s="11">
        <v>1555.0634638067722</v>
      </c>
      <c r="J107" s="11">
        <v>0</v>
      </c>
      <c r="K107" s="11">
        <v>1555.0634638067722</v>
      </c>
      <c r="L107" s="12">
        <v>311.01269276135446</v>
      </c>
      <c r="M107" s="12">
        <v>0</v>
      </c>
      <c r="N107" s="12">
        <v>1866.0761565681266</v>
      </c>
      <c r="O107" s="70">
        <f>IF(Table1[[#This Row],[Overall amount]]=0,0,1)</f>
        <v>1</v>
      </c>
      <c r="P107" s="70">
        <f>Table1[[#This Row],[Overall amount]]*Exchange_Rate</f>
        <v>1866.0761565681266</v>
      </c>
      <c r="Q107" s="70">
        <f>Table1[[#This Row],[Overall (destination currency)]]*(1+Claims_Inflation)^((Revalue_at_date-Table1[[#This Row],[Loss date]])/365.25)</f>
        <v>2159.9999999999995</v>
      </c>
      <c r="R107" s="70">
        <f>INT(Table1[[#This Row],[Reporting date]])-INT(Table1[[#This Row],[Loss date]])</f>
        <v>125</v>
      </c>
      <c r="S107" s="69" t="s">
        <v>9</v>
      </c>
      <c r="T107" s="70">
        <f>VLOOKUP(Table1[[#This Row],[Policy Year]],exposure_table,3,FALSE)</f>
        <v>1057.54</v>
      </c>
      <c r="U107" s="17">
        <f>IF(MONTH(Table1[[#This Row],[Reporting date]])&lt;Policy_Inception_Month,YEAR(Table1[[#This Row],[Reporting date]])-1,YEAR(Table1[[#This Row],[Reporting date]]))</f>
        <v>2012</v>
      </c>
      <c r="V107" s="17">
        <f>Table1[[#This Row],[Reporting year]]-Table1[[#This Row],[Policy Year]]</f>
        <v>0</v>
      </c>
      <c r="W107" s="17">
        <f>INT(Table1[[#This Row],[Reporting date]])-INT(Table1[[#This Row],[Loss date]])</f>
        <v>125</v>
      </c>
      <c r="X107" s="17">
        <f>INT((YEAR(Table1[[#This Row],[Loss date]])*12+MONTH(Table1[[#This Row],[Loss date]])-Earliest_Month)/4)</f>
        <v>22</v>
      </c>
      <c r="Y107" s="17">
        <f>INT((YEAR(Table1[[#This Row],[Reporting date]])*12+MONTH(Table1[[#This Row],[Reporting date]])-Earliest_Month)/4)</f>
        <v>23</v>
      </c>
      <c r="Z107" s="17">
        <f>Table1[[#This Row],[Reporting third]]-Table1[[#This Row],[Policy third]]</f>
        <v>1</v>
      </c>
      <c r="AA107" s="71">
        <f>IF(Table1[[#This Row],[Overall amount]]=0,"N/A",Table1[[#This Row],[Outstanding]]/Table1[[#This Row],[Overall amount]])</f>
        <v>0</v>
      </c>
      <c r="AB107" s="17">
        <f>IF(MONTH(Table1[[#This Row],[Loss date]])&lt;Pol_Inc_Month_Shifted,YEAR(Table1[[#This Row],[Loss date]])-1,YEAR(Table1[[#This Row],[Loss date]]))</f>
        <v>2011</v>
      </c>
      <c r="AC107" s="17">
        <f>IF(MONTH(Table1[[#This Row],[Reporting date]])&lt;Pol_Inc_Month_Shifted,YEAR(Table1[[#This Row],[Reporting date]])-1,YEAR(Table1[[#This Row],[Reporting date]]))</f>
        <v>2012</v>
      </c>
      <c r="AD107" s="17">
        <f>Table1[[#This Row],[Reporting year (shifted)]]-Table1[[#This Row],[Policy Year (shifted)]]</f>
        <v>1</v>
      </c>
    </row>
    <row r="108" spans="1:30" ht="13.9">
      <c r="A108" s="8" t="s">
        <v>1878</v>
      </c>
      <c r="B108" s="8" t="s">
        <v>105</v>
      </c>
      <c r="C108" s="8" t="s">
        <v>123</v>
      </c>
      <c r="D108" s="9">
        <v>40438</v>
      </c>
      <c r="E108" s="9">
        <v>41315</v>
      </c>
      <c r="F108" s="17">
        <f>IF(MONTH(Table1[[#This Row],[Loss date]])&lt;Policy_Inception_Month,YEAR(Table1[[#This Row],[Loss date]])-1,YEAR(Table1[[#This Row],[Loss date]]))</f>
        <v>2010</v>
      </c>
      <c r="G108" s="10" t="s">
        <v>125</v>
      </c>
      <c r="H108" s="10" t="s">
        <v>2</v>
      </c>
      <c r="I108" s="11">
        <v>0</v>
      </c>
      <c r="J108" s="11">
        <v>0</v>
      </c>
      <c r="K108" s="11">
        <v>0</v>
      </c>
      <c r="L108" s="12">
        <v>0</v>
      </c>
      <c r="M108" s="12">
        <v>0</v>
      </c>
      <c r="N108" s="12">
        <v>0</v>
      </c>
      <c r="O108" s="70">
        <f>IF(Table1[[#This Row],[Overall amount]]=0,0,1)</f>
        <v>0</v>
      </c>
      <c r="P108" s="70">
        <f>Table1[[#This Row],[Overall amount]]*Exchange_Rate</f>
        <v>0</v>
      </c>
      <c r="Q108" s="70">
        <f>Table1[[#This Row],[Overall (destination currency)]]*(1+Claims_Inflation)^((Revalue_at_date-Table1[[#This Row],[Loss date]])/365.25)</f>
        <v>0</v>
      </c>
      <c r="R108" s="70">
        <f>INT(Table1[[#This Row],[Reporting date]])-INT(Table1[[#This Row],[Loss date]])</f>
        <v>877</v>
      </c>
      <c r="S108" s="69" t="s">
        <v>9</v>
      </c>
      <c r="T108" s="70">
        <f>VLOOKUP(Table1[[#This Row],[Policy Year]],exposure_table,3,FALSE)</f>
        <v>837.11513600000012</v>
      </c>
      <c r="U108" s="17">
        <f>IF(MONTH(Table1[[#This Row],[Reporting date]])&lt;Policy_Inception_Month,YEAR(Table1[[#This Row],[Reporting date]])-1,YEAR(Table1[[#This Row],[Reporting date]]))</f>
        <v>2012</v>
      </c>
      <c r="V108" s="17">
        <f>Table1[[#This Row],[Reporting year]]-Table1[[#This Row],[Policy Year]]</f>
        <v>2</v>
      </c>
      <c r="W108" s="17">
        <f>INT(Table1[[#This Row],[Reporting date]])-INT(Table1[[#This Row],[Loss date]])</f>
        <v>877</v>
      </c>
      <c r="X108" s="17">
        <f>INT((YEAR(Table1[[#This Row],[Loss date]])*12+MONTH(Table1[[#This Row],[Loss date]])-Earliest_Month)/4)</f>
        <v>16</v>
      </c>
      <c r="Y108" s="17">
        <f>INT((YEAR(Table1[[#This Row],[Reporting date]])*12+MONTH(Table1[[#This Row],[Reporting date]])-Earliest_Month)/4)</f>
        <v>23</v>
      </c>
      <c r="Z108" s="17">
        <f>Table1[[#This Row],[Reporting third]]-Table1[[#This Row],[Policy third]]</f>
        <v>7</v>
      </c>
      <c r="AA108" s="71" t="str">
        <f>IF(Table1[[#This Row],[Overall amount]]=0,"N/A",Table1[[#This Row],[Outstanding]]/Table1[[#This Row],[Overall amount]])</f>
        <v>N/A</v>
      </c>
      <c r="AB108" s="17">
        <f>IF(MONTH(Table1[[#This Row],[Loss date]])&lt;Pol_Inc_Month_Shifted,YEAR(Table1[[#This Row],[Loss date]])-1,YEAR(Table1[[#This Row],[Loss date]]))</f>
        <v>2009</v>
      </c>
      <c r="AC108" s="17">
        <f>IF(MONTH(Table1[[#This Row],[Reporting date]])&lt;Pol_Inc_Month_Shifted,YEAR(Table1[[#This Row],[Reporting date]])-1,YEAR(Table1[[#This Row],[Reporting date]]))</f>
        <v>2012</v>
      </c>
      <c r="AD108" s="17">
        <f>Table1[[#This Row],[Reporting year (shifted)]]-Table1[[#This Row],[Policy Year (shifted)]]</f>
        <v>3</v>
      </c>
    </row>
    <row r="109" spans="1:30" ht="13.9">
      <c r="A109" s="8" t="s">
        <v>1879</v>
      </c>
      <c r="B109" s="8" t="s">
        <v>106</v>
      </c>
      <c r="C109" s="8" t="s">
        <v>123</v>
      </c>
      <c r="D109" s="9">
        <v>40077</v>
      </c>
      <c r="E109" s="9">
        <v>41315</v>
      </c>
      <c r="F109" s="17">
        <f>IF(MONTH(Table1[[#This Row],[Loss date]])&lt;Policy_Inception_Month,YEAR(Table1[[#This Row],[Loss date]])-1,YEAR(Table1[[#This Row],[Loss date]]))</f>
        <v>2009</v>
      </c>
      <c r="G109" s="10" t="s">
        <v>125</v>
      </c>
      <c r="H109" s="10" t="s">
        <v>2</v>
      </c>
      <c r="I109" s="11">
        <v>0</v>
      </c>
      <c r="J109" s="11">
        <v>0</v>
      </c>
      <c r="K109" s="11">
        <v>0</v>
      </c>
      <c r="L109" s="12">
        <v>268.29685479197798</v>
      </c>
      <c r="M109" s="12">
        <v>0</v>
      </c>
      <c r="N109" s="12">
        <v>268.29685479197798</v>
      </c>
      <c r="O109" s="70">
        <f>IF(Table1[[#This Row],[Overall amount]]=0,0,1)</f>
        <v>1</v>
      </c>
      <c r="P109" s="70">
        <f>Table1[[#This Row],[Overall amount]]*Exchange_Rate</f>
        <v>268.29685479197798</v>
      </c>
      <c r="Q109" s="70">
        <f>Table1[[#This Row],[Overall (destination currency)]]*(1+Claims_Inflation)^((Revalue_at_date-Table1[[#This Row],[Loss date]])/365.25)</f>
        <v>360</v>
      </c>
      <c r="R109" s="70">
        <f>INT(Table1[[#This Row],[Reporting date]])-INT(Table1[[#This Row],[Loss date]])</f>
        <v>1238</v>
      </c>
      <c r="S109" s="69" t="s">
        <v>9</v>
      </c>
      <c r="T109" s="70">
        <f>VLOOKUP(Table1[[#This Row],[Policy Year]],exposure_table,3,FALSE)</f>
        <v>760.22808576000011</v>
      </c>
      <c r="U109" s="17">
        <f>IF(MONTH(Table1[[#This Row],[Reporting date]])&lt;Policy_Inception_Month,YEAR(Table1[[#This Row],[Reporting date]])-1,YEAR(Table1[[#This Row],[Reporting date]]))</f>
        <v>2012</v>
      </c>
      <c r="V109" s="17">
        <f>Table1[[#This Row],[Reporting year]]-Table1[[#This Row],[Policy Year]]</f>
        <v>3</v>
      </c>
      <c r="W109" s="17">
        <f>INT(Table1[[#This Row],[Reporting date]])-INT(Table1[[#This Row],[Loss date]])</f>
        <v>1238</v>
      </c>
      <c r="X109" s="17">
        <f>INT((YEAR(Table1[[#This Row],[Loss date]])*12+MONTH(Table1[[#This Row],[Loss date]])-Earliest_Month)/4)</f>
        <v>13</v>
      </c>
      <c r="Y109" s="17">
        <f>INT((YEAR(Table1[[#This Row],[Reporting date]])*12+MONTH(Table1[[#This Row],[Reporting date]])-Earliest_Month)/4)</f>
        <v>23</v>
      </c>
      <c r="Z109" s="17">
        <f>Table1[[#This Row],[Reporting third]]-Table1[[#This Row],[Policy third]]</f>
        <v>10</v>
      </c>
      <c r="AA109" s="71">
        <f>IF(Table1[[#This Row],[Overall amount]]=0,"N/A",Table1[[#This Row],[Outstanding]]/Table1[[#This Row],[Overall amount]])</f>
        <v>0</v>
      </c>
      <c r="AB109" s="17">
        <f>IF(MONTH(Table1[[#This Row],[Loss date]])&lt;Pol_Inc_Month_Shifted,YEAR(Table1[[#This Row],[Loss date]])-1,YEAR(Table1[[#This Row],[Loss date]]))</f>
        <v>2008</v>
      </c>
      <c r="AC109" s="17">
        <f>IF(MONTH(Table1[[#This Row],[Reporting date]])&lt;Pol_Inc_Month_Shifted,YEAR(Table1[[#This Row],[Reporting date]])-1,YEAR(Table1[[#This Row],[Reporting date]]))</f>
        <v>2012</v>
      </c>
      <c r="AD109" s="17">
        <f>Table1[[#This Row],[Reporting year (shifted)]]-Table1[[#This Row],[Policy Year (shifted)]]</f>
        <v>4</v>
      </c>
    </row>
    <row r="110" spans="1:30" ht="13.9">
      <c r="A110" s="8" t="s">
        <v>1880</v>
      </c>
      <c r="B110" s="8" t="s">
        <v>107</v>
      </c>
      <c r="C110" s="8" t="s">
        <v>123</v>
      </c>
      <c r="D110" s="9">
        <v>40471</v>
      </c>
      <c r="E110" s="9">
        <v>41322</v>
      </c>
      <c r="F110" s="17">
        <f>IF(MONTH(Table1[[#This Row],[Loss date]])&lt;Policy_Inception_Month,YEAR(Table1[[#This Row],[Loss date]])-1,YEAR(Table1[[#This Row],[Loss date]]))</f>
        <v>2010</v>
      </c>
      <c r="G110" s="10" t="s">
        <v>125</v>
      </c>
      <c r="H110" s="10" t="s">
        <v>2</v>
      </c>
      <c r="I110" s="11">
        <v>0</v>
      </c>
      <c r="J110" s="11">
        <v>0</v>
      </c>
      <c r="K110" s="11">
        <v>0</v>
      </c>
      <c r="L110" s="12">
        <v>282.79567184304994</v>
      </c>
      <c r="M110" s="12">
        <v>21.492471060071797</v>
      </c>
      <c r="N110" s="12">
        <v>261.30320078297814</v>
      </c>
      <c r="O110" s="70">
        <f>IF(Table1[[#This Row],[Overall amount]]=0,0,1)</f>
        <v>1</v>
      </c>
      <c r="P110" s="70">
        <f>Table1[[#This Row],[Overall amount]]*Exchange_Rate</f>
        <v>261.30320078297814</v>
      </c>
      <c r="Q110" s="70">
        <f>Table1[[#This Row],[Overall (destination currency)]]*(1+Claims_Inflation)^((Revalue_at_date-Table1[[#This Row],[Loss date]])/365.25)</f>
        <v>332.64</v>
      </c>
      <c r="R110" s="70">
        <f>INT(Table1[[#This Row],[Reporting date]])-INT(Table1[[#This Row],[Loss date]])</f>
        <v>851</v>
      </c>
      <c r="S110" s="69" t="s">
        <v>9</v>
      </c>
      <c r="T110" s="70">
        <f>VLOOKUP(Table1[[#This Row],[Policy Year]],exposure_table,3,FALSE)</f>
        <v>837.11513600000012</v>
      </c>
      <c r="U110" s="17">
        <f>IF(MONTH(Table1[[#This Row],[Reporting date]])&lt;Policy_Inception_Month,YEAR(Table1[[#This Row],[Reporting date]])-1,YEAR(Table1[[#This Row],[Reporting date]]))</f>
        <v>2012</v>
      </c>
      <c r="V110" s="17">
        <f>Table1[[#This Row],[Reporting year]]-Table1[[#This Row],[Policy Year]]</f>
        <v>2</v>
      </c>
      <c r="W110" s="17">
        <f>INT(Table1[[#This Row],[Reporting date]])-INT(Table1[[#This Row],[Loss date]])</f>
        <v>851</v>
      </c>
      <c r="X110" s="17">
        <f>INT((YEAR(Table1[[#This Row],[Loss date]])*12+MONTH(Table1[[#This Row],[Loss date]])-Earliest_Month)/4)</f>
        <v>16</v>
      </c>
      <c r="Y110" s="17">
        <f>INT((YEAR(Table1[[#This Row],[Reporting date]])*12+MONTH(Table1[[#This Row],[Reporting date]])-Earliest_Month)/4)</f>
        <v>23</v>
      </c>
      <c r="Z110" s="17">
        <f>Table1[[#This Row],[Reporting third]]-Table1[[#This Row],[Policy third]]</f>
        <v>7</v>
      </c>
      <c r="AA110" s="71">
        <f>IF(Table1[[#This Row],[Overall amount]]=0,"N/A",Table1[[#This Row],[Outstanding]]/Table1[[#This Row],[Overall amount]])</f>
        <v>0</v>
      </c>
      <c r="AB110" s="17">
        <f>IF(MONTH(Table1[[#This Row],[Loss date]])&lt;Pol_Inc_Month_Shifted,YEAR(Table1[[#This Row],[Loss date]])-1,YEAR(Table1[[#This Row],[Loss date]]))</f>
        <v>2009</v>
      </c>
      <c r="AC110" s="17">
        <f>IF(MONTH(Table1[[#This Row],[Reporting date]])&lt;Pol_Inc_Month_Shifted,YEAR(Table1[[#This Row],[Reporting date]])-1,YEAR(Table1[[#This Row],[Reporting date]]))</f>
        <v>2012</v>
      </c>
      <c r="AD110" s="17">
        <f>Table1[[#This Row],[Reporting year (shifted)]]-Table1[[#This Row],[Policy Year (shifted)]]</f>
        <v>3</v>
      </c>
    </row>
    <row r="111" spans="1:30" ht="13.9">
      <c r="A111" s="8" t="s">
        <v>1881</v>
      </c>
      <c r="B111" s="8" t="s">
        <v>108</v>
      </c>
      <c r="C111" s="8" t="s">
        <v>123</v>
      </c>
      <c r="D111" s="9">
        <v>41182</v>
      </c>
      <c r="E111" s="9">
        <v>41324</v>
      </c>
      <c r="F111" s="17">
        <f>IF(MONTH(Table1[[#This Row],[Loss date]])&lt;Policy_Inception_Month,YEAR(Table1[[#This Row],[Loss date]])-1,YEAR(Table1[[#This Row],[Loss date]]))</f>
        <v>2012</v>
      </c>
      <c r="G111" s="10" t="s">
        <v>125</v>
      </c>
      <c r="H111" s="10" t="s">
        <v>2</v>
      </c>
      <c r="I111" s="11">
        <v>0</v>
      </c>
      <c r="J111" s="11">
        <v>12957.131266734881</v>
      </c>
      <c r="K111" s="11">
        <v>12957.131266734881</v>
      </c>
      <c r="L111" s="12">
        <v>310.97115040163709</v>
      </c>
      <c r="M111" s="12">
        <v>0</v>
      </c>
      <c r="N111" s="12">
        <v>13268.102417136519</v>
      </c>
      <c r="O111" s="70">
        <f>IF(Table1[[#This Row],[Overall amount]]=0,0,1)</f>
        <v>1</v>
      </c>
      <c r="P111" s="70">
        <f>Table1[[#This Row],[Overall amount]]*Exchange_Rate</f>
        <v>13268.102417136519</v>
      </c>
      <c r="Q111" s="70">
        <f>Table1[[#This Row],[Overall (destination currency)]]*(1+Claims_Inflation)^((Revalue_at_date-Table1[[#This Row],[Loss date]])/365.25)</f>
        <v>15360.000000000002</v>
      </c>
      <c r="R111" s="70">
        <f>INT(Table1[[#This Row],[Reporting date]])-INT(Table1[[#This Row],[Loss date]])</f>
        <v>142</v>
      </c>
      <c r="S111" s="69" t="s">
        <v>16</v>
      </c>
      <c r="T111" s="70">
        <f>VLOOKUP(Table1[[#This Row],[Policy Year]],exposure_table,3,FALSE)</f>
        <v>1057.54</v>
      </c>
      <c r="U111" s="17">
        <f>IF(MONTH(Table1[[#This Row],[Reporting date]])&lt;Policy_Inception_Month,YEAR(Table1[[#This Row],[Reporting date]])-1,YEAR(Table1[[#This Row],[Reporting date]]))</f>
        <v>2012</v>
      </c>
      <c r="V111" s="17">
        <f>Table1[[#This Row],[Reporting year]]-Table1[[#This Row],[Policy Year]]</f>
        <v>0</v>
      </c>
      <c r="W111" s="17">
        <f>INT(Table1[[#This Row],[Reporting date]])-INT(Table1[[#This Row],[Loss date]])</f>
        <v>142</v>
      </c>
      <c r="X111" s="17">
        <f>INT((YEAR(Table1[[#This Row],[Loss date]])*12+MONTH(Table1[[#This Row],[Loss date]])-Earliest_Month)/4)</f>
        <v>22</v>
      </c>
      <c r="Y111" s="17">
        <f>INT((YEAR(Table1[[#This Row],[Reporting date]])*12+MONTH(Table1[[#This Row],[Reporting date]])-Earliest_Month)/4)</f>
        <v>23</v>
      </c>
      <c r="Z111" s="17">
        <f>Table1[[#This Row],[Reporting third]]-Table1[[#This Row],[Policy third]]</f>
        <v>1</v>
      </c>
      <c r="AA111" s="71">
        <f>IF(Table1[[#This Row],[Overall amount]]=0,"N/A",Table1[[#This Row],[Outstanding]]/Table1[[#This Row],[Overall amount]])</f>
        <v>0.9765625</v>
      </c>
      <c r="AB111" s="17">
        <f>IF(MONTH(Table1[[#This Row],[Loss date]])&lt;Pol_Inc_Month_Shifted,YEAR(Table1[[#This Row],[Loss date]])-1,YEAR(Table1[[#This Row],[Loss date]]))</f>
        <v>2011</v>
      </c>
      <c r="AC111" s="17">
        <f>IF(MONTH(Table1[[#This Row],[Reporting date]])&lt;Pol_Inc_Month_Shifted,YEAR(Table1[[#This Row],[Reporting date]])-1,YEAR(Table1[[#This Row],[Reporting date]]))</f>
        <v>2012</v>
      </c>
      <c r="AD111" s="17">
        <f>Table1[[#This Row],[Reporting year (shifted)]]-Table1[[#This Row],[Policy Year (shifted)]]</f>
        <v>1</v>
      </c>
    </row>
    <row r="112" spans="1:30" ht="13.9">
      <c r="A112" s="8" t="s">
        <v>1882</v>
      </c>
      <c r="B112" s="8" t="s">
        <v>109</v>
      </c>
      <c r="C112" s="8" t="s">
        <v>123</v>
      </c>
      <c r="D112" s="9">
        <v>41187</v>
      </c>
      <c r="E112" s="9">
        <v>41331</v>
      </c>
      <c r="F112" s="17">
        <f>IF(MONTH(Table1[[#This Row],[Loss date]])&lt;Policy_Inception_Month,YEAR(Table1[[#This Row],[Loss date]])-1,YEAR(Table1[[#This Row],[Loss date]]))</f>
        <v>2012</v>
      </c>
      <c r="G112" s="10" t="s">
        <v>124</v>
      </c>
      <c r="H112" s="10" t="s">
        <v>2</v>
      </c>
      <c r="I112" s="11">
        <v>7065.4210527685773</v>
      </c>
      <c r="J112" s="11">
        <v>0</v>
      </c>
      <c r="K112" s="11">
        <v>7065.4210527685773</v>
      </c>
      <c r="L112" s="12">
        <v>0</v>
      </c>
      <c r="M112" s="12">
        <v>0</v>
      </c>
      <c r="N112" s="12">
        <v>7065.4210527685773</v>
      </c>
      <c r="O112" s="70">
        <f>IF(Table1[[#This Row],[Overall amount]]=0,0,1)</f>
        <v>1</v>
      </c>
      <c r="P112" s="70">
        <f>Table1[[#This Row],[Overall amount]]*Exchange_Rate</f>
        <v>7065.4210527685773</v>
      </c>
      <c r="Q112" s="70">
        <f>Table1[[#This Row],[Overall (destination currency)]]*(1+Claims_Inflation)^((Revalue_at_date-Table1[[#This Row],[Loss date]])/365.25)</f>
        <v>8173.92</v>
      </c>
      <c r="R112" s="70">
        <f>INT(Table1[[#This Row],[Reporting date]])-INT(Table1[[#This Row],[Loss date]])</f>
        <v>144</v>
      </c>
      <c r="S112" s="69" t="s">
        <v>9</v>
      </c>
      <c r="T112" s="70">
        <f>VLOOKUP(Table1[[#This Row],[Policy Year]],exposure_table,3,FALSE)</f>
        <v>1057.54</v>
      </c>
      <c r="U112" s="17">
        <f>IF(MONTH(Table1[[#This Row],[Reporting date]])&lt;Policy_Inception_Month,YEAR(Table1[[#This Row],[Reporting date]])-1,YEAR(Table1[[#This Row],[Reporting date]]))</f>
        <v>2012</v>
      </c>
      <c r="V112" s="17">
        <f>Table1[[#This Row],[Reporting year]]-Table1[[#This Row],[Policy Year]]</f>
        <v>0</v>
      </c>
      <c r="W112" s="17">
        <f>INT(Table1[[#This Row],[Reporting date]])-INT(Table1[[#This Row],[Loss date]])</f>
        <v>144</v>
      </c>
      <c r="X112" s="17">
        <f>INT((YEAR(Table1[[#This Row],[Loss date]])*12+MONTH(Table1[[#This Row],[Loss date]])-Earliest_Month)/4)</f>
        <v>22</v>
      </c>
      <c r="Y112" s="17">
        <f>INT((YEAR(Table1[[#This Row],[Reporting date]])*12+MONTH(Table1[[#This Row],[Reporting date]])-Earliest_Month)/4)</f>
        <v>23</v>
      </c>
      <c r="Z112" s="17">
        <f>Table1[[#This Row],[Reporting third]]-Table1[[#This Row],[Policy third]]</f>
        <v>1</v>
      </c>
      <c r="AA112" s="71">
        <f>IF(Table1[[#This Row],[Overall amount]]=0,"N/A",Table1[[#This Row],[Outstanding]]/Table1[[#This Row],[Overall amount]])</f>
        <v>0</v>
      </c>
      <c r="AB112" s="17">
        <f>IF(MONTH(Table1[[#This Row],[Loss date]])&lt;Pol_Inc_Month_Shifted,YEAR(Table1[[#This Row],[Loss date]])-1,YEAR(Table1[[#This Row],[Loss date]]))</f>
        <v>2011</v>
      </c>
      <c r="AC112" s="17">
        <f>IF(MONTH(Table1[[#This Row],[Reporting date]])&lt;Pol_Inc_Month_Shifted,YEAR(Table1[[#This Row],[Reporting date]])-1,YEAR(Table1[[#This Row],[Reporting date]]))</f>
        <v>2012</v>
      </c>
      <c r="AD112" s="17">
        <f>Table1[[#This Row],[Reporting year (shifted)]]-Table1[[#This Row],[Policy Year (shifted)]]</f>
        <v>1</v>
      </c>
    </row>
    <row r="113" spans="1:30" ht="13.9">
      <c r="A113" s="8" t="s">
        <v>1883</v>
      </c>
      <c r="B113" s="8" t="s">
        <v>110</v>
      </c>
      <c r="C113" s="8" t="s">
        <v>123</v>
      </c>
      <c r="D113" s="9">
        <v>41155</v>
      </c>
      <c r="E113" s="9">
        <v>41336</v>
      </c>
      <c r="F113" s="17">
        <f>IF(MONTH(Table1[[#This Row],[Loss date]])&lt;Policy_Inception_Month,YEAR(Table1[[#This Row],[Loss date]])-1,YEAR(Table1[[#This Row],[Loss date]]))</f>
        <v>2012</v>
      </c>
      <c r="G113" s="10" t="s">
        <v>125</v>
      </c>
      <c r="H113" s="10" t="s">
        <v>2</v>
      </c>
      <c r="I113" s="11">
        <v>10888.185284948366</v>
      </c>
      <c r="J113" s="11">
        <v>0</v>
      </c>
      <c r="K113" s="11">
        <v>10888.185284948366</v>
      </c>
      <c r="L113" s="12">
        <v>0</v>
      </c>
      <c r="M113" s="12">
        <v>0</v>
      </c>
      <c r="N113" s="12">
        <v>10888.185284948366</v>
      </c>
      <c r="O113" s="70">
        <f>IF(Table1[[#This Row],[Overall amount]]=0,0,1)</f>
        <v>1</v>
      </c>
      <c r="P113" s="70">
        <f>Table1[[#This Row],[Overall amount]]*Exchange_Rate</f>
        <v>10888.185284948366</v>
      </c>
      <c r="Q113" s="70">
        <f>Table1[[#This Row],[Overall (destination currency)]]*(1+Claims_Inflation)^((Revalue_at_date-Table1[[#This Row],[Loss date]])/365.25)</f>
        <v>12650.4</v>
      </c>
      <c r="R113" s="70">
        <f>INT(Table1[[#This Row],[Reporting date]])-INT(Table1[[#This Row],[Loss date]])</f>
        <v>181</v>
      </c>
      <c r="S113" s="69" t="s">
        <v>9</v>
      </c>
      <c r="T113" s="70">
        <f>VLOOKUP(Table1[[#This Row],[Policy Year]],exposure_table,3,FALSE)</f>
        <v>1057.54</v>
      </c>
      <c r="U113" s="17">
        <f>IF(MONTH(Table1[[#This Row],[Reporting date]])&lt;Policy_Inception_Month,YEAR(Table1[[#This Row],[Reporting date]])-1,YEAR(Table1[[#This Row],[Reporting date]]))</f>
        <v>2012</v>
      </c>
      <c r="V113" s="17">
        <f>Table1[[#This Row],[Reporting year]]-Table1[[#This Row],[Policy Year]]</f>
        <v>0</v>
      </c>
      <c r="W113" s="17">
        <f>INT(Table1[[#This Row],[Reporting date]])-INT(Table1[[#This Row],[Loss date]])</f>
        <v>181</v>
      </c>
      <c r="X113" s="17">
        <f>INT((YEAR(Table1[[#This Row],[Loss date]])*12+MONTH(Table1[[#This Row],[Loss date]])-Earliest_Month)/4)</f>
        <v>22</v>
      </c>
      <c r="Y113" s="17">
        <f>INT((YEAR(Table1[[#This Row],[Reporting date]])*12+MONTH(Table1[[#This Row],[Reporting date]])-Earliest_Month)/4)</f>
        <v>23</v>
      </c>
      <c r="Z113" s="17">
        <f>Table1[[#This Row],[Reporting third]]-Table1[[#This Row],[Policy third]]</f>
        <v>1</v>
      </c>
      <c r="AA113" s="71">
        <f>IF(Table1[[#This Row],[Overall amount]]=0,"N/A",Table1[[#This Row],[Outstanding]]/Table1[[#This Row],[Overall amount]])</f>
        <v>0</v>
      </c>
      <c r="AB113" s="17">
        <f>IF(MONTH(Table1[[#This Row],[Loss date]])&lt;Pol_Inc_Month_Shifted,YEAR(Table1[[#This Row],[Loss date]])-1,YEAR(Table1[[#This Row],[Loss date]]))</f>
        <v>2011</v>
      </c>
      <c r="AC113" s="17">
        <f>IF(MONTH(Table1[[#This Row],[Reporting date]])&lt;Pol_Inc_Month_Shifted,YEAR(Table1[[#This Row],[Reporting date]])-1,YEAR(Table1[[#This Row],[Reporting date]]))</f>
        <v>2012</v>
      </c>
      <c r="AD113" s="17">
        <f>Table1[[#This Row],[Reporting year (shifted)]]-Table1[[#This Row],[Policy Year (shifted)]]</f>
        <v>1</v>
      </c>
    </row>
    <row r="114" spans="1:30" ht="13.9">
      <c r="A114" s="8" t="s">
        <v>1884</v>
      </c>
      <c r="B114" s="8" t="s">
        <v>166</v>
      </c>
      <c r="C114" s="8" t="s">
        <v>123</v>
      </c>
      <c r="D114" s="9">
        <v>41133</v>
      </c>
      <c r="E114" s="9">
        <v>41337</v>
      </c>
      <c r="F114" s="17">
        <f>IF(MONTH(Table1[[#This Row],[Loss date]])&lt;Policy_Inception_Month,YEAR(Table1[[#This Row],[Loss date]])-1,YEAR(Table1[[#This Row],[Loss date]]))</f>
        <v>2012</v>
      </c>
      <c r="G114" s="10" t="s">
        <v>125</v>
      </c>
      <c r="H114" s="10" t="s">
        <v>2</v>
      </c>
      <c r="I114" s="11">
        <v>9989.1362300941983</v>
      </c>
      <c r="J114" s="11">
        <v>0</v>
      </c>
      <c r="K114" s="11">
        <v>9989.1362300941983</v>
      </c>
      <c r="L114" s="12">
        <v>0</v>
      </c>
      <c r="M114" s="12">
        <v>0</v>
      </c>
      <c r="N114" s="12">
        <v>9989.1362300941983</v>
      </c>
      <c r="O114" s="70">
        <f>IF(Table1[[#This Row],[Overall amount]]=0,0,1)</f>
        <v>1</v>
      </c>
      <c r="P114" s="70">
        <f>Table1[[#This Row],[Overall amount]]*Exchange_Rate</f>
        <v>9989.1362300941983</v>
      </c>
      <c r="Q114" s="70">
        <f>Table1[[#This Row],[Overall (destination currency)]]*(1+Claims_Inflation)^((Revalue_at_date-Table1[[#This Row],[Loss date]])/365.25)</f>
        <v>11640</v>
      </c>
      <c r="R114" s="70">
        <f>INT(Table1[[#This Row],[Reporting date]])-INT(Table1[[#This Row],[Loss date]])</f>
        <v>204</v>
      </c>
      <c r="S114" s="69" t="s">
        <v>9</v>
      </c>
      <c r="T114" s="70">
        <f>VLOOKUP(Table1[[#This Row],[Policy Year]],exposure_table,3,FALSE)</f>
        <v>1057.54</v>
      </c>
      <c r="U114" s="17">
        <f>IF(MONTH(Table1[[#This Row],[Reporting date]])&lt;Policy_Inception_Month,YEAR(Table1[[#This Row],[Reporting date]])-1,YEAR(Table1[[#This Row],[Reporting date]]))</f>
        <v>2012</v>
      </c>
      <c r="V114" s="17">
        <f>Table1[[#This Row],[Reporting year]]-Table1[[#This Row],[Policy Year]]</f>
        <v>0</v>
      </c>
      <c r="W114" s="17">
        <f>INT(Table1[[#This Row],[Reporting date]])-INT(Table1[[#This Row],[Loss date]])</f>
        <v>204</v>
      </c>
      <c r="X114" s="17">
        <f>INT((YEAR(Table1[[#This Row],[Loss date]])*12+MONTH(Table1[[#This Row],[Loss date]])-Earliest_Month)/4)</f>
        <v>22</v>
      </c>
      <c r="Y114" s="17">
        <f>INT((YEAR(Table1[[#This Row],[Reporting date]])*12+MONTH(Table1[[#This Row],[Reporting date]])-Earliest_Month)/4)</f>
        <v>23</v>
      </c>
      <c r="Z114" s="17">
        <f>Table1[[#This Row],[Reporting third]]-Table1[[#This Row],[Policy third]]</f>
        <v>1</v>
      </c>
      <c r="AA114" s="71">
        <f>IF(Table1[[#This Row],[Overall amount]]=0,"N/A",Table1[[#This Row],[Outstanding]]/Table1[[#This Row],[Overall amount]])</f>
        <v>0</v>
      </c>
      <c r="AB114" s="17">
        <f>IF(MONTH(Table1[[#This Row],[Loss date]])&lt;Pol_Inc_Month_Shifted,YEAR(Table1[[#This Row],[Loss date]])-1,YEAR(Table1[[#This Row],[Loss date]]))</f>
        <v>2011</v>
      </c>
      <c r="AC114" s="17">
        <f>IF(MONTH(Table1[[#This Row],[Reporting date]])&lt;Pol_Inc_Month_Shifted,YEAR(Table1[[#This Row],[Reporting date]])-1,YEAR(Table1[[#This Row],[Reporting date]]))</f>
        <v>2012</v>
      </c>
      <c r="AD114" s="17">
        <f>Table1[[#This Row],[Reporting year (shifted)]]-Table1[[#This Row],[Policy Year (shifted)]]</f>
        <v>1</v>
      </c>
    </row>
    <row r="115" spans="1:30" ht="13.9">
      <c r="A115" s="8" t="s">
        <v>1885</v>
      </c>
      <c r="B115" s="8" t="s">
        <v>167</v>
      </c>
      <c r="C115" s="8" t="s">
        <v>123</v>
      </c>
      <c r="D115" s="9">
        <v>40300</v>
      </c>
      <c r="E115" s="9">
        <v>41344</v>
      </c>
      <c r="F115" s="17">
        <f>IF(MONTH(Table1[[#This Row],[Loss date]])&lt;Policy_Inception_Month,YEAR(Table1[[#This Row],[Loss date]])-1,YEAR(Table1[[#This Row],[Loss date]]))</f>
        <v>2010</v>
      </c>
      <c r="G115" s="10" t="s">
        <v>124</v>
      </c>
      <c r="H115" s="10" t="s">
        <v>2</v>
      </c>
      <c r="I115" s="11">
        <v>9678.9292113346419</v>
      </c>
      <c r="J115" s="11">
        <v>22568.812092493292</v>
      </c>
      <c r="K115" s="11">
        <v>32247.741303827934</v>
      </c>
      <c r="L115" s="12">
        <v>0</v>
      </c>
      <c r="M115" s="12">
        <v>0</v>
      </c>
      <c r="N115" s="12">
        <v>32247.741303827934</v>
      </c>
      <c r="O115" s="70">
        <f>IF(Table1[[#This Row],[Overall amount]]=0,0,1)</f>
        <v>1</v>
      </c>
      <c r="P115" s="70">
        <f>Table1[[#This Row],[Overall amount]]*Exchange_Rate</f>
        <v>32247.741303827934</v>
      </c>
      <c r="Q115" s="70">
        <f>Table1[[#This Row],[Overall (destination currency)]]*(1+Claims_Inflation)^((Revalue_at_date-Table1[[#This Row],[Loss date]])/365.25)</f>
        <v>42000</v>
      </c>
      <c r="R115" s="70">
        <f>INT(Table1[[#This Row],[Reporting date]])-INT(Table1[[#This Row],[Loss date]])</f>
        <v>1044</v>
      </c>
      <c r="S115" s="69" t="s">
        <v>16</v>
      </c>
      <c r="T115" s="70">
        <f>VLOOKUP(Table1[[#This Row],[Policy Year]],exposure_table,3,FALSE)</f>
        <v>837.11513600000012</v>
      </c>
      <c r="U115" s="17">
        <f>IF(MONTH(Table1[[#This Row],[Reporting date]])&lt;Policy_Inception_Month,YEAR(Table1[[#This Row],[Reporting date]])-1,YEAR(Table1[[#This Row],[Reporting date]]))</f>
        <v>2012</v>
      </c>
      <c r="V115" s="17">
        <f>Table1[[#This Row],[Reporting year]]-Table1[[#This Row],[Policy Year]]</f>
        <v>2</v>
      </c>
      <c r="W115" s="17">
        <f>INT(Table1[[#This Row],[Reporting date]])-INT(Table1[[#This Row],[Loss date]])</f>
        <v>1044</v>
      </c>
      <c r="X115" s="17">
        <f>INT((YEAR(Table1[[#This Row],[Loss date]])*12+MONTH(Table1[[#This Row],[Loss date]])-Earliest_Month)/4)</f>
        <v>15</v>
      </c>
      <c r="Y115" s="17">
        <f>INT((YEAR(Table1[[#This Row],[Reporting date]])*12+MONTH(Table1[[#This Row],[Reporting date]])-Earliest_Month)/4)</f>
        <v>23</v>
      </c>
      <c r="Z115" s="17">
        <f>Table1[[#This Row],[Reporting third]]-Table1[[#This Row],[Policy third]]</f>
        <v>8</v>
      </c>
      <c r="AA115" s="71">
        <f>IF(Table1[[#This Row],[Overall amount]]=0,"N/A",Table1[[#This Row],[Outstanding]]/Table1[[#This Row],[Overall amount]])</f>
        <v>0.69985714285714284</v>
      </c>
      <c r="AB115" s="17">
        <f>IF(MONTH(Table1[[#This Row],[Loss date]])&lt;Pol_Inc_Month_Shifted,YEAR(Table1[[#This Row],[Loss date]])-1,YEAR(Table1[[#This Row],[Loss date]]))</f>
        <v>2009</v>
      </c>
      <c r="AC115" s="17">
        <f>IF(MONTH(Table1[[#This Row],[Reporting date]])&lt;Pol_Inc_Month_Shifted,YEAR(Table1[[#This Row],[Reporting date]])-1,YEAR(Table1[[#This Row],[Reporting date]]))</f>
        <v>2012</v>
      </c>
      <c r="AD115" s="17">
        <f>Table1[[#This Row],[Reporting year (shifted)]]-Table1[[#This Row],[Policy Year (shifted)]]</f>
        <v>3</v>
      </c>
    </row>
    <row r="116" spans="1:30" ht="13.9">
      <c r="A116" s="8" t="s">
        <v>1886</v>
      </c>
      <c r="B116" s="8" t="s">
        <v>168</v>
      </c>
      <c r="C116" s="8" t="s">
        <v>123</v>
      </c>
      <c r="D116" s="9">
        <v>41267</v>
      </c>
      <c r="E116" s="9">
        <v>41344</v>
      </c>
      <c r="F116" s="17">
        <f>IF(MONTH(Table1[[#This Row],[Loss date]])&lt;Policy_Inception_Month,YEAR(Table1[[#This Row],[Loss date]])-1,YEAR(Table1[[#This Row],[Loss date]]))</f>
        <v>2012</v>
      </c>
      <c r="G116" s="10" t="s">
        <v>125</v>
      </c>
      <c r="H116" s="10" t="s">
        <v>2</v>
      </c>
      <c r="I116" s="11">
        <v>0</v>
      </c>
      <c r="J116" s="11">
        <v>0</v>
      </c>
      <c r="K116" s="11">
        <v>0</v>
      </c>
      <c r="L116" s="12">
        <v>314.52213650013914</v>
      </c>
      <c r="M116" s="12">
        <v>2.2016549555009739</v>
      </c>
      <c r="N116" s="12">
        <v>312.32048154463814</v>
      </c>
      <c r="O116" s="70">
        <f>IF(Table1[[#This Row],[Overall amount]]=0,0,1)</f>
        <v>1</v>
      </c>
      <c r="P116" s="70">
        <f>Table1[[#This Row],[Overall amount]]*Exchange_Rate</f>
        <v>312.32048154463814</v>
      </c>
      <c r="Q116" s="70">
        <f>Table1[[#This Row],[Overall (destination currency)]]*(1+Claims_Inflation)^((Revalue_at_date-Table1[[#This Row],[Loss date]])/365.25)</f>
        <v>357.47999999999996</v>
      </c>
      <c r="R116" s="70">
        <f>INT(Table1[[#This Row],[Reporting date]])-INT(Table1[[#This Row],[Loss date]])</f>
        <v>77</v>
      </c>
      <c r="S116" s="69" t="s">
        <v>9</v>
      </c>
      <c r="T116" s="70">
        <f>VLOOKUP(Table1[[#This Row],[Policy Year]],exposure_table,3,FALSE)</f>
        <v>1057.54</v>
      </c>
      <c r="U116" s="17">
        <f>IF(MONTH(Table1[[#This Row],[Reporting date]])&lt;Policy_Inception_Month,YEAR(Table1[[#This Row],[Reporting date]])-1,YEAR(Table1[[#This Row],[Reporting date]]))</f>
        <v>2012</v>
      </c>
      <c r="V116" s="17">
        <f>Table1[[#This Row],[Reporting year]]-Table1[[#This Row],[Policy Year]]</f>
        <v>0</v>
      </c>
      <c r="W116" s="17">
        <f>INT(Table1[[#This Row],[Reporting date]])-INT(Table1[[#This Row],[Loss date]])</f>
        <v>77</v>
      </c>
      <c r="X116" s="17">
        <f>INT((YEAR(Table1[[#This Row],[Loss date]])*12+MONTH(Table1[[#This Row],[Loss date]])-Earliest_Month)/4)</f>
        <v>23</v>
      </c>
      <c r="Y116" s="17">
        <f>INT((YEAR(Table1[[#This Row],[Reporting date]])*12+MONTH(Table1[[#This Row],[Reporting date]])-Earliest_Month)/4)</f>
        <v>23</v>
      </c>
      <c r="Z116" s="17">
        <f>Table1[[#This Row],[Reporting third]]-Table1[[#This Row],[Policy third]]</f>
        <v>0</v>
      </c>
      <c r="AA116" s="71">
        <f>IF(Table1[[#This Row],[Overall amount]]=0,"N/A",Table1[[#This Row],[Outstanding]]/Table1[[#This Row],[Overall amount]])</f>
        <v>0</v>
      </c>
      <c r="AB116" s="17">
        <f>IF(MONTH(Table1[[#This Row],[Loss date]])&lt;Pol_Inc_Month_Shifted,YEAR(Table1[[#This Row],[Loss date]])-1,YEAR(Table1[[#This Row],[Loss date]]))</f>
        <v>2012</v>
      </c>
      <c r="AC116" s="17">
        <f>IF(MONTH(Table1[[#This Row],[Reporting date]])&lt;Pol_Inc_Month_Shifted,YEAR(Table1[[#This Row],[Reporting date]])-1,YEAR(Table1[[#This Row],[Reporting date]]))</f>
        <v>2012</v>
      </c>
      <c r="AD116" s="17">
        <f>Table1[[#This Row],[Reporting year (shifted)]]-Table1[[#This Row],[Policy Year (shifted)]]</f>
        <v>0</v>
      </c>
    </row>
    <row r="117" spans="1:30" ht="13.9">
      <c r="A117" s="8" t="s">
        <v>1887</v>
      </c>
      <c r="B117" s="8" t="s">
        <v>169</v>
      </c>
      <c r="C117" s="8" t="s">
        <v>123</v>
      </c>
      <c r="D117" s="9">
        <v>41012</v>
      </c>
      <c r="E117" s="9">
        <v>41348</v>
      </c>
      <c r="F117" s="17">
        <f>IF(MONTH(Table1[[#This Row],[Loss date]])&lt;Policy_Inception_Month,YEAR(Table1[[#This Row],[Loss date]])-1,YEAR(Table1[[#This Row],[Loss date]]))</f>
        <v>2012</v>
      </c>
      <c r="G117" s="10" t="s">
        <v>125</v>
      </c>
      <c r="H117" s="10" t="s">
        <v>2</v>
      </c>
      <c r="I117" s="11">
        <v>0</v>
      </c>
      <c r="J117" s="11">
        <v>0</v>
      </c>
      <c r="K117" s="11">
        <v>0</v>
      </c>
      <c r="L117" s="12">
        <v>0</v>
      </c>
      <c r="M117" s="12">
        <v>0</v>
      </c>
      <c r="N117" s="12">
        <v>0</v>
      </c>
      <c r="O117" s="70">
        <f>IF(Table1[[#This Row],[Overall amount]]=0,0,1)</f>
        <v>0</v>
      </c>
      <c r="P117" s="70">
        <f>Table1[[#This Row],[Overall amount]]*Exchange_Rate</f>
        <v>0</v>
      </c>
      <c r="Q117" s="70">
        <f>Table1[[#This Row],[Overall (destination currency)]]*(1+Claims_Inflation)^((Revalue_at_date-Table1[[#This Row],[Loss date]])/365.25)</f>
        <v>0</v>
      </c>
      <c r="R117" s="70">
        <f>INT(Table1[[#This Row],[Reporting date]])-INT(Table1[[#This Row],[Loss date]])</f>
        <v>336</v>
      </c>
      <c r="S117" s="69" t="s">
        <v>9</v>
      </c>
      <c r="T117" s="70">
        <f>VLOOKUP(Table1[[#This Row],[Policy Year]],exposure_table,3,FALSE)</f>
        <v>1057.54</v>
      </c>
      <c r="U117" s="17">
        <f>IF(MONTH(Table1[[#This Row],[Reporting date]])&lt;Policy_Inception_Month,YEAR(Table1[[#This Row],[Reporting date]])-1,YEAR(Table1[[#This Row],[Reporting date]]))</f>
        <v>2012</v>
      </c>
      <c r="V117" s="17">
        <f>Table1[[#This Row],[Reporting year]]-Table1[[#This Row],[Policy Year]]</f>
        <v>0</v>
      </c>
      <c r="W117" s="17">
        <f>INT(Table1[[#This Row],[Reporting date]])-INT(Table1[[#This Row],[Loss date]])</f>
        <v>336</v>
      </c>
      <c r="X117" s="17">
        <f>INT((YEAR(Table1[[#This Row],[Loss date]])*12+MONTH(Table1[[#This Row],[Loss date]])-Earliest_Month)/4)</f>
        <v>21</v>
      </c>
      <c r="Y117" s="17">
        <f>INT((YEAR(Table1[[#This Row],[Reporting date]])*12+MONTH(Table1[[#This Row],[Reporting date]])-Earliest_Month)/4)</f>
        <v>23</v>
      </c>
      <c r="Z117" s="17">
        <f>Table1[[#This Row],[Reporting third]]-Table1[[#This Row],[Policy third]]</f>
        <v>2</v>
      </c>
      <c r="AA117" s="71" t="str">
        <f>IF(Table1[[#This Row],[Overall amount]]=0,"N/A",Table1[[#This Row],[Outstanding]]/Table1[[#This Row],[Overall amount]])</f>
        <v>N/A</v>
      </c>
      <c r="AB117" s="17">
        <f>IF(MONTH(Table1[[#This Row],[Loss date]])&lt;Pol_Inc_Month_Shifted,YEAR(Table1[[#This Row],[Loss date]])-1,YEAR(Table1[[#This Row],[Loss date]]))</f>
        <v>2011</v>
      </c>
      <c r="AC117" s="17">
        <f>IF(MONTH(Table1[[#This Row],[Reporting date]])&lt;Pol_Inc_Month_Shifted,YEAR(Table1[[#This Row],[Reporting date]])-1,YEAR(Table1[[#This Row],[Reporting date]]))</f>
        <v>2012</v>
      </c>
      <c r="AD117" s="17">
        <f>Table1[[#This Row],[Reporting year (shifted)]]-Table1[[#This Row],[Policy Year (shifted)]]</f>
        <v>1</v>
      </c>
    </row>
    <row r="118" spans="1:30" ht="13.9">
      <c r="A118" s="8" t="s">
        <v>1888</v>
      </c>
      <c r="B118" s="8" t="s">
        <v>170</v>
      </c>
      <c r="C118" s="8" t="s">
        <v>123</v>
      </c>
      <c r="D118" s="9">
        <v>40573</v>
      </c>
      <c r="E118" s="9">
        <v>41344</v>
      </c>
      <c r="F118" s="17">
        <f>IF(MONTH(Table1[[#This Row],[Loss date]])&lt;Policy_Inception_Month,YEAR(Table1[[#This Row],[Loss date]])-1,YEAR(Table1[[#This Row],[Loss date]]))</f>
        <v>2010</v>
      </c>
      <c r="G118" s="10" t="s">
        <v>125</v>
      </c>
      <c r="H118" s="10" t="s">
        <v>2</v>
      </c>
      <c r="I118" s="11">
        <v>2578.6432718252881</v>
      </c>
      <c r="J118" s="11">
        <v>0</v>
      </c>
      <c r="K118" s="11">
        <v>2578.6432718252881</v>
      </c>
      <c r="L118" s="12">
        <v>0</v>
      </c>
      <c r="M118" s="12">
        <v>0</v>
      </c>
      <c r="N118" s="12">
        <v>2578.6432718252881</v>
      </c>
      <c r="O118" s="70">
        <f>IF(Table1[[#This Row],[Overall amount]]=0,0,1)</f>
        <v>1</v>
      </c>
      <c r="P118" s="70">
        <f>Table1[[#This Row],[Overall amount]]*Exchange_Rate</f>
        <v>2578.6432718252881</v>
      </c>
      <c r="Q118" s="70">
        <f>Table1[[#This Row],[Overall (destination currency)]]*(1+Claims_Inflation)^((Revalue_at_date-Table1[[#This Row],[Loss date]])/365.25)</f>
        <v>3238.2</v>
      </c>
      <c r="R118" s="70">
        <f>INT(Table1[[#This Row],[Reporting date]])-INT(Table1[[#This Row],[Loss date]])</f>
        <v>771</v>
      </c>
      <c r="S118" s="69" t="s">
        <v>9</v>
      </c>
      <c r="T118" s="70">
        <f>VLOOKUP(Table1[[#This Row],[Policy Year]],exposure_table,3,FALSE)</f>
        <v>837.11513600000012</v>
      </c>
      <c r="U118" s="17">
        <f>IF(MONTH(Table1[[#This Row],[Reporting date]])&lt;Policy_Inception_Month,YEAR(Table1[[#This Row],[Reporting date]])-1,YEAR(Table1[[#This Row],[Reporting date]]))</f>
        <v>2012</v>
      </c>
      <c r="V118" s="17">
        <f>Table1[[#This Row],[Reporting year]]-Table1[[#This Row],[Policy Year]]</f>
        <v>2</v>
      </c>
      <c r="W118" s="17">
        <f>INT(Table1[[#This Row],[Reporting date]])-INT(Table1[[#This Row],[Loss date]])</f>
        <v>771</v>
      </c>
      <c r="X118" s="17">
        <f>INT((YEAR(Table1[[#This Row],[Loss date]])*12+MONTH(Table1[[#This Row],[Loss date]])-Earliest_Month)/4)</f>
        <v>17</v>
      </c>
      <c r="Y118" s="17">
        <f>INT((YEAR(Table1[[#This Row],[Reporting date]])*12+MONTH(Table1[[#This Row],[Reporting date]])-Earliest_Month)/4)</f>
        <v>23</v>
      </c>
      <c r="Z118" s="17">
        <f>Table1[[#This Row],[Reporting third]]-Table1[[#This Row],[Policy third]]</f>
        <v>6</v>
      </c>
      <c r="AA118" s="71">
        <f>IF(Table1[[#This Row],[Overall amount]]=0,"N/A",Table1[[#This Row],[Outstanding]]/Table1[[#This Row],[Overall amount]])</f>
        <v>0</v>
      </c>
      <c r="AB118" s="17">
        <f>IF(MONTH(Table1[[#This Row],[Loss date]])&lt;Pol_Inc_Month_Shifted,YEAR(Table1[[#This Row],[Loss date]])-1,YEAR(Table1[[#This Row],[Loss date]]))</f>
        <v>2010</v>
      </c>
      <c r="AC118" s="17">
        <f>IF(MONTH(Table1[[#This Row],[Reporting date]])&lt;Pol_Inc_Month_Shifted,YEAR(Table1[[#This Row],[Reporting date]])-1,YEAR(Table1[[#This Row],[Reporting date]]))</f>
        <v>2012</v>
      </c>
      <c r="AD118" s="17">
        <f>Table1[[#This Row],[Reporting year (shifted)]]-Table1[[#This Row],[Policy Year (shifted)]]</f>
        <v>2</v>
      </c>
    </row>
    <row r="119" spans="1:30" ht="13.9">
      <c r="A119" s="8" t="s">
        <v>1889</v>
      </c>
      <c r="B119" s="8" t="s">
        <v>171</v>
      </c>
      <c r="C119" s="8" t="s">
        <v>123</v>
      </c>
      <c r="D119" s="9">
        <v>41062</v>
      </c>
      <c r="E119" s="9">
        <v>41348</v>
      </c>
      <c r="F119" s="17">
        <f>IF(MONTH(Table1[[#This Row],[Loss date]])&lt;Policy_Inception_Month,YEAR(Table1[[#This Row],[Loss date]])-1,YEAR(Table1[[#This Row],[Loss date]]))</f>
        <v>2012</v>
      </c>
      <c r="G119" s="10" t="s">
        <v>134</v>
      </c>
      <c r="H119" s="10" t="s">
        <v>2</v>
      </c>
      <c r="I119" s="11">
        <v>4360.6684689782687</v>
      </c>
      <c r="J119" s="11">
        <v>0</v>
      </c>
      <c r="K119" s="11">
        <v>4360.6684689782687</v>
      </c>
      <c r="L119" s="12">
        <v>0</v>
      </c>
      <c r="M119" s="12">
        <v>0</v>
      </c>
      <c r="N119" s="12">
        <v>4360.6684689782687</v>
      </c>
      <c r="O119" s="70">
        <f>IF(Table1[[#This Row],[Overall amount]]=0,0,1)</f>
        <v>1</v>
      </c>
      <c r="P119" s="70">
        <f>Table1[[#This Row],[Overall amount]]*Exchange_Rate</f>
        <v>4360.6684689782687</v>
      </c>
      <c r="Q119" s="70">
        <f>Table1[[#This Row],[Overall (destination currency)]]*(1+Claims_Inflation)^((Revalue_at_date-Table1[[#This Row],[Loss date]])/365.25)</f>
        <v>5129.7600000000011</v>
      </c>
      <c r="R119" s="70">
        <f>INT(Table1[[#This Row],[Reporting date]])-INT(Table1[[#This Row],[Loss date]])</f>
        <v>286</v>
      </c>
      <c r="S119" s="69" t="s">
        <v>9</v>
      </c>
      <c r="T119" s="70">
        <f>VLOOKUP(Table1[[#This Row],[Policy Year]],exposure_table,3,FALSE)</f>
        <v>1057.54</v>
      </c>
      <c r="U119" s="17">
        <f>IF(MONTH(Table1[[#This Row],[Reporting date]])&lt;Policy_Inception_Month,YEAR(Table1[[#This Row],[Reporting date]])-1,YEAR(Table1[[#This Row],[Reporting date]]))</f>
        <v>2012</v>
      </c>
      <c r="V119" s="17">
        <f>Table1[[#This Row],[Reporting year]]-Table1[[#This Row],[Policy Year]]</f>
        <v>0</v>
      </c>
      <c r="W119" s="17">
        <f>INT(Table1[[#This Row],[Reporting date]])-INT(Table1[[#This Row],[Loss date]])</f>
        <v>286</v>
      </c>
      <c r="X119" s="17">
        <f>INT((YEAR(Table1[[#This Row],[Loss date]])*12+MONTH(Table1[[#This Row],[Loss date]])-Earliest_Month)/4)</f>
        <v>21</v>
      </c>
      <c r="Y119" s="17">
        <f>INT((YEAR(Table1[[#This Row],[Reporting date]])*12+MONTH(Table1[[#This Row],[Reporting date]])-Earliest_Month)/4)</f>
        <v>23</v>
      </c>
      <c r="Z119" s="17">
        <f>Table1[[#This Row],[Reporting third]]-Table1[[#This Row],[Policy third]]</f>
        <v>2</v>
      </c>
      <c r="AA119" s="71">
        <f>IF(Table1[[#This Row],[Overall amount]]=0,"N/A",Table1[[#This Row],[Outstanding]]/Table1[[#This Row],[Overall amount]])</f>
        <v>0</v>
      </c>
      <c r="AB119" s="17">
        <f>IF(MONTH(Table1[[#This Row],[Loss date]])&lt;Pol_Inc_Month_Shifted,YEAR(Table1[[#This Row],[Loss date]])-1,YEAR(Table1[[#This Row],[Loss date]]))</f>
        <v>2011</v>
      </c>
      <c r="AC119" s="17">
        <f>IF(MONTH(Table1[[#This Row],[Reporting date]])&lt;Pol_Inc_Month_Shifted,YEAR(Table1[[#This Row],[Reporting date]])-1,YEAR(Table1[[#This Row],[Reporting date]]))</f>
        <v>2012</v>
      </c>
      <c r="AD119" s="17">
        <f>Table1[[#This Row],[Reporting year (shifted)]]-Table1[[#This Row],[Policy Year (shifted)]]</f>
        <v>1</v>
      </c>
    </row>
    <row r="120" spans="1:30" ht="13.9">
      <c r="A120" s="8" t="s">
        <v>1890</v>
      </c>
      <c r="B120" s="8" t="s">
        <v>172</v>
      </c>
      <c r="C120" s="8" t="s">
        <v>123</v>
      </c>
      <c r="D120" s="9">
        <v>41057</v>
      </c>
      <c r="E120" s="9">
        <v>41322</v>
      </c>
      <c r="F120" s="17">
        <f>IF(MONTH(Table1[[#This Row],[Loss date]])&lt;Policy_Inception_Month,YEAR(Table1[[#This Row],[Loss date]])-1,YEAR(Table1[[#This Row],[Loss date]]))</f>
        <v>2012</v>
      </c>
      <c r="G120" s="10" t="s">
        <v>135</v>
      </c>
      <c r="H120" s="10" t="s">
        <v>2</v>
      </c>
      <c r="I120" s="11">
        <v>0</v>
      </c>
      <c r="J120" s="11">
        <v>0</v>
      </c>
      <c r="K120" s="11">
        <v>0</v>
      </c>
      <c r="L120" s="12">
        <v>0</v>
      </c>
      <c r="M120" s="12">
        <v>0</v>
      </c>
      <c r="N120" s="12">
        <v>0</v>
      </c>
      <c r="O120" s="70">
        <f>IF(Table1[[#This Row],[Overall amount]]=0,0,1)</f>
        <v>0</v>
      </c>
      <c r="P120" s="70">
        <f>Table1[[#This Row],[Overall amount]]*Exchange_Rate</f>
        <v>0</v>
      </c>
      <c r="Q120" s="70">
        <f>Table1[[#This Row],[Overall (destination currency)]]*(1+Claims_Inflation)^((Revalue_at_date-Table1[[#This Row],[Loss date]])/365.25)</f>
        <v>0</v>
      </c>
      <c r="R120" s="70">
        <f>INT(Table1[[#This Row],[Reporting date]])-INT(Table1[[#This Row],[Loss date]])</f>
        <v>265</v>
      </c>
      <c r="S120" s="69" t="s">
        <v>9</v>
      </c>
      <c r="T120" s="70">
        <f>VLOOKUP(Table1[[#This Row],[Policy Year]],exposure_table,3,FALSE)</f>
        <v>1057.54</v>
      </c>
      <c r="U120" s="17">
        <f>IF(MONTH(Table1[[#This Row],[Reporting date]])&lt;Policy_Inception_Month,YEAR(Table1[[#This Row],[Reporting date]])-1,YEAR(Table1[[#This Row],[Reporting date]]))</f>
        <v>2012</v>
      </c>
      <c r="V120" s="17">
        <f>Table1[[#This Row],[Reporting year]]-Table1[[#This Row],[Policy Year]]</f>
        <v>0</v>
      </c>
      <c r="W120" s="17">
        <f>INT(Table1[[#This Row],[Reporting date]])-INT(Table1[[#This Row],[Loss date]])</f>
        <v>265</v>
      </c>
      <c r="X120" s="17">
        <f>INT((YEAR(Table1[[#This Row],[Loss date]])*12+MONTH(Table1[[#This Row],[Loss date]])-Earliest_Month)/4)</f>
        <v>21</v>
      </c>
      <c r="Y120" s="17">
        <f>INT((YEAR(Table1[[#This Row],[Reporting date]])*12+MONTH(Table1[[#This Row],[Reporting date]])-Earliest_Month)/4)</f>
        <v>23</v>
      </c>
      <c r="Z120" s="17">
        <f>Table1[[#This Row],[Reporting third]]-Table1[[#This Row],[Policy third]]</f>
        <v>2</v>
      </c>
      <c r="AA120" s="71" t="str">
        <f>IF(Table1[[#This Row],[Overall amount]]=0,"N/A",Table1[[#This Row],[Outstanding]]/Table1[[#This Row],[Overall amount]])</f>
        <v>N/A</v>
      </c>
      <c r="AB120" s="17">
        <f>IF(MONTH(Table1[[#This Row],[Loss date]])&lt;Pol_Inc_Month_Shifted,YEAR(Table1[[#This Row],[Loss date]])-1,YEAR(Table1[[#This Row],[Loss date]]))</f>
        <v>2011</v>
      </c>
      <c r="AC120" s="17">
        <f>IF(MONTH(Table1[[#This Row],[Reporting date]])&lt;Pol_Inc_Month_Shifted,YEAR(Table1[[#This Row],[Reporting date]])-1,YEAR(Table1[[#This Row],[Reporting date]]))</f>
        <v>2012</v>
      </c>
      <c r="AD120" s="17">
        <f>Table1[[#This Row],[Reporting year (shifted)]]-Table1[[#This Row],[Policy Year (shifted)]]</f>
        <v>1</v>
      </c>
    </row>
    <row r="121" spans="1:30" ht="13.9">
      <c r="A121" s="8" t="s">
        <v>1891</v>
      </c>
      <c r="B121" s="8" t="s">
        <v>173</v>
      </c>
      <c r="C121" s="8" t="s">
        <v>123</v>
      </c>
      <c r="D121" s="9">
        <v>41157</v>
      </c>
      <c r="E121" s="9">
        <v>41358</v>
      </c>
      <c r="F121" s="17">
        <f>IF(MONTH(Table1[[#This Row],[Loss date]])&lt;Policy_Inception_Month,YEAR(Table1[[#This Row],[Loss date]])-1,YEAR(Table1[[#This Row],[Loss date]]))</f>
        <v>2012</v>
      </c>
      <c r="G121" s="10" t="s">
        <v>125</v>
      </c>
      <c r="H121" s="10" t="s">
        <v>2</v>
      </c>
      <c r="I121" s="11">
        <v>0</v>
      </c>
      <c r="J121" s="11">
        <v>0</v>
      </c>
      <c r="K121" s="11">
        <v>0</v>
      </c>
      <c r="L121" s="12">
        <v>309.9343928644825</v>
      </c>
      <c r="M121" s="12">
        <v>0</v>
      </c>
      <c r="N121" s="12">
        <v>309.9343928644825</v>
      </c>
      <c r="O121" s="70">
        <f>IF(Table1[[#This Row],[Overall amount]]=0,0,1)</f>
        <v>1</v>
      </c>
      <c r="P121" s="70">
        <f>Table1[[#This Row],[Overall amount]]*Exchange_Rate</f>
        <v>309.9343928644825</v>
      </c>
      <c r="Q121" s="70">
        <f>Table1[[#This Row],[Overall (destination currency)]]*(1+Claims_Inflation)^((Revalue_at_date-Table1[[#This Row],[Loss date]])/365.25)</f>
        <v>360</v>
      </c>
      <c r="R121" s="70">
        <f>INT(Table1[[#This Row],[Reporting date]])-INT(Table1[[#This Row],[Loss date]])</f>
        <v>201</v>
      </c>
      <c r="S121" s="69" t="s">
        <v>9</v>
      </c>
      <c r="T121" s="70">
        <f>VLOOKUP(Table1[[#This Row],[Policy Year]],exposure_table,3,FALSE)</f>
        <v>1057.54</v>
      </c>
      <c r="U121" s="17">
        <f>IF(MONTH(Table1[[#This Row],[Reporting date]])&lt;Policy_Inception_Month,YEAR(Table1[[#This Row],[Reporting date]])-1,YEAR(Table1[[#This Row],[Reporting date]]))</f>
        <v>2012</v>
      </c>
      <c r="V121" s="17">
        <f>Table1[[#This Row],[Reporting year]]-Table1[[#This Row],[Policy Year]]</f>
        <v>0</v>
      </c>
      <c r="W121" s="17">
        <f>INT(Table1[[#This Row],[Reporting date]])-INT(Table1[[#This Row],[Loss date]])</f>
        <v>201</v>
      </c>
      <c r="X121" s="17">
        <f>INT((YEAR(Table1[[#This Row],[Loss date]])*12+MONTH(Table1[[#This Row],[Loss date]])-Earliest_Month)/4)</f>
        <v>22</v>
      </c>
      <c r="Y121" s="17">
        <f>INT((YEAR(Table1[[#This Row],[Reporting date]])*12+MONTH(Table1[[#This Row],[Reporting date]])-Earliest_Month)/4)</f>
        <v>23</v>
      </c>
      <c r="Z121" s="17">
        <f>Table1[[#This Row],[Reporting third]]-Table1[[#This Row],[Policy third]]</f>
        <v>1</v>
      </c>
      <c r="AA121" s="71">
        <f>IF(Table1[[#This Row],[Overall amount]]=0,"N/A",Table1[[#This Row],[Outstanding]]/Table1[[#This Row],[Overall amount]])</f>
        <v>0</v>
      </c>
      <c r="AB121" s="17">
        <f>IF(MONTH(Table1[[#This Row],[Loss date]])&lt;Pol_Inc_Month_Shifted,YEAR(Table1[[#This Row],[Loss date]])-1,YEAR(Table1[[#This Row],[Loss date]]))</f>
        <v>2011</v>
      </c>
      <c r="AC121" s="17">
        <f>IF(MONTH(Table1[[#This Row],[Reporting date]])&lt;Pol_Inc_Month_Shifted,YEAR(Table1[[#This Row],[Reporting date]])-1,YEAR(Table1[[#This Row],[Reporting date]]))</f>
        <v>2012</v>
      </c>
      <c r="AD121" s="17">
        <f>Table1[[#This Row],[Reporting year (shifted)]]-Table1[[#This Row],[Policy Year (shifted)]]</f>
        <v>1</v>
      </c>
    </row>
    <row r="122" spans="1:30" ht="13.9">
      <c r="A122" s="8" t="s">
        <v>1892</v>
      </c>
      <c r="B122" s="8" t="s">
        <v>174</v>
      </c>
      <c r="C122" s="8" t="s">
        <v>123</v>
      </c>
      <c r="D122" s="9">
        <v>40950</v>
      </c>
      <c r="E122" s="9">
        <v>41363</v>
      </c>
      <c r="F122" s="17">
        <f>IF(MONTH(Table1[[#This Row],[Loss date]])&lt;Policy_Inception_Month,YEAR(Table1[[#This Row],[Loss date]])-1,YEAR(Table1[[#This Row],[Loss date]]))</f>
        <v>2011</v>
      </c>
      <c r="G122" s="10" t="s">
        <v>125</v>
      </c>
      <c r="H122" s="10" t="s">
        <v>2</v>
      </c>
      <c r="I122" s="11">
        <v>11126.687079811745</v>
      </c>
      <c r="J122" s="11">
        <v>0</v>
      </c>
      <c r="K122" s="11">
        <v>11126.687079811745</v>
      </c>
      <c r="L122" s="12">
        <v>301.48176697466783</v>
      </c>
      <c r="M122" s="12">
        <v>285.70422116966029</v>
      </c>
      <c r="N122" s="12">
        <v>11142.464625616753</v>
      </c>
      <c r="O122" s="70">
        <f>IF(Table1[[#This Row],[Overall amount]]=0,0,1)</f>
        <v>1</v>
      </c>
      <c r="P122" s="70">
        <f>Table1[[#This Row],[Overall amount]]*Exchange_Rate</f>
        <v>11142.464625616753</v>
      </c>
      <c r="Q122" s="70">
        <f>Table1[[#This Row],[Overall (destination currency)]]*(1+Claims_Inflation)^((Revalue_at_date-Table1[[#This Row],[Loss date]])/365.25)</f>
        <v>13305.240000000003</v>
      </c>
      <c r="R122" s="70">
        <f>INT(Table1[[#This Row],[Reporting date]])-INT(Table1[[#This Row],[Loss date]])</f>
        <v>413</v>
      </c>
      <c r="S122" s="69" t="s">
        <v>9</v>
      </c>
      <c r="T122" s="70">
        <f>VLOOKUP(Table1[[#This Row],[Policy Year]],exposure_table,3,FALSE)</f>
        <v>870.52680000000009</v>
      </c>
      <c r="U122" s="17">
        <f>IF(MONTH(Table1[[#This Row],[Reporting date]])&lt;Policy_Inception_Month,YEAR(Table1[[#This Row],[Reporting date]])-1,YEAR(Table1[[#This Row],[Reporting date]]))</f>
        <v>2012</v>
      </c>
      <c r="V122" s="17">
        <f>Table1[[#This Row],[Reporting year]]-Table1[[#This Row],[Policy Year]]</f>
        <v>1</v>
      </c>
      <c r="W122" s="17">
        <f>INT(Table1[[#This Row],[Reporting date]])-INT(Table1[[#This Row],[Loss date]])</f>
        <v>413</v>
      </c>
      <c r="X122" s="17">
        <f>INT((YEAR(Table1[[#This Row],[Loss date]])*12+MONTH(Table1[[#This Row],[Loss date]])-Earliest_Month)/4)</f>
        <v>20</v>
      </c>
      <c r="Y122" s="17">
        <f>INT((YEAR(Table1[[#This Row],[Reporting date]])*12+MONTH(Table1[[#This Row],[Reporting date]])-Earliest_Month)/4)</f>
        <v>23</v>
      </c>
      <c r="Z122" s="17">
        <f>Table1[[#This Row],[Reporting third]]-Table1[[#This Row],[Policy third]]</f>
        <v>3</v>
      </c>
      <c r="AA122" s="71">
        <f>IF(Table1[[#This Row],[Overall amount]]=0,"N/A",Table1[[#This Row],[Outstanding]]/Table1[[#This Row],[Overall amount]])</f>
        <v>0</v>
      </c>
      <c r="AB122" s="17">
        <f>IF(MONTH(Table1[[#This Row],[Loss date]])&lt;Pol_Inc_Month_Shifted,YEAR(Table1[[#This Row],[Loss date]])-1,YEAR(Table1[[#This Row],[Loss date]]))</f>
        <v>2011</v>
      </c>
      <c r="AC122" s="17">
        <f>IF(MONTH(Table1[[#This Row],[Reporting date]])&lt;Pol_Inc_Month_Shifted,YEAR(Table1[[#This Row],[Reporting date]])-1,YEAR(Table1[[#This Row],[Reporting date]]))</f>
        <v>2012</v>
      </c>
      <c r="AD122" s="17">
        <f>Table1[[#This Row],[Reporting year (shifted)]]-Table1[[#This Row],[Policy Year (shifted)]]</f>
        <v>1</v>
      </c>
    </row>
    <row r="123" spans="1:30" ht="13.9">
      <c r="A123" s="8" t="s">
        <v>1893</v>
      </c>
      <c r="B123" s="8" t="s">
        <v>175</v>
      </c>
      <c r="C123" s="8" t="s">
        <v>123</v>
      </c>
      <c r="D123" s="9">
        <v>40813</v>
      </c>
      <c r="E123" s="9">
        <v>41371</v>
      </c>
      <c r="F123" s="17">
        <f>IF(MONTH(Table1[[#This Row],[Loss date]])&lt;Policy_Inception_Month,YEAR(Table1[[#This Row],[Loss date]])-1,YEAR(Table1[[#This Row],[Loss date]]))</f>
        <v>2011</v>
      </c>
      <c r="G123" s="10" t="s">
        <v>125</v>
      </c>
      <c r="H123" s="10" t="s">
        <v>2</v>
      </c>
      <c r="I123" s="11">
        <v>9864.1959156013108</v>
      </c>
      <c r="J123" s="11">
        <v>0</v>
      </c>
      <c r="K123" s="11">
        <v>9864.1959156013108</v>
      </c>
      <c r="L123" s="12">
        <v>0</v>
      </c>
      <c r="M123" s="12">
        <v>0</v>
      </c>
      <c r="N123" s="12">
        <v>9864.1959156013108</v>
      </c>
      <c r="O123" s="70">
        <f>IF(Table1[[#This Row],[Overall amount]]=0,0,1)</f>
        <v>1</v>
      </c>
      <c r="P123" s="70">
        <f>Table1[[#This Row],[Overall amount]]*Exchange_Rate</f>
        <v>9864.1959156013108</v>
      </c>
      <c r="Q123" s="70">
        <f>Table1[[#This Row],[Overall (destination currency)]]*(1+Claims_Inflation)^((Revalue_at_date-Table1[[#This Row],[Loss date]])/365.25)</f>
        <v>11996.399999999998</v>
      </c>
      <c r="R123" s="70">
        <f>INT(Table1[[#This Row],[Reporting date]])-INT(Table1[[#This Row],[Loss date]])</f>
        <v>558</v>
      </c>
      <c r="S123" s="69" t="s">
        <v>9</v>
      </c>
      <c r="T123" s="70">
        <f>VLOOKUP(Table1[[#This Row],[Policy Year]],exposure_table,3,FALSE)</f>
        <v>870.52680000000009</v>
      </c>
      <c r="U123" s="17">
        <f>IF(MONTH(Table1[[#This Row],[Reporting date]])&lt;Policy_Inception_Month,YEAR(Table1[[#This Row],[Reporting date]])-1,YEAR(Table1[[#This Row],[Reporting date]]))</f>
        <v>2013</v>
      </c>
      <c r="V123" s="17">
        <f>Table1[[#This Row],[Reporting year]]-Table1[[#This Row],[Policy Year]]</f>
        <v>2</v>
      </c>
      <c r="W123" s="17">
        <f>INT(Table1[[#This Row],[Reporting date]])-INT(Table1[[#This Row],[Loss date]])</f>
        <v>558</v>
      </c>
      <c r="X123" s="17">
        <f>INT((YEAR(Table1[[#This Row],[Loss date]])*12+MONTH(Table1[[#This Row],[Loss date]])-Earliest_Month)/4)</f>
        <v>19</v>
      </c>
      <c r="Y123" s="17">
        <f>INT((YEAR(Table1[[#This Row],[Reporting date]])*12+MONTH(Table1[[#This Row],[Reporting date]])-Earliest_Month)/4)</f>
        <v>24</v>
      </c>
      <c r="Z123" s="17">
        <f>Table1[[#This Row],[Reporting third]]-Table1[[#This Row],[Policy third]]</f>
        <v>5</v>
      </c>
      <c r="AA123" s="71">
        <f>IF(Table1[[#This Row],[Overall amount]]=0,"N/A",Table1[[#This Row],[Outstanding]]/Table1[[#This Row],[Overall amount]])</f>
        <v>0</v>
      </c>
      <c r="AB123" s="17">
        <f>IF(MONTH(Table1[[#This Row],[Loss date]])&lt;Pol_Inc_Month_Shifted,YEAR(Table1[[#This Row],[Loss date]])-1,YEAR(Table1[[#This Row],[Loss date]]))</f>
        <v>2010</v>
      </c>
      <c r="AC123" s="17">
        <f>IF(MONTH(Table1[[#This Row],[Reporting date]])&lt;Pol_Inc_Month_Shifted,YEAR(Table1[[#This Row],[Reporting date]])-1,YEAR(Table1[[#This Row],[Reporting date]]))</f>
        <v>2012</v>
      </c>
      <c r="AD123" s="17">
        <f>Table1[[#This Row],[Reporting year (shifted)]]-Table1[[#This Row],[Policy Year (shifted)]]</f>
        <v>2</v>
      </c>
    </row>
    <row r="124" spans="1:30" ht="13.9">
      <c r="A124" s="8" t="s">
        <v>1894</v>
      </c>
      <c r="B124" s="8" t="s">
        <v>176</v>
      </c>
      <c r="C124" s="8" t="s">
        <v>123</v>
      </c>
      <c r="D124" s="9">
        <v>41261</v>
      </c>
      <c r="E124" s="9">
        <v>41377</v>
      </c>
      <c r="F124" s="17">
        <f>IF(MONTH(Table1[[#This Row],[Loss date]])&lt;Policy_Inception_Month,YEAR(Table1[[#This Row],[Loss date]])-1,YEAR(Table1[[#This Row],[Loss date]]))</f>
        <v>2012</v>
      </c>
      <c r="G124" s="10" t="s">
        <v>125</v>
      </c>
      <c r="H124" s="10" t="s">
        <v>2</v>
      </c>
      <c r="I124" s="11">
        <v>0</v>
      </c>
      <c r="J124" s="11">
        <v>0</v>
      </c>
      <c r="K124" s="11">
        <v>0</v>
      </c>
      <c r="L124" s="12">
        <v>0</v>
      </c>
      <c r="M124" s="12">
        <v>0</v>
      </c>
      <c r="N124" s="12">
        <v>0</v>
      </c>
      <c r="O124" s="70">
        <f>IF(Table1[[#This Row],[Overall amount]]=0,0,1)</f>
        <v>0</v>
      </c>
      <c r="P124" s="70">
        <f>Table1[[#This Row],[Overall amount]]*Exchange_Rate</f>
        <v>0</v>
      </c>
      <c r="Q124" s="70">
        <f>Table1[[#This Row],[Overall (destination currency)]]*(1+Claims_Inflation)^((Revalue_at_date-Table1[[#This Row],[Loss date]])/365.25)</f>
        <v>0</v>
      </c>
      <c r="R124" s="70">
        <f>INT(Table1[[#This Row],[Reporting date]])-INT(Table1[[#This Row],[Loss date]])</f>
        <v>116</v>
      </c>
      <c r="S124" s="69" t="s">
        <v>9</v>
      </c>
      <c r="T124" s="70">
        <f>VLOOKUP(Table1[[#This Row],[Policy Year]],exposure_table,3,FALSE)</f>
        <v>1057.54</v>
      </c>
      <c r="U124" s="17">
        <f>IF(MONTH(Table1[[#This Row],[Reporting date]])&lt;Policy_Inception_Month,YEAR(Table1[[#This Row],[Reporting date]])-1,YEAR(Table1[[#This Row],[Reporting date]]))</f>
        <v>2013</v>
      </c>
      <c r="V124" s="17">
        <f>Table1[[#This Row],[Reporting year]]-Table1[[#This Row],[Policy Year]]</f>
        <v>1</v>
      </c>
      <c r="W124" s="17">
        <f>INT(Table1[[#This Row],[Reporting date]])-INT(Table1[[#This Row],[Loss date]])</f>
        <v>116</v>
      </c>
      <c r="X124" s="17">
        <f>INT((YEAR(Table1[[#This Row],[Loss date]])*12+MONTH(Table1[[#This Row],[Loss date]])-Earliest_Month)/4)</f>
        <v>23</v>
      </c>
      <c r="Y124" s="17">
        <f>INT((YEAR(Table1[[#This Row],[Reporting date]])*12+MONTH(Table1[[#This Row],[Reporting date]])-Earliest_Month)/4)</f>
        <v>24</v>
      </c>
      <c r="Z124" s="17">
        <f>Table1[[#This Row],[Reporting third]]-Table1[[#This Row],[Policy third]]</f>
        <v>1</v>
      </c>
      <c r="AA124" s="71" t="str">
        <f>IF(Table1[[#This Row],[Overall amount]]=0,"N/A",Table1[[#This Row],[Outstanding]]/Table1[[#This Row],[Overall amount]])</f>
        <v>N/A</v>
      </c>
      <c r="AB124" s="17">
        <f>IF(MONTH(Table1[[#This Row],[Loss date]])&lt;Pol_Inc_Month_Shifted,YEAR(Table1[[#This Row],[Loss date]])-1,YEAR(Table1[[#This Row],[Loss date]]))</f>
        <v>2012</v>
      </c>
      <c r="AC124" s="17">
        <f>IF(MONTH(Table1[[#This Row],[Reporting date]])&lt;Pol_Inc_Month_Shifted,YEAR(Table1[[#This Row],[Reporting date]])-1,YEAR(Table1[[#This Row],[Reporting date]]))</f>
        <v>2012</v>
      </c>
      <c r="AD124" s="17">
        <f>Table1[[#This Row],[Reporting year (shifted)]]-Table1[[#This Row],[Policy Year (shifted)]]</f>
        <v>0</v>
      </c>
    </row>
    <row r="125" spans="1:30" ht="13.9">
      <c r="A125" s="8" t="s">
        <v>1895</v>
      </c>
      <c r="B125" s="8" t="s">
        <v>177</v>
      </c>
      <c r="C125" s="8" t="s">
        <v>123</v>
      </c>
      <c r="D125" s="9">
        <v>40763</v>
      </c>
      <c r="E125" s="9">
        <v>41362</v>
      </c>
      <c r="F125" s="17">
        <f>IF(MONTH(Table1[[#This Row],[Loss date]])&lt;Policy_Inception_Month,YEAR(Table1[[#This Row],[Loss date]])-1,YEAR(Table1[[#This Row],[Loss date]]))</f>
        <v>2011</v>
      </c>
      <c r="G125" s="10" t="s">
        <v>125</v>
      </c>
      <c r="H125" s="10" t="s">
        <v>2</v>
      </c>
      <c r="I125" s="11">
        <v>0</v>
      </c>
      <c r="J125" s="11">
        <v>0</v>
      </c>
      <c r="K125" s="11">
        <v>0</v>
      </c>
      <c r="L125" s="12">
        <v>294.04418481889695</v>
      </c>
      <c r="M125" s="12">
        <v>0</v>
      </c>
      <c r="N125" s="12">
        <v>294.04418481889695</v>
      </c>
      <c r="O125" s="70">
        <f>IF(Table1[[#This Row],[Overall amount]]=0,0,1)</f>
        <v>1</v>
      </c>
      <c r="P125" s="70">
        <f>Table1[[#This Row],[Overall amount]]*Exchange_Rate</f>
        <v>294.04418481889695</v>
      </c>
      <c r="Q125" s="70">
        <f>Table1[[#This Row],[Overall (destination currency)]]*(1+Claims_Inflation)^((Revalue_at_date-Table1[[#This Row],[Loss date]])/365.25)</f>
        <v>360</v>
      </c>
      <c r="R125" s="70">
        <f>INT(Table1[[#This Row],[Reporting date]])-INT(Table1[[#This Row],[Loss date]])</f>
        <v>599</v>
      </c>
      <c r="S125" s="69" t="s">
        <v>9</v>
      </c>
      <c r="T125" s="70">
        <f>VLOOKUP(Table1[[#This Row],[Policy Year]],exposure_table,3,FALSE)</f>
        <v>870.52680000000009</v>
      </c>
      <c r="U125" s="17">
        <f>IF(MONTH(Table1[[#This Row],[Reporting date]])&lt;Policy_Inception_Month,YEAR(Table1[[#This Row],[Reporting date]])-1,YEAR(Table1[[#This Row],[Reporting date]]))</f>
        <v>2012</v>
      </c>
      <c r="V125" s="17">
        <f>Table1[[#This Row],[Reporting year]]-Table1[[#This Row],[Policy Year]]</f>
        <v>1</v>
      </c>
      <c r="W125" s="17">
        <f>INT(Table1[[#This Row],[Reporting date]])-INT(Table1[[#This Row],[Loss date]])</f>
        <v>599</v>
      </c>
      <c r="X125" s="17">
        <f>INT((YEAR(Table1[[#This Row],[Loss date]])*12+MONTH(Table1[[#This Row],[Loss date]])-Earliest_Month)/4)</f>
        <v>19</v>
      </c>
      <c r="Y125" s="17">
        <f>INT((YEAR(Table1[[#This Row],[Reporting date]])*12+MONTH(Table1[[#This Row],[Reporting date]])-Earliest_Month)/4)</f>
        <v>23</v>
      </c>
      <c r="Z125" s="17">
        <f>Table1[[#This Row],[Reporting third]]-Table1[[#This Row],[Policy third]]</f>
        <v>4</v>
      </c>
      <c r="AA125" s="71">
        <f>IF(Table1[[#This Row],[Overall amount]]=0,"N/A",Table1[[#This Row],[Outstanding]]/Table1[[#This Row],[Overall amount]])</f>
        <v>0</v>
      </c>
      <c r="AB125" s="17">
        <f>IF(MONTH(Table1[[#This Row],[Loss date]])&lt;Pol_Inc_Month_Shifted,YEAR(Table1[[#This Row],[Loss date]])-1,YEAR(Table1[[#This Row],[Loss date]]))</f>
        <v>2010</v>
      </c>
      <c r="AC125" s="17">
        <f>IF(MONTH(Table1[[#This Row],[Reporting date]])&lt;Pol_Inc_Month_Shifted,YEAR(Table1[[#This Row],[Reporting date]])-1,YEAR(Table1[[#This Row],[Reporting date]]))</f>
        <v>2012</v>
      </c>
      <c r="AD125" s="17">
        <f>Table1[[#This Row],[Reporting year (shifted)]]-Table1[[#This Row],[Policy Year (shifted)]]</f>
        <v>2</v>
      </c>
    </row>
    <row r="126" spans="1:30" ht="13.9">
      <c r="A126" s="8" t="s">
        <v>1896</v>
      </c>
      <c r="B126" s="8" t="s">
        <v>178</v>
      </c>
      <c r="C126" s="8" t="s">
        <v>123</v>
      </c>
      <c r="D126" s="9">
        <v>41238</v>
      </c>
      <c r="E126" s="9">
        <v>41379</v>
      </c>
      <c r="F126" s="17">
        <f>IF(MONTH(Table1[[#This Row],[Loss date]])&lt;Policy_Inception_Month,YEAR(Table1[[#This Row],[Loss date]])-1,YEAR(Table1[[#This Row],[Loss date]]))</f>
        <v>2012</v>
      </c>
      <c r="G126" s="10" t="s">
        <v>125</v>
      </c>
      <c r="H126" s="10" t="s">
        <v>2</v>
      </c>
      <c r="I126" s="11">
        <v>0</v>
      </c>
      <c r="J126" s="11">
        <v>0</v>
      </c>
      <c r="K126" s="11">
        <v>0</v>
      </c>
      <c r="L126" s="12">
        <v>313.30608952760082</v>
      </c>
      <c r="M126" s="12">
        <v>18.48505928212845</v>
      </c>
      <c r="N126" s="12">
        <v>294.82103024547234</v>
      </c>
      <c r="O126" s="70">
        <f>IF(Table1[[#This Row],[Overall amount]]=0,0,1)</f>
        <v>1</v>
      </c>
      <c r="P126" s="70">
        <f>Table1[[#This Row],[Overall amount]]*Exchange_Rate</f>
        <v>294.82103024547234</v>
      </c>
      <c r="Q126" s="70">
        <f>Table1[[#This Row],[Overall (destination currency)]]*(1+Claims_Inflation)^((Revalue_at_date-Table1[[#This Row],[Loss date]])/365.25)</f>
        <v>338.75999999999993</v>
      </c>
      <c r="R126" s="70">
        <f>INT(Table1[[#This Row],[Reporting date]])-INT(Table1[[#This Row],[Loss date]])</f>
        <v>141</v>
      </c>
      <c r="S126" s="69" t="s">
        <v>9</v>
      </c>
      <c r="T126" s="70">
        <f>VLOOKUP(Table1[[#This Row],[Policy Year]],exposure_table,3,FALSE)</f>
        <v>1057.54</v>
      </c>
      <c r="U126" s="17">
        <f>IF(MONTH(Table1[[#This Row],[Reporting date]])&lt;Policy_Inception_Month,YEAR(Table1[[#This Row],[Reporting date]])-1,YEAR(Table1[[#This Row],[Reporting date]]))</f>
        <v>2013</v>
      </c>
      <c r="V126" s="17">
        <f>Table1[[#This Row],[Reporting year]]-Table1[[#This Row],[Policy Year]]</f>
        <v>1</v>
      </c>
      <c r="W126" s="17">
        <f>INT(Table1[[#This Row],[Reporting date]])-INT(Table1[[#This Row],[Loss date]])</f>
        <v>141</v>
      </c>
      <c r="X126" s="17">
        <f>INT((YEAR(Table1[[#This Row],[Loss date]])*12+MONTH(Table1[[#This Row],[Loss date]])-Earliest_Month)/4)</f>
        <v>22</v>
      </c>
      <c r="Y126" s="17">
        <f>INT((YEAR(Table1[[#This Row],[Reporting date]])*12+MONTH(Table1[[#This Row],[Reporting date]])-Earliest_Month)/4)</f>
        <v>24</v>
      </c>
      <c r="Z126" s="17">
        <f>Table1[[#This Row],[Reporting third]]-Table1[[#This Row],[Policy third]]</f>
        <v>2</v>
      </c>
      <c r="AA126" s="71">
        <f>IF(Table1[[#This Row],[Overall amount]]=0,"N/A",Table1[[#This Row],[Outstanding]]/Table1[[#This Row],[Overall amount]])</f>
        <v>0</v>
      </c>
      <c r="AB126" s="17">
        <f>IF(MONTH(Table1[[#This Row],[Loss date]])&lt;Pol_Inc_Month_Shifted,YEAR(Table1[[#This Row],[Loss date]])-1,YEAR(Table1[[#This Row],[Loss date]]))</f>
        <v>2011</v>
      </c>
      <c r="AC126" s="17">
        <f>IF(MONTH(Table1[[#This Row],[Reporting date]])&lt;Pol_Inc_Month_Shifted,YEAR(Table1[[#This Row],[Reporting date]])-1,YEAR(Table1[[#This Row],[Reporting date]]))</f>
        <v>2012</v>
      </c>
      <c r="AD126" s="17">
        <f>Table1[[#This Row],[Reporting year (shifted)]]-Table1[[#This Row],[Policy Year (shifted)]]</f>
        <v>1</v>
      </c>
    </row>
    <row r="127" spans="1:30" ht="13.9">
      <c r="A127" s="8" t="s">
        <v>1897</v>
      </c>
      <c r="B127" s="8" t="s">
        <v>179</v>
      </c>
      <c r="C127" s="8" t="s">
        <v>123</v>
      </c>
      <c r="D127" s="9">
        <v>40993</v>
      </c>
      <c r="E127" s="9">
        <v>41371</v>
      </c>
      <c r="F127" s="17">
        <f>IF(MONTH(Table1[[#This Row],[Loss date]])&lt;Policy_Inception_Month,YEAR(Table1[[#This Row],[Loss date]])-1,YEAR(Table1[[#This Row],[Loss date]]))</f>
        <v>2011</v>
      </c>
      <c r="G127" s="10" t="s">
        <v>125</v>
      </c>
      <c r="H127" s="10" t="s">
        <v>2</v>
      </c>
      <c r="I127" s="11">
        <v>0</v>
      </c>
      <c r="J127" s="11">
        <v>0</v>
      </c>
      <c r="K127" s="11">
        <v>0</v>
      </c>
      <c r="L127" s="12">
        <v>0</v>
      </c>
      <c r="M127" s="12">
        <v>0</v>
      </c>
      <c r="N127" s="12">
        <v>0</v>
      </c>
      <c r="O127" s="70">
        <f>IF(Table1[[#This Row],[Overall amount]]=0,0,1)</f>
        <v>0</v>
      </c>
      <c r="P127" s="70">
        <f>Table1[[#This Row],[Overall amount]]*Exchange_Rate</f>
        <v>0</v>
      </c>
      <c r="Q127" s="70">
        <f>Table1[[#This Row],[Overall (destination currency)]]*(1+Claims_Inflation)^((Revalue_at_date-Table1[[#This Row],[Loss date]])/365.25)</f>
        <v>0</v>
      </c>
      <c r="R127" s="70">
        <f>INT(Table1[[#This Row],[Reporting date]])-INT(Table1[[#This Row],[Loss date]])</f>
        <v>378</v>
      </c>
      <c r="S127" s="69" t="s">
        <v>9</v>
      </c>
      <c r="T127" s="70">
        <f>VLOOKUP(Table1[[#This Row],[Policy Year]],exposure_table,3,FALSE)</f>
        <v>870.52680000000009</v>
      </c>
      <c r="U127" s="17">
        <f>IF(MONTH(Table1[[#This Row],[Reporting date]])&lt;Policy_Inception_Month,YEAR(Table1[[#This Row],[Reporting date]])-1,YEAR(Table1[[#This Row],[Reporting date]]))</f>
        <v>2013</v>
      </c>
      <c r="V127" s="17">
        <f>Table1[[#This Row],[Reporting year]]-Table1[[#This Row],[Policy Year]]</f>
        <v>2</v>
      </c>
      <c r="W127" s="17">
        <f>INT(Table1[[#This Row],[Reporting date]])-INT(Table1[[#This Row],[Loss date]])</f>
        <v>378</v>
      </c>
      <c r="X127" s="17">
        <f>INT((YEAR(Table1[[#This Row],[Loss date]])*12+MONTH(Table1[[#This Row],[Loss date]])-Earliest_Month)/4)</f>
        <v>20</v>
      </c>
      <c r="Y127" s="17">
        <f>INT((YEAR(Table1[[#This Row],[Reporting date]])*12+MONTH(Table1[[#This Row],[Reporting date]])-Earliest_Month)/4)</f>
        <v>24</v>
      </c>
      <c r="Z127" s="17">
        <f>Table1[[#This Row],[Reporting third]]-Table1[[#This Row],[Policy third]]</f>
        <v>4</v>
      </c>
      <c r="AA127" s="71" t="str">
        <f>IF(Table1[[#This Row],[Overall amount]]=0,"N/A",Table1[[#This Row],[Outstanding]]/Table1[[#This Row],[Overall amount]])</f>
        <v>N/A</v>
      </c>
      <c r="AB127" s="17">
        <f>IF(MONTH(Table1[[#This Row],[Loss date]])&lt;Pol_Inc_Month_Shifted,YEAR(Table1[[#This Row],[Loss date]])-1,YEAR(Table1[[#This Row],[Loss date]]))</f>
        <v>2011</v>
      </c>
      <c r="AC127" s="17">
        <f>IF(MONTH(Table1[[#This Row],[Reporting date]])&lt;Pol_Inc_Month_Shifted,YEAR(Table1[[#This Row],[Reporting date]])-1,YEAR(Table1[[#This Row],[Reporting date]]))</f>
        <v>2012</v>
      </c>
      <c r="AD127" s="17">
        <f>Table1[[#This Row],[Reporting year (shifted)]]-Table1[[#This Row],[Policy Year (shifted)]]</f>
        <v>1</v>
      </c>
    </row>
    <row r="128" spans="1:30" ht="13.9">
      <c r="A128" s="8" t="s">
        <v>1898</v>
      </c>
      <c r="B128" s="8" t="s">
        <v>180</v>
      </c>
      <c r="C128" s="8" t="s">
        <v>123</v>
      </c>
      <c r="D128" s="9">
        <v>41113</v>
      </c>
      <c r="E128" s="9">
        <v>41376</v>
      </c>
      <c r="F128" s="17">
        <f>IF(MONTH(Table1[[#This Row],[Loss date]])&lt;Policy_Inception_Month,YEAR(Table1[[#This Row],[Loss date]])-1,YEAR(Table1[[#This Row],[Loss date]]))</f>
        <v>2012</v>
      </c>
      <c r="G128" s="10" t="s">
        <v>125</v>
      </c>
      <c r="H128" s="10" t="s">
        <v>2</v>
      </c>
      <c r="I128" s="11">
        <v>0</v>
      </c>
      <c r="J128" s="11">
        <v>0</v>
      </c>
      <c r="K128" s="11">
        <v>0</v>
      </c>
      <c r="L128" s="12">
        <v>0</v>
      </c>
      <c r="M128" s="12">
        <v>0</v>
      </c>
      <c r="N128" s="12">
        <v>0</v>
      </c>
      <c r="O128" s="70">
        <f>IF(Table1[[#This Row],[Overall amount]]=0,0,1)</f>
        <v>0</v>
      </c>
      <c r="P128" s="70">
        <f>Table1[[#This Row],[Overall amount]]*Exchange_Rate</f>
        <v>0</v>
      </c>
      <c r="Q128" s="70">
        <f>Table1[[#This Row],[Overall (destination currency)]]*(1+Claims_Inflation)^((Revalue_at_date-Table1[[#This Row],[Loss date]])/365.25)</f>
        <v>0</v>
      </c>
      <c r="R128" s="70">
        <f>INT(Table1[[#This Row],[Reporting date]])-INT(Table1[[#This Row],[Loss date]])</f>
        <v>263</v>
      </c>
      <c r="S128" s="69" t="s">
        <v>9</v>
      </c>
      <c r="T128" s="70">
        <f>VLOOKUP(Table1[[#This Row],[Policy Year]],exposure_table,3,FALSE)</f>
        <v>1057.54</v>
      </c>
      <c r="U128" s="17">
        <f>IF(MONTH(Table1[[#This Row],[Reporting date]])&lt;Policy_Inception_Month,YEAR(Table1[[#This Row],[Reporting date]])-1,YEAR(Table1[[#This Row],[Reporting date]]))</f>
        <v>2013</v>
      </c>
      <c r="V128" s="17">
        <f>Table1[[#This Row],[Reporting year]]-Table1[[#This Row],[Policy Year]]</f>
        <v>1</v>
      </c>
      <c r="W128" s="17">
        <f>INT(Table1[[#This Row],[Reporting date]])-INT(Table1[[#This Row],[Loss date]])</f>
        <v>263</v>
      </c>
      <c r="X128" s="17">
        <f>INT((YEAR(Table1[[#This Row],[Loss date]])*12+MONTH(Table1[[#This Row],[Loss date]])-Earliest_Month)/4)</f>
        <v>21</v>
      </c>
      <c r="Y128" s="17">
        <f>INT((YEAR(Table1[[#This Row],[Reporting date]])*12+MONTH(Table1[[#This Row],[Reporting date]])-Earliest_Month)/4)</f>
        <v>24</v>
      </c>
      <c r="Z128" s="17">
        <f>Table1[[#This Row],[Reporting third]]-Table1[[#This Row],[Policy third]]</f>
        <v>3</v>
      </c>
      <c r="AA128" s="71" t="str">
        <f>IF(Table1[[#This Row],[Overall amount]]=0,"N/A",Table1[[#This Row],[Outstanding]]/Table1[[#This Row],[Overall amount]])</f>
        <v>N/A</v>
      </c>
      <c r="AB128" s="17">
        <f>IF(MONTH(Table1[[#This Row],[Loss date]])&lt;Pol_Inc_Month_Shifted,YEAR(Table1[[#This Row],[Loss date]])-1,YEAR(Table1[[#This Row],[Loss date]]))</f>
        <v>2011</v>
      </c>
      <c r="AC128" s="17">
        <f>IF(MONTH(Table1[[#This Row],[Reporting date]])&lt;Pol_Inc_Month_Shifted,YEAR(Table1[[#This Row],[Reporting date]])-1,YEAR(Table1[[#This Row],[Reporting date]]))</f>
        <v>2012</v>
      </c>
      <c r="AD128" s="17">
        <f>Table1[[#This Row],[Reporting year (shifted)]]-Table1[[#This Row],[Policy Year (shifted)]]</f>
        <v>1</v>
      </c>
    </row>
    <row r="129" spans="1:30" ht="13.9">
      <c r="A129" s="8" t="s">
        <v>1899</v>
      </c>
      <c r="B129" s="8" t="s">
        <v>181</v>
      </c>
      <c r="C129" s="8" t="s">
        <v>123</v>
      </c>
      <c r="D129" s="9">
        <v>41260</v>
      </c>
      <c r="E129" s="9">
        <v>41392</v>
      </c>
      <c r="F129" s="17">
        <f>IF(MONTH(Table1[[#This Row],[Loss date]])&lt;Policy_Inception_Month,YEAR(Table1[[#This Row],[Loss date]])-1,YEAR(Table1[[#This Row],[Loss date]]))</f>
        <v>2012</v>
      </c>
      <c r="G129" s="10" t="s">
        <v>125</v>
      </c>
      <c r="H129" s="10" t="s">
        <v>2</v>
      </c>
      <c r="I129" s="11">
        <v>16265.288355942326</v>
      </c>
      <c r="J129" s="11">
        <v>0</v>
      </c>
      <c r="K129" s="11">
        <v>16265.288355942326</v>
      </c>
      <c r="L129" s="12">
        <v>0</v>
      </c>
      <c r="M129" s="12">
        <v>0</v>
      </c>
      <c r="N129" s="12">
        <v>16265.288355942326</v>
      </c>
      <c r="O129" s="70">
        <f>IF(Table1[[#This Row],[Overall amount]]=0,0,1)</f>
        <v>1</v>
      </c>
      <c r="P129" s="70">
        <f>Table1[[#This Row],[Overall amount]]*Exchange_Rate</f>
        <v>16265.288355942326</v>
      </c>
      <c r="Q129" s="70">
        <f>Table1[[#This Row],[Overall (destination currency)]]*(1+Claims_Inflation)^((Revalue_at_date-Table1[[#This Row],[Loss date]])/365.25)</f>
        <v>18634.559999999998</v>
      </c>
      <c r="R129" s="70">
        <f>INT(Table1[[#This Row],[Reporting date]])-INT(Table1[[#This Row],[Loss date]])</f>
        <v>132</v>
      </c>
      <c r="S129" s="69" t="s">
        <v>9</v>
      </c>
      <c r="T129" s="70">
        <f>VLOOKUP(Table1[[#This Row],[Policy Year]],exposure_table,3,FALSE)</f>
        <v>1057.54</v>
      </c>
      <c r="U129" s="17">
        <f>IF(MONTH(Table1[[#This Row],[Reporting date]])&lt;Policy_Inception_Month,YEAR(Table1[[#This Row],[Reporting date]])-1,YEAR(Table1[[#This Row],[Reporting date]]))</f>
        <v>2013</v>
      </c>
      <c r="V129" s="17">
        <f>Table1[[#This Row],[Reporting year]]-Table1[[#This Row],[Policy Year]]</f>
        <v>1</v>
      </c>
      <c r="W129" s="17">
        <f>INT(Table1[[#This Row],[Reporting date]])-INT(Table1[[#This Row],[Loss date]])</f>
        <v>132</v>
      </c>
      <c r="X129" s="17">
        <f>INT((YEAR(Table1[[#This Row],[Loss date]])*12+MONTH(Table1[[#This Row],[Loss date]])-Earliest_Month)/4)</f>
        <v>23</v>
      </c>
      <c r="Y129" s="17">
        <f>INT((YEAR(Table1[[#This Row],[Reporting date]])*12+MONTH(Table1[[#This Row],[Reporting date]])-Earliest_Month)/4)</f>
        <v>24</v>
      </c>
      <c r="Z129" s="17">
        <f>Table1[[#This Row],[Reporting third]]-Table1[[#This Row],[Policy third]]</f>
        <v>1</v>
      </c>
      <c r="AA129" s="71">
        <f>IF(Table1[[#This Row],[Overall amount]]=0,"N/A",Table1[[#This Row],[Outstanding]]/Table1[[#This Row],[Overall amount]])</f>
        <v>0</v>
      </c>
      <c r="AB129" s="17">
        <f>IF(MONTH(Table1[[#This Row],[Loss date]])&lt;Pol_Inc_Month_Shifted,YEAR(Table1[[#This Row],[Loss date]])-1,YEAR(Table1[[#This Row],[Loss date]]))</f>
        <v>2012</v>
      </c>
      <c r="AC129" s="17">
        <f>IF(MONTH(Table1[[#This Row],[Reporting date]])&lt;Pol_Inc_Month_Shifted,YEAR(Table1[[#This Row],[Reporting date]])-1,YEAR(Table1[[#This Row],[Reporting date]]))</f>
        <v>2012</v>
      </c>
      <c r="AD129" s="17">
        <f>Table1[[#This Row],[Reporting year (shifted)]]-Table1[[#This Row],[Policy Year (shifted)]]</f>
        <v>0</v>
      </c>
    </row>
    <row r="130" spans="1:30" ht="13.9">
      <c r="A130" s="8" t="s">
        <v>1900</v>
      </c>
      <c r="B130" s="8" t="s">
        <v>182</v>
      </c>
      <c r="C130" s="8" t="s">
        <v>123</v>
      </c>
      <c r="D130" s="9">
        <v>41014</v>
      </c>
      <c r="E130" s="9">
        <v>41400</v>
      </c>
      <c r="F130" s="17">
        <f>IF(MONTH(Table1[[#This Row],[Loss date]])&lt;Policy_Inception_Month,YEAR(Table1[[#This Row],[Loss date]])-1,YEAR(Table1[[#This Row],[Loss date]]))</f>
        <v>2012</v>
      </c>
      <c r="G130" s="10" t="s">
        <v>125</v>
      </c>
      <c r="H130" s="10" t="s">
        <v>2</v>
      </c>
      <c r="I130" s="11">
        <v>0</v>
      </c>
      <c r="J130" s="11">
        <v>0</v>
      </c>
      <c r="K130" s="11">
        <v>0</v>
      </c>
      <c r="L130" s="12">
        <v>0</v>
      </c>
      <c r="M130" s="12">
        <v>0</v>
      </c>
      <c r="N130" s="12">
        <v>0</v>
      </c>
      <c r="O130" s="70">
        <f>IF(Table1[[#This Row],[Overall amount]]=0,0,1)</f>
        <v>0</v>
      </c>
      <c r="P130" s="70">
        <f>Table1[[#This Row],[Overall amount]]*Exchange_Rate</f>
        <v>0</v>
      </c>
      <c r="Q130" s="70">
        <f>Table1[[#This Row],[Overall (destination currency)]]*(1+Claims_Inflation)^((Revalue_at_date-Table1[[#This Row],[Loss date]])/365.25)</f>
        <v>0</v>
      </c>
      <c r="R130" s="70">
        <f>INT(Table1[[#This Row],[Reporting date]])-INT(Table1[[#This Row],[Loss date]])</f>
        <v>386</v>
      </c>
      <c r="S130" s="69" t="s">
        <v>9</v>
      </c>
      <c r="T130" s="70">
        <f>VLOOKUP(Table1[[#This Row],[Policy Year]],exposure_table,3,FALSE)</f>
        <v>1057.54</v>
      </c>
      <c r="U130" s="17">
        <f>IF(MONTH(Table1[[#This Row],[Reporting date]])&lt;Policy_Inception_Month,YEAR(Table1[[#This Row],[Reporting date]])-1,YEAR(Table1[[#This Row],[Reporting date]]))</f>
        <v>2013</v>
      </c>
      <c r="V130" s="17">
        <f>Table1[[#This Row],[Reporting year]]-Table1[[#This Row],[Policy Year]]</f>
        <v>1</v>
      </c>
      <c r="W130" s="17">
        <f>INT(Table1[[#This Row],[Reporting date]])-INT(Table1[[#This Row],[Loss date]])</f>
        <v>386</v>
      </c>
      <c r="X130" s="17">
        <f>INT((YEAR(Table1[[#This Row],[Loss date]])*12+MONTH(Table1[[#This Row],[Loss date]])-Earliest_Month)/4)</f>
        <v>21</v>
      </c>
      <c r="Y130" s="17">
        <f>INT((YEAR(Table1[[#This Row],[Reporting date]])*12+MONTH(Table1[[#This Row],[Reporting date]])-Earliest_Month)/4)</f>
        <v>24</v>
      </c>
      <c r="Z130" s="17">
        <f>Table1[[#This Row],[Reporting third]]-Table1[[#This Row],[Policy third]]</f>
        <v>3</v>
      </c>
      <c r="AA130" s="71" t="str">
        <f>IF(Table1[[#This Row],[Overall amount]]=0,"N/A",Table1[[#This Row],[Outstanding]]/Table1[[#This Row],[Overall amount]])</f>
        <v>N/A</v>
      </c>
      <c r="AB130" s="17">
        <f>IF(MONTH(Table1[[#This Row],[Loss date]])&lt;Pol_Inc_Month_Shifted,YEAR(Table1[[#This Row],[Loss date]])-1,YEAR(Table1[[#This Row],[Loss date]]))</f>
        <v>2011</v>
      </c>
      <c r="AC130" s="17">
        <f>IF(MONTH(Table1[[#This Row],[Reporting date]])&lt;Pol_Inc_Month_Shifted,YEAR(Table1[[#This Row],[Reporting date]])-1,YEAR(Table1[[#This Row],[Reporting date]]))</f>
        <v>2012</v>
      </c>
      <c r="AD130" s="17">
        <f>Table1[[#This Row],[Reporting year (shifted)]]-Table1[[#This Row],[Policy Year (shifted)]]</f>
        <v>1</v>
      </c>
    </row>
    <row r="131" spans="1:30" ht="13.9">
      <c r="A131" s="8" t="s">
        <v>1901</v>
      </c>
      <c r="B131" s="8" t="s">
        <v>183</v>
      </c>
      <c r="C131" s="8" t="s">
        <v>123</v>
      </c>
      <c r="D131" s="9">
        <v>41209</v>
      </c>
      <c r="E131" s="9">
        <v>41390</v>
      </c>
      <c r="F131" s="17">
        <f>IF(MONTH(Table1[[#This Row],[Loss date]])&lt;Policy_Inception_Month,YEAR(Table1[[#This Row],[Loss date]])-1,YEAR(Table1[[#This Row],[Loss date]]))</f>
        <v>2012</v>
      </c>
      <c r="G131" s="10" t="s">
        <v>133</v>
      </c>
      <c r="H131" s="10" t="s">
        <v>2</v>
      </c>
      <c r="I131" s="11">
        <v>8842.6844188944779</v>
      </c>
      <c r="J131" s="11">
        <v>0</v>
      </c>
      <c r="K131" s="11">
        <v>8842.6844188944779</v>
      </c>
      <c r="L131" s="12">
        <v>0</v>
      </c>
      <c r="M131" s="12">
        <v>0</v>
      </c>
      <c r="N131" s="12">
        <v>8842.6844188944779</v>
      </c>
      <c r="O131" s="70">
        <f>IF(Table1[[#This Row],[Overall amount]]=0,0,1)</f>
        <v>1</v>
      </c>
      <c r="P131" s="70">
        <f>Table1[[#This Row],[Overall amount]]*Exchange_Rate</f>
        <v>8842.6844188944779</v>
      </c>
      <c r="Q131" s="70">
        <f>Table1[[#This Row],[Overall (destination currency)]]*(1+Claims_Inflation)^((Revalue_at_date-Table1[[#This Row],[Loss date]])/365.25)</f>
        <v>10200</v>
      </c>
      <c r="R131" s="70">
        <f>INT(Table1[[#This Row],[Reporting date]])-INT(Table1[[#This Row],[Loss date]])</f>
        <v>181</v>
      </c>
      <c r="S131" s="69" t="s">
        <v>9</v>
      </c>
      <c r="T131" s="70">
        <f>VLOOKUP(Table1[[#This Row],[Policy Year]],exposure_table,3,FALSE)</f>
        <v>1057.54</v>
      </c>
      <c r="U131" s="17">
        <f>IF(MONTH(Table1[[#This Row],[Reporting date]])&lt;Policy_Inception_Month,YEAR(Table1[[#This Row],[Reporting date]])-1,YEAR(Table1[[#This Row],[Reporting date]]))</f>
        <v>2013</v>
      </c>
      <c r="V131" s="17">
        <f>Table1[[#This Row],[Reporting year]]-Table1[[#This Row],[Policy Year]]</f>
        <v>1</v>
      </c>
      <c r="W131" s="17">
        <f>INT(Table1[[#This Row],[Reporting date]])-INT(Table1[[#This Row],[Loss date]])</f>
        <v>181</v>
      </c>
      <c r="X131" s="17">
        <f>INT((YEAR(Table1[[#This Row],[Loss date]])*12+MONTH(Table1[[#This Row],[Loss date]])-Earliest_Month)/4)</f>
        <v>22</v>
      </c>
      <c r="Y131" s="17">
        <f>INT((YEAR(Table1[[#This Row],[Reporting date]])*12+MONTH(Table1[[#This Row],[Reporting date]])-Earliest_Month)/4)</f>
        <v>24</v>
      </c>
      <c r="Z131" s="17">
        <f>Table1[[#This Row],[Reporting third]]-Table1[[#This Row],[Policy third]]</f>
        <v>2</v>
      </c>
      <c r="AA131" s="71">
        <f>IF(Table1[[#This Row],[Overall amount]]=0,"N/A",Table1[[#This Row],[Outstanding]]/Table1[[#This Row],[Overall amount]])</f>
        <v>0</v>
      </c>
      <c r="AB131" s="17">
        <f>IF(MONTH(Table1[[#This Row],[Loss date]])&lt;Pol_Inc_Month_Shifted,YEAR(Table1[[#This Row],[Loss date]])-1,YEAR(Table1[[#This Row],[Loss date]]))</f>
        <v>2011</v>
      </c>
      <c r="AC131" s="17">
        <f>IF(MONTH(Table1[[#This Row],[Reporting date]])&lt;Pol_Inc_Month_Shifted,YEAR(Table1[[#This Row],[Reporting date]])-1,YEAR(Table1[[#This Row],[Reporting date]]))</f>
        <v>2012</v>
      </c>
      <c r="AD131" s="17">
        <f>Table1[[#This Row],[Reporting year (shifted)]]-Table1[[#This Row],[Policy Year (shifted)]]</f>
        <v>1</v>
      </c>
    </row>
    <row r="132" spans="1:30" ht="13.9">
      <c r="A132" s="8" t="s">
        <v>1902</v>
      </c>
      <c r="B132" s="8" t="s">
        <v>184</v>
      </c>
      <c r="C132" s="8" t="s">
        <v>123</v>
      </c>
      <c r="D132" s="9">
        <v>40368</v>
      </c>
      <c r="E132" s="9">
        <v>41404</v>
      </c>
      <c r="F132" s="17">
        <f>IF(MONTH(Table1[[#This Row],[Loss date]])&lt;Policy_Inception_Month,YEAR(Table1[[#This Row],[Loss date]])-1,YEAR(Table1[[#This Row],[Loss date]]))</f>
        <v>2010</v>
      </c>
      <c r="G132" s="10" t="s">
        <v>125</v>
      </c>
      <c r="H132" s="10" t="s">
        <v>2</v>
      </c>
      <c r="I132" s="11">
        <v>0</v>
      </c>
      <c r="J132" s="11">
        <v>0</v>
      </c>
      <c r="K132" s="11">
        <v>0</v>
      </c>
      <c r="L132" s="12">
        <v>0</v>
      </c>
      <c r="M132" s="12">
        <v>0</v>
      </c>
      <c r="N132" s="12">
        <v>0</v>
      </c>
      <c r="O132" s="70">
        <f>IF(Table1[[#This Row],[Overall amount]]=0,0,1)</f>
        <v>0</v>
      </c>
      <c r="P132" s="70">
        <f>Table1[[#This Row],[Overall amount]]*Exchange_Rate</f>
        <v>0</v>
      </c>
      <c r="Q132" s="70">
        <f>Table1[[#This Row],[Overall (destination currency)]]*(1+Claims_Inflation)^((Revalue_at_date-Table1[[#This Row],[Loss date]])/365.25)</f>
        <v>0</v>
      </c>
      <c r="R132" s="70">
        <f>INT(Table1[[#This Row],[Reporting date]])-INT(Table1[[#This Row],[Loss date]])</f>
        <v>1036</v>
      </c>
      <c r="S132" s="69" t="s">
        <v>9</v>
      </c>
      <c r="T132" s="70">
        <f>VLOOKUP(Table1[[#This Row],[Policy Year]],exposure_table,3,FALSE)</f>
        <v>837.11513600000012</v>
      </c>
      <c r="U132" s="17">
        <f>IF(MONTH(Table1[[#This Row],[Reporting date]])&lt;Policy_Inception_Month,YEAR(Table1[[#This Row],[Reporting date]])-1,YEAR(Table1[[#This Row],[Reporting date]]))</f>
        <v>2013</v>
      </c>
      <c r="V132" s="17">
        <f>Table1[[#This Row],[Reporting year]]-Table1[[#This Row],[Policy Year]]</f>
        <v>3</v>
      </c>
      <c r="W132" s="17">
        <f>INT(Table1[[#This Row],[Reporting date]])-INT(Table1[[#This Row],[Loss date]])</f>
        <v>1036</v>
      </c>
      <c r="X132" s="17">
        <f>INT((YEAR(Table1[[#This Row],[Loss date]])*12+MONTH(Table1[[#This Row],[Loss date]])-Earliest_Month)/4)</f>
        <v>15</v>
      </c>
      <c r="Y132" s="17">
        <f>INT((YEAR(Table1[[#This Row],[Reporting date]])*12+MONTH(Table1[[#This Row],[Reporting date]])-Earliest_Month)/4)</f>
        <v>24</v>
      </c>
      <c r="Z132" s="17">
        <f>Table1[[#This Row],[Reporting third]]-Table1[[#This Row],[Policy third]]</f>
        <v>9</v>
      </c>
      <c r="AA132" s="71" t="str">
        <f>IF(Table1[[#This Row],[Overall amount]]=0,"N/A",Table1[[#This Row],[Outstanding]]/Table1[[#This Row],[Overall amount]])</f>
        <v>N/A</v>
      </c>
      <c r="AB132" s="17">
        <f>IF(MONTH(Table1[[#This Row],[Loss date]])&lt;Pol_Inc_Month_Shifted,YEAR(Table1[[#This Row],[Loss date]])-1,YEAR(Table1[[#This Row],[Loss date]]))</f>
        <v>2009</v>
      </c>
      <c r="AC132" s="17">
        <f>IF(MONTH(Table1[[#This Row],[Reporting date]])&lt;Pol_Inc_Month_Shifted,YEAR(Table1[[#This Row],[Reporting date]])-1,YEAR(Table1[[#This Row],[Reporting date]]))</f>
        <v>2012</v>
      </c>
      <c r="AD132" s="17">
        <f>Table1[[#This Row],[Reporting year (shifted)]]-Table1[[#This Row],[Policy Year (shifted)]]</f>
        <v>3</v>
      </c>
    </row>
    <row r="133" spans="1:30" ht="13.9">
      <c r="A133" s="8" t="s">
        <v>1903</v>
      </c>
      <c r="B133" s="8" t="s">
        <v>185</v>
      </c>
      <c r="C133" s="8" t="s">
        <v>123</v>
      </c>
      <c r="D133" s="9">
        <v>41298</v>
      </c>
      <c r="E133" s="9">
        <v>41390</v>
      </c>
      <c r="F133" s="17">
        <f>IF(MONTH(Table1[[#This Row],[Loss date]])&lt;Policy_Inception_Month,YEAR(Table1[[#This Row],[Loss date]])-1,YEAR(Table1[[#This Row],[Loss date]]))</f>
        <v>2012</v>
      </c>
      <c r="G133" s="10" t="s">
        <v>125</v>
      </c>
      <c r="H133" s="10" t="s">
        <v>2</v>
      </c>
      <c r="I133" s="11">
        <v>1000.119683979888</v>
      </c>
      <c r="J133" s="11">
        <v>0</v>
      </c>
      <c r="K133" s="11">
        <v>1000.119683979888</v>
      </c>
      <c r="L133" s="12">
        <v>0</v>
      </c>
      <c r="M133" s="12">
        <v>0</v>
      </c>
      <c r="N133" s="12">
        <v>1000.119683979888</v>
      </c>
      <c r="O133" s="70">
        <f>IF(Table1[[#This Row],[Overall amount]]=0,0,1)</f>
        <v>1</v>
      </c>
      <c r="P133" s="70">
        <f>Table1[[#This Row],[Overall amount]]*Exchange_Rate</f>
        <v>1000.119683979888</v>
      </c>
      <c r="Q133" s="70">
        <f>Table1[[#This Row],[Overall (destination currency)]]*(1+Claims_Inflation)^((Revalue_at_date-Table1[[#This Row],[Loss date]])/365.25)</f>
        <v>1140.0000000000002</v>
      </c>
      <c r="R133" s="70">
        <f>INT(Table1[[#This Row],[Reporting date]])-INT(Table1[[#This Row],[Loss date]])</f>
        <v>92</v>
      </c>
      <c r="S133" s="69" t="s">
        <v>9</v>
      </c>
      <c r="T133" s="70">
        <f>VLOOKUP(Table1[[#This Row],[Policy Year]],exposure_table,3,FALSE)</f>
        <v>1057.54</v>
      </c>
      <c r="U133" s="17">
        <f>IF(MONTH(Table1[[#This Row],[Reporting date]])&lt;Policy_Inception_Month,YEAR(Table1[[#This Row],[Reporting date]])-1,YEAR(Table1[[#This Row],[Reporting date]]))</f>
        <v>2013</v>
      </c>
      <c r="V133" s="17">
        <f>Table1[[#This Row],[Reporting year]]-Table1[[#This Row],[Policy Year]]</f>
        <v>1</v>
      </c>
      <c r="W133" s="17">
        <f>INT(Table1[[#This Row],[Reporting date]])-INT(Table1[[#This Row],[Loss date]])</f>
        <v>92</v>
      </c>
      <c r="X133" s="17">
        <f>INT((YEAR(Table1[[#This Row],[Loss date]])*12+MONTH(Table1[[#This Row],[Loss date]])-Earliest_Month)/4)</f>
        <v>23</v>
      </c>
      <c r="Y133" s="17">
        <f>INT((YEAR(Table1[[#This Row],[Reporting date]])*12+MONTH(Table1[[#This Row],[Reporting date]])-Earliest_Month)/4)</f>
        <v>24</v>
      </c>
      <c r="Z133" s="17">
        <f>Table1[[#This Row],[Reporting third]]-Table1[[#This Row],[Policy third]]</f>
        <v>1</v>
      </c>
      <c r="AA133" s="71">
        <f>IF(Table1[[#This Row],[Overall amount]]=0,"N/A",Table1[[#This Row],[Outstanding]]/Table1[[#This Row],[Overall amount]])</f>
        <v>0</v>
      </c>
      <c r="AB133" s="17">
        <f>IF(MONTH(Table1[[#This Row],[Loss date]])&lt;Pol_Inc_Month_Shifted,YEAR(Table1[[#This Row],[Loss date]])-1,YEAR(Table1[[#This Row],[Loss date]]))</f>
        <v>2012</v>
      </c>
      <c r="AC133" s="17">
        <f>IF(MONTH(Table1[[#This Row],[Reporting date]])&lt;Pol_Inc_Month_Shifted,YEAR(Table1[[#This Row],[Reporting date]])-1,YEAR(Table1[[#This Row],[Reporting date]]))</f>
        <v>2012</v>
      </c>
      <c r="AD133" s="17">
        <f>Table1[[#This Row],[Reporting year (shifted)]]-Table1[[#This Row],[Policy Year (shifted)]]</f>
        <v>0</v>
      </c>
    </row>
    <row r="134" spans="1:30" ht="13.9">
      <c r="A134" s="8" t="s">
        <v>1904</v>
      </c>
      <c r="B134" s="8" t="s">
        <v>186</v>
      </c>
      <c r="C134" s="8" t="s">
        <v>123</v>
      </c>
      <c r="D134" s="9">
        <v>41184</v>
      </c>
      <c r="E134" s="9">
        <v>41404</v>
      </c>
      <c r="F134" s="17">
        <f>IF(MONTH(Table1[[#This Row],[Loss date]])&lt;Policy_Inception_Month,YEAR(Table1[[#This Row],[Loss date]])-1,YEAR(Table1[[#This Row],[Loss date]]))</f>
        <v>2012</v>
      </c>
      <c r="G134" s="10" t="s">
        <v>125</v>
      </c>
      <c r="H134" s="10" t="s">
        <v>2</v>
      </c>
      <c r="I134" s="11">
        <v>0</v>
      </c>
      <c r="J134" s="11">
        <v>0</v>
      </c>
      <c r="K134" s="11">
        <v>0</v>
      </c>
      <c r="L134" s="12">
        <v>0</v>
      </c>
      <c r="M134" s="12">
        <v>0</v>
      </c>
      <c r="N134" s="12">
        <v>0</v>
      </c>
      <c r="O134" s="70">
        <f>IF(Table1[[#This Row],[Overall amount]]=0,0,1)</f>
        <v>0</v>
      </c>
      <c r="P134" s="70">
        <f>Table1[[#This Row],[Overall amount]]*Exchange_Rate</f>
        <v>0</v>
      </c>
      <c r="Q134" s="70">
        <f>Table1[[#This Row],[Overall (destination currency)]]*(1+Claims_Inflation)^((Revalue_at_date-Table1[[#This Row],[Loss date]])/365.25)</f>
        <v>0</v>
      </c>
      <c r="R134" s="70">
        <f>INT(Table1[[#This Row],[Reporting date]])-INT(Table1[[#This Row],[Loss date]])</f>
        <v>220</v>
      </c>
      <c r="S134" s="69" t="s">
        <v>9</v>
      </c>
      <c r="T134" s="70">
        <f>VLOOKUP(Table1[[#This Row],[Policy Year]],exposure_table,3,FALSE)</f>
        <v>1057.54</v>
      </c>
      <c r="U134" s="17">
        <f>IF(MONTH(Table1[[#This Row],[Reporting date]])&lt;Policy_Inception_Month,YEAR(Table1[[#This Row],[Reporting date]])-1,YEAR(Table1[[#This Row],[Reporting date]]))</f>
        <v>2013</v>
      </c>
      <c r="V134" s="17">
        <f>Table1[[#This Row],[Reporting year]]-Table1[[#This Row],[Policy Year]]</f>
        <v>1</v>
      </c>
      <c r="W134" s="17">
        <f>INT(Table1[[#This Row],[Reporting date]])-INT(Table1[[#This Row],[Loss date]])</f>
        <v>220</v>
      </c>
      <c r="X134" s="17">
        <f>INT((YEAR(Table1[[#This Row],[Loss date]])*12+MONTH(Table1[[#This Row],[Loss date]])-Earliest_Month)/4)</f>
        <v>22</v>
      </c>
      <c r="Y134" s="17">
        <f>INT((YEAR(Table1[[#This Row],[Reporting date]])*12+MONTH(Table1[[#This Row],[Reporting date]])-Earliest_Month)/4)</f>
        <v>24</v>
      </c>
      <c r="Z134" s="17">
        <f>Table1[[#This Row],[Reporting third]]-Table1[[#This Row],[Policy third]]</f>
        <v>2</v>
      </c>
      <c r="AA134" s="71" t="str">
        <f>IF(Table1[[#This Row],[Overall amount]]=0,"N/A",Table1[[#This Row],[Outstanding]]/Table1[[#This Row],[Overall amount]])</f>
        <v>N/A</v>
      </c>
      <c r="AB134" s="17">
        <f>IF(MONTH(Table1[[#This Row],[Loss date]])&lt;Pol_Inc_Month_Shifted,YEAR(Table1[[#This Row],[Loss date]])-1,YEAR(Table1[[#This Row],[Loss date]]))</f>
        <v>2011</v>
      </c>
      <c r="AC134" s="17">
        <f>IF(MONTH(Table1[[#This Row],[Reporting date]])&lt;Pol_Inc_Month_Shifted,YEAR(Table1[[#This Row],[Reporting date]])-1,YEAR(Table1[[#This Row],[Reporting date]]))</f>
        <v>2012</v>
      </c>
      <c r="AD134" s="17">
        <f>Table1[[#This Row],[Reporting year (shifted)]]-Table1[[#This Row],[Policy Year (shifted)]]</f>
        <v>1</v>
      </c>
    </row>
    <row r="135" spans="1:30" ht="13.9">
      <c r="A135" s="8" t="s">
        <v>1905</v>
      </c>
      <c r="B135" s="8" t="s">
        <v>187</v>
      </c>
      <c r="C135" s="8" t="s">
        <v>123</v>
      </c>
      <c r="D135" s="9">
        <v>41337</v>
      </c>
      <c r="E135" s="9">
        <v>41404</v>
      </c>
      <c r="F135" s="17">
        <f>IF(MONTH(Table1[[#This Row],[Loss date]])&lt;Policy_Inception_Month,YEAR(Table1[[#This Row],[Loss date]])-1,YEAR(Table1[[#This Row],[Loss date]]))</f>
        <v>2012</v>
      </c>
      <c r="G135" s="10" t="s">
        <v>125</v>
      </c>
      <c r="H135" s="10" t="s">
        <v>2</v>
      </c>
      <c r="I135" s="11">
        <v>10847.127562748579</v>
      </c>
      <c r="J135" s="11">
        <v>0</v>
      </c>
      <c r="K135" s="11">
        <v>10847.127562748579</v>
      </c>
      <c r="L135" s="12">
        <v>317.47690427556807</v>
      </c>
      <c r="M135" s="12">
        <v>0</v>
      </c>
      <c r="N135" s="12">
        <v>11164.604467024148</v>
      </c>
      <c r="O135" s="70">
        <f>IF(Table1[[#This Row],[Overall amount]]=0,0,1)</f>
        <v>1</v>
      </c>
      <c r="P135" s="70">
        <f>Table1[[#This Row],[Overall amount]]*Exchange_Rate</f>
        <v>11164.604467024148</v>
      </c>
      <c r="Q135" s="70">
        <f>Table1[[#This Row],[Overall (destination currency)]]*(1+Claims_Inflation)^((Revalue_at_date-Table1[[#This Row],[Loss date]])/365.25)</f>
        <v>12660.000000000004</v>
      </c>
      <c r="R135" s="70">
        <f>INT(Table1[[#This Row],[Reporting date]])-INT(Table1[[#This Row],[Loss date]])</f>
        <v>67</v>
      </c>
      <c r="S135" s="69" t="s">
        <v>9</v>
      </c>
      <c r="T135" s="70">
        <f>VLOOKUP(Table1[[#This Row],[Policy Year]],exposure_table,3,FALSE)</f>
        <v>1057.54</v>
      </c>
      <c r="U135" s="17">
        <f>IF(MONTH(Table1[[#This Row],[Reporting date]])&lt;Policy_Inception_Month,YEAR(Table1[[#This Row],[Reporting date]])-1,YEAR(Table1[[#This Row],[Reporting date]]))</f>
        <v>2013</v>
      </c>
      <c r="V135" s="17">
        <f>Table1[[#This Row],[Reporting year]]-Table1[[#This Row],[Policy Year]]</f>
        <v>1</v>
      </c>
      <c r="W135" s="17">
        <f>INT(Table1[[#This Row],[Reporting date]])-INT(Table1[[#This Row],[Loss date]])</f>
        <v>67</v>
      </c>
      <c r="X135" s="17">
        <f>INT((YEAR(Table1[[#This Row],[Loss date]])*12+MONTH(Table1[[#This Row],[Loss date]])-Earliest_Month)/4)</f>
        <v>23</v>
      </c>
      <c r="Y135" s="17">
        <f>INT((YEAR(Table1[[#This Row],[Reporting date]])*12+MONTH(Table1[[#This Row],[Reporting date]])-Earliest_Month)/4)</f>
        <v>24</v>
      </c>
      <c r="Z135" s="17">
        <f>Table1[[#This Row],[Reporting third]]-Table1[[#This Row],[Policy third]]</f>
        <v>1</v>
      </c>
      <c r="AA135" s="71">
        <f>IF(Table1[[#This Row],[Overall amount]]=0,"N/A",Table1[[#This Row],[Outstanding]]/Table1[[#This Row],[Overall amount]])</f>
        <v>0</v>
      </c>
      <c r="AB135" s="17">
        <f>IF(MONTH(Table1[[#This Row],[Loss date]])&lt;Pol_Inc_Month_Shifted,YEAR(Table1[[#This Row],[Loss date]])-1,YEAR(Table1[[#This Row],[Loss date]]))</f>
        <v>2012</v>
      </c>
      <c r="AC135" s="17">
        <f>IF(MONTH(Table1[[#This Row],[Reporting date]])&lt;Pol_Inc_Month_Shifted,YEAR(Table1[[#This Row],[Reporting date]])-1,YEAR(Table1[[#This Row],[Reporting date]]))</f>
        <v>2012</v>
      </c>
      <c r="AD135" s="17">
        <f>Table1[[#This Row],[Reporting year (shifted)]]-Table1[[#This Row],[Policy Year (shifted)]]</f>
        <v>0</v>
      </c>
    </row>
    <row r="136" spans="1:30" ht="13.9">
      <c r="A136" s="8" t="s">
        <v>1906</v>
      </c>
      <c r="B136" s="8" t="s">
        <v>188</v>
      </c>
      <c r="C136" s="8" t="s">
        <v>123</v>
      </c>
      <c r="D136" s="9">
        <v>41084</v>
      </c>
      <c r="E136" s="9">
        <v>41406</v>
      </c>
      <c r="F136" s="17">
        <f>IF(MONTH(Table1[[#This Row],[Loss date]])&lt;Policy_Inception_Month,YEAR(Table1[[#This Row],[Loss date]])-1,YEAR(Table1[[#This Row],[Loss date]]))</f>
        <v>2012</v>
      </c>
      <c r="G136" s="10" t="s">
        <v>125</v>
      </c>
      <c r="H136" s="10" t="s">
        <v>2</v>
      </c>
      <c r="I136" s="11">
        <v>0</v>
      </c>
      <c r="J136" s="11">
        <v>0</v>
      </c>
      <c r="K136" s="11">
        <v>0</v>
      </c>
      <c r="L136" s="12">
        <v>0</v>
      </c>
      <c r="M136" s="12">
        <v>0</v>
      </c>
      <c r="N136" s="12">
        <v>0</v>
      </c>
      <c r="O136" s="70">
        <f>IF(Table1[[#This Row],[Overall amount]]=0,0,1)</f>
        <v>0</v>
      </c>
      <c r="P136" s="70">
        <f>Table1[[#This Row],[Overall amount]]*Exchange_Rate</f>
        <v>0</v>
      </c>
      <c r="Q136" s="70">
        <f>Table1[[#This Row],[Overall (destination currency)]]*(1+Claims_Inflation)^((Revalue_at_date-Table1[[#This Row],[Loss date]])/365.25)</f>
        <v>0</v>
      </c>
      <c r="R136" s="70">
        <f>INT(Table1[[#This Row],[Reporting date]])-INT(Table1[[#This Row],[Loss date]])</f>
        <v>322</v>
      </c>
      <c r="S136" s="69" t="s">
        <v>9</v>
      </c>
      <c r="T136" s="70">
        <f>VLOOKUP(Table1[[#This Row],[Policy Year]],exposure_table,3,FALSE)</f>
        <v>1057.54</v>
      </c>
      <c r="U136" s="17">
        <f>IF(MONTH(Table1[[#This Row],[Reporting date]])&lt;Policy_Inception_Month,YEAR(Table1[[#This Row],[Reporting date]])-1,YEAR(Table1[[#This Row],[Reporting date]]))</f>
        <v>2013</v>
      </c>
      <c r="V136" s="17">
        <f>Table1[[#This Row],[Reporting year]]-Table1[[#This Row],[Policy Year]]</f>
        <v>1</v>
      </c>
      <c r="W136" s="17">
        <f>INT(Table1[[#This Row],[Reporting date]])-INT(Table1[[#This Row],[Loss date]])</f>
        <v>322</v>
      </c>
      <c r="X136" s="17">
        <f>INT((YEAR(Table1[[#This Row],[Loss date]])*12+MONTH(Table1[[#This Row],[Loss date]])-Earliest_Month)/4)</f>
        <v>21</v>
      </c>
      <c r="Y136" s="17">
        <f>INT((YEAR(Table1[[#This Row],[Reporting date]])*12+MONTH(Table1[[#This Row],[Reporting date]])-Earliest_Month)/4)</f>
        <v>24</v>
      </c>
      <c r="Z136" s="17">
        <f>Table1[[#This Row],[Reporting third]]-Table1[[#This Row],[Policy third]]</f>
        <v>3</v>
      </c>
      <c r="AA136" s="71" t="str">
        <f>IF(Table1[[#This Row],[Overall amount]]=0,"N/A",Table1[[#This Row],[Outstanding]]/Table1[[#This Row],[Overall amount]])</f>
        <v>N/A</v>
      </c>
      <c r="AB136" s="17">
        <f>IF(MONTH(Table1[[#This Row],[Loss date]])&lt;Pol_Inc_Month_Shifted,YEAR(Table1[[#This Row],[Loss date]])-1,YEAR(Table1[[#This Row],[Loss date]]))</f>
        <v>2011</v>
      </c>
      <c r="AC136" s="17">
        <f>IF(MONTH(Table1[[#This Row],[Reporting date]])&lt;Pol_Inc_Month_Shifted,YEAR(Table1[[#This Row],[Reporting date]])-1,YEAR(Table1[[#This Row],[Reporting date]]))</f>
        <v>2012</v>
      </c>
      <c r="AD136" s="17">
        <f>Table1[[#This Row],[Reporting year (shifted)]]-Table1[[#This Row],[Policy Year (shifted)]]</f>
        <v>1</v>
      </c>
    </row>
    <row r="137" spans="1:30" ht="13.9">
      <c r="A137" s="8" t="s">
        <v>1907</v>
      </c>
      <c r="B137" s="8" t="s">
        <v>189</v>
      </c>
      <c r="C137" s="8" t="s">
        <v>123</v>
      </c>
      <c r="D137" s="9">
        <v>41039</v>
      </c>
      <c r="E137" s="9">
        <v>41406</v>
      </c>
      <c r="F137" s="17">
        <f>IF(MONTH(Table1[[#This Row],[Loss date]])&lt;Policy_Inception_Month,YEAR(Table1[[#This Row],[Loss date]])-1,YEAR(Table1[[#This Row],[Loss date]]))</f>
        <v>2012</v>
      </c>
      <c r="G137" s="10" t="s">
        <v>125</v>
      </c>
      <c r="H137" s="10" t="s">
        <v>2</v>
      </c>
      <c r="I137" s="11">
        <v>0</v>
      </c>
      <c r="J137" s="11">
        <v>0</v>
      </c>
      <c r="K137" s="11">
        <v>0</v>
      </c>
      <c r="L137" s="12">
        <v>0</v>
      </c>
      <c r="M137" s="12">
        <v>0</v>
      </c>
      <c r="N137" s="12">
        <v>0</v>
      </c>
      <c r="O137" s="70">
        <f>IF(Table1[[#This Row],[Overall amount]]=0,0,1)</f>
        <v>0</v>
      </c>
      <c r="P137" s="70">
        <f>Table1[[#This Row],[Overall amount]]*Exchange_Rate</f>
        <v>0</v>
      </c>
      <c r="Q137" s="70">
        <f>Table1[[#This Row],[Overall (destination currency)]]*(1+Claims_Inflation)^((Revalue_at_date-Table1[[#This Row],[Loss date]])/365.25)</f>
        <v>0</v>
      </c>
      <c r="R137" s="70">
        <f>INT(Table1[[#This Row],[Reporting date]])-INT(Table1[[#This Row],[Loss date]])</f>
        <v>367</v>
      </c>
      <c r="S137" s="69" t="s">
        <v>9</v>
      </c>
      <c r="T137" s="70">
        <f>VLOOKUP(Table1[[#This Row],[Policy Year]],exposure_table,3,FALSE)</f>
        <v>1057.54</v>
      </c>
      <c r="U137" s="17">
        <f>IF(MONTH(Table1[[#This Row],[Reporting date]])&lt;Policy_Inception_Month,YEAR(Table1[[#This Row],[Reporting date]])-1,YEAR(Table1[[#This Row],[Reporting date]]))</f>
        <v>2013</v>
      </c>
      <c r="V137" s="17">
        <f>Table1[[#This Row],[Reporting year]]-Table1[[#This Row],[Policy Year]]</f>
        <v>1</v>
      </c>
      <c r="W137" s="17">
        <f>INT(Table1[[#This Row],[Reporting date]])-INT(Table1[[#This Row],[Loss date]])</f>
        <v>367</v>
      </c>
      <c r="X137" s="17">
        <f>INT((YEAR(Table1[[#This Row],[Loss date]])*12+MONTH(Table1[[#This Row],[Loss date]])-Earliest_Month)/4)</f>
        <v>21</v>
      </c>
      <c r="Y137" s="17">
        <f>INT((YEAR(Table1[[#This Row],[Reporting date]])*12+MONTH(Table1[[#This Row],[Reporting date]])-Earliest_Month)/4)</f>
        <v>24</v>
      </c>
      <c r="Z137" s="17">
        <f>Table1[[#This Row],[Reporting third]]-Table1[[#This Row],[Policy third]]</f>
        <v>3</v>
      </c>
      <c r="AA137" s="71" t="str">
        <f>IF(Table1[[#This Row],[Overall amount]]=0,"N/A",Table1[[#This Row],[Outstanding]]/Table1[[#This Row],[Overall amount]])</f>
        <v>N/A</v>
      </c>
      <c r="AB137" s="17">
        <f>IF(MONTH(Table1[[#This Row],[Loss date]])&lt;Pol_Inc_Month_Shifted,YEAR(Table1[[#This Row],[Loss date]])-1,YEAR(Table1[[#This Row],[Loss date]]))</f>
        <v>2011</v>
      </c>
      <c r="AC137" s="17">
        <f>IF(MONTH(Table1[[#This Row],[Reporting date]])&lt;Pol_Inc_Month_Shifted,YEAR(Table1[[#This Row],[Reporting date]])-1,YEAR(Table1[[#This Row],[Reporting date]]))</f>
        <v>2012</v>
      </c>
      <c r="AD137" s="17">
        <f>Table1[[#This Row],[Reporting year (shifted)]]-Table1[[#This Row],[Policy Year (shifted)]]</f>
        <v>1</v>
      </c>
    </row>
    <row r="138" spans="1:30" ht="13.9">
      <c r="A138" s="8" t="s">
        <v>1908</v>
      </c>
      <c r="B138" s="8" t="s">
        <v>190</v>
      </c>
      <c r="C138" s="8" t="s">
        <v>123</v>
      </c>
      <c r="D138" s="9">
        <v>41000</v>
      </c>
      <c r="E138" s="9">
        <v>41405</v>
      </c>
      <c r="F138" s="17">
        <f>IF(MONTH(Table1[[#This Row],[Loss date]])&lt;Policy_Inception_Month,YEAR(Table1[[#This Row],[Loss date]])-1,YEAR(Table1[[#This Row],[Loss date]]))</f>
        <v>2012</v>
      </c>
      <c r="G138" s="10" t="s">
        <v>131</v>
      </c>
      <c r="H138" s="10" t="s">
        <v>2</v>
      </c>
      <c r="I138" s="11">
        <v>6288.0577988994264</v>
      </c>
      <c r="J138" s="11">
        <v>17992.110678871668</v>
      </c>
      <c r="K138" s="11">
        <v>24280.168477771091</v>
      </c>
      <c r="L138" s="12">
        <v>0</v>
      </c>
      <c r="M138" s="12">
        <v>0</v>
      </c>
      <c r="N138" s="12">
        <v>24280.168477771091</v>
      </c>
      <c r="O138" s="70">
        <f>IF(Table1[[#This Row],[Overall amount]]=0,0,1)</f>
        <v>1</v>
      </c>
      <c r="P138" s="70">
        <f>Table1[[#This Row],[Overall amount]]*Exchange_Rate</f>
        <v>24280.168477771091</v>
      </c>
      <c r="Q138" s="70">
        <f>Table1[[#This Row],[Overall (destination currency)]]*(1+Claims_Inflation)^((Revalue_at_date-Table1[[#This Row],[Loss date]])/365.25)</f>
        <v>28800</v>
      </c>
      <c r="R138" s="70">
        <f>INT(Table1[[#This Row],[Reporting date]])-INT(Table1[[#This Row],[Loss date]])</f>
        <v>405</v>
      </c>
      <c r="S138" s="69" t="s">
        <v>16</v>
      </c>
      <c r="T138" s="70">
        <f>VLOOKUP(Table1[[#This Row],[Policy Year]],exposure_table,3,FALSE)</f>
        <v>1057.54</v>
      </c>
      <c r="U138" s="17">
        <f>IF(MONTH(Table1[[#This Row],[Reporting date]])&lt;Policy_Inception_Month,YEAR(Table1[[#This Row],[Reporting date]])-1,YEAR(Table1[[#This Row],[Reporting date]]))</f>
        <v>2013</v>
      </c>
      <c r="V138" s="17">
        <f>Table1[[#This Row],[Reporting year]]-Table1[[#This Row],[Policy Year]]</f>
        <v>1</v>
      </c>
      <c r="W138" s="17">
        <f>INT(Table1[[#This Row],[Reporting date]])-INT(Table1[[#This Row],[Loss date]])</f>
        <v>405</v>
      </c>
      <c r="X138" s="17">
        <f>INT((YEAR(Table1[[#This Row],[Loss date]])*12+MONTH(Table1[[#This Row],[Loss date]])-Earliest_Month)/4)</f>
        <v>21</v>
      </c>
      <c r="Y138" s="17">
        <f>INT((YEAR(Table1[[#This Row],[Reporting date]])*12+MONTH(Table1[[#This Row],[Reporting date]])-Earliest_Month)/4)</f>
        <v>24</v>
      </c>
      <c r="Z138" s="17">
        <f>Table1[[#This Row],[Reporting third]]-Table1[[#This Row],[Policy third]]</f>
        <v>3</v>
      </c>
      <c r="AA138" s="71">
        <f>IF(Table1[[#This Row],[Overall amount]]=0,"N/A",Table1[[#This Row],[Outstanding]]/Table1[[#This Row],[Overall amount]])</f>
        <v>0.74102083333333346</v>
      </c>
      <c r="AB138" s="17">
        <f>IF(MONTH(Table1[[#This Row],[Loss date]])&lt;Pol_Inc_Month_Shifted,YEAR(Table1[[#This Row],[Loss date]])-1,YEAR(Table1[[#This Row],[Loss date]]))</f>
        <v>2011</v>
      </c>
      <c r="AC138" s="17">
        <f>IF(MONTH(Table1[[#This Row],[Reporting date]])&lt;Pol_Inc_Month_Shifted,YEAR(Table1[[#This Row],[Reporting date]])-1,YEAR(Table1[[#This Row],[Reporting date]]))</f>
        <v>2012</v>
      </c>
      <c r="AD138" s="17">
        <f>Table1[[#This Row],[Reporting year (shifted)]]-Table1[[#This Row],[Policy Year (shifted)]]</f>
        <v>1</v>
      </c>
    </row>
    <row r="139" spans="1:30" ht="13.9">
      <c r="A139" s="8" t="s">
        <v>1909</v>
      </c>
      <c r="B139" s="8" t="s">
        <v>191</v>
      </c>
      <c r="C139" s="8" t="s">
        <v>123</v>
      </c>
      <c r="D139" s="9">
        <v>41201</v>
      </c>
      <c r="E139" s="9">
        <v>41384</v>
      </c>
      <c r="F139" s="17">
        <f>IF(MONTH(Table1[[#This Row],[Loss date]])&lt;Policy_Inception_Month,YEAR(Table1[[#This Row],[Loss date]])-1,YEAR(Table1[[#This Row],[Loss date]]))</f>
        <v>2012</v>
      </c>
      <c r="G139" s="10" t="s">
        <v>125</v>
      </c>
      <c r="H139" s="10" t="s">
        <v>2</v>
      </c>
      <c r="I139" s="11">
        <v>0</v>
      </c>
      <c r="J139" s="11">
        <v>0</v>
      </c>
      <c r="K139" s="11">
        <v>0</v>
      </c>
      <c r="L139" s="12">
        <v>0</v>
      </c>
      <c r="M139" s="12">
        <v>0</v>
      </c>
      <c r="N139" s="12">
        <v>0</v>
      </c>
      <c r="O139" s="70">
        <f>IF(Table1[[#This Row],[Overall amount]]=0,0,1)</f>
        <v>0</v>
      </c>
      <c r="P139" s="70">
        <f>Table1[[#This Row],[Overall amount]]*Exchange_Rate</f>
        <v>0</v>
      </c>
      <c r="Q139" s="70">
        <f>Table1[[#This Row],[Overall (destination currency)]]*(1+Claims_Inflation)^((Revalue_at_date-Table1[[#This Row],[Loss date]])/365.25)</f>
        <v>0</v>
      </c>
      <c r="R139" s="70">
        <f>INT(Table1[[#This Row],[Reporting date]])-INT(Table1[[#This Row],[Loss date]])</f>
        <v>183</v>
      </c>
      <c r="S139" s="69" t="s">
        <v>9</v>
      </c>
      <c r="T139" s="70">
        <f>VLOOKUP(Table1[[#This Row],[Policy Year]],exposure_table,3,FALSE)</f>
        <v>1057.54</v>
      </c>
      <c r="U139" s="17">
        <f>IF(MONTH(Table1[[#This Row],[Reporting date]])&lt;Policy_Inception_Month,YEAR(Table1[[#This Row],[Reporting date]])-1,YEAR(Table1[[#This Row],[Reporting date]]))</f>
        <v>2013</v>
      </c>
      <c r="V139" s="17">
        <f>Table1[[#This Row],[Reporting year]]-Table1[[#This Row],[Policy Year]]</f>
        <v>1</v>
      </c>
      <c r="W139" s="17">
        <f>INT(Table1[[#This Row],[Reporting date]])-INT(Table1[[#This Row],[Loss date]])</f>
        <v>183</v>
      </c>
      <c r="X139" s="17">
        <f>INT((YEAR(Table1[[#This Row],[Loss date]])*12+MONTH(Table1[[#This Row],[Loss date]])-Earliest_Month)/4)</f>
        <v>22</v>
      </c>
      <c r="Y139" s="17">
        <f>INT((YEAR(Table1[[#This Row],[Reporting date]])*12+MONTH(Table1[[#This Row],[Reporting date]])-Earliest_Month)/4)</f>
        <v>24</v>
      </c>
      <c r="Z139" s="17">
        <f>Table1[[#This Row],[Reporting third]]-Table1[[#This Row],[Policy third]]</f>
        <v>2</v>
      </c>
      <c r="AA139" s="71" t="str">
        <f>IF(Table1[[#This Row],[Overall amount]]=0,"N/A",Table1[[#This Row],[Outstanding]]/Table1[[#This Row],[Overall amount]])</f>
        <v>N/A</v>
      </c>
      <c r="AB139" s="17">
        <f>IF(MONTH(Table1[[#This Row],[Loss date]])&lt;Pol_Inc_Month_Shifted,YEAR(Table1[[#This Row],[Loss date]])-1,YEAR(Table1[[#This Row],[Loss date]]))</f>
        <v>2011</v>
      </c>
      <c r="AC139" s="17">
        <f>IF(MONTH(Table1[[#This Row],[Reporting date]])&lt;Pol_Inc_Month_Shifted,YEAR(Table1[[#This Row],[Reporting date]])-1,YEAR(Table1[[#This Row],[Reporting date]]))</f>
        <v>2012</v>
      </c>
      <c r="AD139" s="17">
        <f>Table1[[#This Row],[Reporting year (shifted)]]-Table1[[#This Row],[Policy Year (shifted)]]</f>
        <v>1</v>
      </c>
    </row>
    <row r="140" spans="1:30" ht="13.9">
      <c r="A140" s="8" t="s">
        <v>1910</v>
      </c>
      <c r="B140" s="8" t="s">
        <v>192</v>
      </c>
      <c r="C140" s="8" t="s">
        <v>123</v>
      </c>
      <c r="D140" s="9">
        <v>41393</v>
      </c>
      <c r="E140" s="9">
        <v>41406</v>
      </c>
      <c r="F140" s="17">
        <f>IF(MONTH(Table1[[#This Row],[Loss date]])&lt;Policy_Inception_Month,YEAR(Table1[[#This Row],[Loss date]])-1,YEAR(Table1[[#This Row],[Loss date]]))</f>
        <v>2013</v>
      </c>
      <c r="G140" s="10" t="s">
        <v>125</v>
      </c>
      <c r="H140" s="10" t="s">
        <v>2</v>
      </c>
      <c r="I140" s="11">
        <v>16207.980990629878</v>
      </c>
      <c r="J140" s="11">
        <v>0</v>
      </c>
      <c r="K140" s="11">
        <v>16207.980990629878</v>
      </c>
      <c r="L140" s="12">
        <v>0</v>
      </c>
      <c r="M140" s="12">
        <v>1355.2830179847219</v>
      </c>
      <c r="N140" s="12">
        <v>14852.697972645155</v>
      </c>
      <c r="O140" s="70">
        <f>IF(Table1[[#This Row],[Overall amount]]=0,0,1)</f>
        <v>1</v>
      </c>
      <c r="P140" s="70">
        <f>Table1[[#This Row],[Overall amount]]*Exchange_Rate</f>
        <v>14852.697972645155</v>
      </c>
      <c r="Q140" s="70">
        <f>Table1[[#This Row],[Overall (destination currency)]]*(1+Claims_Inflation)^((Revalue_at_date-Table1[[#This Row],[Loss date]])/365.25)</f>
        <v>16716.562559999995</v>
      </c>
      <c r="R140" s="70">
        <f>INT(Table1[[#This Row],[Reporting date]])-INT(Table1[[#This Row],[Loss date]])</f>
        <v>13</v>
      </c>
      <c r="S140" s="69" t="s">
        <v>9</v>
      </c>
      <c r="T140" s="70">
        <f>VLOOKUP(Table1[[#This Row],[Policy Year]],exposure_table,3,FALSE)</f>
        <v>1090.5865384615383</v>
      </c>
      <c r="U140" s="17">
        <f>IF(MONTH(Table1[[#This Row],[Reporting date]])&lt;Policy_Inception_Month,YEAR(Table1[[#This Row],[Reporting date]])-1,YEAR(Table1[[#This Row],[Reporting date]]))</f>
        <v>2013</v>
      </c>
      <c r="V140" s="17">
        <f>Table1[[#This Row],[Reporting year]]-Table1[[#This Row],[Policy Year]]</f>
        <v>0</v>
      </c>
      <c r="W140" s="17">
        <f>INT(Table1[[#This Row],[Reporting date]])-INT(Table1[[#This Row],[Loss date]])</f>
        <v>13</v>
      </c>
      <c r="X140" s="17">
        <f>INT((YEAR(Table1[[#This Row],[Loss date]])*12+MONTH(Table1[[#This Row],[Loss date]])-Earliest_Month)/4)</f>
        <v>24</v>
      </c>
      <c r="Y140" s="17">
        <f>INT((YEAR(Table1[[#This Row],[Reporting date]])*12+MONTH(Table1[[#This Row],[Reporting date]])-Earliest_Month)/4)</f>
        <v>24</v>
      </c>
      <c r="Z140" s="17">
        <f>Table1[[#This Row],[Reporting third]]-Table1[[#This Row],[Policy third]]</f>
        <v>0</v>
      </c>
      <c r="AA140" s="71">
        <f>IF(Table1[[#This Row],[Overall amount]]=0,"N/A",Table1[[#This Row],[Outstanding]]/Table1[[#This Row],[Overall amount]])</f>
        <v>0</v>
      </c>
      <c r="AB140" s="17">
        <f>IF(MONTH(Table1[[#This Row],[Loss date]])&lt;Pol_Inc_Month_Shifted,YEAR(Table1[[#This Row],[Loss date]])-1,YEAR(Table1[[#This Row],[Loss date]]))</f>
        <v>2012</v>
      </c>
      <c r="AC140" s="17">
        <f>IF(MONTH(Table1[[#This Row],[Reporting date]])&lt;Pol_Inc_Month_Shifted,YEAR(Table1[[#This Row],[Reporting date]])-1,YEAR(Table1[[#This Row],[Reporting date]]))</f>
        <v>2012</v>
      </c>
      <c r="AD140" s="17">
        <f>Table1[[#This Row],[Reporting year (shifted)]]-Table1[[#This Row],[Policy Year (shifted)]]</f>
        <v>0</v>
      </c>
    </row>
    <row r="141" spans="1:30" ht="13.9">
      <c r="A141" s="8" t="s">
        <v>1911</v>
      </c>
      <c r="B141" s="8" t="s">
        <v>193</v>
      </c>
      <c r="C141" s="8" t="s">
        <v>123</v>
      </c>
      <c r="D141" s="9">
        <v>41241</v>
      </c>
      <c r="E141" s="9">
        <v>41408</v>
      </c>
      <c r="F141" s="17">
        <f>IF(MONTH(Table1[[#This Row],[Loss date]])&lt;Policy_Inception_Month,YEAR(Table1[[#This Row],[Loss date]])-1,YEAR(Table1[[#This Row],[Loss date]]))</f>
        <v>2012</v>
      </c>
      <c r="G141" s="10" t="s">
        <v>125</v>
      </c>
      <c r="H141" s="10" t="s">
        <v>2</v>
      </c>
      <c r="I141" s="11">
        <v>9231.7745922153936</v>
      </c>
      <c r="J141" s="11">
        <v>0</v>
      </c>
      <c r="K141" s="11">
        <v>9231.7745922153936</v>
      </c>
      <c r="L141" s="12">
        <v>0</v>
      </c>
      <c r="M141" s="12">
        <v>0</v>
      </c>
      <c r="N141" s="12">
        <v>9231.7745922153936</v>
      </c>
      <c r="O141" s="70">
        <f>IF(Table1[[#This Row],[Overall amount]]=0,0,1)</f>
        <v>1</v>
      </c>
      <c r="P141" s="70">
        <f>Table1[[#This Row],[Overall amount]]*Exchange_Rate</f>
        <v>9231.7745922153936</v>
      </c>
      <c r="Q141" s="70">
        <f>Table1[[#This Row],[Overall (destination currency)]]*(1+Claims_Inflation)^((Revalue_at_date-Table1[[#This Row],[Loss date]])/365.25)</f>
        <v>10603.392</v>
      </c>
      <c r="R141" s="70">
        <f>INT(Table1[[#This Row],[Reporting date]])-INT(Table1[[#This Row],[Loss date]])</f>
        <v>167</v>
      </c>
      <c r="S141" s="69" t="s">
        <v>9</v>
      </c>
      <c r="T141" s="70">
        <f>VLOOKUP(Table1[[#This Row],[Policy Year]],exposure_table,3,FALSE)</f>
        <v>1057.54</v>
      </c>
      <c r="U141" s="17">
        <f>IF(MONTH(Table1[[#This Row],[Reporting date]])&lt;Policy_Inception_Month,YEAR(Table1[[#This Row],[Reporting date]])-1,YEAR(Table1[[#This Row],[Reporting date]]))</f>
        <v>2013</v>
      </c>
      <c r="V141" s="17">
        <f>Table1[[#This Row],[Reporting year]]-Table1[[#This Row],[Policy Year]]</f>
        <v>1</v>
      </c>
      <c r="W141" s="17">
        <f>INT(Table1[[#This Row],[Reporting date]])-INT(Table1[[#This Row],[Loss date]])</f>
        <v>167</v>
      </c>
      <c r="X141" s="17">
        <f>INT((YEAR(Table1[[#This Row],[Loss date]])*12+MONTH(Table1[[#This Row],[Loss date]])-Earliest_Month)/4)</f>
        <v>22</v>
      </c>
      <c r="Y141" s="17">
        <f>INT((YEAR(Table1[[#This Row],[Reporting date]])*12+MONTH(Table1[[#This Row],[Reporting date]])-Earliest_Month)/4)</f>
        <v>24</v>
      </c>
      <c r="Z141" s="17">
        <f>Table1[[#This Row],[Reporting third]]-Table1[[#This Row],[Policy third]]</f>
        <v>2</v>
      </c>
      <c r="AA141" s="71">
        <f>IF(Table1[[#This Row],[Overall amount]]=0,"N/A",Table1[[#This Row],[Outstanding]]/Table1[[#This Row],[Overall amount]])</f>
        <v>0</v>
      </c>
      <c r="AB141" s="17">
        <f>IF(MONTH(Table1[[#This Row],[Loss date]])&lt;Pol_Inc_Month_Shifted,YEAR(Table1[[#This Row],[Loss date]])-1,YEAR(Table1[[#This Row],[Loss date]]))</f>
        <v>2011</v>
      </c>
      <c r="AC141" s="17">
        <f>IF(MONTH(Table1[[#This Row],[Reporting date]])&lt;Pol_Inc_Month_Shifted,YEAR(Table1[[#This Row],[Reporting date]])-1,YEAR(Table1[[#This Row],[Reporting date]]))</f>
        <v>2012</v>
      </c>
      <c r="AD141" s="17">
        <f>Table1[[#This Row],[Reporting year (shifted)]]-Table1[[#This Row],[Policy Year (shifted)]]</f>
        <v>1</v>
      </c>
    </row>
    <row r="142" spans="1:30" ht="13.9">
      <c r="A142" s="8" t="s">
        <v>1912</v>
      </c>
      <c r="B142" s="8" t="s">
        <v>194</v>
      </c>
      <c r="C142" s="8" t="s">
        <v>123</v>
      </c>
      <c r="D142" s="9">
        <v>40927</v>
      </c>
      <c r="E142" s="9">
        <v>41414</v>
      </c>
      <c r="F142" s="17">
        <f>IF(MONTH(Table1[[#This Row],[Loss date]])&lt;Policy_Inception_Month,YEAR(Table1[[#This Row],[Loss date]])-1,YEAR(Table1[[#This Row],[Loss date]]))</f>
        <v>2011</v>
      </c>
      <c r="G142" s="10" t="s">
        <v>125</v>
      </c>
      <c r="H142" s="10" t="s">
        <v>2</v>
      </c>
      <c r="I142" s="11">
        <v>0</v>
      </c>
      <c r="J142" s="11">
        <v>0</v>
      </c>
      <c r="K142" s="11">
        <v>0</v>
      </c>
      <c r="L142" s="12">
        <v>0</v>
      </c>
      <c r="M142" s="12">
        <v>0</v>
      </c>
      <c r="N142" s="12">
        <v>0</v>
      </c>
      <c r="O142" s="70">
        <f>IF(Table1[[#This Row],[Overall amount]]=0,0,1)</f>
        <v>0</v>
      </c>
      <c r="P142" s="70">
        <f>Table1[[#This Row],[Overall amount]]*Exchange_Rate</f>
        <v>0</v>
      </c>
      <c r="Q142" s="70">
        <f>Table1[[#This Row],[Overall (destination currency)]]*(1+Claims_Inflation)^((Revalue_at_date-Table1[[#This Row],[Loss date]])/365.25)</f>
        <v>0</v>
      </c>
      <c r="R142" s="70">
        <f>INT(Table1[[#This Row],[Reporting date]])-INT(Table1[[#This Row],[Loss date]])</f>
        <v>487</v>
      </c>
      <c r="S142" s="69" t="s">
        <v>9</v>
      </c>
      <c r="T142" s="70">
        <f>VLOOKUP(Table1[[#This Row],[Policy Year]],exposure_table,3,FALSE)</f>
        <v>870.52680000000009</v>
      </c>
      <c r="U142" s="17">
        <f>IF(MONTH(Table1[[#This Row],[Reporting date]])&lt;Policy_Inception_Month,YEAR(Table1[[#This Row],[Reporting date]])-1,YEAR(Table1[[#This Row],[Reporting date]]))</f>
        <v>2013</v>
      </c>
      <c r="V142" s="17">
        <f>Table1[[#This Row],[Reporting year]]-Table1[[#This Row],[Policy Year]]</f>
        <v>2</v>
      </c>
      <c r="W142" s="17">
        <f>INT(Table1[[#This Row],[Reporting date]])-INT(Table1[[#This Row],[Loss date]])</f>
        <v>487</v>
      </c>
      <c r="X142" s="17">
        <f>INT((YEAR(Table1[[#This Row],[Loss date]])*12+MONTH(Table1[[#This Row],[Loss date]])-Earliest_Month)/4)</f>
        <v>20</v>
      </c>
      <c r="Y142" s="17">
        <f>INT((YEAR(Table1[[#This Row],[Reporting date]])*12+MONTH(Table1[[#This Row],[Reporting date]])-Earliest_Month)/4)</f>
        <v>24</v>
      </c>
      <c r="Z142" s="17">
        <f>Table1[[#This Row],[Reporting third]]-Table1[[#This Row],[Policy third]]</f>
        <v>4</v>
      </c>
      <c r="AA142" s="71" t="str">
        <f>IF(Table1[[#This Row],[Overall amount]]=0,"N/A",Table1[[#This Row],[Outstanding]]/Table1[[#This Row],[Overall amount]])</f>
        <v>N/A</v>
      </c>
      <c r="AB142" s="17">
        <f>IF(MONTH(Table1[[#This Row],[Loss date]])&lt;Pol_Inc_Month_Shifted,YEAR(Table1[[#This Row],[Loss date]])-1,YEAR(Table1[[#This Row],[Loss date]]))</f>
        <v>2011</v>
      </c>
      <c r="AC142" s="17">
        <f>IF(MONTH(Table1[[#This Row],[Reporting date]])&lt;Pol_Inc_Month_Shifted,YEAR(Table1[[#This Row],[Reporting date]])-1,YEAR(Table1[[#This Row],[Reporting date]]))</f>
        <v>2012</v>
      </c>
      <c r="AD142" s="17">
        <f>Table1[[#This Row],[Reporting year (shifted)]]-Table1[[#This Row],[Policy Year (shifted)]]</f>
        <v>1</v>
      </c>
    </row>
    <row r="143" spans="1:30" ht="13.9">
      <c r="A143" s="8" t="s">
        <v>1913</v>
      </c>
      <c r="B143" s="8" t="s">
        <v>195</v>
      </c>
      <c r="C143" s="8" t="s">
        <v>123</v>
      </c>
      <c r="D143" s="9">
        <v>41078</v>
      </c>
      <c r="E143" s="9">
        <v>41420</v>
      </c>
      <c r="F143" s="17">
        <f>IF(MONTH(Table1[[#This Row],[Loss date]])&lt;Policy_Inception_Month,YEAR(Table1[[#This Row],[Loss date]])-1,YEAR(Table1[[#This Row],[Loss date]]))</f>
        <v>2012</v>
      </c>
      <c r="G143" s="10" t="s">
        <v>133</v>
      </c>
      <c r="H143" s="10" t="s">
        <v>2</v>
      </c>
      <c r="I143" s="11">
        <v>0</v>
      </c>
      <c r="J143" s="11">
        <v>15916.738882824782</v>
      </c>
      <c r="K143" s="11">
        <v>15916.738882824782</v>
      </c>
      <c r="L143" s="12">
        <v>306.68090332995729</v>
      </c>
      <c r="M143" s="12">
        <v>0</v>
      </c>
      <c r="N143" s="12">
        <v>16223.41978615474</v>
      </c>
      <c r="O143" s="70">
        <f>IF(Table1[[#This Row],[Overall amount]]=0,0,1)</f>
        <v>1</v>
      </c>
      <c r="P143" s="70">
        <f>Table1[[#This Row],[Overall amount]]*Exchange_Rate</f>
        <v>16223.41978615474</v>
      </c>
      <c r="Q143" s="70">
        <f>Table1[[#This Row],[Overall (destination currency)]]*(1+Claims_Inflation)^((Revalue_at_date-Table1[[#This Row],[Loss date]])/365.25)</f>
        <v>19044</v>
      </c>
      <c r="R143" s="70">
        <f>INT(Table1[[#This Row],[Reporting date]])-INT(Table1[[#This Row],[Loss date]])</f>
        <v>342</v>
      </c>
      <c r="S143" s="69" t="s">
        <v>16</v>
      </c>
      <c r="T143" s="70">
        <f>VLOOKUP(Table1[[#This Row],[Policy Year]],exposure_table,3,FALSE)</f>
        <v>1057.54</v>
      </c>
      <c r="U143" s="17">
        <f>IF(MONTH(Table1[[#This Row],[Reporting date]])&lt;Policy_Inception_Month,YEAR(Table1[[#This Row],[Reporting date]])-1,YEAR(Table1[[#This Row],[Reporting date]]))</f>
        <v>2013</v>
      </c>
      <c r="V143" s="17">
        <f>Table1[[#This Row],[Reporting year]]-Table1[[#This Row],[Policy Year]]</f>
        <v>1</v>
      </c>
      <c r="W143" s="17">
        <f>INT(Table1[[#This Row],[Reporting date]])-INT(Table1[[#This Row],[Loss date]])</f>
        <v>342</v>
      </c>
      <c r="X143" s="17">
        <f>INT((YEAR(Table1[[#This Row],[Loss date]])*12+MONTH(Table1[[#This Row],[Loss date]])-Earliest_Month)/4)</f>
        <v>21</v>
      </c>
      <c r="Y143" s="17">
        <f>INT((YEAR(Table1[[#This Row],[Reporting date]])*12+MONTH(Table1[[#This Row],[Reporting date]])-Earliest_Month)/4)</f>
        <v>24</v>
      </c>
      <c r="Z143" s="17">
        <f>Table1[[#This Row],[Reporting third]]-Table1[[#This Row],[Policy third]]</f>
        <v>3</v>
      </c>
      <c r="AA143" s="71">
        <f>IF(Table1[[#This Row],[Overall amount]]=0,"N/A",Table1[[#This Row],[Outstanding]]/Table1[[#This Row],[Overall amount]])</f>
        <v>0.98109640831758027</v>
      </c>
      <c r="AB143" s="17">
        <f>IF(MONTH(Table1[[#This Row],[Loss date]])&lt;Pol_Inc_Month_Shifted,YEAR(Table1[[#This Row],[Loss date]])-1,YEAR(Table1[[#This Row],[Loss date]]))</f>
        <v>2011</v>
      </c>
      <c r="AC143" s="17">
        <f>IF(MONTH(Table1[[#This Row],[Reporting date]])&lt;Pol_Inc_Month_Shifted,YEAR(Table1[[#This Row],[Reporting date]])-1,YEAR(Table1[[#This Row],[Reporting date]]))</f>
        <v>2012</v>
      </c>
      <c r="AD143" s="17">
        <f>Table1[[#This Row],[Reporting year (shifted)]]-Table1[[#This Row],[Policy Year (shifted)]]</f>
        <v>1</v>
      </c>
    </row>
    <row r="144" spans="1:30" ht="13.9">
      <c r="A144" s="8" t="s">
        <v>1914</v>
      </c>
      <c r="B144" s="8" t="s">
        <v>196</v>
      </c>
      <c r="C144" s="8" t="s">
        <v>123</v>
      </c>
      <c r="D144" s="9">
        <v>41059</v>
      </c>
      <c r="E144" s="9">
        <v>41419</v>
      </c>
      <c r="F144" s="17">
        <f>IF(MONTH(Table1[[#This Row],[Loss date]])&lt;Policy_Inception_Month,YEAR(Table1[[#This Row],[Loss date]])-1,YEAR(Table1[[#This Row],[Loss date]]))</f>
        <v>2012</v>
      </c>
      <c r="G144" s="10" t="s">
        <v>125</v>
      </c>
      <c r="H144" s="10" t="s">
        <v>2</v>
      </c>
      <c r="I144" s="11">
        <v>815.74273833971222</v>
      </c>
      <c r="J144" s="11">
        <v>7341.6846450574094</v>
      </c>
      <c r="K144" s="11">
        <v>8157.427383397122</v>
      </c>
      <c r="L144" s="12">
        <v>0</v>
      </c>
      <c r="M144" s="12">
        <v>0</v>
      </c>
      <c r="N144" s="12">
        <v>8157.427383397122</v>
      </c>
      <c r="O144" s="70">
        <f>IF(Table1[[#This Row],[Overall amount]]=0,0,1)</f>
        <v>1</v>
      </c>
      <c r="P144" s="70">
        <f>Table1[[#This Row],[Overall amount]]*Exchange_Rate</f>
        <v>8157.427383397122</v>
      </c>
      <c r="Q144" s="70">
        <f>Table1[[#This Row],[Overall (destination currency)]]*(1+Claims_Inflation)^((Revalue_at_date-Table1[[#This Row],[Loss date]])/365.25)</f>
        <v>9600</v>
      </c>
      <c r="R144" s="70">
        <f>INT(Table1[[#This Row],[Reporting date]])-INT(Table1[[#This Row],[Loss date]])</f>
        <v>360</v>
      </c>
      <c r="S144" s="69" t="s">
        <v>16</v>
      </c>
      <c r="T144" s="70">
        <f>VLOOKUP(Table1[[#This Row],[Policy Year]],exposure_table,3,FALSE)</f>
        <v>1057.54</v>
      </c>
      <c r="U144" s="17">
        <f>IF(MONTH(Table1[[#This Row],[Reporting date]])&lt;Policy_Inception_Month,YEAR(Table1[[#This Row],[Reporting date]])-1,YEAR(Table1[[#This Row],[Reporting date]]))</f>
        <v>2013</v>
      </c>
      <c r="V144" s="17">
        <f>Table1[[#This Row],[Reporting year]]-Table1[[#This Row],[Policy Year]]</f>
        <v>1</v>
      </c>
      <c r="W144" s="17">
        <f>INT(Table1[[#This Row],[Reporting date]])-INT(Table1[[#This Row],[Loss date]])</f>
        <v>360</v>
      </c>
      <c r="X144" s="17">
        <f>INT((YEAR(Table1[[#This Row],[Loss date]])*12+MONTH(Table1[[#This Row],[Loss date]])-Earliest_Month)/4)</f>
        <v>21</v>
      </c>
      <c r="Y144" s="17">
        <f>INT((YEAR(Table1[[#This Row],[Reporting date]])*12+MONTH(Table1[[#This Row],[Reporting date]])-Earliest_Month)/4)</f>
        <v>24</v>
      </c>
      <c r="Z144" s="17">
        <f>Table1[[#This Row],[Reporting third]]-Table1[[#This Row],[Policy third]]</f>
        <v>3</v>
      </c>
      <c r="AA144" s="71">
        <f>IF(Table1[[#This Row],[Overall amount]]=0,"N/A",Table1[[#This Row],[Outstanding]]/Table1[[#This Row],[Overall amount]])</f>
        <v>0.89999999999999991</v>
      </c>
      <c r="AB144" s="17">
        <f>IF(MONTH(Table1[[#This Row],[Loss date]])&lt;Pol_Inc_Month_Shifted,YEAR(Table1[[#This Row],[Loss date]])-1,YEAR(Table1[[#This Row],[Loss date]]))</f>
        <v>2011</v>
      </c>
      <c r="AC144" s="17">
        <f>IF(MONTH(Table1[[#This Row],[Reporting date]])&lt;Pol_Inc_Month_Shifted,YEAR(Table1[[#This Row],[Reporting date]])-1,YEAR(Table1[[#This Row],[Reporting date]]))</f>
        <v>2012</v>
      </c>
      <c r="AD144" s="17">
        <f>Table1[[#This Row],[Reporting year (shifted)]]-Table1[[#This Row],[Policy Year (shifted)]]</f>
        <v>1</v>
      </c>
    </row>
    <row r="145" spans="1:30" ht="13.9">
      <c r="A145" s="8" t="s">
        <v>1915</v>
      </c>
      <c r="B145" s="8" t="s">
        <v>197</v>
      </c>
      <c r="C145" s="8" t="s">
        <v>123</v>
      </c>
      <c r="D145" s="9">
        <v>41335</v>
      </c>
      <c r="E145" s="9">
        <v>41415</v>
      </c>
      <c r="F145" s="17">
        <f>IF(MONTH(Table1[[#This Row],[Loss date]])&lt;Policy_Inception_Month,YEAR(Table1[[#This Row],[Loss date]])-1,YEAR(Table1[[#This Row],[Loss date]]))</f>
        <v>2012</v>
      </c>
      <c r="G145" s="10" t="s">
        <v>125</v>
      </c>
      <c r="H145" s="10" t="s">
        <v>2</v>
      </c>
      <c r="I145" s="11">
        <v>793.48024588618114</v>
      </c>
      <c r="J145" s="11">
        <v>0</v>
      </c>
      <c r="K145" s="11">
        <v>793.48024588618114</v>
      </c>
      <c r="L145" s="12">
        <v>0</v>
      </c>
      <c r="M145" s="12">
        <v>0</v>
      </c>
      <c r="N145" s="12">
        <v>793.48024588618114</v>
      </c>
      <c r="O145" s="70">
        <f>IF(Table1[[#This Row],[Overall amount]]=0,0,1)</f>
        <v>1</v>
      </c>
      <c r="P145" s="70">
        <f>Table1[[#This Row],[Overall amount]]*Exchange_Rate</f>
        <v>793.48024588618114</v>
      </c>
      <c r="Q145" s="70">
        <f>Table1[[#This Row],[Overall (destination currency)]]*(1+Claims_Inflation)^((Revalue_at_date-Table1[[#This Row],[Loss date]])/365.25)</f>
        <v>900</v>
      </c>
      <c r="R145" s="70">
        <f>INT(Table1[[#This Row],[Reporting date]])-INT(Table1[[#This Row],[Loss date]])</f>
        <v>80</v>
      </c>
      <c r="S145" s="69" t="s">
        <v>9</v>
      </c>
      <c r="T145" s="70">
        <f>VLOOKUP(Table1[[#This Row],[Policy Year]],exposure_table,3,FALSE)</f>
        <v>1057.54</v>
      </c>
      <c r="U145" s="17">
        <f>IF(MONTH(Table1[[#This Row],[Reporting date]])&lt;Policy_Inception_Month,YEAR(Table1[[#This Row],[Reporting date]])-1,YEAR(Table1[[#This Row],[Reporting date]]))</f>
        <v>2013</v>
      </c>
      <c r="V145" s="17">
        <f>Table1[[#This Row],[Reporting year]]-Table1[[#This Row],[Policy Year]]</f>
        <v>1</v>
      </c>
      <c r="W145" s="17">
        <f>INT(Table1[[#This Row],[Reporting date]])-INT(Table1[[#This Row],[Loss date]])</f>
        <v>80</v>
      </c>
      <c r="X145" s="17">
        <f>INT((YEAR(Table1[[#This Row],[Loss date]])*12+MONTH(Table1[[#This Row],[Loss date]])-Earliest_Month)/4)</f>
        <v>23</v>
      </c>
      <c r="Y145" s="17">
        <f>INT((YEAR(Table1[[#This Row],[Reporting date]])*12+MONTH(Table1[[#This Row],[Reporting date]])-Earliest_Month)/4)</f>
        <v>24</v>
      </c>
      <c r="Z145" s="17">
        <f>Table1[[#This Row],[Reporting third]]-Table1[[#This Row],[Policy third]]</f>
        <v>1</v>
      </c>
      <c r="AA145" s="71">
        <f>IF(Table1[[#This Row],[Overall amount]]=0,"N/A",Table1[[#This Row],[Outstanding]]/Table1[[#This Row],[Overall amount]])</f>
        <v>0</v>
      </c>
      <c r="AB145" s="17">
        <f>IF(MONTH(Table1[[#This Row],[Loss date]])&lt;Pol_Inc_Month_Shifted,YEAR(Table1[[#This Row],[Loss date]])-1,YEAR(Table1[[#This Row],[Loss date]]))</f>
        <v>2012</v>
      </c>
      <c r="AC145" s="17">
        <f>IF(MONTH(Table1[[#This Row],[Reporting date]])&lt;Pol_Inc_Month_Shifted,YEAR(Table1[[#This Row],[Reporting date]])-1,YEAR(Table1[[#This Row],[Reporting date]]))</f>
        <v>2012</v>
      </c>
      <c r="AD145" s="17">
        <f>Table1[[#This Row],[Reporting year (shifted)]]-Table1[[#This Row],[Policy Year (shifted)]]</f>
        <v>0</v>
      </c>
    </row>
    <row r="146" spans="1:30" ht="13.9">
      <c r="A146" s="8" t="s">
        <v>1916</v>
      </c>
      <c r="B146" s="8" t="s">
        <v>198</v>
      </c>
      <c r="C146" s="8" t="s">
        <v>123</v>
      </c>
      <c r="D146" s="9">
        <v>41411</v>
      </c>
      <c r="E146" s="9">
        <v>41432</v>
      </c>
      <c r="F146" s="17">
        <f>IF(MONTH(Table1[[#This Row],[Loss date]])&lt;Policy_Inception_Month,YEAR(Table1[[#This Row],[Loss date]])-1,YEAR(Table1[[#This Row],[Loss date]]))</f>
        <v>2013</v>
      </c>
      <c r="G146" s="10" t="s">
        <v>125</v>
      </c>
      <c r="H146" s="10" t="s">
        <v>2</v>
      </c>
      <c r="I146" s="11">
        <v>0</v>
      </c>
      <c r="J146" s="11">
        <v>0</v>
      </c>
      <c r="K146" s="11">
        <v>0</v>
      </c>
      <c r="L146" s="12">
        <v>0</v>
      </c>
      <c r="M146" s="12">
        <v>0</v>
      </c>
      <c r="N146" s="12">
        <v>0</v>
      </c>
      <c r="O146" s="70">
        <f>IF(Table1[[#This Row],[Overall amount]]=0,0,1)</f>
        <v>0</v>
      </c>
      <c r="P146" s="70">
        <f>Table1[[#This Row],[Overall amount]]*Exchange_Rate</f>
        <v>0</v>
      </c>
      <c r="Q146" s="70">
        <f>Table1[[#This Row],[Overall (destination currency)]]*(1+Claims_Inflation)^((Revalue_at_date-Table1[[#This Row],[Loss date]])/365.25)</f>
        <v>0</v>
      </c>
      <c r="R146" s="70">
        <f>INT(Table1[[#This Row],[Reporting date]])-INT(Table1[[#This Row],[Loss date]])</f>
        <v>21</v>
      </c>
      <c r="S146" s="69" t="s">
        <v>9</v>
      </c>
      <c r="T146" s="70">
        <f>VLOOKUP(Table1[[#This Row],[Policy Year]],exposure_table,3,FALSE)</f>
        <v>1090.5865384615383</v>
      </c>
      <c r="U146" s="17">
        <f>IF(MONTH(Table1[[#This Row],[Reporting date]])&lt;Policy_Inception_Month,YEAR(Table1[[#This Row],[Reporting date]])-1,YEAR(Table1[[#This Row],[Reporting date]]))</f>
        <v>2013</v>
      </c>
      <c r="V146" s="17">
        <f>Table1[[#This Row],[Reporting year]]-Table1[[#This Row],[Policy Year]]</f>
        <v>0</v>
      </c>
      <c r="W146" s="17">
        <f>INT(Table1[[#This Row],[Reporting date]])-INT(Table1[[#This Row],[Loss date]])</f>
        <v>21</v>
      </c>
      <c r="X146" s="17">
        <f>INT((YEAR(Table1[[#This Row],[Loss date]])*12+MONTH(Table1[[#This Row],[Loss date]])-Earliest_Month)/4)</f>
        <v>24</v>
      </c>
      <c r="Y146" s="17">
        <f>INT((YEAR(Table1[[#This Row],[Reporting date]])*12+MONTH(Table1[[#This Row],[Reporting date]])-Earliest_Month)/4)</f>
        <v>24</v>
      </c>
      <c r="Z146" s="17">
        <f>Table1[[#This Row],[Reporting third]]-Table1[[#This Row],[Policy third]]</f>
        <v>0</v>
      </c>
      <c r="AA146" s="71" t="str">
        <f>IF(Table1[[#This Row],[Overall amount]]=0,"N/A",Table1[[#This Row],[Outstanding]]/Table1[[#This Row],[Overall amount]])</f>
        <v>N/A</v>
      </c>
      <c r="AB146" s="17">
        <f>IF(MONTH(Table1[[#This Row],[Loss date]])&lt;Pol_Inc_Month_Shifted,YEAR(Table1[[#This Row],[Loss date]])-1,YEAR(Table1[[#This Row],[Loss date]]))</f>
        <v>2012</v>
      </c>
      <c r="AC146" s="17">
        <f>IF(MONTH(Table1[[#This Row],[Reporting date]])&lt;Pol_Inc_Month_Shifted,YEAR(Table1[[#This Row],[Reporting date]])-1,YEAR(Table1[[#This Row],[Reporting date]]))</f>
        <v>2012</v>
      </c>
      <c r="AD146" s="17">
        <f>Table1[[#This Row],[Reporting year (shifted)]]-Table1[[#This Row],[Policy Year (shifted)]]</f>
        <v>0</v>
      </c>
    </row>
    <row r="147" spans="1:30" ht="13.9">
      <c r="A147" s="8" t="s">
        <v>1917</v>
      </c>
      <c r="B147" s="8" t="s">
        <v>199</v>
      </c>
      <c r="C147" s="8" t="s">
        <v>123</v>
      </c>
      <c r="D147" s="9">
        <v>41003</v>
      </c>
      <c r="E147" s="9">
        <v>41434</v>
      </c>
      <c r="F147" s="17">
        <f>IF(MONTH(Table1[[#This Row],[Loss date]])&lt;Policy_Inception_Month,YEAR(Table1[[#This Row],[Loss date]])-1,YEAR(Table1[[#This Row],[Loss date]]))</f>
        <v>2012</v>
      </c>
      <c r="G147" s="10" t="s">
        <v>125</v>
      </c>
      <c r="H147" s="10" t="s">
        <v>2</v>
      </c>
      <c r="I147" s="11">
        <v>6844.6915383429323</v>
      </c>
      <c r="J147" s="11">
        <v>0</v>
      </c>
      <c r="K147" s="11">
        <v>6844.6915383429323</v>
      </c>
      <c r="L147" s="12">
        <v>0</v>
      </c>
      <c r="M147" s="12">
        <v>0</v>
      </c>
      <c r="N147" s="12">
        <v>6844.6915383429323</v>
      </c>
      <c r="O147" s="70">
        <f>IF(Table1[[#This Row],[Overall amount]]=0,0,1)</f>
        <v>1</v>
      </c>
      <c r="P147" s="70">
        <f>Table1[[#This Row],[Overall amount]]*Exchange_Rate</f>
        <v>6844.6915383429323</v>
      </c>
      <c r="Q147" s="70">
        <f>Table1[[#This Row],[Overall (destination currency)]]*(1+Claims_Inflation)^((Revalue_at_date-Table1[[#This Row],[Loss date]])/365.25)</f>
        <v>8115.6000000000013</v>
      </c>
      <c r="R147" s="70">
        <f>INT(Table1[[#This Row],[Reporting date]])-INT(Table1[[#This Row],[Loss date]])</f>
        <v>431</v>
      </c>
      <c r="S147" s="69" t="s">
        <v>9</v>
      </c>
      <c r="T147" s="70">
        <f>VLOOKUP(Table1[[#This Row],[Policy Year]],exposure_table,3,FALSE)</f>
        <v>1057.54</v>
      </c>
      <c r="U147" s="17">
        <f>IF(MONTH(Table1[[#This Row],[Reporting date]])&lt;Policy_Inception_Month,YEAR(Table1[[#This Row],[Reporting date]])-1,YEAR(Table1[[#This Row],[Reporting date]]))</f>
        <v>2013</v>
      </c>
      <c r="V147" s="17">
        <f>Table1[[#This Row],[Reporting year]]-Table1[[#This Row],[Policy Year]]</f>
        <v>1</v>
      </c>
      <c r="W147" s="17">
        <f>INT(Table1[[#This Row],[Reporting date]])-INT(Table1[[#This Row],[Loss date]])</f>
        <v>431</v>
      </c>
      <c r="X147" s="17">
        <f>INT((YEAR(Table1[[#This Row],[Loss date]])*12+MONTH(Table1[[#This Row],[Loss date]])-Earliest_Month)/4)</f>
        <v>21</v>
      </c>
      <c r="Y147" s="17">
        <f>INT((YEAR(Table1[[#This Row],[Reporting date]])*12+MONTH(Table1[[#This Row],[Reporting date]])-Earliest_Month)/4)</f>
        <v>24</v>
      </c>
      <c r="Z147" s="17">
        <f>Table1[[#This Row],[Reporting third]]-Table1[[#This Row],[Policy third]]</f>
        <v>3</v>
      </c>
      <c r="AA147" s="71">
        <f>IF(Table1[[#This Row],[Overall amount]]=0,"N/A",Table1[[#This Row],[Outstanding]]/Table1[[#This Row],[Overall amount]])</f>
        <v>0</v>
      </c>
      <c r="AB147" s="17">
        <f>IF(MONTH(Table1[[#This Row],[Loss date]])&lt;Pol_Inc_Month_Shifted,YEAR(Table1[[#This Row],[Loss date]])-1,YEAR(Table1[[#This Row],[Loss date]]))</f>
        <v>2011</v>
      </c>
      <c r="AC147" s="17">
        <f>IF(MONTH(Table1[[#This Row],[Reporting date]])&lt;Pol_Inc_Month_Shifted,YEAR(Table1[[#This Row],[Reporting date]])-1,YEAR(Table1[[#This Row],[Reporting date]]))</f>
        <v>2012</v>
      </c>
      <c r="AD147" s="17">
        <f>Table1[[#This Row],[Reporting year (shifted)]]-Table1[[#This Row],[Policy Year (shifted)]]</f>
        <v>1</v>
      </c>
    </row>
    <row r="148" spans="1:30" ht="13.9">
      <c r="A148" s="8" t="s">
        <v>1918</v>
      </c>
      <c r="B148" s="8" t="s">
        <v>200</v>
      </c>
      <c r="C148" s="8" t="s">
        <v>123</v>
      </c>
      <c r="D148" s="9">
        <v>41206</v>
      </c>
      <c r="E148" s="9">
        <v>41440</v>
      </c>
      <c r="F148" s="17">
        <f>IF(MONTH(Table1[[#This Row],[Loss date]])&lt;Policy_Inception_Month,YEAR(Table1[[#This Row],[Loss date]])-1,YEAR(Table1[[#This Row],[Loss date]]))</f>
        <v>2012</v>
      </c>
      <c r="G148" s="10" t="s">
        <v>126</v>
      </c>
      <c r="H148" s="10" t="s">
        <v>2</v>
      </c>
      <c r="I148" s="11">
        <v>0</v>
      </c>
      <c r="J148" s="11">
        <v>0</v>
      </c>
      <c r="K148" s="11">
        <v>0</v>
      </c>
      <c r="L148" s="12">
        <v>0</v>
      </c>
      <c r="M148" s="12">
        <v>0</v>
      </c>
      <c r="N148" s="12">
        <v>0</v>
      </c>
      <c r="O148" s="70">
        <f>IF(Table1[[#This Row],[Overall amount]]=0,0,1)</f>
        <v>0</v>
      </c>
      <c r="P148" s="70">
        <f>Table1[[#This Row],[Overall amount]]*Exchange_Rate</f>
        <v>0</v>
      </c>
      <c r="Q148" s="70">
        <f>Table1[[#This Row],[Overall (destination currency)]]*(1+Claims_Inflation)^((Revalue_at_date-Table1[[#This Row],[Loss date]])/365.25)</f>
        <v>0</v>
      </c>
      <c r="R148" s="70">
        <f>INT(Table1[[#This Row],[Reporting date]])-INT(Table1[[#This Row],[Loss date]])</f>
        <v>234</v>
      </c>
      <c r="S148" s="69" t="s">
        <v>9</v>
      </c>
      <c r="T148" s="70">
        <f>VLOOKUP(Table1[[#This Row],[Policy Year]],exposure_table,3,FALSE)</f>
        <v>1057.54</v>
      </c>
      <c r="U148" s="17">
        <f>IF(MONTH(Table1[[#This Row],[Reporting date]])&lt;Policy_Inception_Month,YEAR(Table1[[#This Row],[Reporting date]])-1,YEAR(Table1[[#This Row],[Reporting date]]))</f>
        <v>2013</v>
      </c>
      <c r="V148" s="17">
        <f>Table1[[#This Row],[Reporting year]]-Table1[[#This Row],[Policy Year]]</f>
        <v>1</v>
      </c>
      <c r="W148" s="17">
        <f>INT(Table1[[#This Row],[Reporting date]])-INT(Table1[[#This Row],[Loss date]])</f>
        <v>234</v>
      </c>
      <c r="X148" s="17">
        <f>INT((YEAR(Table1[[#This Row],[Loss date]])*12+MONTH(Table1[[#This Row],[Loss date]])-Earliest_Month)/4)</f>
        <v>22</v>
      </c>
      <c r="Y148" s="17">
        <f>INT((YEAR(Table1[[#This Row],[Reporting date]])*12+MONTH(Table1[[#This Row],[Reporting date]])-Earliest_Month)/4)</f>
        <v>24</v>
      </c>
      <c r="Z148" s="17">
        <f>Table1[[#This Row],[Reporting third]]-Table1[[#This Row],[Policy third]]</f>
        <v>2</v>
      </c>
      <c r="AA148" s="71" t="str">
        <f>IF(Table1[[#This Row],[Overall amount]]=0,"N/A",Table1[[#This Row],[Outstanding]]/Table1[[#This Row],[Overall amount]])</f>
        <v>N/A</v>
      </c>
      <c r="AB148" s="17">
        <f>IF(MONTH(Table1[[#This Row],[Loss date]])&lt;Pol_Inc_Month_Shifted,YEAR(Table1[[#This Row],[Loss date]])-1,YEAR(Table1[[#This Row],[Loss date]]))</f>
        <v>2011</v>
      </c>
      <c r="AC148" s="17">
        <f>IF(MONTH(Table1[[#This Row],[Reporting date]])&lt;Pol_Inc_Month_Shifted,YEAR(Table1[[#This Row],[Reporting date]])-1,YEAR(Table1[[#This Row],[Reporting date]]))</f>
        <v>2012</v>
      </c>
      <c r="AD148" s="17">
        <f>Table1[[#This Row],[Reporting year (shifted)]]-Table1[[#This Row],[Policy Year (shifted)]]</f>
        <v>1</v>
      </c>
    </row>
    <row r="149" spans="1:30" ht="13.9">
      <c r="A149" s="8" t="s">
        <v>1919</v>
      </c>
      <c r="B149" s="8" t="s">
        <v>201</v>
      </c>
      <c r="C149" s="8" t="s">
        <v>123</v>
      </c>
      <c r="D149" s="9">
        <v>41414</v>
      </c>
      <c r="E149" s="9">
        <v>41435</v>
      </c>
      <c r="F149" s="17">
        <f>IF(MONTH(Table1[[#This Row],[Loss date]])&lt;Policy_Inception_Month,YEAR(Table1[[#This Row],[Loss date]])-1,YEAR(Table1[[#This Row],[Loss date]]))</f>
        <v>2013</v>
      </c>
      <c r="G149" s="10" t="s">
        <v>125</v>
      </c>
      <c r="H149" s="10" t="s">
        <v>2</v>
      </c>
      <c r="I149" s="11">
        <v>9088.1778965322574</v>
      </c>
      <c r="J149" s="11">
        <v>0</v>
      </c>
      <c r="K149" s="11">
        <v>9088.1778965322574</v>
      </c>
      <c r="L149" s="12">
        <v>0</v>
      </c>
      <c r="M149" s="12">
        <v>526.90047851895258</v>
      </c>
      <c r="N149" s="12">
        <v>8561.2774180133056</v>
      </c>
      <c r="O149" s="70">
        <f>IF(Table1[[#This Row],[Overall amount]]=0,0,1)</f>
        <v>1</v>
      </c>
      <c r="P149" s="70">
        <f>Table1[[#This Row],[Overall amount]]*Exchange_Rate</f>
        <v>8561.2774180133056</v>
      </c>
      <c r="Q149" s="70">
        <f>Table1[[#This Row],[Overall (destination currency)]]*(1+Claims_Inflation)^((Revalue_at_date-Table1[[#This Row],[Loss date]])/365.25)</f>
        <v>9608.6400000000012</v>
      </c>
      <c r="R149" s="70">
        <f>INT(Table1[[#This Row],[Reporting date]])-INT(Table1[[#This Row],[Loss date]])</f>
        <v>21</v>
      </c>
      <c r="S149" s="69" t="s">
        <v>16</v>
      </c>
      <c r="T149" s="70">
        <f>VLOOKUP(Table1[[#This Row],[Policy Year]],exposure_table,3,FALSE)</f>
        <v>1090.5865384615383</v>
      </c>
      <c r="U149" s="17">
        <f>IF(MONTH(Table1[[#This Row],[Reporting date]])&lt;Policy_Inception_Month,YEAR(Table1[[#This Row],[Reporting date]])-1,YEAR(Table1[[#This Row],[Reporting date]]))</f>
        <v>2013</v>
      </c>
      <c r="V149" s="17">
        <f>Table1[[#This Row],[Reporting year]]-Table1[[#This Row],[Policy Year]]</f>
        <v>0</v>
      </c>
      <c r="W149" s="17">
        <f>INT(Table1[[#This Row],[Reporting date]])-INT(Table1[[#This Row],[Loss date]])</f>
        <v>21</v>
      </c>
      <c r="X149" s="17">
        <f>INT((YEAR(Table1[[#This Row],[Loss date]])*12+MONTH(Table1[[#This Row],[Loss date]])-Earliest_Month)/4)</f>
        <v>24</v>
      </c>
      <c r="Y149" s="17">
        <f>INT((YEAR(Table1[[#This Row],[Reporting date]])*12+MONTH(Table1[[#This Row],[Reporting date]])-Earliest_Month)/4)</f>
        <v>24</v>
      </c>
      <c r="Z149" s="17">
        <f>Table1[[#This Row],[Reporting third]]-Table1[[#This Row],[Policy third]]</f>
        <v>0</v>
      </c>
      <c r="AA149" s="71">
        <f>IF(Table1[[#This Row],[Overall amount]]=0,"N/A",Table1[[#This Row],[Outstanding]]/Table1[[#This Row],[Overall amount]])</f>
        <v>0</v>
      </c>
      <c r="AB149" s="17">
        <f>IF(MONTH(Table1[[#This Row],[Loss date]])&lt;Pol_Inc_Month_Shifted,YEAR(Table1[[#This Row],[Loss date]])-1,YEAR(Table1[[#This Row],[Loss date]]))</f>
        <v>2012</v>
      </c>
      <c r="AC149" s="17">
        <f>IF(MONTH(Table1[[#This Row],[Reporting date]])&lt;Pol_Inc_Month_Shifted,YEAR(Table1[[#This Row],[Reporting date]])-1,YEAR(Table1[[#This Row],[Reporting date]]))</f>
        <v>2012</v>
      </c>
      <c r="AD149" s="17">
        <f>Table1[[#This Row],[Reporting year (shifted)]]-Table1[[#This Row],[Policy Year (shifted)]]</f>
        <v>0</v>
      </c>
    </row>
    <row r="150" spans="1:30" ht="13.9">
      <c r="A150" s="8" t="s">
        <v>1920</v>
      </c>
      <c r="B150" s="8" t="s">
        <v>202</v>
      </c>
      <c r="C150" s="8" t="s">
        <v>123</v>
      </c>
      <c r="D150" s="9">
        <v>41211</v>
      </c>
      <c r="E150" s="9">
        <v>41440</v>
      </c>
      <c r="F150" s="17">
        <f>IF(MONTH(Table1[[#This Row],[Loss date]])&lt;Policy_Inception_Month,YEAR(Table1[[#This Row],[Loss date]])-1,YEAR(Table1[[#This Row],[Loss date]]))</f>
        <v>2012</v>
      </c>
      <c r="G150" s="10" t="s">
        <v>125</v>
      </c>
      <c r="H150" s="10" t="s">
        <v>2</v>
      </c>
      <c r="I150" s="11">
        <v>0</v>
      </c>
      <c r="J150" s="11">
        <v>8324.7502582710058</v>
      </c>
      <c r="K150" s="11">
        <v>8324.7502582710058</v>
      </c>
      <c r="L150" s="12">
        <v>0</v>
      </c>
      <c r="M150" s="12">
        <v>647.76962947171262</v>
      </c>
      <c r="N150" s="12">
        <v>7676.9806287992933</v>
      </c>
      <c r="O150" s="70">
        <f>IF(Table1[[#This Row],[Overall amount]]=0,0,1)</f>
        <v>1</v>
      </c>
      <c r="P150" s="70">
        <f>Table1[[#This Row],[Overall amount]]*Exchange_Rate</f>
        <v>7676.9806287992933</v>
      </c>
      <c r="Q150" s="70">
        <f>Table1[[#This Row],[Overall (destination currency)]]*(1+Claims_Inflation)^((Revalue_at_date-Table1[[#This Row],[Loss date]])/365.25)</f>
        <v>8853</v>
      </c>
      <c r="R150" s="70">
        <f>INT(Table1[[#This Row],[Reporting date]])-INT(Table1[[#This Row],[Loss date]])</f>
        <v>229</v>
      </c>
      <c r="S150" s="69" t="s">
        <v>16</v>
      </c>
      <c r="T150" s="70">
        <f>VLOOKUP(Table1[[#This Row],[Policy Year]],exposure_table,3,FALSE)</f>
        <v>1057.54</v>
      </c>
      <c r="U150" s="17">
        <f>IF(MONTH(Table1[[#This Row],[Reporting date]])&lt;Policy_Inception_Month,YEAR(Table1[[#This Row],[Reporting date]])-1,YEAR(Table1[[#This Row],[Reporting date]]))</f>
        <v>2013</v>
      </c>
      <c r="V150" s="17">
        <f>Table1[[#This Row],[Reporting year]]-Table1[[#This Row],[Policy Year]]</f>
        <v>1</v>
      </c>
      <c r="W150" s="17">
        <f>INT(Table1[[#This Row],[Reporting date]])-INT(Table1[[#This Row],[Loss date]])</f>
        <v>229</v>
      </c>
      <c r="X150" s="17">
        <f>INT((YEAR(Table1[[#This Row],[Loss date]])*12+MONTH(Table1[[#This Row],[Loss date]])-Earliest_Month)/4)</f>
        <v>22</v>
      </c>
      <c r="Y150" s="17">
        <f>INT((YEAR(Table1[[#This Row],[Reporting date]])*12+MONTH(Table1[[#This Row],[Reporting date]])-Earliest_Month)/4)</f>
        <v>24</v>
      </c>
      <c r="Z150" s="17">
        <f>Table1[[#This Row],[Reporting third]]-Table1[[#This Row],[Policy third]]</f>
        <v>2</v>
      </c>
      <c r="AA150" s="71">
        <f>IF(Table1[[#This Row],[Overall amount]]=0,"N/A",Table1[[#This Row],[Outstanding]]/Table1[[#This Row],[Overall amount]])</f>
        <v>1.08437817688919</v>
      </c>
      <c r="AB150" s="17">
        <f>IF(MONTH(Table1[[#This Row],[Loss date]])&lt;Pol_Inc_Month_Shifted,YEAR(Table1[[#This Row],[Loss date]])-1,YEAR(Table1[[#This Row],[Loss date]]))</f>
        <v>2011</v>
      </c>
      <c r="AC150" s="17">
        <f>IF(MONTH(Table1[[#This Row],[Reporting date]])&lt;Pol_Inc_Month_Shifted,YEAR(Table1[[#This Row],[Reporting date]])-1,YEAR(Table1[[#This Row],[Reporting date]]))</f>
        <v>2012</v>
      </c>
      <c r="AD150" s="17">
        <f>Table1[[#This Row],[Reporting year (shifted)]]-Table1[[#This Row],[Policy Year (shifted)]]</f>
        <v>1</v>
      </c>
    </row>
    <row r="151" spans="1:30" ht="13.9">
      <c r="A151" s="8" t="s">
        <v>1921</v>
      </c>
      <c r="B151" s="8" t="s">
        <v>203</v>
      </c>
      <c r="C151" s="8" t="s">
        <v>123</v>
      </c>
      <c r="D151" s="9">
        <v>41299</v>
      </c>
      <c r="E151" s="9">
        <v>41442</v>
      </c>
      <c r="F151" s="17">
        <f>IF(MONTH(Table1[[#This Row],[Loss date]])&lt;Policy_Inception_Month,YEAR(Table1[[#This Row],[Loss date]])-1,YEAR(Table1[[#This Row],[Loss date]]))</f>
        <v>2012</v>
      </c>
      <c r="G151" s="10" t="s">
        <v>125</v>
      </c>
      <c r="H151" s="10" t="s">
        <v>2</v>
      </c>
      <c r="I151" s="11">
        <v>0</v>
      </c>
      <c r="J151" s="11">
        <v>0</v>
      </c>
      <c r="K151" s="11">
        <v>0</v>
      </c>
      <c r="L151" s="12">
        <v>0</v>
      </c>
      <c r="M151" s="12">
        <v>0</v>
      </c>
      <c r="N151" s="12">
        <v>0</v>
      </c>
      <c r="O151" s="70">
        <f>IF(Table1[[#This Row],[Overall amount]]=0,0,1)</f>
        <v>0</v>
      </c>
      <c r="P151" s="70">
        <f>Table1[[#This Row],[Overall amount]]*Exchange_Rate</f>
        <v>0</v>
      </c>
      <c r="Q151" s="70">
        <f>Table1[[#This Row],[Overall (destination currency)]]*(1+Claims_Inflation)^((Revalue_at_date-Table1[[#This Row],[Loss date]])/365.25)</f>
        <v>0</v>
      </c>
      <c r="R151" s="70">
        <f>INT(Table1[[#This Row],[Reporting date]])-INT(Table1[[#This Row],[Loss date]])</f>
        <v>143</v>
      </c>
      <c r="S151" s="69" t="s">
        <v>9</v>
      </c>
      <c r="T151" s="70">
        <f>VLOOKUP(Table1[[#This Row],[Policy Year]],exposure_table,3,FALSE)</f>
        <v>1057.54</v>
      </c>
      <c r="U151" s="17">
        <f>IF(MONTH(Table1[[#This Row],[Reporting date]])&lt;Policy_Inception_Month,YEAR(Table1[[#This Row],[Reporting date]])-1,YEAR(Table1[[#This Row],[Reporting date]]))</f>
        <v>2013</v>
      </c>
      <c r="V151" s="17">
        <f>Table1[[#This Row],[Reporting year]]-Table1[[#This Row],[Policy Year]]</f>
        <v>1</v>
      </c>
      <c r="W151" s="17">
        <f>INT(Table1[[#This Row],[Reporting date]])-INT(Table1[[#This Row],[Loss date]])</f>
        <v>143</v>
      </c>
      <c r="X151" s="17">
        <f>INT((YEAR(Table1[[#This Row],[Loss date]])*12+MONTH(Table1[[#This Row],[Loss date]])-Earliest_Month)/4)</f>
        <v>23</v>
      </c>
      <c r="Y151" s="17">
        <f>INT((YEAR(Table1[[#This Row],[Reporting date]])*12+MONTH(Table1[[#This Row],[Reporting date]])-Earliest_Month)/4)</f>
        <v>24</v>
      </c>
      <c r="Z151" s="17">
        <f>Table1[[#This Row],[Reporting third]]-Table1[[#This Row],[Policy third]]</f>
        <v>1</v>
      </c>
      <c r="AA151" s="71" t="str">
        <f>IF(Table1[[#This Row],[Overall amount]]=0,"N/A",Table1[[#This Row],[Outstanding]]/Table1[[#This Row],[Overall amount]])</f>
        <v>N/A</v>
      </c>
      <c r="AB151" s="17">
        <f>IF(MONTH(Table1[[#This Row],[Loss date]])&lt;Pol_Inc_Month_Shifted,YEAR(Table1[[#This Row],[Loss date]])-1,YEAR(Table1[[#This Row],[Loss date]]))</f>
        <v>2012</v>
      </c>
      <c r="AC151" s="17">
        <f>IF(MONTH(Table1[[#This Row],[Reporting date]])&lt;Pol_Inc_Month_Shifted,YEAR(Table1[[#This Row],[Reporting date]])-1,YEAR(Table1[[#This Row],[Reporting date]]))</f>
        <v>2012</v>
      </c>
      <c r="AD151" s="17">
        <f>Table1[[#This Row],[Reporting year (shifted)]]-Table1[[#This Row],[Policy Year (shifted)]]</f>
        <v>0</v>
      </c>
    </row>
    <row r="152" spans="1:30" ht="13.9">
      <c r="A152" s="8" t="s">
        <v>1922</v>
      </c>
      <c r="B152" s="8" t="s">
        <v>204</v>
      </c>
      <c r="C152" s="8" t="s">
        <v>123</v>
      </c>
      <c r="D152" s="9">
        <v>41073</v>
      </c>
      <c r="E152" s="9">
        <v>41441</v>
      </c>
      <c r="F152" s="17">
        <f>IF(MONTH(Table1[[#This Row],[Loss date]])&lt;Policy_Inception_Month,YEAR(Table1[[#This Row],[Loss date]])-1,YEAR(Table1[[#This Row],[Loss date]]))</f>
        <v>2012</v>
      </c>
      <c r="G152" s="10" t="s">
        <v>125</v>
      </c>
      <c r="H152" s="10" t="s">
        <v>2</v>
      </c>
      <c r="I152" s="11">
        <v>13118.200347155233</v>
      </c>
      <c r="J152" s="11">
        <v>0</v>
      </c>
      <c r="K152" s="11">
        <v>13118.200347155233</v>
      </c>
      <c r="L152" s="12">
        <v>0</v>
      </c>
      <c r="M152" s="12">
        <v>0</v>
      </c>
      <c r="N152" s="12">
        <v>13118.200347155233</v>
      </c>
      <c r="O152" s="70">
        <f>IF(Table1[[#This Row],[Overall amount]]=0,0,1)</f>
        <v>1</v>
      </c>
      <c r="P152" s="70">
        <f>Table1[[#This Row],[Overall amount]]*Exchange_Rate</f>
        <v>13118.200347155233</v>
      </c>
      <c r="Q152" s="70">
        <f>Table1[[#This Row],[Overall (destination currency)]]*(1+Claims_Inflation)^((Revalue_at_date-Table1[[#This Row],[Loss date]])/365.25)</f>
        <v>15409.2</v>
      </c>
      <c r="R152" s="70">
        <f>INT(Table1[[#This Row],[Reporting date]])-INT(Table1[[#This Row],[Loss date]])</f>
        <v>368</v>
      </c>
      <c r="S152" s="69" t="s">
        <v>9</v>
      </c>
      <c r="T152" s="70">
        <f>VLOOKUP(Table1[[#This Row],[Policy Year]],exposure_table,3,FALSE)</f>
        <v>1057.54</v>
      </c>
      <c r="U152" s="17">
        <f>IF(MONTH(Table1[[#This Row],[Reporting date]])&lt;Policy_Inception_Month,YEAR(Table1[[#This Row],[Reporting date]])-1,YEAR(Table1[[#This Row],[Reporting date]]))</f>
        <v>2013</v>
      </c>
      <c r="V152" s="17">
        <f>Table1[[#This Row],[Reporting year]]-Table1[[#This Row],[Policy Year]]</f>
        <v>1</v>
      </c>
      <c r="W152" s="17">
        <f>INT(Table1[[#This Row],[Reporting date]])-INT(Table1[[#This Row],[Loss date]])</f>
        <v>368</v>
      </c>
      <c r="X152" s="17">
        <f>INT((YEAR(Table1[[#This Row],[Loss date]])*12+MONTH(Table1[[#This Row],[Loss date]])-Earliest_Month)/4)</f>
        <v>21</v>
      </c>
      <c r="Y152" s="17">
        <f>INT((YEAR(Table1[[#This Row],[Reporting date]])*12+MONTH(Table1[[#This Row],[Reporting date]])-Earliest_Month)/4)</f>
        <v>24</v>
      </c>
      <c r="Z152" s="17">
        <f>Table1[[#This Row],[Reporting third]]-Table1[[#This Row],[Policy third]]</f>
        <v>3</v>
      </c>
      <c r="AA152" s="71">
        <f>IF(Table1[[#This Row],[Overall amount]]=0,"N/A",Table1[[#This Row],[Outstanding]]/Table1[[#This Row],[Overall amount]])</f>
        <v>0</v>
      </c>
      <c r="AB152" s="17">
        <f>IF(MONTH(Table1[[#This Row],[Loss date]])&lt;Pol_Inc_Month_Shifted,YEAR(Table1[[#This Row],[Loss date]])-1,YEAR(Table1[[#This Row],[Loss date]]))</f>
        <v>2011</v>
      </c>
      <c r="AC152" s="17">
        <f>IF(MONTH(Table1[[#This Row],[Reporting date]])&lt;Pol_Inc_Month_Shifted,YEAR(Table1[[#This Row],[Reporting date]])-1,YEAR(Table1[[#This Row],[Reporting date]]))</f>
        <v>2012</v>
      </c>
      <c r="AD152" s="17">
        <f>Table1[[#This Row],[Reporting year (shifted)]]-Table1[[#This Row],[Policy Year (shifted)]]</f>
        <v>1</v>
      </c>
    </row>
    <row r="153" spans="1:30" ht="13.9">
      <c r="A153" s="8" t="s">
        <v>1923</v>
      </c>
      <c r="B153" s="8" t="s">
        <v>205</v>
      </c>
      <c r="C153" s="8" t="s">
        <v>123</v>
      </c>
      <c r="D153" s="9">
        <v>41328</v>
      </c>
      <c r="E153" s="9">
        <v>41454</v>
      </c>
      <c r="F153" s="17">
        <f>IF(MONTH(Table1[[#This Row],[Loss date]])&lt;Policy_Inception_Month,YEAR(Table1[[#This Row],[Loss date]])-1,YEAR(Table1[[#This Row],[Loss date]]))</f>
        <v>2012</v>
      </c>
      <c r="G153" s="10" t="s">
        <v>125</v>
      </c>
      <c r="H153" s="10" t="s">
        <v>2</v>
      </c>
      <c r="I153" s="11">
        <v>8878.6727676991795</v>
      </c>
      <c r="J153" s="11">
        <v>0</v>
      </c>
      <c r="K153" s="11">
        <v>8878.6727676991795</v>
      </c>
      <c r="L153" s="12">
        <v>0</v>
      </c>
      <c r="M153" s="12">
        <v>0</v>
      </c>
      <c r="N153" s="12">
        <v>8878.6727676991795</v>
      </c>
      <c r="O153" s="70">
        <f>IF(Table1[[#This Row],[Overall amount]]=0,0,1)</f>
        <v>1</v>
      </c>
      <c r="P153" s="70">
        <f>Table1[[#This Row],[Overall amount]]*Exchange_Rate</f>
        <v>8878.6727676991795</v>
      </c>
      <c r="Q153" s="70">
        <f>Table1[[#This Row],[Overall (destination currency)]]*(1+Claims_Inflation)^((Revalue_at_date-Table1[[#This Row],[Loss date]])/365.25)</f>
        <v>10080</v>
      </c>
      <c r="R153" s="70">
        <f>INT(Table1[[#This Row],[Reporting date]])-INT(Table1[[#This Row],[Loss date]])</f>
        <v>126</v>
      </c>
      <c r="S153" s="69" t="s">
        <v>9</v>
      </c>
      <c r="T153" s="70">
        <f>VLOOKUP(Table1[[#This Row],[Policy Year]],exposure_table,3,FALSE)</f>
        <v>1057.54</v>
      </c>
      <c r="U153" s="17">
        <f>IF(MONTH(Table1[[#This Row],[Reporting date]])&lt;Policy_Inception_Month,YEAR(Table1[[#This Row],[Reporting date]])-1,YEAR(Table1[[#This Row],[Reporting date]]))</f>
        <v>2013</v>
      </c>
      <c r="V153" s="17">
        <f>Table1[[#This Row],[Reporting year]]-Table1[[#This Row],[Policy Year]]</f>
        <v>1</v>
      </c>
      <c r="W153" s="17">
        <f>INT(Table1[[#This Row],[Reporting date]])-INT(Table1[[#This Row],[Loss date]])</f>
        <v>126</v>
      </c>
      <c r="X153" s="17">
        <f>INT((YEAR(Table1[[#This Row],[Loss date]])*12+MONTH(Table1[[#This Row],[Loss date]])-Earliest_Month)/4)</f>
        <v>23</v>
      </c>
      <c r="Y153" s="17">
        <f>INT((YEAR(Table1[[#This Row],[Reporting date]])*12+MONTH(Table1[[#This Row],[Reporting date]])-Earliest_Month)/4)</f>
        <v>24</v>
      </c>
      <c r="Z153" s="17">
        <f>Table1[[#This Row],[Reporting third]]-Table1[[#This Row],[Policy third]]</f>
        <v>1</v>
      </c>
      <c r="AA153" s="71">
        <f>IF(Table1[[#This Row],[Overall amount]]=0,"N/A",Table1[[#This Row],[Outstanding]]/Table1[[#This Row],[Overall amount]])</f>
        <v>0</v>
      </c>
      <c r="AB153" s="17">
        <f>IF(MONTH(Table1[[#This Row],[Loss date]])&lt;Pol_Inc_Month_Shifted,YEAR(Table1[[#This Row],[Loss date]])-1,YEAR(Table1[[#This Row],[Loss date]]))</f>
        <v>2012</v>
      </c>
      <c r="AC153" s="17">
        <f>IF(MONTH(Table1[[#This Row],[Reporting date]])&lt;Pol_Inc_Month_Shifted,YEAR(Table1[[#This Row],[Reporting date]])-1,YEAR(Table1[[#This Row],[Reporting date]]))</f>
        <v>2012</v>
      </c>
      <c r="AD153" s="17">
        <f>Table1[[#This Row],[Reporting year (shifted)]]-Table1[[#This Row],[Policy Year (shifted)]]</f>
        <v>0</v>
      </c>
    </row>
    <row r="154" spans="1:30" ht="13.9">
      <c r="A154" s="8" t="s">
        <v>1924</v>
      </c>
      <c r="B154" s="8" t="s">
        <v>206</v>
      </c>
      <c r="C154" s="8" t="s">
        <v>123</v>
      </c>
      <c r="D154" s="9">
        <v>41324</v>
      </c>
      <c r="E154" s="9">
        <v>41454</v>
      </c>
      <c r="F154" s="17">
        <f>IF(MONTH(Table1[[#This Row],[Loss date]])&lt;Policy_Inception_Month,YEAR(Table1[[#This Row],[Loss date]])-1,YEAR(Table1[[#This Row],[Loss date]]))</f>
        <v>2012</v>
      </c>
      <c r="G154" s="10" t="s">
        <v>124</v>
      </c>
      <c r="H154" s="10" t="s">
        <v>2</v>
      </c>
      <c r="I154" s="11">
        <v>264.10505880176368</v>
      </c>
      <c r="J154" s="11">
        <v>0</v>
      </c>
      <c r="K154" s="11">
        <v>264.10505880176368</v>
      </c>
      <c r="L154" s="12">
        <v>316.92607056211642</v>
      </c>
      <c r="M154" s="12">
        <v>16.849902751552523</v>
      </c>
      <c r="N154" s="12">
        <v>564.18122661232758</v>
      </c>
      <c r="O154" s="70">
        <f>IF(Table1[[#This Row],[Overall amount]]=0,0,1)</f>
        <v>1</v>
      </c>
      <c r="P154" s="70">
        <f>Table1[[#This Row],[Overall amount]]*Exchange_Rate</f>
        <v>564.18122661232758</v>
      </c>
      <c r="Q154" s="70">
        <f>Table1[[#This Row],[Overall (destination currency)]]*(1+Claims_Inflation)^((Revalue_at_date-Table1[[#This Row],[Loss date]])/365.25)</f>
        <v>640.85999999999979</v>
      </c>
      <c r="R154" s="70">
        <f>INT(Table1[[#This Row],[Reporting date]])-INT(Table1[[#This Row],[Loss date]])</f>
        <v>130</v>
      </c>
      <c r="S154" s="69" t="s">
        <v>9</v>
      </c>
      <c r="T154" s="70">
        <f>VLOOKUP(Table1[[#This Row],[Policy Year]],exposure_table,3,FALSE)</f>
        <v>1057.54</v>
      </c>
      <c r="U154" s="17">
        <f>IF(MONTH(Table1[[#This Row],[Reporting date]])&lt;Policy_Inception_Month,YEAR(Table1[[#This Row],[Reporting date]])-1,YEAR(Table1[[#This Row],[Reporting date]]))</f>
        <v>2013</v>
      </c>
      <c r="V154" s="17">
        <f>Table1[[#This Row],[Reporting year]]-Table1[[#This Row],[Policy Year]]</f>
        <v>1</v>
      </c>
      <c r="W154" s="17">
        <f>INT(Table1[[#This Row],[Reporting date]])-INT(Table1[[#This Row],[Loss date]])</f>
        <v>130</v>
      </c>
      <c r="X154" s="17">
        <f>INT((YEAR(Table1[[#This Row],[Loss date]])*12+MONTH(Table1[[#This Row],[Loss date]])-Earliest_Month)/4)</f>
        <v>23</v>
      </c>
      <c r="Y154" s="17">
        <f>INT((YEAR(Table1[[#This Row],[Reporting date]])*12+MONTH(Table1[[#This Row],[Reporting date]])-Earliest_Month)/4)</f>
        <v>24</v>
      </c>
      <c r="Z154" s="17">
        <f>Table1[[#This Row],[Reporting third]]-Table1[[#This Row],[Policy third]]</f>
        <v>1</v>
      </c>
      <c r="AA154" s="71">
        <f>IF(Table1[[#This Row],[Overall amount]]=0,"N/A",Table1[[#This Row],[Outstanding]]/Table1[[#This Row],[Overall amount]])</f>
        <v>0</v>
      </c>
      <c r="AB154" s="17">
        <f>IF(MONTH(Table1[[#This Row],[Loss date]])&lt;Pol_Inc_Month_Shifted,YEAR(Table1[[#This Row],[Loss date]])-1,YEAR(Table1[[#This Row],[Loss date]]))</f>
        <v>2012</v>
      </c>
      <c r="AC154" s="17">
        <f>IF(MONTH(Table1[[#This Row],[Reporting date]])&lt;Pol_Inc_Month_Shifted,YEAR(Table1[[#This Row],[Reporting date]])-1,YEAR(Table1[[#This Row],[Reporting date]]))</f>
        <v>2012</v>
      </c>
      <c r="AD154" s="17">
        <f>Table1[[#This Row],[Reporting year (shifted)]]-Table1[[#This Row],[Policy Year (shifted)]]</f>
        <v>0</v>
      </c>
    </row>
    <row r="155" spans="1:30" ht="13.9">
      <c r="A155" s="8" t="s">
        <v>1925</v>
      </c>
      <c r="B155" s="8" t="s">
        <v>207</v>
      </c>
      <c r="C155" s="8" t="s">
        <v>123</v>
      </c>
      <c r="D155" s="9">
        <v>41340</v>
      </c>
      <c r="E155" s="9">
        <v>41470</v>
      </c>
      <c r="F155" s="17">
        <f>IF(MONTH(Table1[[#This Row],[Loss date]])&lt;Policy_Inception_Month,YEAR(Table1[[#This Row],[Loss date]])-1,YEAR(Table1[[#This Row],[Loss date]]))</f>
        <v>2012</v>
      </c>
      <c r="G155" s="10" t="s">
        <v>136</v>
      </c>
      <c r="H155" s="10" t="s">
        <v>2</v>
      </c>
      <c r="I155" s="11">
        <v>1712.945079452081</v>
      </c>
      <c r="J155" s="11">
        <v>0</v>
      </c>
      <c r="K155" s="11">
        <v>1712.945079452081</v>
      </c>
      <c r="L155" s="12">
        <v>0</v>
      </c>
      <c r="M155" s="12">
        <v>0</v>
      </c>
      <c r="N155" s="12">
        <v>1712.945079452081</v>
      </c>
      <c r="O155" s="70">
        <f>IF(Table1[[#This Row],[Overall amount]]=0,0,1)</f>
        <v>1</v>
      </c>
      <c r="P155" s="70">
        <f>Table1[[#This Row],[Overall amount]]*Exchange_Rate</f>
        <v>1712.945079452081</v>
      </c>
      <c r="Q155" s="70">
        <f>Table1[[#This Row],[Overall (destination currency)]]*(1+Claims_Inflation)^((Revalue_at_date-Table1[[#This Row],[Loss date]])/365.25)</f>
        <v>1941.6</v>
      </c>
      <c r="R155" s="70">
        <f>INT(Table1[[#This Row],[Reporting date]])-INT(Table1[[#This Row],[Loss date]])</f>
        <v>130</v>
      </c>
      <c r="S155" s="69" t="s">
        <v>9</v>
      </c>
      <c r="T155" s="70">
        <f>VLOOKUP(Table1[[#This Row],[Policy Year]],exposure_table,3,FALSE)</f>
        <v>1057.54</v>
      </c>
      <c r="U155" s="17">
        <f>IF(MONTH(Table1[[#This Row],[Reporting date]])&lt;Policy_Inception_Month,YEAR(Table1[[#This Row],[Reporting date]])-1,YEAR(Table1[[#This Row],[Reporting date]]))</f>
        <v>2013</v>
      </c>
      <c r="V155" s="17">
        <f>Table1[[#This Row],[Reporting year]]-Table1[[#This Row],[Policy Year]]</f>
        <v>1</v>
      </c>
      <c r="W155" s="17">
        <f>INT(Table1[[#This Row],[Reporting date]])-INT(Table1[[#This Row],[Loss date]])</f>
        <v>130</v>
      </c>
      <c r="X155" s="17">
        <f>INT((YEAR(Table1[[#This Row],[Loss date]])*12+MONTH(Table1[[#This Row],[Loss date]])-Earliest_Month)/4)</f>
        <v>23</v>
      </c>
      <c r="Y155" s="17">
        <f>INT((YEAR(Table1[[#This Row],[Reporting date]])*12+MONTH(Table1[[#This Row],[Reporting date]])-Earliest_Month)/4)</f>
        <v>24</v>
      </c>
      <c r="Z155" s="17">
        <f>Table1[[#This Row],[Reporting third]]-Table1[[#This Row],[Policy third]]</f>
        <v>1</v>
      </c>
      <c r="AA155" s="71">
        <f>IF(Table1[[#This Row],[Overall amount]]=0,"N/A",Table1[[#This Row],[Outstanding]]/Table1[[#This Row],[Overall amount]])</f>
        <v>0</v>
      </c>
      <c r="AB155" s="17">
        <f>IF(MONTH(Table1[[#This Row],[Loss date]])&lt;Pol_Inc_Month_Shifted,YEAR(Table1[[#This Row],[Loss date]])-1,YEAR(Table1[[#This Row],[Loss date]]))</f>
        <v>2012</v>
      </c>
      <c r="AC155" s="17">
        <f>IF(MONTH(Table1[[#This Row],[Reporting date]])&lt;Pol_Inc_Month_Shifted,YEAR(Table1[[#This Row],[Reporting date]])-1,YEAR(Table1[[#This Row],[Reporting date]]))</f>
        <v>2012</v>
      </c>
      <c r="AD155" s="17">
        <f>Table1[[#This Row],[Reporting year (shifted)]]-Table1[[#This Row],[Policy Year (shifted)]]</f>
        <v>0</v>
      </c>
    </row>
    <row r="156" spans="1:30" ht="13.9">
      <c r="A156" s="8" t="s">
        <v>1926</v>
      </c>
      <c r="B156" s="8" t="s">
        <v>208</v>
      </c>
      <c r="C156" s="8" t="s">
        <v>123</v>
      </c>
      <c r="D156" s="9">
        <v>41442</v>
      </c>
      <c r="E156" s="9">
        <v>41474</v>
      </c>
      <c r="F156" s="17">
        <f>IF(MONTH(Table1[[#This Row],[Loss date]])&lt;Policy_Inception_Month,YEAR(Table1[[#This Row],[Loss date]])-1,YEAR(Table1[[#This Row],[Loss date]]))</f>
        <v>2013</v>
      </c>
      <c r="G156" s="10" t="s">
        <v>125</v>
      </c>
      <c r="H156" s="10" t="s">
        <v>2</v>
      </c>
      <c r="I156" s="11">
        <v>0</v>
      </c>
      <c r="J156" s="11">
        <v>0</v>
      </c>
      <c r="K156" s="11">
        <v>0</v>
      </c>
      <c r="L156" s="12">
        <v>0</v>
      </c>
      <c r="M156" s="12">
        <v>23.181205281333028</v>
      </c>
      <c r="N156" s="12">
        <v>-23.181205281333028</v>
      </c>
      <c r="O156" s="70">
        <f>IF(Table1[[#This Row],[Overall amount]]=0,0,1)</f>
        <v>1</v>
      </c>
      <c r="P156" s="70">
        <f>Table1[[#This Row],[Overall amount]]*Exchange_Rate</f>
        <v>-23.181205281333028</v>
      </c>
      <c r="Q156" s="70">
        <f>Table1[[#This Row],[Overall (destination currency)]]*(1+Claims_Inflation)^((Revalue_at_date-Table1[[#This Row],[Loss date]])/365.25)</f>
        <v>-25.919999999999998</v>
      </c>
      <c r="R156" s="70">
        <f>INT(Table1[[#This Row],[Reporting date]])-INT(Table1[[#This Row],[Loss date]])</f>
        <v>32</v>
      </c>
      <c r="S156" s="69" t="s">
        <v>9</v>
      </c>
      <c r="T156" s="70">
        <f>VLOOKUP(Table1[[#This Row],[Policy Year]],exposure_table,3,FALSE)</f>
        <v>1090.5865384615383</v>
      </c>
      <c r="U156" s="17">
        <f>IF(MONTH(Table1[[#This Row],[Reporting date]])&lt;Policy_Inception_Month,YEAR(Table1[[#This Row],[Reporting date]])-1,YEAR(Table1[[#This Row],[Reporting date]]))</f>
        <v>2013</v>
      </c>
      <c r="V156" s="17">
        <f>Table1[[#This Row],[Reporting year]]-Table1[[#This Row],[Policy Year]]</f>
        <v>0</v>
      </c>
      <c r="W156" s="17">
        <f>INT(Table1[[#This Row],[Reporting date]])-INT(Table1[[#This Row],[Loss date]])</f>
        <v>32</v>
      </c>
      <c r="X156" s="17">
        <f>INT((YEAR(Table1[[#This Row],[Loss date]])*12+MONTH(Table1[[#This Row],[Loss date]])-Earliest_Month)/4)</f>
        <v>24</v>
      </c>
      <c r="Y156" s="17">
        <f>INT((YEAR(Table1[[#This Row],[Reporting date]])*12+MONTH(Table1[[#This Row],[Reporting date]])-Earliest_Month)/4)</f>
        <v>24</v>
      </c>
      <c r="Z156" s="17">
        <f>Table1[[#This Row],[Reporting third]]-Table1[[#This Row],[Policy third]]</f>
        <v>0</v>
      </c>
      <c r="AA156" s="71">
        <f>IF(Table1[[#This Row],[Overall amount]]=0,"N/A",Table1[[#This Row],[Outstanding]]/Table1[[#This Row],[Overall amount]])</f>
        <v>0</v>
      </c>
      <c r="AB156" s="17">
        <f>IF(MONTH(Table1[[#This Row],[Loss date]])&lt;Pol_Inc_Month_Shifted,YEAR(Table1[[#This Row],[Loss date]])-1,YEAR(Table1[[#This Row],[Loss date]]))</f>
        <v>2012</v>
      </c>
      <c r="AC156" s="17">
        <f>IF(MONTH(Table1[[#This Row],[Reporting date]])&lt;Pol_Inc_Month_Shifted,YEAR(Table1[[#This Row],[Reporting date]])-1,YEAR(Table1[[#This Row],[Reporting date]]))</f>
        <v>2012</v>
      </c>
      <c r="AD156" s="17">
        <f>Table1[[#This Row],[Reporting year (shifted)]]-Table1[[#This Row],[Policy Year (shifted)]]</f>
        <v>0</v>
      </c>
    </row>
    <row r="157" spans="1:30" ht="13.9">
      <c r="A157" s="8" t="s">
        <v>1927</v>
      </c>
      <c r="B157" s="8" t="s">
        <v>209</v>
      </c>
      <c r="C157" s="8" t="s">
        <v>123</v>
      </c>
      <c r="D157" s="9">
        <v>41307</v>
      </c>
      <c r="E157" s="9">
        <v>41474</v>
      </c>
      <c r="F157" s="17">
        <f>IF(MONTH(Table1[[#This Row],[Loss date]])&lt;Policy_Inception_Month,YEAR(Table1[[#This Row],[Loss date]])-1,YEAR(Table1[[#This Row],[Loss date]]))</f>
        <v>2012</v>
      </c>
      <c r="G157" s="10" t="s">
        <v>125</v>
      </c>
      <c r="H157" s="10" t="s">
        <v>2</v>
      </c>
      <c r="I157" s="11">
        <v>6900.6949392787674</v>
      </c>
      <c r="J157" s="11">
        <v>11091.494248668165</v>
      </c>
      <c r="K157" s="11">
        <v>17992.189187946933</v>
      </c>
      <c r="L157" s="12">
        <v>0</v>
      </c>
      <c r="M157" s="12">
        <v>0</v>
      </c>
      <c r="N157" s="12">
        <v>17992.189187946933</v>
      </c>
      <c r="O157" s="70">
        <f>IF(Table1[[#This Row],[Overall amount]]=0,0,1)</f>
        <v>1</v>
      </c>
      <c r="P157" s="70">
        <f>Table1[[#This Row],[Overall amount]]*Exchange_Rate</f>
        <v>17992.189187946933</v>
      </c>
      <c r="Q157" s="70">
        <f>Table1[[#This Row],[Overall (destination currency)]]*(1+Claims_Inflation)^((Revalue_at_date-Table1[[#This Row],[Loss date]])/365.25)</f>
        <v>20484</v>
      </c>
      <c r="R157" s="70">
        <f>INT(Table1[[#This Row],[Reporting date]])-INT(Table1[[#This Row],[Loss date]])</f>
        <v>167</v>
      </c>
      <c r="S157" s="69" t="s">
        <v>16</v>
      </c>
      <c r="T157" s="70">
        <f>VLOOKUP(Table1[[#This Row],[Policy Year]],exposure_table,3,FALSE)</f>
        <v>1057.54</v>
      </c>
      <c r="U157" s="17">
        <f>IF(MONTH(Table1[[#This Row],[Reporting date]])&lt;Policy_Inception_Month,YEAR(Table1[[#This Row],[Reporting date]])-1,YEAR(Table1[[#This Row],[Reporting date]]))</f>
        <v>2013</v>
      </c>
      <c r="V157" s="17">
        <f>Table1[[#This Row],[Reporting year]]-Table1[[#This Row],[Policy Year]]</f>
        <v>1</v>
      </c>
      <c r="W157" s="17">
        <f>INT(Table1[[#This Row],[Reporting date]])-INT(Table1[[#This Row],[Loss date]])</f>
        <v>167</v>
      </c>
      <c r="X157" s="17">
        <f>INT((YEAR(Table1[[#This Row],[Loss date]])*12+MONTH(Table1[[#This Row],[Loss date]])-Earliest_Month)/4)</f>
        <v>23</v>
      </c>
      <c r="Y157" s="17">
        <f>INT((YEAR(Table1[[#This Row],[Reporting date]])*12+MONTH(Table1[[#This Row],[Reporting date]])-Earliest_Month)/4)</f>
        <v>24</v>
      </c>
      <c r="Z157" s="17">
        <f>Table1[[#This Row],[Reporting third]]-Table1[[#This Row],[Policy third]]</f>
        <v>1</v>
      </c>
      <c r="AA157" s="71">
        <f>IF(Table1[[#This Row],[Overall amount]]=0,"N/A",Table1[[#This Row],[Outstanding]]/Table1[[#This Row],[Overall amount]])</f>
        <v>0.61646162858816633</v>
      </c>
      <c r="AB157" s="17">
        <f>IF(MONTH(Table1[[#This Row],[Loss date]])&lt;Pol_Inc_Month_Shifted,YEAR(Table1[[#This Row],[Loss date]])-1,YEAR(Table1[[#This Row],[Loss date]]))</f>
        <v>2012</v>
      </c>
      <c r="AC157" s="17">
        <f>IF(MONTH(Table1[[#This Row],[Reporting date]])&lt;Pol_Inc_Month_Shifted,YEAR(Table1[[#This Row],[Reporting date]])-1,YEAR(Table1[[#This Row],[Reporting date]]))</f>
        <v>2012</v>
      </c>
      <c r="AD157" s="17">
        <f>Table1[[#This Row],[Reporting year (shifted)]]-Table1[[#This Row],[Policy Year (shifted)]]</f>
        <v>0</v>
      </c>
    </row>
    <row r="158" spans="1:30" ht="13.9">
      <c r="A158" s="8" t="s">
        <v>1928</v>
      </c>
      <c r="B158" s="8" t="s">
        <v>210</v>
      </c>
      <c r="C158" s="8" t="s">
        <v>123</v>
      </c>
      <c r="D158" s="9">
        <v>41137</v>
      </c>
      <c r="E158" s="9">
        <v>41475</v>
      </c>
      <c r="F158" s="17">
        <f>IF(MONTH(Table1[[#This Row],[Loss date]])&lt;Policy_Inception_Month,YEAR(Table1[[#This Row],[Loss date]])-1,YEAR(Table1[[#This Row],[Loss date]]))</f>
        <v>2012</v>
      </c>
      <c r="G158" s="10" t="s">
        <v>125</v>
      </c>
      <c r="H158" s="10" t="s">
        <v>2</v>
      </c>
      <c r="I158" s="11">
        <v>0</v>
      </c>
      <c r="J158" s="11">
        <v>0</v>
      </c>
      <c r="K158" s="11">
        <v>0</v>
      </c>
      <c r="L158" s="12">
        <v>0</v>
      </c>
      <c r="M158" s="12">
        <v>0</v>
      </c>
      <c r="N158" s="12">
        <v>0</v>
      </c>
      <c r="O158" s="70">
        <f>IF(Table1[[#This Row],[Overall amount]]=0,0,1)</f>
        <v>0</v>
      </c>
      <c r="P158" s="70">
        <f>Table1[[#This Row],[Overall amount]]*Exchange_Rate</f>
        <v>0</v>
      </c>
      <c r="Q158" s="70">
        <f>Table1[[#This Row],[Overall (destination currency)]]*(1+Claims_Inflation)^((Revalue_at_date-Table1[[#This Row],[Loss date]])/365.25)</f>
        <v>0</v>
      </c>
      <c r="R158" s="70">
        <f>INT(Table1[[#This Row],[Reporting date]])-INT(Table1[[#This Row],[Loss date]])</f>
        <v>338</v>
      </c>
      <c r="S158" s="69" t="s">
        <v>9</v>
      </c>
      <c r="T158" s="70">
        <f>VLOOKUP(Table1[[#This Row],[Policy Year]],exposure_table,3,FALSE)</f>
        <v>1057.54</v>
      </c>
      <c r="U158" s="17">
        <f>IF(MONTH(Table1[[#This Row],[Reporting date]])&lt;Policy_Inception_Month,YEAR(Table1[[#This Row],[Reporting date]])-1,YEAR(Table1[[#This Row],[Reporting date]]))</f>
        <v>2013</v>
      </c>
      <c r="V158" s="17">
        <f>Table1[[#This Row],[Reporting year]]-Table1[[#This Row],[Policy Year]]</f>
        <v>1</v>
      </c>
      <c r="W158" s="17">
        <f>INT(Table1[[#This Row],[Reporting date]])-INT(Table1[[#This Row],[Loss date]])</f>
        <v>338</v>
      </c>
      <c r="X158" s="17">
        <f>INT((YEAR(Table1[[#This Row],[Loss date]])*12+MONTH(Table1[[#This Row],[Loss date]])-Earliest_Month)/4)</f>
        <v>22</v>
      </c>
      <c r="Y158" s="17">
        <f>INT((YEAR(Table1[[#This Row],[Reporting date]])*12+MONTH(Table1[[#This Row],[Reporting date]])-Earliest_Month)/4)</f>
        <v>24</v>
      </c>
      <c r="Z158" s="17">
        <f>Table1[[#This Row],[Reporting third]]-Table1[[#This Row],[Policy third]]</f>
        <v>2</v>
      </c>
      <c r="AA158" s="71" t="str">
        <f>IF(Table1[[#This Row],[Overall amount]]=0,"N/A",Table1[[#This Row],[Outstanding]]/Table1[[#This Row],[Overall amount]])</f>
        <v>N/A</v>
      </c>
      <c r="AB158" s="17">
        <f>IF(MONTH(Table1[[#This Row],[Loss date]])&lt;Pol_Inc_Month_Shifted,YEAR(Table1[[#This Row],[Loss date]])-1,YEAR(Table1[[#This Row],[Loss date]]))</f>
        <v>2011</v>
      </c>
      <c r="AC158" s="17">
        <f>IF(MONTH(Table1[[#This Row],[Reporting date]])&lt;Pol_Inc_Month_Shifted,YEAR(Table1[[#This Row],[Reporting date]])-1,YEAR(Table1[[#This Row],[Reporting date]]))</f>
        <v>2012</v>
      </c>
      <c r="AD158" s="17">
        <f>Table1[[#This Row],[Reporting year (shifted)]]-Table1[[#This Row],[Policy Year (shifted)]]</f>
        <v>1</v>
      </c>
    </row>
    <row r="159" spans="1:30" ht="13.9">
      <c r="A159" s="8" t="s">
        <v>1929</v>
      </c>
      <c r="B159" s="8" t="s">
        <v>211</v>
      </c>
      <c r="C159" s="8" t="s">
        <v>123</v>
      </c>
      <c r="D159" s="9">
        <v>41142</v>
      </c>
      <c r="E159" s="9">
        <v>41475</v>
      </c>
      <c r="F159" s="17">
        <f>IF(MONTH(Table1[[#This Row],[Loss date]])&lt;Policy_Inception_Month,YEAR(Table1[[#This Row],[Loss date]])-1,YEAR(Table1[[#This Row],[Loss date]]))</f>
        <v>2012</v>
      </c>
      <c r="G159" s="10" t="s">
        <v>125</v>
      </c>
      <c r="H159" s="10" t="s">
        <v>2</v>
      </c>
      <c r="I159" s="11">
        <v>0</v>
      </c>
      <c r="J159" s="11">
        <v>0</v>
      </c>
      <c r="K159" s="11">
        <v>0</v>
      </c>
      <c r="L159" s="12">
        <v>0</v>
      </c>
      <c r="M159" s="12">
        <v>0</v>
      </c>
      <c r="N159" s="12">
        <v>0</v>
      </c>
      <c r="O159" s="70">
        <f>IF(Table1[[#This Row],[Overall amount]]=0,0,1)</f>
        <v>0</v>
      </c>
      <c r="P159" s="70">
        <f>Table1[[#This Row],[Overall amount]]*Exchange_Rate</f>
        <v>0</v>
      </c>
      <c r="Q159" s="70">
        <f>Table1[[#This Row],[Overall (destination currency)]]*(1+Claims_Inflation)^((Revalue_at_date-Table1[[#This Row],[Loss date]])/365.25)</f>
        <v>0</v>
      </c>
      <c r="R159" s="70">
        <f>INT(Table1[[#This Row],[Reporting date]])-INT(Table1[[#This Row],[Loss date]])</f>
        <v>333</v>
      </c>
      <c r="S159" s="69" t="s">
        <v>9</v>
      </c>
      <c r="T159" s="70">
        <f>VLOOKUP(Table1[[#This Row],[Policy Year]],exposure_table,3,FALSE)</f>
        <v>1057.54</v>
      </c>
      <c r="U159" s="17">
        <f>IF(MONTH(Table1[[#This Row],[Reporting date]])&lt;Policy_Inception_Month,YEAR(Table1[[#This Row],[Reporting date]])-1,YEAR(Table1[[#This Row],[Reporting date]]))</f>
        <v>2013</v>
      </c>
      <c r="V159" s="17">
        <f>Table1[[#This Row],[Reporting year]]-Table1[[#This Row],[Policy Year]]</f>
        <v>1</v>
      </c>
      <c r="W159" s="17">
        <f>INT(Table1[[#This Row],[Reporting date]])-INT(Table1[[#This Row],[Loss date]])</f>
        <v>333</v>
      </c>
      <c r="X159" s="17">
        <f>INT((YEAR(Table1[[#This Row],[Loss date]])*12+MONTH(Table1[[#This Row],[Loss date]])-Earliest_Month)/4)</f>
        <v>22</v>
      </c>
      <c r="Y159" s="17">
        <f>INT((YEAR(Table1[[#This Row],[Reporting date]])*12+MONTH(Table1[[#This Row],[Reporting date]])-Earliest_Month)/4)</f>
        <v>24</v>
      </c>
      <c r="Z159" s="17">
        <f>Table1[[#This Row],[Reporting third]]-Table1[[#This Row],[Policy third]]</f>
        <v>2</v>
      </c>
      <c r="AA159" s="71" t="str">
        <f>IF(Table1[[#This Row],[Overall amount]]=0,"N/A",Table1[[#This Row],[Outstanding]]/Table1[[#This Row],[Overall amount]])</f>
        <v>N/A</v>
      </c>
      <c r="AB159" s="17">
        <f>IF(MONTH(Table1[[#This Row],[Loss date]])&lt;Pol_Inc_Month_Shifted,YEAR(Table1[[#This Row],[Loss date]])-1,YEAR(Table1[[#This Row],[Loss date]]))</f>
        <v>2011</v>
      </c>
      <c r="AC159" s="17">
        <f>IF(MONTH(Table1[[#This Row],[Reporting date]])&lt;Pol_Inc_Month_Shifted,YEAR(Table1[[#This Row],[Reporting date]])-1,YEAR(Table1[[#This Row],[Reporting date]]))</f>
        <v>2012</v>
      </c>
      <c r="AD159" s="17">
        <f>Table1[[#This Row],[Reporting year (shifted)]]-Table1[[#This Row],[Policy Year (shifted)]]</f>
        <v>1</v>
      </c>
    </row>
    <row r="160" spans="1:30" ht="13.9">
      <c r="A160" s="8" t="s">
        <v>1930</v>
      </c>
      <c r="B160" s="8" t="s">
        <v>212</v>
      </c>
      <c r="C160" s="8" t="s">
        <v>123</v>
      </c>
      <c r="D160" s="9">
        <v>41329</v>
      </c>
      <c r="E160" s="9">
        <v>41475</v>
      </c>
      <c r="F160" s="17">
        <f>IF(MONTH(Table1[[#This Row],[Loss date]])&lt;Policy_Inception_Month,YEAR(Table1[[#This Row],[Loss date]])-1,YEAR(Table1[[#This Row],[Loss date]]))</f>
        <v>2012</v>
      </c>
      <c r="G160" s="10" t="s">
        <v>125</v>
      </c>
      <c r="H160" s="10" t="s">
        <v>2</v>
      </c>
      <c r="I160" s="11">
        <v>9249.8529809442298</v>
      </c>
      <c r="J160" s="11">
        <v>0</v>
      </c>
      <c r="K160" s="11">
        <v>9249.8529809442298</v>
      </c>
      <c r="L160" s="12">
        <v>0</v>
      </c>
      <c r="M160" s="12">
        <v>0</v>
      </c>
      <c r="N160" s="12">
        <v>9249.8529809442298</v>
      </c>
      <c r="O160" s="70">
        <f>IF(Table1[[#This Row],[Overall amount]]=0,0,1)</f>
        <v>1</v>
      </c>
      <c r="P160" s="70">
        <f>Table1[[#This Row],[Overall amount]]*Exchange_Rate</f>
        <v>9249.8529809442298</v>
      </c>
      <c r="Q160" s="70">
        <f>Table1[[#This Row],[Overall (destination currency)]]*(1+Claims_Inflation)^((Revalue_at_date-Table1[[#This Row],[Loss date]])/365.25)</f>
        <v>10500</v>
      </c>
      <c r="R160" s="70">
        <f>INT(Table1[[#This Row],[Reporting date]])-INT(Table1[[#This Row],[Loss date]])</f>
        <v>146</v>
      </c>
      <c r="S160" s="69" t="s">
        <v>9</v>
      </c>
      <c r="T160" s="70">
        <f>VLOOKUP(Table1[[#This Row],[Policy Year]],exposure_table,3,FALSE)</f>
        <v>1057.54</v>
      </c>
      <c r="U160" s="17">
        <f>IF(MONTH(Table1[[#This Row],[Reporting date]])&lt;Policy_Inception_Month,YEAR(Table1[[#This Row],[Reporting date]])-1,YEAR(Table1[[#This Row],[Reporting date]]))</f>
        <v>2013</v>
      </c>
      <c r="V160" s="17">
        <f>Table1[[#This Row],[Reporting year]]-Table1[[#This Row],[Policy Year]]</f>
        <v>1</v>
      </c>
      <c r="W160" s="17">
        <f>INT(Table1[[#This Row],[Reporting date]])-INT(Table1[[#This Row],[Loss date]])</f>
        <v>146</v>
      </c>
      <c r="X160" s="17">
        <f>INT((YEAR(Table1[[#This Row],[Loss date]])*12+MONTH(Table1[[#This Row],[Loss date]])-Earliest_Month)/4)</f>
        <v>23</v>
      </c>
      <c r="Y160" s="17">
        <f>INT((YEAR(Table1[[#This Row],[Reporting date]])*12+MONTH(Table1[[#This Row],[Reporting date]])-Earliest_Month)/4)</f>
        <v>24</v>
      </c>
      <c r="Z160" s="17">
        <f>Table1[[#This Row],[Reporting third]]-Table1[[#This Row],[Policy third]]</f>
        <v>1</v>
      </c>
      <c r="AA160" s="71">
        <f>IF(Table1[[#This Row],[Overall amount]]=0,"N/A",Table1[[#This Row],[Outstanding]]/Table1[[#This Row],[Overall amount]])</f>
        <v>0</v>
      </c>
      <c r="AB160" s="17">
        <f>IF(MONTH(Table1[[#This Row],[Loss date]])&lt;Pol_Inc_Month_Shifted,YEAR(Table1[[#This Row],[Loss date]])-1,YEAR(Table1[[#This Row],[Loss date]]))</f>
        <v>2012</v>
      </c>
      <c r="AC160" s="17">
        <f>IF(MONTH(Table1[[#This Row],[Reporting date]])&lt;Pol_Inc_Month_Shifted,YEAR(Table1[[#This Row],[Reporting date]])-1,YEAR(Table1[[#This Row],[Reporting date]]))</f>
        <v>2012</v>
      </c>
      <c r="AD160" s="17">
        <f>Table1[[#This Row],[Reporting year (shifted)]]-Table1[[#This Row],[Policy Year (shifted)]]</f>
        <v>0</v>
      </c>
    </row>
    <row r="161" spans="1:30" ht="13.9">
      <c r="A161" s="8" t="s">
        <v>1931</v>
      </c>
      <c r="B161" s="8" t="s">
        <v>213</v>
      </c>
      <c r="C161" s="8" t="s">
        <v>123</v>
      </c>
      <c r="D161" s="9">
        <v>41302</v>
      </c>
      <c r="E161" s="9">
        <v>41475</v>
      </c>
      <c r="F161" s="17">
        <f>IF(MONTH(Table1[[#This Row],[Loss date]])&lt;Policy_Inception_Month,YEAR(Table1[[#This Row],[Loss date]])-1,YEAR(Table1[[#This Row],[Loss date]]))</f>
        <v>2012</v>
      </c>
      <c r="G161" s="10" t="s">
        <v>125</v>
      </c>
      <c r="H161" s="10" t="s">
        <v>2</v>
      </c>
      <c r="I161" s="11">
        <v>3176.7927249853292</v>
      </c>
      <c r="J161" s="11">
        <v>4160.6359457113604</v>
      </c>
      <c r="K161" s="11">
        <v>7337.4286706966896</v>
      </c>
      <c r="L161" s="12">
        <v>0</v>
      </c>
      <c r="M161" s="12">
        <v>0</v>
      </c>
      <c r="N161" s="12">
        <v>7337.4286706966896</v>
      </c>
      <c r="O161" s="70">
        <f>IF(Table1[[#This Row],[Overall amount]]=0,0,1)</f>
        <v>1</v>
      </c>
      <c r="P161" s="70">
        <f>Table1[[#This Row],[Overall amount]]*Exchange_Rate</f>
        <v>7337.4286706966896</v>
      </c>
      <c r="Q161" s="70">
        <f>Table1[[#This Row],[Overall (destination currency)]]*(1+Claims_Inflation)^((Revalue_at_date-Table1[[#This Row],[Loss date]])/365.25)</f>
        <v>8359.1999999999989</v>
      </c>
      <c r="R161" s="70">
        <f>INT(Table1[[#This Row],[Reporting date]])-INT(Table1[[#This Row],[Loss date]])</f>
        <v>173</v>
      </c>
      <c r="S161" s="69" t="s">
        <v>16</v>
      </c>
      <c r="T161" s="70">
        <f>VLOOKUP(Table1[[#This Row],[Policy Year]],exposure_table,3,FALSE)</f>
        <v>1057.54</v>
      </c>
      <c r="U161" s="17">
        <f>IF(MONTH(Table1[[#This Row],[Reporting date]])&lt;Policy_Inception_Month,YEAR(Table1[[#This Row],[Reporting date]])-1,YEAR(Table1[[#This Row],[Reporting date]]))</f>
        <v>2013</v>
      </c>
      <c r="V161" s="17">
        <f>Table1[[#This Row],[Reporting year]]-Table1[[#This Row],[Policy Year]]</f>
        <v>1</v>
      </c>
      <c r="W161" s="17">
        <f>INT(Table1[[#This Row],[Reporting date]])-INT(Table1[[#This Row],[Loss date]])</f>
        <v>173</v>
      </c>
      <c r="X161" s="17">
        <f>INT((YEAR(Table1[[#This Row],[Loss date]])*12+MONTH(Table1[[#This Row],[Loss date]])-Earliest_Month)/4)</f>
        <v>23</v>
      </c>
      <c r="Y161" s="17">
        <f>INT((YEAR(Table1[[#This Row],[Reporting date]])*12+MONTH(Table1[[#This Row],[Reporting date]])-Earliest_Month)/4)</f>
        <v>24</v>
      </c>
      <c r="Z161" s="17">
        <f>Table1[[#This Row],[Reporting third]]-Table1[[#This Row],[Policy third]]</f>
        <v>1</v>
      </c>
      <c r="AA161" s="71">
        <f>IF(Table1[[#This Row],[Overall amount]]=0,"N/A",Table1[[#This Row],[Outstanding]]/Table1[[#This Row],[Overall amount]])</f>
        <v>0.5670427792133218</v>
      </c>
      <c r="AB161" s="17">
        <f>IF(MONTH(Table1[[#This Row],[Loss date]])&lt;Pol_Inc_Month_Shifted,YEAR(Table1[[#This Row],[Loss date]])-1,YEAR(Table1[[#This Row],[Loss date]]))</f>
        <v>2012</v>
      </c>
      <c r="AC161" s="17">
        <f>IF(MONTH(Table1[[#This Row],[Reporting date]])&lt;Pol_Inc_Month_Shifted,YEAR(Table1[[#This Row],[Reporting date]])-1,YEAR(Table1[[#This Row],[Reporting date]]))</f>
        <v>2012</v>
      </c>
      <c r="AD161" s="17">
        <f>Table1[[#This Row],[Reporting year (shifted)]]-Table1[[#This Row],[Policy Year (shifted)]]</f>
        <v>0</v>
      </c>
    </row>
    <row r="162" spans="1:30" ht="13.9">
      <c r="A162" s="8" t="s">
        <v>1932</v>
      </c>
      <c r="B162" s="8" t="s">
        <v>214</v>
      </c>
      <c r="C162" s="8" t="s">
        <v>123</v>
      </c>
      <c r="D162" s="9">
        <v>41216</v>
      </c>
      <c r="E162" s="9">
        <v>41464</v>
      </c>
      <c r="F162" s="17">
        <f>IF(MONTH(Table1[[#This Row],[Loss date]])&lt;Policy_Inception_Month,YEAR(Table1[[#This Row],[Loss date]])-1,YEAR(Table1[[#This Row],[Loss date]]))</f>
        <v>2012</v>
      </c>
      <c r="G162" s="10" t="s">
        <v>125</v>
      </c>
      <c r="H162" s="10" t="s">
        <v>2</v>
      </c>
      <c r="I162" s="11">
        <v>0</v>
      </c>
      <c r="J162" s="11">
        <v>9371.6012520735458</v>
      </c>
      <c r="K162" s="11">
        <v>9371.6012520735458</v>
      </c>
      <c r="L162" s="12">
        <v>312.38670840245157</v>
      </c>
      <c r="M162" s="12">
        <v>0</v>
      </c>
      <c r="N162" s="12">
        <v>9683.9879604759972</v>
      </c>
      <c r="O162" s="70">
        <f>IF(Table1[[#This Row],[Overall amount]]=0,0,1)</f>
        <v>1</v>
      </c>
      <c r="P162" s="70">
        <f>Table1[[#This Row],[Overall amount]]*Exchange_Rate</f>
        <v>9683.9879604759972</v>
      </c>
      <c r="Q162" s="70">
        <f>Table1[[#This Row],[Overall (destination currency)]]*(1+Claims_Inflation)^((Revalue_at_date-Table1[[#This Row],[Loss date]])/365.25)</f>
        <v>11160</v>
      </c>
      <c r="R162" s="70">
        <f>INT(Table1[[#This Row],[Reporting date]])-INT(Table1[[#This Row],[Loss date]])</f>
        <v>248</v>
      </c>
      <c r="S162" s="69" t="s">
        <v>16</v>
      </c>
      <c r="T162" s="70">
        <f>VLOOKUP(Table1[[#This Row],[Policy Year]],exposure_table,3,FALSE)</f>
        <v>1057.54</v>
      </c>
      <c r="U162" s="17">
        <f>IF(MONTH(Table1[[#This Row],[Reporting date]])&lt;Policy_Inception_Month,YEAR(Table1[[#This Row],[Reporting date]])-1,YEAR(Table1[[#This Row],[Reporting date]]))</f>
        <v>2013</v>
      </c>
      <c r="V162" s="17">
        <f>Table1[[#This Row],[Reporting year]]-Table1[[#This Row],[Policy Year]]</f>
        <v>1</v>
      </c>
      <c r="W162" s="17">
        <f>INT(Table1[[#This Row],[Reporting date]])-INT(Table1[[#This Row],[Loss date]])</f>
        <v>248</v>
      </c>
      <c r="X162" s="17">
        <f>INT((YEAR(Table1[[#This Row],[Loss date]])*12+MONTH(Table1[[#This Row],[Loss date]])-Earliest_Month)/4)</f>
        <v>22</v>
      </c>
      <c r="Y162" s="17">
        <f>INT((YEAR(Table1[[#This Row],[Reporting date]])*12+MONTH(Table1[[#This Row],[Reporting date]])-Earliest_Month)/4)</f>
        <v>24</v>
      </c>
      <c r="Z162" s="17">
        <f>Table1[[#This Row],[Reporting third]]-Table1[[#This Row],[Policy third]]</f>
        <v>2</v>
      </c>
      <c r="AA162" s="71">
        <f>IF(Table1[[#This Row],[Overall amount]]=0,"N/A",Table1[[#This Row],[Outstanding]]/Table1[[#This Row],[Overall amount]])</f>
        <v>0.967741935483871</v>
      </c>
      <c r="AB162" s="17">
        <f>IF(MONTH(Table1[[#This Row],[Loss date]])&lt;Pol_Inc_Month_Shifted,YEAR(Table1[[#This Row],[Loss date]])-1,YEAR(Table1[[#This Row],[Loss date]]))</f>
        <v>2011</v>
      </c>
      <c r="AC162" s="17">
        <f>IF(MONTH(Table1[[#This Row],[Reporting date]])&lt;Pol_Inc_Month_Shifted,YEAR(Table1[[#This Row],[Reporting date]])-1,YEAR(Table1[[#This Row],[Reporting date]]))</f>
        <v>2012</v>
      </c>
      <c r="AD162" s="17">
        <f>Table1[[#This Row],[Reporting year (shifted)]]-Table1[[#This Row],[Policy Year (shifted)]]</f>
        <v>1</v>
      </c>
    </row>
    <row r="163" spans="1:30" ht="13.9">
      <c r="A163" s="8" t="s">
        <v>1933</v>
      </c>
      <c r="B163" s="8" t="s">
        <v>215</v>
      </c>
      <c r="C163" s="8" t="s">
        <v>123</v>
      </c>
      <c r="D163" s="9">
        <v>40805</v>
      </c>
      <c r="E163" s="9">
        <v>41489</v>
      </c>
      <c r="F163" s="17">
        <f>IF(MONTH(Table1[[#This Row],[Loss date]])&lt;Policy_Inception_Month,YEAR(Table1[[#This Row],[Loss date]])-1,YEAR(Table1[[#This Row],[Loss date]]))</f>
        <v>2011</v>
      </c>
      <c r="G163" s="10" t="s">
        <v>125</v>
      </c>
      <c r="H163" s="10" t="s">
        <v>2</v>
      </c>
      <c r="I163" s="11">
        <v>0</v>
      </c>
      <c r="J163" s="11">
        <v>0.98566172419301923</v>
      </c>
      <c r="K163" s="11">
        <v>0.98566172419301923</v>
      </c>
      <c r="L163" s="12">
        <v>0</v>
      </c>
      <c r="M163" s="12">
        <v>0</v>
      </c>
      <c r="N163" s="12">
        <v>0.98566172419301923</v>
      </c>
      <c r="O163" s="70">
        <f>IF(Table1[[#This Row],[Overall amount]]=0,0,1)</f>
        <v>1</v>
      </c>
      <c r="P163" s="70">
        <f>Table1[[#This Row],[Overall amount]]*Exchange_Rate</f>
        <v>0.98566172419301923</v>
      </c>
      <c r="Q163" s="70">
        <f>Table1[[#This Row],[Overall (destination currency)]]*(1+Claims_Inflation)^((Revalue_at_date-Table1[[#This Row],[Loss date]])/365.25)</f>
        <v>1.2</v>
      </c>
      <c r="R163" s="70">
        <f>INT(Table1[[#This Row],[Reporting date]])-INT(Table1[[#This Row],[Loss date]])</f>
        <v>684</v>
      </c>
      <c r="S163" s="69" t="s">
        <v>16</v>
      </c>
      <c r="T163" s="70">
        <f>VLOOKUP(Table1[[#This Row],[Policy Year]],exposure_table,3,FALSE)</f>
        <v>870.52680000000009</v>
      </c>
      <c r="U163" s="17">
        <f>IF(MONTH(Table1[[#This Row],[Reporting date]])&lt;Policy_Inception_Month,YEAR(Table1[[#This Row],[Reporting date]])-1,YEAR(Table1[[#This Row],[Reporting date]]))</f>
        <v>2013</v>
      </c>
      <c r="V163" s="17">
        <f>Table1[[#This Row],[Reporting year]]-Table1[[#This Row],[Policy Year]]</f>
        <v>2</v>
      </c>
      <c r="W163" s="17">
        <f>INT(Table1[[#This Row],[Reporting date]])-INT(Table1[[#This Row],[Loss date]])</f>
        <v>684</v>
      </c>
      <c r="X163" s="17">
        <f>INT((YEAR(Table1[[#This Row],[Loss date]])*12+MONTH(Table1[[#This Row],[Loss date]])-Earliest_Month)/4)</f>
        <v>19</v>
      </c>
      <c r="Y163" s="17">
        <f>INT((YEAR(Table1[[#This Row],[Reporting date]])*12+MONTH(Table1[[#This Row],[Reporting date]])-Earliest_Month)/4)</f>
        <v>25</v>
      </c>
      <c r="Z163" s="17">
        <f>Table1[[#This Row],[Reporting third]]-Table1[[#This Row],[Policy third]]</f>
        <v>6</v>
      </c>
      <c r="AA163" s="71">
        <f>IF(Table1[[#This Row],[Overall amount]]=0,"N/A",Table1[[#This Row],[Outstanding]]/Table1[[#This Row],[Overall amount]])</f>
        <v>1</v>
      </c>
      <c r="AB163" s="17">
        <f>IF(MONTH(Table1[[#This Row],[Loss date]])&lt;Pol_Inc_Month_Shifted,YEAR(Table1[[#This Row],[Loss date]])-1,YEAR(Table1[[#This Row],[Loss date]]))</f>
        <v>2010</v>
      </c>
      <c r="AC163" s="17">
        <f>IF(MONTH(Table1[[#This Row],[Reporting date]])&lt;Pol_Inc_Month_Shifted,YEAR(Table1[[#This Row],[Reporting date]])-1,YEAR(Table1[[#This Row],[Reporting date]]))</f>
        <v>2012</v>
      </c>
      <c r="AD163" s="17">
        <f>Table1[[#This Row],[Reporting year (shifted)]]-Table1[[#This Row],[Policy Year (shifted)]]</f>
        <v>2</v>
      </c>
    </row>
    <row r="164" spans="1:30" ht="13.9">
      <c r="A164" s="8" t="s">
        <v>1934</v>
      </c>
      <c r="B164" s="8" t="s">
        <v>216</v>
      </c>
      <c r="C164" s="8" t="s">
        <v>123</v>
      </c>
      <c r="D164" s="9">
        <v>41464</v>
      </c>
      <c r="E164" s="9">
        <v>41517</v>
      </c>
      <c r="F164" s="17">
        <f>IF(MONTH(Table1[[#This Row],[Loss date]])&lt;Policy_Inception_Month,YEAR(Table1[[#This Row],[Loss date]])-1,YEAR(Table1[[#This Row],[Loss date]]))</f>
        <v>2013</v>
      </c>
      <c r="G164" s="10" t="s">
        <v>125</v>
      </c>
      <c r="H164" s="10" t="s">
        <v>2</v>
      </c>
      <c r="I164" s="11">
        <v>8892.9068125136127</v>
      </c>
      <c r="J164" s="11">
        <v>0</v>
      </c>
      <c r="K164" s="11">
        <v>8892.9068125136127</v>
      </c>
      <c r="L164" s="12">
        <v>0</v>
      </c>
      <c r="M164" s="12">
        <v>0</v>
      </c>
      <c r="N164" s="12">
        <v>8892.9068125136127</v>
      </c>
      <c r="O164" s="70">
        <f>IF(Table1[[#This Row],[Overall amount]]=0,0,1)</f>
        <v>1</v>
      </c>
      <c r="P164" s="70">
        <f>Table1[[#This Row],[Overall amount]]*Exchange_Rate</f>
        <v>8892.9068125136127</v>
      </c>
      <c r="Q164" s="70">
        <f>Table1[[#This Row],[Overall (destination currency)]]*(1+Claims_Inflation)^((Revalue_at_date-Table1[[#This Row],[Loss date]])/365.25)</f>
        <v>9914.4</v>
      </c>
      <c r="R164" s="70">
        <f>INT(Table1[[#This Row],[Reporting date]])-INT(Table1[[#This Row],[Loss date]])</f>
        <v>53</v>
      </c>
      <c r="S164" s="69" t="s">
        <v>9</v>
      </c>
      <c r="T164" s="70">
        <f>VLOOKUP(Table1[[#This Row],[Policy Year]],exposure_table,3,FALSE)</f>
        <v>1090.5865384615383</v>
      </c>
      <c r="U164" s="17">
        <f>IF(MONTH(Table1[[#This Row],[Reporting date]])&lt;Policy_Inception_Month,YEAR(Table1[[#This Row],[Reporting date]])-1,YEAR(Table1[[#This Row],[Reporting date]]))</f>
        <v>2013</v>
      </c>
      <c r="V164" s="17">
        <f>Table1[[#This Row],[Reporting year]]-Table1[[#This Row],[Policy Year]]</f>
        <v>0</v>
      </c>
      <c r="W164" s="17">
        <f>INT(Table1[[#This Row],[Reporting date]])-INT(Table1[[#This Row],[Loss date]])</f>
        <v>53</v>
      </c>
      <c r="X164" s="17">
        <f>INT((YEAR(Table1[[#This Row],[Loss date]])*12+MONTH(Table1[[#This Row],[Loss date]])-Earliest_Month)/4)</f>
        <v>24</v>
      </c>
      <c r="Y164" s="17">
        <f>INT((YEAR(Table1[[#This Row],[Reporting date]])*12+MONTH(Table1[[#This Row],[Reporting date]])-Earliest_Month)/4)</f>
        <v>25</v>
      </c>
      <c r="Z164" s="17">
        <f>Table1[[#This Row],[Reporting third]]-Table1[[#This Row],[Policy third]]</f>
        <v>1</v>
      </c>
      <c r="AA164" s="71">
        <f>IF(Table1[[#This Row],[Overall amount]]=0,"N/A",Table1[[#This Row],[Outstanding]]/Table1[[#This Row],[Overall amount]])</f>
        <v>0</v>
      </c>
      <c r="AB164" s="17">
        <f>IF(MONTH(Table1[[#This Row],[Loss date]])&lt;Pol_Inc_Month_Shifted,YEAR(Table1[[#This Row],[Loss date]])-1,YEAR(Table1[[#This Row],[Loss date]]))</f>
        <v>2012</v>
      </c>
      <c r="AC164" s="17">
        <f>IF(MONTH(Table1[[#This Row],[Reporting date]])&lt;Pol_Inc_Month_Shifted,YEAR(Table1[[#This Row],[Reporting date]])-1,YEAR(Table1[[#This Row],[Reporting date]]))</f>
        <v>2012</v>
      </c>
      <c r="AD164" s="17">
        <f>Table1[[#This Row],[Reporting year (shifted)]]-Table1[[#This Row],[Policy Year (shifted)]]</f>
        <v>0</v>
      </c>
    </row>
    <row r="165" spans="1:30" ht="13.9">
      <c r="A165" s="8" t="s">
        <v>1935</v>
      </c>
      <c r="B165" s="8" t="s">
        <v>217</v>
      </c>
      <c r="C165" s="8" t="s">
        <v>123</v>
      </c>
      <c r="D165" s="9">
        <v>41374</v>
      </c>
      <c r="E165" s="9">
        <v>41517</v>
      </c>
      <c r="F165" s="17">
        <f>IF(MONTH(Table1[[#This Row],[Loss date]])&lt;Policy_Inception_Month,YEAR(Table1[[#This Row],[Loss date]])-1,YEAR(Table1[[#This Row],[Loss date]]))</f>
        <v>2013</v>
      </c>
      <c r="G165" s="10" t="s">
        <v>125</v>
      </c>
      <c r="H165" s="10" t="s">
        <v>2</v>
      </c>
      <c r="I165" s="11">
        <v>11977.133525915402</v>
      </c>
      <c r="J165" s="11">
        <v>8761.1104587543141</v>
      </c>
      <c r="K165" s="11">
        <v>20738.243984669716</v>
      </c>
      <c r="L165" s="12">
        <v>319.04990745645716</v>
      </c>
      <c r="M165" s="12">
        <v>0</v>
      </c>
      <c r="N165" s="12">
        <v>21057.293892126174</v>
      </c>
      <c r="O165" s="70">
        <f>IF(Table1[[#This Row],[Overall amount]]=0,0,1)</f>
        <v>1</v>
      </c>
      <c r="P165" s="70">
        <f>Table1[[#This Row],[Overall amount]]*Exchange_Rate</f>
        <v>21057.293892126174</v>
      </c>
      <c r="Q165" s="70">
        <f>Table1[[#This Row],[Overall (destination currency)]]*(1+Claims_Inflation)^((Revalue_at_date-Table1[[#This Row],[Loss date]])/365.25)</f>
        <v>23760</v>
      </c>
      <c r="R165" s="70">
        <f>INT(Table1[[#This Row],[Reporting date]])-INT(Table1[[#This Row],[Loss date]])</f>
        <v>143</v>
      </c>
      <c r="S165" s="69" t="s">
        <v>16</v>
      </c>
      <c r="T165" s="70">
        <f>VLOOKUP(Table1[[#This Row],[Policy Year]],exposure_table,3,FALSE)</f>
        <v>1090.5865384615383</v>
      </c>
      <c r="U165" s="17">
        <f>IF(MONTH(Table1[[#This Row],[Reporting date]])&lt;Policy_Inception_Month,YEAR(Table1[[#This Row],[Reporting date]])-1,YEAR(Table1[[#This Row],[Reporting date]]))</f>
        <v>2013</v>
      </c>
      <c r="V165" s="17">
        <f>Table1[[#This Row],[Reporting year]]-Table1[[#This Row],[Policy Year]]</f>
        <v>0</v>
      </c>
      <c r="W165" s="17">
        <f>INT(Table1[[#This Row],[Reporting date]])-INT(Table1[[#This Row],[Loss date]])</f>
        <v>143</v>
      </c>
      <c r="X165" s="17">
        <f>INT((YEAR(Table1[[#This Row],[Loss date]])*12+MONTH(Table1[[#This Row],[Loss date]])-Earliest_Month)/4)</f>
        <v>24</v>
      </c>
      <c r="Y165" s="17">
        <f>INT((YEAR(Table1[[#This Row],[Reporting date]])*12+MONTH(Table1[[#This Row],[Reporting date]])-Earliest_Month)/4)</f>
        <v>25</v>
      </c>
      <c r="Z165" s="17">
        <f>Table1[[#This Row],[Reporting third]]-Table1[[#This Row],[Policy third]]</f>
        <v>1</v>
      </c>
      <c r="AA165" s="71">
        <f>IF(Table1[[#This Row],[Overall amount]]=0,"N/A",Table1[[#This Row],[Outstanding]]/Table1[[#This Row],[Overall amount]])</f>
        <v>0.41606060606060608</v>
      </c>
      <c r="AB165" s="17">
        <f>IF(MONTH(Table1[[#This Row],[Loss date]])&lt;Pol_Inc_Month_Shifted,YEAR(Table1[[#This Row],[Loss date]])-1,YEAR(Table1[[#This Row],[Loss date]]))</f>
        <v>2012</v>
      </c>
      <c r="AC165" s="17">
        <f>IF(MONTH(Table1[[#This Row],[Reporting date]])&lt;Pol_Inc_Month_Shifted,YEAR(Table1[[#This Row],[Reporting date]])-1,YEAR(Table1[[#This Row],[Reporting date]]))</f>
        <v>2012</v>
      </c>
      <c r="AD165" s="17">
        <f>Table1[[#This Row],[Reporting year (shifted)]]-Table1[[#This Row],[Policy Year (shifted)]]</f>
        <v>0</v>
      </c>
    </row>
    <row r="166" spans="1:30" ht="13.9">
      <c r="A166" s="8" t="s">
        <v>1936</v>
      </c>
      <c r="B166" s="8" t="s">
        <v>218</v>
      </c>
      <c r="C166" s="8" t="s">
        <v>123</v>
      </c>
      <c r="D166" s="9">
        <v>41162</v>
      </c>
      <c r="E166" s="9">
        <v>41544</v>
      </c>
      <c r="F166" s="17">
        <f>IF(MONTH(Table1[[#This Row],[Loss date]])&lt;Policy_Inception_Month,YEAR(Table1[[#This Row],[Loss date]])-1,YEAR(Table1[[#This Row],[Loss date]]))</f>
        <v>2012</v>
      </c>
      <c r="G166" s="10" t="s">
        <v>125</v>
      </c>
      <c r="H166" s="10" t="s">
        <v>2</v>
      </c>
      <c r="I166" s="11">
        <v>0</v>
      </c>
      <c r="J166" s="11">
        <v>13506.660908924543</v>
      </c>
      <c r="K166" s="11">
        <v>13506.660908924543</v>
      </c>
      <c r="L166" s="12">
        <v>0</v>
      </c>
      <c r="M166" s="12">
        <v>13.816802376408459</v>
      </c>
      <c r="N166" s="12">
        <v>13492.844106548135</v>
      </c>
      <c r="O166" s="70">
        <f>IF(Table1[[#This Row],[Overall amount]]=0,0,1)</f>
        <v>1</v>
      </c>
      <c r="P166" s="70">
        <f>Table1[[#This Row],[Overall amount]]*Exchange_Rate</f>
        <v>13492.844106548135</v>
      </c>
      <c r="Q166" s="70">
        <f>Table1[[#This Row],[Overall (destination currency)]]*(1+Claims_Inflation)^((Revalue_at_date-Table1[[#This Row],[Loss date]])/365.25)</f>
        <v>15661.961999999998</v>
      </c>
      <c r="R166" s="70">
        <f>INT(Table1[[#This Row],[Reporting date]])-INT(Table1[[#This Row],[Loss date]])</f>
        <v>382</v>
      </c>
      <c r="S166" s="69" t="s">
        <v>16</v>
      </c>
      <c r="T166" s="70">
        <f>VLOOKUP(Table1[[#This Row],[Policy Year]],exposure_table,3,FALSE)</f>
        <v>1057.54</v>
      </c>
      <c r="U166" s="17">
        <f>IF(MONTH(Table1[[#This Row],[Reporting date]])&lt;Policy_Inception_Month,YEAR(Table1[[#This Row],[Reporting date]])-1,YEAR(Table1[[#This Row],[Reporting date]]))</f>
        <v>2013</v>
      </c>
      <c r="V166" s="17">
        <f>Table1[[#This Row],[Reporting year]]-Table1[[#This Row],[Policy Year]]</f>
        <v>1</v>
      </c>
      <c r="W166" s="17">
        <f>INT(Table1[[#This Row],[Reporting date]])-INT(Table1[[#This Row],[Loss date]])</f>
        <v>382</v>
      </c>
      <c r="X166" s="17">
        <f>INT((YEAR(Table1[[#This Row],[Loss date]])*12+MONTH(Table1[[#This Row],[Loss date]])-Earliest_Month)/4)</f>
        <v>22</v>
      </c>
      <c r="Y166" s="17">
        <f>INT((YEAR(Table1[[#This Row],[Reporting date]])*12+MONTH(Table1[[#This Row],[Reporting date]])-Earliest_Month)/4)</f>
        <v>25</v>
      </c>
      <c r="Z166" s="17">
        <f>Table1[[#This Row],[Reporting third]]-Table1[[#This Row],[Policy third]]</f>
        <v>3</v>
      </c>
      <c r="AA166" s="71">
        <f>IF(Table1[[#This Row],[Overall amount]]=0,"N/A",Table1[[#This Row],[Outstanding]]/Table1[[#This Row],[Overall amount]])</f>
        <v>1.0010240096355745</v>
      </c>
      <c r="AB166" s="17">
        <f>IF(MONTH(Table1[[#This Row],[Loss date]])&lt;Pol_Inc_Month_Shifted,YEAR(Table1[[#This Row],[Loss date]])-1,YEAR(Table1[[#This Row],[Loss date]]))</f>
        <v>2011</v>
      </c>
      <c r="AC166" s="17">
        <f>IF(MONTH(Table1[[#This Row],[Reporting date]])&lt;Pol_Inc_Month_Shifted,YEAR(Table1[[#This Row],[Reporting date]])-1,YEAR(Table1[[#This Row],[Reporting date]]))</f>
        <v>2012</v>
      </c>
      <c r="AD166" s="17">
        <f>Table1[[#This Row],[Reporting year (shifted)]]-Table1[[#This Row],[Policy Year (shifted)]]</f>
        <v>1</v>
      </c>
    </row>
    <row r="167" spans="1:30" ht="13.9">
      <c r="A167" s="8" t="s">
        <v>1937</v>
      </c>
      <c r="B167" s="8" t="s">
        <v>219</v>
      </c>
      <c r="C167" s="8" t="s">
        <v>123</v>
      </c>
      <c r="D167" s="9">
        <v>41184</v>
      </c>
      <c r="E167" s="9">
        <v>41505</v>
      </c>
      <c r="F167" s="17">
        <f>IF(MONTH(Table1[[#This Row],[Loss date]])&lt;Policy_Inception_Month,YEAR(Table1[[#This Row],[Loss date]])-1,YEAR(Table1[[#This Row],[Loss date]]))</f>
        <v>2012</v>
      </c>
      <c r="G167" s="10" t="s">
        <v>125</v>
      </c>
      <c r="H167" s="10" t="s">
        <v>2</v>
      </c>
      <c r="I167" s="11">
        <v>18663.254440240726</v>
      </c>
      <c r="J167" s="11">
        <v>0</v>
      </c>
      <c r="K167" s="11">
        <v>18663.254440240726</v>
      </c>
      <c r="L167" s="12">
        <v>311.05424067067878</v>
      </c>
      <c r="M167" s="12">
        <v>0</v>
      </c>
      <c r="N167" s="12">
        <v>18974.308680911403</v>
      </c>
      <c r="O167" s="70">
        <f>IF(Table1[[#This Row],[Overall amount]]=0,0,1)</f>
        <v>1</v>
      </c>
      <c r="P167" s="70">
        <f>Table1[[#This Row],[Overall amount]]*Exchange_Rate</f>
        <v>18974.308680911403</v>
      </c>
      <c r="Q167" s="70">
        <f>Table1[[#This Row],[Overall (destination currency)]]*(1+Claims_Inflation)^((Revalue_at_date-Table1[[#This Row],[Loss date]])/365.25)</f>
        <v>21959.999999999996</v>
      </c>
      <c r="R167" s="70">
        <f>INT(Table1[[#This Row],[Reporting date]])-INT(Table1[[#This Row],[Loss date]])</f>
        <v>321</v>
      </c>
      <c r="S167" s="69" t="s">
        <v>9</v>
      </c>
      <c r="T167" s="70">
        <f>VLOOKUP(Table1[[#This Row],[Policy Year]],exposure_table,3,FALSE)</f>
        <v>1057.54</v>
      </c>
      <c r="U167" s="17">
        <f>IF(MONTH(Table1[[#This Row],[Reporting date]])&lt;Policy_Inception_Month,YEAR(Table1[[#This Row],[Reporting date]])-1,YEAR(Table1[[#This Row],[Reporting date]]))</f>
        <v>2013</v>
      </c>
      <c r="V167" s="17">
        <f>Table1[[#This Row],[Reporting year]]-Table1[[#This Row],[Policy Year]]</f>
        <v>1</v>
      </c>
      <c r="W167" s="17">
        <f>INT(Table1[[#This Row],[Reporting date]])-INT(Table1[[#This Row],[Loss date]])</f>
        <v>321</v>
      </c>
      <c r="X167" s="17">
        <f>INT((YEAR(Table1[[#This Row],[Loss date]])*12+MONTH(Table1[[#This Row],[Loss date]])-Earliest_Month)/4)</f>
        <v>22</v>
      </c>
      <c r="Y167" s="17">
        <f>INT((YEAR(Table1[[#This Row],[Reporting date]])*12+MONTH(Table1[[#This Row],[Reporting date]])-Earliest_Month)/4)</f>
        <v>25</v>
      </c>
      <c r="Z167" s="17">
        <f>Table1[[#This Row],[Reporting third]]-Table1[[#This Row],[Policy third]]</f>
        <v>3</v>
      </c>
      <c r="AA167" s="71">
        <f>IF(Table1[[#This Row],[Overall amount]]=0,"N/A",Table1[[#This Row],[Outstanding]]/Table1[[#This Row],[Overall amount]])</f>
        <v>0</v>
      </c>
      <c r="AB167" s="17">
        <f>IF(MONTH(Table1[[#This Row],[Loss date]])&lt;Pol_Inc_Month_Shifted,YEAR(Table1[[#This Row],[Loss date]])-1,YEAR(Table1[[#This Row],[Loss date]]))</f>
        <v>2011</v>
      </c>
      <c r="AC167" s="17">
        <f>IF(MONTH(Table1[[#This Row],[Reporting date]])&lt;Pol_Inc_Month_Shifted,YEAR(Table1[[#This Row],[Reporting date]])-1,YEAR(Table1[[#This Row],[Reporting date]]))</f>
        <v>2012</v>
      </c>
      <c r="AD167" s="17">
        <f>Table1[[#This Row],[Reporting year (shifted)]]-Table1[[#This Row],[Policy Year (shifted)]]</f>
        <v>1</v>
      </c>
    </row>
    <row r="168" spans="1:30" ht="13.9">
      <c r="A168" s="8" t="s">
        <v>1938</v>
      </c>
      <c r="B168" s="8" t="s">
        <v>220</v>
      </c>
      <c r="C168" s="8" t="s">
        <v>123</v>
      </c>
      <c r="D168" s="9">
        <v>41301</v>
      </c>
      <c r="E168" s="9">
        <v>41490</v>
      </c>
      <c r="F168" s="17">
        <f>IF(MONTH(Table1[[#This Row],[Loss date]])&lt;Policy_Inception_Month,YEAR(Table1[[#This Row],[Loss date]])-1,YEAR(Table1[[#This Row],[Loss date]]))</f>
        <v>2012</v>
      </c>
      <c r="G168" s="10" t="s">
        <v>125</v>
      </c>
      <c r="H168" s="10" t="s">
        <v>2</v>
      </c>
      <c r="I168" s="11">
        <v>8768.5621249765354</v>
      </c>
      <c r="J168" s="11">
        <v>0</v>
      </c>
      <c r="K168" s="11">
        <v>8768.5621249765354</v>
      </c>
      <c r="L168" s="12">
        <v>0</v>
      </c>
      <c r="M168" s="12">
        <v>0</v>
      </c>
      <c r="N168" s="12">
        <v>8768.5621249765354</v>
      </c>
      <c r="O168" s="70">
        <f>IF(Table1[[#This Row],[Overall amount]]=0,0,1)</f>
        <v>1</v>
      </c>
      <c r="P168" s="70">
        <f>Table1[[#This Row],[Overall amount]]*Exchange_Rate</f>
        <v>8768.5621249765354</v>
      </c>
      <c r="Q168" s="70">
        <f>Table1[[#This Row],[Overall (destination currency)]]*(1+Claims_Inflation)^((Revalue_at_date-Table1[[#This Row],[Loss date]])/365.25)</f>
        <v>9990.9599999999991</v>
      </c>
      <c r="R168" s="70">
        <f>INT(Table1[[#This Row],[Reporting date]])-INT(Table1[[#This Row],[Loss date]])</f>
        <v>189</v>
      </c>
      <c r="S168" s="69" t="s">
        <v>9</v>
      </c>
      <c r="T168" s="70">
        <f>VLOOKUP(Table1[[#This Row],[Policy Year]],exposure_table,3,FALSE)</f>
        <v>1057.54</v>
      </c>
      <c r="U168" s="17">
        <f>IF(MONTH(Table1[[#This Row],[Reporting date]])&lt;Policy_Inception_Month,YEAR(Table1[[#This Row],[Reporting date]])-1,YEAR(Table1[[#This Row],[Reporting date]]))</f>
        <v>2013</v>
      </c>
      <c r="V168" s="17">
        <f>Table1[[#This Row],[Reporting year]]-Table1[[#This Row],[Policy Year]]</f>
        <v>1</v>
      </c>
      <c r="W168" s="17">
        <f>INT(Table1[[#This Row],[Reporting date]])-INT(Table1[[#This Row],[Loss date]])</f>
        <v>189</v>
      </c>
      <c r="X168" s="17">
        <f>INT((YEAR(Table1[[#This Row],[Loss date]])*12+MONTH(Table1[[#This Row],[Loss date]])-Earliest_Month)/4)</f>
        <v>23</v>
      </c>
      <c r="Y168" s="17">
        <f>INT((YEAR(Table1[[#This Row],[Reporting date]])*12+MONTH(Table1[[#This Row],[Reporting date]])-Earliest_Month)/4)</f>
        <v>25</v>
      </c>
      <c r="Z168" s="17">
        <f>Table1[[#This Row],[Reporting third]]-Table1[[#This Row],[Policy third]]</f>
        <v>2</v>
      </c>
      <c r="AA168" s="71">
        <f>IF(Table1[[#This Row],[Overall amount]]=0,"N/A",Table1[[#This Row],[Outstanding]]/Table1[[#This Row],[Overall amount]])</f>
        <v>0</v>
      </c>
      <c r="AB168" s="17">
        <f>IF(MONTH(Table1[[#This Row],[Loss date]])&lt;Pol_Inc_Month_Shifted,YEAR(Table1[[#This Row],[Loss date]])-1,YEAR(Table1[[#This Row],[Loss date]]))</f>
        <v>2012</v>
      </c>
      <c r="AC168" s="17">
        <f>IF(MONTH(Table1[[#This Row],[Reporting date]])&lt;Pol_Inc_Month_Shifted,YEAR(Table1[[#This Row],[Reporting date]])-1,YEAR(Table1[[#This Row],[Reporting date]]))</f>
        <v>2012</v>
      </c>
      <c r="AD168" s="17">
        <f>Table1[[#This Row],[Reporting year (shifted)]]-Table1[[#This Row],[Policy Year (shifted)]]</f>
        <v>0</v>
      </c>
    </row>
    <row r="169" spans="1:30" ht="13.9">
      <c r="A169" s="8" t="s">
        <v>1939</v>
      </c>
      <c r="B169" s="8" t="s">
        <v>221</v>
      </c>
      <c r="C169" s="8" t="s">
        <v>123</v>
      </c>
      <c r="D169" s="9">
        <v>41352</v>
      </c>
      <c r="E169" s="9">
        <v>41518</v>
      </c>
      <c r="F169" s="17">
        <f>IF(MONTH(Table1[[#This Row],[Loss date]])&lt;Policy_Inception_Month,YEAR(Table1[[#This Row],[Loss date]])-1,YEAR(Table1[[#This Row],[Loss date]]))</f>
        <v>2012</v>
      </c>
      <c r="G169" s="10" t="s">
        <v>125</v>
      </c>
      <c r="H169" s="10" t="s">
        <v>2</v>
      </c>
      <c r="I169" s="11">
        <v>0</v>
      </c>
      <c r="J169" s="11">
        <v>10673.774053820693</v>
      </c>
      <c r="K169" s="11">
        <v>10673.774053820693</v>
      </c>
      <c r="L169" s="12">
        <v>0</v>
      </c>
      <c r="M169" s="12">
        <v>0</v>
      </c>
      <c r="N169" s="12">
        <v>10673.774053820693</v>
      </c>
      <c r="O169" s="70">
        <f>IF(Table1[[#This Row],[Overall amount]]=0,0,1)</f>
        <v>1</v>
      </c>
      <c r="P169" s="70">
        <f>Table1[[#This Row],[Overall amount]]*Exchange_Rate</f>
        <v>10673.774053820693</v>
      </c>
      <c r="Q169" s="70">
        <f>Table1[[#This Row],[Overall (destination currency)]]*(1+Claims_Inflation)^((Revalue_at_date-Table1[[#This Row],[Loss date]])/365.25)</f>
        <v>12079.199999999999</v>
      </c>
      <c r="R169" s="70">
        <f>INT(Table1[[#This Row],[Reporting date]])-INT(Table1[[#This Row],[Loss date]])</f>
        <v>166</v>
      </c>
      <c r="S169" s="69" t="s">
        <v>16</v>
      </c>
      <c r="T169" s="70">
        <f>VLOOKUP(Table1[[#This Row],[Policy Year]],exposure_table,3,FALSE)</f>
        <v>1057.54</v>
      </c>
      <c r="U169" s="17">
        <f>IF(MONTH(Table1[[#This Row],[Reporting date]])&lt;Policy_Inception_Month,YEAR(Table1[[#This Row],[Reporting date]])-1,YEAR(Table1[[#This Row],[Reporting date]]))</f>
        <v>2013</v>
      </c>
      <c r="V169" s="17">
        <f>Table1[[#This Row],[Reporting year]]-Table1[[#This Row],[Policy Year]]</f>
        <v>1</v>
      </c>
      <c r="W169" s="17">
        <f>INT(Table1[[#This Row],[Reporting date]])-INT(Table1[[#This Row],[Loss date]])</f>
        <v>166</v>
      </c>
      <c r="X169" s="17">
        <f>INT((YEAR(Table1[[#This Row],[Loss date]])*12+MONTH(Table1[[#This Row],[Loss date]])-Earliest_Month)/4)</f>
        <v>23</v>
      </c>
      <c r="Y169" s="17">
        <f>INT((YEAR(Table1[[#This Row],[Reporting date]])*12+MONTH(Table1[[#This Row],[Reporting date]])-Earliest_Month)/4)</f>
        <v>25</v>
      </c>
      <c r="Z169" s="17">
        <f>Table1[[#This Row],[Reporting third]]-Table1[[#This Row],[Policy third]]</f>
        <v>2</v>
      </c>
      <c r="AA169" s="71">
        <f>IF(Table1[[#This Row],[Overall amount]]=0,"N/A",Table1[[#This Row],[Outstanding]]/Table1[[#This Row],[Overall amount]])</f>
        <v>1</v>
      </c>
      <c r="AB169" s="17">
        <f>IF(MONTH(Table1[[#This Row],[Loss date]])&lt;Pol_Inc_Month_Shifted,YEAR(Table1[[#This Row],[Loss date]])-1,YEAR(Table1[[#This Row],[Loss date]]))</f>
        <v>2012</v>
      </c>
      <c r="AC169" s="17">
        <f>IF(MONTH(Table1[[#This Row],[Reporting date]])&lt;Pol_Inc_Month_Shifted,YEAR(Table1[[#This Row],[Reporting date]])-1,YEAR(Table1[[#This Row],[Reporting date]]))</f>
        <v>2012</v>
      </c>
      <c r="AD169" s="17">
        <f>Table1[[#This Row],[Reporting year (shifted)]]-Table1[[#This Row],[Policy Year (shifted)]]</f>
        <v>0</v>
      </c>
    </row>
    <row r="170" spans="1:30" ht="13.9">
      <c r="A170" s="8" t="s">
        <v>1940</v>
      </c>
      <c r="B170" s="8" t="s">
        <v>222</v>
      </c>
      <c r="C170" s="8" t="s">
        <v>123</v>
      </c>
      <c r="D170" s="9">
        <v>41082</v>
      </c>
      <c r="E170" s="9">
        <v>41460</v>
      </c>
      <c r="F170" s="17">
        <f>IF(MONTH(Table1[[#This Row],[Loss date]])&lt;Policy_Inception_Month,YEAR(Table1[[#This Row],[Loss date]])-1,YEAR(Table1[[#This Row],[Loss date]]))</f>
        <v>2012</v>
      </c>
      <c r="G170" s="10" t="s">
        <v>125</v>
      </c>
      <c r="H170" s="10" t="s">
        <v>2</v>
      </c>
      <c r="I170" s="11">
        <v>0</v>
      </c>
      <c r="J170" s="11">
        <v>12642.00629925978</v>
      </c>
      <c r="K170" s="11">
        <v>12642.00629925978</v>
      </c>
      <c r="L170" s="12">
        <v>306.8448130888296</v>
      </c>
      <c r="M170" s="12">
        <v>0</v>
      </c>
      <c r="N170" s="12">
        <v>12948.85111234861</v>
      </c>
      <c r="O170" s="70">
        <f>IF(Table1[[#This Row],[Overall amount]]=0,0,1)</f>
        <v>1</v>
      </c>
      <c r="P170" s="70">
        <f>Table1[[#This Row],[Overall amount]]*Exchange_Rate</f>
        <v>12948.85111234861</v>
      </c>
      <c r="Q170" s="70">
        <f>Table1[[#This Row],[Overall (destination currency)]]*(1+Claims_Inflation)^((Revalue_at_date-Table1[[#This Row],[Loss date]])/365.25)</f>
        <v>15192</v>
      </c>
      <c r="R170" s="70">
        <f>INT(Table1[[#This Row],[Reporting date]])-INT(Table1[[#This Row],[Loss date]])</f>
        <v>378</v>
      </c>
      <c r="S170" s="69" t="s">
        <v>16</v>
      </c>
      <c r="T170" s="70">
        <f>VLOOKUP(Table1[[#This Row],[Policy Year]],exposure_table,3,FALSE)</f>
        <v>1057.54</v>
      </c>
      <c r="U170" s="17">
        <f>IF(MONTH(Table1[[#This Row],[Reporting date]])&lt;Policy_Inception_Month,YEAR(Table1[[#This Row],[Reporting date]])-1,YEAR(Table1[[#This Row],[Reporting date]]))</f>
        <v>2013</v>
      </c>
      <c r="V170" s="17">
        <f>Table1[[#This Row],[Reporting year]]-Table1[[#This Row],[Policy Year]]</f>
        <v>1</v>
      </c>
      <c r="W170" s="17">
        <f>INT(Table1[[#This Row],[Reporting date]])-INT(Table1[[#This Row],[Loss date]])</f>
        <v>378</v>
      </c>
      <c r="X170" s="17">
        <f>INT((YEAR(Table1[[#This Row],[Loss date]])*12+MONTH(Table1[[#This Row],[Loss date]])-Earliest_Month)/4)</f>
        <v>21</v>
      </c>
      <c r="Y170" s="17">
        <f>INT((YEAR(Table1[[#This Row],[Reporting date]])*12+MONTH(Table1[[#This Row],[Reporting date]])-Earliest_Month)/4)</f>
        <v>24</v>
      </c>
      <c r="Z170" s="17">
        <f>Table1[[#This Row],[Reporting third]]-Table1[[#This Row],[Policy third]]</f>
        <v>3</v>
      </c>
      <c r="AA170" s="71">
        <f>IF(Table1[[#This Row],[Overall amount]]=0,"N/A",Table1[[#This Row],[Outstanding]]/Table1[[#This Row],[Overall amount]])</f>
        <v>0.976303317535545</v>
      </c>
      <c r="AB170" s="17">
        <f>IF(MONTH(Table1[[#This Row],[Loss date]])&lt;Pol_Inc_Month_Shifted,YEAR(Table1[[#This Row],[Loss date]])-1,YEAR(Table1[[#This Row],[Loss date]]))</f>
        <v>2011</v>
      </c>
      <c r="AC170" s="17">
        <f>IF(MONTH(Table1[[#This Row],[Reporting date]])&lt;Pol_Inc_Month_Shifted,YEAR(Table1[[#This Row],[Reporting date]])-1,YEAR(Table1[[#This Row],[Reporting date]]))</f>
        <v>2012</v>
      </c>
      <c r="AD170" s="17">
        <f>Table1[[#This Row],[Reporting year (shifted)]]-Table1[[#This Row],[Policy Year (shifted)]]</f>
        <v>1</v>
      </c>
    </row>
    <row r="171" spans="1:30" ht="13.9">
      <c r="A171" s="8" t="s">
        <v>1941</v>
      </c>
      <c r="B171" s="8" t="s">
        <v>223</v>
      </c>
      <c r="C171" s="8" t="s">
        <v>123</v>
      </c>
      <c r="D171" s="9">
        <v>41132</v>
      </c>
      <c r="E171" s="9">
        <v>41525</v>
      </c>
      <c r="F171" s="17">
        <f>IF(MONTH(Table1[[#This Row],[Loss date]])&lt;Policy_Inception_Month,YEAR(Table1[[#This Row],[Loss date]])-1,YEAR(Table1[[#This Row],[Loss date]]))</f>
        <v>2012</v>
      </c>
      <c r="G171" s="10" t="s">
        <v>125</v>
      </c>
      <c r="H171" s="10" t="s">
        <v>2</v>
      </c>
      <c r="I171" s="11">
        <v>2059.3406120623354</v>
      </c>
      <c r="J171" s="11">
        <v>13385.71397840518</v>
      </c>
      <c r="K171" s="11">
        <v>15445.054590467515</v>
      </c>
      <c r="L171" s="12">
        <v>308.90109180935025</v>
      </c>
      <c r="M171" s="12">
        <v>0</v>
      </c>
      <c r="N171" s="12">
        <v>15753.955682276865</v>
      </c>
      <c r="O171" s="70">
        <f>IF(Table1[[#This Row],[Overall amount]]=0,0,1)</f>
        <v>1</v>
      </c>
      <c r="P171" s="70">
        <f>Table1[[#This Row],[Overall amount]]*Exchange_Rate</f>
        <v>15753.955682276865</v>
      </c>
      <c r="Q171" s="70">
        <f>Table1[[#This Row],[Overall (destination currency)]]*(1+Claims_Inflation)^((Revalue_at_date-Table1[[#This Row],[Loss date]])/365.25)</f>
        <v>18360</v>
      </c>
      <c r="R171" s="70">
        <f>INT(Table1[[#This Row],[Reporting date]])-INT(Table1[[#This Row],[Loss date]])</f>
        <v>393</v>
      </c>
      <c r="S171" s="69" t="s">
        <v>16</v>
      </c>
      <c r="T171" s="70">
        <f>VLOOKUP(Table1[[#This Row],[Policy Year]],exposure_table,3,FALSE)</f>
        <v>1057.54</v>
      </c>
      <c r="U171" s="17">
        <f>IF(MONTH(Table1[[#This Row],[Reporting date]])&lt;Policy_Inception_Month,YEAR(Table1[[#This Row],[Reporting date]])-1,YEAR(Table1[[#This Row],[Reporting date]]))</f>
        <v>2013</v>
      </c>
      <c r="V171" s="17">
        <f>Table1[[#This Row],[Reporting year]]-Table1[[#This Row],[Policy Year]]</f>
        <v>1</v>
      </c>
      <c r="W171" s="17">
        <f>INT(Table1[[#This Row],[Reporting date]])-INT(Table1[[#This Row],[Loss date]])</f>
        <v>393</v>
      </c>
      <c r="X171" s="17">
        <f>INT((YEAR(Table1[[#This Row],[Loss date]])*12+MONTH(Table1[[#This Row],[Loss date]])-Earliest_Month)/4)</f>
        <v>22</v>
      </c>
      <c r="Y171" s="17">
        <f>INT((YEAR(Table1[[#This Row],[Reporting date]])*12+MONTH(Table1[[#This Row],[Reporting date]])-Earliest_Month)/4)</f>
        <v>25</v>
      </c>
      <c r="Z171" s="17">
        <f>Table1[[#This Row],[Reporting third]]-Table1[[#This Row],[Policy third]]</f>
        <v>3</v>
      </c>
      <c r="AA171" s="71">
        <f>IF(Table1[[#This Row],[Overall amount]]=0,"N/A",Table1[[#This Row],[Outstanding]]/Table1[[#This Row],[Overall amount]])</f>
        <v>0.84967320261437917</v>
      </c>
      <c r="AB171" s="17">
        <f>IF(MONTH(Table1[[#This Row],[Loss date]])&lt;Pol_Inc_Month_Shifted,YEAR(Table1[[#This Row],[Loss date]])-1,YEAR(Table1[[#This Row],[Loss date]]))</f>
        <v>2011</v>
      </c>
      <c r="AC171" s="17">
        <f>IF(MONTH(Table1[[#This Row],[Reporting date]])&lt;Pol_Inc_Month_Shifted,YEAR(Table1[[#This Row],[Reporting date]])-1,YEAR(Table1[[#This Row],[Reporting date]]))</f>
        <v>2012</v>
      </c>
      <c r="AD171" s="17">
        <f>Table1[[#This Row],[Reporting year (shifted)]]-Table1[[#This Row],[Policy Year (shifted)]]</f>
        <v>1</v>
      </c>
    </row>
    <row r="172" spans="1:30" ht="13.9">
      <c r="A172" s="8" t="s">
        <v>1942</v>
      </c>
      <c r="B172" s="8" t="s">
        <v>224</v>
      </c>
      <c r="C172" s="8" t="s">
        <v>123</v>
      </c>
      <c r="D172" s="9">
        <v>41281</v>
      </c>
      <c r="E172" s="9">
        <v>41532</v>
      </c>
      <c r="F172" s="17">
        <f>IF(MONTH(Table1[[#This Row],[Loss date]])&lt;Policy_Inception_Month,YEAR(Table1[[#This Row],[Loss date]])-1,YEAR(Table1[[#This Row],[Loss date]]))</f>
        <v>2012</v>
      </c>
      <c r="G172" s="10" t="s">
        <v>125</v>
      </c>
      <c r="H172" s="10" t="s">
        <v>2</v>
      </c>
      <c r="I172" s="11">
        <v>0</v>
      </c>
      <c r="J172" s="11">
        <v>0</v>
      </c>
      <c r="K172" s="11">
        <v>0</v>
      </c>
      <c r="L172" s="12">
        <v>0</v>
      </c>
      <c r="M172" s="12">
        <v>0</v>
      </c>
      <c r="N172" s="12">
        <v>0</v>
      </c>
      <c r="O172" s="70">
        <f>IF(Table1[[#This Row],[Overall amount]]=0,0,1)</f>
        <v>0</v>
      </c>
      <c r="P172" s="70">
        <f>Table1[[#This Row],[Overall amount]]*Exchange_Rate</f>
        <v>0</v>
      </c>
      <c r="Q172" s="70">
        <f>Table1[[#This Row],[Overall (destination currency)]]*(1+Claims_Inflation)^((Revalue_at_date-Table1[[#This Row],[Loss date]])/365.25)</f>
        <v>0</v>
      </c>
      <c r="R172" s="70">
        <f>INT(Table1[[#This Row],[Reporting date]])-INT(Table1[[#This Row],[Loss date]])</f>
        <v>251</v>
      </c>
      <c r="S172" s="69" t="s">
        <v>9</v>
      </c>
      <c r="T172" s="70">
        <f>VLOOKUP(Table1[[#This Row],[Policy Year]],exposure_table,3,FALSE)</f>
        <v>1057.54</v>
      </c>
      <c r="U172" s="17">
        <f>IF(MONTH(Table1[[#This Row],[Reporting date]])&lt;Policy_Inception_Month,YEAR(Table1[[#This Row],[Reporting date]])-1,YEAR(Table1[[#This Row],[Reporting date]]))</f>
        <v>2013</v>
      </c>
      <c r="V172" s="17">
        <f>Table1[[#This Row],[Reporting year]]-Table1[[#This Row],[Policy Year]]</f>
        <v>1</v>
      </c>
      <c r="W172" s="17">
        <f>INT(Table1[[#This Row],[Reporting date]])-INT(Table1[[#This Row],[Loss date]])</f>
        <v>251</v>
      </c>
      <c r="X172" s="17">
        <f>INT((YEAR(Table1[[#This Row],[Loss date]])*12+MONTH(Table1[[#This Row],[Loss date]])-Earliest_Month)/4)</f>
        <v>23</v>
      </c>
      <c r="Y172" s="17">
        <f>INT((YEAR(Table1[[#This Row],[Reporting date]])*12+MONTH(Table1[[#This Row],[Reporting date]])-Earliest_Month)/4)</f>
        <v>25</v>
      </c>
      <c r="Z172" s="17">
        <f>Table1[[#This Row],[Reporting third]]-Table1[[#This Row],[Policy third]]</f>
        <v>2</v>
      </c>
      <c r="AA172" s="71" t="str">
        <f>IF(Table1[[#This Row],[Overall amount]]=0,"N/A",Table1[[#This Row],[Outstanding]]/Table1[[#This Row],[Overall amount]])</f>
        <v>N/A</v>
      </c>
      <c r="AB172" s="17">
        <f>IF(MONTH(Table1[[#This Row],[Loss date]])&lt;Pol_Inc_Month_Shifted,YEAR(Table1[[#This Row],[Loss date]])-1,YEAR(Table1[[#This Row],[Loss date]]))</f>
        <v>2012</v>
      </c>
      <c r="AC172" s="17">
        <f>IF(MONTH(Table1[[#This Row],[Reporting date]])&lt;Pol_Inc_Month_Shifted,YEAR(Table1[[#This Row],[Reporting date]])-1,YEAR(Table1[[#This Row],[Reporting date]]))</f>
        <v>2012</v>
      </c>
      <c r="AD172" s="17">
        <f>Table1[[#This Row],[Reporting year (shifted)]]-Table1[[#This Row],[Policy Year (shifted)]]</f>
        <v>0</v>
      </c>
    </row>
    <row r="173" spans="1:30" ht="13.9">
      <c r="A173" s="8" t="s">
        <v>1943</v>
      </c>
      <c r="B173" s="8" t="s">
        <v>225</v>
      </c>
      <c r="C173" s="8" t="s">
        <v>123</v>
      </c>
      <c r="D173" s="9">
        <v>41116</v>
      </c>
      <c r="E173" s="9">
        <v>41517</v>
      </c>
      <c r="F173" s="17">
        <f>IF(MONTH(Table1[[#This Row],[Loss date]])&lt;Policy_Inception_Month,YEAR(Table1[[#This Row],[Loss date]])-1,YEAR(Table1[[#This Row],[Loss date]]))</f>
        <v>2012</v>
      </c>
      <c r="G173" s="10" t="s">
        <v>125</v>
      </c>
      <c r="H173" s="10" t="s">
        <v>2</v>
      </c>
      <c r="I173" s="11">
        <v>5651.0957758258328</v>
      </c>
      <c r="J173" s="11">
        <v>0</v>
      </c>
      <c r="K173" s="11">
        <v>5651.0957758258328</v>
      </c>
      <c r="L173" s="12">
        <v>0</v>
      </c>
      <c r="M173" s="12">
        <v>0</v>
      </c>
      <c r="N173" s="12">
        <v>5651.0957758258328</v>
      </c>
      <c r="O173" s="70">
        <f>IF(Table1[[#This Row],[Overall amount]]=0,0,1)</f>
        <v>1</v>
      </c>
      <c r="P173" s="70">
        <f>Table1[[#This Row],[Overall amount]]*Exchange_Rate</f>
        <v>5651.0957758258328</v>
      </c>
      <c r="Q173" s="70">
        <f>Table1[[#This Row],[Overall (destination currency)]]*(1+Claims_Inflation)^((Revalue_at_date-Table1[[#This Row],[Loss date]])/365.25)</f>
        <v>6600.0000000000009</v>
      </c>
      <c r="R173" s="70">
        <f>INT(Table1[[#This Row],[Reporting date]])-INT(Table1[[#This Row],[Loss date]])</f>
        <v>401</v>
      </c>
      <c r="S173" s="69" t="s">
        <v>9</v>
      </c>
      <c r="T173" s="70">
        <f>VLOOKUP(Table1[[#This Row],[Policy Year]],exposure_table,3,FALSE)</f>
        <v>1057.54</v>
      </c>
      <c r="U173" s="17">
        <f>IF(MONTH(Table1[[#This Row],[Reporting date]])&lt;Policy_Inception_Month,YEAR(Table1[[#This Row],[Reporting date]])-1,YEAR(Table1[[#This Row],[Reporting date]]))</f>
        <v>2013</v>
      </c>
      <c r="V173" s="17">
        <f>Table1[[#This Row],[Reporting year]]-Table1[[#This Row],[Policy Year]]</f>
        <v>1</v>
      </c>
      <c r="W173" s="17">
        <f>INT(Table1[[#This Row],[Reporting date]])-INT(Table1[[#This Row],[Loss date]])</f>
        <v>401</v>
      </c>
      <c r="X173" s="17">
        <f>INT((YEAR(Table1[[#This Row],[Loss date]])*12+MONTH(Table1[[#This Row],[Loss date]])-Earliest_Month)/4)</f>
        <v>21</v>
      </c>
      <c r="Y173" s="17">
        <f>INT((YEAR(Table1[[#This Row],[Reporting date]])*12+MONTH(Table1[[#This Row],[Reporting date]])-Earliest_Month)/4)</f>
        <v>25</v>
      </c>
      <c r="Z173" s="17">
        <f>Table1[[#This Row],[Reporting third]]-Table1[[#This Row],[Policy third]]</f>
        <v>4</v>
      </c>
      <c r="AA173" s="71">
        <f>IF(Table1[[#This Row],[Overall amount]]=0,"N/A",Table1[[#This Row],[Outstanding]]/Table1[[#This Row],[Overall amount]])</f>
        <v>0</v>
      </c>
      <c r="AB173" s="17">
        <f>IF(MONTH(Table1[[#This Row],[Loss date]])&lt;Pol_Inc_Month_Shifted,YEAR(Table1[[#This Row],[Loss date]])-1,YEAR(Table1[[#This Row],[Loss date]]))</f>
        <v>2011</v>
      </c>
      <c r="AC173" s="17">
        <f>IF(MONTH(Table1[[#This Row],[Reporting date]])&lt;Pol_Inc_Month_Shifted,YEAR(Table1[[#This Row],[Reporting date]])-1,YEAR(Table1[[#This Row],[Reporting date]]))</f>
        <v>2012</v>
      </c>
      <c r="AD173" s="17">
        <f>Table1[[#This Row],[Reporting year (shifted)]]-Table1[[#This Row],[Policy Year (shifted)]]</f>
        <v>1</v>
      </c>
    </row>
    <row r="174" spans="1:30" ht="13.9">
      <c r="A174" s="8" t="s">
        <v>1944</v>
      </c>
      <c r="B174" s="8" t="s">
        <v>226</v>
      </c>
      <c r="C174" s="8" t="s">
        <v>123</v>
      </c>
      <c r="D174" s="9">
        <v>41436</v>
      </c>
      <c r="E174" s="9">
        <v>41498</v>
      </c>
      <c r="F174" s="17">
        <f>IF(MONTH(Table1[[#This Row],[Loss date]])&lt;Policy_Inception_Month,YEAR(Table1[[#This Row],[Loss date]])-1,YEAR(Table1[[#This Row],[Loss date]]))</f>
        <v>2013</v>
      </c>
      <c r="G174" s="10" t="s">
        <v>125</v>
      </c>
      <c r="H174" s="10" t="s">
        <v>2</v>
      </c>
      <c r="I174" s="11">
        <v>0</v>
      </c>
      <c r="J174" s="11">
        <v>0</v>
      </c>
      <c r="K174" s="11">
        <v>0</v>
      </c>
      <c r="L174" s="12">
        <v>0</v>
      </c>
      <c r="M174" s="12">
        <v>0</v>
      </c>
      <c r="N174" s="12">
        <v>0</v>
      </c>
      <c r="O174" s="70">
        <f>IF(Table1[[#This Row],[Overall amount]]=0,0,1)</f>
        <v>0</v>
      </c>
      <c r="P174" s="70">
        <f>Table1[[#This Row],[Overall amount]]*Exchange_Rate</f>
        <v>0</v>
      </c>
      <c r="Q174" s="70">
        <f>Table1[[#This Row],[Overall (destination currency)]]*(1+Claims_Inflation)^((Revalue_at_date-Table1[[#This Row],[Loss date]])/365.25)</f>
        <v>0</v>
      </c>
      <c r="R174" s="70">
        <f>INT(Table1[[#This Row],[Reporting date]])-INT(Table1[[#This Row],[Loss date]])</f>
        <v>62</v>
      </c>
      <c r="S174" s="69" t="s">
        <v>9</v>
      </c>
      <c r="T174" s="70">
        <f>VLOOKUP(Table1[[#This Row],[Policy Year]],exposure_table,3,FALSE)</f>
        <v>1090.5865384615383</v>
      </c>
      <c r="U174" s="17">
        <f>IF(MONTH(Table1[[#This Row],[Reporting date]])&lt;Policy_Inception_Month,YEAR(Table1[[#This Row],[Reporting date]])-1,YEAR(Table1[[#This Row],[Reporting date]]))</f>
        <v>2013</v>
      </c>
      <c r="V174" s="17">
        <f>Table1[[#This Row],[Reporting year]]-Table1[[#This Row],[Policy Year]]</f>
        <v>0</v>
      </c>
      <c r="W174" s="17">
        <f>INT(Table1[[#This Row],[Reporting date]])-INT(Table1[[#This Row],[Loss date]])</f>
        <v>62</v>
      </c>
      <c r="X174" s="17">
        <f>INT((YEAR(Table1[[#This Row],[Loss date]])*12+MONTH(Table1[[#This Row],[Loss date]])-Earliest_Month)/4)</f>
        <v>24</v>
      </c>
      <c r="Y174" s="17">
        <f>INT((YEAR(Table1[[#This Row],[Reporting date]])*12+MONTH(Table1[[#This Row],[Reporting date]])-Earliest_Month)/4)</f>
        <v>25</v>
      </c>
      <c r="Z174" s="17">
        <f>Table1[[#This Row],[Reporting third]]-Table1[[#This Row],[Policy third]]</f>
        <v>1</v>
      </c>
      <c r="AA174" s="71" t="str">
        <f>IF(Table1[[#This Row],[Overall amount]]=0,"N/A",Table1[[#This Row],[Outstanding]]/Table1[[#This Row],[Overall amount]])</f>
        <v>N/A</v>
      </c>
      <c r="AB174" s="17">
        <f>IF(MONTH(Table1[[#This Row],[Loss date]])&lt;Pol_Inc_Month_Shifted,YEAR(Table1[[#This Row],[Loss date]])-1,YEAR(Table1[[#This Row],[Loss date]]))</f>
        <v>2012</v>
      </c>
      <c r="AC174" s="17">
        <f>IF(MONTH(Table1[[#This Row],[Reporting date]])&lt;Pol_Inc_Month_Shifted,YEAR(Table1[[#This Row],[Reporting date]])-1,YEAR(Table1[[#This Row],[Reporting date]]))</f>
        <v>2012</v>
      </c>
      <c r="AD174" s="17">
        <f>Table1[[#This Row],[Reporting year (shifted)]]-Table1[[#This Row],[Policy Year (shifted)]]</f>
        <v>0</v>
      </c>
    </row>
    <row r="175" spans="1:30" ht="13.9">
      <c r="A175" s="8" t="s">
        <v>1945</v>
      </c>
      <c r="B175" s="8" t="s">
        <v>227</v>
      </c>
      <c r="C175" s="8" t="s">
        <v>123</v>
      </c>
      <c r="D175" s="9">
        <v>41420</v>
      </c>
      <c r="E175" s="9">
        <v>41525</v>
      </c>
      <c r="F175" s="17">
        <f>IF(MONTH(Table1[[#This Row],[Loss date]])&lt;Policy_Inception_Month,YEAR(Table1[[#This Row],[Loss date]])-1,YEAR(Table1[[#This Row],[Loss date]]))</f>
        <v>2013</v>
      </c>
      <c r="G175" s="10" t="s">
        <v>125</v>
      </c>
      <c r="H175" s="10" t="s">
        <v>2</v>
      </c>
      <c r="I175" s="11">
        <v>0</v>
      </c>
      <c r="J175" s="11">
        <v>3210.164053925223</v>
      </c>
      <c r="K175" s="11">
        <v>3210.164053925223</v>
      </c>
      <c r="L175" s="12">
        <v>0</v>
      </c>
      <c r="M175" s="12">
        <v>346.05568501313905</v>
      </c>
      <c r="N175" s="12">
        <v>2864.1083689120842</v>
      </c>
      <c r="O175" s="70">
        <f>IF(Table1[[#This Row],[Overall amount]]=0,0,1)</f>
        <v>1</v>
      </c>
      <c r="P175" s="70">
        <f>Table1[[#This Row],[Overall amount]]*Exchange_Rate</f>
        <v>2864.1083689120842</v>
      </c>
      <c r="Q175" s="70">
        <f>Table1[[#This Row],[Overall (destination currency)]]*(1+Claims_Inflation)^((Revalue_at_date-Table1[[#This Row],[Loss date]])/365.25)</f>
        <v>3211.9199999999996</v>
      </c>
      <c r="R175" s="70">
        <f>INT(Table1[[#This Row],[Reporting date]])-INT(Table1[[#This Row],[Loss date]])</f>
        <v>105</v>
      </c>
      <c r="S175" s="69" t="s">
        <v>16</v>
      </c>
      <c r="T175" s="70">
        <f>VLOOKUP(Table1[[#This Row],[Policy Year]],exposure_table,3,FALSE)</f>
        <v>1090.5865384615383</v>
      </c>
      <c r="U175" s="17">
        <f>IF(MONTH(Table1[[#This Row],[Reporting date]])&lt;Policy_Inception_Month,YEAR(Table1[[#This Row],[Reporting date]])-1,YEAR(Table1[[#This Row],[Reporting date]]))</f>
        <v>2013</v>
      </c>
      <c r="V175" s="17">
        <f>Table1[[#This Row],[Reporting year]]-Table1[[#This Row],[Policy Year]]</f>
        <v>0</v>
      </c>
      <c r="W175" s="17">
        <f>INT(Table1[[#This Row],[Reporting date]])-INT(Table1[[#This Row],[Loss date]])</f>
        <v>105</v>
      </c>
      <c r="X175" s="17">
        <f>INT((YEAR(Table1[[#This Row],[Loss date]])*12+MONTH(Table1[[#This Row],[Loss date]])-Earliest_Month)/4)</f>
        <v>24</v>
      </c>
      <c r="Y175" s="17">
        <f>INT((YEAR(Table1[[#This Row],[Reporting date]])*12+MONTH(Table1[[#This Row],[Reporting date]])-Earliest_Month)/4)</f>
        <v>25</v>
      </c>
      <c r="Z175" s="17">
        <f>Table1[[#This Row],[Reporting third]]-Table1[[#This Row],[Policy third]]</f>
        <v>1</v>
      </c>
      <c r="AA175" s="71">
        <f>IF(Table1[[#This Row],[Overall amount]]=0,"N/A",Table1[[#This Row],[Outstanding]]/Table1[[#This Row],[Overall amount]])</f>
        <v>1.1208249271463797</v>
      </c>
      <c r="AB175" s="17">
        <f>IF(MONTH(Table1[[#This Row],[Loss date]])&lt;Pol_Inc_Month_Shifted,YEAR(Table1[[#This Row],[Loss date]])-1,YEAR(Table1[[#This Row],[Loss date]]))</f>
        <v>2012</v>
      </c>
      <c r="AC175" s="17">
        <f>IF(MONTH(Table1[[#This Row],[Reporting date]])&lt;Pol_Inc_Month_Shifted,YEAR(Table1[[#This Row],[Reporting date]])-1,YEAR(Table1[[#This Row],[Reporting date]]))</f>
        <v>2012</v>
      </c>
      <c r="AD175" s="17">
        <f>Table1[[#This Row],[Reporting year (shifted)]]-Table1[[#This Row],[Policy Year (shifted)]]</f>
        <v>0</v>
      </c>
    </row>
    <row r="176" spans="1:30" ht="13.9">
      <c r="A176" s="8" t="s">
        <v>1946</v>
      </c>
      <c r="B176" s="8" t="s">
        <v>228</v>
      </c>
      <c r="C176" s="8" t="s">
        <v>123</v>
      </c>
      <c r="D176" s="9">
        <v>41110</v>
      </c>
      <c r="E176" s="9">
        <v>41223</v>
      </c>
      <c r="F176" s="17">
        <f>IF(MONTH(Table1[[#This Row],[Loss date]])&lt;Policy_Inception_Month,YEAR(Table1[[#This Row],[Loss date]])-1,YEAR(Table1[[#This Row],[Loss date]]))</f>
        <v>2012</v>
      </c>
      <c r="G176" s="10" t="s">
        <v>125</v>
      </c>
      <c r="H176" s="10" t="s">
        <v>2</v>
      </c>
      <c r="I176" s="11">
        <v>0</v>
      </c>
      <c r="J176" s="11">
        <v>0</v>
      </c>
      <c r="K176" s="11">
        <v>0</v>
      </c>
      <c r="L176" s="12">
        <v>0</v>
      </c>
      <c r="M176" s="12">
        <v>0</v>
      </c>
      <c r="N176" s="12">
        <v>0</v>
      </c>
      <c r="O176" s="70">
        <f>IF(Table1[[#This Row],[Overall amount]]=0,0,1)</f>
        <v>0</v>
      </c>
      <c r="P176" s="70">
        <f>Table1[[#This Row],[Overall amount]]*Exchange_Rate</f>
        <v>0</v>
      </c>
      <c r="Q176" s="70">
        <f>Table1[[#This Row],[Overall (destination currency)]]*(1+Claims_Inflation)^((Revalue_at_date-Table1[[#This Row],[Loss date]])/365.25)</f>
        <v>0</v>
      </c>
      <c r="R176" s="70">
        <f>INT(Table1[[#This Row],[Reporting date]])-INT(Table1[[#This Row],[Loss date]])</f>
        <v>113</v>
      </c>
      <c r="S176" s="69" t="s">
        <v>9</v>
      </c>
      <c r="T176" s="70">
        <f>VLOOKUP(Table1[[#This Row],[Policy Year]],exposure_table,3,FALSE)</f>
        <v>1057.54</v>
      </c>
      <c r="U176" s="17">
        <f>IF(MONTH(Table1[[#This Row],[Reporting date]])&lt;Policy_Inception_Month,YEAR(Table1[[#This Row],[Reporting date]])-1,YEAR(Table1[[#This Row],[Reporting date]]))</f>
        <v>2012</v>
      </c>
      <c r="V176" s="17">
        <f>Table1[[#This Row],[Reporting year]]-Table1[[#This Row],[Policy Year]]</f>
        <v>0</v>
      </c>
      <c r="W176" s="17">
        <f>INT(Table1[[#This Row],[Reporting date]])-INT(Table1[[#This Row],[Loss date]])</f>
        <v>113</v>
      </c>
      <c r="X176" s="17">
        <f>INT((YEAR(Table1[[#This Row],[Loss date]])*12+MONTH(Table1[[#This Row],[Loss date]])-Earliest_Month)/4)</f>
        <v>21</v>
      </c>
      <c r="Y176" s="17">
        <f>INT((YEAR(Table1[[#This Row],[Reporting date]])*12+MONTH(Table1[[#This Row],[Reporting date]])-Earliest_Month)/4)</f>
        <v>22</v>
      </c>
      <c r="Z176" s="17">
        <f>Table1[[#This Row],[Reporting third]]-Table1[[#This Row],[Policy third]]</f>
        <v>1</v>
      </c>
      <c r="AA176" s="71" t="str">
        <f>IF(Table1[[#This Row],[Overall amount]]=0,"N/A",Table1[[#This Row],[Outstanding]]/Table1[[#This Row],[Overall amount]])</f>
        <v>N/A</v>
      </c>
      <c r="AB176" s="17">
        <f>IF(MONTH(Table1[[#This Row],[Loss date]])&lt;Pol_Inc_Month_Shifted,YEAR(Table1[[#This Row],[Loss date]])-1,YEAR(Table1[[#This Row],[Loss date]]))</f>
        <v>2011</v>
      </c>
      <c r="AC176" s="17">
        <f>IF(MONTH(Table1[[#This Row],[Reporting date]])&lt;Pol_Inc_Month_Shifted,YEAR(Table1[[#This Row],[Reporting date]])-1,YEAR(Table1[[#This Row],[Reporting date]]))</f>
        <v>2011</v>
      </c>
      <c r="AD176" s="17">
        <f>Table1[[#This Row],[Reporting year (shifted)]]-Table1[[#This Row],[Policy Year (shifted)]]</f>
        <v>0</v>
      </c>
    </row>
    <row r="177" spans="1:30" ht="13.9">
      <c r="A177" s="8" t="s">
        <v>1947</v>
      </c>
      <c r="B177" s="8" t="s">
        <v>229</v>
      </c>
      <c r="C177" s="8" t="s">
        <v>123</v>
      </c>
      <c r="D177" s="9">
        <v>40942</v>
      </c>
      <c r="E177" s="9">
        <v>41225</v>
      </c>
      <c r="F177" s="17">
        <f>IF(MONTH(Table1[[#This Row],[Loss date]])&lt;Policy_Inception_Month,YEAR(Table1[[#This Row],[Loss date]])-1,YEAR(Table1[[#This Row],[Loss date]]))</f>
        <v>2011</v>
      </c>
      <c r="G177" s="10" t="s">
        <v>125</v>
      </c>
      <c r="H177" s="10" t="s">
        <v>2</v>
      </c>
      <c r="I177" s="11">
        <v>0</v>
      </c>
      <c r="J177" s="11">
        <v>0</v>
      </c>
      <c r="K177" s="11">
        <v>0</v>
      </c>
      <c r="L177" s="12">
        <v>0</v>
      </c>
      <c r="M177" s="12">
        <v>0</v>
      </c>
      <c r="N177" s="12">
        <v>0</v>
      </c>
      <c r="O177" s="70">
        <f>IF(Table1[[#This Row],[Overall amount]]=0,0,1)</f>
        <v>0</v>
      </c>
      <c r="P177" s="70">
        <f>Table1[[#This Row],[Overall amount]]*Exchange_Rate</f>
        <v>0</v>
      </c>
      <c r="Q177" s="70">
        <f>Table1[[#This Row],[Overall (destination currency)]]*(1+Claims_Inflation)^((Revalue_at_date-Table1[[#This Row],[Loss date]])/365.25)</f>
        <v>0</v>
      </c>
      <c r="R177" s="70">
        <f>INT(Table1[[#This Row],[Reporting date]])-INT(Table1[[#This Row],[Loss date]])</f>
        <v>283</v>
      </c>
      <c r="S177" s="69" t="s">
        <v>9</v>
      </c>
      <c r="T177" s="70">
        <f>VLOOKUP(Table1[[#This Row],[Policy Year]],exposure_table,3,FALSE)</f>
        <v>870.52680000000009</v>
      </c>
      <c r="U177" s="17">
        <f>IF(MONTH(Table1[[#This Row],[Reporting date]])&lt;Policy_Inception_Month,YEAR(Table1[[#This Row],[Reporting date]])-1,YEAR(Table1[[#This Row],[Reporting date]]))</f>
        <v>2012</v>
      </c>
      <c r="V177" s="17">
        <f>Table1[[#This Row],[Reporting year]]-Table1[[#This Row],[Policy Year]]</f>
        <v>1</v>
      </c>
      <c r="W177" s="17">
        <f>INT(Table1[[#This Row],[Reporting date]])-INT(Table1[[#This Row],[Loss date]])</f>
        <v>283</v>
      </c>
      <c r="X177" s="17">
        <f>INT((YEAR(Table1[[#This Row],[Loss date]])*12+MONTH(Table1[[#This Row],[Loss date]])-Earliest_Month)/4)</f>
        <v>20</v>
      </c>
      <c r="Y177" s="17">
        <f>INT((YEAR(Table1[[#This Row],[Reporting date]])*12+MONTH(Table1[[#This Row],[Reporting date]])-Earliest_Month)/4)</f>
        <v>22</v>
      </c>
      <c r="Z177" s="17">
        <f>Table1[[#This Row],[Reporting third]]-Table1[[#This Row],[Policy third]]</f>
        <v>2</v>
      </c>
      <c r="AA177" s="71" t="str">
        <f>IF(Table1[[#This Row],[Overall amount]]=0,"N/A",Table1[[#This Row],[Outstanding]]/Table1[[#This Row],[Overall amount]])</f>
        <v>N/A</v>
      </c>
      <c r="AB177" s="17">
        <f>IF(MONTH(Table1[[#This Row],[Loss date]])&lt;Pol_Inc_Month_Shifted,YEAR(Table1[[#This Row],[Loss date]])-1,YEAR(Table1[[#This Row],[Loss date]]))</f>
        <v>2011</v>
      </c>
      <c r="AC177" s="17">
        <f>IF(MONTH(Table1[[#This Row],[Reporting date]])&lt;Pol_Inc_Month_Shifted,YEAR(Table1[[#This Row],[Reporting date]])-1,YEAR(Table1[[#This Row],[Reporting date]]))</f>
        <v>2011</v>
      </c>
      <c r="AD177" s="17">
        <f>Table1[[#This Row],[Reporting year (shifted)]]-Table1[[#This Row],[Policy Year (shifted)]]</f>
        <v>0</v>
      </c>
    </row>
    <row r="178" spans="1:30" ht="13.9">
      <c r="A178" s="8" t="s">
        <v>1948</v>
      </c>
      <c r="B178" s="8" t="s">
        <v>230</v>
      </c>
      <c r="C178" s="8" t="s">
        <v>123</v>
      </c>
      <c r="D178" s="9">
        <v>41087</v>
      </c>
      <c r="E178" s="9">
        <v>41229</v>
      </c>
      <c r="F178" s="17">
        <f>IF(MONTH(Table1[[#This Row],[Loss date]])&lt;Policy_Inception_Month,YEAR(Table1[[#This Row],[Loss date]])-1,YEAR(Table1[[#This Row],[Loss date]]))</f>
        <v>2012</v>
      </c>
      <c r="G178" s="10" t="s">
        <v>125</v>
      </c>
      <c r="H178" s="10" t="s">
        <v>2</v>
      </c>
      <c r="I178" s="11">
        <v>0</v>
      </c>
      <c r="J178" s="11">
        <v>0</v>
      </c>
      <c r="K178" s="11">
        <v>0</v>
      </c>
      <c r="L178" s="12">
        <v>307.04982348573418</v>
      </c>
      <c r="M178" s="12">
        <v>0</v>
      </c>
      <c r="N178" s="12">
        <v>307.04982348573418</v>
      </c>
      <c r="O178" s="70">
        <f>IF(Table1[[#This Row],[Overall amount]]=0,0,1)</f>
        <v>1</v>
      </c>
      <c r="P178" s="70">
        <f>Table1[[#This Row],[Overall amount]]*Exchange_Rate</f>
        <v>307.04982348573418</v>
      </c>
      <c r="Q178" s="70">
        <f>Table1[[#This Row],[Overall (destination currency)]]*(1+Claims_Inflation)^((Revalue_at_date-Table1[[#This Row],[Loss date]])/365.25)</f>
        <v>359.99999999999994</v>
      </c>
      <c r="R178" s="70">
        <f>INT(Table1[[#This Row],[Reporting date]])-INT(Table1[[#This Row],[Loss date]])</f>
        <v>142</v>
      </c>
      <c r="S178" s="69" t="s">
        <v>9</v>
      </c>
      <c r="T178" s="70">
        <f>VLOOKUP(Table1[[#This Row],[Policy Year]],exposure_table,3,FALSE)</f>
        <v>1057.54</v>
      </c>
      <c r="U178" s="17">
        <f>IF(MONTH(Table1[[#This Row],[Reporting date]])&lt;Policy_Inception_Month,YEAR(Table1[[#This Row],[Reporting date]])-1,YEAR(Table1[[#This Row],[Reporting date]]))</f>
        <v>2012</v>
      </c>
      <c r="V178" s="17">
        <f>Table1[[#This Row],[Reporting year]]-Table1[[#This Row],[Policy Year]]</f>
        <v>0</v>
      </c>
      <c r="W178" s="17">
        <f>INT(Table1[[#This Row],[Reporting date]])-INT(Table1[[#This Row],[Loss date]])</f>
        <v>142</v>
      </c>
      <c r="X178" s="17">
        <f>INT((YEAR(Table1[[#This Row],[Loss date]])*12+MONTH(Table1[[#This Row],[Loss date]])-Earliest_Month)/4)</f>
        <v>21</v>
      </c>
      <c r="Y178" s="17">
        <f>INT((YEAR(Table1[[#This Row],[Reporting date]])*12+MONTH(Table1[[#This Row],[Reporting date]])-Earliest_Month)/4)</f>
        <v>22</v>
      </c>
      <c r="Z178" s="17">
        <f>Table1[[#This Row],[Reporting third]]-Table1[[#This Row],[Policy third]]</f>
        <v>1</v>
      </c>
      <c r="AA178" s="71">
        <f>IF(Table1[[#This Row],[Overall amount]]=0,"N/A",Table1[[#This Row],[Outstanding]]/Table1[[#This Row],[Overall amount]])</f>
        <v>0</v>
      </c>
      <c r="AB178" s="17">
        <f>IF(MONTH(Table1[[#This Row],[Loss date]])&lt;Pol_Inc_Month_Shifted,YEAR(Table1[[#This Row],[Loss date]])-1,YEAR(Table1[[#This Row],[Loss date]]))</f>
        <v>2011</v>
      </c>
      <c r="AC178" s="17">
        <f>IF(MONTH(Table1[[#This Row],[Reporting date]])&lt;Pol_Inc_Month_Shifted,YEAR(Table1[[#This Row],[Reporting date]])-1,YEAR(Table1[[#This Row],[Reporting date]]))</f>
        <v>2011</v>
      </c>
      <c r="AD178" s="17">
        <f>Table1[[#This Row],[Reporting year (shifted)]]-Table1[[#This Row],[Policy Year (shifted)]]</f>
        <v>0</v>
      </c>
    </row>
    <row r="179" spans="1:30" ht="13.9">
      <c r="A179" s="8" t="s">
        <v>1949</v>
      </c>
      <c r="B179" s="8" t="s">
        <v>231</v>
      </c>
      <c r="C179" s="8" t="s">
        <v>123</v>
      </c>
      <c r="D179" s="9">
        <v>41118</v>
      </c>
      <c r="E179" s="9">
        <v>41286</v>
      </c>
      <c r="F179" s="17">
        <f>IF(MONTH(Table1[[#This Row],[Loss date]])&lt;Policy_Inception_Month,YEAR(Table1[[#This Row],[Loss date]])-1,YEAR(Table1[[#This Row],[Loss date]]))</f>
        <v>2012</v>
      </c>
      <c r="G179" s="10" t="s">
        <v>125</v>
      </c>
      <c r="H179" s="10" t="s">
        <v>2</v>
      </c>
      <c r="I179" s="11">
        <v>0</v>
      </c>
      <c r="J179" s="11">
        <v>0</v>
      </c>
      <c r="K179" s="11">
        <v>0</v>
      </c>
      <c r="L179" s="12">
        <v>0</v>
      </c>
      <c r="M179" s="12">
        <v>0</v>
      </c>
      <c r="N179" s="12">
        <v>0</v>
      </c>
      <c r="O179" s="70">
        <f>IF(Table1[[#This Row],[Overall amount]]=0,0,1)</f>
        <v>0</v>
      </c>
      <c r="P179" s="70">
        <f>Table1[[#This Row],[Overall amount]]*Exchange_Rate</f>
        <v>0</v>
      </c>
      <c r="Q179" s="70">
        <f>Table1[[#This Row],[Overall (destination currency)]]*(1+Claims_Inflation)^((Revalue_at_date-Table1[[#This Row],[Loss date]])/365.25)</f>
        <v>0</v>
      </c>
      <c r="R179" s="70">
        <f>INT(Table1[[#This Row],[Reporting date]])-INT(Table1[[#This Row],[Loss date]])</f>
        <v>168</v>
      </c>
      <c r="S179" s="69" t="s">
        <v>9</v>
      </c>
      <c r="T179" s="70">
        <f>VLOOKUP(Table1[[#This Row],[Policy Year]],exposure_table,3,FALSE)</f>
        <v>1057.54</v>
      </c>
      <c r="U179" s="17">
        <f>IF(MONTH(Table1[[#This Row],[Reporting date]])&lt;Policy_Inception_Month,YEAR(Table1[[#This Row],[Reporting date]])-1,YEAR(Table1[[#This Row],[Reporting date]]))</f>
        <v>2012</v>
      </c>
      <c r="V179" s="17">
        <f>Table1[[#This Row],[Reporting year]]-Table1[[#This Row],[Policy Year]]</f>
        <v>0</v>
      </c>
      <c r="W179" s="17">
        <f>INT(Table1[[#This Row],[Reporting date]])-INT(Table1[[#This Row],[Loss date]])</f>
        <v>168</v>
      </c>
      <c r="X179" s="17">
        <f>INT((YEAR(Table1[[#This Row],[Loss date]])*12+MONTH(Table1[[#This Row],[Loss date]])-Earliest_Month)/4)</f>
        <v>21</v>
      </c>
      <c r="Y179" s="17">
        <f>INT((YEAR(Table1[[#This Row],[Reporting date]])*12+MONTH(Table1[[#This Row],[Reporting date]])-Earliest_Month)/4)</f>
        <v>23</v>
      </c>
      <c r="Z179" s="17">
        <f>Table1[[#This Row],[Reporting third]]-Table1[[#This Row],[Policy third]]</f>
        <v>2</v>
      </c>
      <c r="AA179" s="71" t="str">
        <f>IF(Table1[[#This Row],[Overall amount]]=0,"N/A",Table1[[#This Row],[Outstanding]]/Table1[[#This Row],[Overall amount]])</f>
        <v>N/A</v>
      </c>
      <c r="AB179" s="17">
        <f>IF(MONTH(Table1[[#This Row],[Loss date]])&lt;Pol_Inc_Month_Shifted,YEAR(Table1[[#This Row],[Loss date]])-1,YEAR(Table1[[#This Row],[Loss date]]))</f>
        <v>2011</v>
      </c>
      <c r="AC179" s="17">
        <f>IF(MONTH(Table1[[#This Row],[Reporting date]])&lt;Pol_Inc_Month_Shifted,YEAR(Table1[[#This Row],[Reporting date]])-1,YEAR(Table1[[#This Row],[Reporting date]]))</f>
        <v>2012</v>
      </c>
      <c r="AD179" s="17">
        <f>Table1[[#This Row],[Reporting year (shifted)]]-Table1[[#This Row],[Policy Year (shifted)]]</f>
        <v>1</v>
      </c>
    </row>
    <row r="180" spans="1:30" ht="13.9">
      <c r="A180" s="8" t="s">
        <v>1950</v>
      </c>
      <c r="B180" s="8" t="s">
        <v>232</v>
      </c>
      <c r="C180" s="8" t="s">
        <v>123</v>
      </c>
      <c r="D180" s="9">
        <v>41308</v>
      </c>
      <c r="E180" s="9">
        <v>41329</v>
      </c>
      <c r="F180" s="17">
        <f>IF(MONTH(Table1[[#This Row],[Loss date]])&lt;Policy_Inception_Month,YEAR(Table1[[#This Row],[Loss date]])-1,YEAR(Table1[[#This Row],[Loss date]]))</f>
        <v>2012</v>
      </c>
      <c r="G180" s="10" t="s">
        <v>125</v>
      </c>
      <c r="H180" s="10" t="s">
        <v>2</v>
      </c>
      <c r="I180" s="11">
        <v>0</v>
      </c>
      <c r="J180" s="11">
        <v>0</v>
      </c>
      <c r="K180" s="11">
        <v>0</v>
      </c>
      <c r="L180" s="12">
        <v>0</v>
      </c>
      <c r="M180" s="12">
        <v>16.128721092694843</v>
      </c>
      <c r="N180" s="12">
        <v>-16.128721092694843</v>
      </c>
      <c r="O180" s="70">
        <f>IF(Table1[[#This Row],[Overall amount]]=0,0,1)</f>
        <v>1</v>
      </c>
      <c r="P180" s="70">
        <f>Table1[[#This Row],[Overall amount]]*Exchange_Rate</f>
        <v>-16.128721092694843</v>
      </c>
      <c r="Q180" s="70">
        <f>Table1[[#This Row],[Overall (destination currency)]]*(1+Claims_Inflation)^((Revalue_at_date-Table1[[#This Row],[Loss date]])/365.25)</f>
        <v>-18.36</v>
      </c>
      <c r="R180" s="70">
        <f>INT(Table1[[#This Row],[Reporting date]])-INT(Table1[[#This Row],[Loss date]])</f>
        <v>21</v>
      </c>
      <c r="S180" s="69" t="s">
        <v>9</v>
      </c>
      <c r="T180" s="70">
        <f>VLOOKUP(Table1[[#This Row],[Policy Year]],exposure_table,3,FALSE)</f>
        <v>1057.54</v>
      </c>
      <c r="U180" s="17">
        <f>IF(MONTH(Table1[[#This Row],[Reporting date]])&lt;Policy_Inception_Month,YEAR(Table1[[#This Row],[Reporting date]])-1,YEAR(Table1[[#This Row],[Reporting date]]))</f>
        <v>2012</v>
      </c>
      <c r="V180" s="17">
        <f>Table1[[#This Row],[Reporting year]]-Table1[[#This Row],[Policy Year]]</f>
        <v>0</v>
      </c>
      <c r="W180" s="17">
        <f>INT(Table1[[#This Row],[Reporting date]])-INT(Table1[[#This Row],[Loss date]])</f>
        <v>21</v>
      </c>
      <c r="X180" s="17">
        <f>INT((YEAR(Table1[[#This Row],[Loss date]])*12+MONTH(Table1[[#This Row],[Loss date]])-Earliest_Month)/4)</f>
        <v>23</v>
      </c>
      <c r="Y180" s="17">
        <f>INT((YEAR(Table1[[#This Row],[Reporting date]])*12+MONTH(Table1[[#This Row],[Reporting date]])-Earliest_Month)/4)</f>
        <v>23</v>
      </c>
      <c r="Z180" s="17">
        <f>Table1[[#This Row],[Reporting third]]-Table1[[#This Row],[Policy third]]</f>
        <v>0</v>
      </c>
      <c r="AA180" s="71">
        <f>IF(Table1[[#This Row],[Overall amount]]=0,"N/A",Table1[[#This Row],[Outstanding]]/Table1[[#This Row],[Overall amount]])</f>
        <v>0</v>
      </c>
      <c r="AB180" s="17">
        <f>IF(MONTH(Table1[[#This Row],[Loss date]])&lt;Pol_Inc_Month_Shifted,YEAR(Table1[[#This Row],[Loss date]])-1,YEAR(Table1[[#This Row],[Loss date]]))</f>
        <v>2012</v>
      </c>
      <c r="AC180" s="17">
        <f>IF(MONTH(Table1[[#This Row],[Reporting date]])&lt;Pol_Inc_Month_Shifted,YEAR(Table1[[#This Row],[Reporting date]])-1,YEAR(Table1[[#This Row],[Reporting date]]))</f>
        <v>2012</v>
      </c>
      <c r="AD180" s="17">
        <f>Table1[[#This Row],[Reporting year (shifted)]]-Table1[[#This Row],[Policy Year (shifted)]]</f>
        <v>0</v>
      </c>
    </row>
    <row r="181" spans="1:30" ht="13.9">
      <c r="A181" s="8" t="s">
        <v>1951</v>
      </c>
      <c r="B181" s="8" t="s">
        <v>233</v>
      </c>
      <c r="C181" s="8" t="s">
        <v>123</v>
      </c>
      <c r="D181" s="9">
        <v>41142</v>
      </c>
      <c r="E181" s="9">
        <v>41524</v>
      </c>
      <c r="F181" s="17">
        <f>IF(MONTH(Table1[[#This Row],[Loss date]])&lt;Policy_Inception_Month,YEAR(Table1[[#This Row],[Loss date]])-1,YEAR(Table1[[#This Row],[Loss date]]))</f>
        <v>2012</v>
      </c>
      <c r="G181" s="10" t="s">
        <v>125</v>
      </c>
      <c r="H181" s="10" t="s">
        <v>2</v>
      </c>
      <c r="I181" s="11">
        <v>0</v>
      </c>
      <c r="J181" s="11">
        <v>0</v>
      </c>
      <c r="K181" s="11">
        <v>0</v>
      </c>
      <c r="L181" s="12">
        <v>0</v>
      </c>
      <c r="M181" s="12">
        <v>0</v>
      </c>
      <c r="N181" s="12">
        <v>0</v>
      </c>
      <c r="O181" s="70">
        <f>IF(Table1[[#This Row],[Overall amount]]=0,0,1)</f>
        <v>0</v>
      </c>
      <c r="P181" s="70">
        <f>Table1[[#This Row],[Overall amount]]*Exchange_Rate</f>
        <v>0</v>
      </c>
      <c r="Q181" s="70">
        <f>Table1[[#This Row],[Overall (destination currency)]]*(1+Claims_Inflation)^((Revalue_at_date-Table1[[#This Row],[Loss date]])/365.25)</f>
        <v>0</v>
      </c>
      <c r="R181" s="70">
        <f>INT(Table1[[#This Row],[Reporting date]])-INT(Table1[[#This Row],[Loss date]])</f>
        <v>382</v>
      </c>
      <c r="S181" s="69" t="s">
        <v>9</v>
      </c>
      <c r="T181" s="70">
        <f>VLOOKUP(Table1[[#This Row],[Policy Year]],exposure_table,3,FALSE)</f>
        <v>1057.54</v>
      </c>
      <c r="U181" s="17">
        <f>IF(MONTH(Table1[[#This Row],[Reporting date]])&lt;Policy_Inception_Month,YEAR(Table1[[#This Row],[Reporting date]])-1,YEAR(Table1[[#This Row],[Reporting date]]))</f>
        <v>2013</v>
      </c>
      <c r="V181" s="17">
        <f>Table1[[#This Row],[Reporting year]]-Table1[[#This Row],[Policy Year]]</f>
        <v>1</v>
      </c>
      <c r="W181" s="17">
        <f>INT(Table1[[#This Row],[Reporting date]])-INT(Table1[[#This Row],[Loss date]])</f>
        <v>382</v>
      </c>
      <c r="X181" s="17">
        <f>INT((YEAR(Table1[[#This Row],[Loss date]])*12+MONTH(Table1[[#This Row],[Loss date]])-Earliest_Month)/4)</f>
        <v>22</v>
      </c>
      <c r="Y181" s="17">
        <f>INT((YEAR(Table1[[#This Row],[Reporting date]])*12+MONTH(Table1[[#This Row],[Reporting date]])-Earliest_Month)/4)</f>
        <v>25</v>
      </c>
      <c r="Z181" s="17">
        <f>Table1[[#This Row],[Reporting third]]-Table1[[#This Row],[Policy third]]</f>
        <v>3</v>
      </c>
      <c r="AA181" s="71" t="str">
        <f>IF(Table1[[#This Row],[Overall amount]]=0,"N/A",Table1[[#This Row],[Outstanding]]/Table1[[#This Row],[Overall amount]])</f>
        <v>N/A</v>
      </c>
      <c r="AB181" s="17">
        <f>IF(MONTH(Table1[[#This Row],[Loss date]])&lt;Pol_Inc_Month_Shifted,YEAR(Table1[[#This Row],[Loss date]])-1,YEAR(Table1[[#This Row],[Loss date]]))</f>
        <v>2011</v>
      </c>
      <c r="AC181" s="17">
        <f>IF(MONTH(Table1[[#This Row],[Reporting date]])&lt;Pol_Inc_Month_Shifted,YEAR(Table1[[#This Row],[Reporting date]])-1,YEAR(Table1[[#This Row],[Reporting date]]))</f>
        <v>2012</v>
      </c>
      <c r="AD181" s="17">
        <f>Table1[[#This Row],[Reporting year (shifted)]]-Table1[[#This Row],[Policy Year (shifted)]]</f>
        <v>1</v>
      </c>
    </row>
    <row r="182" spans="1:30" ht="13.9">
      <c r="A182" s="8" t="s">
        <v>1952</v>
      </c>
      <c r="B182" s="8" t="s">
        <v>234</v>
      </c>
      <c r="C182" s="8" t="s">
        <v>123</v>
      </c>
      <c r="D182" s="9">
        <v>41421</v>
      </c>
      <c r="E182" s="9">
        <v>41544</v>
      </c>
      <c r="F182" s="17">
        <f>IF(MONTH(Table1[[#This Row],[Loss date]])&lt;Policy_Inception_Month,YEAR(Table1[[#This Row],[Loss date]])-1,YEAR(Table1[[#This Row],[Loss date]]))</f>
        <v>2013</v>
      </c>
      <c r="G182" s="10" t="s">
        <v>125</v>
      </c>
      <c r="H182" s="10" t="s">
        <v>2</v>
      </c>
      <c r="I182" s="11">
        <v>0</v>
      </c>
      <c r="J182" s="11">
        <v>0</v>
      </c>
      <c r="K182" s="11">
        <v>0</v>
      </c>
      <c r="L182" s="12">
        <v>321.05928968892988</v>
      </c>
      <c r="M182" s="12">
        <v>0</v>
      </c>
      <c r="N182" s="12">
        <v>321.05928968892988</v>
      </c>
      <c r="O182" s="70">
        <f>IF(Table1[[#This Row],[Overall amount]]=0,0,1)</f>
        <v>1</v>
      </c>
      <c r="P182" s="70">
        <f>Table1[[#This Row],[Overall amount]]*Exchange_Rate</f>
        <v>321.05928968892988</v>
      </c>
      <c r="Q182" s="70">
        <f>Table1[[#This Row],[Overall (destination currency)]]*(1+Claims_Inflation)^((Revalue_at_date-Table1[[#This Row],[Loss date]])/365.25)</f>
        <v>360.00000000000006</v>
      </c>
      <c r="R182" s="70">
        <f>INT(Table1[[#This Row],[Reporting date]])-INT(Table1[[#This Row],[Loss date]])</f>
        <v>123</v>
      </c>
      <c r="S182" s="69" t="s">
        <v>9</v>
      </c>
      <c r="T182" s="70">
        <f>VLOOKUP(Table1[[#This Row],[Policy Year]],exposure_table,3,FALSE)</f>
        <v>1090.5865384615383</v>
      </c>
      <c r="U182" s="17">
        <f>IF(MONTH(Table1[[#This Row],[Reporting date]])&lt;Policy_Inception_Month,YEAR(Table1[[#This Row],[Reporting date]])-1,YEAR(Table1[[#This Row],[Reporting date]]))</f>
        <v>2013</v>
      </c>
      <c r="V182" s="17">
        <f>Table1[[#This Row],[Reporting year]]-Table1[[#This Row],[Policy Year]]</f>
        <v>0</v>
      </c>
      <c r="W182" s="17">
        <f>INT(Table1[[#This Row],[Reporting date]])-INT(Table1[[#This Row],[Loss date]])</f>
        <v>123</v>
      </c>
      <c r="X182" s="17">
        <f>INT((YEAR(Table1[[#This Row],[Loss date]])*12+MONTH(Table1[[#This Row],[Loss date]])-Earliest_Month)/4)</f>
        <v>24</v>
      </c>
      <c r="Y182" s="17">
        <f>INT((YEAR(Table1[[#This Row],[Reporting date]])*12+MONTH(Table1[[#This Row],[Reporting date]])-Earliest_Month)/4)</f>
        <v>25</v>
      </c>
      <c r="Z182" s="17">
        <f>Table1[[#This Row],[Reporting third]]-Table1[[#This Row],[Policy third]]</f>
        <v>1</v>
      </c>
      <c r="AA182" s="71">
        <f>IF(Table1[[#This Row],[Overall amount]]=0,"N/A",Table1[[#This Row],[Outstanding]]/Table1[[#This Row],[Overall amount]])</f>
        <v>0</v>
      </c>
      <c r="AB182" s="17">
        <f>IF(MONTH(Table1[[#This Row],[Loss date]])&lt;Pol_Inc_Month_Shifted,YEAR(Table1[[#This Row],[Loss date]])-1,YEAR(Table1[[#This Row],[Loss date]]))</f>
        <v>2012</v>
      </c>
      <c r="AC182" s="17">
        <f>IF(MONTH(Table1[[#This Row],[Reporting date]])&lt;Pol_Inc_Month_Shifted,YEAR(Table1[[#This Row],[Reporting date]])-1,YEAR(Table1[[#This Row],[Reporting date]]))</f>
        <v>2012</v>
      </c>
      <c r="AD182" s="17">
        <f>Table1[[#This Row],[Reporting year (shifted)]]-Table1[[#This Row],[Policy Year (shifted)]]</f>
        <v>0</v>
      </c>
    </row>
    <row r="183" spans="1:30" ht="13.9">
      <c r="A183" s="8" t="s">
        <v>1953</v>
      </c>
      <c r="B183" s="8" t="s">
        <v>235</v>
      </c>
      <c r="C183" s="8" t="s">
        <v>123</v>
      </c>
      <c r="D183" s="9">
        <v>41322</v>
      </c>
      <c r="E183" s="9">
        <v>41544</v>
      </c>
      <c r="F183" s="17">
        <f>IF(MONTH(Table1[[#This Row],[Loss date]])&lt;Policy_Inception_Month,YEAR(Table1[[#This Row],[Loss date]])-1,YEAR(Table1[[#This Row],[Loss date]]))</f>
        <v>2012</v>
      </c>
      <c r="G183" s="10" t="s">
        <v>125</v>
      </c>
      <c r="H183" s="10" t="s">
        <v>2</v>
      </c>
      <c r="I183" s="11">
        <v>0</v>
      </c>
      <c r="J183" s="11">
        <v>8449.1043141948903</v>
      </c>
      <c r="K183" s="11">
        <v>8449.1043141948903</v>
      </c>
      <c r="L183" s="12">
        <v>0</v>
      </c>
      <c r="M183" s="12">
        <v>0</v>
      </c>
      <c r="N183" s="12">
        <v>8449.1043141948903</v>
      </c>
      <c r="O183" s="70">
        <f>IF(Table1[[#This Row],[Overall amount]]=0,0,1)</f>
        <v>1</v>
      </c>
      <c r="P183" s="70">
        <f>Table1[[#This Row],[Overall amount]]*Exchange_Rate</f>
        <v>8449.1043141948903</v>
      </c>
      <c r="Q183" s="70">
        <f>Table1[[#This Row],[Overall (destination currency)]]*(1+Claims_Inflation)^((Revalue_at_date-Table1[[#This Row],[Loss date]])/365.25)</f>
        <v>9600</v>
      </c>
      <c r="R183" s="70">
        <f>INT(Table1[[#This Row],[Reporting date]])-INT(Table1[[#This Row],[Loss date]])</f>
        <v>222</v>
      </c>
      <c r="S183" s="69" t="s">
        <v>16</v>
      </c>
      <c r="T183" s="70">
        <f>VLOOKUP(Table1[[#This Row],[Policy Year]],exposure_table,3,FALSE)</f>
        <v>1057.54</v>
      </c>
      <c r="U183" s="17">
        <f>IF(MONTH(Table1[[#This Row],[Reporting date]])&lt;Policy_Inception_Month,YEAR(Table1[[#This Row],[Reporting date]])-1,YEAR(Table1[[#This Row],[Reporting date]]))</f>
        <v>2013</v>
      </c>
      <c r="V183" s="17">
        <f>Table1[[#This Row],[Reporting year]]-Table1[[#This Row],[Policy Year]]</f>
        <v>1</v>
      </c>
      <c r="W183" s="17">
        <f>INT(Table1[[#This Row],[Reporting date]])-INT(Table1[[#This Row],[Loss date]])</f>
        <v>222</v>
      </c>
      <c r="X183" s="17">
        <f>INT((YEAR(Table1[[#This Row],[Loss date]])*12+MONTH(Table1[[#This Row],[Loss date]])-Earliest_Month)/4)</f>
        <v>23</v>
      </c>
      <c r="Y183" s="17">
        <f>INT((YEAR(Table1[[#This Row],[Reporting date]])*12+MONTH(Table1[[#This Row],[Reporting date]])-Earliest_Month)/4)</f>
        <v>25</v>
      </c>
      <c r="Z183" s="17">
        <f>Table1[[#This Row],[Reporting third]]-Table1[[#This Row],[Policy third]]</f>
        <v>2</v>
      </c>
      <c r="AA183" s="71">
        <f>IF(Table1[[#This Row],[Overall amount]]=0,"N/A",Table1[[#This Row],[Outstanding]]/Table1[[#This Row],[Overall amount]])</f>
        <v>1</v>
      </c>
      <c r="AB183" s="17">
        <f>IF(MONTH(Table1[[#This Row],[Loss date]])&lt;Pol_Inc_Month_Shifted,YEAR(Table1[[#This Row],[Loss date]])-1,YEAR(Table1[[#This Row],[Loss date]]))</f>
        <v>2012</v>
      </c>
      <c r="AC183" s="17">
        <f>IF(MONTH(Table1[[#This Row],[Reporting date]])&lt;Pol_Inc_Month_Shifted,YEAR(Table1[[#This Row],[Reporting date]])-1,YEAR(Table1[[#This Row],[Reporting date]]))</f>
        <v>2012</v>
      </c>
      <c r="AD183" s="17">
        <f>Table1[[#This Row],[Reporting year (shifted)]]-Table1[[#This Row],[Policy Year (shifted)]]</f>
        <v>0</v>
      </c>
    </row>
    <row r="184" spans="1:30" ht="13.9">
      <c r="A184" s="8" t="s">
        <v>1954</v>
      </c>
      <c r="B184" s="8" t="s">
        <v>236</v>
      </c>
      <c r="C184" s="8" t="s">
        <v>123</v>
      </c>
      <c r="D184" s="9">
        <v>41382</v>
      </c>
      <c r="E184" s="9">
        <v>41558</v>
      </c>
      <c r="F184" s="17">
        <f>IF(MONTH(Table1[[#This Row],[Loss date]])&lt;Policy_Inception_Month,YEAR(Table1[[#This Row],[Loss date]])-1,YEAR(Table1[[#This Row],[Loss date]]))</f>
        <v>2013</v>
      </c>
      <c r="G184" s="10" t="s">
        <v>125</v>
      </c>
      <c r="H184" s="10" t="s">
        <v>2</v>
      </c>
      <c r="I184" s="11">
        <v>0</v>
      </c>
      <c r="J184" s="11">
        <v>0</v>
      </c>
      <c r="K184" s="11">
        <v>0</v>
      </c>
      <c r="L184" s="12">
        <v>0</v>
      </c>
      <c r="M184" s="12">
        <v>0</v>
      </c>
      <c r="N184" s="12">
        <v>0</v>
      </c>
      <c r="O184" s="70">
        <f>IF(Table1[[#This Row],[Overall amount]]=0,0,1)</f>
        <v>0</v>
      </c>
      <c r="P184" s="70">
        <f>Table1[[#This Row],[Overall amount]]*Exchange_Rate</f>
        <v>0</v>
      </c>
      <c r="Q184" s="70">
        <f>Table1[[#This Row],[Overall (destination currency)]]*(1+Claims_Inflation)^((Revalue_at_date-Table1[[#This Row],[Loss date]])/365.25)</f>
        <v>0</v>
      </c>
      <c r="R184" s="70">
        <f>INT(Table1[[#This Row],[Reporting date]])-INT(Table1[[#This Row],[Loss date]])</f>
        <v>176</v>
      </c>
      <c r="S184" s="69" t="s">
        <v>9</v>
      </c>
      <c r="T184" s="70">
        <f>VLOOKUP(Table1[[#This Row],[Policy Year]],exposure_table,3,FALSE)</f>
        <v>1090.5865384615383</v>
      </c>
      <c r="U184" s="17">
        <f>IF(MONTH(Table1[[#This Row],[Reporting date]])&lt;Policy_Inception_Month,YEAR(Table1[[#This Row],[Reporting date]])-1,YEAR(Table1[[#This Row],[Reporting date]]))</f>
        <v>2013</v>
      </c>
      <c r="V184" s="17">
        <f>Table1[[#This Row],[Reporting year]]-Table1[[#This Row],[Policy Year]]</f>
        <v>0</v>
      </c>
      <c r="W184" s="17">
        <f>INT(Table1[[#This Row],[Reporting date]])-INT(Table1[[#This Row],[Loss date]])</f>
        <v>176</v>
      </c>
      <c r="X184" s="17">
        <f>INT((YEAR(Table1[[#This Row],[Loss date]])*12+MONTH(Table1[[#This Row],[Loss date]])-Earliest_Month)/4)</f>
        <v>24</v>
      </c>
      <c r="Y184" s="17">
        <f>INT((YEAR(Table1[[#This Row],[Reporting date]])*12+MONTH(Table1[[#This Row],[Reporting date]])-Earliest_Month)/4)</f>
        <v>25</v>
      </c>
      <c r="Z184" s="17">
        <f>Table1[[#This Row],[Reporting third]]-Table1[[#This Row],[Policy third]]</f>
        <v>1</v>
      </c>
      <c r="AA184" s="71" t="str">
        <f>IF(Table1[[#This Row],[Overall amount]]=0,"N/A",Table1[[#This Row],[Outstanding]]/Table1[[#This Row],[Overall amount]])</f>
        <v>N/A</v>
      </c>
      <c r="AB184" s="17">
        <f>IF(MONTH(Table1[[#This Row],[Loss date]])&lt;Pol_Inc_Month_Shifted,YEAR(Table1[[#This Row],[Loss date]])-1,YEAR(Table1[[#This Row],[Loss date]]))</f>
        <v>2012</v>
      </c>
      <c r="AC184" s="17">
        <f>IF(MONTH(Table1[[#This Row],[Reporting date]])&lt;Pol_Inc_Month_Shifted,YEAR(Table1[[#This Row],[Reporting date]])-1,YEAR(Table1[[#This Row],[Reporting date]]))</f>
        <v>2012</v>
      </c>
      <c r="AD184" s="17">
        <f>Table1[[#This Row],[Reporting year (shifted)]]-Table1[[#This Row],[Policy Year (shifted)]]</f>
        <v>0</v>
      </c>
    </row>
    <row r="185" spans="1:30" ht="13.9">
      <c r="A185" s="8" t="s">
        <v>1955</v>
      </c>
      <c r="B185" s="8" t="s">
        <v>237</v>
      </c>
      <c r="C185" s="8" t="s">
        <v>123</v>
      </c>
      <c r="D185" s="9">
        <v>41390</v>
      </c>
      <c r="E185" s="9">
        <v>41504</v>
      </c>
      <c r="F185" s="17">
        <f>IF(MONTH(Table1[[#This Row],[Loss date]])&lt;Policy_Inception_Month,YEAR(Table1[[#This Row],[Loss date]])-1,YEAR(Table1[[#This Row],[Loss date]]))</f>
        <v>2013</v>
      </c>
      <c r="G185" s="10" t="s">
        <v>125</v>
      </c>
      <c r="H185" s="10" t="s">
        <v>2</v>
      </c>
      <c r="I185" s="11">
        <v>0</v>
      </c>
      <c r="J185" s="11">
        <v>10657.751221180564</v>
      </c>
      <c r="K185" s="11">
        <v>10657.751221180564</v>
      </c>
      <c r="L185" s="12">
        <v>0</v>
      </c>
      <c r="M185" s="12">
        <v>0</v>
      </c>
      <c r="N185" s="12">
        <v>10657.751221180564</v>
      </c>
      <c r="O185" s="70">
        <f>IF(Table1[[#This Row],[Overall amount]]=0,0,1)</f>
        <v>1</v>
      </c>
      <c r="P185" s="70">
        <f>Table1[[#This Row],[Overall amount]]*Exchange_Rate</f>
        <v>10657.751221180564</v>
      </c>
      <c r="Q185" s="70">
        <f>Table1[[#This Row],[Overall (destination currency)]]*(1+Claims_Inflation)^((Revalue_at_date-Table1[[#This Row],[Loss date]])/365.25)</f>
        <v>11999.999999999998</v>
      </c>
      <c r="R185" s="70">
        <f>INT(Table1[[#This Row],[Reporting date]])-INT(Table1[[#This Row],[Loss date]])</f>
        <v>114</v>
      </c>
      <c r="S185" s="69" t="s">
        <v>16</v>
      </c>
      <c r="T185" s="70">
        <f>VLOOKUP(Table1[[#This Row],[Policy Year]],exposure_table,3,FALSE)</f>
        <v>1090.5865384615383</v>
      </c>
      <c r="U185" s="17">
        <f>IF(MONTH(Table1[[#This Row],[Reporting date]])&lt;Policy_Inception_Month,YEAR(Table1[[#This Row],[Reporting date]])-1,YEAR(Table1[[#This Row],[Reporting date]]))</f>
        <v>2013</v>
      </c>
      <c r="V185" s="17">
        <f>Table1[[#This Row],[Reporting year]]-Table1[[#This Row],[Policy Year]]</f>
        <v>0</v>
      </c>
      <c r="W185" s="17">
        <f>INT(Table1[[#This Row],[Reporting date]])-INT(Table1[[#This Row],[Loss date]])</f>
        <v>114</v>
      </c>
      <c r="X185" s="17">
        <f>INT((YEAR(Table1[[#This Row],[Loss date]])*12+MONTH(Table1[[#This Row],[Loss date]])-Earliest_Month)/4)</f>
        <v>24</v>
      </c>
      <c r="Y185" s="17">
        <f>INT((YEAR(Table1[[#This Row],[Reporting date]])*12+MONTH(Table1[[#This Row],[Reporting date]])-Earliest_Month)/4)</f>
        <v>25</v>
      </c>
      <c r="Z185" s="17">
        <f>Table1[[#This Row],[Reporting third]]-Table1[[#This Row],[Policy third]]</f>
        <v>1</v>
      </c>
      <c r="AA185" s="71">
        <f>IF(Table1[[#This Row],[Overall amount]]=0,"N/A",Table1[[#This Row],[Outstanding]]/Table1[[#This Row],[Overall amount]])</f>
        <v>1</v>
      </c>
      <c r="AB185" s="17">
        <f>IF(MONTH(Table1[[#This Row],[Loss date]])&lt;Pol_Inc_Month_Shifted,YEAR(Table1[[#This Row],[Loss date]])-1,YEAR(Table1[[#This Row],[Loss date]]))</f>
        <v>2012</v>
      </c>
      <c r="AC185" s="17">
        <f>IF(MONTH(Table1[[#This Row],[Reporting date]])&lt;Pol_Inc_Month_Shifted,YEAR(Table1[[#This Row],[Reporting date]])-1,YEAR(Table1[[#This Row],[Reporting date]]))</f>
        <v>2012</v>
      </c>
      <c r="AD185" s="17">
        <f>Table1[[#This Row],[Reporting year (shifted)]]-Table1[[#This Row],[Policy Year (shifted)]]</f>
        <v>0</v>
      </c>
    </row>
    <row r="186" spans="1:30" ht="13.9">
      <c r="A186" s="8" t="s">
        <v>1956</v>
      </c>
      <c r="B186" s="8" t="s">
        <v>238</v>
      </c>
      <c r="C186" s="8" t="s">
        <v>123</v>
      </c>
      <c r="D186" s="9">
        <v>40989</v>
      </c>
      <c r="E186" s="9">
        <v>41569</v>
      </c>
      <c r="F186" s="17">
        <f>IF(MONTH(Table1[[#This Row],[Loss date]])&lt;Policy_Inception_Month,YEAR(Table1[[#This Row],[Loss date]])-1,YEAR(Table1[[#This Row],[Loss date]]))</f>
        <v>2011</v>
      </c>
      <c r="G186" s="10" t="s">
        <v>125</v>
      </c>
      <c r="H186" s="10" t="s">
        <v>2</v>
      </c>
      <c r="I186" s="11">
        <v>6894.5347584349065</v>
      </c>
      <c r="J186" s="11">
        <v>0</v>
      </c>
      <c r="K186" s="11">
        <v>6894.5347584349065</v>
      </c>
      <c r="L186" s="12">
        <v>0</v>
      </c>
      <c r="M186" s="12">
        <v>0</v>
      </c>
      <c r="N186" s="12">
        <v>6894.5347584349065</v>
      </c>
      <c r="O186" s="70">
        <f>IF(Table1[[#This Row],[Overall amount]]=0,0,1)</f>
        <v>1</v>
      </c>
      <c r="P186" s="70">
        <f>Table1[[#This Row],[Overall amount]]*Exchange_Rate</f>
        <v>6894.5347584349065</v>
      </c>
      <c r="Q186" s="70">
        <f>Table1[[#This Row],[Overall (destination currency)]]*(1+Claims_Inflation)^((Revalue_at_date-Table1[[#This Row],[Loss date]])/365.25)</f>
        <v>8190</v>
      </c>
      <c r="R186" s="70">
        <f>INT(Table1[[#This Row],[Reporting date]])-INT(Table1[[#This Row],[Loss date]])</f>
        <v>580</v>
      </c>
      <c r="S186" s="69" t="s">
        <v>9</v>
      </c>
      <c r="T186" s="70">
        <f>VLOOKUP(Table1[[#This Row],[Policy Year]],exposure_table,3,FALSE)</f>
        <v>870.52680000000009</v>
      </c>
      <c r="U186" s="17">
        <f>IF(MONTH(Table1[[#This Row],[Reporting date]])&lt;Policy_Inception_Month,YEAR(Table1[[#This Row],[Reporting date]])-1,YEAR(Table1[[#This Row],[Reporting date]]))</f>
        <v>2013</v>
      </c>
      <c r="V186" s="17">
        <f>Table1[[#This Row],[Reporting year]]-Table1[[#This Row],[Policy Year]]</f>
        <v>2</v>
      </c>
      <c r="W186" s="17">
        <f>INT(Table1[[#This Row],[Reporting date]])-INT(Table1[[#This Row],[Loss date]])</f>
        <v>580</v>
      </c>
      <c r="X186" s="17">
        <f>INT((YEAR(Table1[[#This Row],[Loss date]])*12+MONTH(Table1[[#This Row],[Loss date]])-Earliest_Month)/4)</f>
        <v>20</v>
      </c>
      <c r="Y186" s="17">
        <f>INT((YEAR(Table1[[#This Row],[Reporting date]])*12+MONTH(Table1[[#This Row],[Reporting date]])-Earliest_Month)/4)</f>
        <v>25</v>
      </c>
      <c r="Z186" s="17">
        <f>Table1[[#This Row],[Reporting third]]-Table1[[#This Row],[Policy third]]</f>
        <v>5</v>
      </c>
      <c r="AA186" s="71">
        <f>IF(Table1[[#This Row],[Overall amount]]=0,"N/A",Table1[[#This Row],[Outstanding]]/Table1[[#This Row],[Overall amount]])</f>
        <v>0</v>
      </c>
      <c r="AB186" s="17">
        <f>IF(MONTH(Table1[[#This Row],[Loss date]])&lt;Pol_Inc_Month_Shifted,YEAR(Table1[[#This Row],[Loss date]])-1,YEAR(Table1[[#This Row],[Loss date]]))</f>
        <v>2011</v>
      </c>
      <c r="AC186" s="17">
        <f>IF(MONTH(Table1[[#This Row],[Reporting date]])&lt;Pol_Inc_Month_Shifted,YEAR(Table1[[#This Row],[Reporting date]])-1,YEAR(Table1[[#This Row],[Reporting date]]))</f>
        <v>2012</v>
      </c>
      <c r="AD186" s="17">
        <f>Table1[[#This Row],[Reporting year (shifted)]]-Table1[[#This Row],[Policy Year (shifted)]]</f>
        <v>1</v>
      </c>
    </row>
    <row r="187" spans="1:30" ht="13.9">
      <c r="A187" s="8" t="s">
        <v>1957</v>
      </c>
      <c r="B187" s="8" t="s">
        <v>239</v>
      </c>
      <c r="C187" s="8" t="s">
        <v>123</v>
      </c>
      <c r="D187" s="9">
        <v>41134</v>
      </c>
      <c r="E187" s="9">
        <v>41604</v>
      </c>
      <c r="F187" s="17">
        <f>IF(MONTH(Table1[[#This Row],[Loss date]])&lt;Policy_Inception_Month,YEAR(Table1[[#This Row],[Loss date]])-1,YEAR(Table1[[#This Row],[Loss date]]))</f>
        <v>2012</v>
      </c>
      <c r="G187" s="10" t="s">
        <v>125</v>
      </c>
      <c r="H187" s="10" t="s">
        <v>2</v>
      </c>
      <c r="I187" s="11">
        <v>0</v>
      </c>
      <c r="J187" s="11">
        <v>0</v>
      </c>
      <c r="K187" s="11">
        <v>0</v>
      </c>
      <c r="L187" s="12">
        <v>0</v>
      </c>
      <c r="M187" s="12">
        <v>0</v>
      </c>
      <c r="N187" s="12">
        <v>0</v>
      </c>
      <c r="O187" s="70">
        <f>IF(Table1[[#This Row],[Overall amount]]=0,0,1)</f>
        <v>0</v>
      </c>
      <c r="P187" s="70">
        <f>Table1[[#This Row],[Overall amount]]*Exchange_Rate</f>
        <v>0</v>
      </c>
      <c r="Q187" s="70">
        <f>Table1[[#This Row],[Overall (destination currency)]]*(1+Claims_Inflation)^((Revalue_at_date-Table1[[#This Row],[Loss date]])/365.25)</f>
        <v>0</v>
      </c>
      <c r="R187" s="70">
        <f>INT(Table1[[#This Row],[Reporting date]])-INT(Table1[[#This Row],[Loss date]])</f>
        <v>470</v>
      </c>
      <c r="S187" s="69" t="s">
        <v>9</v>
      </c>
      <c r="T187" s="70">
        <f>VLOOKUP(Table1[[#This Row],[Policy Year]],exposure_table,3,FALSE)</f>
        <v>1057.54</v>
      </c>
      <c r="U187" s="17">
        <f>IF(MONTH(Table1[[#This Row],[Reporting date]])&lt;Policy_Inception_Month,YEAR(Table1[[#This Row],[Reporting date]])-1,YEAR(Table1[[#This Row],[Reporting date]]))</f>
        <v>2013</v>
      </c>
      <c r="V187" s="17">
        <f>Table1[[#This Row],[Reporting year]]-Table1[[#This Row],[Policy Year]]</f>
        <v>1</v>
      </c>
      <c r="W187" s="17">
        <f>INT(Table1[[#This Row],[Reporting date]])-INT(Table1[[#This Row],[Loss date]])</f>
        <v>470</v>
      </c>
      <c r="X187" s="17">
        <f>INT((YEAR(Table1[[#This Row],[Loss date]])*12+MONTH(Table1[[#This Row],[Loss date]])-Earliest_Month)/4)</f>
        <v>22</v>
      </c>
      <c r="Y187" s="17">
        <f>INT((YEAR(Table1[[#This Row],[Reporting date]])*12+MONTH(Table1[[#This Row],[Reporting date]])-Earliest_Month)/4)</f>
        <v>25</v>
      </c>
      <c r="Z187" s="17">
        <f>Table1[[#This Row],[Reporting third]]-Table1[[#This Row],[Policy third]]</f>
        <v>3</v>
      </c>
      <c r="AA187" s="71" t="str">
        <f>IF(Table1[[#This Row],[Overall amount]]=0,"N/A",Table1[[#This Row],[Outstanding]]/Table1[[#This Row],[Overall amount]])</f>
        <v>N/A</v>
      </c>
      <c r="AB187" s="17">
        <f>IF(MONTH(Table1[[#This Row],[Loss date]])&lt;Pol_Inc_Month_Shifted,YEAR(Table1[[#This Row],[Loss date]])-1,YEAR(Table1[[#This Row],[Loss date]]))</f>
        <v>2011</v>
      </c>
      <c r="AC187" s="17">
        <f>IF(MONTH(Table1[[#This Row],[Reporting date]])&lt;Pol_Inc_Month_Shifted,YEAR(Table1[[#This Row],[Reporting date]])-1,YEAR(Table1[[#This Row],[Reporting date]]))</f>
        <v>2012</v>
      </c>
      <c r="AD187" s="17">
        <f>Table1[[#This Row],[Reporting year (shifted)]]-Table1[[#This Row],[Policy Year (shifted)]]</f>
        <v>1</v>
      </c>
    </row>
    <row r="188" spans="1:30" ht="13.9">
      <c r="A188" s="8" t="s">
        <v>1958</v>
      </c>
      <c r="B188" s="8" t="s">
        <v>240</v>
      </c>
      <c r="C188" s="8" t="s">
        <v>123</v>
      </c>
      <c r="D188" s="9">
        <v>40860</v>
      </c>
      <c r="E188" s="9">
        <v>41588</v>
      </c>
      <c r="F188" s="17">
        <f>IF(MONTH(Table1[[#This Row],[Loss date]])&lt;Policy_Inception_Month,YEAR(Table1[[#This Row],[Loss date]])-1,YEAR(Table1[[#This Row],[Loss date]]))</f>
        <v>2011</v>
      </c>
      <c r="G188" s="10" t="s">
        <v>125</v>
      </c>
      <c r="H188" s="10" t="s">
        <v>2</v>
      </c>
      <c r="I188" s="11">
        <v>11961.827221183517</v>
      </c>
      <c r="J188" s="11">
        <v>9882.6318861492109</v>
      </c>
      <c r="K188" s="11">
        <v>21844.459107332728</v>
      </c>
      <c r="L188" s="12">
        <v>0</v>
      </c>
      <c r="M188" s="12">
        <v>0</v>
      </c>
      <c r="N188" s="12">
        <v>21844.459107332728</v>
      </c>
      <c r="O188" s="70">
        <f>IF(Table1[[#This Row],[Overall amount]]=0,0,1)</f>
        <v>1</v>
      </c>
      <c r="P188" s="70">
        <f>Table1[[#This Row],[Overall amount]]*Exchange_Rate</f>
        <v>21844.459107332728</v>
      </c>
      <c r="Q188" s="70">
        <f>Table1[[#This Row],[Overall (destination currency)]]*(1+Claims_Inflation)^((Revalue_at_date-Table1[[#This Row],[Loss date]])/365.25)</f>
        <v>26400</v>
      </c>
      <c r="R188" s="70">
        <f>INT(Table1[[#This Row],[Reporting date]])-INT(Table1[[#This Row],[Loss date]])</f>
        <v>728</v>
      </c>
      <c r="S188" s="69" t="s">
        <v>16</v>
      </c>
      <c r="T188" s="70">
        <f>VLOOKUP(Table1[[#This Row],[Policy Year]],exposure_table,3,FALSE)</f>
        <v>870.52680000000009</v>
      </c>
      <c r="U188" s="17">
        <f>IF(MONTH(Table1[[#This Row],[Reporting date]])&lt;Policy_Inception_Month,YEAR(Table1[[#This Row],[Reporting date]])-1,YEAR(Table1[[#This Row],[Reporting date]]))</f>
        <v>2013</v>
      </c>
      <c r="V188" s="17">
        <f>Table1[[#This Row],[Reporting year]]-Table1[[#This Row],[Policy Year]]</f>
        <v>2</v>
      </c>
      <c r="W188" s="17">
        <f>INT(Table1[[#This Row],[Reporting date]])-INT(Table1[[#This Row],[Loss date]])</f>
        <v>728</v>
      </c>
      <c r="X188" s="17">
        <f>INT((YEAR(Table1[[#This Row],[Loss date]])*12+MONTH(Table1[[#This Row],[Loss date]])-Earliest_Month)/4)</f>
        <v>19</v>
      </c>
      <c r="Y188" s="17">
        <f>INT((YEAR(Table1[[#This Row],[Reporting date]])*12+MONTH(Table1[[#This Row],[Reporting date]])-Earliest_Month)/4)</f>
        <v>25</v>
      </c>
      <c r="Z188" s="17">
        <f>Table1[[#This Row],[Reporting third]]-Table1[[#This Row],[Policy third]]</f>
        <v>6</v>
      </c>
      <c r="AA188" s="71">
        <f>IF(Table1[[#This Row],[Overall amount]]=0,"N/A",Table1[[#This Row],[Outstanding]]/Table1[[#This Row],[Overall amount]])</f>
        <v>0.45240909090909087</v>
      </c>
      <c r="AB188" s="17">
        <f>IF(MONTH(Table1[[#This Row],[Loss date]])&lt;Pol_Inc_Month_Shifted,YEAR(Table1[[#This Row],[Loss date]])-1,YEAR(Table1[[#This Row],[Loss date]]))</f>
        <v>2010</v>
      </c>
      <c r="AC188" s="17">
        <f>IF(MONTH(Table1[[#This Row],[Reporting date]])&lt;Pol_Inc_Month_Shifted,YEAR(Table1[[#This Row],[Reporting date]])-1,YEAR(Table1[[#This Row],[Reporting date]]))</f>
        <v>2012</v>
      </c>
      <c r="AD188" s="17">
        <f>Table1[[#This Row],[Reporting year (shifted)]]-Table1[[#This Row],[Policy Year (shifted)]]</f>
        <v>2</v>
      </c>
    </row>
    <row r="189" spans="1:30" ht="13.9">
      <c r="A189" s="8" t="s">
        <v>1959</v>
      </c>
      <c r="B189" s="8" t="s">
        <v>241</v>
      </c>
      <c r="C189" s="8" t="s">
        <v>123</v>
      </c>
      <c r="D189" s="9">
        <v>41484</v>
      </c>
      <c r="E189" s="9">
        <v>41595</v>
      </c>
      <c r="F189" s="17">
        <f>IF(MONTH(Table1[[#This Row],[Loss date]])&lt;Policy_Inception_Month,YEAR(Table1[[#This Row],[Loss date]])-1,YEAR(Table1[[#This Row],[Loss date]]))</f>
        <v>2013</v>
      </c>
      <c r="G189" s="10" t="s">
        <v>125</v>
      </c>
      <c r="H189" s="10" t="s">
        <v>2</v>
      </c>
      <c r="I189" s="11">
        <v>0</v>
      </c>
      <c r="J189" s="11">
        <v>0</v>
      </c>
      <c r="K189" s="11">
        <v>0</v>
      </c>
      <c r="L189" s="12">
        <v>0</v>
      </c>
      <c r="M189" s="12">
        <v>0</v>
      </c>
      <c r="N189" s="12">
        <v>0</v>
      </c>
      <c r="O189" s="70">
        <f>IF(Table1[[#This Row],[Overall amount]]=0,0,1)</f>
        <v>0</v>
      </c>
      <c r="P189" s="70">
        <f>Table1[[#This Row],[Overall amount]]*Exchange_Rate</f>
        <v>0</v>
      </c>
      <c r="Q189" s="70">
        <f>Table1[[#This Row],[Overall (destination currency)]]*(1+Claims_Inflation)^((Revalue_at_date-Table1[[#This Row],[Loss date]])/365.25)</f>
        <v>0</v>
      </c>
      <c r="R189" s="70">
        <f>INT(Table1[[#This Row],[Reporting date]])-INT(Table1[[#This Row],[Loss date]])</f>
        <v>111</v>
      </c>
      <c r="S189" s="69" t="s">
        <v>9</v>
      </c>
      <c r="T189" s="70">
        <f>VLOOKUP(Table1[[#This Row],[Policy Year]],exposure_table,3,FALSE)</f>
        <v>1090.5865384615383</v>
      </c>
      <c r="U189" s="17">
        <f>IF(MONTH(Table1[[#This Row],[Reporting date]])&lt;Policy_Inception_Month,YEAR(Table1[[#This Row],[Reporting date]])-1,YEAR(Table1[[#This Row],[Reporting date]]))</f>
        <v>2013</v>
      </c>
      <c r="V189" s="17">
        <f>Table1[[#This Row],[Reporting year]]-Table1[[#This Row],[Policy Year]]</f>
        <v>0</v>
      </c>
      <c r="W189" s="17">
        <f>INT(Table1[[#This Row],[Reporting date]])-INT(Table1[[#This Row],[Loss date]])</f>
        <v>111</v>
      </c>
      <c r="X189" s="17">
        <f>INT((YEAR(Table1[[#This Row],[Loss date]])*12+MONTH(Table1[[#This Row],[Loss date]])-Earliest_Month)/4)</f>
        <v>24</v>
      </c>
      <c r="Y189" s="17">
        <f>INT((YEAR(Table1[[#This Row],[Reporting date]])*12+MONTH(Table1[[#This Row],[Reporting date]])-Earliest_Month)/4)</f>
        <v>25</v>
      </c>
      <c r="Z189" s="17">
        <f>Table1[[#This Row],[Reporting third]]-Table1[[#This Row],[Policy third]]</f>
        <v>1</v>
      </c>
      <c r="AA189" s="71" t="str">
        <f>IF(Table1[[#This Row],[Overall amount]]=0,"N/A",Table1[[#This Row],[Outstanding]]/Table1[[#This Row],[Overall amount]])</f>
        <v>N/A</v>
      </c>
      <c r="AB189" s="17">
        <f>IF(MONTH(Table1[[#This Row],[Loss date]])&lt;Pol_Inc_Month_Shifted,YEAR(Table1[[#This Row],[Loss date]])-1,YEAR(Table1[[#This Row],[Loss date]]))</f>
        <v>2012</v>
      </c>
      <c r="AC189" s="17">
        <f>IF(MONTH(Table1[[#This Row],[Reporting date]])&lt;Pol_Inc_Month_Shifted,YEAR(Table1[[#This Row],[Reporting date]])-1,YEAR(Table1[[#This Row],[Reporting date]]))</f>
        <v>2012</v>
      </c>
      <c r="AD189" s="17">
        <f>Table1[[#This Row],[Reporting year (shifted)]]-Table1[[#This Row],[Policy Year (shifted)]]</f>
        <v>0</v>
      </c>
    </row>
    <row r="190" spans="1:30" ht="13.9">
      <c r="A190" s="8" t="s">
        <v>1960</v>
      </c>
      <c r="B190" s="8" t="s">
        <v>242</v>
      </c>
      <c r="C190" s="8" t="s">
        <v>123</v>
      </c>
      <c r="D190" s="9">
        <v>41325</v>
      </c>
      <c r="E190" s="9">
        <v>41579</v>
      </c>
      <c r="F190" s="17">
        <f>IF(MONTH(Table1[[#This Row],[Loss date]])&lt;Policy_Inception_Month,YEAR(Table1[[#This Row],[Loss date]])-1,YEAR(Table1[[#This Row],[Loss date]]))</f>
        <v>2012</v>
      </c>
      <c r="G190" s="10" t="s">
        <v>125</v>
      </c>
      <c r="H190" s="10" t="s">
        <v>2</v>
      </c>
      <c r="I190" s="11">
        <v>0</v>
      </c>
      <c r="J190" s="11">
        <v>9065.2964812217742</v>
      </c>
      <c r="K190" s="11">
        <v>9065.2964812217742</v>
      </c>
      <c r="L190" s="12">
        <v>0</v>
      </c>
      <c r="M190" s="12">
        <v>0</v>
      </c>
      <c r="N190" s="12">
        <v>9065.2964812217742</v>
      </c>
      <c r="O190" s="70">
        <f>IF(Table1[[#This Row],[Overall amount]]=0,0,1)</f>
        <v>1</v>
      </c>
      <c r="P190" s="70">
        <f>Table1[[#This Row],[Overall amount]]*Exchange_Rate</f>
        <v>9065.2964812217742</v>
      </c>
      <c r="Q190" s="70">
        <f>Table1[[#This Row],[Overall (destination currency)]]*(1+Claims_Inflation)^((Revalue_at_date-Table1[[#This Row],[Loss date]])/365.25)</f>
        <v>10296</v>
      </c>
      <c r="R190" s="70">
        <f>INT(Table1[[#This Row],[Reporting date]])-INT(Table1[[#This Row],[Loss date]])</f>
        <v>254</v>
      </c>
      <c r="S190" s="69" t="s">
        <v>16</v>
      </c>
      <c r="T190" s="70">
        <f>VLOOKUP(Table1[[#This Row],[Policy Year]],exposure_table,3,FALSE)</f>
        <v>1057.54</v>
      </c>
      <c r="U190" s="17">
        <f>IF(MONTH(Table1[[#This Row],[Reporting date]])&lt;Policy_Inception_Month,YEAR(Table1[[#This Row],[Reporting date]])-1,YEAR(Table1[[#This Row],[Reporting date]]))</f>
        <v>2013</v>
      </c>
      <c r="V190" s="17">
        <f>Table1[[#This Row],[Reporting year]]-Table1[[#This Row],[Policy Year]]</f>
        <v>1</v>
      </c>
      <c r="W190" s="17">
        <f>INT(Table1[[#This Row],[Reporting date]])-INT(Table1[[#This Row],[Loss date]])</f>
        <v>254</v>
      </c>
      <c r="X190" s="17">
        <f>INT((YEAR(Table1[[#This Row],[Loss date]])*12+MONTH(Table1[[#This Row],[Loss date]])-Earliest_Month)/4)</f>
        <v>23</v>
      </c>
      <c r="Y190" s="17">
        <f>INT((YEAR(Table1[[#This Row],[Reporting date]])*12+MONTH(Table1[[#This Row],[Reporting date]])-Earliest_Month)/4)</f>
        <v>25</v>
      </c>
      <c r="Z190" s="17">
        <f>Table1[[#This Row],[Reporting third]]-Table1[[#This Row],[Policy third]]</f>
        <v>2</v>
      </c>
      <c r="AA190" s="71">
        <f>IF(Table1[[#This Row],[Overall amount]]=0,"N/A",Table1[[#This Row],[Outstanding]]/Table1[[#This Row],[Overall amount]])</f>
        <v>1</v>
      </c>
      <c r="AB190" s="17">
        <f>IF(MONTH(Table1[[#This Row],[Loss date]])&lt;Pol_Inc_Month_Shifted,YEAR(Table1[[#This Row],[Loss date]])-1,YEAR(Table1[[#This Row],[Loss date]]))</f>
        <v>2012</v>
      </c>
      <c r="AC190" s="17">
        <f>IF(MONTH(Table1[[#This Row],[Reporting date]])&lt;Pol_Inc_Month_Shifted,YEAR(Table1[[#This Row],[Reporting date]])-1,YEAR(Table1[[#This Row],[Reporting date]]))</f>
        <v>2012</v>
      </c>
      <c r="AD190" s="17">
        <f>Table1[[#This Row],[Reporting year (shifted)]]-Table1[[#This Row],[Policy Year (shifted)]]</f>
        <v>0</v>
      </c>
    </row>
    <row r="191" spans="1:30" ht="13.9">
      <c r="A191" s="8" t="s">
        <v>1961</v>
      </c>
      <c r="B191" s="8" t="s">
        <v>243</v>
      </c>
      <c r="C191" s="8" t="s">
        <v>123</v>
      </c>
      <c r="D191" s="9">
        <v>41475</v>
      </c>
      <c r="E191" s="9">
        <v>41572</v>
      </c>
      <c r="F191" s="17">
        <f>IF(MONTH(Table1[[#This Row],[Loss date]])&lt;Policy_Inception_Month,YEAR(Table1[[#This Row],[Loss date]])-1,YEAR(Table1[[#This Row],[Loss date]]))</f>
        <v>2013</v>
      </c>
      <c r="G191" s="10" t="s">
        <v>125</v>
      </c>
      <c r="H191" s="10" t="s">
        <v>2</v>
      </c>
      <c r="I191" s="11">
        <v>0</v>
      </c>
      <c r="J191" s="11">
        <v>0</v>
      </c>
      <c r="K191" s="11">
        <v>0</v>
      </c>
      <c r="L191" s="12">
        <v>0</v>
      </c>
      <c r="M191" s="12">
        <v>0</v>
      </c>
      <c r="N191" s="12">
        <v>0</v>
      </c>
      <c r="O191" s="70">
        <f>IF(Table1[[#This Row],[Overall amount]]=0,0,1)</f>
        <v>0</v>
      </c>
      <c r="P191" s="70">
        <f>Table1[[#This Row],[Overall amount]]*Exchange_Rate</f>
        <v>0</v>
      </c>
      <c r="Q191" s="70">
        <f>Table1[[#This Row],[Overall (destination currency)]]*(1+Claims_Inflation)^((Revalue_at_date-Table1[[#This Row],[Loss date]])/365.25)</f>
        <v>0</v>
      </c>
      <c r="R191" s="70">
        <f>INT(Table1[[#This Row],[Reporting date]])-INT(Table1[[#This Row],[Loss date]])</f>
        <v>97</v>
      </c>
      <c r="S191" s="69" t="s">
        <v>9</v>
      </c>
      <c r="T191" s="70">
        <f>VLOOKUP(Table1[[#This Row],[Policy Year]],exposure_table,3,FALSE)</f>
        <v>1090.5865384615383</v>
      </c>
      <c r="U191" s="17">
        <f>IF(MONTH(Table1[[#This Row],[Reporting date]])&lt;Policy_Inception_Month,YEAR(Table1[[#This Row],[Reporting date]])-1,YEAR(Table1[[#This Row],[Reporting date]]))</f>
        <v>2013</v>
      </c>
      <c r="V191" s="17">
        <f>Table1[[#This Row],[Reporting year]]-Table1[[#This Row],[Policy Year]]</f>
        <v>0</v>
      </c>
      <c r="W191" s="17">
        <f>INT(Table1[[#This Row],[Reporting date]])-INT(Table1[[#This Row],[Loss date]])</f>
        <v>97</v>
      </c>
      <c r="X191" s="17">
        <f>INT((YEAR(Table1[[#This Row],[Loss date]])*12+MONTH(Table1[[#This Row],[Loss date]])-Earliest_Month)/4)</f>
        <v>24</v>
      </c>
      <c r="Y191" s="17">
        <f>INT((YEAR(Table1[[#This Row],[Reporting date]])*12+MONTH(Table1[[#This Row],[Reporting date]])-Earliest_Month)/4)</f>
        <v>25</v>
      </c>
      <c r="Z191" s="17">
        <f>Table1[[#This Row],[Reporting third]]-Table1[[#This Row],[Policy third]]</f>
        <v>1</v>
      </c>
      <c r="AA191" s="71" t="str">
        <f>IF(Table1[[#This Row],[Overall amount]]=0,"N/A",Table1[[#This Row],[Outstanding]]/Table1[[#This Row],[Overall amount]])</f>
        <v>N/A</v>
      </c>
      <c r="AB191" s="17">
        <f>IF(MONTH(Table1[[#This Row],[Loss date]])&lt;Pol_Inc_Month_Shifted,YEAR(Table1[[#This Row],[Loss date]])-1,YEAR(Table1[[#This Row],[Loss date]]))</f>
        <v>2012</v>
      </c>
      <c r="AC191" s="17">
        <f>IF(MONTH(Table1[[#This Row],[Reporting date]])&lt;Pol_Inc_Month_Shifted,YEAR(Table1[[#This Row],[Reporting date]])-1,YEAR(Table1[[#This Row],[Reporting date]]))</f>
        <v>2012</v>
      </c>
      <c r="AD191" s="17">
        <f>Table1[[#This Row],[Reporting year (shifted)]]-Table1[[#This Row],[Policy Year (shifted)]]</f>
        <v>0</v>
      </c>
    </row>
    <row r="192" spans="1:30" ht="13.9">
      <c r="A192" s="8" t="s">
        <v>1962</v>
      </c>
      <c r="B192" s="8" t="s">
        <v>244</v>
      </c>
      <c r="C192" s="8" t="s">
        <v>123</v>
      </c>
      <c r="D192" s="9">
        <v>41379</v>
      </c>
      <c r="E192" s="9">
        <v>41588</v>
      </c>
      <c r="F192" s="17">
        <f>IF(MONTH(Table1[[#This Row],[Loss date]])&lt;Policy_Inception_Month,YEAR(Table1[[#This Row],[Loss date]])-1,YEAR(Table1[[#This Row],[Loss date]]))</f>
        <v>2013</v>
      </c>
      <c r="G192" s="10" t="s">
        <v>125</v>
      </c>
      <c r="H192" s="10" t="s">
        <v>2</v>
      </c>
      <c r="I192" s="11">
        <v>0</v>
      </c>
      <c r="J192" s="11">
        <v>0</v>
      </c>
      <c r="K192" s="11">
        <v>0</v>
      </c>
      <c r="L192" s="12">
        <v>0</v>
      </c>
      <c r="M192" s="12">
        <v>0</v>
      </c>
      <c r="N192" s="12">
        <v>0</v>
      </c>
      <c r="O192" s="70">
        <f>IF(Table1[[#This Row],[Overall amount]]=0,0,1)</f>
        <v>0</v>
      </c>
      <c r="P192" s="70">
        <f>Table1[[#This Row],[Overall amount]]*Exchange_Rate</f>
        <v>0</v>
      </c>
      <c r="Q192" s="70">
        <f>Table1[[#This Row],[Overall (destination currency)]]*(1+Claims_Inflation)^((Revalue_at_date-Table1[[#This Row],[Loss date]])/365.25)</f>
        <v>0</v>
      </c>
      <c r="R192" s="70">
        <f>INT(Table1[[#This Row],[Reporting date]])-INT(Table1[[#This Row],[Loss date]])</f>
        <v>209</v>
      </c>
      <c r="S192" s="69" t="s">
        <v>9</v>
      </c>
      <c r="T192" s="70">
        <f>VLOOKUP(Table1[[#This Row],[Policy Year]],exposure_table,3,FALSE)</f>
        <v>1090.5865384615383</v>
      </c>
      <c r="U192" s="17">
        <f>IF(MONTH(Table1[[#This Row],[Reporting date]])&lt;Policy_Inception_Month,YEAR(Table1[[#This Row],[Reporting date]])-1,YEAR(Table1[[#This Row],[Reporting date]]))</f>
        <v>2013</v>
      </c>
      <c r="V192" s="17">
        <f>Table1[[#This Row],[Reporting year]]-Table1[[#This Row],[Policy Year]]</f>
        <v>0</v>
      </c>
      <c r="W192" s="17">
        <f>INT(Table1[[#This Row],[Reporting date]])-INT(Table1[[#This Row],[Loss date]])</f>
        <v>209</v>
      </c>
      <c r="X192" s="17">
        <f>INT((YEAR(Table1[[#This Row],[Loss date]])*12+MONTH(Table1[[#This Row],[Loss date]])-Earliest_Month)/4)</f>
        <v>24</v>
      </c>
      <c r="Y192" s="17">
        <f>INT((YEAR(Table1[[#This Row],[Reporting date]])*12+MONTH(Table1[[#This Row],[Reporting date]])-Earliest_Month)/4)</f>
        <v>25</v>
      </c>
      <c r="Z192" s="17">
        <f>Table1[[#This Row],[Reporting third]]-Table1[[#This Row],[Policy third]]</f>
        <v>1</v>
      </c>
      <c r="AA192" s="71" t="str">
        <f>IF(Table1[[#This Row],[Overall amount]]=0,"N/A",Table1[[#This Row],[Outstanding]]/Table1[[#This Row],[Overall amount]])</f>
        <v>N/A</v>
      </c>
      <c r="AB192" s="17">
        <f>IF(MONTH(Table1[[#This Row],[Loss date]])&lt;Pol_Inc_Month_Shifted,YEAR(Table1[[#This Row],[Loss date]])-1,YEAR(Table1[[#This Row],[Loss date]]))</f>
        <v>2012</v>
      </c>
      <c r="AC192" s="17">
        <f>IF(MONTH(Table1[[#This Row],[Reporting date]])&lt;Pol_Inc_Month_Shifted,YEAR(Table1[[#This Row],[Reporting date]])-1,YEAR(Table1[[#This Row],[Reporting date]]))</f>
        <v>2012</v>
      </c>
      <c r="AD192" s="17">
        <f>Table1[[#This Row],[Reporting year (shifted)]]-Table1[[#This Row],[Policy Year (shifted)]]</f>
        <v>0</v>
      </c>
    </row>
    <row r="193" spans="1:30" ht="13.9">
      <c r="A193" s="8" t="s">
        <v>1963</v>
      </c>
      <c r="B193" s="8" t="s">
        <v>245</v>
      </c>
      <c r="C193" s="8" t="s">
        <v>123</v>
      </c>
      <c r="D193" s="9">
        <v>41343</v>
      </c>
      <c r="E193" s="9">
        <v>41575</v>
      </c>
      <c r="F193" s="17">
        <f>IF(MONTH(Table1[[#This Row],[Loss date]])&lt;Policy_Inception_Month,YEAR(Table1[[#This Row],[Loss date]])-1,YEAR(Table1[[#This Row],[Loss date]]))</f>
        <v>2012</v>
      </c>
      <c r="G193" s="10" t="s">
        <v>125</v>
      </c>
      <c r="H193" s="10" t="s">
        <v>2</v>
      </c>
      <c r="I193" s="11">
        <v>0</v>
      </c>
      <c r="J193" s="11">
        <v>8472.8388805847353</v>
      </c>
      <c r="K193" s="11">
        <v>8472.8388805847353</v>
      </c>
      <c r="L193" s="12">
        <v>0</v>
      </c>
      <c r="M193" s="12">
        <v>413.1568059145132</v>
      </c>
      <c r="N193" s="12">
        <v>8059.6820746702224</v>
      </c>
      <c r="O193" s="70">
        <f>IF(Table1[[#This Row],[Overall amount]]=0,0,1)</f>
        <v>1</v>
      </c>
      <c r="P193" s="70">
        <f>Table1[[#This Row],[Overall amount]]*Exchange_Rate</f>
        <v>8059.6820746702224</v>
      </c>
      <c r="Q193" s="70">
        <f>Table1[[#This Row],[Overall (destination currency)]]*(1+Claims_Inflation)^((Revalue_at_date-Table1[[#This Row],[Loss date]])/365.25)</f>
        <v>9131.880000000001</v>
      </c>
      <c r="R193" s="70">
        <f>INT(Table1[[#This Row],[Reporting date]])-INT(Table1[[#This Row],[Loss date]])</f>
        <v>232</v>
      </c>
      <c r="S193" s="69" t="s">
        <v>16</v>
      </c>
      <c r="T193" s="70">
        <f>VLOOKUP(Table1[[#This Row],[Policy Year]],exposure_table,3,FALSE)</f>
        <v>1057.54</v>
      </c>
      <c r="U193" s="17">
        <f>IF(MONTH(Table1[[#This Row],[Reporting date]])&lt;Policy_Inception_Month,YEAR(Table1[[#This Row],[Reporting date]])-1,YEAR(Table1[[#This Row],[Reporting date]]))</f>
        <v>2013</v>
      </c>
      <c r="V193" s="17">
        <f>Table1[[#This Row],[Reporting year]]-Table1[[#This Row],[Policy Year]]</f>
        <v>1</v>
      </c>
      <c r="W193" s="17">
        <f>INT(Table1[[#This Row],[Reporting date]])-INT(Table1[[#This Row],[Loss date]])</f>
        <v>232</v>
      </c>
      <c r="X193" s="17">
        <f>INT((YEAR(Table1[[#This Row],[Loss date]])*12+MONTH(Table1[[#This Row],[Loss date]])-Earliest_Month)/4)</f>
        <v>23</v>
      </c>
      <c r="Y193" s="17">
        <f>INT((YEAR(Table1[[#This Row],[Reporting date]])*12+MONTH(Table1[[#This Row],[Reporting date]])-Earliest_Month)/4)</f>
        <v>25</v>
      </c>
      <c r="Z193" s="17">
        <f>Table1[[#This Row],[Reporting third]]-Table1[[#This Row],[Policy third]]</f>
        <v>2</v>
      </c>
      <c r="AA193" s="71">
        <f>IF(Table1[[#This Row],[Overall amount]]=0,"N/A",Table1[[#This Row],[Outstanding]]/Table1[[#This Row],[Overall amount]])</f>
        <v>1.0512621716448309</v>
      </c>
      <c r="AB193" s="17">
        <f>IF(MONTH(Table1[[#This Row],[Loss date]])&lt;Pol_Inc_Month_Shifted,YEAR(Table1[[#This Row],[Loss date]])-1,YEAR(Table1[[#This Row],[Loss date]]))</f>
        <v>2012</v>
      </c>
      <c r="AC193" s="17">
        <f>IF(MONTH(Table1[[#This Row],[Reporting date]])&lt;Pol_Inc_Month_Shifted,YEAR(Table1[[#This Row],[Reporting date]])-1,YEAR(Table1[[#This Row],[Reporting date]]))</f>
        <v>2012</v>
      </c>
      <c r="AD193" s="17">
        <f>Table1[[#This Row],[Reporting year (shifted)]]-Table1[[#This Row],[Policy Year (shifted)]]</f>
        <v>0</v>
      </c>
    </row>
    <row r="194" spans="1:30" ht="13.9">
      <c r="A194" s="8" t="s">
        <v>1964</v>
      </c>
      <c r="B194" s="8" t="s">
        <v>246</v>
      </c>
      <c r="C194" s="8" t="s">
        <v>123</v>
      </c>
      <c r="D194" s="9">
        <v>41457</v>
      </c>
      <c r="E194" s="9">
        <v>41595</v>
      </c>
      <c r="F194" s="17">
        <f>IF(MONTH(Table1[[#This Row],[Loss date]])&lt;Policy_Inception_Month,YEAR(Table1[[#This Row],[Loss date]])-1,YEAR(Table1[[#This Row],[Loss date]]))</f>
        <v>2013</v>
      </c>
      <c r="G194" s="10" t="s">
        <v>125</v>
      </c>
      <c r="H194" s="10" t="s">
        <v>2</v>
      </c>
      <c r="I194" s="11">
        <v>7043.5849820695976</v>
      </c>
      <c r="J194" s="11">
        <v>0</v>
      </c>
      <c r="K194" s="11">
        <v>7043.5849820695976</v>
      </c>
      <c r="L194" s="12">
        <v>322.60694574364567</v>
      </c>
      <c r="M194" s="12">
        <v>0</v>
      </c>
      <c r="N194" s="12">
        <v>7366.1919278132436</v>
      </c>
      <c r="O194" s="70">
        <f>IF(Table1[[#This Row],[Overall amount]]=0,0,1)</f>
        <v>1</v>
      </c>
      <c r="P194" s="70">
        <f>Table1[[#This Row],[Overall amount]]*Exchange_Rate</f>
        <v>7366.1919278132436</v>
      </c>
      <c r="Q194" s="70">
        <f>Table1[[#This Row],[Overall (destination currency)]]*(1+Claims_Inflation)^((Revalue_at_date-Table1[[#This Row],[Loss date]])/365.25)</f>
        <v>8220</v>
      </c>
      <c r="R194" s="70">
        <f>INT(Table1[[#This Row],[Reporting date]])-INT(Table1[[#This Row],[Loss date]])</f>
        <v>138</v>
      </c>
      <c r="S194" s="69" t="s">
        <v>9</v>
      </c>
      <c r="T194" s="70">
        <f>VLOOKUP(Table1[[#This Row],[Policy Year]],exposure_table,3,FALSE)</f>
        <v>1090.5865384615383</v>
      </c>
      <c r="U194" s="17">
        <f>IF(MONTH(Table1[[#This Row],[Reporting date]])&lt;Policy_Inception_Month,YEAR(Table1[[#This Row],[Reporting date]])-1,YEAR(Table1[[#This Row],[Reporting date]]))</f>
        <v>2013</v>
      </c>
      <c r="V194" s="17">
        <f>Table1[[#This Row],[Reporting year]]-Table1[[#This Row],[Policy Year]]</f>
        <v>0</v>
      </c>
      <c r="W194" s="17">
        <f>INT(Table1[[#This Row],[Reporting date]])-INT(Table1[[#This Row],[Loss date]])</f>
        <v>138</v>
      </c>
      <c r="X194" s="17">
        <f>INT((YEAR(Table1[[#This Row],[Loss date]])*12+MONTH(Table1[[#This Row],[Loss date]])-Earliest_Month)/4)</f>
        <v>24</v>
      </c>
      <c r="Y194" s="17">
        <f>INT((YEAR(Table1[[#This Row],[Reporting date]])*12+MONTH(Table1[[#This Row],[Reporting date]])-Earliest_Month)/4)</f>
        <v>25</v>
      </c>
      <c r="Z194" s="17">
        <f>Table1[[#This Row],[Reporting third]]-Table1[[#This Row],[Policy third]]</f>
        <v>1</v>
      </c>
      <c r="AA194" s="71">
        <f>IF(Table1[[#This Row],[Overall amount]]=0,"N/A",Table1[[#This Row],[Outstanding]]/Table1[[#This Row],[Overall amount]])</f>
        <v>0</v>
      </c>
      <c r="AB194" s="17">
        <f>IF(MONTH(Table1[[#This Row],[Loss date]])&lt;Pol_Inc_Month_Shifted,YEAR(Table1[[#This Row],[Loss date]])-1,YEAR(Table1[[#This Row],[Loss date]]))</f>
        <v>2012</v>
      </c>
      <c r="AC194" s="17">
        <f>IF(MONTH(Table1[[#This Row],[Reporting date]])&lt;Pol_Inc_Month_Shifted,YEAR(Table1[[#This Row],[Reporting date]])-1,YEAR(Table1[[#This Row],[Reporting date]]))</f>
        <v>2012</v>
      </c>
      <c r="AD194" s="17">
        <f>Table1[[#This Row],[Reporting year (shifted)]]-Table1[[#This Row],[Policy Year (shifted)]]</f>
        <v>0</v>
      </c>
    </row>
    <row r="195" spans="1:30" ht="13.9">
      <c r="A195" s="8" t="s">
        <v>1965</v>
      </c>
      <c r="B195" s="8" t="s">
        <v>247</v>
      </c>
      <c r="C195" s="8" t="s">
        <v>123</v>
      </c>
      <c r="D195" s="9">
        <v>41265</v>
      </c>
      <c r="E195" s="9">
        <v>41574</v>
      </c>
      <c r="F195" s="17">
        <f>IF(MONTH(Table1[[#This Row],[Loss date]])&lt;Policy_Inception_Month,YEAR(Table1[[#This Row],[Loss date]])-1,YEAR(Table1[[#This Row],[Loss date]]))</f>
        <v>2012</v>
      </c>
      <c r="G195" s="10" t="s">
        <v>125</v>
      </c>
      <c r="H195" s="10" t="s">
        <v>2</v>
      </c>
      <c r="I195" s="11">
        <v>0</v>
      </c>
      <c r="J195" s="11">
        <v>0</v>
      </c>
      <c r="K195" s="11">
        <v>0</v>
      </c>
      <c r="L195" s="12">
        <v>0</v>
      </c>
      <c r="M195" s="12">
        <v>0</v>
      </c>
      <c r="N195" s="12">
        <v>0</v>
      </c>
      <c r="O195" s="70">
        <f>IF(Table1[[#This Row],[Overall amount]]=0,0,1)</f>
        <v>0</v>
      </c>
      <c r="P195" s="70">
        <f>Table1[[#This Row],[Overall amount]]*Exchange_Rate</f>
        <v>0</v>
      </c>
      <c r="Q195" s="70">
        <f>Table1[[#This Row],[Overall (destination currency)]]*(1+Claims_Inflation)^((Revalue_at_date-Table1[[#This Row],[Loss date]])/365.25)</f>
        <v>0</v>
      </c>
      <c r="R195" s="70">
        <f>INT(Table1[[#This Row],[Reporting date]])-INT(Table1[[#This Row],[Loss date]])</f>
        <v>309</v>
      </c>
      <c r="S195" s="69" t="s">
        <v>9</v>
      </c>
      <c r="T195" s="70">
        <f>VLOOKUP(Table1[[#This Row],[Policy Year]],exposure_table,3,FALSE)</f>
        <v>1057.54</v>
      </c>
      <c r="U195" s="17">
        <f>IF(MONTH(Table1[[#This Row],[Reporting date]])&lt;Policy_Inception_Month,YEAR(Table1[[#This Row],[Reporting date]])-1,YEAR(Table1[[#This Row],[Reporting date]]))</f>
        <v>2013</v>
      </c>
      <c r="V195" s="17">
        <f>Table1[[#This Row],[Reporting year]]-Table1[[#This Row],[Policy Year]]</f>
        <v>1</v>
      </c>
      <c r="W195" s="17">
        <f>INT(Table1[[#This Row],[Reporting date]])-INT(Table1[[#This Row],[Loss date]])</f>
        <v>309</v>
      </c>
      <c r="X195" s="17">
        <f>INT((YEAR(Table1[[#This Row],[Loss date]])*12+MONTH(Table1[[#This Row],[Loss date]])-Earliest_Month)/4)</f>
        <v>23</v>
      </c>
      <c r="Y195" s="17">
        <f>INT((YEAR(Table1[[#This Row],[Reporting date]])*12+MONTH(Table1[[#This Row],[Reporting date]])-Earliest_Month)/4)</f>
        <v>25</v>
      </c>
      <c r="Z195" s="17">
        <f>Table1[[#This Row],[Reporting third]]-Table1[[#This Row],[Policy third]]</f>
        <v>2</v>
      </c>
      <c r="AA195" s="71" t="str">
        <f>IF(Table1[[#This Row],[Overall amount]]=0,"N/A",Table1[[#This Row],[Outstanding]]/Table1[[#This Row],[Overall amount]])</f>
        <v>N/A</v>
      </c>
      <c r="AB195" s="17">
        <f>IF(MONTH(Table1[[#This Row],[Loss date]])&lt;Pol_Inc_Month_Shifted,YEAR(Table1[[#This Row],[Loss date]])-1,YEAR(Table1[[#This Row],[Loss date]]))</f>
        <v>2012</v>
      </c>
      <c r="AC195" s="17">
        <f>IF(MONTH(Table1[[#This Row],[Reporting date]])&lt;Pol_Inc_Month_Shifted,YEAR(Table1[[#This Row],[Reporting date]])-1,YEAR(Table1[[#This Row],[Reporting date]]))</f>
        <v>2012</v>
      </c>
      <c r="AD195" s="17">
        <f>Table1[[#This Row],[Reporting year (shifted)]]-Table1[[#This Row],[Policy Year (shifted)]]</f>
        <v>0</v>
      </c>
    </row>
    <row r="196" spans="1:30" ht="13.9">
      <c r="A196" s="8" t="s">
        <v>1966</v>
      </c>
      <c r="B196" s="8" t="s">
        <v>248</v>
      </c>
      <c r="C196" s="8" t="s">
        <v>123</v>
      </c>
      <c r="D196" s="9">
        <v>41400</v>
      </c>
      <c r="E196" s="9">
        <v>41617</v>
      </c>
      <c r="F196" s="17">
        <f>IF(MONTH(Table1[[#This Row],[Loss date]])&lt;Policy_Inception_Month,YEAR(Table1[[#This Row],[Loss date]])-1,YEAR(Table1[[#This Row],[Loss date]]))</f>
        <v>2013</v>
      </c>
      <c r="G196" s="10" t="s">
        <v>125</v>
      </c>
      <c r="H196" s="10" t="s">
        <v>2</v>
      </c>
      <c r="I196" s="11">
        <v>0</v>
      </c>
      <c r="J196" s="11">
        <v>0</v>
      </c>
      <c r="K196" s="11">
        <v>0</v>
      </c>
      <c r="L196" s="12">
        <v>320.15992135045479</v>
      </c>
      <c r="M196" s="12">
        <v>8.9644777978127337</v>
      </c>
      <c r="N196" s="12">
        <v>311.19544355264208</v>
      </c>
      <c r="O196" s="70">
        <f>IF(Table1[[#This Row],[Overall amount]]=0,0,1)</f>
        <v>1</v>
      </c>
      <c r="P196" s="70">
        <f>Table1[[#This Row],[Overall amount]]*Exchange_Rate</f>
        <v>311.19544355264208</v>
      </c>
      <c r="Q196" s="70">
        <f>Table1[[#This Row],[Overall (destination currency)]]*(1+Claims_Inflation)^((Revalue_at_date-Table1[[#This Row],[Loss date]])/365.25)</f>
        <v>349.91999999999996</v>
      </c>
      <c r="R196" s="70">
        <f>INT(Table1[[#This Row],[Reporting date]])-INT(Table1[[#This Row],[Loss date]])</f>
        <v>217</v>
      </c>
      <c r="S196" s="69" t="s">
        <v>9</v>
      </c>
      <c r="T196" s="70">
        <f>VLOOKUP(Table1[[#This Row],[Policy Year]],exposure_table,3,FALSE)</f>
        <v>1090.5865384615383</v>
      </c>
      <c r="U196" s="17">
        <f>IF(MONTH(Table1[[#This Row],[Reporting date]])&lt;Policy_Inception_Month,YEAR(Table1[[#This Row],[Reporting date]])-1,YEAR(Table1[[#This Row],[Reporting date]]))</f>
        <v>2013</v>
      </c>
      <c r="V196" s="17">
        <f>Table1[[#This Row],[Reporting year]]-Table1[[#This Row],[Policy Year]]</f>
        <v>0</v>
      </c>
      <c r="W196" s="17">
        <f>INT(Table1[[#This Row],[Reporting date]])-INT(Table1[[#This Row],[Loss date]])</f>
        <v>217</v>
      </c>
      <c r="X196" s="17">
        <f>INT((YEAR(Table1[[#This Row],[Loss date]])*12+MONTH(Table1[[#This Row],[Loss date]])-Earliest_Month)/4)</f>
        <v>24</v>
      </c>
      <c r="Y196" s="17">
        <f>INT((YEAR(Table1[[#This Row],[Reporting date]])*12+MONTH(Table1[[#This Row],[Reporting date]])-Earliest_Month)/4)</f>
        <v>26</v>
      </c>
      <c r="Z196" s="17">
        <f>Table1[[#This Row],[Reporting third]]-Table1[[#This Row],[Policy third]]</f>
        <v>2</v>
      </c>
      <c r="AA196" s="71">
        <f>IF(Table1[[#This Row],[Overall amount]]=0,"N/A",Table1[[#This Row],[Outstanding]]/Table1[[#This Row],[Overall amount]])</f>
        <v>0</v>
      </c>
      <c r="AB196" s="17">
        <f>IF(MONTH(Table1[[#This Row],[Loss date]])&lt;Pol_Inc_Month_Shifted,YEAR(Table1[[#This Row],[Loss date]])-1,YEAR(Table1[[#This Row],[Loss date]]))</f>
        <v>2012</v>
      </c>
      <c r="AC196" s="17">
        <f>IF(MONTH(Table1[[#This Row],[Reporting date]])&lt;Pol_Inc_Month_Shifted,YEAR(Table1[[#This Row],[Reporting date]])-1,YEAR(Table1[[#This Row],[Reporting date]]))</f>
        <v>2013</v>
      </c>
      <c r="AD196" s="17">
        <f>Table1[[#This Row],[Reporting year (shifted)]]-Table1[[#This Row],[Policy Year (shifted)]]</f>
        <v>1</v>
      </c>
    </row>
    <row r="197" spans="1:30" ht="13.9">
      <c r="A197" s="8" t="s">
        <v>1967</v>
      </c>
      <c r="B197" s="8" t="s">
        <v>249</v>
      </c>
      <c r="C197" s="8" t="s">
        <v>123</v>
      </c>
      <c r="D197" s="9">
        <v>40663</v>
      </c>
      <c r="E197" s="9">
        <v>41617</v>
      </c>
      <c r="F197" s="17">
        <f>IF(MONTH(Table1[[#This Row],[Loss date]])&lt;Policy_Inception_Month,YEAR(Table1[[#This Row],[Loss date]])-1,YEAR(Table1[[#This Row],[Loss date]]))</f>
        <v>2011</v>
      </c>
      <c r="G197" s="10" t="s">
        <v>125</v>
      </c>
      <c r="H197" s="10" t="s">
        <v>2</v>
      </c>
      <c r="I197" s="11">
        <v>8414.1311874375242</v>
      </c>
      <c r="J197" s="11">
        <v>0</v>
      </c>
      <c r="K197" s="11">
        <v>8414.1311874375242</v>
      </c>
      <c r="L197" s="12">
        <v>0</v>
      </c>
      <c r="M197" s="12">
        <v>0</v>
      </c>
      <c r="N197" s="12">
        <v>8414.1311874375242</v>
      </c>
      <c r="O197" s="70">
        <f>IF(Table1[[#This Row],[Overall amount]]=0,0,1)</f>
        <v>1</v>
      </c>
      <c r="P197" s="70">
        <f>Table1[[#This Row],[Overall amount]]*Exchange_Rate</f>
        <v>8414.1311874375242</v>
      </c>
      <c r="Q197" s="70">
        <f>Table1[[#This Row],[Overall (destination currency)]]*(1+Claims_Inflation)^((Revalue_at_date-Table1[[#This Row],[Loss date]])/365.25)</f>
        <v>10440</v>
      </c>
      <c r="R197" s="70">
        <f>INT(Table1[[#This Row],[Reporting date]])-INT(Table1[[#This Row],[Loss date]])</f>
        <v>954</v>
      </c>
      <c r="S197" s="69" t="s">
        <v>9</v>
      </c>
      <c r="T197" s="70">
        <f>VLOOKUP(Table1[[#This Row],[Policy Year]],exposure_table,3,FALSE)</f>
        <v>870.52680000000009</v>
      </c>
      <c r="U197" s="17">
        <f>IF(MONTH(Table1[[#This Row],[Reporting date]])&lt;Policy_Inception_Month,YEAR(Table1[[#This Row],[Reporting date]])-1,YEAR(Table1[[#This Row],[Reporting date]]))</f>
        <v>2013</v>
      </c>
      <c r="V197" s="17">
        <f>Table1[[#This Row],[Reporting year]]-Table1[[#This Row],[Policy Year]]</f>
        <v>2</v>
      </c>
      <c r="W197" s="17">
        <f>INT(Table1[[#This Row],[Reporting date]])-INT(Table1[[#This Row],[Loss date]])</f>
        <v>954</v>
      </c>
      <c r="X197" s="17">
        <f>INT((YEAR(Table1[[#This Row],[Loss date]])*12+MONTH(Table1[[#This Row],[Loss date]])-Earliest_Month)/4)</f>
        <v>18</v>
      </c>
      <c r="Y197" s="17">
        <f>INT((YEAR(Table1[[#This Row],[Reporting date]])*12+MONTH(Table1[[#This Row],[Reporting date]])-Earliest_Month)/4)</f>
        <v>26</v>
      </c>
      <c r="Z197" s="17">
        <f>Table1[[#This Row],[Reporting third]]-Table1[[#This Row],[Policy third]]</f>
        <v>8</v>
      </c>
      <c r="AA197" s="71">
        <f>IF(Table1[[#This Row],[Overall amount]]=0,"N/A",Table1[[#This Row],[Outstanding]]/Table1[[#This Row],[Overall amount]])</f>
        <v>0</v>
      </c>
      <c r="AB197" s="17">
        <f>IF(MONTH(Table1[[#This Row],[Loss date]])&lt;Pol_Inc_Month_Shifted,YEAR(Table1[[#This Row],[Loss date]])-1,YEAR(Table1[[#This Row],[Loss date]]))</f>
        <v>2010</v>
      </c>
      <c r="AC197" s="17">
        <f>IF(MONTH(Table1[[#This Row],[Reporting date]])&lt;Pol_Inc_Month_Shifted,YEAR(Table1[[#This Row],[Reporting date]])-1,YEAR(Table1[[#This Row],[Reporting date]]))</f>
        <v>2013</v>
      </c>
      <c r="AD197" s="17">
        <f>Table1[[#This Row],[Reporting year (shifted)]]-Table1[[#This Row],[Policy Year (shifted)]]</f>
        <v>3</v>
      </c>
    </row>
    <row r="198" spans="1:30" ht="13.9">
      <c r="A198" s="8" t="s">
        <v>1968</v>
      </c>
      <c r="B198" s="8" t="s">
        <v>250</v>
      </c>
      <c r="C198" s="8" t="s">
        <v>123</v>
      </c>
      <c r="D198" s="9">
        <v>41442</v>
      </c>
      <c r="E198" s="9">
        <v>41611</v>
      </c>
      <c r="F198" s="17">
        <f>IF(MONTH(Table1[[#This Row],[Loss date]])&lt;Policy_Inception_Month,YEAR(Table1[[#This Row],[Loss date]])-1,YEAR(Table1[[#This Row],[Loss date]]))</f>
        <v>2013</v>
      </c>
      <c r="G198" s="10" t="s">
        <v>125</v>
      </c>
      <c r="H198" s="10" t="s">
        <v>2</v>
      </c>
      <c r="I198" s="11">
        <v>8531.9713882684064</v>
      </c>
      <c r="J198" s="11">
        <v>0</v>
      </c>
      <c r="K198" s="11">
        <v>8531.9713882684064</v>
      </c>
      <c r="L198" s="12">
        <v>0</v>
      </c>
      <c r="M198" s="12">
        <v>0</v>
      </c>
      <c r="N198" s="12">
        <v>8531.9713882684064</v>
      </c>
      <c r="O198" s="70">
        <f>IF(Table1[[#This Row],[Overall amount]]=0,0,1)</f>
        <v>1</v>
      </c>
      <c r="P198" s="70">
        <f>Table1[[#This Row],[Overall amount]]*Exchange_Rate</f>
        <v>8531.9713882684064</v>
      </c>
      <c r="Q198" s="70">
        <f>Table1[[#This Row],[Overall (destination currency)]]*(1+Claims_Inflation)^((Revalue_at_date-Table1[[#This Row],[Loss date]])/365.25)</f>
        <v>9540</v>
      </c>
      <c r="R198" s="70">
        <f>INT(Table1[[#This Row],[Reporting date]])-INT(Table1[[#This Row],[Loss date]])</f>
        <v>169</v>
      </c>
      <c r="S198" s="69" t="s">
        <v>9</v>
      </c>
      <c r="T198" s="70">
        <f>VLOOKUP(Table1[[#This Row],[Policy Year]],exposure_table,3,FALSE)</f>
        <v>1090.5865384615383</v>
      </c>
      <c r="U198" s="17">
        <f>IF(MONTH(Table1[[#This Row],[Reporting date]])&lt;Policy_Inception_Month,YEAR(Table1[[#This Row],[Reporting date]])-1,YEAR(Table1[[#This Row],[Reporting date]]))</f>
        <v>2013</v>
      </c>
      <c r="V198" s="17">
        <f>Table1[[#This Row],[Reporting year]]-Table1[[#This Row],[Policy Year]]</f>
        <v>0</v>
      </c>
      <c r="W198" s="17">
        <f>INT(Table1[[#This Row],[Reporting date]])-INT(Table1[[#This Row],[Loss date]])</f>
        <v>169</v>
      </c>
      <c r="X198" s="17">
        <f>INT((YEAR(Table1[[#This Row],[Loss date]])*12+MONTH(Table1[[#This Row],[Loss date]])-Earliest_Month)/4)</f>
        <v>24</v>
      </c>
      <c r="Y198" s="17">
        <f>INT((YEAR(Table1[[#This Row],[Reporting date]])*12+MONTH(Table1[[#This Row],[Reporting date]])-Earliest_Month)/4)</f>
        <v>26</v>
      </c>
      <c r="Z198" s="17">
        <f>Table1[[#This Row],[Reporting third]]-Table1[[#This Row],[Policy third]]</f>
        <v>2</v>
      </c>
      <c r="AA198" s="71">
        <f>IF(Table1[[#This Row],[Overall amount]]=0,"N/A",Table1[[#This Row],[Outstanding]]/Table1[[#This Row],[Overall amount]])</f>
        <v>0</v>
      </c>
      <c r="AB198" s="17">
        <f>IF(MONTH(Table1[[#This Row],[Loss date]])&lt;Pol_Inc_Month_Shifted,YEAR(Table1[[#This Row],[Loss date]])-1,YEAR(Table1[[#This Row],[Loss date]]))</f>
        <v>2012</v>
      </c>
      <c r="AC198" s="17">
        <f>IF(MONTH(Table1[[#This Row],[Reporting date]])&lt;Pol_Inc_Month_Shifted,YEAR(Table1[[#This Row],[Reporting date]])-1,YEAR(Table1[[#This Row],[Reporting date]]))</f>
        <v>2013</v>
      </c>
      <c r="AD198" s="17">
        <f>Table1[[#This Row],[Reporting year (shifted)]]-Table1[[#This Row],[Policy Year (shifted)]]</f>
        <v>1</v>
      </c>
    </row>
    <row r="199" spans="1:30" ht="13.9">
      <c r="A199" s="8" t="s">
        <v>1969</v>
      </c>
      <c r="B199" s="8" t="s">
        <v>251</v>
      </c>
      <c r="C199" s="8" t="s">
        <v>123</v>
      </c>
      <c r="D199" s="9">
        <v>41044</v>
      </c>
      <c r="E199" s="9">
        <v>41588</v>
      </c>
      <c r="F199" s="17">
        <f>IF(MONTH(Table1[[#This Row],[Loss date]])&lt;Policy_Inception_Month,YEAR(Table1[[#This Row],[Loss date]])-1,YEAR(Table1[[#This Row],[Loss date]]))</f>
        <v>2012</v>
      </c>
      <c r="G199" s="10" t="s">
        <v>125</v>
      </c>
      <c r="H199" s="10" t="s">
        <v>2</v>
      </c>
      <c r="I199" s="11">
        <v>0</v>
      </c>
      <c r="J199" s="11">
        <v>12786.613125845992</v>
      </c>
      <c r="K199" s="11">
        <v>12786.613125845992</v>
      </c>
      <c r="L199" s="12">
        <v>0</v>
      </c>
      <c r="M199" s="12">
        <v>0</v>
      </c>
      <c r="N199" s="12">
        <v>12786.613125845992</v>
      </c>
      <c r="O199" s="70">
        <f>IF(Table1[[#This Row],[Overall amount]]=0,0,1)</f>
        <v>1</v>
      </c>
      <c r="P199" s="70">
        <f>Table1[[#This Row],[Overall amount]]*Exchange_Rate</f>
        <v>12786.613125845992</v>
      </c>
      <c r="Q199" s="70">
        <f>Table1[[#This Row],[Overall (destination currency)]]*(1+Claims_Inflation)^((Revalue_at_date-Table1[[#This Row],[Loss date]])/365.25)</f>
        <v>15077.999999999998</v>
      </c>
      <c r="R199" s="70">
        <f>INT(Table1[[#This Row],[Reporting date]])-INT(Table1[[#This Row],[Loss date]])</f>
        <v>544</v>
      </c>
      <c r="S199" s="69" t="s">
        <v>16</v>
      </c>
      <c r="T199" s="70">
        <f>VLOOKUP(Table1[[#This Row],[Policy Year]],exposure_table,3,FALSE)</f>
        <v>1057.54</v>
      </c>
      <c r="U199" s="17">
        <f>IF(MONTH(Table1[[#This Row],[Reporting date]])&lt;Policy_Inception_Month,YEAR(Table1[[#This Row],[Reporting date]])-1,YEAR(Table1[[#This Row],[Reporting date]]))</f>
        <v>2013</v>
      </c>
      <c r="V199" s="17">
        <f>Table1[[#This Row],[Reporting year]]-Table1[[#This Row],[Policy Year]]</f>
        <v>1</v>
      </c>
      <c r="W199" s="17">
        <f>INT(Table1[[#This Row],[Reporting date]])-INT(Table1[[#This Row],[Loss date]])</f>
        <v>544</v>
      </c>
      <c r="X199" s="17">
        <f>INT((YEAR(Table1[[#This Row],[Loss date]])*12+MONTH(Table1[[#This Row],[Loss date]])-Earliest_Month)/4)</f>
        <v>21</v>
      </c>
      <c r="Y199" s="17">
        <f>INT((YEAR(Table1[[#This Row],[Reporting date]])*12+MONTH(Table1[[#This Row],[Reporting date]])-Earliest_Month)/4)</f>
        <v>25</v>
      </c>
      <c r="Z199" s="17">
        <f>Table1[[#This Row],[Reporting third]]-Table1[[#This Row],[Policy third]]</f>
        <v>4</v>
      </c>
      <c r="AA199" s="71">
        <f>IF(Table1[[#This Row],[Overall amount]]=0,"N/A",Table1[[#This Row],[Outstanding]]/Table1[[#This Row],[Overall amount]])</f>
        <v>1</v>
      </c>
      <c r="AB199" s="17">
        <f>IF(MONTH(Table1[[#This Row],[Loss date]])&lt;Pol_Inc_Month_Shifted,YEAR(Table1[[#This Row],[Loss date]])-1,YEAR(Table1[[#This Row],[Loss date]]))</f>
        <v>2011</v>
      </c>
      <c r="AC199" s="17">
        <f>IF(MONTH(Table1[[#This Row],[Reporting date]])&lt;Pol_Inc_Month_Shifted,YEAR(Table1[[#This Row],[Reporting date]])-1,YEAR(Table1[[#This Row],[Reporting date]]))</f>
        <v>2012</v>
      </c>
      <c r="AD199" s="17">
        <f>Table1[[#This Row],[Reporting year (shifted)]]-Table1[[#This Row],[Policy Year (shifted)]]</f>
        <v>1</v>
      </c>
    </row>
    <row r="200" spans="1:30" ht="13.9">
      <c r="A200" s="8" t="s">
        <v>1970</v>
      </c>
      <c r="B200" s="8" t="s">
        <v>252</v>
      </c>
      <c r="C200" s="8" t="s">
        <v>123</v>
      </c>
      <c r="D200" s="9">
        <v>41491</v>
      </c>
      <c r="E200" s="9">
        <v>41569</v>
      </c>
      <c r="F200" s="17">
        <f>IF(MONTH(Table1[[#This Row],[Loss date]])&lt;Policy_Inception_Month,YEAR(Table1[[#This Row],[Loss date]])-1,YEAR(Table1[[#This Row],[Loss date]]))</f>
        <v>2013</v>
      </c>
      <c r="G200" s="10" t="s">
        <v>125</v>
      </c>
      <c r="H200" s="10" t="s">
        <v>2</v>
      </c>
      <c r="I200" s="11">
        <v>0</v>
      </c>
      <c r="J200" s="11">
        <v>10262.389900214406</v>
      </c>
      <c r="K200" s="11">
        <v>10262.389900214406</v>
      </c>
      <c r="L200" s="12">
        <v>0</v>
      </c>
      <c r="M200" s="12">
        <v>0</v>
      </c>
      <c r="N200" s="12">
        <v>10262.389900214406</v>
      </c>
      <c r="O200" s="70">
        <f>IF(Table1[[#This Row],[Overall amount]]=0,0,1)</f>
        <v>1</v>
      </c>
      <c r="P200" s="70">
        <f>Table1[[#This Row],[Overall amount]]*Exchange_Rate</f>
        <v>10262.389900214406</v>
      </c>
      <c r="Q200" s="70">
        <f>Table1[[#This Row],[Overall (destination currency)]]*(1+Claims_Inflation)^((Revalue_at_date-Table1[[#This Row],[Loss date]])/365.25)</f>
        <v>11400</v>
      </c>
      <c r="R200" s="70">
        <f>INT(Table1[[#This Row],[Reporting date]])-INT(Table1[[#This Row],[Loss date]])</f>
        <v>78</v>
      </c>
      <c r="S200" s="69" t="s">
        <v>16</v>
      </c>
      <c r="T200" s="70">
        <f>VLOOKUP(Table1[[#This Row],[Policy Year]],exposure_table,3,FALSE)</f>
        <v>1090.5865384615383</v>
      </c>
      <c r="U200" s="17">
        <f>IF(MONTH(Table1[[#This Row],[Reporting date]])&lt;Policy_Inception_Month,YEAR(Table1[[#This Row],[Reporting date]])-1,YEAR(Table1[[#This Row],[Reporting date]]))</f>
        <v>2013</v>
      </c>
      <c r="V200" s="17">
        <f>Table1[[#This Row],[Reporting year]]-Table1[[#This Row],[Policy Year]]</f>
        <v>0</v>
      </c>
      <c r="W200" s="17">
        <f>INT(Table1[[#This Row],[Reporting date]])-INT(Table1[[#This Row],[Loss date]])</f>
        <v>78</v>
      </c>
      <c r="X200" s="17">
        <f>INT((YEAR(Table1[[#This Row],[Loss date]])*12+MONTH(Table1[[#This Row],[Loss date]])-Earliest_Month)/4)</f>
        <v>25</v>
      </c>
      <c r="Y200" s="17">
        <f>INT((YEAR(Table1[[#This Row],[Reporting date]])*12+MONTH(Table1[[#This Row],[Reporting date]])-Earliest_Month)/4)</f>
        <v>25</v>
      </c>
      <c r="Z200" s="17">
        <f>Table1[[#This Row],[Reporting third]]-Table1[[#This Row],[Policy third]]</f>
        <v>0</v>
      </c>
      <c r="AA200" s="71">
        <f>IF(Table1[[#This Row],[Overall amount]]=0,"N/A",Table1[[#This Row],[Outstanding]]/Table1[[#This Row],[Overall amount]])</f>
        <v>1</v>
      </c>
      <c r="AB200" s="17">
        <f>IF(MONTH(Table1[[#This Row],[Loss date]])&lt;Pol_Inc_Month_Shifted,YEAR(Table1[[#This Row],[Loss date]])-1,YEAR(Table1[[#This Row],[Loss date]]))</f>
        <v>2012</v>
      </c>
      <c r="AC200" s="17">
        <f>IF(MONTH(Table1[[#This Row],[Reporting date]])&lt;Pol_Inc_Month_Shifted,YEAR(Table1[[#This Row],[Reporting date]])-1,YEAR(Table1[[#This Row],[Reporting date]]))</f>
        <v>2012</v>
      </c>
      <c r="AD200" s="17">
        <f>Table1[[#This Row],[Reporting year (shifted)]]-Table1[[#This Row],[Policy Year (shifted)]]</f>
        <v>0</v>
      </c>
    </row>
    <row r="201" spans="1:30" ht="13.9">
      <c r="A201" s="8" t="s">
        <v>1971</v>
      </c>
      <c r="B201" s="8" t="s">
        <v>253</v>
      </c>
      <c r="C201" s="8" t="s">
        <v>123</v>
      </c>
      <c r="D201" s="9">
        <v>41540</v>
      </c>
      <c r="E201" s="9">
        <v>41618</v>
      </c>
      <c r="F201" s="17">
        <f>IF(MONTH(Table1[[#This Row],[Loss date]])&lt;Policy_Inception_Month,YEAR(Table1[[#This Row],[Loss date]])-1,YEAR(Table1[[#This Row],[Loss date]]))</f>
        <v>2013</v>
      </c>
      <c r="G201" s="10" t="s">
        <v>127</v>
      </c>
      <c r="H201" s="10" t="s">
        <v>2</v>
      </c>
      <c r="I201" s="11">
        <v>0</v>
      </c>
      <c r="J201" s="11">
        <v>0</v>
      </c>
      <c r="K201" s="11">
        <v>0</v>
      </c>
      <c r="L201" s="12">
        <v>0</v>
      </c>
      <c r="M201" s="12">
        <v>0</v>
      </c>
      <c r="N201" s="12">
        <v>0</v>
      </c>
      <c r="O201" s="70">
        <f>IF(Table1[[#This Row],[Overall amount]]=0,0,1)</f>
        <v>0</v>
      </c>
      <c r="P201" s="70">
        <f>Table1[[#This Row],[Overall amount]]*Exchange_Rate</f>
        <v>0</v>
      </c>
      <c r="Q201" s="70">
        <f>Table1[[#This Row],[Overall (destination currency)]]*(1+Claims_Inflation)^((Revalue_at_date-Table1[[#This Row],[Loss date]])/365.25)</f>
        <v>0</v>
      </c>
      <c r="R201" s="70">
        <f>INT(Table1[[#This Row],[Reporting date]])-INT(Table1[[#This Row],[Loss date]])</f>
        <v>78</v>
      </c>
      <c r="S201" s="69" t="s">
        <v>9</v>
      </c>
      <c r="T201" s="70">
        <f>VLOOKUP(Table1[[#This Row],[Policy Year]],exposure_table,3,FALSE)</f>
        <v>1090.5865384615383</v>
      </c>
      <c r="U201" s="17">
        <f>IF(MONTH(Table1[[#This Row],[Reporting date]])&lt;Policy_Inception_Month,YEAR(Table1[[#This Row],[Reporting date]])-1,YEAR(Table1[[#This Row],[Reporting date]]))</f>
        <v>2013</v>
      </c>
      <c r="V201" s="17">
        <f>Table1[[#This Row],[Reporting year]]-Table1[[#This Row],[Policy Year]]</f>
        <v>0</v>
      </c>
      <c r="W201" s="17">
        <f>INT(Table1[[#This Row],[Reporting date]])-INT(Table1[[#This Row],[Loss date]])</f>
        <v>78</v>
      </c>
      <c r="X201" s="17">
        <f>INT((YEAR(Table1[[#This Row],[Loss date]])*12+MONTH(Table1[[#This Row],[Loss date]])-Earliest_Month)/4)</f>
        <v>25</v>
      </c>
      <c r="Y201" s="17">
        <f>INT((YEAR(Table1[[#This Row],[Reporting date]])*12+MONTH(Table1[[#This Row],[Reporting date]])-Earliest_Month)/4)</f>
        <v>26</v>
      </c>
      <c r="Z201" s="17">
        <f>Table1[[#This Row],[Reporting third]]-Table1[[#This Row],[Policy third]]</f>
        <v>1</v>
      </c>
      <c r="AA201" s="71" t="str">
        <f>IF(Table1[[#This Row],[Overall amount]]=0,"N/A",Table1[[#This Row],[Outstanding]]/Table1[[#This Row],[Overall amount]])</f>
        <v>N/A</v>
      </c>
      <c r="AB201" s="17">
        <f>IF(MONTH(Table1[[#This Row],[Loss date]])&lt;Pol_Inc_Month_Shifted,YEAR(Table1[[#This Row],[Loss date]])-1,YEAR(Table1[[#This Row],[Loss date]]))</f>
        <v>2012</v>
      </c>
      <c r="AC201" s="17">
        <f>IF(MONTH(Table1[[#This Row],[Reporting date]])&lt;Pol_Inc_Month_Shifted,YEAR(Table1[[#This Row],[Reporting date]])-1,YEAR(Table1[[#This Row],[Reporting date]]))</f>
        <v>2013</v>
      </c>
      <c r="AD201" s="17">
        <f>Table1[[#This Row],[Reporting year (shifted)]]-Table1[[#This Row],[Policy Year (shifted)]]</f>
        <v>1</v>
      </c>
    </row>
    <row r="202" spans="1:30" ht="13.9">
      <c r="A202" s="8" t="s">
        <v>1972</v>
      </c>
      <c r="B202" s="8" t="s">
        <v>254</v>
      </c>
      <c r="C202" s="8" t="s">
        <v>123</v>
      </c>
      <c r="D202" s="9">
        <v>41414</v>
      </c>
      <c r="E202" s="9">
        <v>41625</v>
      </c>
      <c r="F202" s="17">
        <f>IF(MONTH(Table1[[#This Row],[Loss date]])&lt;Policy_Inception_Month,YEAR(Table1[[#This Row],[Loss date]])-1,YEAR(Table1[[#This Row],[Loss date]]))</f>
        <v>2013</v>
      </c>
      <c r="G202" s="10" t="s">
        <v>125</v>
      </c>
      <c r="H202" s="10" t="s">
        <v>2</v>
      </c>
      <c r="I202" s="11">
        <v>0</v>
      </c>
      <c r="J202" s="11">
        <v>8553.579196736242</v>
      </c>
      <c r="K202" s="11">
        <v>8553.579196736242</v>
      </c>
      <c r="L202" s="12">
        <v>0</v>
      </c>
      <c r="M202" s="12">
        <v>0</v>
      </c>
      <c r="N202" s="12">
        <v>8553.579196736242</v>
      </c>
      <c r="O202" s="70">
        <f>IF(Table1[[#This Row],[Overall amount]]=0,0,1)</f>
        <v>1</v>
      </c>
      <c r="P202" s="70">
        <f>Table1[[#This Row],[Overall amount]]*Exchange_Rate</f>
        <v>8553.579196736242</v>
      </c>
      <c r="Q202" s="70">
        <f>Table1[[#This Row],[Overall (destination currency)]]*(1+Claims_Inflation)^((Revalue_at_date-Table1[[#This Row],[Loss date]])/365.25)</f>
        <v>9600</v>
      </c>
      <c r="R202" s="70">
        <f>INT(Table1[[#This Row],[Reporting date]])-INT(Table1[[#This Row],[Loss date]])</f>
        <v>211</v>
      </c>
      <c r="S202" s="69" t="s">
        <v>16</v>
      </c>
      <c r="T202" s="70">
        <f>VLOOKUP(Table1[[#This Row],[Policy Year]],exposure_table,3,FALSE)</f>
        <v>1090.5865384615383</v>
      </c>
      <c r="U202" s="17">
        <f>IF(MONTH(Table1[[#This Row],[Reporting date]])&lt;Policy_Inception_Month,YEAR(Table1[[#This Row],[Reporting date]])-1,YEAR(Table1[[#This Row],[Reporting date]]))</f>
        <v>2013</v>
      </c>
      <c r="V202" s="17">
        <f>Table1[[#This Row],[Reporting year]]-Table1[[#This Row],[Policy Year]]</f>
        <v>0</v>
      </c>
      <c r="W202" s="17">
        <f>INT(Table1[[#This Row],[Reporting date]])-INT(Table1[[#This Row],[Loss date]])</f>
        <v>211</v>
      </c>
      <c r="X202" s="17">
        <f>INT((YEAR(Table1[[#This Row],[Loss date]])*12+MONTH(Table1[[#This Row],[Loss date]])-Earliest_Month)/4)</f>
        <v>24</v>
      </c>
      <c r="Y202" s="17">
        <f>INT((YEAR(Table1[[#This Row],[Reporting date]])*12+MONTH(Table1[[#This Row],[Reporting date]])-Earliest_Month)/4)</f>
        <v>26</v>
      </c>
      <c r="Z202" s="17">
        <f>Table1[[#This Row],[Reporting third]]-Table1[[#This Row],[Policy third]]</f>
        <v>2</v>
      </c>
      <c r="AA202" s="71">
        <f>IF(Table1[[#This Row],[Overall amount]]=0,"N/A",Table1[[#This Row],[Outstanding]]/Table1[[#This Row],[Overall amount]])</f>
        <v>1</v>
      </c>
      <c r="AB202" s="17">
        <f>IF(MONTH(Table1[[#This Row],[Loss date]])&lt;Pol_Inc_Month_Shifted,YEAR(Table1[[#This Row],[Loss date]])-1,YEAR(Table1[[#This Row],[Loss date]]))</f>
        <v>2012</v>
      </c>
      <c r="AC202" s="17">
        <f>IF(MONTH(Table1[[#This Row],[Reporting date]])&lt;Pol_Inc_Month_Shifted,YEAR(Table1[[#This Row],[Reporting date]])-1,YEAR(Table1[[#This Row],[Reporting date]]))</f>
        <v>2013</v>
      </c>
      <c r="AD202" s="17">
        <f>Table1[[#This Row],[Reporting year (shifted)]]-Table1[[#This Row],[Policy Year (shifted)]]</f>
        <v>1</v>
      </c>
    </row>
    <row r="203" spans="1:30" ht="13.9">
      <c r="A203" s="8" t="s">
        <v>1973</v>
      </c>
      <c r="B203" s="8" t="s">
        <v>255</v>
      </c>
      <c r="C203" s="8" t="s">
        <v>123</v>
      </c>
      <c r="D203" s="9">
        <v>41322</v>
      </c>
      <c r="E203" s="9">
        <v>41628</v>
      </c>
      <c r="F203" s="17">
        <f>IF(MONTH(Table1[[#This Row],[Loss date]])&lt;Policy_Inception_Month,YEAR(Table1[[#This Row],[Loss date]])-1,YEAR(Table1[[#This Row],[Loss date]]))</f>
        <v>2012</v>
      </c>
      <c r="G203" s="10" t="s">
        <v>125</v>
      </c>
      <c r="H203" s="10" t="s">
        <v>2</v>
      </c>
      <c r="I203" s="11">
        <v>0</v>
      </c>
      <c r="J203" s="11">
        <v>0</v>
      </c>
      <c r="K203" s="11">
        <v>0</v>
      </c>
      <c r="L203" s="12">
        <v>0</v>
      </c>
      <c r="M203" s="12">
        <v>0</v>
      </c>
      <c r="N203" s="12">
        <v>0</v>
      </c>
      <c r="O203" s="70">
        <f>IF(Table1[[#This Row],[Overall amount]]=0,0,1)</f>
        <v>0</v>
      </c>
      <c r="P203" s="70">
        <f>Table1[[#This Row],[Overall amount]]*Exchange_Rate</f>
        <v>0</v>
      </c>
      <c r="Q203" s="70">
        <f>Table1[[#This Row],[Overall (destination currency)]]*(1+Claims_Inflation)^((Revalue_at_date-Table1[[#This Row],[Loss date]])/365.25)</f>
        <v>0</v>
      </c>
      <c r="R203" s="70">
        <f>INT(Table1[[#This Row],[Reporting date]])-INT(Table1[[#This Row],[Loss date]])</f>
        <v>306</v>
      </c>
      <c r="S203" s="69" t="s">
        <v>9</v>
      </c>
      <c r="T203" s="70">
        <f>VLOOKUP(Table1[[#This Row],[Policy Year]],exposure_table,3,FALSE)</f>
        <v>1057.54</v>
      </c>
      <c r="U203" s="17">
        <f>IF(MONTH(Table1[[#This Row],[Reporting date]])&lt;Policy_Inception_Month,YEAR(Table1[[#This Row],[Reporting date]])-1,YEAR(Table1[[#This Row],[Reporting date]]))</f>
        <v>2013</v>
      </c>
      <c r="V203" s="17">
        <f>Table1[[#This Row],[Reporting year]]-Table1[[#This Row],[Policy Year]]</f>
        <v>1</v>
      </c>
      <c r="W203" s="17">
        <f>INT(Table1[[#This Row],[Reporting date]])-INT(Table1[[#This Row],[Loss date]])</f>
        <v>306</v>
      </c>
      <c r="X203" s="17">
        <f>INT((YEAR(Table1[[#This Row],[Loss date]])*12+MONTH(Table1[[#This Row],[Loss date]])-Earliest_Month)/4)</f>
        <v>23</v>
      </c>
      <c r="Y203" s="17">
        <f>INT((YEAR(Table1[[#This Row],[Reporting date]])*12+MONTH(Table1[[#This Row],[Reporting date]])-Earliest_Month)/4)</f>
        <v>26</v>
      </c>
      <c r="Z203" s="17">
        <f>Table1[[#This Row],[Reporting third]]-Table1[[#This Row],[Policy third]]</f>
        <v>3</v>
      </c>
      <c r="AA203" s="71" t="str">
        <f>IF(Table1[[#This Row],[Overall amount]]=0,"N/A",Table1[[#This Row],[Outstanding]]/Table1[[#This Row],[Overall amount]])</f>
        <v>N/A</v>
      </c>
      <c r="AB203" s="17">
        <f>IF(MONTH(Table1[[#This Row],[Loss date]])&lt;Pol_Inc_Month_Shifted,YEAR(Table1[[#This Row],[Loss date]])-1,YEAR(Table1[[#This Row],[Loss date]]))</f>
        <v>2012</v>
      </c>
      <c r="AC203" s="17">
        <f>IF(MONTH(Table1[[#This Row],[Reporting date]])&lt;Pol_Inc_Month_Shifted,YEAR(Table1[[#This Row],[Reporting date]])-1,YEAR(Table1[[#This Row],[Reporting date]]))</f>
        <v>2013</v>
      </c>
      <c r="AD203" s="17">
        <f>Table1[[#This Row],[Reporting year (shifted)]]-Table1[[#This Row],[Policy Year (shifted)]]</f>
        <v>1</v>
      </c>
    </row>
    <row r="204" spans="1:30" ht="13.9">
      <c r="A204" s="8" t="s">
        <v>1974</v>
      </c>
      <c r="B204" s="8" t="s">
        <v>256</v>
      </c>
      <c r="C204" s="8" t="s">
        <v>123</v>
      </c>
      <c r="D204" s="9">
        <v>41250</v>
      </c>
      <c r="E204" s="9">
        <v>41272</v>
      </c>
      <c r="F204" s="17">
        <f>IF(MONTH(Table1[[#This Row],[Loss date]])&lt;Policy_Inception_Month,YEAR(Table1[[#This Row],[Loss date]])-1,YEAR(Table1[[#This Row],[Loss date]]))</f>
        <v>2012</v>
      </c>
      <c r="G204" s="10" t="s">
        <v>125</v>
      </c>
      <c r="H204" s="10" t="s">
        <v>2</v>
      </c>
      <c r="I204" s="11">
        <v>0</v>
      </c>
      <c r="J204" s="11">
        <v>10460.290336738211</v>
      </c>
      <c r="K204" s="11">
        <v>10460.290336738211</v>
      </c>
      <c r="L204" s="12">
        <v>0</v>
      </c>
      <c r="M204" s="12">
        <v>0</v>
      </c>
      <c r="N204" s="12">
        <v>10460.290336738211</v>
      </c>
      <c r="O204" s="70">
        <f>IF(Table1[[#This Row],[Overall amount]]=0,0,1)</f>
        <v>1</v>
      </c>
      <c r="P204" s="70">
        <f>Table1[[#This Row],[Overall amount]]*Exchange_Rate</f>
        <v>10460.290336738211</v>
      </c>
      <c r="Q204" s="70">
        <f>Table1[[#This Row],[Overall (destination currency)]]*(1+Claims_Inflation)^((Revalue_at_date-Table1[[#This Row],[Loss date]])/365.25)</f>
        <v>12000</v>
      </c>
      <c r="R204" s="70">
        <f>INT(Table1[[#This Row],[Reporting date]])-INT(Table1[[#This Row],[Loss date]])</f>
        <v>22</v>
      </c>
      <c r="S204" s="69" t="s">
        <v>16</v>
      </c>
      <c r="T204" s="70">
        <f>VLOOKUP(Table1[[#This Row],[Policy Year]],exposure_table,3,FALSE)</f>
        <v>1057.54</v>
      </c>
      <c r="U204" s="17">
        <f>IF(MONTH(Table1[[#This Row],[Reporting date]])&lt;Policy_Inception_Month,YEAR(Table1[[#This Row],[Reporting date]])-1,YEAR(Table1[[#This Row],[Reporting date]]))</f>
        <v>2012</v>
      </c>
      <c r="V204" s="17">
        <f>Table1[[#This Row],[Reporting year]]-Table1[[#This Row],[Policy Year]]</f>
        <v>0</v>
      </c>
      <c r="W204" s="17">
        <f>INT(Table1[[#This Row],[Reporting date]])-INT(Table1[[#This Row],[Loss date]])</f>
        <v>22</v>
      </c>
      <c r="X204" s="17">
        <f>INT((YEAR(Table1[[#This Row],[Loss date]])*12+MONTH(Table1[[#This Row],[Loss date]])-Earliest_Month)/4)</f>
        <v>23</v>
      </c>
      <c r="Y204" s="17">
        <f>INT((YEAR(Table1[[#This Row],[Reporting date]])*12+MONTH(Table1[[#This Row],[Reporting date]])-Earliest_Month)/4)</f>
        <v>23</v>
      </c>
      <c r="Z204" s="17">
        <f>Table1[[#This Row],[Reporting third]]-Table1[[#This Row],[Policy third]]</f>
        <v>0</v>
      </c>
      <c r="AA204" s="71">
        <f>IF(Table1[[#This Row],[Overall amount]]=0,"N/A",Table1[[#This Row],[Outstanding]]/Table1[[#This Row],[Overall amount]])</f>
        <v>1</v>
      </c>
      <c r="AB204" s="17">
        <f>IF(MONTH(Table1[[#This Row],[Loss date]])&lt;Pol_Inc_Month_Shifted,YEAR(Table1[[#This Row],[Loss date]])-1,YEAR(Table1[[#This Row],[Loss date]]))</f>
        <v>2012</v>
      </c>
      <c r="AC204" s="17">
        <f>IF(MONTH(Table1[[#This Row],[Reporting date]])&lt;Pol_Inc_Month_Shifted,YEAR(Table1[[#This Row],[Reporting date]])-1,YEAR(Table1[[#This Row],[Reporting date]]))</f>
        <v>2012</v>
      </c>
      <c r="AD204" s="17">
        <f>Table1[[#This Row],[Reporting year (shifted)]]-Table1[[#This Row],[Policy Year (shifted)]]</f>
        <v>0</v>
      </c>
    </row>
    <row r="205" spans="1:30" ht="13.9">
      <c r="A205" s="8" t="s">
        <v>1975</v>
      </c>
      <c r="B205" s="8" t="s">
        <v>257</v>
      </c>
      <c r="C205" s="8" t="s">
        <v>123</v>
      </c>
      <c r="D205" s="9">
        <v>41393</v>
      </c>
      <c r="E205" s="9">
        <v>41406</v>
      </c>
      <c r="F205" s="17">
        <f>IF(MONTH(Table1[[#This Row],[Loss date]])&lt;Policy_Inception_Month,YEAR(Table1[[#This Row],[Loss date]])-1,YEAR(Table1[[#This Row],[Loss date]]))</f>
        <v>2013</v>
      </c>
      <c r="G205" s="10" t="s">
        <v>125</v>
      </c>
      <c r="H205" s="10" t="s">
        <v>2</v>
      </c>
      <c r="I205" s="11">
        <v>0</v>
      </c>
      <c r="J205" s="11">
        <v>16616.762955147264</v>
      </c>
      <c r="K205" s="11">
        <v>16616.762955147264</v>
      </c>
      <c r="L205" s="12">
        <v>319.86069211063074</v>
      </c>
      <c r="M205" s="12">
        <v>0</v>
      </c>
      <c r="N205" s="12">
        <v>16936.623647257893</v>
      </c>
      <c r="O205" s="70">
        <f>IF(Table1[[#This Row],[Overall amount]]=0,0,1)</f>
        <v>1</v>
      </c>
      <c r="P205" s="70">
        <f>Table1[[#This Row],[Overall amount]]*Exchange_Rate</f>
        <v>16936.623647257893</v>
      </c>
      <c r="Q205" s="70">
        <f>Table1[[#This Row],[Overall (destination currency)]]*(1+Claims_Inflation)^((Revalue_at_date-Table1[[#This Row],[Loss date]])/365.25)</f>
        <v>19061.999999999996</v>
      </c>
      <c r="R205" s="70">
        <f>INT(Table1[[#This Row],[Reporting date]])-INT(Table1[[#This Row],[Loss date]])</f>
        <v>13</v>
      </c>
      <c r="S205" s="69" t="s">
        <v>16</v>
      </c>
      <c r="T205" s="70">
        <f>VLOOKUP(Table1[[#This Row],[Policy Year]],exposure_table,3,FALSE)</f>
        <v>1090.5865384615383</v>
      </c>
      <c r="U205" s="17">
        <f>IF(MONTH(Table1[[#This Row],[Reporting date]])&lt;Policy_Inception_Month,YEAR(Table1[[#This Row],[Reporting date]])-1,YEAR(Table1[[#This Row],[Reporting date]]))</f>
        <v>2013</v>
      </c>
      <c r="V205" s="17">
        <f>Table1[[#This Row],[Reporting year]]-Table1[[#This Row],[Policy Year]]</f>
        <v>0</v>
      </c>
      <c r="W205" s="17">
        <f>INT(Table1[[#This Row],[Reporting date]])-INT(Table1[[#This Row],[Loss date]])</f>
        <v>13</v>
      </c>
      <c r="X205" s="17">
        <f>INT((YEAR(Table1[[#This Row],[Loss date]])*12+MONTH(Table1[[#This Row],[Loss date]])-Earliest_Month)/4)</f>
        <v>24</v>
      </c>
      <c r="Y205" s="17">
        <f>INT((YEAR(Table1[[#This Row],[Reporting date]])*12+MONTH(Table1[[#This Row],[Reporting date]])-Earliest_Month)/4)</f>
        <v>24</v>
      </c>
      <c r="Z205" s="17">
        <f>Table1[[#This Row],[Reporting third]]-Table1[[#This Row],[Policy third]]</f>
        <v>0</v>
      </c>
      <c r="AA205" s="71">
        <f>IF(Table1[[#This Row],[Overall amount]]=0,"N/A",Table1[[#This Row],[Outstanding]]/Table1[[#This Row],[Overall amount]])</f>
        <v>0.98111425873465541</v>
      </c>
      <c r="AB205" s="17">
        <f>IF(MONTH(Table1[[#This Row],[Loss date]])&lt;Pol_Inc_Month_Shifted,YEAR(Table1[[#This Row],[Loss date]])-1,YEAR(Table1[[#This Row],[Loss date]]))</f>
        <v>2012</v>
      </c>
      <c r="AC205" s="17">
        <f>IF(MONTH(Table1[[#This Row],[Reporting date]])&lt;Pol_Inc_Month_Shifted,YEAR(Table1[[#This Row],[Reporting date]])-1,YEAR(Table1[[#This Row],[Reporting date]]))</f>
        <v>2012</v>
      </c>
      <c r="AD205" s="17">
        <f>Table1[[#This Row],[Reporting year (shifted)]]-Table1[[#This Row],[Policy Year (shifted)]]</f>
        <v>0</v>
      </c>
    </row>
    <row r="206" spans="1:30" ht="13.9">
      <c r="A206" s="8" t="s">
        <v>1976</v>
      </c>
      <c r="B206" s="8" t="s">
        <v>258</v>
      </c>
      <c r="C206" s="8" t="s">
        <v>123</v>
      </c>
      <c r="D206" s="9">
        <v>41433</v>
      </c>
      <c r="E206" s="9">
        <v>41462</v>
      </c>
      <c r="F206" s="17">
        <f>IF(MONTH(Table1[[#This Row],[Loss date]])&lt;Policy_Inception_Month,YEAR(Table1[[#This Row],[Loss date]])-1,YEAR(Table1[[#This Row],[Loss date]]))</f>
        <v>2013</v>
      </c>
      <c r="G206" s="10" t="s">
        <v>125</v>
      </c>
      <c r="H206" s="10" t="s">
        <v>2</v>
      </c>
      <c r="I206" s="11">
        <v>3215.7434831702717</v>
      </c>
      <c r="J206" s="11">
        <v>22831.77873050893</v>
      </c>
      <c r="K206" s="11">
        <v>26047.5222136792</v>
      </c>
      <c r="L206" s="12">
        <v>0</v>
      </c>
      <c r="M206" s="12">
        <v>0</v>
      </c>
      <c r="N206" s="12">
        <v>26047.5222136792</v>
      </c>
      <c r="O206" s="70">
        <f>IF(Table1[[#This Row],[Overall amount]]=0,0,1)</f>
        <v>1</v>
      </c>
      <c r="P206" s="70">
        <f>Table1[[#This Row],[Overall amount]]*Exchange_Rate</f>
        <v>26047.5222136792</v>
      </c>
      <c r="Q206" s="70">
        <f>Table1[[#This Row],[Overall (destination currency)]]*(1+Claims_Inflation)^((Revalue_at_date-Table1[[#This Row],[Loss date]])/365.25)</f>
        <v>29160</v>
      </c>
      <c r="R206" s="70">
        <f>INT(Table1[[#This Row],[Reporting date]])-INT(Table1[[#This Row],[Loss date]])</f>
        <v>29</v>
      </c>
      <c r="S206" s="69" t="s">
        <v>16</v>
      </c>
      <c r="T206" s="70">
        <f>VLOOKUP(Table1[[#This Row],[Policy Year]],exposure_table,3,FALSE)</f>
        <v>1090.5865384615383</v>
      </c>
      <c r="U206" s="17">
        <f>IF(MONTH(Table1[[#This Row],[Reporting date]])&lt;Policy_Inception_Month,YEAR(Table1[[#This Row],[Reporting date]])-1,YEAR(Table1[[#This Row],[Reporting date]]))</f>
        <v>2013</v>
      </c>
      <c r="V206" s="17">
        <f>Table1[[#This Row],[Reporting year]]-Table1[[#This Row],[Policy Year]]</f>
        <v>0</v>
      </c>
      <c r="W206" s="17">
        <f>INT(Table1[[#This Row],[Reporting date]])-INT(Table1[[#This Row],[Loss date]])</f>
        <v>29</v>
      </c>
      <c r="X206" s="17">
        <f>INT((YEAR(Table1[[#This Row],[Loss date]])*12+MONTH(Table1[[#This Row],[Loss date]])-Earliest_Month)/4)</f>
        <v>24</v>
      </c>
      <c r="Y206" s="17">
        <f>INT((YEAR(Table1[[#This Row],[Reporting date]])*12+MONTH(Table1[[#This Row],[Reporting date]])-Earliest_Month)/4)</f>
        <v>24</v>
      </c>
      <c r="Z206" s="17">
        <f>Table1[[#This Row],[Reporting third]]-Table1[[#This Row],[Policy third]]</f>
        <v>0</v>
      </c>
      <c r="AA206" s="71">
        <f>IF(Table1[[#This Row],[Overall amount]]=0,"N/A",Table1[[#This Row],[Outstanding]]/Table1[[#This Row],[Overall amount]])</f>
        <v>0.87654320987654322</v>
      </c>
      <c r="AB206" s="17">
        <f>IF(MONTH(Table1[[#This Row],[Loss date]])&lt;Pol_Inc_Month_Shifted,YEAR(Table1[[#This Row],[Loss date]])-1,YEAR(Table1[[#This Row],[Loss date]]))</f>
        <v>2012</v>
      </c>
      <c r="AC206" s="17">
        <f>IF(MONTH(Table1[[#This Row],[Reporting date]])&lt;Pol_Inc_Month_Shifted,YEAR(Table1[[#This Row],[Reporting date]])-1,YEAR(Table1[[#This Row],[Reporting date]]))</f>
        <v>2012</v>
      </c>
      <c r="AD206" s="17">
        <f>Table1[[#This Row],[Reporting year (shifted)]]-Table1[[#This Row],[Policy Year (shifted)]]</f>
        <v>0</v>
      </c>
    </row>
    <row r="207" spans="1:30" ht="13.9">
      <c r="A207" s="8" t="s">
        <v>1977</v>
      </c>
      <c r="B207" s="8" t="s">
        <v>259</v>
      </c>
      <c r="C207" s="8" t="s">
        <v>123</v>
      </c>
      <c r="D207" s="9">
        <v>41373</v>
      </c>
      <c r="E207" s="9">
        <v>41390</v>
      </c>
      <c r="F207" s="17">
        <f>IF(MONTH(Table1[[#This Row],[Loss date]])&lt;Policy_Inception_Month,YEAR(Table1[[#This Row],[Loss date]])-1,YEAR(Table1[[#This Row],[Loss date]]))</f>
        <v>2013</v>
      </c>
      <c r="G207" s="10" t="s">
        <v>125</v>
      </c>
      <c r="H207" s="10" t="s">
        <v>2</v>
      </c>
      <c r="I207" s="11">
        <v>0</v>
      </c>
      <c r="J207" s="11">
        <v>24457.225685943304</v>
      </c>
      <c r="K207" s="11">
        <v>24457.225685943304</v>
      </c>
      <c r="L207" s="12">
        <v>0</v>
      </c>
      <c r="M207" s="12">
        <v>2403.2945988174115</v>
      </c>
      <c r="N207" s="12">
        <v>22053.931087125893</v>
      </c>
      <c r="O207" s="70">
        <f>IF(Table1[[#This Row],[Overall amount]]=0,0,1)</f>
        <v>1</v>
      </c>
      <c r="P207" s="70">
        <f>Table1[[#This Row],[Overall amount]]*Exchange_Rate</f>
        <v>22053.931087125893</v>
      </c>
      <c r="Q207" s="70">
        <f>Table1[[#This Row],[Overall (destination currency)]]*(1+Claims_Inflation)^((Revalue_at_date-Table1[[#This Row],[Loss date]])/365.25)</f>
        <v>24887.879999999997</v>
      </c>
      <c r="R207" s="70">
        <f>INT(Table1[[#This Row],[Reporting date]])-INT(Table1[[#This Row],[Loss date]])</f>
        <v>17</v>
      </c>
      <c r="S207" s="69" t="s">
        <v>16</v>
      </c>
      <c r="T207" s="70">
        <f>VLOOKUP(Table1[[#This Row],[Policy Year]],exposure_table,3,FALSE)</f>
        <v>1090.5865384615383</v>
      </c>
      <c r="U207" s="17">
        <f>IF(MONTH(Table1[[#This Row],[Reporting date]])&lt;Policy_Inception_Month,YEAR(Table1[[#This Row],[Reporting date]])-1,YEAR(Table1[[#This Row],[Reporting date]]))</f>
        <v>2013</v>
      </c>
      <c r="V207" s="17">
        <f>Table1[[#This Row],[Reporting year]]-Table1[[#This Row],[Policy Year]]</f>
        <v>0</v>
      </c>
      <c r="W207" s="17">
        <f>INT(Table1[[#This Row],[Reporting date]])-INT(Table1[[#This Row],[Loss date]])</f>
        <v>17</v>
      </c>
      <c r="X207" s="17">
        <f>INT((YEAR(Table1[[#This Row],[Loss date]])*12+MONTH(Table1[[#This Row],[Loss date]])-Earliest_Month)/4)</f>
        <v>24</v>
      </c>
      <c r="Y207" s="17">
        <f>INT((YEAR(Table1[[#This Row],[Reporting date]])*12+MONTH(Table1[[#This Row],[Reporting date]])-Earliest_Month)/4)</f>
        <v>24</v>
      </c>
      <c r="Z207" s="17">
        <f>Table1[[#This Row],[Reporting third]]-Table1[[#This Row],[Policy third]]</f>
        <v>0</v>
      </c>
      <c r="AA207" s="71">
        <f>IF(Table1[[#This Row],[Overall amount]]=0,"N/A",Table1[[#This Row],[Outstanding]]/Table1[[#This Row],[Overall amount]])</f>
        <v>1.1089735244625094</v>
      </c>
      <c r="AB207" s="17">
        <f>IF(MONTH(Table1[[#This Row],[Loss date]])&lt;Pol_Inc_Month_Shifted,YEAR(Table1[[#This Row],[Loss date]])-1,YEAR(Table1[[#This Row],[Loss date]]))</f>
        <v>2012</v>
      </c>
      <c r="AC207" s="17">
        <f>IF(MONTH(Table1[[#This Row],[Reporting date]])&lt;Pol_Inc_Month_Shifted,YEAR(Table1[[#This Row],[Reporting date]])-1,YEAR(Table1[[#This Row],[Reporting date]]))</f>
        <v>2012</v>
      </c>
      <c r="AD207" s="17">
        <f>Table1[[#This Row],[Reporting year (shifted)]]-Table1[[#This Row],[Policy Year (shifted)]]</f>
        <v>0</v>
      </c>
    </row>
    <row r="208" spans="1:30" ht="13.9">
      <c r="A208" s="8" t="s">
        <v>1978</v>
      </c>
      <c r="B208" s="8" t="s">
        <v>260</v>
      </c>
      <c r="C208" s="8" t="s">
        <v>123</v>
      </c>
      <c r="D208" s="9">
        <v>41336</v>
      </c>
      <c r="E208" s="9">
        <v>41343</v>
      </c>
      <c r="F208" s="17">
        <f>IF(MONTH(Table1[[#This Row],[Loss date]])&lt;Policy_Inception_Month,YEAR(Table1[[#This Row],[Loss date]])-1,YEAR(Table1[[#This Row],[Loss date]]))</f>
        <v>2012</v>
      </c>
      <c r="G208" s="10" t="s">
        <v>125</v>
      </c>
      <c r="H208" s="10" t="s">
        <v>2</v>
      </c>
      <c r="I208" s="11">
        <v>5555.1037234511441</v>
      </c>
      <c r="J208" s="11">
        <v>0</v>
      </c>
      <c r="K208" s="11">
        <v>5555.1037234511441</v>
      </c>
      <c r="L208" s="12">
        <v>0</v>
      </c>
      <c r="M208" s="12">
        <v>0</v>
      </c>
      <c r="N208" s="12">
        <v>5555.1037234511441</v>
      </c>
      <c r="O208" s="70">
        <f>IF(Table1[[#This Row],[Overall amount]]=0,0,1)</f>
        <v>1</v>
      </c>
      <c r="P208" s="70">
        <f>Table1[[#This Row],[Overall amount]]*Exchange_Rate</f>
        <v>5555.1037234511441</v>
      </c>
      <c r="Q208" s="70">
        <f>Table1[[#This Row],[Overall (destination currency)]]*(1+Claims_Inflation)^((Revalue_at_date-Table1[[#This Row],[Loss date]])/365.25)</f>
        <v>6300</v>
      </c>
      <c r="R208" s="70">
        <f>INT(Table1[[#This Row],[Reporting date]])-INT(Table1[[#This Row],[Loss date]])</f>
        <v>7</v>
      </c>
      <c r="S208" s="69" t="s">
        <v>9</v>
      </c>
      <c r="T208" s="70">
        <f>VLOOKUP(Table1[[#This Row],[Policy Year]],exposure_table,3,FALSE)</f>
        <v>1057.54</v>
      </c>
      <c r="U208" s="17">
        <f>IF(MONTH(Table1[[#This Row],[Reporting date]])&lt;Policy_Inception_Month,YEAR(Table1[[#This Row],[Reporting date]])-1,YEAR(Table1[[#This Row],[Reporting date]]))</f>
        <v>2012</v>
      </c>
      <c r="V208" s="17">
        <f>Table1[[#This Row],[Reporting year]]-Table1[[#This Row],[Policy Year]]</f>
        <v>0</v>
      </c>
      <c r="W208" s="17">
        <f>INT(Table1[[#This Row],[Reporting date]])-INT(Table1[[#This Row],[Loss date]])</f>
        <v>7</v>
      </c>
      <c r="X208" s="17">
        <f>INT((YEAR(Table1[[#This Row],[Loss date]])*12+MONTH(Table1[[#This Row],[Loss date]])-Earliest_Month)/4)</f>
        <v>23</v>
      </c>
      <c r="Y208" s="17">
        <f>INT((YEAR(Table1[[#This Row],[Reporting date]])*12+MONTH(Table1[[#This Row],[Reporting date]])-Earliest_Month)/4)</f>
        <v>23</v>
      </c>
      <c r="Z208" s="17">
        <f>Table1[[#This Row],[Reporting third]]-Table1[[#This Row],[Policy third]]</f>
        <v>0</v>
      </c>
      <c r="AA208" s="71">
        <f>IF(Table1[[#This Row],[Overall amount]]=0,"N/A",Table1[[#This Row],[Outstanding]]/Table1[[#This Row],[Overall amount]])</f>
        <v>0</v>
      </c>
      <c r="AB208" s="17">
        <f>IF(MONTH(Table1[[#This Row],[Loss date]])&lt;Pol_Inc_Month_Shifted,YEAR(Table1[[#This Row],[Loss date]])-1,YEAR(Table1[[#This Row],[Loss date]]))</f>
        <v>2012</v>
      </c>
      <c r="AC208" s="17">
        <f>IF(MONTH(Table1[[#This Row],[Reporting date]])&lt;Pol_Inc_Month_Shifted,YEAR(Table1[[#This Row],[Reporting date]])-1,YEAR(Table1[[#This Row],[Reporting date]]))</f>
        <v>2012</v>
      </c>
      <c r="AD208" s="17">
        <f>Table1[[#This Row],[Reporting year (shifted)]]-Table1[[#This Row],[Policy Year (shifted)]]</f>
        <v>0</v>
      </c>
    </row>
    <row r="209" spans="1:30" ht="13.9">
      <c r="A209" s="8" t="s">
        <v>1979</v>
      </c>
      <c r="B209" s="8" t="s">
        <v>261</v>
      </c>
      <c r="C209" s="8" t="s">
        <v>123</v>
      </c>
      <c r="D209" s="9">
        <v>40672</v>
      </c>
      <c r="E209" s="9">
        <v>41646</v>
      </c>
      <c r="F209" s="17">
        <f>IF(MONTH(Table1[[#This Row],[Loss date]])&lt;Policy_Inception_Month,YEAR(Table1[[#This Row],[Loss date]])-1,YEAR(Table1[[#This Row],[Loss date]]))</f>
        <v>2011</v>
      </c>
      <c r="G209" s="10" t="s">
        <v>125</v>
      </c>
      <c r="H209" s="10" t="s">
        <v>2</v>
      </c>
      <c r="I209" s="11">
        <v>33945.866054474005</v>
      </c>
      <c r="J209" s="11">
        <v>0</v>
      </c>
      <c r="K209" s="11">
        <v>33945.866054474005</v>
      </c>
      <c r="L209" s="12">
        <v>290.49148005654229</v>
      </c>
      <c r="M209" s="12">
        <v>0</v>
      </c>
      <c r="N209" s="12">
        <v>34236.357534530551</v>
      </c>
      <c r="O209" s="70">
        <f>IF(Table1[[#This Row],[Overall amount]]=0,0,1)</f>
        <v>1</v>
      </c>
      <c r="P209" s="70">
        <f>Table1[[#This Row],[Overall amount]]*Exchange_Rate</f>
        <v>34236.357534530551</v>
      </c>
      <c r="Q209" s="70">
        <f>Table1[[#This Row],[Overall (destination currency)]]*(1+Claims_Inflation)^((Revalue_at_date-Table1[[#This Row],[Loss date]])/365.25)</f>
        <v>42428.4</v>
      </c>
      <c r="R209" s="70">
        <f>INT(Table1[[#This Row],[Reporting date]])-INT(Table1[[#This Row],[Loss date]])</f>
        <v>974</v>
      </c>
      <c r="S209" s="69" t="s">
        <v>9</v>
      </c>
      <c r="T209" s="70">
        <f>VLOOKUP(Table1[[#This Row],[Policy Year]],exposure_table,3,FALSE)</f>
        <v>870.52680000000009</v>
      </c>
      <c r="U209" s="17">
        <f>IF(MONTH(Table1[[#This Row],[Reporting date]])&lt;Policy_Inception_Month,YEAR(Table1[[#This Row],[Reporting date]])-1,YEAR(Table1[[#This Row],[Reporting date]]))</f>
        <v>2013</v>
      </c>
      <c r="V209" s="17">
        <f>Table1[[#This Row],[Reporting year]]-Table1[[#This Row],[Policy Year]]</f>
        <v>2</v>
      </c>
      <c r="W209" s="17">
        <f>INT(Table1[[#This Row],[Reporting date]])-INT(Table1[[#This Row],[Loss date]])</f>
        <v>974</v>
      </c>
      <c r="X209" s="17">
        <f>INT((YEAR(Table1[[#This Row],[Loss date]])*12+MONTH(Table1[[#This Row],[Loss date]])-Earliest_Month)/4)</f>
        <v>18</v>
      </c>
      <c r="Y209" s="17">
        <f>INT((YEAR(Table1[[#This Row],[Reporting date]])*12+MONTH(Table1[[#This Row],[Reporting date]])-Earliest_Month)/4)</f>
        <v>26</v>
      </c>
      <c r="Z209" s="17">
        <f>Table1[[#This Row],[Reporting third]]-Table1[[#This Row],[Policy third]]</f>
        <v>8</v>
      </c>
      <c r="AA209" s="71">
        <f>IF(Table1[[#This Row],[Overall amount]]=0,"N/A",Table1[[#This Row],[Outstanding]]/Table1[[#This Row],[Overall amount]])</f>
        <v>0</v>
      </c>
      <c r="AB209" s="17">
        <f>IF(MONTH(Table1[[#This Row],[Loss date]])&lt;Pol_Inc_Month_Shifted,YEAR(Table1[[#This Row],[Loss date]])-1,YEAR(Table1[[#This Row],[Loss date]]))</f>
        <v>2010</v>
      </c>
      <c r="AC209" s="17">
        <f>IF(MONTH(Table1[[#This Row],[Reporting date]])&lt;Pol_Inc_Month_Shifted,YEAR(Table1[[#This Row],[Reporting date]])-1,YEAR(Table1[[#This Row],[Reporting date]]))</f>
        <v>2013</v>
      </c>
      <c r="AD209" s="17">
        <f>Table1[[#This Row],[Reporting year (shifted)]]-Table1[[#This Row],[Policy Year (shifted)]]</f>
        <v>3</v>
      </c>
    </row>
    <row r="210" spans="1:30" ht="13.9">
      <c r="A210" s="8" t="s">
        <v>1980</v>
      </c>
      <c r="B210" s="8" t="s">
        <v>262</v>
      </c>
      <c r="C210" s="8" t="s">
        <v>123</v>
      </c>
      <c r="D210" s="9">
        <v>41225</v>
      </c>
      <c r="E210" s="9">
        <v>41649</v>
      </c>
      <c r="F210" s="17">
        <f>IF(MONTH(Table1[[#This Row],[Loss date]])&lt;Policy_Inception_Month,YEAR(Table1[[#This Row],[Loss date]])-1,YEAR(Table1[[#This Row],[Loss date]]))</f>
        <v>2012</v>
      </c>
      <c r="G210" s="10" t="s">
        <v>125</v>
      </c>
      <c r="H210" s="10" t="s">
        <v>2</v>
      </c>
      <c r="I210" s="11">
        <v>30909.066066607909</v>
      </c>
      <c r="J210" s="11">
        <v>5058.6205508805006</v>
      </c>
      <c r="K210" s="11">
        <v>35967.686617488413</v>
      </c>
      <c r="L210" s="12">
        <v>0</v>
      </c>
      <c r="M210" s="12">
        <v>0</v>
      </c>
      <c r="N210" s="12">
        <v>35967.686617488413</v>
      </c>
      <c r="O210" s="70">
        <f>IF(Table1[[#This Row],[Overall amount]]=0,0,1)</f>
        <v>1</v>
      </c>
      <c r="P210" s="70">
        <f>Table1[[#This Row],[Overall amount]]*Exchange_Rate</f>
        <v>35967.686617488413</v>
      </c>
      <c r="Q210" s="70">
        <f>Table1[[#This Row],[Overall (destination currency)]]*(1+Claims_Inflation)^((Revalue_at_date-Table1[[#This Row],[Loss date]])/365.25)</f>
        <v>41400</v>
      </c>
      <c r="R210" s="70">
        <f>INT(Table1[[#This Row],[Reporting date]])-INT(Table1[[#This Row],[Loss date]])</f>
        <v>424</v>
      </c>
      <c r="S210" s="69" t="s">
        <v>16</v>
      </c>
      <c r="T210" s="70">
        <f>VLOOKUP(Table1[[#This Row],[Policy Year]],exposure_table,3,FALSE)</f>
        <v>1057.54</v>
      </c>
      <c r="U210" s="17">
        <f>IF(MONTH(Table1[[#This Row],[Reporting date]])&lt;Policy_Inception_Month,YEAR(Table1[[#This Row],[Reporting date]])-1,YEAR(Table1[[#This Row],[Reporting date]]))</f>
        <v>2013</v>
      </c>
      <c r="V210" s="17">
        <f>Table1[[#This Row],[Reporting year]]-Table1[[#This Row],[Policy Year]]</f>
        <v>1</v>
      </c>
      <c r="W210" s="17">
        <f>INT(Table1[[#This Row],[Reporting date]])-INT(Table1[[#This Row],[Loss date]])</f>
        <v>424</v>
      </c>
      <c r="X210" s="17">
        <f>INT((YEAR(Table1[[#This Row],[Loss date]])*12+MONTH(Table1[[#This Row],[Loss date]])-Earliest_Month)/4)</f>
        <v>22</v>
      </c>
      <c r="Y210" s="17">
        <f>INT((YEAR(Table1[[#This Row],[Reporting date]])*12+MONTH(Table1[[#This Row],[Reporting date]])-Earliest_Month)/4)</f>
        <v>26</v>
      </c>
      <c r="Z210" s="17">
        <f>Table1[[#This Row],[Reporting third]]-Table1[[#This Row],[Policy third]]</f>
        <v>4</v>
      </c>
      <c r="AA210" s="71">
        <f>IF(Table1[[#This Row],[Overall amount]]=0,"N/A",Table1[[#This Row],[Outstanding]]/Table1[[#This Row],[Overall amount]])</f>
        <v>0.14064347826086956</v>
      </c>
      <c r="AB210" s="17">
        <f>IF(MONTH(Table1[[#This Row],[Loss date]])&lt;Pol_Inc_Month_Shifted,YEAR(Table1[[#This Row],[Loss date]])-1,YEAR(Table1[[#This Row],[Loss date]]))</f>
        <v>2011</v>
      </c>
      <c r="AC210" s="17">
        <f>IF(MONTH(Table1[[#This Row],[Reporting date]])&lt;Pol_Inc_Month_Shifted,YEAR(Table1[[#This Row],[Reporting date]])-1,YEAR(Table1[[#This Row],[Reporting date]]))</f>
        <v>2013</v>
      </c>
      <c r="AD210" s="17">
        <f>Table1[[#This Row],[Reporting year (shifted)]]-Table1[[#This Row],[Policy Year (shifted)]]</f>
        <v>2</v>
      </c>
    </row>
    <row r="211" spans="1:30" ht="13.9">
      <c r="A211" s="8" t="s">
        <v>1981</v>
      </c>
      <c r="B211" s="8" t="s">
        <v>263</v>
      </c>
      <c r="C211" s="8" t="s">
        <v>123</v>
      </c>
      <c r="D211" s="9">
        <v>41267</v>
      </c>
      <c r="E211" s="9">
        <v>41650</v>
      </c>
      <c r="F211" s="17">
        <f>IF(MONTH(Table1[[#This Row],[Loss date]])&lt;Policy_Inception_Month,YEAR(Table1[[#This Row],[Loss date]])-1,YEAR(Table1[[#This Row],[Loss date]]))</f>
        <v>2012</v>
      </c>
      <c r="G211" s="10" t="s">
        <v>125</v>
      </c>
      <c r="H211" s="10" t="s">
        <v>2</v>
      </c>
      <c r="I211" s="11">
        <v>0</v>
      </c>
      <c r="J211" s="11">
        <v>15261.662470108418</v>
      </c>
      <c r="K211" s="11">
        <v>15261.662470108418</v>
      </c>
      <c r="L211" s="12">
        <v>0</v>
      </c>
      <c r="M211" s="12">
        <v>0</v>
      </c>
      <c r="N211" s="12">
        <v>15261.662470108418</v>
      </c>
      <c r="O211" s="70">
        <f>IF(Table1[[#This Row],[Overall amount]]=0,0,1)</f>
        <v>1</v>
      </c>
      <c r="P211" s="70">
        <f>Table1[[#This Row],[Overall amount]]*Exchange_Rate</f>
        <v>15261.662470108418</v>
      </c>
      <c r="Q211" s="70">
        <f>Table1[[#This Row],[Overall (destination currency)]]*(1+Claims_Inflation)^((Revalue_at_date-Table1[[#This Row],[Loss date]])/365.25)</f>
        <v>17468.399999999998</v>
      </c>
      <c r="R211" s="70">
        <f>INT(Table1[[#This Row],[Reporting date]])-INT(Table1[[#This Row],[Loss date]])</f>
        <v>383</v>
      </c>
      <c r="S211" s="69" t="s">
        <v>16</v>
      </c>
      <c r="T211" s="70">
        <f>VLOOKUP(Table1[[#This Row],[Policy Year]],exposure_table,3,FALSE)</f>
        <v>1057.54</v>
      </c>
      <c r="U211" s="17">
        <f>IF(MONTH(Table1[[#This Row],[Reporting date]])&lt;Policy_Inception_Month,YEAR(Table1[[#This Row],[Reporting date]])-1,YEAR(Table1[[#This Row],[Reporting date]]))</f>
        <v>2013</v>
      </c>
      <c r="V211" s="17">
        <f>Table1[[#This Row],[Reporting year]]-Table1[[#This Row],[Policy Year]]</f>
        <v>1</v>
      </c>
      <c r="W211" s="17">
        <f>INT(Table1[[#This Row],[Reporting date]])-INT(Table1[[#This Row],[Loss date]])</f>
        <v>383</v>
      </c>
      <c r="X211" s="17">
        <f>INT((YEAR(Table1[[#This Row],[Loss date]])*12+MONTH(Table1[[#This Row],[Loss date]])-Earliest_Month)/4)</f>
        <v>23</v>
      </c>
      <c r="Y211" s="17">
        <f>INT((YEAR(Table1[[#This Row],[Reporting date]])*12+MONTH(Table1[[#This Row],[Reporting date]])-Earliest_Month)/4)</f>
        <v>26</v>
      </c>
      <c r="Z211" s="17">
        <f>Table1[[#This Row],[Reporting third]]-Table1[[#This Row],[Policy third]]</f>
        <v>3</v>
      </c>
      <c r="AA211" s="71">
        <f>IF(Table1[[#This Row],[Overall amount]]=0,"N/A",Table1[[#This Row],[Outstanding]]/Table1[[#This Row],[Overall amount]])</f>
        <v>1</v>
      </c>
      <c r="AB211" s="17">
        <f>IF(MONTH(Table1[[#This Row],[Loss date]])&lt;Pol_Inc_Month_Shifted,YEAR(Table1[[#This Row],[Loss date]])-1,YEAR(Table1[[#This Row],[Loss date]]))</f>
        <v>2012</v>
      </c>
      <c r="AC211" s="17">
        <f>IF(MONTH(Table1[[#This Row],[Reporting date]])&lt;Pol_Inc_Month_Shifted,YEAR(Table1[[#This Row],[Reporting date]])-1,YEAR(Table1[[#This Row],[Reporting date]]))</f>
        <v>2013</v>
      </c>
      <c r="AD211" s="17">
        <f>Table1[[#This Row],[Reporting year (shifted)]]-Table1[[#This Row],[Policy Year (shifted)]]</f>
        <v>1</v>
      </c>
    </row>
    <row r="212" spans="1:30" ht="13.9">
      <c r="A212" s="8" t="s">
        <v>1982</v>
      </c>
      <c r="B212" s="8" t="s">
        <v>264</v>
      </c>
      <c r="C212" s="8" t="s">
        <v>123</v>
      </c>
      <c r="D212" s="9">
        <v>41596</v>
      </c>
      <c r="E212" s="9">
        <v>41644</v>
      </c>
      <c r="F212" s="17">
        <f>IF(MONTH(Table1[[#This Row],[Loss date]])&lt;Policy_Inception_Month,YEAR(Table1[[#This Row],[Loss date]])-1,YEAR(Table1[[#This Row],[Loss date]]))</f>
        <v>2013</v>
      </c>
      <c r="G212" s="10" t="s">
        <v>125</v>
      </c>
      <c r="H212" s="10" t="s">
        <v>2</v>
      </c>
      <c r="I212" s="11">
        <v>0</v>
      </c>
      <c r="J212" s="11">
        <v>13786.991411219977</v>
      </c>
      <c r="K212" s="11">
        <v>13786.991411219977</v>
      </c>
      <c r="L212" s="12">
        <v>0</v>
      </c>
      <c r="M212" s="12">
        <v>0</v>
      </c>
      <c r="N212" s="12">
        <v>13786.991411219977</v>
      </c>
      <c r="O212" s="70">
        <f>IF(Table1[[#This Row],[Overall amount]]=0,0,1)</f>
        <v>1</v>
      </c>
      <c r="P212" s="70">
        <f>Table1[[#This Row],[Overall amount]]*Exchange_Rate</f>
        <v>13786.991411219977</v>
      </c>
      <c r="Q212" s="70">
        <f>Table1[[#This Row],[Overall (destination currency)]]*(1+Claims_Inflation)^((Revalue_at_date-Table1[[#This Row],[Loss date]])/365.25)</f>
        <v>15102</v>
      </c>
      <c r="R212" s="70">
        <f>INT(Table1[[#This Row],[Reporting date]])-INT(Table1[[#This Row],[Loss date]])</f>
        <v>48</v>
      </c>
      <c r="S212" s="69" t="s">
        <v>16</v>
      </c>
      <c r="T212" s="70">
        <f>VLOOKUP(Table1[[#This Row],[Policy Year]],exposure_table,3,FALSE)</f>
        <v>1090.5865384615383</v>
      </c>
      <c r="U212" s="17">
        <f>IF(MONTH(Table1[[#This Row],[Reporting date]])&lt;Policy_Inception_Month,YEAR(Table1[[#This Row],[Reporting date]])-1,YEAR(Table1[[#This Row],[Reporting date]]))</f>
        <v>2013</v>
      </c>
      <c r="V212" s="17">
        <f>Table1[[#This Row],[Reporting year]]-Table1[[#This Row],[Policy Year]]</f>
        <v>0</v>
      </c>
      <c r="W212" s="17">
        <f>INT(Table1[[#This Row],[Reporting date]])-INT(Table1[[#This Row],[Loss date]])</f>
        <v>48</v>
      </c>
      <c r="X212" s="17">
        <f>INT((YEAR(Table1[[#This Row],[Loss date]])*12+MONTH(Table1[[#This Row],[Loss date]])-Earliest_Month)/4)</f>
        <v>25</v>
      </c>
      <c r="Y212" s="17">
        <f>INT((YEAR(Table1[[#This Row],[Reporting date]])*12+MONTH(Table1[[#This Row],[Reporting date]])-Earliest_Month)/4)</f>
        <v>26</v>
      </c>
      <c r="Z212" s="17">
        <f>Table1[[#This Row],[Reporting third]]-Table1[[#This Row],[Policy third]]</f>
        <v>1</v>
      </c>
      <c r="AA212" s="71">
        <f>IF(Table1[[#This Row],[Overall amount]]=0,"N/A",Table1[[#This Row],[Outstanding]]/Table1[[#This Row],[Overall amount]])</f>
        <v>1</v>
      </c>
      <c r="AB212" s="17">
        <f>IF(MONTH(Table1[[#This Row],[Loss date]])&lt;Pol_Inc_Month_Shifted,YEAR(Table1[[#This Row],[Loss date]])-1,YEAR(Table1[[#This Row],[Loss date]]))</f>
        <v>2012</v>
      </c>
      <c r="AC212" s="17">
        <f>IF(MONTH(Table1[[#This Row],[Reporting date]])&lt;Pol_Inc_Month_Shifted,YEAR(Table1[[#This Row],[Reporting date]])-1,YEAR(Table1[[#This Row],[Reporting date]]))</f>
        <v>2013</v>
      </c>
      <c r="AD212" s="17">
        <f>Table1[[#This Row],[Reporting year (shifted)]]-Table1[[#This Row],[Policy Year (shifted)]]</f>
        <v>1</v>
      </c>
    </row>
    <row r="213" spans="1:30" ht="13.9">
      <c r="A213" s="8" t="s">
        <v>1983</v>
      </c>
      <c r="B213" s="8" t="s">
        <v>265</v>
      </c>
      <c r="C213" s="8" t="s">
        <v>123</v>
      </c>
      <c r="D213" s="9">
        <v>41494</v>
      </c>
      <c r="E213" s="9">
        <v>41645</v>
      </c>
      <c r="F213" s="17">
        <f>IF(MONTH(Table1[[#This Row],[Loss date]])&lt;Policy_Inception_Month,YEAR(Table1[[#This Row],[Loss date]])-1,YEAR(Table1[[#This Row],[Loss date]]))</f>
        <v>2013</v>
      </c>
      <c r="G213" s="10" t="s">
        <v>130</v>
      </c>
      <c r="H213" s="10" t="s">
        <v>2</v>
      </c>
      <c r="I213" s="11">
        <v>270.17113895572226</v>
      </c>
      <c r="J213" s="11">
        <v>10536.674419273168</v>
      </c>
      <c r="K213" s="11">
        <v>10806.845558228892</v>
      </c>
      <c r="L213" s="12">
        <v>0</v>
      </c>
      <c r="M213" s="12">
        <v>0</v>
      </c>
      <c r="N213" s="12">
        <v>10806.845558228892</v>
      </c>
      <c r="O213" s="70">
        <f>IF(Table1[[#This Row],[Overall amount]]=0,0,1)</f>
        <v>1</v>
      </c>
      <c r="P213" s="70">
        <f>Table1[[#This Row],[Overall amount]]*Exchange_Rate</f>
        <v>10806.845558228892</v>
      </c>
      <c r="Q213" s="70">
        <f>Table1[[#This Row],[Overall (destination currency)]]*(1+Claims_Inflation)^((Revalue_at_date-Table1[[#This Row],[Loss date]])/365.25)</f>
        <v>12000</v>
      </c>
      <c r="R213" s="70">
        <f>INT(Table1[[#This Row],[Reporting date]])-INT(Table1[[#This Row],[Loss date]])</f>
        <v>151</v>
      </c>
      <c r="S213" s="69" t="s">
        <v>16</v>
      </c>
      <c r="T213" s="70">
        <f>VLOOKUP(Table1[[#This Row],[Policy Year]],exposure_table,3,FALSE)</f>
        <v>1090.5865384615383</v>
      </c>
      <c r="U213" s="17">
        <f>IF(MONTH(Table1[[#This Row],[Reporting date]])&lt;Policy_Inception_Month,YEAR(Table1[[#This Row],[Reporting date]])-1,YEAR(Table1[[#This Row],[Reporting date]]))</f>
        <v>2013</v>
      </c>
      <c r="V213" s="17">
        <f>Table1[[#This Row],[Reporting year]]-Table1[[#This Row],[Policy Year]]</f>
        <v>0</v>
      </c>
      <c r="W213" s="17">
        <f>INT(Table1[[#This Row],[Reporting date]])-INT(Table1[[#This Row],[Loss date]])</f>
        <v>151</v>
      </c>
      <c r="X213" s="17">
        <f>INT((YEAR(Table1[[#This Row],[Loss date]])*12+MONTH(Table1[[#This Row],[Loss date]])-Earliest_Month)/4)</f>
        <v>25</v>
      </c>
      <c r="Y213" s="17">
        <f>INT((YEAR(Table1[[#This Row],[Reporting date]])*12+MONTH(Table1[[#This Row],[Reporting date]])-Earliest_Month)/4)</f>
        <v>26</v>
      </c>
      <c r="Z213" s="17">
        <f>Table1[[#This Row],[Reporting third]]-Table1[[#This Row],[Policy third]]</f>
        <v>1</v>
      </c>
      <c r="AA213" s="71">
        <f>IF(Table1[[#This Row],[Overall amount]]=0,"N/A",Table1[[#This Row],[Outstanding]]/Table1[[#This Row],[Overall amount]])</f>
        <v>0.97499999999999987</v>
      </c>
      <c r="AB213" s="17">
        <f>IF(MONTH(Table1[[#This Row],[Loss date]])&lt;Pol_Inc_Month_Shifted,YEAR(Table1[[#This Row],[Loss date]])-1,YEAR(Table1[[#This Row],[Loss date]]))</f>
        <v>2012</v>
      </c>
      <c r="AC213" s="17">
        <f>IF(MONTH(Table1[[#This Row],[Reporting date]])&lt;Pol_Inc_Month_Shifted,YEAR(Table1[[#This Row],[Reporting date]])-1,YEAR(Table1[[#This Row],[Reporting date]]))</f>
        <v>2013</v>
      </c>
      <c r="AD213" s="17">
        <f>Table1[[#This Row],[Reporting year (shifted)]]-Table1[[#This Row],[Policy Year (shifted)]]</f>
        <v>1</v>
      </c>
    </row>
    <row r="214" spans="1:30" ht="13.9">
      <c r="A214" s="8" t="s">
        <v>1984</v>
      </c>
      <c r="B214" s="8" t="s">
        <v>266</v>
      </c>
      <c r="C214" s="8" t="s">
        <v>123</v>
      </c>
      <c r="D214" s="9">
        <v>41436</v>
      </c>
      <c r="E214" s="9">
        <v>41651</v>
      </c>
      <c r="F214" s="17">
        <f>IF(MONTH(Table1[[#This Row],[Loss date]])&lt;Policy_Inception_Month,YEAR(Table1[[#This Row],[Loss date]])-1,YEAR(Table1[[#This Row],[Loss date]]))</f>
        <v>2013</v>
      </c>
      <c r="G214" s="10" t="s">
        <v>137</v>
      </c>
      <c r="H214" s="10" t="s">
        <v>2</v>
      </c>
      <c r="I214" s="11">
        <v>0</v>
      </c>
      <c r="J214" s="11">
        <v>8042.5810507202859</v>
      </c>
      <c r="K214" s="11">
        <v>8042.5810507202859</v>
      </c>
      <c r="L214" s="12">
        <v>0</v>
      </c>
      <c r="M214" s="12">
        <v>0</v>
      </c>
      <c r="N214" s="12">
        <v>8042.5810507202859</v>
      </c>
      <c r="O214" s="70">
        <f>IF(Table1[[#This Row],[Overall amount]]=0,0,1)</f>
        <v>1</v>
      </c>
      <c r="P214" s="70">
        <f>Table1[[#This Row],[Overall amount]]*Exchange_Rate</f>
        <v>8042.5810507202859</v>
      </c>
      <c r="Q214" s="70">
        <f>Table1[[#This Row],[Overall (destination currency)]]*(1+Claims_Inflation)^((Revalue_at_date-Table1[[#This Row],[Loss date]])/365.25)</f>
        <v>9000</v>
      </c>
      <c r="R214" s="70">
        <f>INT(Table1[[#This Row],[Reporting date]])-INT(Table1[[#This Row],[Loss date]])</f>
        <v>215</v>
      </c>
      <c r="S214" s="69" t="s">
        <v>16</v>
      </c>
      <c r="T214" s="70">
        <f>VLOOKUP(Table1[[#This Row],[Policy Year]],exposure_table,3,FALSE)</f>
        <v>1090.5865384615383</v>
      </c>
      <c r="U214" s="17">
        <f>IF(MONTH(Table1[[#This Row],[Reporting date]])&lt;Policy_Inception_Month,YEAR(Table1[[#This Row],[Reporting date]])-1,YEAR(Table1[[#This Row],[Reporting date]]))</f>
        <v>2013</v>
      </c>
      <c r="V214" s="17">
        <f>Table1[[#This Row],[Reporting year]]-Table1[[#This Row],[Policy Year]]</f>
        <v>0</v>
      </c>
      <c r="W214" s="17">
        <f>INT(Table1[[#This Row],[Reporting date]])-INT(Table1[[#This Row],[Loss date]])</f>
        <v>215</v>
      </c>
      <c r="X214" s="17">
        <f>INT((YEAR(Table1[[#This Row],[Loss date]])*12+MONTH(Table1[[#This Row],[Loss date]])-Earliest_Month)/4)</f>
        <v>24</v>
      </c>
      <c r="Y214" s="17">
        <f>INT((YEAR(Table1[[#This Row],[Reporting date]])*12+MONTH(Table1[[#This Row],[Reporting date]])-Earliest_Month)/4)</f>
        <v>26</v>
      </c>
      <c r="Z214" s="17">
        <f>Table1[[#This Row],[Reporting third]]-Table1[[#This Row],[Policy third]]</f>
        <v>2</v>
      </c>
      <c r="AA214" s="71">
        <f>IF(Table1[[#This Row],[Overall amount]]=0,"N/A",Table1[[#This Row],[Outstanding]]/Table1[[#This Row],[Overall amount]])</f>
        <v>1</v>
      </c>
      <c r="AB214" s="17">
        <f>IF(MONTH(Table1[[#This Row],[Loss date]])&lt;Pol_Inc_Month_Shifted,YEAR(Table1[[#This Row],[Loss date]])-1,YEAR(Table1[[#This Row],[Loss date]]))</f>
        <v>2012</v>
      </c>
      <c r="AC214" s="17">
        <f>IF(MONTH(Table1[[#This Row],[Reporting date]])&lt;Pol_Inc_Month_Shifted,YEAR(Table1[[#This Row],[Reporting date]])-1,YEAR(Table1[[#This Row],[Reporting date]]))</f>
        <v>2013</v>
      </c>
      <c r="AD214" s="17">
        <f>Table1[[#This Row],[Reporting year (shifted)]]-Table1[[#This Row],[Policy Year (shifted)]]</f>
        <v>1</v>
      </c>
    </row>
    <row r="215" spans="1:30" ht="13.9">
      <c r="A215" s="8" t="s">
        <v>1985</v>
      </c>
      <c r="B215" s="8" t="s">
        <v>267</v>
      </c>
      <c r="C215" s="8" t="s">
        <v>123</v>
      </c>
      <c r="D215" s="9">
        <v>41280</v>
      </c>
      <c r="E215" s="9">
        <v>41658</v>
      </c>
      <c r="F215" s="17">
        <f>IF(MONTH(Table1[[#This Row],[Loss date]])&lt;Policy_Inception_Month,YEAR(Table1[[#This Row],[Loss date]])-1,YEAR(Table1[[#This Row],[Loss date]]))</f>
        <v>2012</v>
      </c>
      <c r="G215" s="10" t="s">
        <v>125</v>
      </c>
      <c r="H215" s="10" t="s">
        <v>2</v>
      </c>
      <c r="I215" s="11">
        <v>0</v>
      </c>
      <c r="J215" s="11">
        <v>0</v>
      </c>
      <c r="K215" s="11">
        <v>0</v>
      </c>
      <c r="L215" s="12">
        <v>0</v>
      </c>
      <c r="M215" s="12">
        <v>0</v>
      </c>
      <c r="N215" s="12">
        <v>0</v>
      </c>
      <c r="O215" s="70">
        <f>IF(Table1[[#This Row],[Overall amount]]=0,0,1)</f>
        <v>0</v>
      </c>
      <c r="P215" s="70">
        <f>Table1[[#This Row],[Overall amount]]*Exchange_Rate</f>
        <v>0</v>
      </c>
      <c r="Q215" s="70">
        <f>Table1[[#This Row],[Overall (destination currency)]]*(1+Claims_Inflation)^((Revalue_at_date-Table1[[#This Row],[Loss date]])/365.25)</f>
        <v>0</v>
      </c>
      <c r="R215" s="70">
        <f>INT(Table1[[#This Row],[Reporting date]])-INT(Table1[[#This Row],[Loss date]])</f>
        <v>378</v>
      </c>
      <c r="S215" s="69" t="s">
        <v>9</v>
      </c>
      <c r="T215" s="70">
        <f>VLOOKUP(Table1[[#This Row],[Policy Year]],exposure_table,3,FALSE)</f>
        <v>1057.54</v>
      </c>
      <c r="U215" s="17">
        <f>IF(MONTH(Table1[[#This Row],[Reporting date]])&lt;Policy_Inception_Month,YEAR(Table1[[#This Row],[Reporting date]])-1,YEAR(Table1[[#This Row],[Reporting date]]))</f>
        <v>2013</v>
      </c>
      <c r="V215" s="17">
        <f>Table1[[#This Row],[Reporting year]]-Table1[[#This Row],[Policy Year]]</f>
        <v>1</v>
      </c>
      <c r="W215" s="17">
        <f>INT(Table1[[#This Row],[Reporting date]])-INT(Table1[[#This Row],[Loss date]])</f>
        <v>378</v>
      </c>
      <c r="X215" s="17">
        <f>INT((YEAR(Table1[[#This Row],[Loss date]])*12+MONTH(Table1[[#This Row],[Loss date]])-Earliest_Month)/4)</f>
        <v>23</v>
      </c>
      <c r="Y215" s="17">
        <f>INT((YEAR(Table1[[#This Row],[Reporting date]])*12+MONTH(Table1[[#This Row],[Reporting date]])-Earliest_Month)/4)</f>
        <v>26</v>
      </c>
      <c r="Z215" s="17">
        <f>Table1[[#This Row],[Reporting third]]-Table1[[#This Row],[Policy third]]</f>
        <v>3</v>
      </c>
      <c r="AA215" s="71" t="str">
        <f>IF(Table1[[#This Row],[Overall amount]]=0,"N/A",Table1[[#This Row],[Outstanding]]/Table1[[#This Row],[Overall amount]])</f>
        <v>N/A</v>
      </c>
      <c r="AB215" s="17">
        <f>IF(MONTH(Table1[[#This Row],[Loss date]])&lt;Pol_Inc_Month_Shifted,YEAR(Table1[[#This Row],[Loss date]])-1,YEAR(Table1[[#This Row],[Loss date]]))</f>
        <v>2012</v>
      </c>
      <c r="AC215" s="17">
        <f>IF(MONTH(Table1[[#This Row],[Reporting date]])&lt;Pol_Inc_Month_Shifted,YEAR(Table1[[#This Row],[Reporting date]])-1,YEAR(Table1[[#This Row],[Reporting date]]))</f>
        <v>2013</v>
      </c>
      <c r="AD215" s="17">
        <f>Table1[[#This Row],[Reporting year (shifted)]]-Table1[[#This Row],[Policy Year (shifted)]]</f>
        <v>1</v>
      </c>
    </row>
    <row r="216" spans="1:30" ht="13.9">
      <c r="A216" s="8" t="s">
        <v>1986</v>
      </c>
      <c r="B216" s="8" t="s">
        <v>268</v>
      </c>
      <c r="C216" s="8" t="s">
        <v>123</v>
      </c>
      <c r="D216" s="9">
        <v>41479</v>
      </c>
      <c r="E216" s="9">
        <v>41650</v>
      </c>
      <c r="F216" s="17">
        <f>IF(MONTH(Table1[[#This Row],[Loss date]])&lt;Policy_Inception_Month,YEAR(Table1[[#This Row],[Loss date]])-1,YEAR(Table1[[#This Row],[Loss date]]))</f>
        <v>2013</v>
      </c>
      <c r="G216" s="10" t="s">
        <v>125</v>
      </c>
      <c r="H216" s="10" t="s">
        <v>2</v>
      </c>
      <c r="I216" s="11">
        <v>0</v>
      </c>
      <c r="J216" s="11">
        <v>0</v>
      </c>
      <c r="K216" s="11">
        <v>0</v>
      </c>
      <c r="L216" s="12">
        <v>323.55640591202348</v>
      </c>
      <c r="M216" s="12">
        <v>0</v>
      </c>
      <c r="N216" s="12">
        <v>323.55640591202348</v>
      </c>
      <c r="O216" s="70">
        <f>IF(Table1[[#This Row],[Overall amount]]=0,0,1)</f>
        <v>1</v>
      </c>
      <c r="P216" s="70">
        <f>Table1[[#This Row],[Overall amount]]*Exchange_Rate</f>
        <v>323.55640591202348</v>
      </c>
      <c r="Q216" s="70">
        <f>Table1[[#This Row],[Overall (destination currency)]]*(1+Claims_Inflation)^((Revalue_at_date-Table1[[#This Row],[Loss date]])/365.25)</f>
        <v>360</v>
      </c>
      <c r="R216" s="70">
        <f>INT(Table1[[#This Row],[Reporting date]])-INT(Table1[[#This Row],[Loss date]])</f>
        <v>171</v>
      </c>
      <c r="S216" s="69" t="s">
        <v>9</v>
      </c>
      <c r="T216" s="70">
        <f>VLOOKUP(Table1[[#This Row],[Policy Year]],exposure_table,3,FALSE)</f>
        <v>1090.5865384615383</v>
      </c>
      <c r="U216" s="17">
        <f>IF(MONTH(Table1[[#This Row],[Reporting date]])&lt;Policy_Inception_Month,YEAR(Table1[[#This Row],[Reporting date]])-1,YEAR(Table1[[#This Row],[Reporting date]]))</f>
        <v>2013</v>
      </c>
      <c r="V216" s="17">
        <f>Table1[[#This Row],[Reporting year]]-Table1[[#This Row],[Policy Year]]</f>
        <v>0</v>
      </c>
      <c r="W216" s="17">
        <f>INT(Table1[[#This Row],[Reporting date]])-INT(Table1[[#This Row],[Loss date]])</f>
        <v>171</v>
      </c>
      <c r="X216" s="17">
        <f>INT((YEAR(Table1[[#This Row],[Loss date]])*12+MONTH(Table1[[#This Row],[Loss date]])-Earliest_Month)/4)</f>
        <v>24</v>
      </c>
      <c r="Y216" s="17">
        <f>INT((YEAR(Table1[[#This Row],[Reporting date]])*12+MONTH(Table1[[#This Row],[Reporting date]])-Earliest_Month)/4)</f>
        <v>26</v>
      </c>
      <c r="Z216" s="17">
        <f>Table1[[#This Row],[Reporting third]]-Table1[[#This Row],[Policy third]]</f>
        <v>2</v>
      </c>
      <c r="AA216" s="71">
        <f>IF(Table1[[#This Row],[Overall amount]]=0,"N/A",Table1[[#This Row],[Outstanding]]/Table1[[#This Row],[Overall amount]])</f>
        <v>0</v>
      </c>
      <c r="AB216" s="17">
        <f>IF(MONTH(Table1[[#This Row],[Loss date]])&lt;Pol_Inc_Month_Shifted,YEAR(Table1[[#This Row],[Loss date]])-1,YEAR(Table1[[#This Row],[Loss date]]))</f>
        <v>2012</v>
      </c>
      <c r="AC216" s="17">
        <f>IF(MONTH(Table1[[#This Row],[Reporting date]])&lt;Pol_Inc_Month_Shifted,YEAR(Table1[[#This Row],[Reporting date]])-1,YEAR(Table1[[#This Row],[Reporting date]]))</f>
        <v>2013</v>
      </c>
      <c r="AD216" s="17">
        <f>Table1[[#This Row],[Reporting year (shifted)]]-Table1[[#This Row],[Policy Year (shifted)]]</f>
        <v>1</v>
      </c>
    </row>
    <row r="217" spans="1:30" ht="13.9">
      <c r="A217" s="8" t="s">
        <v>1987</v>
      </c>
      <c r="B217" s="8" t="s">
        <v>269</v>
      </c>
      <c r="C217" s="8" t="s">
        <v>123</v>
      </c>
      <c r="D217" s="9">
        <v>41488</v>
      </c>
      <c r="E217" s="9">
        <v>41660</v>
      </c>
      <c r="F217" s="17">
        <f>IF(MONTH(Table1[[#This Row],[Loss date]])&lt;Policy_Inception_Month,YEAR(Table1[[#This Row],[Loss date]])-1,YEAR(Table1[[#This Row],[Loss date]]))</f>
        <v>2013</v>
      </c>
      <c r="G217" s="10" t="s">
        <v>125</v>
      </c>
      <c r="H217" s="10" t="s">
        <v>2</v>
      </c>
      <c r="I217" s="11">
        <v>0</v>
      </c>
      <c r="J217" s="11">
        <v>9178.4594136341984</v>
      </c>
      <c r="K217" s="11">
        <v>9178.4594136341984</v>
      </c>
      <c r="L217" s="12">
        <v>0</v>
      </c>
      <c r="M217" s="12">
        <v>304.0769612799283</v>
      </c>
      <c r="N217" s="12">
        <v>8874.3824523542698</v>
      </c>
      <c r="O217" s="70">
        <f>IF(Table1[[#This Row],[Overall amount]]=0,0,1)</f>
        <v>1</v>
      </c>
      <c r="P217" s="70">
        <f>Table1[[#This Row],[Overall amount]]*Exchange_Rate</f>
        <v>8874.3824523542698</v>
      </c>
      <c r="Q217" s="70">
        <f>Table1[[#This Row],[Overall (destination currency)]]*(1+Claims_Inflation)^((Revalue_at_date-Table1[[#This Row],[Loss date]])/365.25)</f>
        <v>9862.08</v>
      </c>
      <c r="R217" s="70">
        <f>INT(Table1[[#This Row],[Reporting date]])-INT(Table1[[#This Row],[Loss date]])</f>
        <v>172</v>
      </c>
      <c r="S217" s="69" t="s">
        <v>16</v>
      </c>
      <c r="T217" s="70">
        <f>VLOOKUP(Table1[[#This Row],[Policy Year]],exposure_table,3,FALSE)</f>
        <v>1090.5865384615383</v>
      </c>
      <c r="U217" s="17">
        <f>IF(MONTH(Table1[[#This Row],[Reporting date]])&lt;Policy_Inception_Month,YEAR(Table1[[#This Row],[Reporting date]])-1,YEAR(Table1[[#This Row],[Reporting date]]))</f>
        <v>2013</v>
      </c>
      <c r="V217" s="17">
        <f>Table1[[#This Row],[Reporting year]]-Table1[[#This Row],[Policy Year]]</f>
        <v>0</v>
      </c>
      <c r="W217" s="17">
        <f>INT(Table1[[#This Row],[Reporting date]])-INT(Table1[[#This Row],[Loss date]])</f>
        <v>172</v>
      </c>
      <c r="X217" s="17">
        <f>INT((YEAR(Table1[[#This Row],[Loss date]])*12+MONTH(Table1[[#This Row],[Loss date]])-Earliest_Month)/4)</f>
        <v>25</v>
      </c>
      <c r="Y217" s="17">
        <f>INT((YEAR(Table1[[#This Row],[Reporting date]])*12+MONTH(Table1[[#This Row],[Reporting date]])-Earliest_Month)/4)</f>
        <v>26</v>
      </c>
      <c r="Z217" s="17">
        <f>Table1[[#This Row],[Reporting third]]-Table1[[#This Row],[Policy third]]</f>
        <v>1</v>
      </c>
      <c r="AA217" s="71">
        <f>IF(Table1[[#This Row],[Overall amount]]=0,"N/A",Table1[[#This Row],[Outstanding]]/Table1[[#This Row],[Overall amount]])</f>
        <v>1.0342645770466272</v>
      </c>
      <c r="AB217" s="17">
        <f>IF(MONTH(Table1[[#This Row],[Loss date]])&lt;Pol_Inc_Month_Shifted,YEAR(Table1[[#This Row],[Loss date]])-1,YEAR(Table1[[#This Row],[Loss date]]))</f>
        <v>2012</v>
      </c>
      <c r="AC217" s="17">
        <f>IF(MONTH(Table1[[#This Row],[Reporting date]])&lt;Pol_Inc_Month_Shifted,YEAR(Table1[[#This Row],[Reporting date]])-1,YEAR(Table1[[#This Row],[Reporting date]]))</f>
        <v>2013</v>
      </c>
      <c r="AD217" s="17">
        <f>Table1[[#This Row],[Reporting year (shifted)]]-Table1[[#This Row],[Policy Year (shifted)]]</f>
        <v>1</v>
      </c>
    </row>
    <row r="218" spans="1:30" ht="13.9">
      <c r="A218" s="8" t="s">
        <v>1988</v>
      </c>
      <c r="B218" s="8" t="s">
        <v>270</v>
      </c>
      <c r="C218" s="8" t="s">
        <v>123</v>
      </c>
      <c r="D218" s="9">
        <v>41501</v>
      </c>
      <c r="E218" s="9">
        <v>41646</v>
      </c>
      <c r="F218" s="17">
        <f>IF(MONTH(Table1[[#This Row],[Loss date]])&lt;Policy_Inception_Month,YEAR(Table1[[#This Row],[Loss date]])-1,YEAR(Table1[[#This Row],[Loss date]]))</f>
        <v>2013</v>
      </c>
      <c r="G218" s="10" t="s">
        <v>125</v>
      </c>
      <c r="H218" s="10" t="s">
        <v>2</v>
      </c>
      <c r="I218" s="11">
        <v>0</v>
      </c>
      <c r="J218" s="11">
        <v>8923.9881616563853</v>
      </c>
      <c r="K218" s="11">
        <v>8923.9881616563853</v>
      </c>
      <c r="L218" s="12">
        <v>0</v>
      </c>
      <c r="M218" s="12">
        <v>0</v>
      </c>
      <c r="N218" s="12">
        <v>8923.9881616563853</v>
      </c>
      <c r="O218" s="70">
        <f>IF(Table1[[#This Row],[Overall amount]]=0,0,1)</f>
        <v>1</v>
      </c>
      <c r="P218" s="70">
        <f>Table1[[#This Row],[Overall amount]]*Exchange_Rate</f>
        <v>8923.9881616563853</v>
      </c>
      <c r="Q218" s="70">
        <f>Table1[[#This Row],[Overall (destination currency)]]*(1+Claims_Inflation)^((Revalue_at_date-Table1[[#This Row],[Loss date]])/365.25)</f>
        <v>9900.0000000000018</v>
      </c>
      <c r="R218" s="70">
        <f>INT(Table1[[#This Row],[Reporting date]])-INT(Table1[[#This Row],[Loss date]])</f>
        <v>145</v>
      </c>
      <c r="S218" s="69" t="s">
        <v>16</v>
      </c>
      <c r="T218" s="70">
        <f>VLOOKUP(Table1[[#This Row],[Policy Year]],exposure_table,3,FALSE)</f>
        <v>1090.5865384615383</v>
      </c>
      <c r="U218" s="17">
        <f>IF(MONTH(Table1[[#This Row],[Reporting date]])&lt;Policy_Inception_Month,YEAR(Table1[[#This Row],[Reporting date]])-1,YEAR(Table1[[#This Row],[Reporting date]]))</f>
        <v>2013</v>
      </c>
      <c r="V218" s="17">
        <f>Table1[[#This Row],[Reporting year]]-Table1[[#This Row],[Policy Year]]</f>
        <v>0</v>
      </c>
      <c r="W218" s="17">
        <f>INT(Table1[[#This Row],[Reporting date]])-INT(Table1[[#This Row],[Loss date]])</f>
        <v>145</v>
      </c>
      <c r="X218" s="17">
        <f>INT((YEAR(Table1[[#This Row],[Loss date]])*12+MONTH(Table1[[#This Row],[Loss date]])-Earliest_Month)/4)</f>
        <v>25</v>
      </c>
      <c r="Y218" s="17">
        <f>INT((YEAR(Table1[[#This Row],[Reporting date]])*12+MONTH(Table1[[#This Row],[Reporting date]])-Earliest_Month)/4)</f>
        <v>26</v>
      </c>
      <c r="Z218" s="17">
        <f>Table1[[#This Row],[Reporting third]]-Table1[[#This Row],[Policy third]]</f>
        <v>1</v>
      </c>
      <c r="AA218" s="71">
        <f>IF(Table1[[#This Row],[Overall amount]]=0,"N/A",Table1[[#This Row],[Outstanding]]/Table1[[#This Row],[Overall amount]])</f>
        <v>1</v>
      </c>
      <c r="AB218" s="17">
        <f>IF(MONTH(Table1[[#This Row],[Loss date]])&lt;Pol_Inc_Month_Shifted,YEAR(Table1[[#This Row],[Loss date]])-1,YEAR(Table1[[#This Row],[Loss date]]))</f>
        <v>2012</v>
      </c>
      <c r="AC218" s="17">
        <f>IF(MONTH(Table1[[#This Row],[Reporting date]])&lt;Pol_Inc_Month_Shifted,YEAR(Table1[[#This Row],[Reporting date]])-1,YEAR(Table1[[#This Row],[Reporting date]]))</f>
        <v>2013</v>
      </c>
      <c r="AD218" s="17">
        <f>Table1[[#This Row],[Reporting year (shifted)]]-Table1[[#This Row],[Policy Year (shifted)]]</f>
        <v>1</v>
      </c>
    </row>
    <row r="219" spans="1:30" ht="13.9">
      <c r="A219" s="8" t="s">
        <v>1989</v>
      </c>
      <c r="B219" s="8" t="s">
        <v>271</v>
      </c>
      <c r="C219" s="8" t="s">
        <v>123</v>
      </c>
      <c r="D219" s="9">
        <v>41581</v>
      </c>
      <c r="E219" s="9">
        <v>41596</v>
      </c>
      <c r="F219" s="17">
        <f>IF(MONTH(Table1[[#This Row],[Loss date]])&lt;Policy_Inception_Month,YEAR(Table1[[#This Row],[Loss date]])-1,YEAR(Table1[[#This Row],[Loss date]]))</f>
        <v>2013</v>
      </c>
      <c r="G219" s="10" t="s">
        <v>124</v>
      </c>
      <c r="H219" s="10" t="s">
        <v>2</v>
      </c>
      <c r="I219" s="11">
        <v>0</v>
      </c>
      <c r="J219" s="11">
        <v>6013.2433208486937</v>
      </c>
      <c r="K219" s="11">
        <v>6013.2433208486937</v>
      </c>
      <c r="L219" s="12">
        <v>327.99509022811054</v>
      </c>
      <c r="M219" s="12">
        <v>0</v>
      </c>
      <c r="N219" s="12">
        <v>6341.2384110768044</v>
      </c>
      <c r="O219" s="70">
        <f>IF(Table1[[#This Row],[Overall amount]]=0,0,1)</f>
        <v>1</v>
      </c>
      <c r="P219" s="70">
        <f>Table1[[#This Row],[Overall amount]]*Exchange_Rate</f>
        <v>6341.2384110768044</v>
      </c>
      <c r="Q219" s="70">
        <f>Table1[[#This Row],[Overall (destination currency)]]*(1+Claims_Inflation)^((Revalue_at_date-Table1[[#This Row],[Loss date]])/365.25)</f>
        <v>6960.0000000000009</v>
      </c>
      <c r="R219" s="70">
        <f>INT(Table1[[#This Row],[Reporting date]])-INT(Table1[[#This Row],[Loss date]])</f>
        <v>15</v>
      </c>
      <c r="S219" s="69" t="s">
        <v>16</v>
      </c>
      <c r="T219" s="70">
        <f>VLOOKUP(Table1[[#This Row],[Policy Year]],exposure_table,3,FALSE)</f>
        <v>1090.5865384615383</v>
      </c>
      <c r="U219" s="17">
        <f>IF(MONTH(Table1[[#This Row],[Reporting date]])&lt;Policy_Inception_Month,YEAR(Table1[[#This Row],[Reporting date]])-1,YEAR(Table1[[#This Row],[Reporting date]]))</f>
        <v>2013</v>
      </c>
      <c r="V219" s="17">
        <f>Table1[[#This Row],[Reporting year]]-Table1[[#This Row],[Policy Year]]</f>
        <v>0</v>
      </c>
      <c r="W219" s="17">
        <f>INT(Table1[[#This Row],[Reporting date]])-INT(Table1[[#This Row],[Loss date]])</f>
        <v>15</v>
      </c>
      <c r="X219" s="17">
        <f>INT((YEAR(Table1[[#This Row],[Loss date]])*12+MONTH(Table1[[#This Row],[Loss date]])-Earliest_Month)/4)</f>
        <v>25</v>
      </c>
      <c r="Y219" s="17">
        <f>INT((YEAR(Table1[[#This Row],[Reporting date]])*12+MONTH(Table1[[#This Row],[Reporting date]])-Earliest_Month)/4)</f>
        <v>25</v>
      </c>
      <c r="Z219" s="17">
        <f>Table1[[#This Row],[Reporting third]]-Table1[[#This Row],[Policy third]]</f>
        <v>0</v>
      </c>
      <c r="AA219" s="71">
        <f>IF(Table1[[#This Row],[Overall amount]]=0,"N/A",Table1[[#This Row],[Outstanding]]/Table1[[#This Row],[Overall amount]])</f>
        <v>0.94827586206896552</v>
      </c>
      <c r="AB219" s="17">
        <f>IF(MONTH(Table1[[#This Row],[Loss date]])&lt;Pol_Inc_Month_Shifted,YEAR(Table1[[#This Row],[Loss date]])-1,YEAR(Table1[[#This Row],[Loss date]]))</f>
        <v>2012</v>
      </c>
      <c r="AC219" s="17">
        <f>IF(MONTH(Table1[[#This Row],[Reporting date]])&lt;Pol_Inc_Month_Shifted,YEAR(Table1[[#This Row],[Reporting date]])-1,YEAR(Table1[[#This Row],[Reporting date]]))</f>
        <v>2012</v>
      </c>
      <c r="AD219" s="17">
        <f>Table1[[#This Row],[Reporting year (shifted)]]-Table1[[#This Row],[Policy Year (shifted)]]</f>
        <v>0</v>
      </c>
    </row>
    <row r="220" spans="1:30" ht="13.9">
      <c r="A220" s="8" t="s">
        <v>1990</v>
      </c>
      <c r="B220" s="8" t="s">
        <v>272</v>
      </c>
      <c r="C220" s="8" t="s">
        <v>123</v>
      </c>
      <c r="D220" s="9">
        <v>40601</v>
      </c>
      <c r="E220" s="9">
        <v>41581</v>
      </c>
      <c r="F220" s="17">
        <f>IF(MONTH(Table1[[#This Row],[Loss date]])&lt;Policy_Inception_Month,YEAR(Table1[[#This Row],[Loss date]])-1,YEAR(Table1[[#This Row],[Loss date]]))</f>
        <v>2010</v>
      </c>
      <c r="G220" s="10" t="s">
        <v>124</v>
      </c>
      <c r="H220" s="10" t="s">
        <v>2</v>
      </c>
      <c r="I220" s="11">
        <v>0</v>
      </c>
      <c r="J220" s="11">
        <v>0</v>
      </c>
      <c r="K220" s="11">
        <v>0</v>
      </c>
      <c r="L220" s="12">
        <v>0</v>
      </c>
      <c r="M220" s="12">
        <v>0</v>
      </c>
      <c r="N220" s="12">
        <v>0</v>
      </c>
      <c r="O220" s="70">
        <f>IF(Table1[[#This Row],[Overall amount]]=0,0,1)</f>
        <v>0</v>
      </c>
      <c r="P220" s="70">
        <f>Table1[[#This Row],[Overall amount]]*Exchange_Rate</f>
        <v>0</v>
      </c>
      <c r="Q220" s="70">
        <f>Table1[[#This Row],[Overall (destination currency)]]*(1+Claims_Inflation)^((Revalue_at_date-Table1[[#This Row],[Loss date]])/365.25)</f>
        <v>0</v>
      </c>
      <c r="R220" s="70">
        <f>INT(Table1[[#This Row],[Reporting date]])-INT(Table1[[#This Row],[Loss date]])</f>
        <v>980</v>
      </c>
      <c r="S220" s="69" t="s">
        <v>9</v>
      </c>
      <c r="T220" s="70">
        <f>VLOOKUP(Table1[[#This Row],[Policy Year]],exposure_table,3,FALSE)</f>
        <v>837.11513600000012</v>
      </c>
      <c r="U220" s="17">
        <f>IF(MONTH(Table1[[#This Row],[Reporting date]])&lt;Policy_Inception_Month,YEAR(Table1[[#This Row],[Reporting date]])-1,YEAR(Table1[[#This Row],[Reporting date]]))</f>
        <v>2013</v>
      </c>
      <c r="V220" s="17">
        <f>Table1[[#This Row],[Reporting year]]-Table1[[#This Row],[Policy Year]]</f>
        <v>3</v>
      </c>
      <c r="W220" s="17">
        <f>INT(Table1[[#This Row],[Reporting date]])-INT(Table1[[#This Row],[Loss date]])</f>
        <v>980</v>
      </c>
      <c r="X220" s="17">
        <f>INT((YEAR(Table1[[#This Row],[Loss date]])*12+MONTH(Table1[[#This Row],[Loss date]])-Earliest_Month)/4)</f>
        <v>17</v>
      </c>
      <c r="Y220" s="17">
        <f>INT((YEAR(Table1[[#This Row],[Reporting date]])*12+MONTH(Table1[[#This Row],[Reporting date]])-Earliest_Month)/4)</f>
        <v>25</v>
      </c>
      <c r="Z220" s="17">
        <f>Table1[[#This Row],[Reporting third]]-Table1[[#This Row],[Policy third]]</f>
        <v>8</v>
      </c>
      <c r="AA220" s="71" t="str">
        <f>IF(Table1[[#This Row],[Overall amount]]=0,"N/A",Table1[[#This Row],[Outstanding]]/Table1[[#This Row],[Overall amount]])</f>
        <v>N/A</v>
      </c>
      <c r="AB220" s="17">
        <f>IF(MONTH(Table1[[#This Row],[Loss date]])&lt;Pol_Inc_Month_Shifted,YEAR(Table1[[#This Row],[Loss date]])-1,YEAR(Table1[[#This Row],[Loss date]]))</f>
        <v>2010</v>
      </c>
      <c r="AC220" s="17">
        <f>IF(MONTH(Table1[[#This Row],[Reporting date]])&lt;Pol_Inc_Month_Shifted,YEAR(Table1[[#This Row],[Reporting date]])-1,YEAR(Table1[[#This Row],[Reporting date]]))</f>
        <v>2012</v>
      </c>
      <c r="AD220" s="17">
        <f>Table1[[#This Row],[Reporting year (shifted)]]-Table1[[#This Row],[Policy Year (shifted)]]</f>
        <v>2</v>
      </c>
    </row>
    <row r="221" spans="1:30" ht="13.9">
      <c r="A221" s="8" t="s">
        <v>1991</v>
      </c>
      <c r="B221" s="8" t="s">
        <v>273</v>
      </c>
      <c r="C221" s="8" t="s">
        <v>123</v>
      </c>
      <c r="D221" s="9">
        <v>41653</v>
      </c>
      <c r="E221" s="9">
        <v>41693</v>
      </c>
      <c r="F221" s="17">
        <f>IF(MONTH(Table1[[#This Row],[Loss date]])&lt;Policy_Inception_Month,YEAR(Table1[[#This Row],[Loss date]])-1,YEAR(Table1[[#This Row],[Loss date]]))</f>
        <v>2013</v>
      </c>
      <c r="G221" s="10" t="s">
        <v>125</v>
      </c>
      <c r="H221" s="10" t="s">
        <v>2</v>
      </c>
      <c r="I221" s="11">
        <v>1001.5971756354753</v>
      </c>
      <c r="J221" s="11">
        <v>11786.887052698976</v>
      </c>
      <c r="K221" s="11">
        <v>12788.484228334451</v>
      </c>
      <c r="L221" s="12">
        <v>0</v>
      </c>
      <c r="M221" s="12">
        <v>0</v>
      </c>
      <c r="N221" s="12">
        <v>12788.484228334451</v>
      </c>
      <c r="O221" s="70">
        <f>IF(Table1[[#This Row],[Overall amount]]=0,0,1)</f>
        <v>1</v>
      </c>
      <c r="P221" s="70">
        <f>Table1[[#This Row],[Overall amount]]*Exchange_Rate</f>
        <v>12788.484228334451</v>
      </c>
      <c r="Q221" s="70">
        <f>Table1[[#This Row],[Overall (destination currency)]]*(1+Claims_Inflation)^((Revalue_at_date-Table1[[#This Row],[Loss date]])/365.25)</f>
        <v>13902.000000000002</v>
      </c>
      <c r="R221" s="70">
        <f>INT(Table1[[#This Row],[Reporting date]])-INT(Table1[[#This Row],[Loss date]])</f>
        <v>40</v>
      </c>
      <c r="S221" s="69" t="s">
        <v>16</v>
      </c>
      <c r="T221" s="70">
        <f>VLOOKUP(Table1[[#This Row],[Policy Year]],exposure_table,3,FALSE)</f>
        <v>1090.5865384615383</v>
      </c>
      <c r="U221" s="17">
        <f>IF(MONTH(Table1[[#This Row],[Reporting date]])&lt;Policy_Inception_Month,YEAR(Table1[[#This Row],[Reporting date]])-1,YEAR(Table1[[#This Row],[Reporting date]]))</f>
        <v>2013</v>
      </c>
      <c r="V221" s="17">
        <f>Table1[[#This Row],[Reporting year]]-Table1[[#This Row],[Policy Year]]</f>
        <v>0</v>
      </c>
      <c r="W221" s="17">
        <f>INT(Table1[[#This Row],[Reporting date]])-INT(Table1[[#This Row],[Loss date]])</f>
        <v>40</v>
      </c>
      <c r="X221" s="17">
        <f>INT((YEAR(Table1[[#This Row],[Loss date]])*12+MONTH(Table1[[#This Row],[Loss date]])-Earliest_Month)/4)</f>
        <v>26</v>
      </c>
      <c r="Y221" s="17">
        <f>INT((YEAR(Table1[[#This Row],[Reporting date]])*12+MONTH(Table1[[#This Row],[Reporting date]])-Earliest_Month)/4)</f>
        <v>26</v>
      </c>
      <c r="Z221" s="17">
        <f>Table1[[#This Row],[Reporting third]]-Table1[[#This Row],[Policy third]]</f>
        <v>0</v>
      </c>
      <c r="AA221" s="71">
        <f>IF(Table1[[#This Row],[Overall amount]]=0,"N/A",Table1[[#This Row],[Outstanding]]/Table1[[#This Row],[Overall amount]])</f>
        <v>0.92167975830815707</v>
      </c>
      <c r="AB221" s="17">
        <f>IF(MONTH(Table1[[#This Row],[Loss date]])&lt;Pol_Inc_Month_Shifted,YEAR(Table1[[#This Row],[Loss date]])-1,YEAR(Table1[[#This Row],[Loss date]]))</f>
        <v>2013</v>
      </c>
      <c r="AC221" s="17">
        <f>IF(MONTH(Table1[[#This Row],[Reporting date]])&lt;Pol_Inc_Month_Shifted,YEAR(Table1[[#This Row],[Reporting date]])-1,YEAR(Table1[[#This Row],[Reporting date]]))</f>
        <v>2013</v>
      </c>
      <c r="AD221" s="17">
        <f>Table1[[#This Row],[Reporting year (shifted)]]-Table1[[#This Row],[Policy Year (shifted)]]</f>
        <v>0</v>
      </c>
    </row>
    <row r="222" spans="1:30" ht="13.9">
      <c r="A222" s="8" t="s">
        <v>1992</v>
      </c>
      <c r="B222" s="8" t="s">
        <v>274</v>
      </c>
      <c r="C222" s="8" t="s">
        <v>123</v>
      </c>
      <c r="D222" s="9">
        <v>41435</v>
      </c>
      <c r="E222" s="9">
        <v>41681</v>
      </c>
      <c r="F222" s="17">
        <f>IF(MONTH(Table1[[#This Row],[Loss date]])&lt;Policy_Inception_Month,YEAR(Table1[[#This Row],[Loss date]])-1,YEAR(Table1[[#This Row],[Loss date]]))</f>
        <v>2013</v>
      </c>
      <c r="G222" s="10" t="s">
        <v>138</v>
      </c>
      <c r="H222" s="10" t="s">
        <v>2</v>
      </c>
      <c r="I222" s="11">
        <v>0</v>
      </c>
      <c r="J222" s="11">
        <v>10722.00905729578</v>
      </c>
      <c r="K222" s="11">
        <v>10722.00905729578</v>
      </c>
      <c r="L222" s="12">
        <v>0</v>
      </c>
      <c r="M222" s="12">
        <v>0</v>
      </c>
      <c r="N222" s="12">
        <v>10722.00905729578</v>
      </c>
      <c r="O222" s="70">
        <f>IF(Table1[[#This Row],[Overall amount]]=0,0,1)</f>
        <v>1</v>
      </c>
      <c r="P222" s="70">
        <f>Table1[[#This Row],[Overall amount]]*Exchange_Rate</f>
        <v>10722.00905729578</v>
      </c>
      <c r="Q222" s="70">
        <f>Table1[[#This Row],[Overall (destination currency)]]*(1+Claims_Inflation)^((Revalue_at_date-Table1[[#This Row],[Loss date]])/365.25)</f>
        <v>12000</v>
      </c>
      <c r="R222" s="70">
        <f>INT(Table1[[#This Row],[Reporting date]])-INT(Table1[[#This Row],[Loss date]])</f>
        <v>246</v>
      </c>
      <c r="S222" s="69" t="s">
        <v>16</v>
      </c>
      <c r="T222" s="70">
        <f>VLOOKUP(Table1[[#This Row],[Policy Year]],exposure_table,3,FALSE)</f>
        <v>1090.5865384615383</v>
      </c>
      <c r="U222" s="17">
        <f>IF(MONTH(Table1[[#This Row],[Reporting date]])&lt;Policy_Inception_Month,YEAR(Table1[[#This Row],[Reporting date]])-1,YEAR(Table1[[#This Row],[Reporting date]]))</f>
        <v>2013</v>
      </c>
      <c r="V222" s="17">
        <f>Table1[[#This Row],[Reporting year]]-Table1[[#This Row],[Policy Year]]</f>
        <v>0</v>
      </c>
      <c r="W222" s="17">
        <f>INT(Table1[[#This Row],[Reporting date]])-INT(Table1[[#This Row],[Loss date]])</f>
        <v>246</v>
      </c>
      <c r="X222" s="17">
        <f>INT((YEAR(Table1[[#This Row],[Loss date]])*12+MONTH(Table1[[#This Row],[Loss date]])-Earliest_Month)/4)</f>
        <v>24</v>
      </c>
      <c r="Y222" s="17">
        <f>INT((YEAR(Table1[[#This Row],[Reporting date]])*12+MONTH(Table1[[#This Row],[Reporting date]])-Earliest_Month)/4)</f>
        <v>26</v>
      </c>
      <c r="Z222" s="17">
        <f>Table1[[#This Row],[Reporting third]]-Table1[[#This Row],[Policy third]]</f>
        <v>2</v>
      </c>
      <c r="AA222" s="71">
        <f>IF(Table1[[#This Row],[Overall amount]]=0,"N/A",Table1[[#This Row],[Outstanding]]/Table1[[#This Row],[Overall amount]])</f>
        <v>1</v>
      </c>
      <c r="AB222" s="17">
        <f>IF(MONTH(Table1[[#This Row],[Loss date]])&lt;Pol_Inc_Month_Shifted,YEAR(Table1[[#This Row],[Loss date]])-1,YEAR(Table1[[#This Row],[Loss date]]))</f>
        <v>2012</v>
      </c>
      <c r="AC222" s="17">
        <f>IF(MONTH(Table1[[#This Row],[Reporting date]])&lt;Pol_Inc_Month_Shifted,YEAR(Table1[[#This Row],[Reporting date]])-1,YEAR(Table1[[#This Row],[Reporting date]]))</f>
        <v>2013</v>
      </c>
      <c r="AD222" s="17">
        <f>Table1[[#This Row],[Reporting year (shifted)]]-Table1[[#This Row],[Policy Year (shifted)]]</f>
        <v>1</v>
      </c>
    </row>
    <row r="223" spans="1:30" ht="13.9">
      <c r="A223" s="8" t="s">
        <v>1993</v>
      </c>
      <c r="B223" s="8" t="s">
        <v>275</v>
      </c>
      <c r="C223" s="8" t="s">
        <v>123</v>
      </c>
      <c r="D223" s="9">
        <v>41582</v>
      </c>
      <c r="E223" s="9">
        <v>41660</v>
      </c>
      <c r="F223" s="17">
        <f>IF(MONTH(Table1[[#This Row],[Loss date]])&lt;Policy_Inception_Month,YEAR(Table1[[#This Row],[Loss date]])-1,YEAR(Table1[[#This Row],[Loss date]]))</f>
        <v>2013</v>
      </c>
      <c r="G223" s="10" t="s">
        <v>139</v>
      </c>
      <c r="H223" s="10" t="s">
        <v>2</v>
      </c>
      <c r="I223" s="11">
        <v>0</v>
      </c>
      <c r="J223" s="11">
        <v>16401.945340041268</v>
      </c>
      <c r="K223" s="11">
        <v>16401.945340041268</v>
      </c>
      <c r="L223" s="12">
        <v>328.03890680082537</v>
      </c>
      <c r="M223" s="12">
        <v>0</v>
      </c>
      <c r="N223" s="12">
        <v>16729.984246842094</v>
      </c>
      <c r="O223" s="70">
        <f>IF(Table1[[#This Row],[Overall amount]]=0,0,1)</f>
        <v>1</v>
      </c>
      <c r="P223" s="70">
        <f>Table1[[#This Row],[Overall amount]]*Exchange_Rate</f>
        <v>16729.984246842094</v>
      </c>
      <c r="Q223" s="70">
        <f>Table1[[#This Row],[Overall (destination currency)]]*(1+Claims_Inflation)^((Revalue_at_date-Table1[[#This Row],[Loss date]])/365.25)</f>
        <v>18360.000000000004</v>
      </c>
      <c r="R223" s="70">
        <f>INT(Table1[[#This Row],[Reporting date]])-INT(Table1[[#This Row],[Loss date]])</f>
        <v>78</v>
      </c>
      <c r="S223" s="69" t="s">
        <v>16</v>
      </c>
      <c r="T223" s="70">
        <f>VLOOKUP(Table1[[#This Row],[Policy Year]],exposure_table,3,FALSE)</f>
        <v>1090.5865384615383</v>
      </c>
      <c r="U223" s="17">
        <f>IF(MONTH(Table1[[#This Row],[Reporting date]])&lt;Policy_Inception_Month,YEAR(Table1[[#This Row],[Reporting date]])-1,YEAR(Table1[[#This Row],[Reporting date]]))</f>
        <v>2013</v>
      </c>
      <c r="V223" s="17">
        <f>Table1[[#This Row],[Reporting year]]-Table1[[#This Row],[Policy Year]]</f>
        <v>0</v>
      </c>
      <c r="W223" s="17">
        <f>INT(Table1[[#This Row],[Reporting date]])-INT(Table1[[#This Row],[Loss date]])</f>
        <v>78</v>
      </c>
      <c r="X223" s="17">
        <f>INT((YEAR(Table1[[#This Row],[Loss date]])*12+MONTH(Table1[[#This Row],[Loss date]])-Earliest_Month)/4)</f>
        <v>25</v>
      </c>
      <c r="Y223" s="17">
        <f>INT((YEAR(Table1[[#This Row],[Reporting date]])*12+MONTH(Table1[[#This Row],[Reporting date]])-Earliest_Month)/4)</f>
        <v>26</v>
      </c>
      <c r="Z223" s="17">
        <f>Table1[[#This Row],[Reporting third]]-Table1[[#This Row],[Policy third]]</f>
        <v>1</v>
      </c>
      <c r="AA223" s="71">
        <f>IF(Table1[[#This Row],[Overall amount]]=0,"N/A",Table1[[#This Row],[Outstanding]]/Table1[[#This Row],[Overall amount]])</f>
        <v>0.98039215686274506</v>
      </c>
      <c r="AB223" s="17">
        <f>IF(MONTH(Table1[[#This Row],[Loss date]])&lt;Pol_Inc_Month_Shifted,YEAR(Table1[[#This Row],[Loss date]])-1,YEAR(Table1[[#This Row],[Loss date]]))</f>
        <v>2012</v>
      </c>
      <c r="AC223" s="17">
        <f>IF(MONTH(Table1[[#This Row],[Reporting date]])&lt;Pol_Inc_Month_Shifted,YEAR(Table1[[#This Row],[Reporting date]])-1,YEAR(Table1[[#This Row],[Reporting date]]))</f>
        <v>2013</v>
      </c>
      <c r="AD223" s="17">
        <f>Table1[[#This Row],[Reporting year (shifted)]]-Table1[[#This Row],[Policy Year (shifted)]]</f>
        <v>1</v>
      </c>
    </row>
    <row r="224" spans="1:30" ht="13.9">
      <c r="A224" s="8" t="s">
        <v>1994</v>
      </c>
      <c r="B224" s="8" t="s">
        <v>276</v>
      </c>
      <c r="C224" s="8" t="s">
        <v>123</v>
      </c>
      <c r="D224" s="9">
        <v>41573</v>
      </c>
      <c r="E224" s="9">
        <v>41674</v>
      </c>
      <c r="F224" s="17">
        <f>IF(MONTH(Table1[[#This Row],[Loss date]])&lt;Policy_Inception_Month,YEAR(Table1[[#This Row],[Loss date]])-1,YEAR(Table1[[#This Row],[Loss date]]))</f>
        <v>2013</v>
      </c>
      <c r="G224" s="10" t="s">
        <v>137</v>
      </c>
      <c r="H224" s="10" t="s">
        <v>2</v>
      </c>
      <c r="I224" s="11">
        <v>0</v>
      </c>
      <c r="J224" s="11">
        <v>17037.527950331456</v>
      </c>
      <c r="K224" s="11">
        <v>17037.527950331456</v>
      </c>
      <c r="L224" s="12">
        <v>0</v>
      </c>
      <c r="M224" s="12">
        <v>0</v>
      </c>
      <c r="N224" s="12">
        <v>17037.527950331456</v>
      </c>
      <c r="O224" s="70">
        <f>IF(Table1[[#This Row],[Overall amount]]=0,0,1)</f>
        <v>1</v>
      </c>
      <c r="P224" s="70">
        <f>Table1[[#This Row],[Overall amount]]*Exchange_Rate</f>
        <v>17037.527950331456</v>
      </c>
      <c r="Q224" s="70">
        <f>Table1[[#This Row],[Overall (destination currency)]]*(1+Claims_Inflation)^((Revalue_at_date-Table1[[#This Row],[Loss date]])/365.25)</f>
        <v>18720</v>
      </c>
      <c r="R224" s="70">
        <f>INT(Table1[[#This Row],[Reporting date]])-INT(Table1[[#This Row],[Loss date]])</f>
        <v>101</v>
      </c>
      <c r="S224" s="69" t="s">
        <v>16</v>
      </c>
      <c r="T224" s="70">
        <f>VLOOKUP(Table1[[#This Row],[Policy Year]],exposure_table,3,FALSE)</f>
        <v>1090.5865384615383</v>
      </c>
      <c r="U224" s="17">
        <f>IF(MONTH(Table1[[#This Row],[Reporting date]])&lt;Policy_Inception_Month,YEAR(Table1[[#This Row],[Reporting date]])-1,YEAR(Table1[[#This Row],[Reporting date]]))</f>
        <v>2013</v>
      </c>
      <c r="V224" s="17">
        <f>Table1[[#This Row],[Reporting year]]-Table1[[#This Row],[Policy Year]]</f>
        <v>0</v>
      </c>
      <c r="W224" s="17">
        <f>INT(Table1[[#This Row],[Reporting date]])-INT(Table1[[#This Row],[Loss date]])</f>
        <v>101</v>
      </c>
      <c r="X224" s="17">
        <f>INT((YEAR(Table1[[#This Row],[Loss date]])*12+MONTH(Table1[[#This Row],[Loss date]])-Earliest_Month)/4)</f>
        <v>25</v>
      </c>
      <c r="Y224" s="17">
        <f>INT((YEAR(Table1[[#This Row],[Reporting date]])*12+MONTH(Table1[[#This Row],[Reporting date]])-Earliest_Month)/4)</f>
        <v>26</v>
      </c>
      <c r="Z224" s="17">
        <f>Table1[[#This Row],[Reporting third]]-Table1[[#This Row],[Policy third]]</f>
        <v>1</v>
      </c>
      <c r="AA224" s="71">
        <f>IF(Table1[[#This Row],[Overall amount]]=0,"N/A",Table1[[#This Row],[Outstanding]]/Table1[[#This Row],[Overall amount]])</f>
        <v>1</v>
      </c>
      <c r="AB224" s="17">
        <f>IF(MONTH(Table1[[#This Row],[Loss date]])&lt;Pol_Inc_Month_Shifted,YEAR(Table1[[#This Row],[Loss date]])-1,YEAR(Table1[[#This Row],[Loss date]]))</f>
        <v>2012</v>
      </c>
      <c r="AC224" s="17">
        <f>IF(MONTH(Table1[[#This Row],[Reporting date]])&lt;Pol_Inc_Month_Shifted,YEAR(Table1[[#This Row],[Reporting date]])-1,YEAR(Table1[[#This Row],[Reporting date]]))</f>
        <v>2013</v>
      </c>
      <c r="AD224" s="17">
        <f>Table1[[#This Row],[Reporting year (shifted)]]-Table1[[#This Row],[Policy Year (shifted)]]</f>
        <v>1</v>
      </c>
    </row>
    <row r="225" spans="1:30" ht="13.9">
      <c r="A225" s="8" t="s">
        <v>1995</v>
      </c>
      <c r="B225" s="8" t="s">
        <v>277</v>
      </c>
      <c r="C225" s="8" t="s">
        <v>123</v>
      </c>
      <c r="D225" s="9">
        <v>41537</v>
      </c>
      <c r="E225" s="9">
        <v>41691</v>
      </c>
      <c r="F225" s="17">
        <f>IF(MONTH(Table1[[#This Row],[Loss date]])&lt;Policy_Inception_Month,YEAR(Table1[[#This Row],[Loss date]])-1,YEAR(Table1[[#This Row],[Loss date]]))</f>
        <v>2013</v>
      </c>
      <c r="G225" s="10" t="s">
        <v>137</v>
      </c>
      <c r="H225" s="10" t="s">
        <v>2</v>
      </c>
      <c r="I225" s="11">
        <v>0</v>
      </c>
      <c r="J225" s="11">
        <v>0</v>
      </c>
      <c r="K225" s="11">
        <v>0</v>
      </c>
      <c r="L225" s="12">
        <v>326.07294406007588</v>
      </c>
      <c r="M225" s="12">
        <v>0</v>
      </c>
      <c r="N225" s="12">
        <v>326.07294406007588</v>
      </c>
      <c r="O225" s="70">
        <f>IF(Table1[[#This Row],[Overall amount]]=0,0,1)</f>
        <v>1</v>
      </c>
      <c r="P225" s="70">
        <f>Table1[[#This Row],[Overall amount]]*Exchange_Rate</f>
        <v>326.07294406007588</v>
      </c>
      <c r="Q225" s="70">
        <f>Table1[[#This Row],[Overall (destination currency)]]*(1+Claims_Inflation)^((Revalue_at_date-Table1[[#This Row],[Loss date]])/365.25)</f>
        <v>360</v>
      </c>
      <c r="R225" s="70">
        <f>INT(Table1[[#This Row],[Reporting date]])-INT(Table1[[#This Row],[Loss date]])</f>
        <v>154</v>
      </c>
      <c r="S225" s="69" t="s">
        <v>9</v>
      </c>
      <c r="T225" s="70">
        <f>VLOOKUP(Table1[[#This Row],[Policy Year]],exposure_table,3,FALSE)</f>
        <v>1090.5865384615383</v>
      </c>
      <c r="U225" s="17">
        <f>IF(MONTH(Table1[[#This Row],[Reporting date]])&lt;Policy_Inception_Month,YEAR(Table1[[#This Row],[Reporting date]])-1,YEAR(Table1[[#This Row],[Reporting date]]))</f>
        <v>2013</v>
      </c>
      <c r="V225" s="17">
        <f>Table1[[#This Row],[Reporting year]]-Table1[[#This Row],[Policy Year]]</f>
        <v>0</v>
      </c>
      <c r="W225" s="17">
        <f>INT(Table1[[#This Row],[Reporting date]])-INT(Table1[[#This Row],[Loss date]])</f>
        <v>154</v>
      </c>
      <c r="X225" s="17">
        <f>INT((YEAR(Table1[[#This Row],[Loss date]])*12+MONTH(Table1[[#This Row],[Loss date]])-Earliest_Month)/4)</f>
        <v>25</v>
      </c>
      <c r="Y225" s="17">
        <f>INT((YEAR(Table1[[#This Row],[Reporting date]])*12+MONTH(Table1[[#This Row],[Reporting date]])-Earliest_Month)/4)</f>
        <v>26</v>
      </c>
      <c r="Z225" s="17">
        <f>Table1[[#This Row],[Reporting third]]-Table1[[#This Row],[Policy third]]</f>
        <v>1</v>
      </c>
      <c r="AA225" s="71">
        <f>IF(Table1[[#This Row],[Overall amount]]=0,"N/A",Table1[[#This Row],[Outstanding]]/Table1[[#This Row],[Overall amount]])</f>
        <v>0</v>
      </c>
      <c r="AB225" s="17">
        <f>IF(MONTH(Table1[[#This Row],[Loss date]])&lt;Pol_Inc_Month_Shifted,YEAR(Table1[[#This Row],[Loss date]])-1,YEAR(Table1[[#This Row],[Loss date]]))</f>
        <v>2012</v>
      </c>
      <c r="AC225" s="17">
        <f>IF(MONTH(Table1[[#This Row],[Reporting date]])&lt;Pol_Inc_Month_Shifted,YEAR(Table1[[#This Row],[Reporting date]])-1,YEAR(Table1[[#This Row],[Reporting date]]))</f>
        <v>2013</v>
      </c>
      <c r="AD225" s="17">
        <f>Table1[[#This Row],[Reporting year (shifted)]]-Table1[[#This Row],[Policy Year (shifted)]]</f>
        <v>1</v>
      </c>
    </row>
    <row r="226" spans="1:30" ht="13.9">
      <c r="A226" s="8" t="s">
        <v>1996</v>
      </c>
      <c r="B226" s="8" t="s">
        <v>278</v>
      </c>
      <c r="C226" s="8" t="s">
        <v>123</v>
      </c>
      <c r="D226" s="9">
        <v>41517</v>
      </c>
      <c r="E226" s="9">
        <v>41684</v>
      </c>
      <c r="F226" s="17">
        <f>IF(MONTH(Table1[[#This Row],[Loss date]])&lt;Policy_Inception_Month,YEAR(Table1[[#This Row],[Loss date]])-1,YEAR(Table1[[#This Row],[Loss date]]))</f>
        <v>2013</v>
      </c>
      <c r="G226" s="10" t="s">
        <v>125</v>
      </c>
      <c r="H226" s="10" t="s">
        <v>2</v>
      </c>
      <c r="I226" s="11">
        <v>0</v>
      </c>
      <c r="J226" s="11">
        <v>11382.103914283602</v>
      </c>
      <c r="K226" s="11">
        <v>11382.103914283602</v>
      </c>
      <c r="L226" s="12">
        <v>0</v>
      </c>
      <c r="M226" s="12">
        <v>0</v>
      </c>
      <c r="N226" s="12">
        <v>11382.103914283602</v>
      </c>
      <c r="O226" s="70">
        <f>IF(Table1[[#This Row],[Overall amount]]=0,0,1)</f>
        <v>1</v>
      </c>
      <c r="P226" s="70">
        <f>Table1[[#This Row],[Overall amount]]*Exchange_Rate</f>
        <v>11382.103914283602</v>
      </c>
      <c r="Q226" s="70">
        <f>Table1[[#This Row],[Overall (destination currency)]]*(1+Claims_Inflation)^((Revalue_at_date-Table1[[#This Row],[Loss date]])/365.25)</f>
        <v>12600.000000000002</v>
      </c>
      <c r="R226" s="70">
        <f>INT(Table1[[#This Row],[Reporting date]])-INT(Table1[[#This Row],[Loss date]])</f>
        <v>167</v>
      </c>
      <c r="S226" s="69" t="s">
        <v>16</v>
      </c>
      <c r="T226" s="70">
        <f>VLOOKUP(Table1[[#This Row],[Policy Year]],exposure_table,3,FALSE)</f>
        <v>1090.5865384615383</v>
      </c>
      <c r="U226" s="17">
        <f>IF(MONTH(Table1[[#This Row],[Reporting date]])&lt;Policy_Inception_Month,YEAR(Table1[[#This Row],[Reporting date]])-1,YEAR(Table1[[#This Row],[Reporting date]]))</f>
        <v>2013</v>
      </c>
      <c r="V226" s="17">
        <f>Table1[[#This Row],[Reporting year]]-Table1[[#This Row],[Policy Year]]</f>
        <v>0</v>
      </c>
      <c r="W226" s="17">
        <f>INT(Table1[[#This Row],[Reporting date]])-INT(Table1[[#This Row],[Loss date]])</f>
        <v>167</v>
      </c>
      <c r="X226" s="17">
        <f>INT((YEAR(Table1[[#This Row],[Loss date]])*12+MONTH(Table1[[#This Row],[Loss date]])-Earliest_Month)/4)</f>
        <v>25</v>
      </c>
      <c r="Y226" s="17">
        <f>INT((YEAR(Table1[[#This Row],[Reporting date]])*12+MONTH(Table1[[#This Row],[Reporting date]])-Earliest_Month)/4)</f>
        <v>26</v>
      </c>
      <c r="Z226" s="17">
        <f>Table1[[#This Row],[Reporting third]]-Table1[[#This Row],[Policy third]]</f>
        <v>1</v>
      </c>
      <c r="AA226" s="71">
        <f>IF(Table1[[#This Row],[Overall amount]]=0,"N/A",Table1[[#This Row],[Outstanding]]/Table1[[#This Row],[Overall amount]])</f>
        <v>1</v>
      </c>
      <c r="AB226" s="17">
        <f>IF(MONTH(Table1[[#This Row],[Loss date]])&lt;Pol_Inc_Month_Shifted,YEAR(Table1[[#This Row],[Loss date]])-1,YEAR(Table1[[#This Row],[Loss date]]))</f>
        <v>2012</v>
      </c>
      <c r="AC226" s="17">
        <f>IF(MONTH(Table1[[#This Row],[Reporting date]])&lt;Pol_Inc_Month_Shifted,YEAR(Table1[[#This Row],[Reporting date]])-1,YEAR(Table1[[#This Row],[Reporting date]]))</f>
        <v>2013</v>
      </c>
      <c r="AD226" s="17">
        <f>Table1[[#This Row],[Reporting year (shifted)]]-Table1[[#This Row],[Policy Year (shifted)]]</f>
        <v>1</v>
      </c>
    </row>
    <row r="227" spans="1:30" ht="13.9">
      <c r="A227" s="8" t="s">
        <v>1997</v>
      </c>
      <c r="B227" s="8" t="s">
        <v>279</v>
      </c>
      <c r="C227" s="8" t="s">
        <v>123</v>
      </c>
      <c r="D227" s="9">
        <v>41408</v>
      </c>
      <c r="E227" s="9">
        <v>41672</v>
      </c>
      <c r="F227" s="17">
        <f>IF(MONTH(Table1[[#This Row],[Loss date]])&lt;Policy_Inception_Month,YEAR(Table1[[#This Row],[Loss date]])-1,YEAR(Table1[[#This Row],[Loss date]]))</f>
        <v>2013</v>
      </c>
      <c r="G227" s="10" t="s">
        <v>125</v>
      </c>
      <c r="H227" s="10" t="s">
        <v>2</v>
      </c>
      <c r="I227" s="11">
        <v>0</v>
      </c>
      <c r="J227" s="11">
        <v>10683.408013648408</v>
      </c>
      <c r="K227" s="11">
        <v>10683.408013648408</v>
      </c>
      <c r="L227" s="12">
        <v>0</v>
      </c>
      <c r="M227" s="12">
        <v>0</v>
      </c>
      <c r="N227" s="12">
        <v>10683.408013648408</v>
      </c>
      <c r="O227" s="70">
        <f>IF(Table1[[#This Row],[Overall amount]]=0,0,1)</f>
        <v>1</v>
      </c>
      <c r="P227" s="70">
        <f>Table1[[#This Row],[Overall amount]]*Exchange_Rate</f>
        <v>10683.408013648408</v>
      </c>
      <c r="Q227" s="70">
        <f>Table1[[#This Row],[Overall (destination currency)]]*(1+Claims_Inflation)^((Revalue_at_date-Table1[[#This Row],[Loss date]])/365.25)</f>
        <v>12000</v>
      </c>
      <c r="R227" s="70">
        <f>INT(Table1[[#This Row],[Reporting date]])-INT(Table1[[#This Row],[Loss date]])</f>
        <v>264</v>
      </c>
      <c r="S227" s="69" t="s">
        <v>16</v>
      </c>
      <c r="T227" s="70">
        <f>VLOOKUP(Table1[[#This Row],[Policy Year]],exposure_table,3,FALSE)</f>
        <v>1090.5865384615383</v>
      </c>
      <c r="U227" s="17">
        <f>IF(MONTH(Table1[[#This Row],[Reporting date]])&lt;Policy_Inception_Month,YEAR(Table1[[#This Row],[Reporting date]])-1,YEAR(Table1[[#This Row],[Reporting date]]))</f>
        <v>2013</v>
      </c>
      <c r="V227" s="17">
        <f>Table1[[#This Row],[Reporting year]]-Table1[[#This Row],[Policy Year]]</f>
        <v>0</v>
      </c>
      <c r="W227" s="17">
        <f>INT(Table1[[#This Row],[Reporting date]])-INT(Table1[[#This Row],[Loss date]])</f>
        <v>264</v>
      </c>
      <c r="X227" s="17">
        <f>INT((YEAR(Table1[[#This Row],[Loss date]])*12+MONTH(Table1[[#This Row],[Loss date]])-Earliest_Month)/4)</f>
        <v>24</v>
      </c>
      <c r="Y227" s="17">
        <f>INT((YEAR(Table1[[#This Row],[Reporting date]])*12+MONTH(Table1[[#This Row],[Reporting date]])-Earliest_Month)/4)</f>
        <v>26</v>
      </c>
      <c r="Z227" s="17">
        <f>Table1[[#This Row],[Reporting third]]-Table1[[#This Row],[Policy third]]</f>
        <v>2</v>
      </c>
      <c r="AA227" s="71">
        <f>IF(Table1[[#This Row],[Overall amount]]=0,"N/A",Table1[[#This Row],[Outstanding]]/Table1[[#This Row],[Overall amount]])</f>
        <v>1</v>
      </c>
      <c r="AB227" s="17">
        <f>IF(MONTH(Table1[[#This Row],[Loss date]])&lt;Pol_Inc_Month_Shifted,YEAR(Table1[[#This Row],[Loss date]])-1,YEAR(Table1[[#This Row],[Loss date]]))</f>
        <v>2012</v>
      </c>
      <c r="AC227" s="17">
        <f>IF(MONTH(Table1[[#This Row],[Reporting date]])&lt;Pol_Inc_Month_Shifted,YEAR(Table1[[#This Row],[Reporting date]])-1,YEAR(Table1[[#This Row],[Reporting date]]))</f>
        <v>2013</v>
      </c>
      <c r="AD227" s="17">
        <f>Table1[[#This Row],[Reporting year (shifted)]]-Table1[[#This Row],[Policy Year (shifted)]]</f>
        <v>1</v>
      </c>
    </row>
    <row r="228" spans="1:30" ht="13.9">
      <c r="A228" s="8" t="s">
        <v>1998</v>
      </c>
      <c r="B228" s="8" t="s">
        <v>280</v>
      </c>
      <c r="C228" s="8" t="s">
        <v>123</v>
      </c>
      <c r="D228" s="9">
        <v>41324</v>
      </c>
      <c r="E228" s="9">
        <v>41653</v>
      </c>
      <c r="F228" s="17">
        <f>IF(MONTH(Table1[[#This Row],[Loss date]])&lt;Policy_Inception_Month,YEAR(Table1[[#This Row],[Loss date]])-1,YEAR(Table1[[#This Row],[Loss date]]))</f>
        <v>2012</v>
      </c>
      <c r="G228" s="10" t="s">
        <v>125</v>
      </c>
      <c r="H228" s="10" t="s">
        <v>2</v>
      </c>
      <c r="I228" s="11">
        <v>0</v>
      </c>
      <c r="J228" s="11">
        <v>10564.20235207055</v>
      </c>
      <c r="K228" s="11">
        <v>10564.20235207055</v>
      </c>
      <c r="L228" s="12">
        <v>0</v>
      </c>
      <c r="M228" s="12">
        <v>0</v>
      </c>
      <c r="N228" s="12">
        <v>10564.20235207055</v>
      </c>
      <c r="O228" s="70">
        <f>IF(Table1[[#This Row],[Overall amount]]=0,0,1)</f>
        <v>1</v>
      </c>
      <c r="P228" s="70">
        <f>Table1[[#This Row],[Overall amount]]*Exchange_Rate</f>
        <v>10564.20235207055</v>
      </c>
      <c r="Q228" s="70">
        <f>Table1[[#This Row],[Overall (destination currency)]]*(1+Claims_Inflation)^((Revalue_at_date-Table1[[#This Row],[Loss date]])/365.25)</f>
        <v>12000</v>
      </c>
      <c r="R228" s="70">
        <f>INT(Table1[[#This Row],[Reporting date]])-INT(Table1[[#This Row],[Loss date]])</f>
        <v>329</v>
      </c>
      <c r="S228" s="69" t="s">
        <v>16</v>
      </c>
      <c r="T228" s="70">
        <f>VLOOKUP(Table1[[#This Row],[Policy Year]],exposure_table,3,FALSE)</f>
        <v>1057.54</v>
      </c>
      <c r="U228" s="17">
        <f>IF(MONTH(Table1[[#This Row],[Reporting date]])&lt;Policy_Inception_Month,YEAR(Table1[[#This Row],[Reporting date]])-1,YEAR(Table1[[#This Row],[Reporting date]]))</f>
        <v>2013</v>
      </c>
      <c r="V228" s="17">
        <f>Table1[[#This Row],[Reporting year]]-Table1[[#This Row],[Policy Year]]</f>
        <v>1</v>
      </c>
      <c r="W228" s="17">
        <f>INT(Table1[[#This Row],[Reporting date]])-INT(Table1[[#This Row],[Loss date]])</f>
        <v>329</v>
      </c>
      <c r="X228" s="17">
        <f>INT((YEAR(Table1[[#This Row],[Loss date]])*12+MONTH(Table1[[#This Row],[Loss date]])-Earliest_Month)/4)</f>
        <v>23</v>
      </c>
      <c r="Y228" s="17">
        <f>INT((YEAR(Table1[[#This Row],[Reporting date]])*12+MONTH(Table1[[#This Row],[Reporting date]])-Earliest_Month)/4)</f>
        <v>26</v>
      </c>
      <c r="Z228" s="17">
        <f>Table1[[#This Row],[Reporting third]]-Table1[[#This Row],[Policy third]]</f>
        <v>3</v>
      </c>
      <c r="AA228" s="71">
        <f>IF(Table1[[#This Row],[Overall amount]]=0,"N/A",Table1[[#This Row],[Outstanding]]/Table1[[#This Row],[Overall amount]])</f>
        <v>1</v>
      </c>
      <c r="AB228" s="17">
        <f>IF(MONTH(Table1[[#This Row],[Loss date]])&lt;Pol_Inc_Month_Shifted,YEAR(Table1[[#This Row],[Loss date]])-1,YEAR(Table1[[#This Row],[Loss date]]))</f>
        <v>2012</v>
      </c>
      <c r="AC228" s="17">
        <f>IF(MONTH(Table1[[#This Row],[Reporting date]])&lt;Pol_Inc_Month_Shifted,YEAR(Table1[[#This Row],[Reporting date]])-1,YEAR(Table1[[#This Row],[Reporting date]]))</f>
        <v>2013</v>
      </c>
      <c r="AD228" s="17">
        <f>Table1[[#This Row],[Reporting year (shifted)]]-Table1[[#This Row],[Policy Year (shifted)]]</f>
        <v>1</v>
      </c>
    </row>
    <row r="229" spans="1:30" ht="13.9">
      <c r="A229" s="8" t="s">
        <v>1999</v>
      </c>
      <c r="B229" s="8" t="s">
        <v>281</v>
      </c>
      <c r="C229" s="8" t="s">
        <v>123</v>
      </c>
      <c r="D229" s="9">
        <v>41387</v>
      </c>
      <c r="E229" s="9">
        <v>41674</v>
      </c>
      <c r="F229" s="17">
        <f>IF(MONTH(Table1[[#This Row],[Loss date]])&lt;Policy_Inception_Month,YEAR(Table1[[#This Row],[Loss date]])-1,YEAR(Table1[[#This Row],[Loss date]]))</f>
        <v>2013</v>
      </c>
      <c r="G229" s="10" t="s">
        <v>125</v>
      </c>
      <c r="H229" s="10" t="s">
        <v>2</v>
      </c>
      <c r="I229" s="11">
        <v>0</v>
      </c>
      <c r="J229" s="11">
        <v>0</v>
      </c>
      <c r="K229" s="11">
        <v>0</v>
      </c>
      <c r="L229" s="12">
        <v>319.60443250701206</v>
      </c>
      <c r="M229" s="12">
        <v>0</v>
      </c>
      <c r="N229" s="12">
        <v>319.60443250701206</v>
      </c>
      <c r="O229" s="70">
        <f>IF(Table1[[#This Row],[Overall amount]]=0,0,1)</f>
        <v>1</v>
      </c>
      <c r="P229" s="70">
        <f>Table1[[#This Row],[Overall amount]]*Exchange_Rate</f>
        <v>319.60443250701206</v>
      </c>
      <c r="Q229" s="70">
        <f>Table1[[#This Row],[Overall (destination currency)]]*(1+Claims_Inflation)^((Revalue_at_date-Table1[[#This Row],[Loss date]])/365.25)</f>
        <v>360</v>
      </c>
      <c r="R229" s="70">
        <f>INT(Table1[[#This Row],[Reporting date]])-INT(Table1[[#This Row],[Loss date]])</f>
        <v>287</v>
      </c>
      <c r="S229" s="69" t="s">
        <v>9</v>
      </c>
      <c r="T229" s="70">
        <f>VLOOKUP(Table1[[#This Row],[Policy Year]],exposure_table,3,FALSE)</f>
        <v>1090.5865384615383</v>
      </c>
      <c r="U229" s="17">
        <f>IF(MONTH(Table1[[#This Row],[Reporting date]])&lt;Policy_Inception_Month,YEAR(Table1[[#This Row],[Reporting date]])-1,YEAR(Table1[[#This Row],[Reporting date]]))</f>
        <v>2013</v>
      </c>
      <c r="V229" s="17">
        <f>Table1[[#This Row],[Reporting year]]-Table1[[#This Row],[Policy Year]]</f>
        <v>0</v>
      </c>
      <c r="W229" s="17">
        <f>INT(Table1[[#This Row],[Reporting date]])-INT(Table1[[#This Row],[Loss date]])</f>
        <v>287</v>
      </c>
      <c r="X229" s="17">
        <f>INT((YEAR(Table1[[#This Row],[Loss date]])*12+MONTH(Table1[[#This Row],[Loss date]])-Earliest_Month)/4)</f>
        <v>24</v>
      </c>
      <c r="Y229" s="17">
        <f>INT((YEAR(Table1[[#This Row],[Reporting date]])*12+MONTH(Table1[[#This Row],[Reporting date]])-Earliest_Month)/4)</f>
        <v>26</v>
      </c>
      <c r="Z229" s="17">
        <f>Table1[[#This Row],[Reporting third]]-Table1[[#This Row],[Policy third]]</f>
        <v>2</v>
      </c>
      <c r="AA229" s="71">
        <f>IF(Table1[[#This Row],[Overall amount]]=0,"N/A",Table1[[#This Row],[Outstanding]]/Table1[[#This Row],[Overall amount]])</f>
        <v>0</v>
      </c>
      <c r="AB229" s="17">
        <f>IF(MONTH(Table1[[#This Row],[Loss date]])&lt;Pol_Inc_Month_Shifted,YEAR(Table1[[#This Row],[Loss date]])-1,YEAR(Table1[[#This Row],[Loss date]]))</f>
        <v>2012</v>
      </c>
      <c r="AC229" s="17">
        <f>IF(MONTH(Table1[[#This Row],[Reporting date]])&lt;Pol_Inc_Month_Shifted,YEAR(Table1[[#This Row],[Reporting date]])-1,YEAR(Table1[[#This Row],[Reporting date]]))</f>
        <v>2013</v>
      </c>
      <c r="AD229" s="17">
        <f>Table1[[#This Row],[Reporting year (shifted)]]-Table1[[#This Row],[Policy Year (shifted)]]</f>
        <v>1</v>
      </c>
    </row>
    <row r="230" spans="1:30" ht="13.9">
      <c r="A230" s="8" t="s">
        <v>2000</v>
      </c>
      <c r="B230" s="8" t="s">
        <v>282</v>
      </c>
      <c r="C230" s="8" t="s">
        <v>123</v>
      </c>
      <c r="D230" s="9">
        <v>41632</v>
      </c>
      <c r="E230" s="9">
        <v>41688</v>
      </c>
      <c r="F230" s="17">
        <f>IF(MONTH(Table1[[#This Row],[Loss date]])&lt;Policy_Inception_Month,YEAR(Table1[[#This Row],[Loss date]])-1,YEAR(Table1[[#This Row],[Loss date]]))</f>
        <v>2013</v>
      </c>
      <c r="G230" s="10" t="s">
        <v>125</v>
      </c>
      <c r="H230" s="10" t="s">
        <v>2</v>
      </c>
      <c r="I230" s="11">
        <v>0</v>
      </c>
      <c r="J230" s="11">
        <v>8806.3257294286468</v>
      </c>
      <c r="K230" s="11">
        <v>8806.3257294286468</v>
      </c>
      <c r="L230" s="12">
        <v>330.23721485357424</v>
      </c>
      <c r="M230" s="12">
        <v>0</v>
      </c>
      <c r="N230" s="12">
        <v>9136.562944282221</v>
      </c>
      <c r="O230" s="70">
        <f>IF(Table1[[#This Row],[Overall amount]]=0,0,1)</f>
        <v>1</v>
      </c>
      <c r="P230" s="70">
        <f>Table1[[#This Row],[Overall amount]]*Exchange_Rate</f>
        <v>9136.562944282221</v>
      </c>
      <c r="Q230" s="70">
        <f>Table1[[#This Row],[Overall (destination currency)]]*(1+Claims_Inflation)^((Revalue_at_date-Table1[[#This Row],[Loss date]])/365.25)</f>
        <v>9960.0000000000018</v>
      </c>
      <c r="R230" s="70">
        <f>INT(Table1[[#This Row],[Reporting date]])-INT(Table1[[#This Row],[Loss date]])</f>
        <v>56</v>
      </c>
      <c r="S230" s="69" t="s">
        <v>16</v>
      </c>
      <c r="T230" s="70">
        <f>VLOOKUP(Table1[[#This Row],[Policy Year]],exposure_table,3,FALSE)</f>
        <v>1090.5865384615383</v>
      </c>
      <c r="U230" s="17">
        <f>IF(MONTH(Table1[[#This Row],[Reporting date]])&lt;Policy_Inception_Month,YEAR(Table1[[#This Row],[Reporting date]])-1,YEAR(Table1[[#This Row],[Reporting date]]))</f>
        <v>2013</v>
      </c>
      <c r="V230" s="17">
        <f>Table1[[#This Row],[Reporting year]]-Table1[[#This Row],[Policy Year]]</f>
        <v>0</v>
      </c>
      <c r="W230" s="17">
        <f>INT(Table1[[#This Row],[Reporting date]])-INT(Table1[[#This Row],[Loss date]])</f>
        <v>56</v>
      </c>
      <c r="X230" s="17">
        <f>INT((YEAR(Table1[[#This Row],[Loss date]])*12+MONTH(Table1[[#This Row],[Loss date]])-Earliest_Month)/4)</f>
        <v>26</v>
      </c>
      <c r="Y230" s="17">
        <f>INT((YEAR(Table1[[#This Row],[Reporting date]])*12+MONTH(Table1[[#This Row],[Reporting date]])-Earliest_Month)/4)</f>
        <v>26</v>
      </c>
      <c r="Z230" s="17">
        <f>Table1[[#This Row],[Reporting third]]-Table1[[#This Row],[Policy third]]</f>
        <v>0</v>
      </c>
      <c r="AA230" s="71">
        <f>IF(Table1[[#This Row],[Overall amount]]=0,"N/A",Table1[[#This Row],[Outstanding]]/Table1[[#This Row],[Overall amount]])</f>
        <v>0.96385542168674698</v>
      </c>
      <c r="AB230" s="17">
        <f>IF(MONTH(Table1[[#This Row],[Loss date]])&lt;Pol_Inc_Month_Shifted,YEAR(Table1[[#This Row],[Loss date]])-1,YEAR(Table1[[#This Row],[Loss date]]))</f>
        <v>2013</v>
      </c>
      <c r="AC230" s="17">
        <f>IF(MONTH(Table1[[#This Row],[Reporting date]])&lt;Pol_Inc_Month_Shifted,YEAR(Table1[[#This Row],[Reporting date]])-1,YEAR(Table1[[#This Row],[Reporting date]]))</f>
        <v>2013</v>
      </c>
      <c r="AD230" s="17">
        <f>Table1[[#This Row],[Reporting year (shifted)]]-Table1[[#This Row],[Policy Year (shifted)]]</f>
        <v>0</v>
      </c>
    </row>
    <row r="231" spans="1:30" ht="13.9">
      <c r="A231" s="8" t="s">
        <v>2001</v>
      </c>
      <c r="B231" s="8" t="s">
        <v>283</v>
      </c>
      <c r="C231" s="8" t="s">
        <v>123</v>
      </c>
      <c r="D231" s="9">
        <v>41205</v>
      </c>
      <c r="E231" s="9">
        <v>41688</v>
      </c>
      <c r="F231" s="17">
        <f>IF(MONTH(Table1[[#This Row],[Loss date]])&lt;Policy_Inception_Month,YEAR(Table1[[#This Row],[Loss date]])-1,YEAR(Table1[[#This Row],[Loss date]]))</f>
        <v>2012</v>
      </c>
      <c r="G231" s="10" t="s">
        <v>125</v>
      </c>
      <c r="H231" s="10" t="s">
        <v>2</v>
      </c>
      <c r="I231" s="11">
        <v>0</v>
      </c>
      <c r="J231" s="11">
        <v>0</v>
      </c>
      <c r="K231" s="11">
        <v>0</v>
      </c>
      <c r="L231" s="12">
        <v>0</v>
      </c>
      <c r="M231" s="12">
        <v>0</v>
      </c>
      <c r="N231" s="12">
        <v>0</v>
      </c>
      <c r="O231" s="70">
        <f>IF(Table1[[#This Row],[Overall amount]]=0,0,1)</f>
        <v>0</v>
      </c>
      <c r="P231" s="70">
        <f>Table1[[#This Row],[Overall amount]]*Exchange_Rate</f>
        <v>0</v>
      </c>
      <c r="Q231" s="70">
        <f>Table1[[#This Row],[Overall (destination currency)]]*(1+Claims_Inflation)^((Revalue_at_date-Table1[[#This Row],[Loss date]])/365.25)</f>
        <v>0</v>
      </c>
      <c r="R231" s="70">
        <f>INT(Table1[[#This Row],[Reporting date]])-INT(Table1[[#This Row],[Loss date]])</f>
        <v>483</v>
      </c>
      <c r="S231" s="69" t="s">
        <v>9</v>
      </c>
      <c r="T231" s="70">
        <f>VLOOKUP(Table1[[#This Row],[Policy Year]],exposure_table,3,FALSE)</f>
        <v>1057.54</v>
      </c>
      <c r="U231" s="17">
        <f>IF(MONTH(Table1[[#This Row],[Reporting date]])&lt;Policy_Inception_Month,YEAR(Table1[[#This Row],[Reporting date]])-1,YEAR(Table1[[#This Row],[Reporting date]]))</f>
        <v>2013</v>
      </c>
      <c r="V231" s="17">
        <f>Table1[[#This Row],[Reporting year]]-Table1[[#This Row],[Policy Year]]</f>
        <v>1</v>
      </c>
      <c r="W231" s="17">
        <f>INT(Table1[[#This Row],[Reporting date]])-INT(Table1[[#This Row],[Loss date]])</f>
        <v>483</v>
      </c>
      <c r="X231" s="17">
        <f>INT((YEAR(Table1[[#This Row],[Loss date]])*12+MONTH(Table1[[#This Row],[Loss date]])-Earliest_Month)/4)</f>
        <v>22</v>
      </c>
      <c r="Y231" s="17">
        <f>INT((YEAR(Table1[[#This Row],[Reporting date]])*12+MONTH(Table1[[#This Row],[Reporting date]])-Earliest_Month)/4)</f>
        <v>26</v>
      </c>
      <c r="Z231" s="17">
        <f>Table1[[#This Row],[Reporting third]]-Table1[[#This Row],[Policy third]]</f>
        <v>4</v>
      </c>
      <c r="AA231" s="71" t="str">
        <f>IF(Table1[[#This Row],[Overall amount]]=0,"N/A",Table1[[#This Row],[Outstanding]]/Table1[[#This Row],[Overall amount]])</f>
        <v>N/A</v>
      </c>
      <c r="AB231" s="17">
        <f>IF(MONTH(Table1[[#This Row],[Loss date]])&lt;Pol_Inc_Month_Shifted,YEAR(Table1[[#This Row],[Loss date]])-1,YEAR(Table1[[#This Row],[Loss date]]))</f>
        <v>2011</v>
      </c>
      <c r="AC231" s="17">
        <f>IF(MONTH(Table1[[#This Row],[Reporting date]])&lt;Pol_Inc_Month_Shifted,YEAR(Table1[[#This Row],[Reporting date]])-1,YEAR(Table1[[#This Row],[Reporting date]]))</f>
        <v>2013</v>
      </c>
      <c r="AD231" s="17">
        <f>Table1[[#This Row],[Reporting year (shifted)]]-Table1[[#This Row],[Policy Year (shifted)]]</f>
        <v>2</v>
      </c>
    </row>
    <row r="232" spans="1:30" ht="13.9">
      <c r="A232" s="8" t="s">
        <v>2002</v>
      </c>
      <c r="B232" s="8" t="s">
        <v>284</v>
      </c>
      <c r="C232" s="8" t="s">
        <v>123</v>
      </c>
      <c r="D232" s="9">
        <v>41460</v>
      </c>
      <c r="E232" s="9">
        <v>41688</v>
      </c>
      <c r="F232" s="17">
        <f>IF(MONTH(Table1[[#This Row],[Loss date]])&lt;Policy_Inception_Month,YEAR(Table1[[#This Row],[Loss date]])-1,YEAR(Table1[[#This Row],[Loss date]]))</f>
        <v>2013</v>
      </c>
      <c r="G232" s="10" t="s">
        <v>125</v>
      </c>
      <c r="H232" s="10" t="s">
        <v>2</v>
      </c>
      <c r="I232" s="11">
        <v>0</v>
      </c>
      <c r="J232" s="11">
        <v>0</v>
      </c>
      <c r="K232" s="11">
        <v>0</v>
      </c>
      <c r="L232" s="12">
        <v>0</v>
      </c>
      <c r="M232" s="12">
        <v>0</v>
      </c>
      <c r="N232" s="12">
        <v>0</v>
      </c>
      <c r="O232" s="70">
        <f>IF(Table1[[#This Row],[Overall amount]]=0,0,1)</f>
        <v>0</v>
      </c>
      <c r="P232" s="70">
        <f>Table1[[#This Row],[Overall amount]]*Exchange_Rate</f>
        <v>0</v>
      </c>
      <c r="Q232" s="70">
        <f>Table1[[#This Row],[Overall (destination currency)]]*(1+Claims_Inflation)^((Revalue_at_date-Table1[[#This Row],[Loss date]])/365.25)</f>
        <v>0</v>
      </c>
      <c r="R232" s="70">
        <f>INT(Table1[[#This Row],[Reporting date]])-INT(Table1[[#This Row],[Loss date]])</f>
        <v>228</v>
      </c>
      <c r="S232" s="69" t="s">
        <v>9</v>
      </c>
      <c r="T232" s="70">
        <f>VLOOKUP(Table1[[#This Row],[Policy Year]],exposure_table,3,FALSE)</f>
        <v>1090.5865384615383</v>
      </c>
      <c r="U232" s="17">
        <f>IF(MONTH(Table1[[#This Row],[Reporting date]])&lt;Policy_Inception_Month,YEAR(Table1[[#This Row],[Reporting date]])-1,YEAR(Table1[[#This Row],[Reporting date]]))</f>
        <v>2013</v>
      </c>
      <c r="V232" s="17">
        <f>Table1[[#This Row],[Reporting year]]-Table1[[#This Row],[Policy Year]]</f>
        <v>0</v>
      </c>
      <c r="W232" s="17">
        <f>INT(Table1[[#This Row],[Reporting date]])-INT(Table1[[#This Row],[Loss date]])</f>
        <v>228</v>
      </c>
      <c r="X232" s="17">
        <f>INT((YEAR(Table1[[#This Row],[Loss date]])*12+MONTH(Table1[[#This Row],[Loss date]])-Earliest_Month)/4)</f>
        <v>24</v>
      </c>
      <c r="Y232" s="17">
        <f>INT((YEAR(Table1[[#This Row],[Reporting date]])*12+MONTH(Table1[[#This Row],[Reporting date]])-Earliest_Month)/4)</f>
        <v>26</v>
      </c>
      <c r="Z232" s="17">
        <f>Table1[[#This Row],[Reporting third]]-Table1[[#This Row],[Policy third]]</f>
        <v>2</v>
      </c>
      <c r="AA232" s="71" t="str">
        <f>IF(Table1[[#This Row],[Overall amount]]=0,"N/A",Table1[[#This Row],[Outstanding]]/Table1[[#This Row],[Overall amount]])</f>
        <v>N/A</v>
      </c>
      <c r="AB232" s="17">
        <f>IF(MONTH(Table1[[#This Row],[Loss date]])&lt;Pol_Inc_Month_Shifted,YEAR(Table1[[#This Row],[Loss date]])-1,YEAR(Table1[[#This Row],[Loss date]]))</f>
        <v>2012</v>
      </c>
      <c r="AC232" s="17">
        <f>IF(MONTH(Table1[[#This Row],[Reporting date]])&lt;Pol_Inc_Month_Shifted,YEAR(Table1[[#This Row],[Reporting date]])-1,YEAR(Table1[[#This Row],[Reporting date]]))</f>
        <v>2013</v>
      </c>
      <c r="AD232" s="17">
        <f>Table1[[#This Row],[Reporting year (shifted)]]-Table1[[#This Row],[Policy Year (shifted)]]</f>
        <v>1</v>
      </c>
    </row>
    <row r="233" spans="1:30" ht="13.9">
      <c r="A233" s="8" t="s">
        <v>2003</v>
      </c>
      <c r="B233" s="8" t="s">
        <v>285</v>
      </c>
      <c r="C233" s="8" t="s">
        <v>123</v>
      </c>
      <c r="D233" s="9">
        <v>41653</v>
      </c>
      <c r="E233" s="9">
        <v>41707</v>
      </c>
      <c r="F233" s="17">
        <f>IF(MONTH(Table1[[#This Row],[Loss date]])&lt;Policy_Inception_Month,YEAR(Table1[[#This Row],[Loss date]])-1,YEAR(Table1[[#This Row],[Loss date]]))</f>
        <v>2013</v>
      </c>
      <c r="G233" s="10" t="s">
        <v>140</v>
      </c>
      <c r="H233" s="10" t="s">
        <v>2</v>
      </c>
      <c r="I233" s="11">
        <v>0</v>
      </c>
      <c r="J233" s="11">
        <v>0</v>
      </c>
      <c r="K233" s="11">
        <v>0</v>
      </c>
      <c r="L233" s="12">
        <v>0</v>
      </c>
      <c r="M233" s="12">
        <v>0</v>
      </c>
      <c r="N233" s="12">
        <v>0</v>
      </c>
      <c r="O233" s="70">
        <f>IF(Table1[[#This Row],[Overall amount]]=0,0,1)</f>
        <v>0</v>
      </c>
      <c r="P233" s="70">
        <f>Table1[[#This Row],[Overall amount]]*Exchange_Rate</f>
        <v>0</v>
      </c>
      <c r="Q233" s="70">
        <f>Table1[[#This Row],[Overall (destination currency)]]*(1+Claims_Inflation)^((Revalue_at_date-Table1[[#This Row],[Loss date]])/365.25)</f>
        <v>0</v>
      </c>
      <c r="R233" s="70">
        <f>INT(Table1[[#This Row],[Reporting date]])-INT(Table1[[#This Row],[Loss date]])</f>
        <v>54</v>
      </c>
      <c r="S233" s="69" t="s">
        <v>9</v>
      </c>
      <c r="T233" s="70">
        <f>VLOOKUP(Table1[[#This Row],[Policy Year]],exposure_table,3,FALSE)</f>
        <v>1090.5865384615383</v>
      </c>
      <c r="U233" s="17">
        <f>IF(MONTH(Table1[[#This Row],[Reporting date]])&lt;Policy_Inception_Month,YEAR(Table1[[#This Row],[Reporting date]])-1,YEAR(Table1[[#This Row],[Reporting date]]))</f>
        <v>2013</v>
      </c>
      <c r="V233" s="17">
        <f>Table1[[#This Row],[Reporting year]]-Table1[[#This Row],[Policy Year]]</f>
        <v>0</v>
      </c>
      <c r="W233" s="17">
        <f>INT(Table1[[#This Row],[Reporting date]])-INT(Table1[[#This Row],[Loss date]])</f>
        <v>54</v>
      </c>
      <c r="X233" s="17">
        <f>INT((YEAR(Table1[[#This Row],[Loss date]])*12+MONTH(Table1[[#This Row],[Loss date]])-Earliest_Month)/4)</f>
        <v>26</v>
      </c>
      <c r="Y233" s="17">
        <f>INT((YEAR(Table1[[#This Row],[Reporting date]])*12+MONTH(Table1[[#This Row],[Reporting date]])-Earliest_Month)/4)</f>
        <v>26</v>
      </c>
      <c r="Z233" s="17">
        <f>Table1[[#This Row],[Reporting third]]-Table1[[#This Row],[Policy third]]</f>
        <v>0</v>
      </c>
      <c r="AA233" s="71" t="str">
        <f>IF(Table1[[#This Row],[Overall amount]]=0,"N/A",Table1[[#This Row],[Outstanding]]/Table1[[#This Row],[Overall amount]])</f>
        <v>N/A</v>
      </c>
      <c r="AB233" s="17">
        <f>IF(MONTH(Table1[[#This Row],[Loss date]])&lt;Pol_Inc_Month_Shifted,YEAR(Table1[[#This Row],[Loss date]])-1,YEAR(Table1[[#This Row],[Loss date]]))</f>
        <v>2013</v>
      </c>
      <c r="AC233" s="17">
        <f>IF(MONTH(Table1[[#This Row],[Reporting date]])&lt;Pol_Inc_Month_Shifted,YEAR(Table1[[#This Row],[Reporting date]])-1,YEAR(Table1[[#This Row],[Reporting date]]))</f>
        <v>2013</v>
      </c>
      <c r="AD233" s="17">
        <f>Table1[[#This Row],[Reporting year (shifted)]]-Table1[[#This Row],[Policy Year (shifted)]]</f>
        <v>0</v>
      </c>
    </row>
    <row r="234" spans="1:30" ht="13.9">
      <c r="A234" s="8" t="s">
        <v>2004</v>
      </c>
      <c r="B234" s="8" t="s">
        <v>286</v>
      </c>
      <c r="C234" s="8" t="s">
        <v>123</v>
      </c>
      <c r="D234" s="9">
        <v>41414</v>
      </c>
      <c r="E234" s="9">
        <v>41722</v>
      </c>
      <c r="F234" s="17">
        <f>IF(MONTH(Table1[[#This Row],[Loss date]])&lt;Policy_Inception_Month,YEAR(Table1[[#This Row],[Loss date]])-1,YEAR(Table1[[#This Row],[Loss date]]))</f>
        <v>2013</v>
      </c>
      <c r="G234" s="10" t="s">
        <v>125</v>
      </c>
      <c r="H234" s="10" t="s">
        <v>2</v>
      </c>
      <c r="I234" s="11">
        <v>0</v>
      </c>
      <c r="J234" s="11">
        <v>16893.318913554082</v>
      </c>
      <c r="K234" s="11">
        <v>16893.318913554082</v>
      </c>
      <c r="L234" s="12">
        <v>320.75921987760904</v>
      </c>
      <c r="M234" s="12">
        <v>0</v>
      </c>
      <c r="N234" s="12">
        <v>17214.078133431689</v>
      </c>
      <c r="O234" s="70">
        <f>IF(Table1[[#This Row],[Overall amount]]=0,0,1)</f>
        <v>1</v>
      </c>
      <c r="P234" s="70">
        <f>Table1[[#This Row],[Overall amount]]*Exchange_Rate</f>
        <v>17214.078133431689</v>
      </c>
      <c r="Q234" s="70">
        <f>Table1[[#This Row],[Overall (destination currency)]]*(1+Claims_Inflation)^((Revalue_at_date-Table1[[#This Row],[Loss date]])/365.25)</f>
        <v>19320</v>
      </c>
      <c r="R234" s="70">
        <f>INT(Table1[[#This Row],[Reporting date]])-INT(Table1[[#This Row],[Loss date]])</f>
        <v>308</v>
      </c>
      <c r="S234" s="69" t="s">
        <v>16</v>
      </c>
      <c r="T234" s="70">
        <f>VLOOKUP(Table1[[#This Row],[Policy Year]],exposure_table,3,FALSE)</f>
        <v>1090.5865384615383</v>
      </c>
      <c r="U234" s="17">
        <f>IF(MONTH(Table1[[#This Row],[Reporting date]])&lt;Policy_Inception_Month,YEAR(Table1[[#This Row],[Reporting date]])-1,YEAR(Table1[[#This Row],[Reporting date]]))</f>
        <v>2013</v>
      </c>
      <c r="V234" s="17">
        <f>Table1[[#This Row],[Reporting year]]-Table1[[#This Row],[Policy Year]]</f>
        <v>0</v>
      </c>
      <c r="W234" s="17">
        <f>INT(Table1[[#This Row],[Reporting date]])-INT(Table1[[#This Row],[Loss date]])</f>
        <v>308</v>
      </c>
      <c r="X234" s="17">
        <f>INT((YEAR(Table1[[#This Row],[Loss date]])*12+MONTH(Table1[[#This Row],[Loss date]])-Earliest_Month)/4)</f>
        <v>24</v>
      </c>
      <c r="Y234" s="17">
        <f>INT((YEAR(Table1[[#This Row],[Reporting date]])*12+MONTH(Table1[[#This Row],[Reporting date]])-Earliest_Month)/4)</f>
        <v>26</v>
      </c>
      <c r="Z234" s="17">
        <f>Table1[[#This Row],[Reporting third]]-Table1[[#This Row],[Policy third]]</f>
        <v>2</v>
      </c>
      <c r="AA234" s="71">
        <f>IF(Table1[[#This Row],[Overall amount]]=0,"N/A",Table1[[#This Row],[Outstanding]]/Table1[[#This Row],[Overall amount]])</f>
        <v>0.98136645962732927</v>
      </c>
      <c r="AB234" s="17">
        <f>IF(MONTH(Table1[[#This Row],[Loss date]])&lt;Pol_Inc_Month_Shifted,YEAR(Table1[[#This Row],[Loss date]])-1,YEAR(Table1[[#This Row],[Loss date]]))</f>
        <v>2012</v>
      </c>
      <c r="AC234" s="17">
        <f>IF(MONTH(Table1[[#This Row],[Reporting date]])&lt;Pol_Inc_Month_Shifted,YEAR(Table1[[#This Row],[Reporting date]])-1,YEAR(Table1[[#This Row],[Reporting date]]))</f>
        <v>2013</v>
      </c>
      <c r="AD234" s="17">
        <f>Table1[[#This Row],[Reporting year (shifted)]]-Table1[[#This Row],[Policy Year (shifted)]]</f>
        <v>1</v>
      </c>
    </row>
    <row r="235" spans="1:30" ht="13.9">
      <c r="A235" s="8" t="s">
        <v>2005</v>
      </c>
      <c r="B235" s="8" t="s">
        <v>287</v>
      </c>
      <c r="C235" s="8" t="s">
        <v>123</v>
      </c>
      <c r="D235" s="9">
        <v>41481</v>
      </c>
      <c r="E235" s="9">
        <v>41716</v>
      </c>
      <c r="F235" s="17">
        <f>IF(MONTH(Table1[[#This Row],[Loss date]])&lt;Policy_Inception_Month,YEAR(Table1[[#This Row],[Loss date]])-1,YEAR(Table1[[#This Row],[Loss date]]))</f>
        <v>2013</v>
      </c>
      <c r="G235" s="10" t="s">
        <v>125</v>
      </c>
      <c r="H235" s="10" t="s">
        <v>2</v>
      </c>
      <c r="I235" s="11">
        <v>0</v>
      </c>
      <c r="J235" s="11">
        <v>16182.14294559341</v>
      </c>
      <c r="K235" s="11">
        <v>16182.14294559341</v>
      </c>
      <c r="L235" s="12">
        <v>0</v>
      </c>
      <c r="M235" s="12">
        <v>0</v>
      </c>
      <c r="N235" s="12">
        <v>16182.14294559341</v>
      </c>
      <c r="O235" s="70">
        <f>IF(Table1[[#This Row],[Overall amount]]=0,0,1)</f>
        <v>1</v>
      </c>
      <c r="P235" s="70">
        <f>Table1[[#This Row],[Overall amount]]*Exchange_Rate</f>
        <v>16182.14294559341</v>
      </c>
      <c r="Q235" s="70">
        <f>Table1[[#This Row],[Overall (destination currency)]]*(1+Claims_Inflation)^((Revalue_at_date-Table1[[#This Row],[Loss date]])/365.25)</f>
        <v>18000</v>
      </c>
      <c r="R235" s="70">
        <f>INT(Table1[[#This Row],[Reporting date]])-INT(Table1[[#This Row],[Loss date]])</f>
        <v>235</v>
      </c>
      <c r="S235" s="69" t="s">
        <v>16</v>
      </c>
      <c r="T235" s="70">
        <f>VLOOKUP(Table1[[#This Row],[Policy Year]],exposure_table,3,FALSE)</f>
        <v>1090.5865384615383</v>
      </c>
      <c r="U235" s="17">
        <f>IF(MONTH(Table1[[#This Row],[Reporting date]])&lt;Policy_Inception_Month,YEAR(Table1[[#This Row],[Reporting date]])-1,YEAR(Table1[[#This Row],[Reporting date]]))</f>
        <v>2013</v>
      </c>
      <c r="V235" s="17">
        <f>Table1[[#This Row],[Reporting year]]-Table1[[#This Row],[Policy Year]]</f>
        <v>0</v>
      </c>
      <c r="W235" s="17">
        <f>INT(Table1[[#This Row],[Reporting date]])-INT(Table1[[#This Row],[Loss date]])</f>
        <v>235</v>
      </c>
      <c r="X235" s="17">
        <f>INT((YEAR(Table1[[#This Row],[Loss date]])*12+MONTH(Table1[[#This Row],[Loss date]])-Earliest_Month)/4)</f>
        <v>24</v>
      </c>
      <c r="Y235" s="17">
        <f>INT((YEAR(Table1[[#This Row],[Reporting date]])*12+MONTH(Table1[[#This Row],[Reporting date]])-Earliest_Month)/4)</f>
        <v>26</v>
      </c>
      <c r="Z235" s="17">
        <f>Table1[[#This Row],[Reporting third]]-Table1[[#This Row],[Policy third]]</f>
        <v>2</v>
      </c>
      <c r="AA235" s="71">
        <f>IF(Table1[[#This Row],[Overall amount]]=0,"N/A",Table1[[#This Row],[Outstanding]]/Table1[[#This Row],[Overall amount]])</f>
        <v>1</v>
      </c>
      <c r="AB235" s="17">
        <f>IF(MONTH(Table1[[#This Row],[Loss date]])&lt;Pol_Inc_Month_Shifted,YEAR(Table1[[#This Row],[Loss date]])-1,YEAR(Table1[[#This Row],[Loss date]]))</f>
        <v>2012</v>
      </c>
      <c r="AC235" s="17">
        <f>IF(MONTH(Table1[[#This Row],[Reporting date]])&lt;Pol_Inc_Month_Shifted,YEAR(Table1[[#This Row],[Reporting date]])-1,YEAR(Table1[[#This Row],[Reporting date]]))</f>
        <v>2013</v>
      </c>
      <c r="AD235" s="17">
        <f>Table1[[#This Row],[Reporting year (shifted)]]-Table1[[#This Row],[Policy Year (shifted)]]</f>
        <v>1</v>
      </c>
    </row>
    <row r="236" spans="1:30" ht="13.9">
      <c r="A236" s="8" t="s">
        <v>2006</v>
      </c>
      <c r="B236" s="8" t="s">
        <v>288</v>
      </c>
      <c r="C236" s="8" t="s">
        <v>123</v>
      </c>
      <c r="D236" s="9">
        <v>40986</v>
      </c>
      <c r="E236" s="9">
        <v>41715</v>
      </c>
      <c r="F236" s="17">
        <f>IF(MONTH(Table1[[#This Row],[Loss date]])&lt;Policy_Inception_Month,YEAR(Table1[[#This Row],[Loss date]])-1,YEAR(Table1[[#This Row],[Loss date]]))</f>
        <v>2011</v>
      </c>
      <c r="G236" s="10" t="s">
        <v>125</v>
      </c>
      <c r="H236" s="10" t="s">
        <v>2</v>
      </c>
      <c r="I236" s="11">
        <v>0</v>
      </c>
      <c r="J236" s="11">
        <v>10183.666604433041</v>
      </c>
      <c r="K236" s="11">
        <v>10183.666604433041</v>
      </c>
      <c r="L236" s="12">
        <v>0</v>
      </c>
      <c r="M236" s="12">
        <v>0</v>
      </c>
      <c r="N236" s="12">
        <v>10183.666604433041</v>
      </c>
      <c r="O236" s="70">
        <f>IF(Table1[[#This Row],[Overall amount]]=0,0,1)</f>
        <v>1</v>
      </c>
      <c r="P236" s="70">
        <f>Table1[[#This Row],[Overall amount]]*Exchange_Rate</f>
        <v>10183.666604433041</v>
      </c>
      <c r="Q236" s="70">
        <f>Table1[[#This Row],[Overall (destination currency)]]*(1+Claims_Inflation)^((Revalue_at_date-Table1[[#This Row],[Loss date]])/365.25)</f>
        <v>12102.000000000002</v>
      </c>
      <c r="R236" s="70">
        <f>INT(Table1[[#This Row],[Reporting date]])-INT(Table1[[#This Row],[Loss date]])</f>
        <v>729</v>
      </c>
      <c r="S236" s="69" t="s">
        <v>16</v>
      </c>
      <c r="T236" s="70">
        <f>VLOOKUP(Table1[[#This Row],[Policy Year]],exposure_table,3,FALSE)</f>
        <v>870.52680000000009</v>
      </c>
      <c r="U236" s="17">
        <f>IF(MONTH(Table1[[#This Row],[Reporting date]])&lt;Policy_Inception_Month,YEAR(Table1[[#This Row],[Reporting date]])-1,YEAR(Table1[[#This Row],[Reporting date]]))</f>
        <v>2013</v>
      </c>
      <c r="V236" s="17">
        <f>Table1[[#This Row],[Reporting year]]-Table1[[#This Row],[Policy Year]]</f>
        <v>2</v>
      </c>
      <c r="W236" s="17">
        <f>INT(Table1[[#This Row],[Reporting date]])-INT(Table1[[#This Row],[Loss date]])</f>
        <v>729</v>
      </c>
      <c r="X236" s="17">
        <f>INT((YEAR(Table1[[#This Row],[Loss date]])*12+MONTH(Table1[[#This Row],[Loss date]])-Earliest_Month)/4)</f>
        <v>20</v>
      </c>
      <c r="Y236" s="17">
        <f>INT((YEAR(Table1[[#This Row],[Reporting date]])*12+MONTH(Table1[[#This Row],[Reporting date]])-Earliest_Month)/4)</f>
        <v>26</v>
      </c>
      <c r="Z236" s="17">
        <f>Table1[[#This Row],[Reporting third]]-Table1[[#This Row],[Policy third]]</f>
        <v>6</v>
      </c>
      <c r="AA236" s="71">
        <f>IF(Table1[[#This Row],[Overall amount]]=0,"N/A",Table1[[#This Row],[Outstanding]]/Table1[[#This Row],[Overall amount]])</f>
        <v>1</v>
      </c>
      <c r="AB236" s="17">
        <f>IF(MONTH(Table1[[#This Row],[Loss date]])&lt;Pol_Inc_Month_Shifted,YEAR(Table1[[#This Row],[Loss date]])-1,YEAR(Table1[[#This Row],[Loss date]]))</f>
        <v>2011</v>
      </c>
      <c r="AC236" s="17">
        <f>IF(MONTH(Table1[[#This Row],[Reporting date]])&lt;Pol_Inc_Month_Shifted,YEAR(Table1[[#This Row],[Reporting date]])-1,YEAR(Table1[[#This Row],[Reporting date]]))</f>
        <v>2013</v>
      </c>
      <c r="AD236" s="17">
        <f>Table1[[#This Row],[Reporting year (shifted)]]-Table1[[#This Row],[Policy Year (shifted)]]</f>
        <v>2</v>
      </c>
    </row>
    <row r="237" spans="1:30" ht="13.9">
      <c r="A237" s="8" t="s">
        <v>2007</v>
      </c>
      <c r="B237" s="8" t="s">
        <v>289</v>
      </c>
      <c r="C237" s="8" t="s">
        <v>123</v>
      </c>
      <c r="D237" s="9">
        <v>40487</v>
      </c>
      <c r="E237" s="9">
        <v>41700</v>
      </c>
      <c r="F237" s="17">
        <f>IF(MONTH(Table1[[#This Row],[Loss date]])&lt;Policy_Inception_Month,YEAR(Table1[[#This Row],[Loss date]])-1,YEAR(Table1[[#This Row],[Loss date]]))</f>
        <v>2010</v>
      </c>
      <c r="G237" s="10" t="s">
        <v>125</v>
      </c>
      <c r="H237" s="10" t="s">
        <v>2</v>
      </c>
      <c r="I237" s="11">
        <v>0</v>
      </c>
      <c r="J237" s="11">
        <v>0</v>
      </c>
      <c r="K237" s="11">
        <v>0</v>
      </c>
      <c r="L237" s="12">
        <v>0</v>
      </c>
      <c r="M237" s="12">
        <v>0</v>
      </c>
      <c r="N237" s="12">
        <v>0</v>
      </c>
      <c r="O237" s="70">
        <f>IF(Table1[[#This Row],[Overall amount]]=0,0,1)</f>
        <v>0</v>
      </c>
      <c r="P237" s="70">
        <f>Table1[[#This Row],[Overall amount]]*Exchange_Rate</f>
        <v>0</v>
      </c>
      <c r="Q237" s="70">
        <f>Table1[[#This Row],[Overall (destination currency)]]*(1+Claims_Inflation)^((Revalue_at_date-Table1[[#This Row],[Loss date]])/365.25)</f>
        <v>0</v>
      </c>
      <c r="R237" s="70">
        <f>INT(Table1[[#This Row],[Reporting date]])-INT(Table1[[#This Row],[Loss date]])</f>
        <v>1213</v>
      </c>
      <c r="S237" s="69" t="s">
        <v>9</v>
      </c>
      <c r="T237" s="70">
        <f>VLOOKUP(Table1[[#This Row],[Policy Year]],exposure_table,3,FALSE)</f>
        <v>837.11513600000012</v>
      </c>
      <c r="U237" s="17">
        <f>IF(MONTH(Table1[[#This Row],[Reporting date]])&lt;Policy_Inception_Month,YEAR(Table1[[#This Row],[Reporting date]])-1,YEAR(Table1[[#This Row],[Reporting date]]))</f>
        <v>2013</v>
      </c>
      <c r="V237" s="17">
        <f>Table1[[#This Row],[Reporting year]]-Table1[[#This Row],[Policy Year]]</f>
        <v>3</v>
      </c>
      <c r="W237" s="17">
        <f>INT(Table1[[#This Row],[Reporting date]])-INT(Table1[[#This Row],[Loss date]])</f>
        <v>1213</v>
      </c>
      <c r="X237" s="17">
        <f>INT((YEAR(Table1[[#This Row],[Loss date]])*12+MONTH(Table1[[#This Row],[Loss date]])-Earliest_Month)/4)</f>
        <v>16</v>
      </c>
      <c r="Y237" s="17">
        <f>INT((YEAR(Table1[[#This Row],[Reporting date]])*12+MONTH(Table1[[#This Row],[Reporting date]])-Earliest_Month)/4)</f>
        <v>26</v>
      </c>
      <c r="Z237" s="17">
        <f>Table1[[#This Row],[Reporting third]]-Table1[[#This Row],[Policy third]]</f>
        <v>10</v>
      </c>
      <c r="AA237" s="71" t="str">
        <f>IF(Table1[[#This Row],[Overall amount]]=0,"N/A",Table1[[#This Row],[Outstanding]]/Table1[[#This Row],[Overall amount]])</f>
        <v>N/A</v>
      </c>
      <c r="AB237" s="17">
        <f>IF(MONTH(Table1[[#This Row],[Loss date]])&lt;Pol_Inc_Month_Shifted,YEAR(Table1[[#This Row],[Loss date]])-1,YEAR(Table1[[#This Row],[Loss date]]))</f>
        <v>2009</v>
      </c>
      <c r="AC237" s="17">
        <f>IF(MONTH(Table1[[#This Row],[Reporting date]])&lt;Pol_Inc_Month_Shifted,YEAR(Table1[[#This Row],[Reporting date]])-1,YEAR(Table1[[#This Row],[Reporting date]]))</f>
        <v>2013</v>
      </c>
      <c r="AD237" s="17">
        <f>Table1[[#This Row],[Reporting year (shifted)]]-Table1[[#This Row],[Policy Year (shifted)]]</f>
        <v>4</v>
      </c>
    </row>
    <row r="238" spans="1:30" ht="13.9">
      <c r="A238" s="8" t="s">
        <v>2008</v>
      </c>
      <c r="B238" s="8" t="s">
        <v>290</v>
      </c>
      <c r="C238" s="8" t="s">
        <v>123</v>
      </c>
      <c r="D238" s="9">
        <v>41605</v>
      </c>
      <c r="E238" s="9">
        <v>41721</v>
      </c>
      <c r="F238" s="17">
        <f>IF(MONTH(Table1[[#This Row],[Loss date]])&lt;Policy_Inception_Month,YEAR(Table1[[#This Row],[Loss date]])-1,YEAR(Table1[[#This Row],[Loss date]]))</f>
        <v>2013</v>
      </c>
      <c r="G238" s="10" t="s">
        <v>125</v>
      </c>
      <c r="H238" s="10" t="s">
        <v>2</v>
      </c>
      <c r="I238" s="11">
        <v>0</v>
      </c>
      <c r="J238" s="11">
        <v>13255.162557117605</v>
      </c>
      <c r="K238" s="11">
        <v>13255.162557117605</v>
      </c>
      <c r="L238" s="12">
        <v>0</v>
      </c>
      <c r="M238" s="12">
        <v>0</v>
      </c>
      <c r="N238" s="12">
        <v>13255.162557117605</v>
      </c>
      <c r="O238" s="70">
        <f>IF(Table1[[#This Row],[Overall amount]]=0,0,1)</f>
        <v>1</v>
      </c>
      <c r="P238" s="70">
        <f>Table1[[#This Row],[Overall amount]]*Exchange_Rate</f>
        <v>13255.162557117605</v>
      </c>
      <c r="Q238" s="70">
        <f>Table1[[#This Row],[Overall (destination currency)]]*(1+Claims_Inflation)^((Revalue_at_date-Table1[[#This Row],[Loss date]])/365.25)</f>
        <v>14502</v>
      </c>
      <c r="R238" s="70">
        <f>INT(Table1[[#This Row],[Reporting date]])-INT(Table1[[#This Row],[Loss date]])</f>
        <v>116</v>
      </c>
      <c r="S238" s="69" t="s">
        <v>16</v>
      </c>
      <c r="T238" s="70">
        <f>VLOOKUP(Table1[[#This Row],[Policy Year]],exposure_table,3,FALSE)</f>
        <v>1090.5865384615383</v>
      </c>
      <c r="U238" s="17">
        <f>IF(MONTH(Table1[[#This Row],[Reporting date]])&lt;Policy_Inception_Month,YEAR(Table1[[#This Row],[Reporting date]])-1,YEAR(Table1[[#This Row],[Reporting date]]))</f>
        <v>2013</v>
      </c>
      <c r="V238" s="17">
        <f>Table1[[#This Row],[Reporting year]]-Table1[[#This Row],[Policy Year]]</f>
        <v>0</v>
      </c>
      <c r="W238" s="17">
        <f>INT(Table1[[#This Row],[Reporting date]])-INT(Table1[[#This Row],[Loss date]])</f>
        <v>116</v>
      </c>
      <c r="X238" s="17">
        <f>INT((YEAR(Table1[[#This Row],[Loss date]])*12+MONTH(Table1[[#This Row],[Loss date]])-Earliest_Month)/4)</f>
        <v>25</v>
      </c>
      <c r="Y238" s="17">
        <f>INT((YEAR(Table1[[#This Row],[Reporting date]])*12+MONTH(Table1[[#This Row],[Reporting date]])-Earliest_Month)/4)</f>
        <v>26</v>
      </c>
      <c r="Z238" s="17">
        <f>Table1[[#This Row],[Reporting third]]-Table1[[#This Row],[Policy third]]</f>
        <v>1</v>
      </c>
      <c r="AA238" s="71">
        <f>IF(Table1[[#This Row],[Overall amount]]=0,"N/A",Table1[[#This Row],[Outstanding]]/Table1[[#This Row],[Overall amount]])</f>
        <v>1</v>
      </c>
      <c r="AB238" s="17">
        <f>IF(MONTH(Table1[[#This Row],[Loss date]])&lt;Pol_Inc_Month_Shifted,YEAR(Table1[[#This Row],[Loss date]])-1,YEAR(Table1[[#This Row],[Loss date]]))</f>
        <v>2012</v>
      </c>
      <c r="AC238" s="17">
        <f>IF(MONTH(Table1[[#This Row],[Reporting date]])&lt;Pol_Inc_Month_Shifted,YEAR(Table1[[#This Row],[Reporting date]])-1,YEAR(Table1[[#This Row],[Reporting date]]))</f>
        <v>2013</v>
      </c>
      <c r="AD238" s="17">
        <f>Table1[[#This Row],[Reporting year (shifted)]]-Table1[[#This Row],[Policy Year (shifted)]]</f>
        <v>1</v>
      </c>
    </row>
    <row r="239" spans="1:30" ht="13.9">
      <c r="A239" s="8" t="s">
        <v>2009</v>
      </c>
      <c r="B239" s="8" t="s">
        <v>291</v>
      </c>
      <c r="C239" s="8" t="s">
        <v>123</v>
      </c>
      <c r="D239" s="9">
        <v>41154</v>
      </c>
      <c r="E239" s="9">
        <v>41707</v>
      </c>
      <c r="F239" s="17">
        <f>IF(MONTH(Table1[[#This Row],[Loss date]])&lt;Policy_Inception_Month,YEAR(Table1[[#This Row],[Loss date]])-1,YEAR(Table1[[#This Row],[Loss date]]))</f>
        <v>2012</v>
      </c>
      <c r="G239" s="10" t="s">
        <v>125</v>
      </c>
      <c r="H239" s="10" t="s">
        <v>2</v>
      </c>
      <c r="I239" s="11">
        <v>0</v>
      </c>
      <c r="J239" s="11">
        <v>13218.569150426769</v>
      </c>
      <c r="K239" s="11">
        <v>13218.569150426769</v>
      </c>
      <c r="L239" s="12">
        <v>0</v>
      </c>
      <c r="M239" s="12">
        <v>0</v>
      </c>
      <c r="N239" s="12">
        <v>13218.569150426769</v>
      </c>
      <c r="O239" s="70">
        <f>IF(Table1[[#This Row],[Overall amount]]=0,0,1)</f>
        <v>1</v>
      </c>
      <c r="P239" s="70">
        <f>Table1[[#This Row],[Overall amount]]*Exchange_Rate</f>
        <v>13218.569150426769</v>
      </c>
      <c r="Q239" s="70">
        <f>Table1[[#This Row],[Overall (destination currency)]]*(1+Claims_Inflation)^((Revalue_at_date-Table1[[#This Row],[Loss date]])/365.25)</f>
        <v>15360</v>
      </c>
      <c r="R239" s="70">
        <f>INT(Table1[[#This Row],[Reporting date]])-INT(Table1[[#This Row],[Loss date]])</f>
        <v>553</v>
      </c>
      <c r="S239" s="69" t="s">
        <v>16</v>
      </c>
      <c r="T239" s="70">
        <f>VLOOKUP(Table1[[#This Row],[Policy Year]],exposure_table,3,FALSE)</f>
        <v>1057.54</v>
      </c>
      <c r="U239" s="17">
        <f>IF(MONTH(Table1[[#This Row],[Reporting date]])&lt;Policy_Inception_Month,YEAR(Table1[[#This Row],[Reporting date]])-1,YEAR(Table1[[#This Row],[Reporting date]]))</f>
        <v>2013</v>
      </c>
      <c r="V239" s="17">
        <f>Table1[[#This Row],[Reporting year]]-Table1[[#This Row],[Policy Year]]</f>
        <v>1</v>
      </c>
      <c r="W239" s="17">
        <f>INT(Table1[[#This Row],[Reporting date]])-INT(Table1[[#This Row],[Loss date]])</f>
        <v>553</v>
      </c>
      <c r="X239" s="17">
        <f>INT((YEAR(Table1[[#This Row],[Loss date]])*12+MONTH(Table1[[#This Row],[Loss date]])-Earliest_Month)/4)</f>
        <v>22</v>
      </c>
      <c r="Y239" s="17">
        <f>INT((YEAR(Table1[[#This Row],[Reporting date]])*12+MONTH(Table1[[#This Row],[Reporting date]])-Earliest_Month)/4)</f>
        <v>26</v>
      </c>
      <c r="Z239" s="17">
        <f>Table1[[#This Row],[Reporting third]]-Table1[[#This Row],[Policy third]]</f>
        <v>4</v>
      </c>
      <c r="AA239" s="71">
        <f>IF(Table1[[#This Row],[Overall amount]]=0,"N/A",Table1[[#This Row],[Outstanding]]/Table1[[#This Row],[Overall amount]])</f>
        <v>1</v>
      </c>
      <c r="AB239" s="17">
        <f>IF(MONTH(Table1[[#This Row],[Loss date]])&lt;Pol_Inc_Month_Shifted,YEAR(Table1[[#This Row],[Loss date]])-1,YEAR(Table1[[#This Row],[Loss date]]))</f>
        <v>2011</v>
      </c>
      <c r="AC239" s="17">
        <f>IF(MONTH(Table1[[#This Row],[Reporting date]])&lt;Pol_Inc_Month_Shifted,YEAR(Table1[[#This Row],[Reporting date]])-1,YEAR(Table1[[#This Row],[Reporting date]]))</f>
        <v>2013</v>
      </c>
      <c r="AD239" s="17">
        <f>Table1[[#This Row],[Reporting year (shifted)]]-Table1[[#This Row],[Policy Year (shifted)]]</f>
        <v>2</v>
      </c>
    </row>
    <row r="240" spans="1:30" ht="13.9">
      <c r="A240" s="8" t="s">
        <v>2010</v>
      </c>
      <c r="B240" s="8" t="s">
        <v>292</v>
      </c>
      <c r="C240" s="8" t="s">
        <v>123</v>
      </c>
      <c r="D240" s="9">
        <v>41603</v>
      </c>
      <c r="E240" s="9">
        <v>41708</v>
      </c>
      <c r="F240" s="17">
        <f>IF(MONTH(Table1[[#This Row],[Loss date]])&lt;Policy_Inception_Month,YEAR(Table1[[#This Row],[Loss date]])-1,YEAR(Table1[[#This Row],[Loss date]]))</f>
        <v>2013</v>
      </c>
      <c r="G240" s="10" t="s">
        <v>125</v>
      </c>
      <c r="H240" s="10" t="s">
        <v>2</v>
      </c>
      <c r="I240" s="11">
        <v>0</v>
      </c>
      <c r="J240" s="11">
        <v>0</v>
      </c>
      <c r="K240" s="11">
        <v>0</v>
      </c>
      <c r="L240" s="12">
        <v>0</v>
      </c>
      <c r="M240" s="12">
        <v>0</v>
      </c>
      <c r="N240" s="12">
        <v>0</v>
      </c>
      <c r="O240" s="70">
        <f>IF(Table1[[#This Row],[Overall amount]]=0,0,1)</f>
        <v>0</v>
      </c>
      <c r="P240" s="70">
        <f>Table1[[#This Row],[Overall amount]]*Exchange_Rate</f>
        <v>0</v>
      </c>
      <c r="Q240" s="70">
        <f>Table1[[#This Row],[Overall (destination currency)]]*(1+Claims_Inflation)^((Revalue_at_date-Table1[[#This Row],[Loss date]])/365.25)</f>
        <v>0</v>
      </c>
      <c r="R240" s="70">
        <f>INT(Table1[[#This Row],[Reporting date]])-INT(Table1[[#This Row],[Loss date]])</f>
        <v>105</v>
      </c>
      <c r="S240" s="69" t="s">
        <v>9</v>
      </c>
      <c r="T240" s="70">
        <f>VLOOKUP(Table1[[#This Row],[Policy Year]],exposure_table,3,FALSE)</f>
        <v>1090.5865384615383</v>
      </c>
      <c r="U240" s="17">
        <f>IF(MONTH(Table1[[#This Row],[Reporting date]])&lt;Policy_Inception_Month,YEAR(Table1[[#This Row],[Reporting date]])-1,YEAR(Table1[[#This Row],[Reporting date]]))</f>
        <v>2013</v>
      </c>
      <c r="V240" s="17">
        <f>Table1[[#This Row],[Reporting year]]-Table1[[#This Row],[Policy Year]]</f>
        <v>0</v>
      </c>
      <c r="W240" s="17">
        <f>INT(Table1[[#This Row],[Reporting date]])-INT(Table1[[#This Row],[Loss date]])</f>
        <v>105</v>
      </c>
      <c r="X240" s="17">
        <f>INT((YEAR(Table1[[#This Row],[Loss date]])*12+MONTH(Table1[[#This Row],[Loss date]])-Earliest_Month)/4)</f>
        <v>25</v>
      </c>
      <c r="Y240" s="17">
        <f>INT((YEAR(Table1[[#This Row],[Reporting date]])*12+MONTH(Table1[[#This Row],[Reporting date]])-Earliest_Month)/4)</f>
        <v>26</v>
      </c>
      <c r="Z240" s="17">
        <f>Table1[[#This Row],[Reporting third]]-Table1[[#This Row],[Policy third]]</f>
        <v>1</v>
      </c>
      <c r="AA240" s="71" t="str">
        <f>IF(Table1[[#This Row],[Overall amount]]=0,"N/A",Table1[[#This Row],[Outstanding]]/Table1[[#This Row],[Overall amount]])</f>
        <v>N/A</v>
      </c>
      <c r="AB240" s="17">
        <f>IF(MONTH(Table1[[#This Row],[Loss date]])&lt;Pol_Inc_Month_Shifted,YEAR(Table1[[#This Row],[Loss date]])-1,YEAR(Table1[[#This Row],[Loss date]]))</f>
        <v>2012</v>
      </c>
      <c r="AC240" s="17">
        <f>IF(MONTH(Table1[[#This Row],[Reporting date]])&lt;Pol_Inc_Month_Shifted,YEAR(Table1[[#This Row],[Reporting date]])-1,YEAR(Table1[[#This Row],[Reporting date]]))</f>
        <v>2013</v>
      </c>
      <c r="AD240" s="17">
        <f>Table1[[#This Row],[Reporting year (shifted)]]-Table1[[#This Row],[Policy Year (shifted)]]</f>
        <v>1</v>
      </c>
    </row>
    <row r="241" spans="1:30" ht="13.9">
      <c r="A241" s="8" t="s">
        <v>2011</v>
      </c>
      <c r="B241" s="8" t="s">
        <v>293</v>
      </c>
      <c r="C241" s="8" t="s">
        <v>123</v>
      </c>
      <c r="D241" s="9">
        <v>41561</v>
      </c>
      <c r="E241" s="9">
        <v>41714</v>
      </c>
      <c r="F241" s="17">
        <f>IF(MONTH(Table1[[#This Row],[Loss date]])&lt;Policy_Inception_Month,YEAR(Table1[[#This Row],[Loss date]])-1,YEAR(Table1[[#This Row],[Loss date]]))</f>
        <v>2013</v>
      </c>
      <c r="G241" s="10" t="s">
        <v>125</v>
      </c>
      <c r="H241" s="10" t="s">
        <v>2</v>
      </c>
      <c r="I241" s="11">
        <v>5670.0797709938379</v>
      </c>
      <c r="J241" s="11">
        <v>6593.6485336922569</v>
      </c>
      <c r="K241" s="11">
        <v>12263.728304686094</v>
      </c>
      <c r="L241" s="12">
        <v>0</v>
      </c>
      <c r="M241" s="12">
        <v>0</v>
      </c>
      <c r="N241" s="12">
        <v>12263.728304686094</v>
      </c>
      <c r="O241" s="70">
        <f>IF(Table1[[#This Row],[Overall amount]]=0,0,1)</f>
        <v>1</v>
      </c>
      <c r="P241" s="70">
        <f>Table1[[#This Row],[Overall amount]]*Exchange_Rate</f>
        <v>12263.728304686094</v>
      </c>
      <c r="Q241" s="70">
        <f>Table1[[#This Row],[Overall (destination currency)]]*(1+Claims_Inflation)^((Revalue_at_date-Table1[[#This Row],[Loss date]])/365.25)</f>
        <v>13496.4</v>
      </c>
      <c r="R241" s="70">
        <f>INT(Table1[[#This Row],[Reporting date]])-INT(Table1[[#This Row],[Loss date]])</f>
        <v>153</v>
      </c>
      <c r="S241" s="69" t="s">
        <v>16</v>
      </c>
      <c r="T241" s="70">
        <f>VLOOKUP(Table1[[#This Row],[Policy Year]],exposure_table,3,FALSE)</f>
        <v>1090.5865384615383</v>
      </c>
      <c r="U241" s="17">
        <f>IF(MONTH(Table1[[#This Row],[Reporting date]])&lt;Policy_Inception_Month,YEAR(Table1[[#This Row],[Reporting date]])-1,YEAR(Table1[[#This Row],[Reporting date]]))</f>
        <v>2013</v>
      </c>
      <c r="V241" s="17">
        <f>Table1[[#This Row],[Reporting year]]-Table1[[#This Row],[Policy Year]]</f>
        <v>0</v>
      </c>
      <c r="W241" s="17">
        <f>INT(Table1[[#This Row],[Reporting date]])-INT(Table1[[#This Row],[Loss date]])</f>
        <v>153</v>
      </c>
      <c r="X241" s="17">
        <f>INT((YEAR(Table1[[#This Row],[Loss date]])*12+MONTH(Table1[[#This Row],[Loss date]])-Earliest_Month)/4)</f>
        <v>25</v>
      </c>
      <c r="Y241" s="17">
        <f>INT((YEAR(Table1[[#This Row],[Reporting date]])*12+MONTH(Table1[[#This Row],[Reporting date]])-Earliest_Month)/4)</f>
        <v>26</v>
      </c>
      <c r="Z241" s="17">
        <f>Table1[[#This Row],[Reporting third]]-Table1[[#This Row],[Policy third]]</f>
        <v>1</v>
      </c>
      <c r="AA241" s="71">
        <f>IF(Table1[[#This Row],[Overall amount]]=0,"N/A",Table1[[#This Row],[Outstanding]]/Table1[[#This Row],[Overall amount]])</f>
        <v>0.53765448564061535</v>
      </c>
      <c r="AB241" s="17">
        <f>IF(MONTH(Table1[[#This Row],[Loss date]])&lt;Pol_Inc_Month_Shifted,YEAR(Table1[[#This Row],[Loss date]])-1,YEAR(Table1[[#This Row],[Loss date]]))</f>
        <v>2012</v>
      </c>
      <c r="AC241" s="17">
        <f>IF(MONTH(Table1[[#This Row],[Reporting date]])&lt;Pol_Inc_Month_Shifted,YEAR(Table1[[#This Row],[Reporting date]])-1,YEAR(Table1[[#This Row],[Reporting date]]))</f>
        <v>2013</v>
      </c>
      <c r="AD241" s="17">
        <f>Table1[[#This Row],[Reporting year (shifted)]]-Table1[[#This Row],[Policy Year (shifted)]]</f>
        <v>1</v>
      </c>
    </row>
    <row r="242" spans="1:30" ht="13.9">
      <c r="A242" s="8" t="s">
        <v>2012</v>
      </c>
      <c r="B242" s="8" t="s">
        <v>294</v>
      </c>
      <c r="C242" s="8" t="s">
        <v>123</v>
      </c>
      <c r="D242" s="9">
        <v>41580</v>
      </c>
      <c r="E242" s="9">
        <v>41657</v>
      </c>
      <c r="F242" s="17">
        <f>IF(MONTH(Table1[[#This Row],[Loss date]])&lt;Policy_Inception_Month,YEAR(Table1[[#This Row],[Loss date]])-1,YEAR(Table1[[#This Row],[Loss date]]))</f>
        <v>2013</v>
      </c>
      <c r="G242" s="10" t="s">
        <v>125</v>
      </c>
      <c r="H242" s="10" t="s">
        <v>2</v>
      </c>
      <c r="I242" s="11">
        <v>1424.8389923692248</v>
      </c>
      <c r="J242" s="11">
        <v>16612.481380572473</v>
      </c>
      <c r="K242" s="11">
        <v>18037.320372941696</v>
      </c>
      <c r="L242" s="12">
        <v>327.95127950803084</v>
      </c>
      <c r="M242" s="12">
        <v>0</v>
      </c>
      <c r="N242" s="12">
        <v>18365.271652449726</v>
      </c>
      <c r="O242" s="70">
        <f>IF(Table1[[#This Row],[Overall amount]]=0,0,1)</f>
        <v>1</v>
      </c>
      <c r="P242" s="70">
        <f>Table1[[#This Row],[Overall amount]]*Exchange_Rate</f>
        <v>18365.271652449726</v>
      </c>
      <c r="Q242" s="70">
        <f>Table1[[#This Row],[Overall (destination currency)]]*(1+Claims_Inflation)^((Revalue_at_date-Table1[[#This Row],[Loss date]])/365.25)</f>
        <v>20160</v>
      </c>
      <c r="R242" s="70">
        <f>INT(Table1[[#This Row],[Reporting date]])-INT(Table1[[#This Row],[Loss date]])</f>
        <v>77</v>
      </c>
      <c r="S242" s="69" t="s">
        <v>16</v>
      </c>
      <c r="T242" s="70">
        <f>VLOOKUP(Table1[[#This Row],[Policy Year]],exposure_table,3,FALSE)</f>
        <v>1090.5865384615383</v>
      </c>
      <c r="U242" s="17">
        <f>IF(MONTH(Table1[[#This Row],[Reporting date]])&lt;Policy_Inception_Month,YEAR(Table1[[#This Row],[Reporting date]])-1,YEAR(Table1[[#This Row],[Reporting date]]))</f>
        <v>2013</v>
      </c>
      <c r="V242" s="17">
        <f>Table1[[#This Row],[Reporting year]]-Table1[[#This Row],[Policy Year]]</f>
        <v>0</v>
      </c>
      <c r="W242" s="17">
        <f>INT(Table1[[#This Row],[Reporting date]])-INT(Table1[[#This Row],[Loss date]])</f>
        <v>77</v>
      </c>
      <c r="X242" s="17">
        <f>INT((YEAR(Table1[[#This Row],[Loss date]])*12+MONTH(Table1[[#This Row],[Loss date]])-Earliest_Month)/4)</f>
        <v>25</v>
      </c>
      <c r="Y242" s="17">
        <f>INT((YEAR(Table1[[#This Row],[Reporting date]])*12+MONTH(Table1[[#This Row],[Reporting date]])-Earliest_Month)/4)</f>
        <v>26</v>
      </c>
      <c r="Z242" s="17">
        <f>Table1[[#This Row],[Reporting third]]-Table1[[#This Row],[Policy third]]</f>
        <v>1</v>
      </c>
      <c r="AA242" s="71">
        <f>IF(Table1[[#This Row],[Overall amount]]=0,"N/A",Table1[[#This Row],[Outstanding]]/Table1[[#This Row],[Overall amount]])</f>
        <v>0.90455952380952398</v>
      </c>
      <c r="AB242" s="17">
        <f>IF(MONTH(Table1[[#This Row],[Loss date]])&lt;Pol_Inc_Month_Shifted,YEAR(Table1[[#This Row],[Loss date]])-1,YEAR(Table1[[#This Row],[Loss date]]))</f>
        <v>2012</v>
      </c>
      <c r="AC242" s="17">
        <f>IF(MONTH(Table1[[#This Row],[Reporting date]])&lt;Pol_Inc_Month_Shifted,YEAR(Table1[[#This Row],[Reporting date]])-1,YEAR(Table1[[#This Row],[Reporting date]]))</f>
        <v>2013</v>
      </c>
      <c r="AD242" s="17">
        <f>Table1[[#This Row],[Reporting year (shifted)]]-Table1[[#This Row],[Policy Year (shifted)]]</f>
        <v>1</v>
      </c>
    </row>
    <row r="243" spans="1:30" ht="13.9">
      <c r="A243" s="8" t="s">
        <v>2013</v>
      </c>
      <c r="B243" s="8" t="s">
        <v>295</v>
      </c>
      <c r="C243" s="8" t="s">
        <v>123</v>
      </c>
      <c r="D243" s="9">
        <v>41465</v>
      </c>
      <c r="E243" s="9">
        <v>41700</v>
      </c>
      <c r="F243" s="17">
        <f>IF(MONTH(Table1[[#This Row],[Loss date]])&lt;Policy_Inception_Month,YEAR(Table1[[#This Row],[Loss date]])-1,YEAR(Table1[[#This Row],[Loss date]]))</f>
        <v>2013</v>
      </c>
      <c r="G243" s="10" t="s">
        <v>131</v>
      </c>
      <c r="H243" s="10" t="s">
        <v>2</v>
      </c>
      <c r="I243" s="11">
        <v>0</v>
      </c>
      <c r="J243" s="11">
        <v>10765.062706408007</v>
      </c>
      <c r="K243" s="11">
        <v>10765.062706408007</v>
      </c>
      <c r="L243" s="12">
        <v>0</v>
      </c>
      <c r="M243" s="12">
        <v>0</v>
      </c>
      <c r="N243" s="12">
        <v>10765.062706408007</v>
      </c>
      <c r="O243" s="70">
        <f>IF(Table1[[#This Row],[Overall amount]]=0,0,1)</f>
        <v>1</v>
      </c>
      <c r="P243" s="70">
        <f>Table1[[#This Row],[Overall amount]]*Exchange_Rate</f>
        <v>10765.062706408007</v>
      </c>
      <c r="Q243" s="70">
        <f>Table1[[#This Row],[Overall (destination currency)]]*(1+Claims_Inflation)^((Revalue_at_date-Table1[[#This Row],[Loss date]])/365.25)</f>
        <v>12000</v>
      </c>
      <c r="R243" s="70">
        <f>INT(Table1[[#This Row],[Reporting date]])-INT(Table1[[#This Row],[Loss date]])</f>
        <v>235</v>
      </c>
      <c r="S243" s="69" t="s">
        <v>16</v>
      </c>
      <c r="T243" s="70">
        <f>VLOOKUP(Table1[[#This Row],[Policy Year]],exposure_table,3,FALSE)</f>
        <v>1090.5865384615383</v>
      </c>
      <c r="U243" s="17">
        <f>IF(MONTH(Table1[[#This Row],[Reporting date]])&lt;Policy_Inception_Month,YEAR(Table1[[#This Row],[Reporting date]])-1,YEAR(Table1[[#This Row],[Reporting date]]))</f>
        <v>2013</v>
      </c>
      <c r="V243" s="17">
        <f>Table1[[#This Row],[Reporting year]]-Table1[[#This Row],[Policy Year]]</f>
        <v>0</v>
      </c>
      <c r="W243" s="17">
        <f>INT(Table1[[#This Row],[Reporting date]])-INT(Table1[[#This Row],[Loss date]])</f>
        <v>235</v>
      </c>
      <c r="X243" s="17">
        <f>INT((YEAR(Table1[[#This Row],[Loss date]])*12+MONTH(Table1[[#This Row],[Loss date]])-Earliest_Month)/4)</f>
        <v>24</v>
      </c>
      <c r="Y243" s="17">
        <f>INT((YEAR(Table1[[#This Row],[Reporting date]])*12+MONTH(Table1[[#This Row],[Reporting date]])-Earliest_Month)/4)</f>
        <v>26</v>
      </c>
      <c r="Z243" s="17">
        <f>Table1[[#This Row],[Reporting third]]-Table1[[#This Row],[Policy third]]</f>
        <v>2</v>
      </c>
      <c r="AA243" s="71">
        <f>IF(Table1[[#This Row],[Overall amount]]=0,"N/A",Table1[[#This Row],[Outstanding]]/Table1[[#This Row],[Overall amount]])</f>
        <v>1</v>
      </c>
      <c r="AB243" s="17">
        <f>IF(MONTH(Table1[[#This Row],[Loss date]])&lt;Pol_Inc_Month_Shifted,YEAR(Table1[[#This Row],[Loss date]])-1,YEAR(Table1[[#This Row],[Loss date]]))</f>
        <v>2012</v>
      </c>
      <c r="AC243" s="17">
        <f>IF(MONTH(Table1[[#This Row],[Reporting date]])&lt;Pol_Inc_Month_Shifted,YEAR(Table1[[#This Row],[Reporting date]])-1,YEAR(Table1[[#This Row],[Reporting date]]))</f>
        <v>2013</v>
      </c>
      <c r="AD243" s="17">
        <f>Table1[[#This Row],[Reporting year (shifted)]]-Table1[[#This Row],[Policy Year (shifted)]]</f>
        <v>1</v>
      </c>
    </row>
    <row r="244" spans="1:30" ht="13.9">
      <c r="A244" s="8" t="s">
        <v>2014</v>
      </c>
      <c r="B244" s="8" t="s">
        <v>296</v>
      </c>
      <c r="C244" s="8" t="s">
        <v>123</v>
      </c>
      <c r="D244" s="9">
        <v>41206</v>
      </c>
      <c r="E244" s="9">
        <v>41707</v>
      </c>
      <c r="F244" s="17">
        <f>IF(MONTH(Table1[[#This Row],[Loss date]])&lt;Policy_Inception_Month,YEAR(Table1[[#This Row],[Loss date]])-1,YEAR(Table1[[#This Row],[Loss date]]))</f>
        <v>2012</v>
      </c>
      <c r="G244" s="10" t="s">
        <v>125</v>
      </c>
      <c r="H244" s="10" t="s">
        <v>2</v>
      </c>
      <c r="I244" s="11">
        <v>0</v>
      </c>
      <c r="J244" s="11">
        <v>0</v>
      </c>
      <c r="K244" s="11">
        <v>0</v>
      </c>
      <c r="L244" s="12">
        <v>0</v>
      </c>
      <c r="M244" s="12">
        <v>0</v>
      </c>
      <c r="N244" s="12">
        <v>0</v>
      </c>
      <c r="O244" s="70">
        <f>IF(Table1[[#This Row],[Overall amount]]=0,0,1)</f>
        <v>0</v>
      </c>
      <c r="P244" s="70">
        <f>Table1[[#This Row],[Overall amount]]*Exchange_Rate</f>
        <v>0</v>
      </c>
      <c r="Q244" s="70">
        <f>Table1[[#This Row],[Overall (destination currency)]]*(1+Claims_Inflation)^((Revalue_at_date-Table1[[#This Row],[Loss date]])/365.25)</f>
        <v>0</v>
      </c>
      <c r="R244" s="70">
        <f>INT(Table1[[#This Row],[Reporting date]])-INT(Table1[[#This Row],[Loss date]])</f>
        <v>501</v>
      </c>
      <c r="S244" s="69" t="s">
        <v>9</v>
      </c>
      <c r="T244" s="70">
        <f>VLOOKUP(Table1[[#This Row],[Policy Year]],exposure_table,3,FALSE)</f>
        <v>1057.54</v>
      </c>
      <c r="U244" s="17">
        <f>IF(MONTH(Table1[[#This Row],[Reporting date]])&lt;Policy_Inception_Month,YEAR(Table1[[#This Row],[Reporting date]])-1,YEAR(Table1[[#This Row],[Reporting date]]))</f>
        <v>2013</v>
      </c>
      <c r="V244" s="17">
        <f>Table1[[#This Row],[Reporting year]]-Table1[[#This Row],[Policy Year]]</f>
        <v>1</v>
      </c>
      <c r="W244" s="17">
        <f>INT(Table1[[#This Row],[Reporting date]])-INT(Table1[[#This Row],[Loss date]])</f>
        <v>501</v>
      </c>
      <c r="X244" s="17">
        <f>INT((YEAR(Table1[[#This Row],[Loss date]])*12+MONTH(Table1[[#This Row],[Loss date]])-Earliest_Month)/4)</f>
        <v>22</v>
      </c>
      <c r="Y244" s="17">
        <f>INT((YEAR(Table1[[#This Row],[Reporting date]])*12+MONTH(Table1[[#This Row],[Reporting date]])-Earliest_Month)/4)</f>
        <v>26</v>
      </c>
      <c r="Z244" s="17">
        <f>Table1[[#This Row],[Reporting third]]-Table1[[#This Row],[Policy third]]</f>
        <v>4</v>
      </c>
      <c r="AA244" s="71" t="str">
        <f>IF(Table1[[#This Row],[Overall amount]]=0,"N/A",Table1[[#This Row],[Outstanding]]/Table1[[#This Row],[Overall amount]])</f>
        <v>N/A</v>
      </c>
      <c r="AB244" s="17">
        <f>IF(MONTH(Table1[[#This Row],[Loss date]])&lt;Pol_Inc_Month_Shifted,YEAR(Table1[[#This Row],[Loss date]])-1,YEAR(Table1[[#This Row],[Loss date]]))</f>
        <v>2011</v>
      </c>
      <c r="AC244" s="17">
        <f>IF(MONTH(Table1[[#This Row],[Reporting date]])&lt;Pol_Inc_Month_Shifted,YEAR(Table1[[#This Row],[Reporting date]])-1,YEAR(Table1[[#This Row],[Reporting date]]))</f>
        <v>2013</v>
      </c>
      <c r="AD244" s="17">
        <f>Table1[[#This Row],[Reporting year (shifted)]]-Table1[[#This Row],[Policy Year (shifted)]]</f>
        <v>2</v>
      </c>
    </row>
    <row r="245" spans="1:30" ht="13.9">
      <c r="A245" s="8" t="s">
        <v>2015</v>
      </c>
      <c r="B245" s="8" t="s">
        <v>297</v>
      </c>
      <c r="C245" s="8" t="s">
        <v>123</v>
      </c>
      <c r="D245" s="9">
        <v>41571</v>
      </c>
      <c r="E245" s="9">
        <v>41698</v>
      </c>
      <c r="F245" s="17">
        <f>IF(MONTH(Table1[[#This Row],[Loss date]])&lt;Policy_Inception_Month,YEAR(Table1[[#This Row],[Loss date]])-1,YEAR(Table1[[#This Row],[Loss date]]))</f>
        <v>2013</v>
      </c>
      <c r="G245" s="10" t="s">
        <v>125</v>
      </c>
      <c r="H245" s="10" t="s">
        <v>2</v>
      </c>
      <c r="I245" s="11">
        <v>0</v>
      </c>
      <c r="J245" s="11">
        <v>11464.503619343026</v>
      </c>
      <c r="K245" s="11">
        <v>11464.503619343026</v>
      </c>
      <c r="L245" s="12">
        <v>0</v>
      </c>
      <c r="M245" s="12">
        <v>0</v>
      </c>
      <c r="N245" s="12">
        <v>11464.503619343026</v>
      </c>
      <c r="O245" s="70">
        <f>IF(Table1[[#This Row],[Overall amount]]=0,0,1)</f>
        <v>1</v>
      </c>
      <c r="P245" s="70">
        <f>Table1[[#This Row],[Overall amount]]*Exchange_Rate</f>
        <v>11464.503619343026</v>
      </c>
      <c r="Q245" s="70">
        <f>Table1[[#This Row],[Overall (destination currency)]]*(1+Claims_Inflation)^((Revalue_at_date-Table1[[#This Row],[Loss date]])/365.25)</f>
        <v>12600</v>
      </c>
      <c r="R245" s="70">
        <f>INT(Table1[[#This Row],[Reporting date]])-INT(Table1[[#This Row],[Loss date]])</f>
        <v>127</v>
      </c>
      <c r="S245" s="69" t="s">
        <v>16</v>
      </c>
      <c r="T245" s="70">
        <f>VLOOKUP(Table1[[#This Row],[Policy Year]],exposure_table,3,FALSE)</f>
        <v>1090.5865384615383</v>
      </c>
      <c r="U245" s="17">
        <f>IF(MONTH(Table1[[#This Row],[Reporting date]])&lt;Policy_Inception_Month,YEAR(Table1[[#This Row],[Reporting date]])-1,YEAR(Table1[[#This Row],[Reporting date]]))</f>
        <v>2013</v>
      </c>
      <c r="V245" s="17">
        <f>Table1[[#This Row],[Reporting year]]-Table1[[#This Row],[Policy Year]]</f>
        <v>0</v>
      </c>
      <c r="W245" s="17">
        <f>INT(Table1[[#This Row],[Reporting date]])-INT(Table1[[#This Row],[Loss date]])</f>
        <v>127</v>
      </c>
      <c r="X245" s="17">
        <f>INT((YEAR(Table1[[#This Row],[Loss date]])*12+MONTH(Table1[[#This Row],[Loss date]])-Earliest_Month)/4)</f>
        <v>25</v>
      </c>
      <c r="Y245" s="17">
        <f>INT((YEAR(Table1[[#This Row],[Reporting date]])*12+MONTH(Table1[[#This Row],[Reporting date]])-Earliest_Month)/4)</f>
        <v>26</v>
      </c>
      <c r="Z245" s="17">
        <f>Table1[[#This Row],[Reporting third]]-Table1[[#This Row],[Policy third]]</f>
        <v>1</v>
      </c>
      <c r="AA245" s="71">
        <f>IF(Table1[[#This Row],[Overall amount]]=0,"N/A",Table1[[#This Row],[Outstanding]]/Table1[[#This Row],[Overall amount]])</f>
        <v>1</v>
      </c>
      <c r="AB245" s="17">
        <f>IF(MONTH(Table1[[#This Row],[Loss date]])&lt;Pol_Inc_Month_Shifted,YEAR(Table1[[#This Row],[Loss date]])-1,YEAR(Table1[[#This Row],[Loss date]]))</f>
        <v>2012</v>
      </c>
      <c r="AC245" s="17">
        <f>IF(MONTH(Table1[[#This Row],[Reporting date]])&lt;Pol_Inc_Month_Shifted,YEAR(Table1[[#This Row],[Reporting date]])-1,YEAR(Table1[[#This Row],[Reporting date]]))</f>
        <v>2013</v>
      </c>
      <c r="AD245" s="17">
        <f>Table1[[#This Row],[Reporting year (shifted)]]-Table1[[#This Row],[Policy Year (shifted)]]</f>
        <v>1</v>
      </c>
    </row>
    <row r="246" spans="1:30" ht="13.9">
      <c r="A246" s="8" t="s">
        <v>2016</v>
      </c>
      <c r="B246" s="8" t="s">
        <v>298</v>
      </c>
      <c r="C246" s="8" t="s">
        <v>123</v>
      </c>
      <c r="D246" s="9">
        <v>41497</v>
      </c>
      <c r="E246" s="9">
        <v>41534</v>
      </c>
      <c r="F246" s="17">
        <f>IF(MONTH(Table1[[#This Row],[Loss date]])&lt;Policy_Inception_Month,YEAR(Table1[[#This Row],[Loss date]])-1,YEAR(Table1[[#This Row],[Loss date]]))</f>
        <v>2013</v>
      </c>
      <c r="G246" s="10" t="s">
        <v>125</v>
      </c>
      <c r="H246" s="10" t="s">
        <v>2</v>
      </c>
      <c r="I246" s="11">
        <v>0</v>
      </c>
      <c r="J246" s="11">
        <v>10903.072173449338</v>
      </c>
      <c r="K246" s="11">
        <v>10903.072173449338</v>
      </c>
      <c r="L246" s="12">
        <v>0</v>
      </c>
      <c r="M246" s="12">
        <v>0</v>
      </c>
      <c r="N246" s="12">
        <v>10903.072173449338</v>
      </c>
      <c r="O246" s="70">
        <f>IF(Table1[[#This Row],[Overall amount]]=0,0,1)</f>
        <v>1</v>
      </c>
      <c r="P246" s="70">
        <f>Table1[[#This Row],[Overall amount]]*Exchange_Rate</f>
        <v>10903.072173449338</v>
      </c>
      <c r="Q246" s="70">
        <f>Table1[[#This Row],[Overall (destination currency)]]*(1+Claims_Inflation)^((Revalue_at_date-Table1[[#This Row],[Loss date]])/365.25)</f>
        <v>12102.000000000002</v>
      </c>
      <c r="R246" s="70">
        <f>INT(Table1[[#This Row],[Reporting date]])-INT(Table1[[#This Row],[Loss date]])</f>
        <v>37</v>
      </c>
      <c r="S246" s="69" t="s">
        <v>16</v>
      </c>
      <c r="T246" s="70">
        <f>VLOOKUP(Table1[[#This Row],[Policy Year]],exposure_table,3,FALSE)</f>
        <v>1090.5865384615383</v>
      </c>
      <c r="U246" s="17">
        <f>IF(MONTH(Table1[[#This Row],[Reporting date]])&lt;Policy_Inception_Month,YEAR(Table1[[#This Row],[Reporting date]])-1,YEAR(Table1[[#This Row],[Reporting date]]))</f>
        <v>2013</v>
      </c>
      <c r="V246" s="17">
        <f>Table1[[#This Row],[Reporting year]]-Table1[[#This Row],[Policy Year]]</f>
        <v>0</v>
      </c>
      <c r="W246" s="17">
        <f>INT(Table1[[#This Row],[Reporting date]])-INT(Table1[[#This Row],[Loss date]])</f>
        <v>37</v>
      </c>
      <c r="X246" s="17">
        <f>INT((YEAR(Table1[[#This Row],[Loss date]])*12+MONTH(Table1[[#This Row],[Loss date]])-Earliest_Month)/4)</f>
        <v>25</v>
      </c>
      <c r="Y246" s="17">
        <f>INT((YEAR(Table1[[#This Row],[Reporting date]])*12+MONTH(Table1[[#This Row],[Reporting date]])-Earliest_Month)/4)</f>
        <v>25</v>
      </c>
      <c r="Z246" s="17">
        <f>Table1[[#This Row],[Reporting third]]-Table1[[#This Row],[Policy third]]</f>
        <v>0</v>
      </c>
      <c r="AA246" s="71">
        <f>IF(Table1[[#This Row],[Overall amount]]=0,"N/A",Table1[[#This Row],[Outstanding]]/Table1[[#This Row],[Overall amount]])</f>
        <v>1</v>
      </c>
      <c r="AB246" s="17">
        <f>IF(MONTH(Table1[[#This Row],[Loss date]])&lt;Pol_Inc_Month_Shifted,YEAR(Table1[[#This Row],[Loss date]])-1,YEAR(Table1[[#This Row],[Loss date]]))</f>
        <v>2012</v>
      </c>
      <c r="AC246" s="17">
        <f>IF(MONTH(Table1[[#This Row],[Reporting date]])&lt;Pol_Inc_Month_Shifted,YEAR(Table1[[#This Row],[Reporting date]])-1,YEAR(Table1[[#This Row],[Reporting date]]))</f>
        <v>2012</v>
      </c>
      <c r="AD246" s="17">
        <f>Table1[[#This Row],[Reporting year (shifted)]]-Table1[[#This Row],[Policy Year (shifted)]]</f>
        <v>0</v>
      </c>
    </row>
    <row r="247" spans="1:30" ht="13.9">
      <c r="A247" s="8" t="s">
        <v>2017</v>
      </c>
      <c r="B247" s="8" t="s">
        <v>299</v>
      </c>
      <c r="C247" s="8" t="s">
        <v>123</v>
      </c>
      <c r="D247" s="9">
        <v>41552</v>
      </c>
      <c r="E247" s="9">
        <v>41714</v>
      </c>
      <c r="F247" s="17">
        <f>IF(MONTH(Table1[[#This Row],[Loss date]])&lt;Policy_Inception_Month,YEAR(Table1[[#This Row],[Loss date]])-1,YEAR(Table1[[#This Row],[Loss date]]))</f>
        <v>2013</v>
      </c>
      <c r="G247" s="10" t="s">
        <v>125</v>
      </c>
      <c r="H247" s="10" t="s">
        <v>2</v>
      </c>
      <c r="I247" s="11">
        <v>0</v>
      </c>
      <c r="J247" s="11">
        <v>10890.898411488697</v>
      </c>
      <c r="K247" s="11">
        <v>10890.898411488697</v>
      </c>
      <c r="L247" s="12">
        <v>326.7269523446609</v>
      </c>
      <c r="M247" s="12">
        <v>0</v>
      </c>
      <c r="N247" s="12">
        <v>11217.625363833358</v>
      </c>
      <c r="O247" s="70">
        <f>IF(Table1[[#This Row],[Overall amount]]=0,0,1)</f>
        <v>1</v>
      </c>
      <c r="P247" s="70">
        <f>Table1[[#This Row],[Overall amount]]*Exchange_Rate</f>
        <v>11217.625363833358</v>
      </c>
      <c r="Q247" s="70">
        <f>Table1[[#This Row],[Overall (destination currency)]]*(1+Claims_Inflation)^((Revalue_at_date-Table1[[#This Row],[Loss date]])/365.25)</f>
        <v>12360</v>
      </c>
      <c r="R247" s="70">
        <f>INT(Table1[[#This Row],[Reporting date]])-INT(Table1[[#This Row],[Loss date]])</f>
        <v>162</v>
      </c>
      <c r="S247" s="69" t="s">
        <v>16</v>
      </c>
      <c r="T247" s="70">
        <f>VLOOKUP(Table1[[#This Row],[Policy Year]],exposure_table,3,FALSE)</f>
        <v>1090.5865384615383</v>
      </c>
      <c r="U247" s="17">
        <f>IF(MONTH(Table1[[#This Row],[Reporting date]])&lt;Policy_Inception_Month,YEAR(Table1[[#This Row],[Reporting date]])-1,YEAR(Table1[[#This Row],[Reporting date]]))</f>
        <v>2013</v>
      </c>
      <c r="V247" s="17">
        <f>Table1[[#This Row],[Reporting year]]-Table1[[#This Row],[Policy Year]]</f>
        <v>0</v>
      </c>
      <c r="W247" s="17">
        <f>INT(Table1[[#This Row],[Reporting date]])-INT(Table1[[#This Row],[Loss date]])</f>
        <v>162</v>
      </c>
      <c r="X247" s="17">
        <f>INT((YEAR(Table1[[#This Row],[Loss date]])*12+MONTH(Table1[[#This Row],[Loss date]])-Earliest_Month)/4)</f>
        <v>25</v>
      </c>
      <c r="Y247" s="17">
        <f>INT((YEAR(Table1[[#This Row],[Reporting date]])*12+MONTH(Table1[[#This Row],[Reporting date]])-Earliest_Month)/4)</f>
        <v>26</v>
      </c>
      <c r="Z247" s="17">
        <f>Table1[[#This Row],[Reporting third]]-Table1[[#This Row],[Policy third]]</f>
        <v>1</v>
      </c>
      <c r="AA247" s="71">
        <f>IF(Table1[[#This Row],[Overall amount]]=0,"N/A",Table1[[#This Row],[Outstanding]]/Table1[[#This Row],[Overall amount]])</f>
        <v>0.970873786407767</v>
      </c>
      <c r="AB247" s="17">
        <f>IF(MONTH(Table1[[#This Row],[Loss date]])&lt;Pol_Inc_Month_Shifted,YEAR(Table1[[#This Row],[Loss date]])-1,YEAR(Table1[[#This Row],[Loss date]]))</f>
        <v>2012</v>
      </c>
      <c r="AC247" s="17">
        <f>IF(MONTH(Table1[[#This Row],[Reporting date]])&lt;Pol_Inc_Month_Shifted,YEAR(Table1[[#This Row],[Reporting date]])-1,YEAR(Table1[[#This Row],[Reporting date]]))</f>
        <v>2013</v>
      </c>
      <c r="AD247" s="17">
        <f>Table1[[#This Row],[Reporting year (shifted)]]-Table1[[#This Row],[Policy Year (shifted)]]</f>
        <v>1</v>
      </c>
    </row>
    <row r="248" spans="1:30" ht="13.9">
      <c r="A248" s="8" t="s">
        <v>2018</v>
      </c>
      <c r="B248" s="8" t="s">
        <v>300</v>
      </c>
      <c r="C248" s="8" t="s">
        <v>123</v>
      </c>
      <c r="D248" s="9">
        <v>41125</v>
      </c>
      <c r="E248" s="9">
        <v>41728</v>
      </c>
      <c r="F248" s="17">
        <f>IF(MONTH(Table1[[#This Row],[Loss date]])&lt;Policy_Inception_Month,YEAR(Table1[[#This Row],[Loss date]])-1,YEAR(Table1[[#This Row],[Loss date]]))</f>
        <v>2012</v>
      </c>
      <c r="G248" s="10" t="s">
        <v>125</v>
      </c>
      <c r="H248" s="10" t="s">
        <v>2</v>
      </c>
      <c r="I248" s="11">
        <v>0</v>
      </c>
      <c r="J248" s="11">
        <v>10117.34269956402</v>
      </c>
      <c r="K248" s="11">
        <v>10117.34269956402</v>
      </c>
      <c r="L248" s="12">
        <v>0</v>
      </c>
      <c r="M248" s="12">
        <v>0</v>
      </c>
      <c r="N248" s="12">
        <v>10117.34269956402</v>
      </c>
      <c r="O248" s="70">
        <f>IF(Table1[[#This Row],[Overall amount]]=0,0,1)</f>
        <v>1</v>
      </c>
      <c r="P248" s="70">
        <f>Table1[[#This Row],[Overall amount]]*Exchange_Rate</f>
        <v>10117.34269956402</v>
      </c>
      <c r="Q248" s="70">
        <f>Table1[[#This Row],[Overall (destination currency)]]*(1+Claims_Inflation)^((Revalue_at_date-Table1[[#This Row],[Loss date]])/365.25)</f>
        <v>11802</v>
      </c>
      <c r="R248" s="70">
        <f>INT(Table1[[#This Row],[Reporting date]])-INT(Table1[[#This Row],[Loss date]])</f>
        <v>603</v>
      </c>
      <c r="S248" s="69" t="s">
        <v>16</v>
      </c>
      <c r="T248" s="70">
        <f>VLOOKUP(Table1[[#This Row],[Policy Year]],exposure_table,3,FALSE)</f>
        <v>1057.54</v>
      </c>
      <c r="U248" s="17">
        <f>IF(MONTH(Table1[[#This Row],[Reporting date]])&lt;Policy_Inception_Month,YEAR(Table1[[#This Row],[Reporting date]])-1,YEAR(Table1[[#This Row],[Reporting date]]))</f>
        <v>2013</v>
      </c>
      <c r="V248" s="17">
        <f>Table1[[#This Row],[Reporting year]]-Table1[[#This Row],[Policy Year]]</f>
        <v>1</v>
      </c>
      <c r="W248" s="17">
        <f>INT(Table1[[#This Row],[Reporting date]])-INT(Table1[[#This Row],[Loss date]])</f>
        <v>603</v>
      </c>
      <c r="X248" s="17">
        <f>INT((YEAR(Table1[[#This Row],[Loss date]])*12+MONTH(Table1[[#This Row],[Loss date]])-Earliest_Month)/4)</f>
        <v>22</v>
      </c>
      <c r="Y248" s="17">
        <f>INT((YEAR(Table1[[#This Row],[Reporting date]])*12+MONTH(Table1[[#This Row],[Reporting date]])-Earliest_Month)/4)</f>
        <v>26</v>
      </c>
      <c r="Z248" s="17">
        <f>Table1[[#This Row],[Reporting third]]-Table1[[#This Row],[Policy third]]</f>
        <v>4</v>
      </c>
      <c r="AA248" s="71">
        <f>IF(Table1[[#This Row],[Overall amount]]=0,"N/A",Table1[[#This Row],[Outstanding]]/Table1[[#This Row],[Overall amount]])</f>
        <v>1</v>
      </c>
      <c r="AB248" s="17">
        <f>IF(MONTH(Table1[[#This Row],[Loss date]])&lt;Pol_Inc_Month_Shifted,YEAR(Table1[[#This Row],[Loss date]])-1,YEAR(Table1[[#This Row],[Loss date]]))</f>
        <v>2011</v>
      </c>
      <c r="AC248" s="17">
        <f>IF(MONTH(Table1[[#This Row],[Reporting date]])&lt;Pol_Inc_Month_Shifted,YEAR(Table1[[#This Row],[Reporting date]])-1,YEAR(Table1[[#This Row],[Reporting date]]))</f>
        <v>2013</v>
      </c>
      <c r="AD248" s="17">
        <f>Table1[[#This Row],[Reporting year (shifted)]]-Table1[[#This Row],[Policy Year (shifted)]]</f>
        <v>2</v>
      </c>
    </row>
    <row r="249" spans="1:30" ht="13.9">
      <c r="A249" s="8" t="s">
        <v>2019</v>
      </c>
      <c r="B249" s="8" t="s">
        <v>301</v>
      </c>
      <c r="C249" s="8" t="s">
        <v>123</v>
      </c>
      <c r="D249" s="9">
        <v>41674</v>
      </c>
      <c r="E249" s="9">
        <v>41712</v>
      </c>
      <c r="F249" s="17">
        <f>IF(MONTH(Table1[[#This Row],[Loss date]])&lt;Policy_Inception_Month,YEAR(Table1[[#This Row],[Loss date]])-1,YEAR(Table1[[#This Row],[Loss date]]))</f>
        <v>2013</v>
      </c>
      <c r="G249" s="10" t="s">
        <v>125</v>
      </c>
      <c r="H249" s="10" t="s">
        <v>2</v>
      </c>
      <c r="I249" s="11">
        <v>0</v>
      </c>
      <c r="J249" s="11">
        <v>0</v>
      </c>
      <c r="K249" s="11">
        <v>0</v>
      </c>
      <c r="L249" s="12">
        <v>0</v>
      </c>
      <c r="M249" s="12">
        <v>0</v>
      </c>
      <c r="N249" s="12">
        <v>0</v>
      </c>
      <c r="O249" s="70">
        <f>IF(Table1[[#This Row],[Overall amount]]=0,0,1)</f>
        <v>0</v>
      </c>
      <c r="P249" s="70">
        <f>Table1[[#This Row],[Overall amount]]*Exchange_Rate</f>
        <v>0</v>
      </c>
      <c r="Q249" s="70">
        <f>Table1[[#This Row],[Overall (destination currency)]]*(1+Claims_Inflation)^((Revalue_at_date-Table1[[#This Row],[Loss date]])/365.25)</f>
        <v>0</v>
      </c>
      <c r="R249" s="70">
        <f>INT(Table1[[#This Row],[Reporting date]])-INT(Table1[[#This Row],[Loss date]])</f>
        <v>38</v>
      </c>
      <c r="S249" s="69" t="s">
        <v>9</v>
      </c>
      <c r="T249" s="70">
        <f>VLOOKUP(Table1[[#This Row],[Policy Year]],exposure_table,3,FALSE)</f>
        <v>1090.5865384615383</v>
      </c>
      <c r="U249" s="17">
        <f>IF(MONTH(Table1[[#This Row],[Reporting date]])&lt;Policy_Inception_Month,YEAR(Table1[[#This Row],[Reporting date]])-1,YEAR(Table1[[#This Row],[Reporting date]]))</f>
        <v>2013</v>
      </c>
      <c r="V249" s="17">
        <f>Table1[[#This Row],[Reporting year]]-Table1[[#This Row],[Policy Year]]</f>
        <v>0</v>
      </c>
      <c r="W249" s="17">
        <f>INT(Table1[[#This Row],[Reporting date]])-INT(Table1[[#This Row],[Loss date]])</f>
        <v>38</v>
      </c>
      <c r="X249" s="17">
        <f>INT((YEAR(Table1[[#This Row],[Loss date]])*12+MONTH(Table1[[#This Row],[Loss date]])-Earliest_Month)/4)</f>
        <v>26</v>
      </c>
      <c r="Y249" s="17">
        <f>INT((YEAR(Table1[[#This Row],[Reporting date]])*12+MONTH(Table1[[#This Row],[Reporting date]])-Earliest_Month)/4)</f>
        <v>26</v>
      </c>
      <c r="Z249" s="17">
        <f>Table1[[#This Row],[Reporting third]]-Table1[[#This Row],[Policy third]]</f>
        <v>0</v>
      </c>
      <c r="AA249" s="71" t="str">
        <f>IF(Table1[[#This Row],[Overall amount]]=0,"N/A",Table1[[#This Row],[Outstanding]]/Table1[[#This Row],[Overall amount]])</f>
        <v>N/A</v>
      </c>
      <c r="AB249" s="17">
        <f>IF(MONTH(Table1[[#This Row],[Loss date]])&lt;Pol_Inc_Month_Shifted,YEAR(Table1[[#This Row],[Loss date]])-1,YEAR(Table1[[#This Row],[Loss date]]))</f>
        <v>2013</v>
      </c>
      <c r="AC249" s="17">
        <f>IF(MONTH(Table1[[#This Row],[Reporting date]])&lt;Pol_Inc_Month_Shifted,YEAR(Table1[[#This Row],[Reporting date]])-1,YEAR(Table1[[#This Row],[Reporting date]]))</f>
        <v>2013</v>
      </c>
      <c r="AD249" s="17">
        <f>Table1[[#This Row],[Reporting year (shifted)]]-Table1[[#This Row],[Policy Year (shifted)]]</f>
        <v>0</v>
      </c>
    </row>
    <row r="250" spans="1:30" ht="13.9">
      <c r="A250" s="8" t="s">
        <v>2020</v>
      </c>
      <c r="B250" s="8" t="s">
        <v>302</v>
      </c>
      <c r="C250" s="8" t="s">
        <v>123</v>
      </c>
      <c r="D250" s="9">
        <v>41569</v>
      </c>
      <c r="E250" s="9">
        <v>41744</v>
      </c>
      <c r="F250" s="17">
        <f>IF(MONTH(Table1[[#This Row],[Loss date]])&lt;Policy_Inception_Month,YEAR(Table1[[#This Row],[Loss date]])-1,YEAR(Table1[[#This Row],[Loss date]]))</f>
        <v>2013</v>
      </c>
      <c r="G250" s="10" t="s">
        <v>125</v>
      </c>
      <c r="H250" s="10" t="s">
        <v>2</v>
      </c>
      <c r="I250" s="11">
        <v>0</v>
      </c>
      <c r="J250" s="11">
        <v>18338.305867704043</v>
      </c>
      <c r="K250" s="11">
        <v>18338.305867704043</v>
      </c>
      <c r="L250" s="12">
        <v>0</v>
      </c>
      <c r="M250" s="12">
        <v>0</v>
      </c>
      <c r="N250" s="12">
        <v>18338.305867704043</v>
      </c>
      <c r="O250" s="70">
        <f>IF(Table1[[#This Row],[Overall amount]]=0,0,1)</f>
        <v>1</v>
      </c>
      <c r="P250" s="70">
        <f>Table1[[#This Row],[Overall amount]]*Exchange_Rate</f>
        <v>18338.305867704043</v>
      </c>
      <c r="Q250" s="70">
        <f>Table1[[#This Row],[Overall (destination currency)]]*(1+Claims_Inflation)^((Revalue_at_date-Table1[[#This Row],[Loss date]])/365.25)</f>
        <v>20160</v>
      </c>
      <c r="R250" s="70">
        <f>INT(Table1[[#This Row],[Reporting date]])-INT(Table1[[#This Row],[Loss date]])</f>
        <v>175</v>
      </c>
      <c r="S250" s="69" t="s">
        <v>16</v>
      </c>
      <c r="T250" s="70">
        <f>VLOOKUP(Table1[[#This Row],[Policy Year]],exposure_table,3,FALSE)</f>
        <v>1090.5865384615383</v>
      </c>
      <c r="U250" s="17">
        <f>IF(MONTH(Table1[[#This Row],[Reporting date]])&lt;Policy_Inception_Month,YEAR(Table1[[#This Row],[Reporting date]])-1,YEAR(Table1[[#This Row],[Reporting date]]))</f>
        <v>2014</v>
      </c>
      <c r="V250" s="17">
        <f>Table1[[#This Row],[Reporting year]]-Table1[[#This Row],[Policy Year]]</f>
        <v>1</v>
      </c>
      <c r="W250" s="17">
        <f>INT(Table1[[#This Row],[Reporting date]])-INT(Table1[[#This Row],[Loss date]])</f>
        <v>175</v>
      </c>
      <c r="X250" s="17">
        <f>INT((YEAR(Table1[[#This Row],[Loss date]])*12+MONTH(Table1[[#This Row],[Loss date]])-Earliest_Month)/4)</f>
        <v>25</v>
      </c>
      <c r="Y250" s="17">
        <f>INT((YEAR(Table1[[#This Row],[Reporting date]])*12+MONTH(Table1[[#This Row],[Reporting date]])-Earliest_Month)/4)</f>
        <v>27</v>
      </c>
      <c r="Z250" s="17">
        <f>Table1[[#This Row],[Reporting third]]-Table1[[#This Row],[Policy third]]</f>
        <v>2</v>
      </c>
      <c r="AA250" s="71">
        <f>IF(Table1[[#This Row],[Overall amount]]=0,"N/A",Table1[[#This Row],[Outstanding]]/Table1[[#This Row],[Overall amount]])</f>
        <v>1</v>
      </c>
      <c r="AB250" s="17">
        <f>IF(MONTH(Table1[[#This Row],[Loss date]])&lt;Pol_Inc_Month_Shifted,YEAR(Table1[[#This Row],[Loss date]])-1,YEAR(Table1[[#This Row],[Loss date]]))</f>
        <v>2012</v>
      </c>
      <c r="AC250" s="17">
        <f>IF(MONTH(Table1[[#This Row],[Reporting date]])&lt;Pol_Inc_Month_Shifted,YEAR(Table1[[#This Row],[Reporting date]])-1,YEAR(Table1[[#This Row],[Reporting date]]))</f>
        <v>2013</v>
      </c>
      <c r="AD250" s="17">
        <f>Table1[[#This Row],[Reporting year (shifted)]]-Table1[[#This Row],[Policy Year (shifted)]]</f>
        <v>1</v>
      </c>
    </row>
    <row r="251" spans="1:30" ht="13.9">
      <c r="A251" s="8" t="s">
        <v>2021</v>
      </c>
      <c r="B251" s="8" t="s">
        <v>303</v>
      </c>
      <c r="C251" s="8" t="s">
        <v>123</v>
      </c>
      <c r="D251" s="9">
        <v>41265</v>
      </c>
      <c r="E251" s="9">
        <v>41701</v>
      </c>
      <c r="F251" s="17">
        <f>IF(MONTH(Table1[[#This Row],[Loss date]])&lt;Policy_Inception_Month,YEAR(Table1[[#This Row],[Loss date]])-1,YEAR(Table1[[#This Row],[Loss date]]))</f>
        <v>2012</v>
      </c>
      <c r="G251" s="10" t="s">
        <v>125</v>
      </c>
      <c r="H251" s="10" t="s">
        <v>2</v>
      </c>
      <c r="I251" s="11">
        <v>0</v>
      </c>
      <c r="J251" s="11">
        <v>17608.53471274706</v>
      </c>
      <c r="K251" s="11">
        <v>17608.53471274706</v>
      </c>
      <c r="L251" s="12">
        <v>0</v>
      </c>
      <c r="M251" s="12">
        <v>0</v>
      </c>
      <c r="N251" s="12">
        <v>17608.53471274706</v>
      </c>
      <c r="O251" s="70">
        <f>IF(Table1[[#This Row],[Overall amount]]=0,0,1)</f>
        <v>1</v>
      </c>
      <c r="P251" s="70">
        <f>Table1[[#This Row],[Overall amount]]*Exchange_Rate</f>
        <v>17608.53471274706</v>
      </c>
      <c r="Q251" s="70">
        <f>Table1[[#This Row],[Overall (destination currency)]]*(1+Claims_Inflation)^((Revalue_at_date-Table1[[#This Row],[Loss date]])/365.25)</f>
        <v>20160.000000000004</v>
      </c>
      <c r="R251" s="70">
        <f>INT(Table1[[#This Row],[Reporting date]])-INT(Table1[[#This Row],[Loss date]])</f>
        <v>436</v>
      </c>
      <c r="S251" s="69" t="s">
        <v>16</v>
      </c>
      <c r="T251" s="70">
        <f>VLOOKUP(Table1[[#This Row],[Policy Year]],exposure_table,3,FALSE)</f>
        <v>1057.54</v>
      </c>
      <c r="U251" s="17">
        <f>IF(MONTH(Table1[[#This Row],[Reporting date]])&lt;Policy_Inception_Month,YEAR(Table1[[#This Row],[Reporting date]])-1,YEAR(Table1[[#This Row],[Reporting date]]))</f>
        <v>2013</v>
      </c>
      <c r="V251" s="17">
        <f>Table1[[#This Row],[Reporting year]]-Table1[[#This Row],[Policy Year]]</f>
        <v>1</v>
      </c>
      <c r="W251" s="17">
        <f>INT(Table1[[#This Row],[Reporting date]])-INT(Table1[[#This Row],[Loss date]])</f>
        <v>436</v>
      </c>
      <c r="X251" s="17">
        <f>INT((YEAR(Table1[[#This Row],[Loss date]])*12+MONTH(Table1[[#This Row],[Loss date]])-Earliest_Month)/4)</f>
        <v>23</v>
      </c>
      <c r="Y251" s="17">
        <f>INT((YEAR(Table1[[#This Row],[Reporting date]])*12+MONTH(Table1[[#This Row],[Reporting date]])-Earliest_Month)/4)</f>
        <v>26</v>
      </c>
      <c r="Z251" s="17">
        <f>Table1[[#This Row],[Reporting third]]-Table1[[#This Row],[Policy third]]</f>
        <v>3</v>
      </c>
      <c r="AA251" s="71">
        <f>IF(Table1[[#This Row],[Overall amount]]=0,"N/A",Table1[[#This Row],[Outstanding]]/Table1[[#This Row],[Overall amount]])</f>
        <v>1</v>
      </c>
      <c r="AB251" s="17">
        <f>IF(MONTH(Table1[[#This Row],[Loss date]])&lt;Pol_Inc_Month_Shifted,YEAR(Table1[[#This Row],[Loss date]])-1,YEAR(Table1[[#This Row],[Loss date]]))</f>
        <v>2012</v>
      </c>
      <c r="AC251" s="17">
        <f>IF(MONTH(Table1[[#This Row],[Reporting date]])&lt;Pol_Inc_Month_Shifted,YEAR(Table1[[#This Row],[Reporting date]])-1,YEAR(Table1[[#This Row],[Reporting date]]))</f>
        <v>2013</v>
      </c>
      <c r="AD251" s="17">
        <f>Table1[[#This Row],[Reporting year (shifted)]]-Table1[[#This Row],[Policy Year (shifted)]]</f>
        <v>1</v>
      </c>
    </row>
    <row r="252" spans="1:30" ht="13.9">
      <c r="A252" s="8" t="s">
        <v>2022</v>
      </c>
      <c r="B252" s="8" t="s">
        <v>304</v>
      </c>
      <c r="C252" s="8" t="s">
        <v>123</v>
      </c>
      <c r="D252" s="9">
        <v>41611</v>
      </c>
      <c r="E252" s="9">
        <v>41733</v>
      </c>
      <c r="F252" s="17">
        <f>IF(MONTH(Table1[[#This Row],[Loss date]])&lt;Policy_Inception_Month,YEAR(Table1[[#This Row],[Loss date]])-1,YEAR(Table1[[#This Row],[Loss date]]))</f>
        <v>2013</v>
      </c>
      <c r="G252" s="10" t="s">
        <v>126</v>
      </c>
      <c r="H252" s="10" t="s">
        <v>2</v>
      </c>
      <c r="I252" s="11">
        <v>0</v>
      </c>
      <c r="J252" s="11">
        <v>0</v>
      </c>
      <c r="K252" s="11">
        <v>0</v>
      </c>
      <c r="L252" s="12">
        <v>0</v>
      </c>
      <c r="M252" s="12">
        <v>0</v>
      </c>
      <c r="N252" s="12">
        <v>0</v>
      </c>
      <c r="O252" s="70">
        <f>IF(Table1[[#This Row],[Overall amount]]=0,0,1)</f>
        <v>0</v>
      </c>
      <c r="P252" s="70">
        <f>Table1[[#This Row],[Overall amount]]*Exchange_Rate</f>
        <v>0</v>
      </c>
      <c r="Q252" s="70">
        <f>Table1[[#This Row],[Overall (destination currency)]]*(1+Claims_Inflation)^((Revalue_at_date-Table1[[#This Row],[Loss date]])/365.25)</f>
        <v>0</v>
      </c>
      <c r="R252" s="70">
        <f>INT(Table1[[#This Row],[Reporting date]])-INT(Table1[[#This Row],[Loss date]])</f>
        <v>122</v>
      </c>
      <c r="S252" s="69" t="s">
        <v>9</v>
      </c>
      <c r="T252" s="70">
        <f>VLOOKUP(Table1[[#This Row],[Policy Year]],exposure_table,3,FALSE)</f>
        <v>1090.5865384615383</v>
      </c>
      <c r="U252" s="17">
        <f>IF(MONTH(Table1[[#This Row],[Reporting date]])&lt;Policy_Inception_Month,YEAR(Table1[[#This Row],[Reporting date]])-1,YEAR(Table1[[#This Row],[Reporting date]]))</f>
        <v>2014</v>
      </c>
      <c r="V252" s="17">
        <f>Table1[[#This Row],[Reporting year]]-Table1[[#This Row],[Policy Year]]</f>
        <v>1</v>
      </c>
      <c r="W252" s="17">
        <f>INT(Table1[[#This Row],[Reporting date]])-INT(Table1[[#This Row],[Loss date]])</f>
        <v>122</v>
      </c>
      <c r="X252" s="17">
        <f>INT((YEAR(Table1[[#This Row],[Loss date]])*12+MONTH(Table1[[#This Row],[Loss date]])-Earliest_Month)/4)</f>
        <v>26</v>
      </c>
      <c r="Y252" s="17">
        <f>INT((YEAR(Table1[[#This Row],[Reporting date]])*12+MONTH(Table1[[#This Row],[Reporting date]])-Earliest_Month)/4)</f>
        <v>27</v>
      </c>
      <c r="Z252" s="17">
        <f>Table1[[#This Row],[Reporting third]]-Table1[[#This Row],[Policy third]]</f>
        <v>1</v>
      </c>
      <c r="AA252" s="71" t="str">
        <f>IF(Table1[[#This Row],[Overall amount]]=0,"N/A",Table1[[#This Row],[Outstanding]]/Table1[[#This Row],[Overall amount]])</f>
        <v>N/A</v>
      </c>
      <c r="AB252" s="17">
        <f>IF(MONTH(Table1[[#This Row],[Loss date]])&lt;Pol_Inc_Month_Shifted,YEAR(Table1[[#This Row],[Loss date]])-1,YEAR(Table1[[#This Row],[Loss date]]))</f>
        <v>2013</v>
      </c>
      <c r="AC252" s="17">
        <f>IF(MONTH(Table1[[#This Row],[Reporting date]])&lt;Pol_Inc_Month_Shifted,YEAR(Table1[[#This Row],[Reporting date]])-1,YEAR(Table1[[#This Row],[Reporting date]]))</f>
        <v>2013</v>
      </c>
      <c r="AD252" s="17">
        <f>Table1[[#This Row],[Reporting year (shifted)]]-Table1[[#This Row],[Policy Year (shifted)]]</f>
        <v>0</v>
      </c>
    </row>
    <row r="253" spans="1:30" ht="13.9">
      <c r="A253" s="8" t="s">
        <v>2023</v>
      </c>
      <c r="B253" s="8" t="s">
        <v>305</v>
      </c>
      <c r="C253" s="8" t="s">
        <v>123</v>
      </c>
      <c r="D253" s="9">
        <v>41684</v>
      </c>
      <c r="E253" s="9">
        <v>41728</v>
      </c>
      <c r="F253" s="17">
        <f>IF(MONTH(Table1[[#This Row],[Loss date]])&lt;Policy_Inception_Month,YEAR(Table1[[#This Row],[Loss date]])-1,YEAR(Table1[[#This Row],[Loss date]]))</f>
        <v>2013</v>
      </c>
      <c r="G253" s="10" t="s">
        <v>126</v>
      </c>
      <c r="H253" s="10" t="s">
        <v>2</v>
      </c>
      <c r="I253" s="11">
        <v>0</v>
      </c>
      <c r="J253" s="11">
        <v>14504.246379138978</v>
      </c>
      <c r="K253" s="11">
        <v>14504.246379138978</v>
      </c>
      <c r="L253" s="12">
        <v>332.53908396956007</v>
      </c>
      <c r="M253" s="12">
        <v>0</v>
      </c>
      <c r="N253" s="12">
        <v>14836.785463108537</v>
      </c>
      <c r="O253" s="70">
        <f>IF(Table1[[#This Row],[Overall amount]]=0,0,1)</f>
        <v>1</v>
      </c>
      <c r="P253" s="70">
        <f>Table1[[#This Row],[Overall amount]]*Exchange_Rate</f>
        <v>14836.785463108537</v>
      </c>
      <c r="Q253" s="70">
        <f>Table1[[#This Row],[Overall (destination currency)]]*(1+Claims_Inflation)^((Revalue_at_date-Table1[[#This Row],[Loss date]])/365.25)</f>
        <v>16061.999999999998</v>
      </c>
      <c r="R253" s="70">
        <f>INT(Table1[[#This Row],[Reporting date]])-INT(Table1[[#This Row],[Loss date]])</f>
        <v>44</v>
      </c>
      <c r="S253" s="69" t="s">
        <v>16</v>
      </c>
      <c r="T253" s="70">
        <f>VLOOKUP(Table1[[#This Row],[Policy Year]],exposure_table,3,FALSE)</f>
        <v>1090.5865384615383</v>
      </c>
      <c r="U253" s="17">
        <f>IF(MONTH(Table1[[#This Row],[Reporting date]])&lt;Policy_Inception_Month,YEAR(Table1[[#This Row],[Reporting date]])-1,YEAR(Table1[[#This Row],[Reporting date]]))</f>
        <v>2013</v>
      </c>
      <c r="V253" s="17">
        <f>Table1[[#This Row],[Reporting year]]-Table1[[#This Row],[Policy Year]]</f>
        <v>0</v>
      </c>
      <c r="W253" s="17">
        <f>INT(Table1[[#This Row],[Reporting date]])-INT(Table1[[#This Row],[Loss date]])</f>
        <v>44</v>
      </c>
      <c r="X253" s="17">
        <f>INT((YEAR(Table1[[#This Row],[Loss date]])*12+MONTH(Table1[[#This Row],[Loss date]])-Earliest_Month)/4)</f>
        <v>26</v>
      </c>
      <c r="Y253" s="17">
        <f>INT((YEAR(Table1[[#This Row],[Reporting date]])*12+MONTH(Table1[[#This Row],[Reporting date]])-Earliest_Month)/4)</f>
        <v>26</v>
      </c>
      <c r="Z253" s="17">
        <f>Table1[[#This Row],[Reporting third]]-Table1[[#This Row],[Policy third]]</f>
        <v>0</v>
      </c>
      <c r="AA253" s="71">
        <f>IF(Table1[[#This Row],[Overall amount]]=0,"N/A",Table1[[#This Row],[Outstanding]]/Table1[[#This Row],[Overall amount]])</f>
        <v>0.97758685095255893</v>
      </c>
      <c r="AB253" s="17">
        <f>IF(MONTH(Table1[[#This Row],[Loss date]])&lt;Pol_Inc_Month_Shifted,YEAR(Table1[[#This Row],[Loss date]])-1,YEAR(Table1[[#This Row],[Loss date]]))</f>
        <v>2013</v>
      </c>
      <c r="AC253" s="17">
        <f>IF(MONTH(Table1[[#This Row],[Reporting date]])&lt;Pol_Inc_Month_Shifted,YEAR(Table1[[#This Row],[Reporting date]])-1,YEAR(Table1[[#This Row],[Reporting date]]))</f>
        <v>2013</v>
      </c>
      <c r="AD253" s="17">
        <f>Table1[[#This Row],[Reporting year (shifted)]]-Table1[[#This Row],[Policy Year (shifted)]]</f>
        <v>0</v>
      </c>
    </row>
    <row r="254" spans="1:30" ht="13.9">
      <c r="A254" s="8" t="s">
        <v>2024</v>
      </c>
      <c r="B254" s="8" t="s">
        <v>306</v>
      </c>
      <c r="C254" s="8" t="s">
        <v>123</v>
      </c>
      <c r="D254" s="9">
        <v>41573</v>
      </c>
      <c r="E254" s="9">
        <v>41736</v>
      </c>
      <c r="F254" s="17">
        <f>IF(MONTH(Table1[[#This Row],[Loss date]])&lt;Policy_Inception_Month,YEAR(Table1[[#This Row],[Loss date]])-1,YEAR(Table1[[#This Row],[Loss date]]))</f>
        <v>2013</v>
      </c>
      <c r="G254" s="10" t="s">
        <v>125</v>
      </c>
      <c r="H254" s="10" t="s">
        <v>2</v>
      </c>
      <c r="I254" s="11">
        <v>0</v>
      </c>
      <c r="J254" s="11">
        <v>12652.548801576277</v>
      </c>
      <c r="K254" s="11">
        <v>12652.548801576277</v>
      </c>
      <c r="L254" s="12">
        <v>0</v>
      </c>
      <c r="M254" s="12">
        <v>220.66329068748198</v>
      </c>
      <c r="N254" s="12">
        <v>12431.885510888795</v>
      </c>
      <c r="O254" s="70">
        <f>IF(Table1[[#This Row],[Overall amount]]=0,0,1)</f>
        <v>1</v>
      </c>
      <c r="P254" s="70">
        <f>Table1[[#This Row],[Overall amount]]*Exchange_Rate</f>
        <v>12431.885510888795</v>
      </c>
      <c r="Q254" s="70">
        <f>Table1[[#This Row],[Overall (destination currency)]]*(1+Claims_Inflation)^((Revalue_at_date-Table1[[#This Row],[Loss date]])/365.25)</f>
        <v>13659.546</v>
      </c>
      <c r="R254" s="70">
        <f>INT(Table1[[#This Row],[Reporting date]])-INT(Table1[[#This Row],[Loss date]])</f>
        <v>163</v>
      </c>
      <c r="S254" s="69" t="s">
        <v>16</v>
      </c>
      <c r="T254" s="70">
        <f>VLOOKUP(Table1[[#This Row],[Policy Year]],exposure_table,3,FALSE)</f>
        <v>1090.5865384615383</v>
      </c>
      <c r="U254" s="17">
        <f>IF(MONTH(Table1[[#This Row],[Reporting date]])&lt;Policy_Inception_Month,YEAR(Table1[[#This Row],[Reporting date]])-1,YEAR(Table1[[#This Row],[Reporting date]]))</f>
        <v>2014</v>
      </c>
      <c r="V254" s="17">
        <f>Table1[[#This Row],[Reporting year]]-Table1[[#This Row],[Policy Year]]</f>
        <v>1</v>
      </c>
      <c r="W254" s="17">
        <f>INT(Table1[[#This Row],[Reporting date]])-INT(Table1[[#This Row],[Loss date]])</f>
        <v>163</v>
      </c>
      <c r="X254" s="17">
        <f>INT((YEAR(Table1[[#This Row],[Loss date]])*12+MONTH(Table1[[#This Row],[Loss date]])-Earliest_Month)/4)</f>
        <v>25</v>
      </c>
      <c r="Y254" s="17">
        <f>INT((YEAR(Table1[[#This Row],[Reporting date]])*12+MONTH(Table1[[#This Row],[Reporting date]])-Earliest_Month)/4)</f>
        <v>27</v>
      </c>
      <c r="Z254" s="17">
        <f>Table1[[#This Row],[Reporting third]]-Table1[[#This Row],[Policy third]]</f>
        <v>2</v>
      </c>
      <c r="AA254" s="71">
        <f>IF(Table1[[#This Row],[Overall amount]]=0,"N/A",Table1[[#This Row],[Outstanding]]/Table1[[#This Row],[Overall amount]])</f>
        <v>1.0177497846560932</v>
      </c>
      <c r="AB254" s="17">
        <f>IF(MONTH(Table1[[#This Row],[Loss date]])&lt;Pol_Inc_Month_Shifted,YEAR(Table1[[#This Row],[Loss date]])-1,YEAR(Table1[[#This Row],[Loss date]]))</f>
        <v>2012</v>
      </c>
      <c r="AC254" s="17">
        <f>IF(MONTH(Table1[[#This Row],[Reporting date]])&lt;Pol_Inc_Month_Shifted,YEAR(Table1[[#This Row],[Reporting date]])-1,YEAR(Table1[[#This Row],[Reporting date]]))</f>
        <v>2013</v>
      </c>
      <c r="AD254" s="17">
        <f>Table1[[#This Row],[Reporting year (shifted)]]-Table1[[#This Row],[Policy Year (shifted)]]</f>
        <v>1</v>
      </c>
    </row>
    <row r="255" spans="1:30" ht="13.9">
      <c r="A255" s="8" t="s">
        <v>2025</v>
      </c>
      <c r="B255" s="8" t="s">
        <v>307</v>
      </c>
      <c r="C255" s="8" t="s">
        <v>123</v>
      </c>
      <c r="D255" s="9">
        <v>41495</v>
      </c>
      <c r="E255" s="9">
        <v>41741</v>
      </c>
      <c r="F255" s="17">
        <f>IF(MONTH(Table1[[#This Row],[Loss date]])&lt;Policy_Inception_Month,YEAR(Table1[[#This Row],[Loss date]])-1,YEAR(Table1[[#This Row],[Loss date]]))</f>
        <v>2013</v>
      </c>
      <c r="G255" s="10" t="s">
        <v>125</v>
      </c>
      <c r="H255" s="10" t="s">
        <v>2</v>
      </c>
      <c r="I255" s="11">
        <v>0</v>
      </c>
      <c r="J255" s="11">
        <v>12521.4030788938</v>
      </c>
      <c r="K255" s="11">
        <v>12521.4030788938</v>
      </c>
      <c r="L255" s="12">
        <v>0</v>
      </c>
      <c r="M255" s="12">
        <v>0</v>
      </c>
      <c r="N255" s="12">
        <v>12521.4030788938</v>
      </c>
      <c r="O255" s="70">
        <f>IF(Table1[[#This Row],[Overall amount]]=0,0,1)</f>
        <v>1</v>
      </c>
      <c r="P255" s="70">
        <f>Table1[[#This Row],[Overall amount]]*Exchange_Rate</f>
        <v>12521.4030788938</v>
      </c>
      <c r="Q255" s="70">
        <f>Table1[[#This Row],[Overall (destination currency)]]*(1+Claims_Inflation)^((Revalue_at_date-Table1[[#This Row],[Loss date]])/365.25)</f>
        <v>13902.000000000002</v>
      </c>
      <c r="R255" s="70">
        <f>INT(Table1[[#This Row],[Reporting date]])-INT(Table1[[#This Row],[Loss date]])</f>
        <v>246</v>
      </c>
      <c r="S255" s="69" t="s">
        <v>16</v>
      </c>
      <c r="T255" s="70">
        <f>VLOOKUP(Table1[[#This Row],[Policy Year]],exposure_table,3,FALSE)</f>
        <v>1090.5865384615383</v>
      </c>
      <c r="U255" s="17">
        <f>IF(MONTH(Table1[[#This Row],[Reporting date]])&lt;Policy_Inception_Month,YEAR(Table1[[#This Row],[Reporting date]])-1,YEAR(Table1[[#This Row],[Reporting date]]))</f>
        <v>2014</v>
      </c>
      <c r="V255" s="17">
        <f>Table1[[#This Row],[Reporting year]]-Table1[[#This Row],[Policy Year]]</f>
        <v>1</v>
      </c>
      <c r="W255" s="17">
        <f>INT(Table1[[#This Row],[Reporting date]])-INT(Table1[[#This Row],[Loss date]])</f>
        <v>246</v>
      </c>
      <c r="X255" s="17">
        <f>INT((YEAR(Table1[[#This Row],[Loss date]])*12+MONTH(Table1[[#This Row],[Loss date]])-Earliest_Month)/4)</f>
        <v>25</v>
      </c>
      <c r="Y255" s="17">
        <f>INT((YEAR(Table1[[#This Row],[Reporting date]])*12+MONTH(Table1[[#This Row],[Reporting date]])-Earliest_Month)/4)</f>
        <v>27</v>
      </c>
      <c r="Z255" s="17">
        <f>Table1[[#This Row],[Reporting third]]-Table1[[#This Row],[Policy third]]</f>
        <v>2</v>
      </c>
      <c r="AA255" s="71">
        <f>IF(Table1[[#This Row],[Overall amount]]=0,"N/A",Table1[[#This Row],[Outstanding]]/Table1[[#This Row],[Overall amount]])</f>
        <v>1</v>
      </c>
      <c r="AB255" s="17">
        <f>IF(MONTH(Table1[[#This Row],[Loss date]])&lt;Pol_Inc_Month_Shifted,YEAR(Table1[[#This Row],[Loss date]])-1,YEAR(Table1[[#This Row],[Loss date]]))</f>
        <v>2012</v>
      </c>
      <c r="AC255" s="17">
        <f>IF(MONTH(Table1[[#This Row],[Reporting date]])&lt;Pol_Inc_Month_Shifted,YEAR(Table1[[#This Row],[Reporting date]])-1,YEAR(Table1[[#This Row],[Reporting date]]))</f>
        <v>2013</v>
      </c>
      <c r="AD255" s="17">
        <f>Table1[[#This Row],[Reporting year (shifted)]]-Table1[[#This Row],[Policy Year (shifted)]]</f>
        <v>1</v>
      </c>
    </row>
    <row r="256" spans="1:30" ht="13.9">
      <c r="A256" s="8" t="s">
        <v>2026</v>
      </c>
      <c r="B256" s="8" t="s">
        <v>308</v>
      </c>
      <c r="C256" s="8" t="s">
        <v>123</v>
      </c>
      <c r="D256" s="9">
        <v>41724</v>
      </c>
      <c r="E256" s="9">
        <v>41747</v>
      </c>
      <c r="F256" s="17">
        <f>IF(MONTH(Table1[[#This Row],[Loss date]])&lt;Policy_Inception_Month,YEAR(Table1[[#This Row],[Loss date]])-1,YEAR(Table1[[#This Row],[Loss date]]))</f>
        <v>2013</v>
      </c>
      <c r="G256" s="10" t="s">
        <v>125</v>
      </c>
      <c r="H256" s="10" t="s">
        <v>2</v>
      </c>
      <c r="I256" s="11">
        <v>0</v>
      </c>
      <c r="J256" s="11">
        <v>12258.424374582937</v>
      </c>
      <c r="K256" s="11">
        <v>12258.424374582937</v>
      </c>
      <c r="L256" s="12">
        <v>0</v>
      </c>
      <c r="M256" s="12">
        <v>0</v>
      </c>
      <c r="N256" s="12">
        <v>12258.424374582937</v>
      </c>
      <c r="O256" s="70">
        <f>IF(Table1[[#This Row],[Overall amount]]=0,0,1)</f>
        <v>1</v>
      </c>
      <c r="P256" s="70">
        <f>Table1[[#This Row],[Overall amount]]*Exchange_Rate</f>
        <v>12258.424374582937</v>
      </c>
      <c r="Q256" s="70">
        <f>Table1[[#This Row],[Overall (destination currency)]]*(1+Claims_Inflation)^((Revalue_at_date-Table1[[#This Row],[Loss date]])/365.25)</f>
        <v>13200.000000000002</v>
      </c>
      <c r="R256" s="70">
        <f>INT(Table1[[#This Row],[Reporting date]])-INT(Table1[[#This Row],[Loss date]])</f>
        <v>23</v>
      </c>
      <c r="S256" s="69" t="s">
        <v>16</v>
      </c>
      <c r="T256" s="70">
        <f>VLOOKUP(Table1[[#This Row],[Policy Year]],exposure_table,3,FALSE)</f>
        <v>1090.5865384615383</v>
      </c>
      <c r="U256" s="17">
        <f>IF(MONTH(Table1[[#This Row],[Reporting date]])&lt;Policy_Inception_Month,YEAR(Table1[[#This Row],[Reporting date]])-1,YEAR(Table1[[#This Row],[Reporting date]]))</f>
        <v>2014</v>
      </c>
      <c r="V256" s="17">
        <f>Table1[[#This Row],[Reporting year]]-Table1[[#This Row],[Policy Year]]</f>
        <v>1</v>
      </c>
      <c r="W256" s="17">
        <f>INT(Table1[[#This Row],[Reporting date]])-INT(Table1[[#This Row],[Loss date]])</f>
        <v>23</v>
      </c>
      <c r="X256" s="17">
        <f>INT((YEAR(Table1[[#This Row],[Loss date]])*12+MONTH(Table1[[#This Row],[Loss date]])-Earliest_Month)/4)</f>
        <v>26</v>
      </c>
      <c r="Y256" s="17">
        <f>INT((YEAR(Table1[[#This Row],[Reporting date]])*12+MONTH(Table1[[#This Row],[Reporting date]])-Earliest_Month)/4)</f>
        <v>27</v>
      </c>
      <c r="Z256" s="17">
        <f>Table1[[#This Row],[Reporting third]]-Table1[[#This Row],[Policy third]]</f>
        <v>1</v>
      </c>
      <c r="AA256" s="71">
        <f>IF(Table1[[#This Row],[Overall amount]]=0,"N/A",Table1[[#This Row],[Outstanding]]/Table1[[#This Row],[Overall amount]])</f>
        <v>1</v>
      </c>
      <c r="AB256" s="17">
        <f>IF(MONTH(Table1[[#This Row],[Loss date]])&lt;Pol_Inc_Month_Shifted,YEAR(Table1[[#This Row],[Loss date]])-1,YEAR(Table1[[#This Row],[Loss date]]))</f>
        <v>2013</v>
      </c>
      <c r="AC256" s="17">
        <f>IF(MONTH(Table1[[#This Row],[Reporting date]])&lt;Pol_Inc_Month_Shifted,YEAR(Table1[[#This Row],[Reporting date]])-1,YEAR(Table1[[#This Row],[Reporting date]]))</f>
        <v>2013</v>
      </c>
      <c r="AD256" s="17">
        <f>Table1[[#This Row],[Reporting year (shifted)]]-Table1[[#This Row],[Policy Year (shifted)]]</f>
        <v>0</v>
      </c>
    </row>
    <row r="257" spans="1:30" ht="13.9">
      <c r="A257" s="8" t="s">
        <v>2027</v>
      </c>
      <c r="B257" s="8" t="s">
        <v>309</v>
      </c>
      <c r="C257" s="8" t="s">
        <v>123</v>
      </c>
      <c r="D257" s="9">
        <v>41454</v>
      </c>
      <c r="E257" s="9">
        <v>41747</v>
      </c>
      <c r="F257" s="17">
        <f>IF(MONTH(Table1[[#This Row],[Loss date]])&lt;Policy_Inception_Month,YEAR(Table1[[#This Row],[Loss date]])-1,YEAR(Table1[[#This Row],[Loss date]]))</f>
        <v>2013</v>
      </c>
      <c r="G257" s="10" t="s">
        <v>125</v>
      </c>
      <c r="H257" s="10" t="s">
        <v>2</v>
      </c>
      <c r="I257" s="11">
        <v>0</v>
      </c>
      <c r="J257" s="11">
        <v>0</v>
      </c>
      <c r="K257" s="11">
        <v>0</v>
      </c>
      <c r="L257" s="12">
        <v>0</v>
      </c>
      <c r="M257" s="12">
        <v>0</v>
      </c>
      <c r="N257" s="12">
        <v>0</v>
      </c>
      <c r="O257" s="70">
        <f>IF(Table1[[#This Row],[Overall amount]]=0,0,1)</f>
        <v>0</v>
      </c>
      <c r="P257" s="70">
        <f>Table1[[#This Row],[Overall amount]]*Exchange_Rate</f>
        <v>0</v>
      </c>
      <c r="Q257" s="70">
        <f>Table1[[#This Row],[Overall (destination currency)]]*(1+Claims_Inflation)^((Revalue_at_date-Table1[[#This Row],[Loss date]])/365.25)</f>
        <v>0</v>
      </c>
      <c r="R257" s="70">
        <f>INT(Table1[[#This Row],[Reporting date]])-INT(Table1[[#This Row],[Loss date]])</f>
        <v>293</v>
      </c>
      <c r="S257" s="69" t="s">
        <v>9</v>
      </c>
      <c r="T257" s="70">
        <f>VLOOKUP(Table1[[#This Row],[Policy Year]],exposure_table,3,FALSE)</f>
        <v>1090.5865384615383</v>
      </c>
      <c r="U257" s="17">
        <f>IF(MONTH(Table1[[#This Row],[Reporting date]])&lt;Policy_Inception_Month,YEAR(Table1[[#This Row],[Reporting date]])-1,YEAR(Table1[[#This Row],[Reporting date]]))</f>
        <v>2014</v>
      </c>
      <c r="V257" s="17">
        <f>Table1[[#This Row],[Reporting year]]-Table1[[#This Row],[Policy Year]]</f>
        <v>1</v>
      </c>
      <c r="W257" s="17">
        <f>INT(Table1[[#This Row],[Reporting date]])-INT(Table1[[#This Row],[Loss date]])</f>
        <v>293</v>
      </c>
      <c r="X257" s="17">
        <f>INT((YEAR(Table1[[#This Row],[Loss date]])*12+MONTH(Table1[[#This Row],[Loss date]])-Earliest_Month)/4)</f>
        <v>24</v>
      </c>
      <c r="Y257" s="17">
        <f>INT((YEAR(Table1[[#This Row],[Reporting date]])*12+MONTH(Table1[[#This Row],[Reporting date]])-Earliest_Month)/4)</f>
        <v>27</v>
      </c>
      <c r="Z257" s="17">
        <f>Table1[[#This Row],[Reporting third]]-Table1[[#This Row],[Policy third]]</f>
        <v>3</v>
      </c>
      <c r="AA257" s="71" t="str">
        <f>IF(Table1[[#This Row],[Overall amount]]=0,"N/A",Table1[[#This Row],[Outstanding]]/Table1[[#This Row],[Overall amount]])</f>
        <v>N/A</v>
      </c>
      <c r="AB257" s="17">
        <f>IF(MONTH(Table1[[#This Row],[Loss date]])&lt;Pol_Inc_Month_Shifted,YEAR(Table1[[#This Row],[Loss date]])-1,YEAR(Table1[[#This Row],[Loss date]]))</f>
        <v>2012</v>
      </c>
      <c r="AC257" s="17">
        <f>IF(MONTH(Table1[[#This Row],[Reporting date]])&lt;Pol_Inc_Month_Shifted,YEAR(Table1[[#This Row],[Reporting date]])-1,YEAR(Table1[[#This Row],[Reporting date]]))</f>
        <v>2013</v>
      </c>
      <c r="AD257" s="17">
        <f>Table1[[#This Row],[Reporting year (shifted)]]-Table1[[#This Row],[Policy Year (shifted)]]</f>
        <v>1</v>
      </c>
    </row>
    <row r="258" spans="1:30" ht="13.9">
      <c r="A258" s="8" t="s">
        <v>2028</v>
      </c>
      <c r="B258" s="8" t="s">
        <v>310</v>
      </c>
      <c r="C258" s="8" t="s">
        <v>123</v>
      </c>
      <c r="D258" s="9">
        <v>41734</v>
      </c>
      <c r="E258" s="9">
        <v>41749</v>
      </c>
      <c r="F258" s="17">
        <f>IF(MONTH(Table1[[#This Row],[Loss date]])&lt;Policy_Inception_Month,YEAR(Table1[[#This Row],[Loss date]])-1,YEAR(Table1[[#This Row],[Loss date]]))</f>
        <v>2014</v>
      </c>
      <c r="G258" s="10" t="s">
        <v>125</v>
      </c>
      <c r="H258" s="10" t="s">
        <v>2</v>
      </c>
      <c r="I258" s="11">
        <v>0</v>
      </c>
      <c r="J258" s="11">
        <v>10043.026480399494</v>
      </c>
      <c r="K258" s="11">
        <v>10043.026480399494</v>
      </c>
      <c r="L258" s="12">
        <v>0</v>
      </c>
      <c r="M258" s="12">
        <v>425.48955521959186</v>
      </c>
      <c r="N258" s="12">
        <v>9617.536925179902</v>
      </c>
      <c r="O258" s="70">
        <f>IF(Table1[[#This Row],[Overall amount]]=0,0,1)</f>
        <v>1</v>
      </c>
      <c r="P258" s="70">
        <f>Table1[[#This Row],[Overall amount]]*Exchange_Rate</f>
        <v>9617.536925179902</v>
      </c>
      <c r="Q258" s="70">
        <f>Table1[[#This Row],[Overall (destination currency)]]*(1+Claims_Inflation)^((Revalue_at_date-Table1[[#This Row],[Loss date]])/365.25)</f>
        <v>10342.439999999999</v>
      </c>
      <c r="R258" s="70">
        <f>INT(Table1[[#This Row],[Reporting date]])-INT(Table1[[#This Row],[Loss date]])</f>
        <v>15</v>
      </c>
      <c r="S258" s="69" t="s">
        <v>16</v>
      </c>
      <c r="T258" s="70">
        <f>VLOOKUP(Table1[[#This Row],[Policy Year]],exposure_table,3,FALSE)</f>
        <v>1076.5070266272189</v>
      </c>
      <c r="U258" s="17">
        <f>IF(MONTH(Table1[[#This Row],[Reporting date]])&lt;Policy_Inception_Month,YEAR(Table1[[#This Row],[Reporting date]])-1,YEAR(Table1[[#This Row],[Reporting date]]))</f>
        <v>2014</v>
      </c>
      <c r="V258" s="17">
        <f>Table1[[#This Row],[Reporting year]]-Table1[[#This Row],[Policy Year]]</f>
        <v>0</v>
      </c>
      <c r="W258" s="17">
        <f>INT(Table1[[#This Row],[Reporting date]])-INT(Table1[[#This Row],[Loss date]])</f>
        <v>15</v>
      </c>
      <c r="X258" s="17">
        <f>INT((YEAR(Table1[[#This Row],[Loss date]])*12+MONTH(Table1[[#This Row],[Loss date]])-Earliest_Month)/4)</f>
        <v>27</v>
      </c>
      <c r="Y258" s="17">
        <f>INT((YEAR(Table1[[#This Row],[Reporting date]])*12+MONTH(Table1[[#This Row],[Reporting date]])-Earliest_Month)/4)</f>
        <v>27</v>
      </c>
      <c r="Z258" s="17">
        <f>Table1[[#This Row],[Reporting third]]-Table1[[#This Row],[Policy third]]</f>
        <v>0</v>
      </c>
      <c r="AA258" s="71">
        <f>IF(Table1[[#This Row],[Overall amount]]=0,"N/A",Table1[[#This Row],[Outstanding]]/Table1[[#This Row],[Overall amount]])</f>
        <v>1.0442410108252984</v>
      </c>
      <c r="AB258" s="17">
        <f>IF(MONTH(Table1[[#This Row],[Loss date]])&lt;Pol_Inc_Month_Shifted,YEAR(Table1[[#This Row],[Loss date]])-1,YEAR(Table1[[#This Row],[Loss date]]))</f>
        <v>2013</v>
      </c>
      <c r="AC258" s="17">
        <f>IF(MONTH(Table1[[#This Row],[Reporting date]])&lt;Pol_Inc_Month_Shifted,YEAR(Table1[[#This Row],[Reporting date]])-1,YEAR(Table1[[#This Row],[Reporting date]]))</f>
        <v>2013</v>
      </c>
      <c r="AD258" s="17">
        <f>Table1[[#This Row],[Reporting year (shifted)]]-Table1[[#This Row],[Policy Year (shifted)]]</f>
        <v>0</v>
      </c>
    </row>
    <row r="259" spans="1:30" ht="13.9">
      <c r="A259" s="8" t="s">
        <v>2029</v>
      </c>
      <c r="B259" s="8" t="s">
        <v>311</v>
      </c>
      <c r="C259" s="8" t="s">
        <v>123</v>
      </c>
      <c r="D259" s="9">
        <v>41612</v>
      </c>
      <c r="E259" s="9">
        <v>41776</v>
      </c>
      <c r="F259" s="17">
        <f>IF(MONTH(Table1[[#This Row],[Loss date]])&lt;Policy_Inception_Month,YEAR(Table1[[#This Row],[Loss date]])-1,YEAR(Table1[[#This Row],[Loss date]]))</f>
        <v>2013</v>
      </c>
      <c r="G259" s="10" t="s">
        <v>125</v>
      </c>
      <c r="H259" s="10" t="s">
        <v>2</v>
      </c>
      <c r="I259" s="11">
        <v>0</v>
      </c>
      <c r="J259" s="11">
        <v>25031.065829790783</v>
      </c>
      <c r="K259" s="11">
        <v>25031.065829790783</v>
      </c>
      <c r="L259" s="12">
        <v>0</v>
      </c>
      <c r="M259" s="12">
        <v>2003.4733347712806</v>
      </c>
      <c r="N259" s="12">
        <v>23027.592495019504</v>
      </c>
      <c r="O259" s="70">
        <f>IF(Table1[[#This Row],[Overall amount]]=0,0,1)</f>
        <v>1</v>
      </c>
      <c r="P259" s="70">
        <f>Table1[[#This Row],[Overall amount]]*Exchange_Rate</f>
        <v>23027.592495019504</v>
      </c>
      <c r="Q259" s="70">
        <f>Table1[[#This Row],[Overall (destination currency)]]*(1+Claims_Inflation)^((Revalue_at_date-Table1[[#This Row],[Loss date]])/365.25)</f>
        <v>25170.120000000003</v>
      </c>
      <c r="R259" s="70">
        <f>INT(Table1[[#This Row],[Reporting date]])-INT(Table1[[#This Row],[Loss date]])</f>
        <v>164</v>
      </c>
      <c r="S259" s="69" t="s">
        <v>16</v>
      </c>
      <c r="T259" s="70">
        <f>VLOOKUP(Table1[[#This Row],[Policy Year]],exposure_table,3,FALSE)</f>
        <v>1090.5865384615383</v>
      </c>
      <c r="U259" s="17">
        <f>IF(MONTH(Table1[[#This Row],[Reporting date]])&lt;Policy_Inception_Month,YEAR(Table1[[#This Row],[Reporting date]])-1,YEAR(Table1[[#This Row],[Reporting date]]))</f>
        <v>2014</v>
      </c>
      <c r="V259" s="17">
        <f>Table1[[#This Row],[Reporting year]]-Table1[[#This Row],[Policy Year]]</f>
        <v>1</v>
      </c>
      <c r="W259" s="17">
        <f>INT(Table1[[#This Row],[Reporting date]])-INT(Table1[[#This Row],[Loss date]])</f>
        <v>164</v>
      </c>
      <c r="X259" s="17">
        <f>INT((YEAR(Table1[[#This Row],[Loss date]])*12+MONTH(Table1[[#This Row],[Loss date]])-Earliest_Month)/4)</f>
        <v>26</v>
      </c>
      <c r="Y259" s="17">
        <f>INT((YEAR(Table1[[#This Row],[Reporting date]])*12+MONTH(Table1[[#This Row],[Reporting date]])-Earliest_Month)/4)</f>
        <v>27</v>
      </c>
      <c r="Z259" s="17">
        <f>Table1[[#This Row],[Reporting third]]-Table1[[#This Row],[Policy third]]</f>
        <v>1</v>
      </c>
      <c r="AA259" s="71">
        <f>IF(Table1[[#This Row],[Overall amount]]=0,"N/A",Table1[[#This Row],[Outstanding]]/Table1[[#This Row],[Overall amount]])</f>
        <v>1.0870031608907704</v>
      </c>
      <c r="AB259" s="17">
        <f>IF(MONTH(Table1[[#This Row],[Loss date]])&lt;Pol_Inc_Month_Shifted,YEAR(Table1[[#This Row],[Loss date]])-1,YEAR(Table1[[#This Row],[Loss date]]))</f>
        <v>2013</v>
      </c>
      <c r="AC259" s="17">
        <f>IF(MONTH(Table1[[#This Row],[Reporting date]])&lt;Pol_Inc_Month_Shifted,YEAR(Table1[[#This Row],[Reporting date]])-1,YEAR(Table1[[#This Row],[Reporting date]]))</f>
        <v>2013</v>
      </c>
      <c r="AD259" s="17">
        <f>Table1[[#This Row],[Reporting year (shifted)]]-Table1[[#This Row],[Policy Year (shifted)]]</f>
        <v>0</v>
      </c>
    </row>
    <row r="260" spans="1:30" ht="13.9">
      <c r="A260" s="8" t="s">
        <v>2030</v>
      </c>
      <c r="B260" s="8" t="s">
        <v>312</v>
      </c>
      <c r="C260" s="8" t="s">
        <v>123</v>
      </c>
      <c r="D260" s="9">
        <v>41608</v>
      </c>
      <c r="E260" s="9">
        <v>41775</v>
      </c>
      <c r="F260" s="17">
        <f>IF(MONTH(Table1[[#This Row],[Loss date]])&lt;Policy_Inception_Month,YEAR(Table1[[#This Row],[Loss date]])-1,YEAR(Table1[[#This Row],[Loss date]]))</f>
        <v>2013</v>
      </c>
      <c r="G260" s="10" t="s">
        <v>125</v>
      </c>
      <c r="H260" s="10" t="s">
        <v>2</v>
      </c>
      <c r="I260" s="11">
        <v>0</v>
      </c>
      <c r="J260" s="11">
        <v>17336.823578571144</v>
      </c>
      <c r="K260" s="11">
        <v>17336.823578571144</v>
      </c>
      <c r="L260" s="12">
        <v>0</v>
      </c>
      <c r="M260" s="12">
        <v>0</v>
      </c>
      <c r="N260" s="12">
        <v>17336.823578571144</v>
      </c>
      <c r="O260" s="70">
        <f>IF(Table1[[#This Row],[Overall amount]]=0,0,1)</f>
        <v>1</v>
      </c>
      <c r="P260" s="70">
        <f>Table1[[#This Row],[Overall amount]]*Exchange_Rate</f>
        <v>17336.823578571144</v>
      </c>
      <c r="Q260" s="70">
        <f>Table1[[#This Row],[Overall (destination currency)]]*(1+Claims_Inflation)^((Revalue_at_date-Table1[[#This Row],[Loss date]])/365.25)</f>
        <v>18960</v>
      </c>
      <c r="R260" s="70">
        <f>INT(Table1[[#This Row],[Reporting date]])-INT(Table1[[#This Row],[Loss date]])</f>
        <v>167</v>
      </c>
      <c r="S260" s="69" t="s">
        <v>16</v>
      </c>
      <c r="T260" s="70">
        <f>VLOOKUP(Table1[[#This Row],[Policy Year]],exposure_table,3,FALSE)</f>
        <v>1090.5865384615383</v>
      </c>
      <c r="U260" s="17">
        <f>IF(MONTH(Table1[[#This Row],[Reporting date]])&lt;Policy_Inception_Month,YEAR(Table1[[#This Row],[Reporting date]])-1,YEAR(Table1[[#This Row],[Reporting date]]))</f>
        <v>2014</v>
      </c>
      <c r="V260" s="17">
        <f>Table1[[#This Row],[Reporting year]]-Table1[[#This Row],[Policy Year]]</f>
        <v>1</v>
      </c>
      <c r="W260" s="17">
        <f>INT(Table1[[#This Row],[Reporting date]])-INT(Table1[[#This Row],[Loss date]])</f>
        <v>167</v>
      </c>
      <c r="X260" s="17">
        <f>INT((YEAR(Table1[[#This Row],[Loss date]])*12+MONTH(Table1[[#This Row],[Loss date]])-Earliest_Month)/4)</f>
        <v>25</v>
      </c>
      <c r="Y260" s="17">
        <f>INT((YEAR(Table1[[#This Row],[Reporting date]])*12+MONTH(Table1[[#This Row],[Reporting date]])-Earliest_Month)/4)</f>
        <v>27</v>
      </c>
      <c r="Z260" s="17">
        <f>Table1[[#This Row],[Reporting third]]-Table1[[#This Row],[Policy third]]</f>
        <v>2</v>
      </c>
      <c r="AA260" s="71">
        <f>IF(Table1[[#This Row],[Overall amount]]=0,"N/A",Table1[[#This Row],[Outstanding]]/Table1[[#This Row],[Overall amount]])</f>
        <v>1</v>
      </c>
      <c r="AB260" s="17">
        <f>IF(MONTH(Table1[[#This Row],[Loss date]])&lt;Pol_Inc_Month_Shifted,YEAR(Table1[[#This Row],[Loss date]])-1,YEAR(Table1[[#This Row],[Loss date]]))</f>
        <v>2012</v>
      </c>
      <c r="AC260" s="17">
        <f>IF(MONTH(Table1[[#This Row],[Reporting date]])&lt;Pol_Inc_Month_Shifted,YEAR(Table1[[#This Row],[Reporting date]])-1,YEAR(Table1[[#This Row],[Reporting date]]))</f>
        <v>2013</v>
      </c>
      <c r="AD260" s="17">
        <f>Table1[[#This Row],[Reporting year (shifted)]]-Table1[[#This Row],[Policy Year (shifted)]]</f>
        <v>1</v>
      </c>
    </row>
    <row r="261" spans="1:30" ht="13.9">
      <c r="A261" s="8" t="s">
        <v>2031</v>
      </c>
      <c r="B261" s="8" t="s">
        <v>313</v>
      </c>
      <c r="C261" s="8" t="s">
        <v>123</v>
      </c>
      <c r="D261" s="9">
        <v>41654</v>
      </c>
      <c r="E261" s="9">
        <v>41775</v>
      </c>
      <c r="F261" s="17">
        <f>IF(MONTH(Table1[[#This Row],[Loss date]])&lt;Policy_Inception_Month,YEAR(Table1[[#This Row],[Loss date]])-1,YEAR(Table1[[#This Row],[Loss date]]))</f>
        <v>2013</v>
      </c>
      <c r="G261" s="10" t="s">
        <v>125</v>
      </c>
      <c r="H261" s="10" t="s">
        <v>2</v>
      </c>
      <c r="I261" s="11">
        <v>0</v>
      </c>
      <c r="J261" s="11">
        <v>13027.559174869177</v>
      </c>
      <c r="K261" s="11">
        <v>13027.559174869177</v>
      </c>
      <c r="L261" s="12">
        <v>331.20913156447057</v>
      </c>
      <c r="M261" s="12">
        <v>267.17536612867292</v>
      </c>
      <c r="N261" s="12">
        <v>13091.592940304974</v>
      </c>
      <c r="O261" s="70">
        <f>IF(Table1[[#This Row],[Overall amount]]=0,0,1)</f>
        <v>1</v>
      </c>
      <c r="P261" s="70">
        <f>Table1[[#This Row],[Overall amount]]*Exchange_Rate</f>
        <v>13091.592940304974</v>
      </c>
      <c r="Q261" s="70">
        <f>Table1[[#This Row],[Overall (destination currency)]]*(1+Claims_Inflation)^((Revalue_at_date-Table1[[#This Row],[Loss date]])/365.25)</f>
        <v>14229.600000000002</v>
      </c>
      <c r="R261" s="70">
        <f>INT(Table1[[#This Row],[Reporting date]])-INT(Table1[[#This Row],[Loss date]])</f>
        <v>121</v>
      </c>
      <c r="S261" s="69" t="s">
        <v>16</v>
      </c>
      <c r="T261" s="70">
        <f>VLOOKUP(Table1[[#This Row],[Policy Year]],exposure_table,3,FALSE)</f>
        <v>1090.5865384615383</v>
      </c>
      <c r="U261" s="17">
        <f>IF(MONTH(Table1[[#This Row],[Reporting date]])&lt;Policy_Inception_Month,YEAR(Table1[[#This Row],[Reporting date]])-1,YEAR(Table1[[#This Row],[Reporting date]]))</f>
        <v>2014</v>
      </c>
      <c r="V261" s="17">
        <f>Table1[[#This Row],[Reporting year]]-Table1[[#This Row],[Policy Year]]</f>
        <v>1</v>
      </c>
      <c r="W261" s="17">
        <f>INT(Table1[[#This Row],[Reporting date]])-INT(Table1[[#This Row],[Loss date]])</f>
        <v>121</v>
      </c>
      <c r="X261" s="17">
        <f>INT((YEAR(Table1[[#This Row],[Loss date]])*12+MONTH(Table1[[#This Row],[Loss date]])-Earliest_Month)/4)</f>
        <v>26</v>
      </c>
      <c r="Y261" s="17">
        <f>INT((YEAR(Table1[[#This Row],[Reporting date]])*12+MONTH(Table1[[#This Row],[Reporting date]])-Earliest_Month)/4)</f>
        <v>27</v>
      </c>
      <c r="Z261" s="17">
        <f>Table1[[#This Row],[Reporting third]]-Table1[[#This Row],[Policy third]]</f>
        <v>1</v>
      </c>
      <c r="AA261" s="71">
        <f>IF(Table1[[#This Row],[Overall amount]]=0,"N/A",Table1[[#This Row],[Outstanding]]/Table1[[#This Row],[Overall amount]])</f>
        <v>0.99510878731657959</v>
      </c>
      <c r="AB261" s="17">
        <f>IF(MONTH(Table1[[#This Row],[Loss date]])&lt;Pol_Inc_Month_Shifted,YEAR(Table1[[#This Row],[Loss date]])-1,YEAR(Table1[[#This Row],[Loss date]]))</f>
        <v>2013</v>
      </c>
      <c r="AC261" s="17">
        <f>IF(MONTH(Table1[[#This Row],[Reporting date]])&lt;Pol_Inc_Month_Shifted,YEAR(Table1[[#This Row],[Reporting date]])-1,YEAR(Table1[[#This Row],[Reporting date]]))</f>
        <v>2013</v>
      </c>
      <c r="AD261" s="17">
        <f>Table1[[#This Row],[Reporting year (shifted)]]-Table1[[#This Row],[Policy Year (shifted)]]</f>
        <v>0</v>
      </c>
    </row>
    <row r="262" spans="1:30" ht="13.9">
      <c r="A262" s="8" t="s">
        <v>2032</v>
      </c>
      <c r="B262" s="8" t="s">
        <v>314</v>
      </c>
      <c r="C262" s="8" t="s">
        <v>123</v>
      </c>
      <c r="D262" s="9">
        <v>41629</v>
      </c>
      <c r="E262" s="9">
        <v>41775</v>
      </c>
      <c r="F262" s="17">
        <f>IF(MONTH(Table1[[#This Row],[Loss date]])&lt;Policy_Inception_Month,YEAR(Table1[[#This Row],[Loss date]])-1,YEAR(Table1[[#This Row],[Loss date]]))</f>
        <v>2013</v>
      </c>
      <c r="G262" s="10" t="s">
        <v>125</v>
      </c>
      <c r="H262" s="10" t="s">
        <v>2</v>
      </c>
      <c r="I262" s="11">
        <v>0</v>
      </c>
      <c r="J262" s="11">
        <v>20686.573853517246</v>
      </c>
      <c r="K262" s="11">
        <v>20686.573853517246</v>
      </c>
      <c r="L262" s="12">
        <v>0</v>
      </c>
      <c r="M262" s="12">
        <v>0</v>
      </c>
      <c r="N262" s="12">
        <v>20686.573853517246</v>
      </c>
      <c r="O262" s="70">
        <f>IF(Table1[[#This Row],[Overall amount]]=0,0,1)</f>
        <v>1</v>
      </c>
      <c r="P262" s="70">
        <f>Table1[[#This Row],[Overall amount]]*Exchange_Rate</f>
        <v>20686.573853517246</v>
      </c>
      <c r="Q262" s="70">
        <f>Table1[[#This Row],[Overall (destination currency)]]*(1+Claims_Inflation)^((Revalue_at_date-Table1[[#This Row],[Loss date]])/365.25)</f>
        <v>22560</v>
      </c>
      <c r="R262" s="70">
        <f>INT(Table1[[#This Row],[Reporting date]])-INT(Table1[[#This Row],[Loss date]])</f>
        <v>146</v>
      </c>
      <c r="S262" s="69" t="s">
        <v>16</v>
      </c>
      <c r="T262" s="70">
        <f>VLOOKUP(Table1[[#This Row],[Policy Year]],exposure_table,3,FALSE)</f>
        <v>1090.5865384615383</v>
      </c>
      <c r="U262" s="17">
        <f>IF(MONTH(Table1[[#This Row],[Reporting date]])&lt;Policy_Inception_Month,YEAR(Table1[[#This Row],[Reporting date]])-1,YEAR(Table1[[#This Row],[Reporting date]]))</f>
        <v>2014</v>
      </c>
      <c r="V262" s="17">
        <f>Table1[[#This Row],[Reporting year]]-Table1[[#This Row],[Policy Year]]</f>
        <v>1</v>
      </c>
      <c r="W262" s="17">
        <f>INT(Table1[[#This Row],[Reporting date]])-INT(Table1[[#This Row],[Loss date]])</f>
        <v>146</v>
      </c>
      <c r="X262" s="17">
        <f>INT((YEAR(Table1[[#This Row],[Loss date]])*12+MONTH(Table1[[#This Row],[Loss date]])-Earliest_Month)/4)</f>
        <v>26</v>
      </c>
      <c r="Y262" s="17">
        <f>INT((YEAR(Table1[[#This Row],[Reporting date]])*12+MONTH(Table1[[#This Row],[Reporting date]])-Earliest_Month)/4)</f>
        <v>27</v>
      </c>
      <c r="Z262" s="17">
        <f>Table1[[#This Row],[Reporting third]]-Table1[[#This Row],[Policy third]]</f>
        <v>1</v>
      </c>
      <c r="AA262" s="71">
        <f>IF(Table1[[#This Row],[Overall amount]]=0,"N/A",Table1[[#This Row],[Outstanding]]/Table1[[#This Row],[Overall amount]])</f>
        <v>1</v>
      </c>
      <c r="AB262" s="17">
        <f>IF(MONTH(Table1[[#This Row],[Loss date]])&lt;Pol_Inc_Month_Shifted,YEAR(Table1[[#This Row],[Loss date]])-1,YEAR(Table1[[#This Row],[Loss date]]))</f>
        <v>2013</v>
      </c>
      <c r="AC262" s="17">
        <f>IF(MONTH(Table1[[#This Row],[Reporting date]])&lt;Pol_Inc_Month_Shifted,YEAR(Table1[[#This Row],[Reporting date]])-1,YEAR(Table1[[#This Row],[Reporting date]]))</f>
        <v>2013</v>
      </c>
      <c r="AD262" s="17">
        <f>Table1[[#This Row],[Reporting year (shifted)]]-Table1[[#This Row],[Policy Year (shifted)]]</f>
        <v>0</v>
      </c>
    </row>
    <row r="263" spans="1:30" ht="13.9">
      <c r="A263" s="8" t="s">
        <v>2033</v>
      </c>
      <c r="B263" s="8" t="s">
        <v>315</v>
      </c>
      <c r="C263" s="8" t="s">
        <v>123</v>
      </c>
      <c r="D263" s="9">
        <v>41519</v>
      </c>
      <c r="E263" s="9">
        <v>41764</v>
      </c>
      <c r="F263" s="17">
        <f>IF(MONTH(Table1[[#This Row],[Loss date]])&lt;Policy_Inception_Month,YEAR(Table1[[#This Row],[Loss date]])-1,YEAR(Table1[[#This Row],[Loss date]]))</f>
        <v>2013</v>
      </c>
      <c r="G263" s="10" t="s">
        <v>125</v>
      </c>
      <c r="H263" s="10" t="s">
        <v>2</v>
      </c>
      <c r="I263" s="11">
        <v>0</v>
      </c>
      <c r="J263" s="11">
        <v>17131.93272855326</v>
      </c>
      <c r="K263" s="11">
        <v>17131.93272855326</v>
      </c>
      <c r="L263" s="12">
        <v>0</v>
      </c>
      <c r="M263" s="12">
        <v>0</v>
      </c>
      <c r="N263" s="12">
        <v>17131.93272855326</v>
      </c>
      <c r="O263" s="70">
        <f>IF(Table1[[#This Row],[Overall amount]]=0,0,1)</f>
        <v>1</v>
      </c>
      <c r="P263" s="70">
        <f>Table1[[#This Row],[Overall amount]]*Exchange_Rate</f>
        <v>17131.93272855326</v>
      </c>
      <c r="Q263" s="70">
        <f>Table1[[#This Row],[Overall (destination currency)]]*(1+Claims_Inflation)^((Revalue_at_date-Table1[[#This Row],[Loss date]])/365.25)</f>
        <v>18959.999999999996</v>
      </c>
      <c r="R263" s="70">
        <f>INT(Table1[[#This Row],[Reporting date]])-INT(Table1[[#This Row],[Loss date]])</f>
        <v>245</v>
      </c>
      <c r="S263" s="69" t="s">
        <v>16</v>
      </c>
      <c r="T263" s="70">
        <f>VLOOKUP(Table1[[#This Row],[Policy Year]],exposure_table,3,FALSE)</f>
        <v>1090.5865384615383</v>
      </c>
      <c r="U263" s="17">
        <f>IF(MONTH(Table1[[#This Row],[Reporting date]])&lt;Policy_Inception_Month,YEAR(Table1[[#This Row],[Reporting date]])-1,YEAR(Table1[[#This Row],[Reporting date]]))</f>
        <v>2014</v>
      </c>
      <c r="V263" s="17">
        <f>Table1[[#This Row],[Reporting year]]-Table1[[#This Row],[Policy Year]]</f>
        <v>1</v>
      </c>
      <c r="W263" s="17">
        <f>INT(Table1[[#This Row],[Reporting date]])-INT(Table1[[#This Row],[Loss date]])</f>
        <v>245</v>
      </c>
      <c r="X263" s="17">
        <f>INT((YEAR(Table1[[#This Row],[Loss date]])*12+MONTH(Table1[[#This Row],[Loss date]])-Earliest_Month)/4)</f>
        <v>25</v>
      </c>
      <c r="Y263" s="17">
        <f>INT((YEAR(Table1[[#This Row],[Reporting date]])*12+MONTH(Table1[[#This Row],[Reporting date]])-Earliest_Month)/4)</f>
        <v>27</v>
      </c>
      <c r="Z263" s="17">
        <f>Table1[[#This Row],[Reporting third]]-Table1[[#This Row],[Policy third]]</f>
        <v>2</v>
      </c>
      <c r="AA263" s="71">
        <f>IF(Table1[[#This Row],[Overall amount]]=0,"N/A",Table1[[#This Row],[Outstanding]]/Table1[[#This Row],[Overall amount]])</f>
        <v>1</v>
      </c>
      <c r="AB263" s="17">
        <f>IF(MONTH(Table1[[#This Row],[Loss date]])&lt;Pol_Inc_Month_Shifted,YEAR(Table1[[#This Row],[Loss date]])-1,YEAR(Table1[[#This Row],[Loss date]]))</f>
        <v>2012</v>
      </c>
      <c r="AC263" s="17">
        <f>IF(MONTH(Table1[[#This Row],[Reporting date]])&lt;Pol_Inc_Month_Shifted,YEAR(Table1[[#This Row],[Reporting date]])-1,YEAR(Table1[[#This Row],[Reporting date]]))</f>
        <v>2013</v>
      </c>
      <c r="AD263" s="17">
        <f>Table1[[#This Row],[Reporting year (shifted)]]-Table1[[#This Row],[Policy Year (shifted)]]</f>
        <v>1</v>
      </c>
    </row>
    <row r="264" spans="1:30" ht="13.9">
      <c r="A264" s="8" t="s">
        <v>2034</v>
      </c>
      <c r="B264" s="8" t="s">
        <v>316</v>
      </c>
      <c r="C264" s="8" t="s">
        <v>123</v>
      </c>
      <c r="D264" s="9">
        <v>41649</v>
      </c>
      <c r="E264" s="9">
        <v>41772</v>
      </c>
      <c r="F264" s="17">
        <f>IF(MONTH(Table1[[#This Row],[Loss date]])&lt;Policy_Inception_Month,YEAR(Table1[[#This Row],[Loss date]])-1,YEAR(Table1[[#This Row],[Loss date]]))</f>
        <v>2013</v>
      </c>
      <c r="G264" s="10" t="s">
        <v>124</v>
      </c>
      <c r="H264" s="10" t="s">
        <v>2</v>
      </c>
      <c r="I264" s="11">
        <v>0</v>
      </c>
      <c r="J264" s="11">
        <v>17432.034167926915</v>
      </c>
      <c r="K264" s="11">
        <v>17432.034167926915</v>
      </c>
      <c r="L264" s="12">
        <v>0</v>
      </c>
      <c r="M264" s="12">
        <v>0</v>
      </c>
      <c r="N264" s="12">
        <v>17432.034167926915</v>
      </c>
      <c r="O264" s="70">
        <f>IF(Table1[[#This Row],[Overall amount]]=0,0,1)</f>
        <v>1</v>
      </c>
      <c r="P264" s="70">
        <f>Table1[[#This Row],[Overall amount]]*Exchange_Rate</f>
        <v>17432.034167926915</v>
      </c>
      <c r="Q264" s="70">
        <f>Table1[[#This Row],[Overall (destination currency)]]*(1+Claims_Inflation)^((Revalue_at_date-Table1[[#This Row],[Loss date]])/365.25)</f>
        <v>18960</v>
      </c>
      <c r="R264" s="70">
        <f>INT(Table1[[#This Row],[Reporting date]])-INT(Table1[[#This Row],[Loss date]])</f>
        <v>123</v>
      </c>
      <c r="S264" s="69" t="s">
        <v>16</v>
      </c>
      <c r="T264" s="70">
        <f>VLOOKUP(Table1[[#This Row],[Policy Year]],exposure_table,3,FALSE)</f>
        <v>1090.5865384615383</v>
      </c>
      <c r="U264" s="17">
        <f>IF(MONTH(Table1[[#This Row],[Reporting date]])&lt;Policy_Inception_Month,YEAR(Table1[[#This Row],[Reporting date]])-1,YEAR(Table1[[#This Row],[Reporting date]]))</f>
        <v>2014</v>
      </c>
      <c r="V264" s="17">
        <f>Table1[[#This Row],[Reporting year]]-Table1[[#This Row],[Policy Year]]</f>
        <v>1</v>
      </c>
      <c r="W264" s="17">
        <f>INT(Table1[[#This Row],[Reporting date]])-INT(Table1[[#This Row],[Loss date]])</f>
        <v>123</v>
      </c>
      <c r="X264" s="17">
        <f>INT((YEAR(Table1[[#This Row],[Loss date]])*12+MONTH(Table1[[#This Row],[Loss date]])-Earliest_Month)/4)</f>
        <v>26</v>
      </c>
      <c r="Y264" s="17">
        <f>INT((YEAR(Table1[[#This Row],[Reporting date]])*12+MONTH(Table1[[#This Row],[Reporting date]])-Earliest_Month)/4)</f>
        <v>27</v>
      </c>
      <c r="Z264" s="17">
        <f>Table1[[#This Row],[Reporting third]]-Table1[[#This Row],[Policy third]]</f>
        <v>1</v>
      </c>
      <c r="AA264" s="71">
        <f>IF(Table1[[#This Row],[Overall amount]]=0,"N/A",Table1[[#This Row],[Outstanding]]/Table1[[#This Row],[Overall amount]])</f>
        <v>1</v>
      </c>
      <c r="AB264" s="17">
        <f>IF(MONTH(Table1[[#This Row],[Loss date]])&lt;Pol_Inc_Month_Shifted,YEAR(Table1[[#This Row],[Loss date]])-1,YEAR(Table1[[#This Row],[Loss date]]))</f>
        <v>2013</v>
      </c>
      <c r="AC264" s="17">
        <f>IF(MONTH(Table1[[#This Row],[Reporting date]])&lt;Pol_Inc_Month_Shifted,YEAR(Table1[[#This Row],[Reporting date]])-1,YEAR(Table1[[#This Row],[Reporting date]]))</f>
        <v>2013</v>
      </c>
      <c r="AD264" s="17">
        <f>Table1[[#This Row],[Reporting year (shifted)]]-Table1[[#This Row],[Policy Year (shifted)]]</f>
        <v>0</v>
      </c>
    </row>
    <row r="265" spans="1:30" ht="13.9">
      <c r="A265" s="8" t="s">
        <v>2035</v>
      </c>
      <c r="B265" s="8" t="s">
        <v>317</v>
      </c>
      <c r="C265" s="8" t="s">
        <v>123</v>
      </c>
      <c r="D265" s="9">
        <v>41611</v>
      </c>
      <c r="E265" s="9">
        <v>41783</v>
      </c>
      <c r="F265" s="17">
        <f>IF(MONTH(Table1[[#This Row],[Loss date]])&lt;Policy_Inception_Month,YEAR(Table1[[#This Row],[Loss date]])-1,YEAR(Table1[[#This Row],[Loss date]]))</f>
        <v>2013</v>
      </c>
      <c r="G265" s="10" t="s">
        <v>125</v>
      </c>
      <c r="H265" s="10" t="s">
        <v>2</v>
      </c>
      <c r="I265" s="11">
        <v>10977.071227451765</v>
      </c>
      <c r="J265" s="11">
        <v>9659.8226801575511</v>
      </c>
      <c r="K265" s="11">
        <v>20636.893907609316</v>
      </c>
      <c r="L265" s="12">
        <v>329.31213682355292</v>
      </c>
      <c r="M265" s="12">
        <v>628.98618133298612</v>
      </c>
      <c r="N265" s="12">
        <v>20337.219863099883</v>
      </c>
      <c r="O265" s="70">
        <f>IF(Table1[[#This Row],[Overall amount]]=0,0,1)</f>
        <v>1</v>
      </c>
      <c r="P265" s="70">
        <f>Table1[[#This Row],[Overall amount]]*Exchange_Rate</f>
        <v>20337.219863099883</v>
      </c>
      <c r="Q265" s="70">
        <f>Table1[[#This Row],[Overall (destination currency)]]*(1+Claims_Inflation)^((Revalue_at_date-Table1[[#This Row],[Loss date]])/365.25)</f>
        <v>22232.399999999998</v>
      </c>
      <c r="R265" s="70">
        <f>INT(Table1[[#This Row],[Reporting date]])-INT(Table1[[#This Row],[Loss date]])</f>
        <v>172</v>
      </c>
      <c r="S265" s="69" t="s">
        <v>16</v>
      </c>
      <c r="T265" s="70">
        <f>VLOOKUP(Table1[[#This Row],[Policy Year]],exposure_table,3,FALSE)</f>
        <v>1090.5865384615383</v>
      </c>
      <c r="U265" s="17">
        <f>IF(MONTH(Table1[[#This Row],[Reporting date]])&lt;Policy_Inception_Month,YEAR(Table1[[#This Row],[Reporting date]])-1,YEAR(Table1[[#This Row],[Reporting date]]))</f>
        <v>2014</v>
      </c>
      <c r="V265" s="17">
        <f>Table1[[#This Row],[Reporting year]]-Table1[[#This Row],[Policy Year]]</f>
        <v>1</v>
      </c>
      <c r="W265" s="17">
        <f>INT(Table1[[#This Row],[Reporting date]])-INT(Table1[[#This Row],[Loss date]])</f>
        <v>172</v>
      </c>
      <c r="X265" s="17">
        <f>INT((YEAR(Table1[[#This Row],[Loss date]])*12+MONTH(Table1[[#This Row],[Loss date]])-Earliest_Month)/4)</f>
        <v>26</v>
      </c>
      <c r="Y265" s="17">
        <f>INT((YEAR(Table1[[#This Row],[Reporting date]])*12+MONTH(Table1[[#This Row],[Reporting date]])-Earliest_Month)/4)</f>
        <v>27</v>
      </c>
      <c r="Z265" s="17">
        <f>Table1[[#This Row],[Reporting third]]-Table1[[#This Row],[Policy third]]</f>
        <v>1</v>
      </c>
      <c r="AA265" s="71">
        <f>IF(Table1[[#This Row],[Overall amount]]=0,"N/A",Table1[[#This Row],[Outstanding]]/Table1[[#This Row],[Overall amount]])</f>
        <v>0.47498245803422029</v>
      </c>
      <c r="AB265" s="17">
        <f>IF(MONTH(Table1[[#This Row],[Loss date]])&lt;Pol_Inc_Month_Shifted,YEAR(Table1[[#This Row],[Loss date]])-1,YEAR(Table1[[#This Row],[Loss date]]))</f>
        <v>2013</v>
      </c>
      <c r="AC265" s="17">
        <f>IF(MONTH(Table1[[#This Row],[Reporting date]])&lt;Pol_Inc_Month_Shifted,YEAR(Table1[[#This Row],[Reporting date]])-1,YEAR(Table1[[#This Row],[Reporting date]]))</f>
        <v>2013</v>
      </c>
      <c r="AD265" s="17">
        <f>Table1[[#This Row],[Reporting year (shifted)]]-Table1[[#This Row],[Policy Year (shifted)]]</f>
        <v>0</v>
      </c>
    </row>
    <row r="266" spans="1:30" ht="13.9">
      <c r="A266" s="8" t="s">
        <v>2036</v>
      </c>
      <c r="B266" s="8" t="s">
        <v>318</v>
      </c>
      <c r="C266" s="8" t="s">
        <v>123</v>
      </c>
      <c r="D266" s="9">
        <v>41492</v>
      </c>
      <c r="E266" s="9">
        <v>41566</v>
      </c>
      <c r="F266" s="17">
        <f>IF(MONTH(Table1[[#This Row],[Loss date]])&lt;Policy_Inception_Month,YEAR(Table1[[#This Row],[Loss date]])-1,YEAR(Table1[[#This Row],[Loss date]]))</f>
        <v>2013</v>
      </c>
      <c r="G266" s="10" t="s">
        <v>125</v>
      </c>
      <c r="H266" s="10" t="s">
        <v>2</v>
      </c>
      <c r="I266" s="11">
        <v>0</v>
      </c>
      <c r="J266" s="11">
        <v>0</v>
      </c>
      <c r="K266" s="11">
        <v>0</v>
      </c>
      <c r="L266" s="12">
        <v>324.11876348728845</v>
      </c>
      <c r="M266" s="12">
        <v>0</v>
      </c>
      <c r="N266" s="12">
        <v>324.11876348728845</v>
      </c>
      <c r="O266" s="70">
        <f>IF(Table1[[#This Row],[Overall amount]]=0,0,1)</f>
        <v>1</v>
      </c>
      <c r="P266" s="70">
        <f>Table1[[#This Row],[Overall amount]]*Exchange_Rate</f>
        <v>324.11876348728845</v>
      </c>
      <c r="Q266" s="70">
        <f>Table1[[#This Row],[Overall (destination currency)]]*(1+Claims_Inflation)^((Revalue_at_date-Table1[[#This Row],[Loss date]])/365.25)</f>
        <v>360</v>
      </c>
      <c r="R266" s="70">
        <f>INT(Table1[[#This Row],[Reporting date]])-INT(Table1[[#This Row],[Loss date]])</f>
        <v>74</v>
      </c>
      <c r="S266" s="69" t="s">
        <v>9</v>
      </c>
      <c r="T266" s="70">
        <f>VLOOKUP(Table1[[#This Row],[Policy Year]],exposure_table,3,FALSE)</f>
        <v>1090.5865384615383</v>
      </c>
      <c r="U266" s="17">
        <f>IF(MONTH(Table1[[#This Row],[Reporting date]])&lt;Policy_Inception_Month,YEAR(Table1[[#This Row],[Reporting date]])-1,YEAR(Table1[[#This Row],[Reporting date]]))</f>
        <v>2013</v>
      </c>
      <c r="V266" s="17">
        <f>Table1[[#This Row],[Reporting year]]-Table1[[#This Row],[Policy Year]]</f>
        <v>0</v>
      </c>
      <c r="W266" s="17">
        <f>INT(Table1[[#This Row],[Reporting date]])-INT(Table1[[#This Row],[Loss date]])</f>
        <v>74</v>
      </c>
      <c r="X266" s="17">
        <f>INT((YEAR(Table1[[#This Row],[Loss date]])*12+MONTH(Table1[[#This Row],[Loss date]])-Earliest_Month)/4)</f>
        <v>25</v>
      </c>
      <c r="Y266" s="17">
        <f>INT((YEAR(Table1[[#This Row],[Reporting date]])*12+MONTH(Table1[[#This Row],[Reporting date]])-Earliest_Month)/4)</f>
        <v>25</v>
      </c>
      <c r="Z266" s="17">
        <f>Table1[[#This Row],[Reporting third]]-Table1[[#This Row],[Policy third]]</f>
        <v>0</v>
      </c>
      <c r="AA266" s="71">
        <f>IF(Table1[[#This Row],[Overall amount]]=0,"N/A",Table1[[#This Row],[Outstanding]]/Table1[[#This Row],[Overall amount]])</f>
        <v>0</v>
      </c>
      <c r="AB266" s="17">
        <f>IF(MONTH(Table1[[#This Row],[Loss date]])&lt;Pol_Inc_Month_Shifted,YEAR(Table1[[#This Row],[Loss date]])-1,YEAR(Table1[[#This Row],[Loss date]]))</f>
        <v>2012</v>
      </c>
      <c r="AC266" s="17">
        <f>IF(MONTH(Table1[[#This Row],[Reporting date]])&lt;Pol_Inc_Month_Shifted,YEAR(Table1[[#This Row],[Reporting date]])-1,YEAR(Table1[[#This Row],[Reporting date]]))</f>
        <v>2012</v>
      </c>
      <c r="AD266" s="17">
        <f>Table1[[#This Row],[Reporting year (shifted)]]-Table1[[#This Row],[Policy Year (shifted)]]</f>
        <v>0</v>
      </c>
    </row>
    <row r="267" spans="1:30" ht="13.9">
      <c r="A267" s="8" t="s">
        <v>2037</v>
      </c>
      <c r="B267" s="8" t="s">
        <v>319</v>
      </c>
      <c r="C267" s="8" t="s">
        <v>123</v>
      </c>
      <c r="D267" s="9">
        <v>41308</v>
      </c>
      <c r="E267" s="9">
        <v>41785</v>
      </c>
      <c r="F267" s="17">
        <f>IF(MONTH(Table1[[#This Row],[Loss date]])&lt;Policy_Inception_Month,YEAR(Table1[[#This Row],[Loss date]])-1,YEAR(Table1[[#This Row],[Loss date]]))</f>
        <v>2012</v>
      </c>
      <c r="G267" s="10" t="s">
        <v>125</v>
      </c>
      <c r="H267" s="10" t="s">
        <v>2</v>
      </c>
      <c r="I267" s="11">
        <v>0</v>
      </c>
      <c r="J267" s="11">
        <v>12439.144372143735</v>
      </c>
      <c r="K267" s="11">
        <v>12439.144372143735</v>
      </c>
      <c r="L267" s="12">
        <v>0</v>
      </c>
      <c r="M267" s="12">
        <v>0</v>
      </c>
      <c r="N267" s="12">
        <v>12439.144372143735</v>
      </c>
      <c r="O267" s="70">
        <f>IF(Table1[[#This Row],[Overall amount]]=0,0,1)</f>
        <v>1</v>
      </c>
      <c r="P267" s="70">
        <f>Table1[[#This Row],[Overall amount]]*Exchange_Rate</f>
        <v>12439.144372143735</v>
      </c>
      <c r="Q267" s="70">
        <f>Table1[[#This Row],[Overall (destination currency)]]*(1+Claims_Inflation)^((Revalue_at_date-Table1[[#This Row],[Loss date]])/365.25)</f>
        <v>14159.999999999998</v>
      </c>
      <c r="R267" s="70">
        <f>INT(Table1[[#This Row],[Reporting date]])-INT(Table1[[#This Row],[Loss date]])</f>
        <v>477</v>
      </c>
      <c r="S267" s="69" t="s">
        <v>16</v>
      </c>
      <c r="T267" s="70">
        <f>VLOOKUP(Table1[[#This Row],[Policy Year]],exposure_table,3,FALSE)</f>
        <v>1057.54</v>
      </c>
      <c r="U267" s="17">
        <f>IF(MONTH(Table1[[#This Row],[Reporting date]])&lt;Policy_Inception_Month,YEAR(Table1[[#This Row],[Reporting date]])-1,YEAR(Table1[[#This Row],[Reporting date]]))</f>
        <v>2014</v>
      </c>
      <c r="V267" s="17">
        <f>Table1[[#This Row],[Reporting year]]-Table1[[#This Row],[Policy Year]]</f>
        <v>2</v>
      </c>
      <c r="W267" s="17">
        <f>INT(Table1[[#This Row],[Reporting date]])-INT(Table1[[#This Row],[Loss date]])</f>
        <v>477</v>
      </c>
      <c r="X267" s="17">
        <f>INT((YEAR(Table1[[#This Row],[Loss date]])*12+MONTH(Table1[[#This Row],[Loss date]])-Earliest_Month)/4)</f>
        <v>23</v>
      </c>
      <c r="Y267" s="17">
        <f>INT((YEAR(Table1[[#This Row],[Reporting date]])*12+MONTH(Table1[[#This Row],[Reporting date]])-Earliest_Month)/4)</f>
        <v>27</v>
      </c>
      <c r="Z267" s="17">
        <f>Table1[[#This Row],[Reporting third]]-Table1[[#This Row],[Policy third]]</f>
        <v>4</v>
      </c>
      <c r="AA267" s="71">
        <f>IF(Table1[[#This Row],[Overall amount]]=0,"N/A",Table1[[#This Row],[Outstanding]]/Table1[[#This Row],[Overall amount]])</f>
        <v>1</v>
      </c>
      <c r="AB267" s="17">
        <f>IF(MONTH(Table1[[#This Row],[Loss date]])&lt;Pol_Inc_Month_Shifted,YEAR(Table1[[#This Row],[Loss date]])-1,YEAR(Table1[[#This Row],[Loss date]]))</f>
        <v>2012</v>
      </c>
      <c r="AC267" s="17">
        <f>IF(MONTH(Table1[[#This Row],[Reporting date]])&lt;Pol_Inc_Month_Shifted,YEAR(Table1[[#This Row],[Reporting date]])-1,YEAR(Table1[[#This Row],[Reporting date]]))</f>
        <v>2013</v>
      </c>
      <c r="AD267" s="17">
        <f>Table1[[#This Row],[Reporting year (shifted)]]-Table1[[#This Row],[Policy Year (shifted)]]</f>
        <v>1</v>
      </c>
    </row>
    <row r="268" spans="1:30" ht="13.9">
      <c r="A268" s="8" t="s">
        <v>2038</v>
      </c>
      <c r="B268" s="8" t="s">
        <v>320</v>
      </c>
      <c r="C268" s="8" t="s">
        <v>123</v>
      </c>
      <c r="D268" s="9">
        <v>40225</v>
      </c>
      <c r="E268" s="9">
        <v>41782</v>
      </c>
      <c r="F268" s="17">
        <f>IF(MONTH(Table1[[#This Row],[Loss date]])&lt;Policy_Inception_Month,YEAR(Table1[[#This Row],[Loss date]])-1,YEAR(Table1[[#This Row],[Loss date]]))</f>
        <v>2009</v>
      </c>
      <c r="G268" s="10" t="s">
        <v>126</v>
      </c>
      <c r="H268" s="10" t="s">
        <v>2</v>
      </c>
      <c r="I268" s="11">
        <v>0</v>
      </c>
      <c r="J268" s="11">
        <v>13682.691352087788</v>
      </c>
      <c r="K268" s="11">
        <v>13682.691352087788</v>
      </c>
      <c r="L268" s="12">
        <v>0</v>
      </c>
      <c r="M268" s="12">
        <v>0</v>
      </c>
      <c r="N268" s="12">
        <v>13682.691352087788</v>
      </c>
      <c r="O268" s="70">
        <f>IF(Table1[[#This Row],[Overall amount]]=0,0,1)</f>
        <v>1</v>
      </c>
      <c r="P268" s="70">
        <f>Table1[[#This Row],[Overall amount]]*Exchange_Rate</f>
        <v>13682.691352087788</v>
      </c>
      <c r="Q268" s="70">
        <f>Table1[[#This Row],[Overall (destination currency)]]*(1+Claims_Inflation)^((Revalue_at_date-Table1[[#This Row],[Loss date]])/365.25)</f>
        <v>17999.999999999996</v>
      </c>
      <c r="R268" s="70">
        <f>INT(Table1[[#This Row],[Reporting date]])-INT(Table1[[#This Row],[Loss date]])</f>
        <v>1557</v>
      </c>
      <c r="S268" s="69" t="s">
        <v>16</v>
      </c>
      <c r="T268" s="70">
        <f>VLOOKUP(Table1[[#This Row],[Policy Year]],exposure_table,3,FALSE)</f>
        <v>760.22808576000011</v>
      </c>
      <c r="U268" s="17">
        <f>IF(MONTH(Table1[[#This Row],[Reporting date]])&lt;Policy_Inception_Month,YEAR(Table1[[#This Row],[Reporting date]])-1,YEAR(Table1[[#This Row],[Reporting date]]))</f>
        <v>2014</v>
      </c>
      <c r="V268" s="17">
        <f>Table1[[#This Row],[Reporting year]]-Table1[[#This Row],[Policy Year]]</f>
        <v>5</v>
      </c>
      <c r="W268" s="17">
        <f>INT(Table1[[#This Row],[Reporting date]])-INT(Table1[[#This Row],[Loss date]])</f>
        <v>1557</v>
      </c>
      <c r="X268" s="17">
        <f>INT((YEAR(Table1[[#This Row],[Loss date]])*12+MONTH(Table1[[#This Row],[Loss date]])-Earliest_Month)/4)</f>
        <v>14</v>
      </c>
      <c r="Y268" s="17">
        <f>INT((YEAR(Table1[[#This Row],[Reporting date]])*12+MONTH(Table1[[#This Row],[Reporting date]])-Earliest_Month)/4)</f>
        <v>27</v>
      </c>
      <c r="Z268" s="17">
        <f>Table1[[#This Row],[Reporting third]]-Table1[[#This Row],[Policy third]]</f>
        <v>13</v>
      </c>
      <c r="AA268" s="71">
        <f>IF(Table1[[#This Row],[Overall amount]]=0,"N/A",Table1[[#This Row],[Outstanding]]/Table1[[#This Row],[Overall amount]])</f>
        <v>1</v>
      </c>
      <c r="AB268" s="17">
        <f>IF(MONTH(Table1[[#This Row],[Loss date]])&lt;Pol_Inc_Month_Shifted,YEAR(Table1[[#This Row],[Loss date]])-1,YEAR(Table1[[#This Row],[Loss date]]))</f>
        <v>2009</v>
      </c>
      <c r="AC268" s="17">
        <f>IF(MONTH(Table1[[#This Row],[Reporting date]])&lt;Pol_Inc_Month_Shifted,YEAR(Table1[[#This Row],[Reporting date]])-1,YEAR(Table1[[#This Row],[Reporting date]]))</f>
        <v>2013</v>
      </c>
      <c r="AD268" s="17">
        <f>Table1[[#This Row],[Reporting year (shifted)]]-Table1[[#This Row],[Policy Year (shifted)]]</f>
        <v>4</v>
      </c>
    </row>
    <row r="269" spans="1:30" ht="13.9">
      <c r="A269" s="8" t="s">
        <v>2039</v>
      </c>
      <c r="B269" s="8" t="s">
        <v>321</v>
      </c>
      <c r="C269" s="8" t="s">
        <v>123</v>
      </c>
      <c r="D269" s="9">
        <v>41392</v>
      </c>
      <c r="E269" s="9">
        <v>41768</v>
      </c>
      <c r="F269" s="17">
        <f>IF(MONTH(Table1[[#This Row],[Loss date]])&lt;Policy_Inception_Month,YEAR(Table1[[#This Row],[Loss date]])-1,YEAR(Table1[[#This Row],[Loss date]]))</f>
        <v>2013</v>
      </c>
      <c r="G269" s="10" t="s">
        <v>125</v>
      </c>
      <c r="H269" s="10" t="s">
        <v>2</v>
      </c>
      <c r="I269" s="11">
        <v>906.15090908519448</v>
      </c>
      <c r="J269" s="11">
        <v>12739.415721844793</v>
      </c>
      <c r="K269" s="11">
        <v>13645.566630929987</v>
      </c>
      <c r="L269" s="12">
        <v>0</v>
      </c>
      <c r="M269" s="12">
        <v>0</v>
      </c>
      <c r="N269" s="12">
        <v>13645.566630929987</v>
      </c>
      <c r="O269" s="70">
        <f>IF(Table1[[#This Row],[Overall amount]]=0,0,1)</f>
        <v>1</v>
      </c>
      <c r="P269" s="70">
        <f>Table1[[#This Row],[Overall amount]]*Exchange_Rate</f>
        <v>13645.566630929987</v>
      </c>
      <c r="Q269" s="70">
        <f>Table1[[#This Row],[Overall (destination currency)]]*(1+Claims_Inflation)^((Revalue_at_date-Table1[[#This Row],[Loss date]])/365.25)</f>
        <v>15359.999999999998</v>
      </c>
      <c r="R269" s="70">
        <f>INT(Table1[[#This Row],[Reporting date]])-INT(Table1[[#This Row],[Loss date]])</f>
        <v>376</v>
      </c>
      <c r="S269" s="69" t="s">
        <v>16</v>
      </c>
      <c r="T269" s="70">
        <f>VLOOKUP(Table1[[#This Row],[Policy Year]],exposure_table,3,FALSE)</f>
        <v>1090.5865384615383</v>
      </c>
      <c r="U269" s="17">
        <f>IF(MONTH(Table1[[#This Row],[Reporting date]])&lt;Policy_Inception_Month,YEAR(Table1[[#This Row],[Reporting date]])-1,YEAR(Table1[[#This Row],[Reporting date]]))</f>
        <v>2014</v>
      </c>
      <c r="V269" s="17">
        <f>Table1[[#This Row],[Reporting year]]-Table1[[#This Row],[Policy Year]]</f>
        <v>1</v>
      </c>
      <c r="W269" s="17">
        <f>INT(Table1[[#This Row],[Reporting date]])-INT(Table1[[#This Row],[Loss date]])</f>
        <v>376</v>
      </c>
      <c r="X269" s="17">
        <f>INT((YEAR(Table1[[#This Row],[Loss date]])*12+MONTH(Table1[[#This Row],[Loss date]])-Earliest_Month)/4)</f>
        <v>24</v>
      </c>
      <c r="Y269" s="17">
        <f>INT((YEAR(Table1[[#This Row],[Reporting date]])*12+MONTH(Table1[[#This Row],[Reporting date]])-Earliest_Month)/4)</f>
        <v>27</v>
      </c>
      <c r="Z269" s="17">
        <f>Table1[[#This Row],[Reporting third]]-Table1[[#This Row],[Policy third]]</f>
        <v>3</v>
      </c>
      <c r="AA269" s="71">
        <f>IF(Table1[[#This Row],[Overall amount]]=0,"N/A",Table1[[#This Row],[Outstanding]]/Table1[[#This Row],[Overall amount]])</f>
        <v>0.93359375</v>
      </c>
      <c r="AB269" s="17">
        <f>IF(MONTH(Table1[[#This Row],[Loss date]])&lt;Pol_Inc_Month_Shifted,YEAR(Table1[[#This Row],[Loss date]])-1,YEAR(Table1[[#This Row],[Loss date]]))</f>
        <v>2012</v>
      </c>
      <c r="AC269" s="17">
        <f>IF(MONTH(Table1[[#This Row],[Reporting date]])&lt;Pol_Inc_Month_Shifted,YEAR(Table1[[#This Row],[Reporting date]])-1,YEAR(Table1[[#This Row],[Reporting date]]))</f>
        <v>2013</v>
      </c>
      <c r="AD269" s="17">
        <f>Table1[[#This Row],[Reporting year (shifted)]]-Table1[[#This Row],[Policy Year (shifted)]]</f>
        <v>1</v>
      </c>
    </row>
    <row r="270" spans="1:30" ht="13.9">
      <c r="A270" s="8" t="s">
        <v>2040</v>
      </c>
      <c r="B270" s="8" t="s">
        <v>322</v>
      </c>
      <c r="C270" s="8" t="s">
        <v>123</v>
      </c>
      <c r="D270" s="9">
        <v>41429</v>
      </c>
      <c r="E270" s="9">
        <v>41765</v>
      </c>
      <c r="F270" s="17">
        <f>IF(MONTH(Table1[[#This Row],[Loss date]])&lt;Policy_Inception_Month,YEAR(Table1[[#This Row],[Loss date]])-1,YEAR(Table1[[#This Row],[Loss date]]))</f>
        <v>2013</v>
      </c>
      <c r="G270" s="10" t="s">
        <v>125</v>
      </c>
      <c r="H270" s="10" t="s">
        <v>2</v>
      </c>
      <c r="I270" s="11">
        <v>0</v>
      </c>
      <c r="J270" s="11">
        <v>14463.11566637959</v>
      </c>
      <c r="K270" s="11">
        <v>14463.11566637959</v>
      </c>
      <c r="L270" s="12">
        <v>0</v>
      </c>
      <c r="M270" s="12">
        <v>487.88910181253817</v>
      </c>
      <c r="N270" s="12">
        <v>13975.226564567052</v>
      </c>
      <c r="O270" s="70">
        <f>IF(Table1[[#This Row],[Overall amount]]=0,0,1)</f>
        <v>1</v>
      </c>
      <c r="P270" s="70">
        <f>Table1[[#This Row],[Overall amount]]*Exchange_Rate</f>
        <v>13975.226564567052</v>
      </c>
      <c r="Q270" s="70">
        <f>Table1[[#This Row],[Overall (destination currency)]]*(1+Claims_Inflation)^((Revalue_at_date-Table1[[#This Row],[Loss date]])/365.25)</f>
        <v>15653.52</v>
      </c>
      <c r="R270" s="70">
        <f>INT(Table1[[#This Row],[Reporting date]])-INT(Table1[[#This Row],[Loss date]])</f>
        <v>336</v>
      </c>
      <c r="S270" s="69" t="s">
        <v>16</v>
      </c>
      <c r="T270" s="70">
        <f>VLOOKUP(Table1[[#This Row],[Policy Year]],exposure_table,3,FALSE)</f>
        <v>1090.5865384615383</v>
      </c>
      <c r="U270" s="17">
        <f>IF(MONTH(Table1[[#This Row],[Reporting date]])&lt;Policy_Inception_Month,YEAR(Table1[[#This Row],[Reporting date]])-1,YEAR(Table1[[#This Row],[Reporting date]]))</f>
        <v>2014</v>
      </c>
      <c r="V270" s="17">
        <f>Table1[[#This Row],[Reporting year]]-Table1[[#This Row],[Policy Year]]</f>
        <v>1</v>
      </c>
      <c r="W270" s="17">
        <f>INT(Table1[[#This Row],[Reporting date]])-INT(Table1[[#This Row],[Loss date]])</f>
        <v>336</v>
      </c>
      <c r="X270" s="17">
        <f>INT((YEAR(Table1[[#This Row],[Loss date]])*12+MONTH(Table1[[#This Row],[Loss date]])-Earliest_Month)/4)</f>
        <v>24</v>
      </c>
      <c r="Y270" s="17">
        <f>INT((YEAR(Table1[[#This Row],[Reporting date]])*12+MONTH(Table1[[#This Row],[Reporting date]])-Earliest_Month)/4)</f>
        <v>27</v>
      </c>
      <c r="Z270" s="17">
        <f>Table1[[#This Row],[Reporting third]]-Table1[[#This Row],[Policy third]]</f>
        <v>3</v>
      </c>
      <c r="AA270" s="71">
        <f>IF(Table1[[#This Row],[Overall amount]]=0,"N/A",Table1[[#This Row],[Outstanding]]/Table1[[#This Row],[Overall amount]])</f>
        <v>1.0349109976542017</v>
      </c>
      <c r="AB270" s="17">
        <f>IF(MONTH(Table1[[#This Row],[Loss date]])&lt;Pol_Inc_Month_Shifted,YEAR(Table1[[#This Row],[Loss date]])-1,YEAR(Table1[[#This Row],[Loss date]]))</f>
        <v>2012</v>
      </c>
      <c r="AC270" s="17">
        <f>IF(MONTH(Table1[[#This Row],[Reporting date]])&lt;Pol_Inc_Month_Shifted,YEAR(Table1[[#This Row],[Reporting date]])-1,YEAR(Table1[[#This Row],[Reporting date]]))</f>
        <v>2013</v>
      </c>
      <c r="AD270" s="17">
        <f>Table1[[#This Row],[Reporting year (shifted)]]-Table1[[#This Row],[Policy Year (shifted)]]</f>
        <v>1</v>
      </c>
    </row>
    <row r="271" spans="1:30" ht="13.9">
      <c r="A271" s="8" t="s">
        <v>2041</v>
      </c>
      <c r="B271" s="8" t="s">
        <v>323</v>
      </c>
      <c r="C271" s="8" t="s">
        <v>123</v>
      </c>
      <c r="D271" s="9">
        <v>41547</v>
      </c>
      <c r="E271" s="9">
        <v>41764</v>
      </c>
      <c r="F271" s="17">
        <f>IF(MONTH(Table1[[#This Row],[Loss date]])&lt;Policy_Inception_Month,YEAR(Table1[[#This Row],[Loss date]])-1,YEAR(Table1[[#This Row],[Loss date]]))</f>
        <v>2013</v>
      </c>
      <c r="G271" s="10" t="s">
        <v>125</v>
      </c>
      <c r="H271" s="10" t="s">
        <v>2</v>
      </c>
      <c r="I271" s="11">
        <v>0</v>
      </c>
      <c r="J271" s="11">
        <v>12516.170818569566</v>
      </c>
      <c r="K271" s="11">
        <v>12516.170818569566</v>
      </c>
      <c r="L271" s="12">
        <v>0</v>
      </c>
      <c r="M271" s="12">
        <v>0</v>
      </c>
      <c r="N271" s="12">
        <v>12516.170818569566</v>
      </c>
      <c r="O271" s="70">
        <f>IF(Table1[[#This Row],[Overall amount]]=0,0,1)</f>
        <v>1</v>
      </c>
      <c r="P271" s="70">
        <f>Table1[[#This Row],[Overall amount]]*Exchange_Rate</f>
        <v>12516.170818569566</v>
      </c>
      <c r="Q271" s="70">
        <f>Table1[[#This Row],[Overall (destination currency)]]*(1+Claims_Inflation)^((Revalue_at_date-Table1[[#This Row],[Loss date]])/365.25)</f>
        <v>13800</v>
      </c>
      <c r="R271" s="70">
        <f>INT(Table1[[#This Row],[Reporting date]])-INT(Table1[[#This Row],[Loss date]])</f>
        <v>217</v>
      </c>
      <c r="S271" s="69" t="s">
        <v>16</v>
      </c>
      <c r="T271" s="70">
        <f>VLOOKUP(Table1[[#This Row],[Policy Year]],exposure_table,3,FALSE)</f>
        <v>1090.5865384615383</v>
      </c>
      <c r="U271" s="17">
        <f>IF(MONTH(Table1[[#This Row],[Reporting date]])&lt;Policy_Inception_Month,YEAR(Table1[[#This Row],[Reporting date]])-1,YEAR(Table1[[#This Row],[Reporting date]]))</f>
        <v>2014</v>
      </c>
      <c r="V271" s="17">
        <f>Table1[[#This Row],[Reporting year]]-Table1[[#This Row],[Policy Year]]</f>
        <v>1</v>
      </c>
      <c r="W271" s="17">
        <f>INT(Table1[[#This Row],[Reporting date]])-INT(Table1[[#This Row],[Loss date]])</f>
        <v>217</v>
      </c>
      <c r="X271" s="17">
        <f>INT((YEAR(Table1[[#This Row],[Loss date]])*12+MONTH(Table1[[#This Row],[Loss date]])-Earliest_Month)/4)</f>
        <v>25</v>
      </c>
      <c r="Y271" s="17">
        <f>INT((YEAR(Table1[[#This Row],[Reporting date]])*12+MONTH(Table1[[#This Row],[Reporting date]])-Earliest_Month)/4)</f>
        <v>27</v>
      </c>
      <c r="Z271" s="17">
        <f>Table1[[#This Row],[Reporting third]]-Table1[[#This Row],[Policy third]]</f>
        <v>2</v>
      </c>
      <c r="AA271" s="71">
        <f>IF(Table1[[#This Row],[Overall amount]]=0,"N/A",Table1[[#This Row],[Outstanding]]/Table1[[#This Row],[Overall amount]])</f>
        <v>1</v>
      </c>
      <c r="AB271" s="17">
        <f>IF(MONTH(Table1[[#This Row],[Loss date]])&lt;Pol_Inc_Month_Shifted,YEAR(Table1[[#This Row],[Loss date]])-1,YEAR(Table1[[#This Row],[Loss date]]))</f>
        <v>2012</v>
      </c>
      <c r="AC271" s="17">
        <f>IF(MONTH(Table1[[#This Row],[Reporting date]])&lt;Pol_Inc_Month_Shifted,YEAR(Table1[[#This Row],[Reporting date]])-1,YEAR(Table1[[#This Row],[Reporting date]]))</f>
        <v>2013</v>
      </c>
      <c r="AD271" s="17">
        <f>Table1[[#This Row],[Reporting year (shifted)]]-Table1[[#This Row],[Policy Year (shifted)]]</f>
        <v>1</v>
      </c>
    </row>
    <row r="272" spans="1:30" ht="13.9">
      <c r="A272" s="8" t="s">
        <v>2042</v>
      </c>
      <c r="B272" s="8" t="s">
        <v>324</v>
      </c>
      <c r="C272" s="8" t="s">
        <v>123</v>
      </c>
      <c r="D272" s="9">
        <v>41363</v>
      </c>
      <c r="E272" s="9">
        <v>41776</v>
      </c>
      <c r="F272" s="17">
        <f>IF(MONTH(Table1[[#This Row],[Loss date]])&lt;Policy_Inception_Month,YEAR(Table1[[#This Row],[Loss date]])-1,YEAR(Table1[[#This Row],[Loss date]]))</f>
        <v>2012</v>
      </c>
      <c r="G272" s="10" t="s">
        <v>125</v>
      </c>
      <c r="H272" s="10" t="s">
        <v>2</v>
      </c>
      <c r="I272" s="11">
        <v>0</v>
      </c>
      <c r="J272" s="11">
        <v>11150.350592426765</v>
      </c>
      <c r="K272" s="11">
        <v>11150.350592426765</v>
      </c>
      <c r="L272" s="12">
        <v>0</v>
      </c>
      <c r="M272" s="12">
        <v>0</v>
      </c>
      <c r="N272" s="12">
        <v>11150.350592426765</v>
      </c>
      <c r="O272" s="70">
        <f>IF(Table1[[#This Row],[Overall amount]]=0,0,1)</f>
        <v>1</v>
      </c>
      <c r="P272" s="70">
        <f>Table1[[#This Row],[Overall amount]]*Exchange_Rate</f>
        <v>11150.350592426765</v>
      </c>
      <c r="Q272" s="70">
        <f>Table1[[#This Row],[Overall (destination currency)]]*(1+Claims_Inflation)^((Revalue_at_date-Table1[[#This Row],[Loss date]])/365.25)</f>
        <v>12600</v>
      </c>
      <c r="R272" s="70">
        <f>INT(Table1[[#This Row],[Reporting date]])-INT(Table1[[#This Row],[Loss date]])</f>
        <v>413</v>
      </c>
      <c r="S272" s="69" t="s">
        <v>16</v>
      </c>
      <c r="T272" s="70">
        <f>VLOOKUP(Table1[[#This Row],[Policy Year]],exposure_table,3,FALSE)</f>
        <v>1057.54</v>
      </c>
      <c r="U272" s="17">
        <f>IF(MONTH(Table1[[#This Row],[Reporting date]])&lt;Policy_Inception_Month,YEAR(Table1[[#This Row],[Reporting date]])-1,YEAR(Table1[[#This Row],[Reporting date]]))</f>
        <v>2014</v>
      </c>
      <c r="V272" s="17">
        <f>Table1[[#This Row],[Reporting year]]-Table1[[#This Row],[Policy Year]]</f>
        <v>2</v>
      </c>
      <c r="W272" s="17">
        <f>INT(Table1[[#This Row],[Reporting date]])-INT(Table1[[#This Row],[Loss date]])</f>
        <v>413</v>
      </c>
      <c r="X272" s="17">
        <f>INT((YEAR(Table1[[#This Row],[Loss date]])*12+MONTH(Table1[[#This Row],[Loss date]])-Earliest_Month)/4)</f>
        <v>23</v>
      </c>
      <c r="Y272" s="17">
        <f>INT((YEAR(Table1[[#This Row],[Reporting date]])*12+MONTH(Table1[[#This Row],[Reporting date]])-Earliest_Month)/4)</f>
        <v>27</v>
      </c>
      <c r="Z272" s="17">
        <f>Table1[[#This Row],[Reporting third]]-Table1[[#This Row],[Policy third]]</f>
        <v>4</v>
      </c>
      <c r="AA272" s="71">
        <f>IF(Table1[[#This Row],[Overall amount]]=0,"N/A",Table1[[#This Row],[Outstanding]]/Table1[[#This Row],[Overall amount]])</f>
        <v>1</v>
      </c>
      <c r="AB272" s="17">
        <f>IF(MONTH(Table1[[#This Row],[Loss date]])&lt;Pol_Inc_Month_Shifted,YEAR(Table1[[#This Row],[Loss date]])-1,YEAR(Table1[[#This Row],[Loss date]]))</f>
        <v>2012</v>
      </c>
      <c r="AC272" s="17">
        <f>IF(MONTH(Table1[[#This Row],[Reporting date]])&lt;Pol_Inc_Month_Shifted,YEAR(Table1[[#This Row],[Reporting date]])-1,YEAR(Table1[[#This Row],[Reporting date]]))</f>
        <v>2013</v>
      </c>
      <c r="AD272" s="17">
        <f>Table1[[#This Row],[Reporting year (shifted)]]-Table1[[#This Row],[Policy Year (shifted)]]</f>
        <v>1</v>
      </c>
    </row>
    <row r="273" spans="1:30" ht="13.9">
      <c r="A273" s="8" t="s">
        <v>2043</v>
      </c>
      <c r="B273" s="8" t="s">
        <v>325</v>
      </c>
      <c r="C273" s="8" t="s">
        <v>123</v>
      </c>
      <c r="D273" s="9">
        <v>41111</v>
      </c>
      <c r="E273" s="9">
        <v>41771</v>
      </c>
      <c r="F273" s="17">
        <f>IF(MONTH(Table1[[#This Row],[Loss date]])&lt;Policy_Inception_Month,YEAR(Table1[[#This Row],[Loss date]])-1,YEAR(Table1[[#This Row],[Loss date]]))</f>
        <v>2012</v>
      </c>
      <c r="G273" s="10" t="s">
        <v>125</v>
      </c>
      <c r="H273" s="10" t="s">
        <v>2</v>
      </c>
      <c r="I273" s="11">
        <v>6032.3673908549254</v>
      </c>
      <c r="J273" s="11">
        <v>0</v>
      </c>
      <c r="K273" s="11">
        <v>6032.3673908549254</v>
      </c>
      <c r="L273" s="12">
        <v>0</v>
      </c>
      <c r="M273" s="12">
        <v>0</v>
      </c>
      <c r="N273" s="12">
        <v>6032.3673908549254</v>
      </c>
      <c r="O273" s="70">
        <f>IF(Table1[[#This Row],[Overall amount]]=0,0,1)</f>
        <v>1</v>
      </c>
      <c r="P273" s="70">
        <f>Table1[[#This Row],[Overall amount]]*Exchange_Rate</f>
        <v>6032.3673908549254</v>
      </c>
      <c r="Q273" s="70">
        <f>Table1[[#This Row],[Overall (destination currency)]]*(1+Claims_Inflation)^((Revalue_at_date-Table1[[#This Row],[Loss date]])/365.25)</f>
        <v>7050.0000000000009</v>
      </c>
      <c r="R273" s="70">
        <f>INT(Table1[[#This Row],[Reporting date]])-INT(Table1[[#This Row],[Loss date]])</f>
        <v>660</v>
      </c>
      <c r="S273" s="69" t="s">
        <v>9</v>
      </c>
      <c r="T273" s="70">
        <f>VLOOKUP(Table1[[#This Row],[Policy Year]],exposure_table,3,FALSE)</f>
        <v>1057.54</v>
      </c>
      <c r="U273" s="17">
        <f>IF(MONTH(Table1[[#This Row],[Reporting date]])&lt;Policy_Inception_Month,YEAR(Table1[[#This Row],[Reporting date]])-1,YEAR(Table1[[#This Row],[Reporting date]]))</f>
        <v>2014</v>
      </c>
      <c r="V273" s="17">
        <f>Table1[[#This Row],[Reporting year]]-Table1[[#This Row],[Policy Year]]</f>
        <v>2</v>
      </c>
      <c r="W273" s="17">
        <f>INT(Table1[[#This Row],[Reporting date]])-INT(Table1[[#This Row],[Loss date]])</f>
        <v>660</v>
      </c>
      <c r="X273" s="17">
        <f>INT((YEAR(Table1[[#This Row],[Loss date]])*12+MONTH(Table1[[#This Row],[Loss date]])-Earliest_Month)/4)</f>
        <v>21</v>
      </c>
      <c r="Y273" s="17">
        <f>INT((YEAR(Table1[[#This Row],[Reporting date]])*12+MONTH(Table1[[#This Row],[Reporting date]])-Earliest_Month)/4)</f>
        <v>27</v>
      </c>
      <c r="Z273" s="17">
        <f>Table1[[#This Row],[Reporting third]]-Table1[[#This Row],[Policy third]]</f>
        <v>6</v>
      </c>
      <c r="AA273" s="71">
        <f>IF(Table1[[#This Row],[Overall amount]]=0,"N/A",Table1[[#This Row],[Outstanding]]/Table1[[#This Row],[Overall amount]])</f>
        <v>0</v>
      </c>
      <c r="AB273" s="17">
        <f>IF(MONTH(Table1[[#This Row],[Loss date]])&lt;Pol_Inc_Month_Shifted,YEAR(Table1[[#This Row],[Loss date]])-1,YEAR(Table1[[#This Row],[Loss date]]))</f>
        <v>2011</v>
      </c>
      <c r="AC273" s="17">
        <f>IF(MONTH(Table1[[#This Row],[Reporting date]])&lt;Pol_Inc_Month_Shifted,YEAR(Table1[[#This Row],[Reporting date]])-1,YEAR(Table1[[#This Row],[Reporting date]]))</f>
        <v>2013</v>
      </c>
      <c r="AD273" s="17">
        <f>Table1[[#This Row],[Reporting year (shifted)]]-Table1[[#This Row],[Policy Year (shifted)]]</f>
        <v>2</v>
      </c>
    </row>
    <row r="274" spans="1:30" ht="13.9">
      <c r="A274" s="8" t="s">
        <v>2044</v>
      </c>
      <c r="B274" s="8" t="s">
        <v>326</v>
      </c>
      <c r="C274" s="8" t="s">
        <v>123</v>
      </c>
      <c r="D274" s="9">
        <v>41666</v>
      </c>
      <c r="E274" s="9">
        <v>41771</v>
      </c>
      <c r="F274" s="17">
        <f>IF(MONTH(Table1[[#This Row],[Loss date]])&lt;Policy_Inception_Month,YEAR(Table1[[#This Row],[Loss date]])-1,YEAR(Table1[[#This Row],[Loss date]]))</f>
        <v>2013</v>
      </c>
      <c r="G274" s="10" t="s">
        <v>125</v>
      </c>
      <c r="H274" s="10" t="s">
        <v>2</v>
      </c>
      <c r="I274" s="11">
        <v>0</v>
      </c>
      <c r="J274" s="11">
        <v>12716.718133701605</v>
      </c>
      <c r="K274" s="11">
        <v>12716.718133701605</v>
      </c>
      <c r="L274" s="12">
        <v>0</v>
      </c>
      <c r="M274" s="12">
        <v>39.145375820264064</v>
      </c>
      <c r="N274" s="12">
        <v>12677.57275788134</v>
      </c>
      <c r="O274" s="70">
        <f>IF(Table1[[#This Row],[Overall amount]]=0,0,1)</f>
        <v>1</v>
      </c>
      <c r="P274" s="70">
        <f>Table1[[#This Row],[Overall amount]]*Exchange_Rate</f>
        <v>12677.57275788134</v>
      </c>
      <c r="Q274" s="70">
        <f>Table1[[#This Row],[Overall (destination currency)]]*(1+Claims_Inflation)^((Revalue_at_date-Table1[[#This Row],[Loss date]])/365.25)</f>
        <v>13757.52</v>
      </c>
      <c r="R274" s="70">
        <f>INT(Table1[[#This Row],[Reporting date]])-INT(Table1[[#This Row],[Loss date]])</f>
        <v>105</v>
      </c>
      <c r="S274" s="69" t="s">
        <v>16</v>
      </c>
      <c r="T274" s="70">
        <f>VLOOKUP(Table1[[#This Row],[Policy Year]],exposure_table,3,FALSE)</f>
        <v>1090.5865384615383</v>
      </c>
      <c r="U274" s="17">
        <f>IF(MONTH(Table1[[#This Row],[Reporting date]])&lt;Policy_Inception_Month,YEAR(Table1[[#This Row],[Reporting date]])-1,YEAR(Table1[[#This Row],[Reporting date]]))</f>
        <v>2014</v>
      </c>
      <c r="V274" s="17">
        <f>Table1[[#This Row],[Reporting year]]-Table1[[#This Row],[Policy Year]]</f>
        <v>1</v>
      </c>
      <c r="W274" s="17">
        <f>INT(Table1[[#This Row],[Reporting date]])-INT(Table1[[#This Row],[Loss date]])</f>
        <v>105</v>
      </c>
      <c r="X274" s="17">
        <f>INT((YEAR(Table1[[#This Row],[Loss date]])*12+MONTH(Table1[[#This Row],[Loss date]])-Earliest_Month)/4)</f>
        <v>26</v>
      </c>
      <c r="Y274" s="17">
        <f>INT((YEAR(Table1[[#This Row],[Reporting date]])*12+MONTH(Table1[[#This Row],[Reporting date]])-Earliest_Month)/4)</f>
        <v>27</v>
      </c>
      <c r="Z274" s="17">
        <f>Table1[[#This Row],[Reporting third]]-Table1[[#This Row],[Policy third]]</f>
        <v>1</v>
      </c>
      <c r="AA274" s="71">
        <f>IF(Table1[[#This Row],[Overall amount]]=0,"N/A",Table1[[#This Row],[Outstanding]]/Table1[[#This Row],[Overall amount]])</f>
        <v>1.003087765818258</v>
      </c>
      <c r="AB274" s="17">
        <f>IF(MONTH(Table1[[#This Row],[Loss date]])&lt;Pol_Inc_Month_Shifted,YEAR(Table1[[#This Row],[Loss date]])-1,YEAR(Table1[[#This Row],[Loss date]]))</f>
        <v>2013</v>
      </c>
      <c r="AC274" s="17">
        <f>IF(MONTH(Table1[[#This Row],[Reporting date]])&lt;Pol_Inc_Month_Shifted,YEAR(Table1[[#This Row],[Reporting date]])-1,YEAR(Table1[[#This Row],[Reporting date]]))</f>
        <v>2013</v>
      </c>
      <c r="AD274" s="17">
        <f>Table1[[#This Row],[Reporting year (shifted)]]-Table1[[#This Row],[Policy Year (shifted)]]</f>
        <v>0</v>
      </c>
    </row>
    <row r="275" spans="1:30" ht="13.9">
      <c r="A275" s="8" t="s">
        <v>2045</v>
      </c>
      <c r="B275" s="8" t="s">
        <v>327</v>
      </c>
      <c r="C275" s="8" t="s">
        <v>123</v>
      </c>
      <c r="D275" s="9">
        <v>41671</v>
      </c>
      <c r="E275" s="9">
        <v>41771</v>
      </c>
      <c r="F275" s="17">
        <f>IF(MONTH(Table1[[#This Row],[Loss date]])&lt;Policy_Inception_Month,YEAR(Table1[[#This Row],[Loss date]])-1,YEAR(Table1[[#This Row],[Loss date]]))</f>
        <v>2013</v>
      </c>
      <c r="G275" s="10" t="s">
        <v>125</v>
      </c>
      <c r="H275" s="10" t="s">
        <v>2</v>
      </c>
      <c r="I275" s="11">
        <v>0</v>
      </c>
      <c r="J275" s="11">
        <v>9958.8635051688907</v>
      </c>
      <c r="K275" s="11">
        <v>9958.8635051688907</v>
      </c>
      <c r="L275" s="12">
        <v>331.96211683896297</v>
      </c>
      <c r="M275" s="12">
        <v>0</v>
      </c>
      <c r="N275" s="12">
        <v>10290.825622007853</v>
      </c>
      <c r="O275" s="70">
        <f>IF(Table1[[#This Row],[Overall amount]]=0,0,1)</f>
        <v>1</v>
      </c>
      <c r="P275" s="70">
        <f>Table1[[#This Row],[Overall amount]]*Exchange_Rate</f>
        <v>10290.825622007853</v>
      </c>
      <c r="Q275" s="70">
        <f>Table1[[#This Row],[Overall (destination currency)]]*(1+Claims_Inflation)^((Revalue_at_date-Table1[[#This Row],[Loss date]])/365.25)</f>
        <v>11160</v>
      </c>
      <c r="R275" s="70">
        <f>INT(Table1[[#This Row],[Reporting date]])-INT(Table1[[#This Row],[Loss date]])</f>
        <v>100</v>
      </c>
      <c r="S275" s="69" t="s">
        <v>16</v>
      </c>
      <c r="T275" s="70">
        <f>VLOOKUP(Table1[[#This Row],[Policy Year]],exposure_table,3,FALSE)</f>
        <v>1090.5865384615383</v>
      </c>
      <c r="U275" s="17">
        <f>IF(MONTH(Table1[[#This Row],[Reporting date]])&lt;Policy_Inception_Month,YEAR(Table1[[#This Row],[Reporting date]])-1,YEAR(Table1[[#This Row],[Reporting date]]))</f>
        <v>2014</v>
      </c>
      <c r="V275" s="17">
        <f>Table1[[#This Row],[Reporting year]]-Table1[[#This Row],[Policy Year]]</f>
        <v>1</v>
      </c>
      <c r="W275" s="17">
        <f>INT(Table1[[#This Row],[Reporting date]])-INT(Table1[[#This Row],[Loss date]])</f>
        <v>100</v>
      </c>
      <c r="X275" s="17">
        <f>INT((YEAR(Table1[[#This Row],[Loss date]])*12+MONTH(Table1[[#This Row],[Loss date]])-Earliest_Month)/4)</f>
        <v>26</v>
      </c>
      <c r="Y275" s="17">
        <f>INT((YEAR(Table1[[#This Row],[Reporting date]])*12+MONTH(Table1[[#This Row],[Reporting date]])-Earliest_Month)/4)</f>
        <v>27</v>
      </c>
      <c r="Z275" s="17">
        <f>Table1[[#This Row],[Reporting third]]-Table1[[#This Row],[Policy third]]</f>
        <v>1</v>
      </c>
      <c r="AA275" s="71">
        <f>IF(Table1[[#This Row],[Overall amount]]=0,"N/A",Table1[[#This Row],[Outstanding]]/Table1[[#This Row],[Overall amount]])</f>
        <v>0.967741935483871</v>
      </c>
      <c r="AB275" s="17">
        <f>IF(MONTH(Table1[[#This Row],[Loss date]])&lt;Pol_Inc_Month_Shifted,YEAR(Table1[[#This Row],[Loss date]])-1,YEAR(Table1[[#This Row],[Loss date]]))</f>
        <v>2013</v>
      </c>
      <c r="AC275" s="17">
        <f>IF(MONTH(Table1[[#This Row],[Reporting date]])&lt;Pol_Inc_Month_Shifted,YEAR(Table1[[#This Row],[Reporting date]])-1,YEAR(Table1[[#This Row],[Reporting date]]))</f>
        <v>2013</v>
      </c>
      <c r="AD275" s="17">
        <f>Table1[[#This Row],[Reporting year (shifted)]]-Table1[[#This Row],[Policy Year (shifted)]]</f>
        <v>0</v>
      </c>
    </row>
    <row r="276" spans="1:30" ht="13.9">
      <c r="A276" s="8" t="s">
        <v>2046</v>
      </c>
      <c r="B276" s="8" t="s">
        <v>328</v>
      </c>
      <c r="C276" s="8" t="s">
        <v>123</v>
      </c>
      <c r="D276" s="9">
        <v>41436</v>
      </c>
      <c r="E276" s="9">
        <v>41791</v>
      </c>
      <c r="F276" s="17">
        <f>IF(MONTH(Table1[[#This Row],[Loss date]])&lt;Policy_Inception_Month,YEAR(Table1[[#This Row],[Loss date]])-1,YEAR(Table1[[#This Row],[Loss date]]))</f>
        <v>2013</v>
      </c>
      <c r="G276" s="10" t="s">
        <v>125</v>
      </c>
      <c r="H276" s="10" t="s">
        <v>2</v>
      </c>
      <c r="I276" s="11">
        <v>0</v>
      </c>
      <c r="J276" s="11">
        <v>11581.316713037211</v>
      </c>
      <c r="K276" s="11">
        <v>11581.316713037211</v>
      </c>
      <c r="L276" s="12">
        <v>0</v>
      </c>
      <c r="M276" s="12">
        <v>416.60569842731081</v>
      </c>
      <c r="N276" s="12">
        <v>11164.7110146099</v>
      </c>
      <c r="O276" s="70">
        <f>IF(Table1[[#This Row],[Overall amount]]=0,0,1)</f>
        <v>1</v>
      </c>
      <c r="P276" s="70">
        <f>Table1[[#This Row],[Overall amount]]*Exchange_Rate</f>
        <v>11164.7110146099</v>
      </c>
      <c r="Q276" s="70">
        <f>Table1[[#This Row],[Overall (destination currency)]]*(1+Claims_Inflation)^((Revalue_at_date-Table1[[#This Row],[Loss date]])/365.25)</f>
        <v>12493.8</v>
      </c>
      <c r="R276" s="70">
        <f>INT(Table1[[#This Row],[Reporting date]])-INT(Table1[[#This Row],[Loss date]])</f>
        <v>355</v>
      </c>
      <c r="S276" s="69" t="s">
        <v>16</v>
      </c>
      <c r="T276" s="70">
        <f>VLOOKUP(Table1[[#This Row],[Policy Year]],exposure_table,3,FALSE)</f>
        <v>1090.5865384615383</v>
      </c>
      <c r="U276" s="17">
        <f>IF(MONTH(Table1[[#This Row],[Reporting date]])&lt;Policy_Inception_Month,YEAR(Table1[[#This Row],[Reporting date]])-1,YEAR(Table1[[#This Row],[Reporting date]]))</f>
        <v>2014</v>
      </c>
      <c r="V276" s="17">
        <f>Table1[[#This Row],[Reporting year]]-Table1[[#This Row],[Policy Year]]</f>
        <v>1</v>
      </c>
      <c r="W276" s="17">
        <f>INT(Table1[[#This Row],[Reporting date]])-INT(Table1[[#This Row],[Loss date]])</f>
        <v>355</v>
      </c>
      <c r="X276" s="17">
        <f>INT((YEAR(Table1[[#This Row],[Loss date]])*12+MONTH(Table1[[#This Row],[Loss date]])-Earliest_Month)/4)</f>
        <v>24</v>
      </c>
      <c r="Y276" s="17">
        <f>INT((YEAR(Table1[[#This Row],[Reporting date]])*12+MONTH(Table1[[#This Row],[Reporting date]])-Earliest_Month)/4)</f>
        <v>27</v>
      </c>
      <c r="Z276" s="17">
        <f>Table1[[#This Row],[Reporting third]]-Table1[[#This Row],[Policy third]]</f>
        <v>3</v>
      </c>
      <c r="AA276" s="71">
        <f>IF(Table1[[#This Row],[Overall amount]]=0,"N/A",Table1[[#This Row],[Outstanding]]/Table1[[#This Row],[Overall amount]])</f>
        <v>1.037314507995966</v>
      </c>
      <c r="AB276" s="17">
        <f>IF(MONTH(Table1[[#This Row],[Loss date]])&lt;Pol_Inc_Month_Shifted,YEAR(Table1[[#This Row],[Loss date]])-1,YEAR(Table1[[#This Row],[Loss date]]))</f>
        <v>2012</v>
      </c>
      <c r="AC276" s="17">
        <f>IF(MONTH(Table1[[#This Row],[Reporting date]])&lt;Pol_Inc_Month_Shifted,YEAR(Table1[[#This Row],[Reporting date]])-1,YEAR(Table1[[#This Row],[Reporting date]]))</f>
        <v>2013</v>
      </c>
      <c r="AD276" s="17">
        <f>Table1[[#This Row],[Reporting year (shifted)]]-Table1[[#This Row],[Policy Year (shifted)]]</f>
        <v>1</v>
      </c>
    </row>
    <row r="277" spans="1:30" ht="13.9">
      <c r="A277" s="8" t="s">
        <v>2047</v>
      </c>
      <c r="B277" s="8" t="s">
        <v>329</v>
      </c>
      <c r="C277" s="8" t="s">
        <v>123</v>
      </c>
      <c r="D277" s="9">
        <v>40930</v>
      </c>
      <c r="E277" s="9">
        <v>41799</v>
      </c>
      <c r="F277" s="17">
        <f>IF(MONTH(Table1[[#This Row],[Loss date]])&lt;Policy_Inception_Month,YEAR(Table1[[#This Row],[Loss date]])-1,YEAR(Table1[[#This Row],[Loss date]]))</f>
        <v>2011</v>
      </c>
      <c r="G277" s="10" t="s">
        <v>141</v>
      </c>
      <c r="H277" s="10" t="s">
        <v>2</v>
      </c>
      <c r="I277" s="11">
        <v>0</v>
      </c>
      <c r="J277" s="11">
        <v>14833.418503339019</v>
      </c>
      <c r="K277" s="11">
        <v>14833.418503339019</v>
      </c>
      <c r="L277" s="12">
        <v>0</v>
      </c>
      <c r="M277" s="12">
        <v>0</v>
      </c>
      <c r="N277" s="12">
        <v>14833.418503339019</v>
      </c>
      <c r="O277" s="70">
        <f>IF(Table1[[#This Row],[Overall amount]]=0,0,1)</f>
        <v>1</v>
      </c>
      <c r="P277" s="70">
        <f>Table1[[#This Row],[Overall amount]]*Exchange_Rate</f>
        <v>14833.418503339019</v>
      </c>
      <c r="Q277" s="70">
        <f>Table1[[#This Row],[Overall (destination currency)]]*(1+Claims_Inflation)^((Revalue_at_date-Table1[[#This Row],[Loss date]])/365.25)</f>
        <v>17760</v>
      </c>
      <c r="R277" s="70">
        <f>INT(Table1[[#This Row],[Reporting date]])-INT(Table1[[#This Row],[Loss date]])</f>
        <v>869</v>
      </c>
      <c r="S277" s="69" t="s">
        <v>16</v>
      </c>
      <c r="T277" s="70">
        <f>VLOOKUP(Table1[[#This Row],[Policy Year]],exposure_table,3,FALSE)</f>
        <v>870.52680000000009</v>
      </c>
      <c r="U277" s="17">
        <f>IF(MONTH(Table1[[#This Row],[Reporting date]])&lt;Policy_Inception_Month,YEAR(Table1[[#This Row],[Reporting date]])-1,YEAR(Table1[[#This Row],[Reporting date]]))</f>
        <v>2014</v>
      </c>
      <c r="V277" s="17">
        <f>Table1[[#This Row],[Reporting year]]-Table1[[#This Row],[Policy Year]]</f>
        <v>3</v>
      </c>
      <c r="W277" s="17">
        <f>INT(Table1[[#This Row],[Reporting date]])-INT(Table1[[#This Row],[Loss date]])</f>
        <v>869</v>
      </c>
      <c r="X277" s="17">
        <f>INT((YEAR(Table1[[#This Row],[Loss date]])*12+MONTH(Table1[[#This Row],[Loss date]])-Earliest_Month)/4)</f>
        <v>20</v>
      </c>
      <c r="Y277" s="17">
        <f>INT((YEAR(Table1[[#This Row],[Reporting date]])*12+MONTH(Table1[[#This Row],[Reporting date]])-Earliest_Month)/4)</f>
        <v>27</v>
      </c>
      <c r="Z277" s="17">
        <f>Table1[[#This Row],[Reporting third]]-Table1[[#This Row],[Policy third]]</f>
        <v>7</v>
      </c>
      <c r="AA277" s="71">
        <f>IF(Table1[[#This Row],[Overall amount]]=0,"N/A",Table1[[#This Row],[Outstanding]]/Table1[[#This Row],[Overall amount]])</f>
        <v>1</v>
      </c>
      <c r="AB277" s="17">
        <f>IF(MONTH(Table1[[#This Row],[Loss date]])&lt;Pol_Inc_Month_Shifted,YEAR(Table1[[#This Row],[Loss date]])-1,YEAR(Table1[[#This Row],[Loss date]]))</f>
        <v>2011</v>
      </c>
      <c r="AC277" s="17">
        <f>IF(MONTH(Table1[[#This Row],[Reporting date]])&lt;Pol_Inc_Month_Shifted,YEAR(Table1[[#This Row],[Reporting date]])-1,YEAR(Table1[[#This Row],[Reporting date]]))</f>
        <v>2013</v>
      </c>
      <c r="AD277" s="17">
        <f>Table1[[#This Row],[Reporting year (shifted)]]-Table1[[#This Row],[Policy Year (shifted)]]</f>
        <v>2</v>
      </c>
    </row>
    <row r="278" spans="1:30" ht="13.9">
      <c r="A278" s="8" t="s">
        <v>2048</v>
      </c>
      <c r="B278" s="8" t="s">
        <v>330</v>
      </c>
      <c r="C278" s="8" t="s">
        <v>123</v>
      </c>
      <c r="D278" s="9">
        <v>41113</v>
      </c>
      <c r="E278" s="9">
        <v>41807</v>
      </c>
      <c r="F278" s="17">
        <f>IF(MONTH(Table1[[#This Row],[Loss date]])&lt;Policy_Inception_Month,YEAR(Table1[[#This Row],[Loss date]])-1,YEAR(Table1[[#This Row],[Loss date]]))</f>
        <v>2012</v>
      </c>
      <c r="G278" s="10" t="s">
        <v>125</v>
      </c>
      <c r="H278" s="10" t="s">
        <v>2</v>
      </c>
      <c r="I278" s="11">
        <v>0</v>
      </c>
      <c r="J278" s="11">
        <v>9757.0727743397583</v>
      </c>
      <c r="K278" s="11">
        <v>9757.0727743397583</v>
      </c>
      <c r="L278" s="12">
        <v>0</v>
      </c>
      <c r="M278" s="12">
        <v>0</v>
      </c>
      <c r="N278" s="12">
        <v>9757.0727743397583</v>
      </c>
      <c r="O278" s="70">
        <f>IF(Table1[[#This Row],[Overall amount]]=0,0,1)</f>
        <v>1</v>
      </c>
      <c r="P278" s="70">
        <f>Table1[[#This Row],[Overall amount]]*Exchange_Rate</f>
        <v>9757.0727743397583</v>
      </c>
      <c r="Q278" s="70">
        <f>Table1[[#This Row],[Overall (destination currency)]]*(1+Claims_Inflation)^((Revalue_at_date-Table1[[#This Row],[Loss date]])/365.25)</f>
        <v>11400</v>
      </c>
      <c r="R278" s="70">
        <f>INT(Table1[[#This Row],[Reporting date]])-INT(Table1[[#This Row],[Loss date]])</f>
        <v>694</v>
      </c>
      <c r="S278" s="69" t="s">
        <v>16</v>
      </c>
      <c r="T278" s="70">
        <f>VLOOKUP(Table1[[#This Row],[Policy Year]],exposure_table,3,FALSE)</f>
        <v>1057.54</v>
      </c>
      <c r="U278" s="17">
        <f>IF(MONTH(Table1[[#This Row],[Reporting date]])&lt;Policy_Inception_Month,YEAR(Table1[[#This Row],[Reporting date]])-1,YEAR(Table1[[#This Row],[Reporting date]]))</f>
        <v>2014</v>
      </c>
      <c r="V278" s="17">
        <f>Table1[[#This Row],[Reporting year]]-Table1[[#This Row],[Policy Year]]</f>
        <v>2</v>
      </c>
      <c r="W278" s="17">
        <f>INT(Table1[[#This Row],[Reporting date]])-INT(Table1[[#This Row],[Loss date]])</f>
        <v>694</v>
      </c>
      <c r="X278" s="17">
        <f>INT((YEAR(Table1[[#This Row],[Loss date]])*12+MONTH(Table1[[#This Row],[Loss date]])-Earliest_Month)/4)</f>
        <v>21</v>
      </c>
      <c r="Y278" s="17">
        <f>INT((YEAR(Table1[[#This Row],[Reporting date]])*12+MONTH(Table1[[#This Row],[Reporting date]])-Earliest_Month)/4)</f>
        <v>27</v>
      </c>
      <c r="Z278" s="17">
        <f>Table1[[#This Row],[Reporting third]]-Table1[[#This Row],[Policy third]]</f>
        <v>6</v>
      </c>
      <c r="AA278" s="71">
        <f>IF(Table1[[#This Row],[Overall amount]]=0,"N/A",Table1[[#This Row],[Outstanding]]/Table1[[#This Row],[Overall amount]])</f>
        <v>1</v>
      </c>
      <c r="AB278" s="17">
        <f>IF(MONTH(Table1[[#This Row],[Loss date]])&lt;Pol_Inc_Month_Shifted,YEAR(Table1[[#This Row],[Loss date]])-1,YEAR(Table1[[#This Row],[Loss date]]))</f>
        <v>2011</v>
      </c>
      <c r="AC278" s="17">
        <f>IF(MONTH(Table1[[#This Row],[Reporting date]])&lt;Pol_Inc_Month_Shifted,YEAR(Table1[[#This Row],[Reporting date]])-1,YEAR(Table1[[#This Row],[Reporting date]]))</f>
        <v>2013</v>
      </c>
      <c r="AD278" s="17">
        <f>Table1[[#This Row],[Reporting year (shifted)]]-Table1[[#This Row],[Policy Year (shifted)]]</f>
        <v>2</v>
      </c>
    </row>
    <row r="279" spans="1:30" ht="13.9">
      <c r="A279" s="8" t="s">
        <v>2049</v>
      </c>
      <c r="B279" s="8" t="s">
        <v>331</v>
      </c>
      <c r="C279" s="8" t="s">
        <v>123</v>
      </c>
      <c r="D279" s="9">
        <v>41510</v>
      </c>
      <c r="E279" s="9">
        <v>41797</v>
      </c>
      <c r="F279" s="17">
        <f>IF(MONTH(Table1[[#This Row],[Loss date]])&lt;Policy_Inception_Month,YEAR(Table1[[#This Row],[Loss date]])-1,YEAR(Table1[[#This Row],[Loss date]]))</f>
        <v>2013</v>
      </c>
      <c r="G279" s="10" t="s">
        <v>126</v>
      </c>
      <c r="H279" s="10" t="s">
        <v>2</v>
      </c>
      <c r="I279" s="11">
        <v>0</v>
      </c>
      <c r="J279" s="11">
        <v>12779.36170447224</v>
      </c>
      <c r="K279" s="11">
        <v>12779.36170447224</v>
      </c>
      <c r="L279" s="12">
        <v>0</v>
      </c>
      <c r="M279" s="12">
        <v>0</v>
      </c>
      <c r="N279" s="12">
        <v>12779.36170447224</v>
      </c>
      <c r="O279" s="70">
        <f>IF(Table1[[#This Row],[Overall amount]]=0,0,1)</f>
        <v>1</v>
      </c>
      <c r="P279" s="70">
        <f>Table1[[#This Row],[Overall amount]]*Exchange_Rate</f>
        <v>12779.36170447224</v>
      </c>
      <c r="Q279" s="70">
        <f>Table1[[#This Row],[Overall (destination currency)]]*(1+Claims_Inflation)^((Revalue_at_date-Table1[[#This Row],[Loss date]])/365.25)</f>
        <v>14160</v>
      </c>
      <c r="R279" s="70">
        <f>INT(Table1[[#This Row],[Reporting date]])-INT(Table1[[#This Row],[Loss date]])</f>
        <v>287</v>
      </c>
      <c r="S279" s="69" t="s">
        <v>16</v>
      </c>
      <c r="T279" s="70">
        <f>VLOOKUP(Table1[[#This Row],[Policy Year]],exposure_table,3,FALSE)</f>
        <v>1090.5865384615383</v>
      </c>
      <c r="U279" s="17">
        <f>IF(MONTH(Table1[[#This Row],[Reporting date]])&lt;Policy_Inception_Month,YEAR(Table1[[#This Row],[Reporting date]])-1,YEAR(Table1[[#This Row],[Reporting date]]))</f>
        <v>2014</v>
      </c>
      <c r="V279" s="17">
        <f>Table1[[#This Row],[Reporting year]]-Table1[[#This Row],[Policy Year]]</f>
        <v>1</v>
      </c>
      <c r="W279" s="17">
        <f>INT(Table1[[#This Row],[Reporting date]])-INT(Table1[[#This Row],[Loss date]])</f>
        <v>287</v>
      </c>
      <c r="X279" s="17">
        <f>INT((YEAR(Table1[[#This Row],[Loss date]])*12+MONTH(Table1[[#This Row],[Loss date]])-Earliest_Month)/4)</f>
        <v>25</v>
      </c>
      <c r="Y279" s="17">
        <f>INT((YEAR(Table1[[#This Row],[Reporting date]])*12+MONTH(Table1[[#This Row],[Reporting date]])-Earliest_Month)/4)</f>
        <v>27</v>
      </c>
      <c r="Z279" s="17">
        <f>Table1[[#This Row],[Reporting third]]-Table1[[#This Row],[Policy third]]</f>
        <v>2</v>
      </c>
      <c r="AA279" s="71">
        <f>IF(Table1[[#This Row],[Overall amount]]=0,"N/A",Table1[[#This Row],[Outstanding]]/Table1[[#This Row],[Overall amount]])</f>
        <v>1</v>
      </c>
      <c r="AB279" s="17">
        <f>IF(MONTH(Table1[[#This Row],[Loss date]])&lt;Pol_Inc_Month_Shifted,YEAR(Table1[[#This Row],[Loss date]])-1,YEAR(Table1[[#This Row],[Loss date]]))</f>
        <v>2012</v>
      </c>
      <c r="AC279" s="17">
        <f>IF(MONTH(Table1[[#This Row],[Reporting date]])&lt;Pol_Inc_Month_Shifted,YEAR(Table1[[#This Row],[Reporting date]])-1,YEAR(Table1[[#This Row],[Reporting date]]))</f>
        <v>2013</v>
      </c>
      <c r="AD279" s="17">
        <f>Table1[[#This Row],[Reporting year (shifted)]]-Table1[[#This Row],[Policy Year (shifted)]]</f>
        <v>1</v>
      </c>
    </row>
    <row r="280" spans="1:30" ht="13.9">
      <c r="A280" s="8" t="s">
        <v>2050</v>
      </c>
      <c r="B280" s="8" t="s">
        <v>332</v>
      </c>
      <c r="C280" s="8" t="s">
        <v>123</v>
      </c>
      <c r="D280" s="9">
        <v>41733</v>
      </c>
      <c r="E280" s="9">
        <v>41744</v>
      </c>
      <c r="F280" s="17">
        <f>IF(MONTH(Table1[[#This Row],[Loss date]])&lt;Policy_Inception_Month,YEAR(Table1[[#This Row],[Loss date]])-1,YEAR(Table1[[#This Row],[Loss date]]))</f>
        <v>2014</v>
      </c>
      <c r="G280" s="10" t="s">
        <v>125</v>
      </c>
      <c r="H280" s="10" t="s">
        <v>2</v>
      </c>
      <c r="I280" s="11">
        <v>0</v>
      </c>
      <c r="J280" s="11">
        <v>18744.478705154645</v>
      </c>
      <c r="K280" s="11">
        <v>18744.478705154645</v>
      </c>
      <c r="L280" s="12">
        <v>0</v>
      </c>
      <c r="M280" s="12">
        <v>1698.0489369865986</v>
      </c>
      <c r="N280" s="12">
        <v>17046.429768168047</v>
      </c>
      <c r="O280" s="70">
        <f>IF(Table1[[#This Row],[Overall amount]]=0,0,1)</f>
        <v>1</v>
      </c>
      <c r="P280" s="70">
        <f>Table1[[#This Row],[Overall amount]]*Exchange_Rate</f>
        <v>17046.429768168047</v>
      </c>
      <c r="Q280" s="70">
        <f>Table1[[#This Row],[Overall (destination currency)]]*(1+Claims_Inflation)^((Revalue_at_date-Table1[[#This Row],[Loss date]])/365.25)</f>
        <v>18333.719999999998</v>
      </c>
      <c r="R280" s="70">
        <f>INT(Table1[[#This Row],[Reporting date]])-INT(Table1[[#This Row],[Loss date]])</f>
        <v>11</v>
      </c>
      <c r="S280" s="69" t="s">
        <v>16</v>
      </c>
      <c r="T280" s="70">
        <f>VLOOKUP(Table1[[#This Row],[Policy Year]],exposure_table,3,FALSE)</f>
        <v>1076.5070266272189</v>
      </c>
      <c r="U280" s="17">
        <f>IF(MONTH(Table1[[#This Row],[Reporting date]])&lt;Policy_Inception_Month,YEAR(Table1[[#This Row],[Reporting date]])-1,YEAR(Table1[[#This Row],[Reporting date]]))</f>
        <v>2014</v>
      </c>
      <c r="V280" s="17">
        <f>Table1[[#This Row],[Reporting year]]-Table1[[#This Row],[Policy Year]]</f>
        <v>0</v>
      </c>
      <c r="W280" s="17">
        <f>INT(Table1[[#This Row],[Reporting date]])-INT(Table1[[#This Row],[Loss date]])</f>
        <v>11</v>
      </c>
      <c r="X280" s="17">
        <f>INT((YEAR(Table1[[#This Row],[Loss date]])*12+MONTH(Table1[[#This Row],[Loss date]])-Earliest_Month)/4)</f>
        <v>27</v>
      </c>
      <c r="Y280" s="17">
        <f>INT((YEAR(Table1[[#This Row],[Reporting date]])*12+MONTH(Table1[[#This Row],[Reporting date]])-Earliest_Month)/4)</f>
        <v>27</v>
      </c>
      <c r="Z280" s="17">
        <f>Table1[[#This Row],[Reporting third]]-Table1[[#This Row],[Policy third]]</f>
        <v>0</v>
      </c>
      <c r="AA280" s="71">
        <f>IF(Table1[[#This Row],[Overall amount]]=0,"N/A",Table1[[#This Row],[Outstanding]]/Table1[[#This Row],[Overall amount]])</f>
        <v>1.099613171794922</v>
      </c>
      <c r="AB280" s="17">
        <f>IF(MONTH(Table1[[#This Row],[Loss date]])&lt;Pol_Inc_Month_Shifted,YEAR(Table1[[#This Row],[Loss date]])-1,YEAR(Table1[[#This Row],[Loss date]]))</f>
        <v>2013</v>
      </c>
      <c r="AC280" s="17">
        <f>IF(MONTH(Table1[[#This Row],[Reporting date]])&lt;Pol_Inc_Month_Shifted,YEAR(Table1[[#This Row],[Reporting date]])-1,YEAR(Table1[[#This Row],[Reporting date]]))</f>
        <v>2013</v>
      </c>
      <c r="AD280" s="17">
        <f>Table1[[#This Row],[Reporting year (shifted)]]-Table1[[#This Row],[Policy Year (shifted)]]</f>
        <v>0</v>
      </c>
    </row>
    <row r="281" spans="1:30" ht="13.9">
      <c r="A281" s="8" t="s">
        <v>2051</v>
      </c>
      <c r="B281" s="8" t="s">
        <v>333</v>
      </c>
      <c r="C281" s="8" t="s">
        <v>123</v>
      </c>
      <c r="D281" s="9">
        <v>41651</v>
      </c>
      <c r="E281" s="9">
        <v>41778</v>
      </c>
      <c r="F281" s="17">
        <f>IF(MONTH(Table1[[#This Row],[Loss date]])&lt;Policy_Inception_Month,YEAR(Table1[[#This Row],[Loss date]])-1,YEAR(Table1[[#This Row],[Loss date]]))</f>
        <v>2013</v>
      </c>
      <c r="G281" s="10" t="s">
        <v>125</v>
      </c>
      <c r="H281" s="10" t="s">
        <v>2</v>
      </c>
      <c r="I281" s="11">
        <v>0</v>
      </c>
      <c r="J281" s="11">
        <v>9270.1400181684276</v>
      </c>
      <c r="K281" s="11">
        <v>9270.1400181684276</v>
      </c>
      <c r="L281" s="12">
        <v>0</v>
      </c>
      <c r="M281" s="12">
        <v>0</v>
      </c>
      <c r="N281" s="12">
        <v>9270.1400181684276</v>
      </c>
      <c r="O281" s="70">
        <f>IF(Table1[[#This Row],[Overall amount]]=0,0,1)</f>
        <v>1</v>
      </c>
      <c r="P281" s="70">
        <f>Table1[[#This Row],[Overall amount]]*Exchange_Rate</f>
        <v>9270.1400181684276</v>
      </c>
      <c r="Q281" s="70">
        <f>Table1[[#This Row],[Overall (destination currency)]]*(1+Claims_Inflation)^((Revalue_at_date-Table1[[#This Row],[Loss date]])/365.25)</f>
        <v>10080</v>
      </c>
      <c r="R281" s="70">
        <f>INT(Table1[[#This Row],[Reporting date]])-INT(Table1[[#This Row],[Loss date]])</f>
        <v>127</v>
      </c>
      <c r="S281" s="69" t="s">
        <v>16</v>
      </c>
      <c r="T281" s="70">
        <f>VLOOKUP(Table1[[#This Row],[Policy Year]],exposure_table,3,FALSE)</f>
        <v>1090.5865384615383</v>
      </c>
      <c r="U281" s="17">
        <f>IF(MONTH(Table1[[#This Row],[Reporting date]])&lt;Policy_Inception_Month,YEAR(Table1[[#This Row],[Reporting date]])-1,YEAR(Table1[[#This Row],[Reporting date]]))</f>
        <v>2014</v>
      </c>
      <c r="V281" s="17">
        <f>Table1[[#This Row],[Reporting year]]-Table1[[#This Row],[Policy Year]]</f>
        <v>1</v>
      </c>
      <c r="W281" s="17">
        <f>INT(Table1[[#This Row],[Reporting date]])-INT(Table1[[#This Row],[Loss date]])</f>
        <v>127</v>
      </c>
      <c r="X281" s="17">
        <f>INT((YEAR(Table1[[#This Row],[Loss date]])*12+MONTH(Table1[[#This Row],[Loss date]])-Earliest_Month)/4)</f>
        <v>26</v>
      </c>
      <c r="Y281" s="17">
        <f>INT((YEAR(Table1[[#This Row],[Reporting date]])*12+MONTH(Table1[[#This Row],[Reporting date]])-Earliest_Month)/4)</f>
        <v>27</v>
      </c>
      <c r="Z281" s="17">
        <f>Table1[[#This Row],[Reporting third]]-Table1[[#This Row],[Policy third]]</f>
        <v>1</v>
      </c>
      <c r="AA281" s="71">
        <f>IF(Table1[[#This Row],[Overall amount]]=0,"N/A",Table1[[#This Row],[Outstanding]]/Table1[[#This Row],[Overall amount]])</f>
        <v>1</v>
      </c>
      <c r="AB281" s="17">
        <f>IF(MONTH(Table1[[#This Row],[Loss date]])&lt;Pol_Inc_Month_Shifted,YEAR(Table1[[#This Row],[Loss date]])-1,YEAR(Table1[[#This Row],[Loss date]]))</f>
        <v>2013</v>
      </c>
      <c r="AC281" s="17">
        <f>IF(MONTH(Table1[[#This Row],[Reporting date]])&lt;Pol_Inc_Month_Shifted,YEAR(Table1[[#This Row],[Reporting date]])-1,YEAR(Table1[[#This Row],[Reporting date]]))</f>
        <v>2013</v>
      </c>
      <c r="AD281" s="17">
        <f>Table1[[#This Row],[Reporting year (shifted)]]-Table1[[#This Row],[Policy Year (shifted)]]</f>
        <v>0</v>
      </c>
    </row>
    <row r="282" spans="1:30" ht="13.9">
      <c r="A282" s="8" t="s">
        <v>2052</v>
      </c>
      <c r="B282" s="8" t="s">
        <v>334</v>
      </c>
      <c r="C282" s="8" t="s">
        <v>123</v>
      </c>
      <c r="D282" s="9">
        <v>41483</v>
      </c>
      <c r="E282" s="9">
        <v>41804</v>
      </c>
      <c r="F282" s="17">
        <f>IF(MONTH(Table1[[#This Row],[Loss date]])&lt;Policy_Inception_Month,YEAR(Table1[[#This Row],[Loss date]])-1,YEAR(Table1[[#This Row],[Loss date]]))</f>
        <v>2013</v>
      </c>
      <c r="G282" s="10" t="s">
        <v>126</v>
      </c>
      <c r="H282" s="10" t="s">
        <v>2</v>
      </c>
      <c r="I282" s="11">
        <v>0</v>
      </c>
      <c r="J282" s="11">
        <v>12733.353843790175</v>
      </c>
      <c r="K282" s="11">
        <v>12733.353843790175</v>
      </c>
      <c r="L282" s="12">
        <v>0</v>
      </c>
      <c r="M282" s="12">
        <v>0</v>
      </c>
      <c r="N282" s="12">
        <v>12733.353843790175</v>
      </c>
      <c r="O282" s="70">
        <f>IF(Table1[[#This Row],[Overall amount]]=0,0,1)</f>
        <v>1</v>
      </c>
      <c r="P282" s="70">
        <f>Table1[[#This Row],[Overall amount]]*Exchange_Rate</f>
        <v>12733.353843790175</v>
      </c>
      <c r="Q282" s="70">
        <f>Table1[[#This Row],[Overall (destination currency)]]*(1+Claims_Inflation)^((Revalue_at_date-Table1[[#This Row],[Loss date]])/365.25)</f>
        <v>14160</v>
      </c>
      <c r="R282" s="70">
        <f>INT(Table1[[#This Row],[Reporting date]])-INT(Table1[[#This Row],[Loss date]])</f>
        <v>321</v>
      </c>
      <c r="S282" s="69" t="s">
        <v>16</v>
      </c>
      <c r="T282" s="70">
        <f>VLOOKUP(Table1[[#This Row],[Policy Year]],exposure_table,3,FALSE)</f>
        <v>1090.5865384615383</v>
      </c>
      <c r="U282" s="17">
        <f>IF(MONTH(Table1[[#This Row],[Reporting date]])&lt;Policy_Inception_Month,YEAR(Table1[[#This Row],[Reporting date]])-1,YEAR(Table1[[#This Row],[Reporting date]]))</f>
        <v>2014</v>
      </c>
      <c r="V282" s="17">
        <f>Table1[[#This Row],[Reporting year]]-Table1[[#This Row],[Policy Year]]</f>
        <v>1</v>
      </c>
      <c r="W282" s="17">
        <f>INT(Table1[[#This Row],[Reporting date]])-INT(Table1[[#This Row],[Loss date]])</f>
        <v>321</v>
      </c>
      <c r="X282" s="17">
        <f>INT((YEAR(Table1[[#This Row],[Loss date]])*12+MONTH(Table1[[#This Row],[Loss date]])-Earliest_Month)/4)</f>
        <v>24</v>
      </c>
      <c r="Y282" s="17">
        <f>INT((YEAR(Table1[[#This Row],[Reporting date]])*12+MONTH(Table1[[#This Row],[Reporting date]])-Earliest_Month)/4)</f>
        <v>27</v>
      </c>
      <c r="Z282" s="17">
        <f>Table1[[#This Row],[Reporting third]]-Table1[[#This Row],[Policy third]]</f>
        <v>3</v>
      </c>
      <c r="AA282" s="71">
        <f>IF(Table1[[#This Row],[Overall amount]]=0,"N/A",Table1[[#This Row],[Outstanding]]/Table1[[#This Row],[Overall amount]])</f>
        <v>1</v>
      </c>
      <c r="AB282" s="17">
        <f>IF(MONTH(Table1[[#This Row],[Loss date]])&lt;Pol_Inc_Month_Shifted,YEAR(Table1[[#This Row],[Loss date]])-1,YEAR(Table1[[#This Row],[Loss date]]))</f>
        <v>2012</v>
      </c>
      <c r="AC282" s="17">
        <f>IF(MONTH(Table1[[#This Row],[Reporting date]])&lt;Pol_Inc_Month_Shifted,YEAR(Table1[[#This Row],[Reporting date]])-1,YEAR(Table1[[#This Row],[Reporting date]]))</f>
        <v>2013</v>
      </c>
      <c r="AD282" s="17">
        <f>Table1[[#This Row],[Reporting year (shifted)]]-Table1[[#This Row],[Policy Year (shifted)]]</f>
        <v>1</v>
      </c>
    </row>
    <row r="283" spans="1:30" ht="13.9">
      <c r="A283" s="8" t="s">
        <v>2053</v>
      </c>
      <c r="B283" s="8" t="s">
        <v>335</v>
      </c>
      <c r="C283" s="8" t="s">
        <v>123</v>
      </c>
      <c r="D283" s="9">
        <v>41694</v>
      </c>
      <c r="E283" s="9">
        <v>41786</v>
      </c>
      <c r="F283" s="17">
        <f>IF(MONTH(Table1[[#This Row],[Loss date]])&lt;Policy_Inception_Month,YEAR(Table1[[#This Row],[Loss date]])-1,YEAR(Table1[[#This Row],[Loss date]]))</f>
        <v>2013</v>
      </c>
      <c r="G283" s="10" t="s">
        <v>125</v>
      </c>
      <c r="H283" s="10" t="s">
        <v>2</v>
      </c>
      <c r="I283" s="11">
        <v>0</v>
      </c>
      <c r="J283" s="11">
        <v>22097.900786949012</v>
      </c>
      <c r="K283" s="11">
        <v>22097.900786949012</v>
      </c>
      <c r="L283" s="12">
        <v>0</v>
      </c>
      <c r="M283" s="12">
        <v>0</v>
      </c>
      <c r="N283" s="12">
        <v>22097.900786949012</v>
      </c>
      <c r="O283" s="70">
        <f>IF(Table1[[#This Row],[Overall amount]]=0,0,1)</f>
        <v>1</v>
      </c>
      <c r="P283" s="70">
        <f>Table1[[#This Row],[Overall amount]]*Exchange_Rate</f>
        <v>22097.900786949012</v>
      </c>
      <c r="Q283" s="70">
        <f>Table1[[#This Row],[Overall (destination currency)]]*(1+Claims_Inflation)^((Revalue_at_date-Table1[[#This Row],[Loss date]])/365.25)</f>
        <v>23890.800000000003</v>
      </c>
      <c r="R283" s="70">
        <f>INT(Table1[[#This Row],[Reporting date]])-INT(Table1[[#This Row],[Loss date]])</f>
        <v>92</v>
      </c>
      <c r="S283" s="69" t="s">
        <v>16</v>
      </c>
      <c r="T283" s="70">
        <f>VLOOKUP(Table1[[#This Row],[Policy Year]],exposure_table,3,FALSE)</f>
        <v>1090.5865384615383</v>
      </c>
      <c r="U283" s="17">
        <f>IF(MONTH(Table1[[#This Row],[Reporting date]])&lt;Policy_Inception_Month,YEAR(Table1[[#This Row],[Reporting date]])-1,YEAR(Table1[[#This Row],[Reporting date]]))</f>
        <v>2014</v>
      </c>
      <c r="V283" s="17">
        <f>Table1[[#This Row],[Reporting year]]-Table1[[#This Row],[Policy Year]]</f>
        <v>1</v>
      </c>
      <c r="W283" s="17">
        <f>INT(Table1[[#This Row],[Reporting date]])-INT(Table1[[#This Row],[Loss date]])</f>
        <v>92</v>
      </c>
      <c r="X283" s="17">
        <f>INT((YEAR(Table1[[#This Row],[Loss date]])*12+MONTH(Table1[[#This Row],[Loss date]])-Earliest_Month)/4)</f>
        <v>26</v>
      </c>
      <c r="Y283" s="17">
        <f>INT((YEAR(Table1[[#This Row],[Reporting date]])*12+MONTH(Table1[[#This Row],[Reporting date]])-Earliest_Month)/4)</f>
        <v>27</v>
      </c>
      <c r="Z283" s="17">
        <f>Table1[[#This Row],[Reporting third]]-Table1[[#This Row],[Policy third]]</f>
        <v>1</v>
      </c>
      <c r="AA283" s="71">
        <f>IF(Table1[[#This Row],[Overall amount]]=0,"N/A",Table1[[#This Row],[Outstanding]]/Table1[[#This Row],[Overall amount]])</f>
        <v>1</v>
      </c>
      <c r="AB283" s="17">
        <f>IF(MONTH(Table1[[#This Row],[Loss date]])&lt;Pol_Inc_Month_Shifted,YEAR(Table1[[#This Row],[Loss date]])-1,YEAR(Table1[[#This Row],[Loss date]]))</f>
        <v>2013</v>
      </c>
      <c r="AC283" s="17">
        <f>IF(MONTH(Table1[[#This Row],[Reporting date]])&lt;Pol_Inc_Month_Shifted,YEAR(Table1[[#This Row],[Reporting date]])-1,YEAR(Table1[[#This Row],[Reporting date]]))</f>
        <v>2013</v>
      </c>
      <c r="AD283" s="17">
        <f>Table1[[#This Row],[Reporting year (shifted)]]-Table1[[#This Row],[Policy Year (shifted)]]</f>
        <v>0</v>
      </c>
    </row>
    <row r="284" spans="1:30" ht="13.9">
      <c r="A284" s="8" t="s">
        <v>2054</v>
      </c>
      <c r="B284" s="8" t="s">
        <v>336</v>
      </c>
      <c r="C284" s="8" t="s">
        <v>123</v>
      </c>
      <c r="D284" s="9">
        <v>41629</v>
      </c>
      <c r="E284" s="9">
        <v>41796</v>
      </c>
      <c r="F284" s="17">
        <f>IF(MONTH(Table1[[#This Row],[Loss date]])&lt;Policy_Inception_Month,YEAR(Table1[[#This Row],[Loss date]])-1,YEAR(Table1[[#This Row],[Loss date]]))</f>
        <v>2013</v>
      </c>
      <c r="G284" s="10" t="s">
        <v>125</v>
      </c>
      <c r="H284" s="10" t="s">
        <v>2</v>
      </c>
      <c r="I284" s="11">
        <v>0</v>
      </c>
      <c r="J284" s="11">
        <v>25087.972545754958</v>
      </c>
      <c r="K284" s="11">
        <v>25087.972545754958</v>
      </c>
      <c r="L284" s="12">
        <v>0</v>
      </c>
      <c r="M284" s="12">
        <v>0</v>
      </c>
      <c r="N284" s="12">
        <v>25087.972545754958</v>
      </c>
      <c r="O284" s="70">
        <f>IF(Table1[[#This Row],[Overall amount]]=0,0,1)</f>
        <v>1</v>
      </c>
      <c r="P284" s="70">
        <f>Table1[[#This Row],[Overall amount]]*Exchange_Rate</f>
        <v>25087.972545754958</v>
      </c>
      <c r="Q284" s="70">
        <f>Table1[[#This Row],[Overall (destination currency)]]*(1+Claims_Inflation)^((Revalue_at_date-Table1[[#This Row],[Loss date]])/365.25)</f>
        <v>27359.999999999996</v>
      </c>
      <c r="R284" s="70">
        <f>INT(Table1[[#This Row],[Reporting date]])-INT(Table1[[#This Row],[Loss date]])</f>
        <v>167</v>
      </c>
      <c r="S284" s="69" t="s">
        <v>16</v>
      </c>
      <c r="T284" s="70">
        <f>VLOOKUP(Table1[[#This Row],[Policy Year]],exposure_table,3,FALSE)</f>
        <v>1090.5865384615383</v>
      </c>
      <c r="U284" s="17">
        <f>IF(MONTH(Table1[[#This Row],[Reporting date]])&lt;Policy_Inception_Month,YEAR(Table1[[#This Row],[Reporting date]])-1,YEAR(Table1[[#This Row],[Reporting date]]))</f>
        <v>2014</v>
      </c>
      <c r="V284" s="17">
        <f>Table1[[#This Row],[Reporting year]]-Table1[[#This Row],[Policy Year]]</f>
        <v>1</v>
      </c>
      <c r="W284" s="17">
        <f>INT(Table1[[#This Row],[Reporting date]])-INT(Table1[[#This Row],[Loss date]])</f>
        <v>167</v>
      </c>
      <c r="X284" s="17">
        <f>INT((YEAR(Table1[[#This Row],[Loss date]])*12+MONTH(Table1[[#This Row],[Loss date]])-Earliest_Month)/4)</f>
        <v>26</v>
      </c>
      <c r="Y284" s="17">
        <f>INT((YEAR(Table1[[#This Row],[Reporting date]])*12+MONTH(Table1[[#This Row],[Reporting date]])-Earliest_Month)/4)</f>
        <v>27</v>
      </c>
      <c r="Z284" s="17">
        <f>Table1[[#This Row],[Reporting third]]-Table1[[#This Row],[Policy third]]</f>
        <v>1</v>
      </c>
      <c r="AA284" s="71">
        <f>IF(Table1[[#This Row],[Overall amount]]=0,"N/A",Table1[[#This Row],[Outstanding]]/Table1[[#This Row],[Overall amount]])</f>
        <v>1</v>
      </c>
      <c r="AB284" s="17">
        <f>IF(MONTH(Table1[[#This Row],[Loss date]])&lt;Pol_Inc_Month_Shifted,YEAR(Table1[[#This Row],[Loss date]])-1,YEAR(Table1[[#This Row],[Loss date]]))</f>
        <v>2013</v>
      </c>
      <c r="AC284" s="17">
        <f>IF(MONTH(Table1[[#This Row],[Reporting date]])&lt;Pol_Inc_Month_Shifted,YEAR(Table1[[#This Row],[Reporting date]])-1,YEAR(Table1[[#This Row],[Reporting date]]))</f>
        <v>2013</v>
      </c>
      <c r="AD284" s="17">
        <f>Table1[[#This Row],[Reporting year (shifted)]]-Table1[[#This Row],[Policy Year (shifted)]]</f>
        <v>0</v>
      </c>
    </row>
    <row r="285" spans="1:30" ht="13.9">
      <c r="A285" s="8" t="s">
        <v>2055</v>
      </c>
      <c r="B285" s="8" t="s">
        <v>337</v>
      </c>
      <c r="C285" s="8" t="s">
        <v>123</v>
      </c>
      <c r="D285" s="9">
        <v>41632</v>
      </c>
      <c r="E285" s="9">
        <v>41776</v>
      </c>
      <c r="F285" s="17">
        <f>IF(MONTH(Table1[[#This Row],[Loss date]])&lt;Policy_Inception_Month,YEAR(Table1[[#This Row],[Loss date]])-1,YEAR(Table1[[#This Row],[Loss date]]))</f>
        <v>2013</v>
      </c>
      <c r="G285" s="10" t="s">
        <v>125</v>
      </c>
      <c r="H285" s="10" t="s">
        <v>2</v>
      </c>
      <c r="I285" s="11">
        <v>0</v>
      </c>
      <c r="J285" s="11">
        <v>25098.028328871642</v>
      </c>
      <c r="K285" s="11">
        <v>25098.028328871642</v>
      </c>
      <c r="L285" s="12">
        <v>0</v>
      </c>
      <c r="M285" s="12">
        <v>0</v>
      </c>
      <c r="N285" s="12">
        <v>25098.028328871642</v>
      </c>
      <c r="O285" s="70">
        <f>IF(Table1[[#This Row],[Overall amount]]=0,0,1)</f>
        <v>1</v>
      </c>
      <c r="P285" s="70">
        <f>Table1[[#This Row],[Overall amount]]*Exchange_Rate</f>
        <v>25098.028328871642</v>
      </c>
      <c r="Q285" s="70">
        <f>Table1[[#This Row],[Overall (destination currency)]]*(1+Claims_Inflation)^((Revalue_at_date-Table1[[#This Row],[Loss date]])/365.25)</f>
        <v>27360</v>
      </c>
      <c r="R285" s="70">
        <f>INT(Table1[[#This Row],[Reporting date]])-INT(Table1[[#This Row],[Loss date]])</f>
        <v>144</v>
      </c>
      <c r="S285" s="69" t="s">
        <v>16</v>
      </c>
      <c r="T285" s="70">
        <f>VLOOKUP(Table1[[#This Row],[Policy Year]],exposure_table,3,FALSE)</f>
        <v>1090.5865384615383</v>
      </c>
      <c r="U285" s="17">
        <f>IF(MONTH(Table1[[#This Row],[Reporting date]])&lt;Policy_Inception_Month,YEAR(Table1[[#This Row],[Reporting date]])-1,YEAR(Table1[[#This Row],[Reporting date]]))</f>
        <v>2014</v>
      </c>
      <c r="V285" s="17">
        <f>Table1[[#This Row],[Reporting year]]-Table1[[#This Row],[Policy Year]]</f>
        <v>1</v>
      </c>
      <c r="W285" s="17">
        <f>INT(Table1[[#This Row],[Reporting date]])-INT(Table1[[#This Row],[Loss date]])</f>
        <v>144</v>
      </c>
      <c r="X285" s="17">
        <f>INT((YEAR(Table1[[#This Row],[Loss date]])*12+MONTH(Table1[[#This Row],[Loss date]])-Earliest_Month)/4)</f>
        <v>26</v>
      </c>
      <c r="Y285" s="17">
        <f>INT((YEAR(Table1[[#This Row],[Reporting date]])*12+MONTH(Table1[[#This Row],[Reporting date]])-Earliest_Month)/4)</f>
        <v>27</v>
      </c>
      <c r="Z285" s="17">
        <f>Table1[[#This Row],[Reporting third]]-Table1[[#This Row],[Policy third]]</f>
        <v>1</v>
      </c>
      <c r="AA285" s="71">
        <f>IF(Table1[[#This Row],[Overall amount]]=0,"N/A",Table1[[#This Row],[Outstanding]]/Table1[[#This Row],[Overall amount]])</f>
        <v>1</v>
      </c>
      <c r="AB285" s="17">
        <f>IF(MONTH(Table1[[#This Row],[Loss date]])&lt;Pol_Inc_Month_Shifted,YEAR(Table1[[#This Row],[Loss date]])-1,YEAR(Table1[[#This Row],[Loss date]]))</f>
        <v>2013</v>
      </c>
      <c r="AC285" s="17">
        <f>IF(MONTH(Table1[[#This Row],[Reporting date]])&lt;Pol_Inc_Month_Shifted,YEAR(Table1[[#This Row],[Reporting date]])-1,YEAR(Table1[[#This Row],[Reporting date]]))</f>
        <v>2013</v>
      </c>
      <c r="AD285" s="17">
        <f>Table1[[#This Row],[Reporting year (shifted)]]-Table1[[#This Row],[Policy Year (shifted)]]</f>
        <v>0</v>
      </c>
    </row>
    <row r="286" spans="1:30" ht="13.9">
      <c r="A286" s="8" t="s">
        <v>2056</v>
      </c>
      <c r="B286" s="8" t="s">
        <v>338</v>
      </c>
      <c r="C286" s="8" t="s">
        <v>123</v>
      </c>
      <c r="D286" s="9">
        <v>41278</v>
      </c>
      <c r="E286" s="9">
        <v>41805</v>
      </c>
      <c r="F286" s="17">
        <f>IF(MONTH(Table1[[#This Row],[Loss date]])&lt;Policy_Inception_Month,YEAR(Table1[[#This Row],[Loss date]])-1,YEAR(Table1[[#This Row],[Loss date]]))</f>
        <v>2012</v>
      </c>
      <c r="G286" s="10" t="s">
        <v>126</v>
      </c>
      <c r="H286" s="10" t="s">
        <v>2</v>
      </c>
      <c r="I286" s="11">
        <v>0</v>
      </c>
      <c r="J286" s="11">
        <v>15539.241716989531</v>
      </c>
      <c r="K286" s="11">
        <v>15539.241716989531</v>
      </c>
      <c r="L286" s="12">
        <v>314.98462939843643</v>
      </c>
      <c r="M286" s="12">
        <v>0</v>
      </c>
      <c r="N286" s="12">
        <v>15854.226346387966</v>
      </c>
      <c r="O286" s="70">
        <f>IF(Table1[[#This Row],[Overall amount]]=0,0,1)</f>
        <v>1</v>
      </c>
      <c r="P286" s="70">
        <f>Table1[[#This Row],[Overall amount]]*Exchange_Rate</f>
        <v>15854.226346387966</v>
      </c>
      <c r="Q286" s="70">
        <f>Table1[[#This Row],[Overall (destination currency)]]*(1+Claims_Inflation)^((Revalue_at_date-Table1[[#This Row],[Loss date]])/365.25)</f>
        <v>18119.999999999996</v>
      </c>
      <c r="R286" s="70">
        <f>INT(Table1[[#This Row],[Reporting date]])-INT(Table1[[#This Row],[Loss date]])</f>
        <v>527</v>
      </c>
      <c r="S286" s="69" t="s">
        <v>16</v>
      </c>
      <c r="T286" s="70">
        <f>VLOOKUP(Table1[[#This Row],[Policy Year]],exposure_table,3,FALSE)</f>
        <v>1057.54</v>
      </c>
      <c r="U286" s="17">
        <f>IF(MONTH(Table1[[#This Row],[Reporting date]])&lt;Policy_Inception_Month,YEAR(Table1[[#This Row],[Reporting date]])-1,YEAR(Table1[[#This Row],[Reporting date]]))</f>
        <v>2014</v>
      </c>
      <c r="V286" s="17">
        <f>Table1[[#This Row],[Reporting year]]-Table1[[#This Row],[Policy Year]]</f>
        <v>2</v>
      </c>
      <c r="W286" s="17">
        <f>INT(Table1[[#This Row],[Reporting date]])-INT(Table1[[#This Row],[Loss date]])</f>
        <v>527</v>
      </c>
      <c r="X286" s="17">
        <f>INT((YEAR(Table1[[#This Row],[Loss date]])*12+MONTH(Table1[[#This Row],[Loss date]])-Earliest_Month)/4)</f>
        <v>23</v>
      </c>
      <c r="Y286" s="17">
        <f>INT((YEAR(Table1[[#This Row],[Reporting date]])*12+MONTH(Table1[[#This Row],[Reporting date]])-Earliest_Month)/4)</f>
        <v>27</v>
      </c>
      <c r="Z286" s="17">
        <f>Table1[[#This Row],[Reporting third]]-Table1[[#This Row],[Policy third]]</f>
        <v>4</v>
      </c>
      <c r="AA286" s="71">
        <f>IF(Table1[[#This Row],[Overall amount]]=0,"N/A",Table1[[#This Row],[Outstanding]]/Table1[[#This Row],[Overall amount]])</f>
        <v>0.98013245033112584</v>
      </c>
      <c r="AB286" s="17">
        <f>IF(MONTH(Table1[[#This Row],[Loss date]])&lt;Pol_Inc_Month_Shifted,YEAR(Table1[[#This Row],[Loss date]])-1,YEAR(Table1[[#This Row],[Loss date]]))</f>
        <v>2012</v>
      </c>
      <c r="AC286" s="17">
        <f>IF(MONTH(Table1[[#This Row],[Reporting date]])&lt;Pol_Inc_Month_Shifted,YEAR(Table1[[#This Row],[Reporting date]])-1,YEAR(Table1[[#This Row],[Reporting date]]))</f>
        <v>2013</v>
      </c>
      <c r="AD286" s="17">
        <f>Table1[[#This Row],[Reporting year (shifted)]]-Table1[[#This Row],[Policy Year (shifted)]]</f>
        <v>1</v>
      </c>
    </row>
    <row r="287" spans="1:30" ht="13.9">
      <c r="A287" s="8" t="s">
        <v>2057</v>
      </c>
      <c r="B287" s="8" t="s">
        <v>339</v>
      </c>
      <c r="C287" s="8" t="s">
        <v>123</v>
      </c>
      <c r="D287" s="9">
        <v>41258</v>
      </c>
      <c r="E287" s="9">
        <v>41797</v>
      </c>
      <c r="F287" s="17">
        <f>IF(MONTH(Table1[[#This Row],[Loss date]])&lt;Policy_Inception_Month,YEAR(Table1[[#This Row],[Loss date]])-1,YEAR(Table1[[#This Row],[Loss date]]))</f>
        <v>2012</v>
      </c>
      <c r="G287" s="10" t="s">
        <v>125</v>
      </c>
      <c r="H287" s="10" t="s">
        <v>2</v>
      </c>
      <c r="I287" s="11">
        <v>0</v>
      </c>
      <c r="J287" s="11">
        <v>12356.340042369111</v>
      </c>
      <c r="K287" s="11">
        <v>12356.340042369111</v>
      </c>
      <c r="L287" s="12">
        <v>0</v>
      </c>
      <c r="M287" s="12">
        <v>0</v>
      </c>
      <c r="N287" s="12">
        <v>12356.340042369111</v>
      </c>
      <c r="O287" s="70">
        <f>IF(Table1[[#This Row],[Overall amount]]=0,0,1)</f>
        <v>1</v>
      </c>
      <c r="P287" s="70">
        <f>Table1[[#This Row],[Overall amount]]*Exchange_Rate</f>
        <v>12356.340042369111</v>
      </c>
      <c r="Q287" s="70">
        <f>Table1[[#This Row],[Overall (destination currency)]]*(1+Claims_Inflation)^((Revalue_at_date-Table1[[#This Row],[Loss date]])/365.25)</f>
        <v>14160</v>
      </c>
      <c r="R287" s="70">
        <f>INT(Table1[[#This Row],[Reporting date]])-INT(Table1[[#This Row],[Loss date]])</f>
        <v>539</v>
      </c>
      <c r="S287" s="69" t="s">
        <v>16</v>
      </c>
      <c r="T287" s="70">
        <f>VLOOKUP(Table1[[#This Row],[Policy Year]],exposure_table,3,FALSE)</f>
        <v>1057.54</v>
      </c>
      <c r="U287" s="17">
        <f>IF(MONTH(Table1[[#This Row],[Reporting date]])&lt;Policy_Inception_Month,YEAR(Table1[[#This Row],[Reporting date]])-1,YEAR(Table1[[#This Row],[Reporting date]]))</f>
        <v>2014</v>
      </c>
      <c r="V287" s="17">
        <f>Table1[[#This Row],[Reporting year]]-Table1[[#This Row],[Policy Year]]</f>
        <v>2</v>
      </c>
      <c r="W287" s="17">
        <f>INT(Table1[[#This Row],[Reporting date]])-INT(Table1[[#This Row],[Loss date]])</f>
        <v>539</v>
      </c>
      <c r="X287" s="17">
        <f>INT((YEAR(Table1[[#This Row],[Loss date]])*12+MONTH(Table1[[#This Row],[Loss date]])-Earliest_Month)/4)</f>
        <v>23</v>
      </c>
      <c r="Y287" s="17">
        <f>INT((YEAR(Table1[[#This Row],[Reporting date]])*12+MONTH(Table1[[#This Row],[Reporting date]])-Earliest_Month)/4)</f>
        <v>27</v>
      </c>
      <c r="Z287" s="17">
        <f>Table1[[#This Row],[Reporting third]]-Table1[[#This Row],[Policy third]]</f>
        <v>4</v>
      </c>
      <c r="AA287" s="71">
        <f>IF(Table1[[#This Row],[Overall amount]]=0,"N/A",Table1[[#This Row],[Outstanding]]/Table1[[#This Row],[Overall amount]])</f>
        <v>1</v>
      </c>
      <c r="AB287" s="17">
        <f>IF(MONTH(Table1[[#This Row],[Loss date]])&lt;Pol_Inc_Month_Shifted,YEAR(Table1[[#This Row],[Loss date]])-1,YEAR(Table1[[#This Row],[Loss date]]))</f>
        <v>2012</v>
      </c>
      <c r="AC287" s="17">
        <f>IF(MONTH(Table1[[#This Row],[Reporting date]])&lt;Pol_Inc_Month_Shifted,YEAR(Table1[[#This Row],[Reporting date]])-1,YEAR(Table1[[#This Row],[Reporting date]]))</f>
        <v>2013</v>
      </c>
      <c r="AD287" s="17">
        <f>Table1[[#This Row],[Reporting year (shifted)]]-Table1[[#This Row],[Policy Year (shifted)]]</f>
        <v>1</v>
      </c>
    </row>
    <row r="288" spans="1:30" ht="13.9">
      <c r="A288" s="8" t="s">
        <v>2058</v>
      </c>
      <c r="B288" s="8" t="s">
        <v>340</v>
      </c>
      <c r="C288" s="8" t="s">
        <v>123</v>
      </c>
      <c r="D288" s="9">
        <v>41603</v>
      </c>
      <c r="E288" s="9">
        <v>41786</v>
      </c>
      <c r="F288" s="17">
        <f>IF(MONTH(Table1[[#This Row],[Loss date]])&lt;Policy_Inception_Month,YEAR(Table1[[#This Row],[Loss date]])-1,YEAR(Table1[[#This Row],[Loss date]]))</f>
        <v>2013</v>
      </c>
      <c r="G288" s="10" t="s">
        <v>136</v>
      </c>
      <c r="H288" s="10" t="s">
        <v>2</v>
      </c>
      <c r="I288" s="11">
        <v>0</v>
      </c>
      <c r="J288" s="11">
        <v>0</v>
      </c>
      <c r="K288" s="11">
        <v>0</v>
      </c>
      <c r="L288" s="12">
        <v>328.96040817214049</v>
      </c>
      <c r="M288" s="12">
        <v>0</v>
      </c>
      <c r="N288" s="12">
        <v>328.96040817214049</v>
      </c>
      <c r="O288" s="70">
        <f>IF(Table1[[#This Row],[Overall amount]]=0,0,1)</f>
        <v>1</v>
      </c>
      <c r="P288" s="70">
        <f>Table1[[#This Row],[Overall amount]]*Exchange_Rate</f>
        <v>328.96040817214049</v>
      </c>
      <c r="Q288" s="70">
        <f>Table1[[#This Row],[Overall (destination currency)]]*(1+Claims_Inflation)^((Revalue_at_date-Table1[[#This Row],[Loss date]])/365.25)</f>
        <v>359.99999999999994</v>
      </c>
      <c r="R288" s="70">
        <f>INT(Table1[[#This Row],[Reporting date]])-INT(Table1[[#This Row],[Loss date]])</f>
        <v>183</v>
      </c>
      <c r="S288" s="69" t="s">
        <v>9</v>
      </c>
      <c r="T288" s="70">
        <f>VLOOKUP(Table1[[#This Row],[Policy Year]],exposure_table,3,FALSE)</f>
        <v>1090.5865384615383</v>
      </c>
      <c r="U288" s="17">
        <f>IF(MONTH(Table1[[#This Row],[Reporting date]])&lt;Policy_Inception_Month,YEAR(Table1[[#This Row],[Reporting date]])-1,YEAR(Table1[[#This Row],[Reporting date]]))</f>
        <v>2014</v>
      </c>
      <c r="V288" s="17">
        <f>Table1[[#This Row],[Reporting year]]-Table1[[#This Row],[Policy Year]]</f>
        <v>1</v>
      </c>
      <c r="W288" s="17">
        <f>INT(Table1[[#This Row],[Reporting date]])-INT(Table1[[#This Row],[Loss date]])</f>
        <v>183</v>
      </c>
      <c r="X288" s="17">
        <f>INT((YEAR(Table1[[#This Row],[Loss date]])*12+MONTH(Table1[[#This Row],[Loss date]])-Earliest_Month)/4)</f>
        <v>25</v>
      </c>
      <c r="Y288" s="17">
        <f>INT((YEAR(Table1[[#This Row],[Reporting date]])*12+MONTH(Table1[[#This Row],[Reporting date]])-Earliest_Month)/4)</f>
        <v>27</v>
      </c>
      <c r="Z288" s="17">
        <f>Table1[[#This Row],[Reporting third]]-Table1[[#This Row],[Policy third]]</f>
        <v>2</v>
      </c>
      <c r="AA288" s="71">
        <f>IF(Table1[[#This Row],[Overall amount]]=0,"N/A",Table1[[#This Row],[Outstanding]]/Table1[[#This Row],[Overall amount]])</f>
        <v>0</v>
      </c>
      <c r="AB288" s="17">
        <f>IF(MONTH(Table1[[#This Row],[Loss date]])&lt;Pol_Inc_Month_Shifted,YEAR(Table1[[#This Row],[Loss date]])-1,YEAR(Table1[[#This Row],[Loss date]]))</f>
        <v>2012</v>
      </c>
      <c r="AC288" s="17">
        <f>IF(MONTH(Table1[[#This Row],[Reporting date]])&lt;Pol_Inc_Month_Shifted,YEAR(Table1[[#This Row],[Reporting date]])-1,YEAR(Table1[[#This Row],[Reporting date]]))</f>
        <v>2013</v>
      </c>
      <c r="AD288" s="17">
        <f>Table1[[#This Row],[Reporting year (shifted)]]-Table1[[#This Row],[Policy Year (shifted)]]</f>
        <v>1</v>
      </c>
    </row>
    <row r="289" spans="1:30" ht="13.9">
      <c r="A289" s="8" t="s">
        <v>2059</v>
      </c>
      <c r="B289" s="8" t="s">
        <v>341</v>
      </c>
      <c r="C289" s="8" t="s">
        <v>123</v>
      </c>
      <c r="D289" s="9">
        <v>40694</v>
      </c>
      <c r="E289" s="9">
        <v>41804</v>
      </c>
      <c r="F289" s="17">
        <f>IF(MONTH(Table1[[#This Row],[Loss date]])&lt;Policy_Inception_Month,YEAR(Table1[[#This Row],[Loss date]])-1,YEAR(Table1[[#This Row],[Loss date]]))</f>
        <v>2011</v>
      </c>
      <c r="G289" s="10" t="s">
        <v>125</v>
      </c>
      <c r="H289" s="10" t="s">
        <v>2</v>
      </c>
      <c r="I289" s="11">
        <v>0</v>
      </c>
      <c r="J289" s="11">
        <v>58269.284325853892</v>
      </c>
      <c r="K289" s="11">
        <v>58269.284325853892</v>
      </c>
      <c r="L289" s="12">
        <v>0</v>
      </c>
      <c r="M289" s="12">
        <v>0</v>
      </c>
      <c r="N289" s="12">
        <v>58269.284325853892</v>
      </c>
      <c r="O289" s="70">
        <f>IF(Table1[[#This Row],[Overall amount]]=0,0,1)</f>
        <v>1</v>
      </c>
      <c r="P289" s="70">
        <f>Table1[[#This Row],[Overall amount]]*Exchange_Rate</f>
        <v>58269.284325853892</v>
      </c>
      <c r="Q289" s="70">
        <f>Table1[[#This Row],[Overall (destination currency)]]*(1+Claims_Inflation)^((Revalue_at_date-Table1[[#This Row],[Loss date]])/365.25)</f>
        <v>72000</v>
      </c>
      <c r="R289" s="70">
        <f>INT(Table1[[#This Row],[Reporting date]])-INT(Table1[[#This Row],[Loss date]])</f>
        <v>1110</v>
      </c>
      <c r="S289" s="69" t="s">
        <v>16</v>
      </c>
      <c r="T289" s="70">
        <f>VLOOKUP(Table1[[#This Row],[Policy Year]],exposure_table,3,FALSE)</f>
        <v>870.52680000000009</v>
      </c>
      <c r="U289" s="17">
        <f>IF(MONTH(Table1[[#This Row],[Reporting date]])&lt;Policy_Inception_Month,YEAR(Table1[[#This Row],[Reporting date]])-1,YEAR(Table1[[#This Row],[Reporting date]]))</f>
        <v>2014</v>
      </c>
      <c r="V289" s="17">
        <f>Table1[[#This Row],[Reporting year]]-Table1[[#This Row],[Policy Year]]</f>
        <v>3</v>
      </c>
      <c r="W289" s="17">
        <f>INT(Table1[[#This Row],[Reporting date]])-INT(Table1[[#This Row],[Loss date]])</f>
        <v>1110</v>
      </c>
      <c r="X289" s="17">
        <f>INT((YEAR(Table1[[#This Row],[Loss date]])*12+MONTH(Table1[[#This Row],[Loss date]])-Earliest_Month)/4)</f>
        <v>18</v>
      </c>
      <c r="Y289" s="17">
        <f>INT((YEAR(Table1[[#This Row],[Reporting date]])*12+MONTH(Table1[[#This Row],[Reporting date]])-Earliest_Month)/4)</f>
        <v>27</v>
      </c>
      <c r="Z289" s="17">
        <f>Table1[[#This Row],[Reporting third]]-Table1[[#This Row],[Policy third]]</f>
        <v>9</v>
      </c>
      <c r="AA289" s="71">
        <f>IF(Table1[[#This Row],[Overall amount]]=0,"N/A",Table1[[#This Row],[Outstanding]]/Table1[[#This Row],[Overall amount]])</f>
        <v>1</v>
      </c>
      <c r="AB289" s="17">
        <f>IF(MONTH(Table1[[#This Row],[Loss date]])&lt;Pol_Inc_Month_Shifted,YEAR(Table1[[#This Row],[Loss date]])-1,YEAR(Table1[[#This Row],[Loss date]]))</f>
        <v>2010</v>
      </c>
      <c r="AC289" s="17">
        <f>IF(MONTH(Table1[[#This Row],[Reporting date]])&lt;Pol_Inc_Month_Shifted,YEAR(Table1[[#This Row],[Reporting date]])-1,YEAR(Table1[[#This Row],[Reporting date]]))</f>
        <v>2013</v>
      </c>
      <c r="AD289" s="17">
        <f>Table1[[#This Row],[Reporting year (shifted)]]-Table1[[#This Row],[Policy Year (shifted)]]</f>
        <v>3</v>
      </c>
    </row>
    <row r="290" spans="1:30" ht="13.9">
      <c r="A290" s="8" t="s">
        <v>2060</v>
      </c>
      <c r="B290" s="8" t="s">
        <v>342</v>
      </c>
      <c r="C290" s="8" t="s">
        <v>123</v>
      </c>
      <c r="D290" s="9">
        <v>41680</v>
      </c>
      <c r="E290" s="9">
        <v>41800</v>
      </c>
      <c r="F290" s="17">
        <f>IF(MONTH(Table1[[#This Row],[Loss date]])&lt;Policy_Inception_Month,YEAR(Table1[[#This Row],[Loss date]])-1,YEAR(Table1[[#This Row],[Loss date]]))</f>
        <v>2013</v>
      </c>
      <c r="G290" s="10" t="s">
        <v>125</v>
      </c>
      <c r="H290" s="10" t="s">
        <v>2</v>
      </c>
      <c r="I290" s="11">
        <v>0</v>
      </c>
      <c r="J290" s="11">
        <v>7664.255011532402</v>
      </c>
      <c r="K290" s="11">
        <v>7664.255011532402</v>
      </c>
      <c r="L290" s="12">
        <v>332.36144889559415</v>
      </c>
      <c r="M290" s="12">
        <v>0</v>
      </c>
      <c r="N290" s="12">
        <v>7996.6164604279966</v>
      </c>
      <c r="O290" s="70">
        <f>IF(Table1[[#This Row],[Overall amount]]=0,0,1)</f>
        <v>1</v>
      </c>
      <c r="P290" s="70">
        <f>Table1[[#This Row],[Overall amount]]*Exchange_Rate</f>
        <v>7996.6164604279966</v>
      </c>
      <c r="Q290" s="70">
        <f>Table1[[#This Row],[Overall (destination currency)]]*(1+Claims_Inflation)^((Revalue_at_date-Table1[[#This Row],[Loss date]])/365.25)</f>
        <v>8661.6</v>
      </c>
      <c r="R290" s="70">
        <f>INT(Table1[[#This Row],[Reporting date]])-INT(Table1[[#This Row],[Loss date]])</f>
        <v>120</v>
      </c>
      <c r="S290" s="69" t="s">
        <v>16</v>
      </c>
      <c r="T290" s="70">
        <f>VLOOKUP(Table1[[#This Row],[Policy Year]],exposure_table,3,FALSE)</f>
        <v>1090.5865384615383</v>
      </c>
      <c r="U290" s="17">
        <f>IF(MONTH(Table1[[#This Row],[Reporting date]])&lt;Policy_Inception_Month,YEAR(Table1[[#This Row],[Reporting date]])-1,YEAR(Table1[[#This Row],[Reporting date]]))</f>
        <v>2014</v>
      </c>
      <c r="V290" s="17">
        <f>Table1[[#This Row],[Reporting year]]-Table1[[#This Row],[Policy Year]]</f>
        <v>1</v>
      </c>
      <c r="W290" s="17">
        <f>INT(Table1[[#This Row],[Reporting date]])-INT(Table1[[#This Row],[Loss date]])</f>
        <v>120</v>
      </c>
      <c r="X290" s="17">
        <f>INT((YEAR(Table1[[#This Row],[Loss date]])*12+MONTH(Table1[[#This Row],[Loss date]])-Earliest_Month)/4)</f>
        <v>26</v>
      </c>
      <c r="Y290" s="17">
        <f>INT((YEAR(Table1[[#This Row],[Reporting date]])*12+MONTH(Table1[[#This Row],[Reporting date]])-Earliest_Month)/4)</f>
        <v>27</v>
      </c>
      <c r="Z290" s="17">
        <f>Table1[[#This Row],[Reporting third]]-Table1[[#This Row],[Policy third]]</f>
        <v>1</v>
      </c>
      <c r="AA290" s="71">
        <f>IF(Table1[[#This Row],[Overall amount]]=0,"N/A",Table1[[#This Row],[Outstanding]]/Table1[[#This Row],[Overall amount]])</f>
        <v>0.95843724023275145</v>
      </c>
      <c r="AB290" s="17">
        <f>IF(MONTH(Table1[[#This Row],[Loss date]])&lt;Pol_Inc_Month_Shifted,YEAR(Table1[[#This Row],[Loss date]])-1,YEAR(Table1[[#This Row],[Loss date]]))</f>
        <v>2013</v>
      </c>
      <c r="AC290" s="17">
        <f>IF(MONTH(Table1[[#This Row],[Reporting date]])&lt;Pol_Inc_Month_Shifted,YEAR(Table1[[#This Row],[Reporting date]])-1,YEAR(Table1[[#This Row],[Reporting date]]))</f>
        <v>2013</v>
      </c>
      <c r="AD290" s="17">
        <f>Table1[[#This Row],[Reporting year (shifted)]]-Table1[[#This Row],[Policy Year (shifted)]]</f>
        <v>0</v>
      </c>
    </row>
    <row r="291" spans="1:30" ht="13.9">
      <c r="A291" s="8" t="s">
        <v>2061</v>
      </c>
      <c r="B291" s="8" t="s">
        <v>343</v>
      </c>
      <c r="C291" s="8" t="s">
        <v>123</v>
      </c>
      <c r="D291" s="9">
        <v>41710</v>
      </c>
      <c r="E291" s="9">
        <v>41805</v>
      </c>
      <c r="F291" s="17">
        <f>IF(MONTH(Table1[[#This Row],[Loss date]])&lt;Policy_Inception_Month,YEAR(Table1[[#This Row],[Loss date]])-1,YEAR(Table1[[#This Row],[Loss date]]))</f>
        <v>2013</v>
      </c>
      <c r="G291" s="10" t="s">
        <v>124</v>
      </c>
      <c r="H291" s="10" t="s">
        <v>2</v>
      </c>
      <c r="I291" s="11">
        <v>0</v>
      </c>
      <c r="J291" s="11">
        <v>14237.697210401295</v>
      </c>
      <c r="K291" s="11">
        <v>14237.697210401295</v>
      </c>
      <c r="L291" s="12">
        <v>0</v>
      </c>
      <c r="M291" s="12">
        <v>0</v>
      </c>
      <c r="N291" s="12">
        <v>14237.697210401295</v>
      </c>
      <c r="O291" s="70">
        <f>IF(Table1[[#This Row],[Overall amount]]=0,0,1)</f>
        <v>1</v>
      </c>
      <c r="P291" s="70">
        <f>Table1[[#This Row],[Overall amount]]*Exchange_Rate</f>
        <v>14237.697210401295</v>
      </c>
      <c r="Q291" s="70">
        <f>Table1[[#This Row],[Overall (destination currency)]]*(1+Claims_Inflation)^((Revalue_at_date-Table1[[#This Row],[Loss date]])/365.25)</f>
        <v>15360.000000000004</v>
      </c>
      <c r="R291" s="70">
        <f>INT(Table1[[#This Row],[Reporting date]])-INT(Table1[[#This Row],[Loss date]])</f>
        <v>95</v>
      </c>
      <c r="S291" s="69" t="s">
        <v>16</v>
      </c>
      <c r="T291" s="70">
        <f>VLOOKUP(Table1[[#This Row],[Policy Year]],exposure_table,3,FALSE)</f>
        <v>1090.5865384615383</v>
      </c>
      <c r="U291" s="17">
        <f>IF(MONTH(Table1[[#This Row],[Reporting date]])&lt;Policy_Inception_Month,YEAR(Table1[[#This Row],[Reporting date]])-1,YEAR(Table1[[#This Row],[Reporting date]]))</f>
        <v>2014</v>
      </c>
      <c r="V291" s="17">
        <f>Table1[[#This Row],[Reporting year]]-Table1[[#This Row],[Policy Year]]</f>
        <v>1</v>
      </c>
      <c r="W291" s="17">
        <f>INT(Table1[[#This Row],[Reporting date]])-INT(Table1[[#This Row],[Loss date]])</f>
        <v>95</v>
      </c>
      <c r="X291" s="17">
        <f>INT((YEAR(Table1[[#This Row],[Loss date]])*12+MONTH(Table1[[#This Row],[Loss date]])-Earliest_Month)/4)</f>
        <v>26</v>
      </c>
      <c r="Y291" s="17">
        <f>INT((YEAR(Table1[[#This Row],[Reporting date]])*12+MONTH(Table1[[#This Row],[Reporting date]])-Earliest_Month)/4)</f>
        <v>27</v>
      </c>
      <c r="Z291" s="17">
        <f>Table1[[#This Row],[Reporting third]]-Table1[[#This Row],[Policy third]]</f>
        <v>1</v>
      </c>
      <c r="AA291" s="71">
        <f>IF(Table1[[#This Row],[Overall amount]]=0,"N/A",Table1[[#This Row],[Outstanding]]/Table1[[#This Row],[Overall amount]])</f>
        <v>1</v>
      </c>
      <c r="AB291" s="17">
        <f>IF(MONTH(Table1[[#This Row],[Loss date]])&lt;Pol_Inc_Month_Shifted,YEAR(Table1[[#This Row],[Loss date]])-1,YEAR(Table1[[#This Row],[Loss date]]))</f>
        <v>2013</v>
      </c>
      <c r="AC291" s="17">
        <f>IF(MONTH(Table1[[#This Row],[Reporting date]])&lt;Pol_Inc_Month_Shifted,YEAR(Table1[[#This Row],[Reporting date]])-1,YEAR(Table1[[#This Row],[Reporting date]]))</f>
        <v>2013</v>
      </c>
      <c r="AD291" s="17">
        <f>Table1[[#This Row],[Reporting year (shifted)]]-Table1[[#This Row],[Policy Year (shifted)]]</f>
        <v>0</v>
      </c>
    </row>
    <row r="292" spans="1:30" ht="13.9">
      <c r="A292" s="8" t="s">
        <v>2062</v>
      </c>
      <c r="B292" s="8" t="s">
        <v>344</v>
      </c>
      <c r="C292" s="8" t="s">
        <v>123</v>
      </c>
      <c r="D292" s="9">
        <v>41583</v>
      </c>
      <c r="E292" s="9">
        <v>41799</v>
      </c>
      <c r="F292" s="17">
        <f>IF(MONTH(Table1[[#This Row],[Loss date]])&lt;Policy_Inception_Month,YEAR(Table1[[#This Row],[Loss date]])-1,YEAR(Table1[[#This Row],[Loss date]]))</f>
        <v>2013</v>
      </c>
      <c r="G292" s="10" t="s">
        <v>125</v>
      </c>
      <c r="H292" s="10" t="s">
        <v>2</v>
      </c>
      <c r="I292" s="11">
        <v>546.80454871159532</v>
      </c>
      <c r="J292" s="11">
        <v>11482.895522943501</v>
      </c>
      <c r="K292" s="11">
        <v>12029.700071655096</v>
      </c>
      <c r="L292" s="12">
        <v>0</v>
      </c>
      <c r="M292" s="12">
        <v>0</v>
      </c>
      <c r="N292" s="12">
        <v>12029.700071655096</v>
      </c>
      <c r="O292" s="70">
        <f>IF(Table1[[#This Row],[Overall amount]]=0,0,1)</f>
        <v>1</v>
      </c>
      <c r="P292" s="70">
        <f>Table1[[#This Row],[Overall amount]]*Exchange_Rate</f>
        <v>12029.700071655096</v>
      </c>
      <c r="Q292" s="70">
        <f>Table1[[#This Row],[Overall (destination currency)]]*(1+Claims_Inflation)^((Revalue_at_date-Table1[[#This Row],[Loss date]])/365.25)</f>
        <v>13199.999999999998</v>
      </c>
      <c r="R292" s="70">
        <f>INT(Table1[[#This Row],[Reporting date]])-INT(Table1[[#This Row],[Loss date]])</f>
        <v>216</v>
      </c>
      <c r="S292" s="69" t="s">
        <v>16</v>
      </c>
      <c r="T292" s="70">
        <f>VLOOKUP(Table1[[#This Row],[Policy Year]],exposure_table,3,FALSE)</f>
        <v>1090.5865384615383</v>
      </c>
      <c r="U292" s="17">
        <f>IF(MONTH(Table1[[#This Row],[Reporting date]])&lt;Policy_Inception_Month,YEAR(Table1[[#This Row],[Reporting date]])-1,YEAR(Table1[[#This Row],[Reporting date]]))</f>
        <v>2014</v>
      </c>
      <c r="V292" s="17">
        <f>Table1[[#This Row],[Reporting year]]-Table1[[#This Row],[Policy Year]]</f>
        <v>1</v>
      </c>
      <c r="W292" s="17">
        <f>INT(Table1[[#This Row],[Reporting date]])-INT(Table1[[#This Row],[Loss date]])</f>
        <v>216</v>
      </c>
      <c r="X292" s="17">
        <f>INT((YEAR(Table1[[#This Row],[Loss date]])*12+MONTH(Table1[[#This Row],[Loss date]])-Earliest_Month)/4)</f>
        <v>25</v>
      </c>
      <c r="Y292" s="17">
        <f>INT((YEAR(Table1[[#This Row],[Reporting date]])*12+MONTH(Table1[[#This Row],[Reporting date]])-Earliest_Month)/4)</f>
        <v>27</v>
      </c>
      <c r="Z292" s="17">
        <f>Table1[[#This Row],[Reporting third]]-Table1[[#This Row],[Policy third]]</f>
        <v>2</v>
      </c>
      <c r="AA292" s="71">
        <f>IF(Table1[[#This Row],[Overall amount]]=0,"N/A",Table1[[#This Row],[Outstanding]]/Table1[[#This Row],[Overall amount]])</f>
        <v>0.95454545454545459</v>
      </c>
      <c r="AB292" s="17">
        <f>IF(MONTH(Table1[[#This Row],[Loss date]])&lt;Pol_Inc_Month_Shifted,YEAR(Table1[[#This Row],[Loss date]])-1,YEAR(Table1[[#This Row],[Loss date]]))</f>
        <v>2012</v>
      </c>
      <c r="AC292" s="17">
        <f>IF(MONTH(Table1[[#This Row],[Reporting date]])&lt;Pol_Inc_Month_Shifted,YEAR(Table1[[#This Row],[Reporting date]])-1,YEAR(Table1[[#This Row],[Reporting date]]))</f>
        <v>2013</v>
      </c>
      <c r="AD292" s="17">
        <f>Table1[[#This Row],[Reporting year (shifted)]]-Table1[[#This Row],[Policy Year (shifted)]]</f>
        <v>1</v>
      </c>
    </row>
    <row r="293" spans="1:30" ht="13.9">
      <c r="A293" s="8" t="s">
        <v>2063</v>
      </c>
      <c r="B293" s="8" t="s">
        <v>345</v>
      </c>
      <c r="C293" s="8" t="s">
        <v>123</v>
      </c>
      <c r="D293" s="9">
        <v>41462</v>
      </c>
      <c r="E293" s="9">
        <v>41800</v>
      </c>
      <c r="F293" s="17">
        <f>IF(MONTH(Table1[[#This Row],[Loss date]])&lt;Policy_Inception_Month,YEAR(Table1[[#This Row],[Loss date]])-1,YEAR(Table1[[#This Row],[Loss date]]))</f>
        <v>2013</v>
      </c>
      <c r="G293" s="10" t="s">
        <v>125</v>
      </c>
      <c r="H293" s="10" t="s">
        <v>2</v>
      </c>
      <c r="I293" s="11">
        <v>0</v>
      </c>
      <c r="J293" s="11">
        <v>11390.253423385195</v>
      </c>
      <c r="K293" s="11">
        <v>11390.253423385195</v>
      </c>
      <c r="L293" s="12">
        <v>322.82248720033618</v>
      </c>
      <c r="M293" s="12">
        <v>0</v>
      </c>
      <c r="N293" s="12">
        <v>11713.07591058553</v>
      </c>
      <c r="O293" s="70">
        <f>IF(Table1[[#This Row],[Overall amount]]=0,0,1)</f>
        <v>1</v>
      </c>
      <c r="P293" s="70">
        <f>Table1[[#This Row],[Overall amount]]*Exchange_Rate</f>
        <v>11713.07591058553</v>
      </c>
      <c r="Q293" s="70">
        <f>Table1[[#This Row],[Overall (destination currency)]]*(1+Claims_Inflation)^((Revalue_at_date-Table1[[#This Row],[Loss date]])/365.25)</f>
        <v>13061.999999999998</v>
      </c>
      <c r="R293" s="70">
        <f>INT(Table1[[#This Row],[Reporting date]])-INT(Table1[[#This Row],[Loss date]])</f>
        <v>338</v>
      </c>
      <c r="S293" s="69" t="s">
        <v>16</v>
      </c>
      <c r="T293" s="70">
        <f>VLOOKUP(Table1[[#This Row],[Policy Year]],exposure_table,3,FALSE)</f>
        <v>1090.5865384615383</v>
      </c>
      <c r="U293" s="17">
        <f>IF(MONTH(Table1[[#This Row],[Reporting date]])&lt;Policy_Inception_Month,YEAR(Table1[[#This Row],[Reporting date]])-1,YEAR(Table1[[#This Row],[Reporting date]]))</f>
        <v>2014</v>
      </c>
      <c r="V293" s="17">
        <f>Table1[[#This Row],[Reporting year]]-Table1[[#This Row],[Policy Year]]</f>
        <v>1</v>
      </c>
      <c r="W293" s="17">
        <f>INT(Table1[[#This Row],[Reporting date]])-INT(Table1[[#This Row],[Loss date]])</f>
        <v>338</v>
      </c>
      <c r="X293" s="17">
        <f>INT((YEAR(Table1[[#This Row],[Loss date]])*12+MONTH(Table1[[#This Row],[Loss date]])-Earliest_Month)/4)</f>
        <v>24</v>
      </c>
      <c r="Y293" s="17">
        <f>INT((YEAR(Table1[[#This Row],[Reporting date]])*12+MONTH(Table1[[#This Row],[Reporting date]])-Earliest_Month)/4)</f>
        <v>27</v>
      </c>
      <c r="Z293" s="17">
        <f>Table1[[#This Row],[Reporting third]]-Table1[[#This Row],[Policy third]]</f>
        <v>3</v>
      </c>
      <c r="AA293" s="71">
        <f>IF(Table1[[#This Row],[Overall amount]]=0,"N/A",Table1[[#This Row],[Outstanding]]/Table1[[#This Row],[Overall amount]])</f>
        <v>0.97243913642627478</v>
      </c>
      <c r="AB293" s="17">
        <f>IF(MONTH(Table1[[#This Row],[Loss date]])&lt;Pol_Inc_Month_Shifted,YEAR(Table1[[#This Row],[Loss date]])-1,YEAR(Table1[[#This Row],[Loss date]]))</f>
        <v>2012</v>
      </c>
      <c r="AC293" s="17">
        <f>IF(MONTH(Table1[[#This Row],[Reporting date]])&lt;Pol_Inc_Month_Shifted,YEAR(Table1[[#This Row],[Reporting date]])-1,YEAR(Table1[[#This Row],[Reporting date]]))</f>
        <v>2013</v>
      </c>
      <c r="AD293" s="17">
        <f>Table1[[#This Row],[Reporting year (shifted)]]-Table1[[#This Row],[Policy Year (shifted)]]</f>
        <v>1</v>
      </c>
    </row>
    <row r="294" spans="1:30" ht="13.9">
      <c r="A294" s="8" t="s">
        <v>2064</v>
      </c>
      <c r="B294" s="8" t="s">
        <v>346</v>
      </c>
      <c r="C294" s="8" t="s">
        <v>123</v>
      </c>
      <c r="D294" s="9">
        <v>41602</v>
      </c>
      <c r="E294" s="9">
        <v>41806</v>
      </c>
      <c r="F294" s="17">
        <f>IF(MONTH(Table1[[#This Row],[Loss date]])&lt;Policy_Inception_Month,YEAR(Table1[[#This Row],[Loss date]])-1,YEAR(Table1[[#This Row],[Loss date]]))</f>
        <v>2013</v>
      </c>
      <c r="G294" s="10" t="s">
        <v>125</v>
      </c>
      <c r="H294" s="10" t="s">
        <v>2</v>
      </c>
      <c r="I294" s="11">
        <v>0</v>
      </c>
      <c r="J294" s="11">
        <v>11512.07639796617</v>
      </c>
      <c r="K294" s="11">
        <v>11512.07639796617</v>
      </c>
      <c r="L294" s="12">
        <v>0</v>
      </c>
      <c r="M294" s="12">
        <v>0</v>
      </c>
      <c r="N294" s="12">
        <v>11512.07639796617</v>
      </c>
      <c r="O294" s="70">
        <f>IF(Table1[[#This Row],[Overall amount]]=0,0,1)</f>
        <v>1</v>
      </c>
      <c r="P294" s="70">
        <f>Table1[[#This Row],[Overall amount]]*Exchange_Rate</f>
        <v>11512.07639796617</v>
      </c>
      <c r="Q294" s="70">
        <f>Table1[[#This Row],[Overall (destination currency)]]*(1+Claims_Inflation)^((Revalue_at_date-Table1[[#This Row],[Loss date]])/365.25)</f>
        <v>12600</v>
      </c>
      <c r="R294" s="70">
        <f>INT(Table1[[#This Row],[Reporting date]])-INT(Table1[[#This Row],[Loss date]])</f>
        <v>204</v>
      </c>
      <c r="S294" s="69" t="s">
        <v>16</v>
      </c>
      <c r="T294" s="70">
        <f>VLOOKUP(Table1[[#This Row],[Policy Year]],exposure_table,3,FALSE)</f>
        <v>1090.5865384615383</v>
      </c>
      <c r="U294" s="17">
        <f>IF(MONTH(Table1[[#This Row],[Reporting date]])&lt;Policy_Inception_Month,YEAR(Table1[[#This Row],[Reporting date]])-1,YEAR(Table1[[#This Row],[Reporting date]]))</f>
        <v>2014</v>
      </c>
      <c r="V294" s="17">
        <f>Table1[[#This Row],[Reporting year]]-Table1[[#This Row],[Policy Year]]</f>
        <v>1</v>
      </c>
      <c r="W294" s="17">
        <f>INT(Table1[[#This Row],[Reporting date]])-INT(Table1[[#This Row],[Loss date]])</f>
        <v>204</v>
      </c>
      <c r="X294" s="17">
        <f>INT((YEAR(Table1[[#This Row],[Loss date]])*12+MONTH(Table1[[#This Row],[Loss date]])-Earliest_Month)/4)</f>
        <v>25</v>
      </c>
      <c r="Y294" s="17">
        <f>INT((YEAR(Table1[[#This Row],[Reporting date]])*12+MONTH(Table1[[#This Row],[Reporting date]])-Earliest_Month)/4)</f>
        <v>27</v>
      </c>
      <c r="Z294" s="17">
        <f>Table1[[#This Row],[Reporting third]]-Table1[[#This Row],[Policy third]]</f>
        <v>2</v>
      </c>
      <c r="AA294" s="71">
        <f>IF(Table1[[#This Row],[Overall amount]]=0,"N/A",Table1[[#This Row],[Outstanding]]/Table1[[#This Row],[Overall amount]])</f>
        <v>1</v>
      </c>
      <c r="AB294" s="17">
        <f>IF(MONTH(Table1[[#This Row],[Loss date]])&lt;Pol_Inc_Month_Shifted,YEAR(Table1[[#This Row],[Loss date]])-1,YEAR(Table1[[#This Row],[Loss date]]))</f>
        <v>2012</v>
      </c>
      <c r="AC294" s="17">
        <f>IF(MONTH(Table1[[#This Row],[Reporting date]])&lt;Pol_Inc_Month_Shifted,YEAR(Table1[[#This Row],[Reporting date]])-1,YEAR(Table1[[#This Row],[Reporting date]]))</f>
        <v>2013</v>
      </c>
      <c r="AD294" s="17">
        <f>Table1[[#This Row],[Reporting year (shifted)]]-Table1[[#This Row],[Policy Year (shifted)]]</f>
        <v>1</v>
      </c>
    </row>
    <row r="295" spans="1:30" ht="13.9">
      <c r="A295" s="8" t="s">
        <v>2065</v>
      </c>
      <c r="B295" s="8" t="s">
        <v>347</v>
      </c>
      <c r="C295" s="8" t="s">
        <v>123</v>
      </c>
      <c r="D295" s="9">
        <v>41765</v>
      </c>
      <c r="E295" s="9">
        <v>41799</v>
      </c>
      <c r="F295" s="17">
        <f>IF(MONTH(Table1[[#This Row],[Loss date]])&lt;Policy_Inception_Month,YEAR(Table1[[#This Row],[Loss date]])-1,YEAR(Table1[[#This Row],[Loss date]]))</f>
        <v>2014</v>
      </c>
      <c r="G295" s="10" t="s">
        <v>125</v>
      </c>
      <c r="H295" s="10" t="s">
        <v>2</v>
      </c>
      <c r="I295" s="11">
        <v>0</v>
      </c>
      <c r="J295" s="11">
        <v>11205.223042063666</v>
      </c>
      <c r="K295" s="11">
        <v>11205.223042063666</v>
      </c>
      <c r="L295" s="12">
        <v>0</v>
      </c>
      <c r="M295" s="12">
        <v>0</v>
      </c>
      <c r="N295" s="12">
        <v>11205.223042063666</v>
      </c>
      <c r="O295" s="70">
        <f>IF(Table1[[#This Row],[Overall amount]]=0,0,1)</f>
        <v>1</v>
      </c>
      <c r="P295" s="70">
        <f>Table1[[#This Row],[Overall amount]]*Exchange_Rate</f>
        <v>11205.223042063666</v>
      </c>
      <c r="Q295" s="70">
        <f>Table1[[#This Row],[Overall (destination currency)]]*(1+Claims_Inflation)^((Revalue_at_date-Table1[[#This Row],[Loss date]])/365.25)</f>
        <v>12000</v>
      </c>
      <c r="R295" s="70">
        <f>INT(Table1[[#This Row],[Reporting date]])-INT(Table1[[#This Row],[Loss date]])</f>
        <v>34</v>
      </c>
      <c r="S295" s="69" t="s">
        <v>16</v>
      </c>
      <c r="T295" s="70">
        <f>VLOOKUP(Table1[[#This Row],[Policy Year]],exposure_table,3,FALSE)</f>
        <v>1076.5070266272189</v>
      </c>
      <c r="U295" s="17">
        <f>IF(MONTH(Table1[[#This Row],[Reporting date]])&lt;Policy_Inception_Month,YEAR(Table1[[#This Row],[Reporting date]])-1,YEAR(Table1[[#This Row],[Reporting date]]))</f>
        <v>2014</v>
      </c>
      <c r="V295" s="17">
        <f>Table1[[#This Row],[Reporting year]]-Table1[[#This Row],[Policy Year]]</f>
        <v>0</v>
      </c>
      <c r="W295" s="17">
        <f>INT(Table1[[#This Row],[Reporting date]])-INT(Table1[[#This Row],[Loss date]])</f>
        <v>34</v>
      </c>
      <c r="X295" s="17">
        <f>INT((YEAR(Table1[[#This Row],[Loss date]])*12+MONTH(Table1[[#This Row],[Loss date]])-Earliest_Month)/4)</f>
        <v>27</v>
      </c>
      <c r="Y295" s="17">
        <f>INT((YEAR(Table1[[#This Row],[Reporting date]])*12+MONTH(Table1[[#This Row],[Reporting date]])-Earliest_Month)/4)</f>
        <v>27</v>
      </c>
      <c r="Z295" s="17">
        <f>Table1[[#This Row],[Reporting third]]-Table1[[#This Row],[Policy third]]</f>
        <v>0</v>
      </c>
      <c r="AA295" s="71">
        <f>IF(Table1[[#This Row],[Overall amount]]=0,"N/A",Table1[[#This Row],[Outstanding]]/Table1[[#This Row],[Overall amount]])</f>
        <v>1</v>
      </c>
      <c r="AB295" s="17">
        <f>IF(MONTH(Table1[[#This Row],[Loss date]])&lt;Pol_Inc_Month_Shifted,YEAR(Table1[[#This Row],[Loss date]])-1,YEAR(Table1[[#This Row],[Loss date]]))</f>
        <v>2013</v>
      </c>
      <c r="AC295" s="17">
        <f>IF(MONTH(Table1[[#This Row],[Reporting date]])&lt;Pol_Inc_Month_Shifted,YEAR(Table1[[#This Row],[Reporting date]])-1,YEAR(Table1[[#This Row],[Reporting date]]))</f>
        <v>2013</v>
      </c>
      <c r="AD295" s="17">
        <f>Table1[[#This Row],[Reporting year (shifted)]]-Table1[[#This Row],[Policy Year (shifted)]]</f>
        <v>0</v>
      </c>
    </row>
    <row r="296" spans="1:30" ht="13.9">
      <c r="A296" s="8" t="s">
        <v>2066</v>
      </c>
      <c r="B296" s="8" t="s">
        <v>348</v>
      </c>
      <c r="C296" s="8" t="s">
        <v>123</v>
      </c>
      <c r="D296" s="9">
        <v>41104</v>
      </c>
      <c r="E296" s="9">
        <v>41805</v>
      </c>
      <c r="F296" s="17">
        <f>IF(MONTH(Table1[[#This Row],[Loss date]])&lt;Policy_Inception_Month,YEAR(Table1[[#This Row],[Loss date]])-1,YEAR(Table1[[#This Row],[Loss date]]))</f>
        <v>2012</v>
      </c>
      <c r="G296" s="10" t="s">
        <v>125</v>
      </c>
      <c r="H296" s="10" t="s">
        <v>2</v>
      </c>
      <c r="I296" s="11">
        <v>0</v>
      </c>
      <c r="J296" s="11">
        <v>9745.3496579836792</v>
      </c>
      <c r="K296" s="11">
        <v>9745.3496579836792</v>
      </c>
      <c r="L296" s="12">
        <v>307.74788393632673</v>
      </c>
      <c r="M296" s="12">
        <v>0</v>
      </c>
      <c r="N296" s="12">
        <v>10053.097541920006</v>
      </c>
      <c r="O296" s="70">
        <f>IF(Table1[[#This Row],[Overall amount]]=0,0,1)</f>
        <v>1</v>
      </c>
      <c r="P296" s="70">
        <f>Table1[[#This Row],[Overall amount]]*Exchange_Rate</f>
        <v>10053.097541920006</v>
      </c>
      <c r="Q296" s="70">
        <f>Table1[[#This Row],[Overall (destination currency)]]*(1+Claims_Inflation)^((Revalue_at_date-Table1[[#This Row],[Loss date]])/365.25)</f>
        <v>11760</v>
      </c>
      <c r="R296" s="70">
        <f>INT(Table1[[#This Row],[Reporting date]])-INT(Table1[[#This Row],[Loss date]])</f>
        <v>701</v>
      </c>
      <c r="S296" s="69" t="s">
        <v>16</v>
      </c>
      <c r="T296" s="70">
        <f>VLOOKUP(Table1[[#This Row],[Policy Year]],exposure_table,3,FALSE)</f>
        <v>1057.54</v>
      </c>
      <c r="U296" s="17">
        <f>IF(MONTH(Table1[[#This Row],[Reporting date]])&lt;Policy_Inception_Month,YEAR(Table1[[#This Row],[Reporting date]])-1,YEAR(Table1[[#This Row],[Reporting date]]))</f>
        <v>2014</v>
      </c>
      <c r="V296" s="17">
        <f>Table1[[#This Row],[Reporting year]]-Table1[[#This Row],[Policy Year]]</f>
        <v>2</v>
      </c>
      <c r="W296" s="17">
        <f>INT(Table1[[#This Row],[Reporting date]])-INT(Table1[[#This Row],[Loss date]])</f>
        <v>701</v>
      </c>
      <c r="X296" s="17">
        <f>INT((YEAR(Table1[[#This Row],[Loss date]])*12+MONTH(Table1[[#This Row],[Loss date]])-Earliest_Month)/4)</f>
        <v>21</v>
      </c>
      <c r="Y296" s="17">
        <f>INT((YEAR(Table1[[#This Row],[Reporting date]])*12+MONTH(Table1[[#This Row],[Reporting date]])-Earliest_Month)/4)</f>
        <v>27</v>
      </c>
      <c r="Z296" s="17">
        <f>Table1[[#This Row],[Reporting third]]-Table1[[#This Row],[Policy third]]</f>
        <v>6</v>
      </c>
      <c r="AA296" s="71">
        <f>IF(Table1[[#This Row],[Overall amount]]=0,"N/A",Table1[[#This Row],[Outstanding]]/Table1[[#This Row],[Overall amount]])</f>
        <v>0.96938775510204078</v>
      </c>
      <c r="AB296" s="17">
        <f>IF(MONTH(Table1[[#This Row],[Loss date]])&lt;Pol_Inc_Month_Shifted,YEAR(Table1[[#This Row],[Loss date]])-1,YEAR(Table1[[#This Row],[Loss date]]))</f>
        <v>2011</v>
      </c>
      <c r="AC296" s="17">
        <f>IF(MONTH(Table1[[#This Row],[Reporting date]])&lt;Pol_Inc_Month_Shifted,YEAR(Table1[[#This Row],[Reporting date]])-1,YEAR(Table1[[#This Row],[Reporting date]]))</f>
        <v>2013</v>
      </c>
      <c r="AD296" s="17">
        <f>Table1[[#This Row],[Reporting year (shifted)]]-Table1[[#This Row],[Policy Year (shifted)]]</f>
        <v>2</v>
      </c>
    </row>
    <row r="297" spans="1:30" ht="13.9">
      <c r="A297" s="8" t="s">
        <v>2067</v>
      </c>
      <c r="B297" s="8" t="s">
        <v>349</v>
      </c>
      <c r="C297" s="8" t="s">
        <v>123</v>
      </c>
      <c r="D297" s="9">
        <v>41713</v>
      </c>
      <c r="E297" s="9">
        <v>41805</v>
      </c>
      <c r="F297" s="17">
        <f>IF(MONTH(Table1[[#This Row],[Loss date]])&lt;Policy_Inception_Month,YEAR(Table1[[#This Row],[Loss date]])-1,YEAR(Table1[[#This Row],[Loss date]]))</f>
        <v>2013</v>
      </c>
      <c r="G297" s="10" t="s">
        <v>125</v>
      </c>
      <c r="H297" s="10" t="s">
        <v>2</v>
      </c>
      <c r="I297" s="11">
        <v>0</v>
      </c>
      <c r="J297" s="11">
        <v>9458.5104532509213</v>
      </c>
      <c r="K297" s="11">
        <v>9458.5104532509213</v>
      </c>
      <c r="L297" s="12">
        <v>0</v>
      </c>
      <c r="M297" s="12">
        <v>0</v>
      </c>
      <c r="N297" s="12">
        <v>9458.5104532509213</v>
      </c>
      <c r="O297" s="70">
        <f>IF(Table1[[#This Row],[Overall amount]]=0,0,1)</f>
        <v>1</v>
      </c>
      <c r="P297" s="70">
        <f>Table1[[#This Row],[Overall amount]]*Exchange_Rate</f>
        <v>9458.5104532509213</v>
      </c>
      <c r="Q297" s="70">
        <f>Table1[[#This Row],[Overall (destination currency)]]*(1+Claims_Inflation)^((Revalue_at_date-Table1[[#This Row],[Loss date]])/365.25)</f>
        <v>10200</v>
      </c>
      <c r="R297" s="70">
        <f>INT(Table1[[#This Row],[Reporting date]])-INT(Table1[[#This Row],[Loss date]])</f>
        <v>92</v>
      </c>
      <c r="S297" s="69" t="s">
        <v>16</v>
      </c>
      <c r="T297" s="70">
        <f>VLOOKUP(Table1[[#This Row],[Policy Year]],exposure_table,3,FALSE)</f>
        <v>1090.5865384615383</v>
      </c>
      <c r="U297" s="17">
        <f>IF(MONTH(Table1[[#This Row],[Reporting date]])&lt;Policy_Inception_Month,YEAR(Table1[[#This Row],[Reporting date]])-1,YEAR(Table1[[#This Row],[Reporting date]]))</f>
        <v>2014</v>
      </c>
      <c r="V297" s="17">
        <f>Table1[[#This Row],[Reporting year]]-Table1[[#This Row],[Policy Year]]</f>
        <v>1</v>
      </c>
      <c r="W297" s="17">
        <f>INT(Table1[[#This Row],[Reporting date]])-INT(Table1[[#This Row],[Loss date]])</f>
        <v>92</v>
      </c>
      <c r="X297" s="17">
        <f>INT((YEAR(Table1[[#This Row],[Loss date]])*12+MONTH(Table1[[#This Row],[Loss date]])-Earliest_Month)/4)</f>
        <v>26</v>
      </c>
      <c r="Y297" s="17">
        <f>INT((YEAR(Table1[[#This Row],[Reporting date]])*12+MONTH(Table1[[#This Row],[Reporting date]])-Earliest_Month)/4)</f>
        <v>27</v>
      </c>
      <c r="Z297" s="17">
        <f>Table1[[#This Row],[Reporting third]]-Table1[[#This Row],[Policy third]]</f>
        <v>1</v>
      </c>
      <c r="AA297" s="71">
        <f>IF(Table1[[#This Row],[Overall amount]]=0,"N/A",Table1[[#This Row],[Outstanding]]/Table1[[#This Row],[Overall amount]])</f>
        <v>1</v>
      </c>
      <c r="AB297" s="17">
        <f>IF(MONTH(Table1[[#This Row],[Loss date]])&lt;Pol_Inc_Month_Shifted,YEAR(Table1[[#This Row],[Loss date]])-1,YEAR(Table1[[#This Row],[Loss date]]))</f>
        <v>2013</v>
      </c>
      <c r="AC297" s="17">
        <f>IF(MONTH(Table1[[#This Row],[Reporting date]])&lt;Pol_Inc_Month_Shifted,YEAR(Table1[[#This Row],[Reporting date]])-1,YEAR(Table1[[#This Row],[Reporting date]]))</f>
        <v>2013</v>
      </c>
      <c r="AD297" s="17">
        <f>Table1[[#This Row],[Reporting year (shifted)]]-Table1[[#This Row],[Policy Year (shifted)]]</f>
        <v>0</v>
      </c>
    </row>
    <row r="298" spans="1:30" ht="13.9">
      <c r="A298" s="8" t="s">
        <v>2068</v>
      </c>
      <c r="B298" s="8" t="s">
        <v>350</v>
      </c>
      <c r="C298" s="8" t="s">
        <v>123</v>
      </c>
      <c r="D298" s="9">
        <v>41752</v>
      </c>
      <c r="E298" s="9">
        <v>41811</v>
      </c>
      <c r="F298" s="17">
        <f>IF(MONTH(Table1[[#This Row],[Loss date]])&lt;Policy_Inception_Month,YEAR(Table1[[#This Row],[Loss date]])-1,YEAR(Table1[[#This Row],[Loss date]]))</f>
        <v>2014</v>
      </c>
      <c r="G298" s="10" t="s">
        <v>125</v>
      </c>
      <c r="H298" s="10" t="s">
        <v>2</v>
      </c>
      <c r="I298" s="11">
        <v>335.57344745407482</v>
      </c>
      <c r="J298" s="11">
        <v>1342.2937898162993</v>
      </c>
      <c r="K298" s="11">
        <v>1677.8672372703741</v>
      </c>
      <c r="L298" s="12">
        <v>335.57344745407482</v>
      </c>
      <c r="M298" s="12">
        <v>0</v>
      </c>
      <c r="N298" s="12">
        <v>2013.4406847244488</v>
      </c>
      <c r="O298" s="70">
        <f>IF(Table1[[#This Row],[Overall amount]]=0,0,1)</f>
        <v>1</v>
      </c>
      <c r="P298" s="70">
        <f>Table1[[#This Row],[Overall amount]]*Exchange_Rate</f>
        <v>2013.4406847244488</v>
      </c>
      <c r="Q298" s="70">
        <f>Table1[[#This Row],[Overall (destination currency)]]*(1+Claims_Inflation)^((Revalue_at_date-Table1[[#This Row],[Loss date]])/365.25)</f>
        <v>2159.9999999999995</v>
      </c>
      <c r="R298" s="70">
        <f>INT(Table1[[#This Row],[Reporting date]])-INT(Table1[[#This Row],[Loss date]])</f>
        <v>59</v>
      </c>
      <c r="S298" s="69" t="s">
        <v>16</v>
      </c>
      <c r="T298" s="70">
        <f>VLOOKUP(Table1[[#This Row],[Policy Year]],exposure_table,3,FALSE)</f>
        <v>1076.5070266272189</v>
      </c>
      <c r="U298" s="17">
        <f>IF(MONTH(Table1[[#This Row],[Reporting date]])&lt;Policy_Inception_Month,YEAR(Table1[[#This Row],[Reporting date]])-1,YEAR(Table1[[#This Row],[Reporting date]]))</f>
        <v>2014</v>
      </c>
      <c r="V298" s="17">
        <f>Table1[[#This Row],[Reporting year]]-Table1[[#This Row],[Policy Year]]</f>
        <v>0</v>
      </c>
      <c r="W298" s="17">
        <f>INT(Table1[[#This Row],[Reporting date]])-INT(Table1[[#This Row],[Loss date]])</f>
        <v>59</v>
      </c>
      <c r="X298" s="17">
        <f>INT((YEAR(Table1[[#This Row],[Loss date]])*12+MONTH(Table1[[#This Row],[Loss date]])-Earliest_Month)/4)</f>
        <v>27</v>
      </c>
      <c r="Y298" s="17">
        <f>INT((YEAR(Table1[[#This Row],[Reporting date]])*12+MONTH(Table1[[#This Row],[Reporting date]])-Earliest_Month)/4)</f>
        <v>27</v>
      </c>
      <c r="Z298" s="17">
        <f>Table1[[#This Row],[Reporting third]]-Table1[[#This Row],[Policy third]]</f>
        <v>0</v>
      </c>
      <c r="AA298" s="71">
        <f>IF(Table1[[#This Row],[Overall amount]]=0,"N/A",Table1[[#This Row],[Outstanding]]/Table1[[#This Row],[Overall amount]])</f>
        <v>0.66666666666666674</v>
      </c>
      <c r="AB298" s="17">
        <f>IF(MONTH(Table1[[#This Row],[Loss date]])&lt;Pol_Inc_Month_Shifted,YEAR(Table1[[#This Row],[Loss date]])-1,YEAR(Table1[[#This Row],[Loss date]]))</f>
        <v>2013</v>
      </c>
      <c r="AC298" s="17">
        <f>IF(MONTH(Table1[[#This Row],[Reporting date]])&lt;Pol_Inc_Month_Shifted,YEAR(Table1[[#This Row],[Reporting date]])-1,YEAR(Table1[[#This Row],[Reporting date]]))</f>
        <v>2013</v>
      </c>
      <c r="AD298" s="17">
        <f>Table1[[#This Row],[Reporting year (shifted)]]-Table1[[#This Row],[Policy Year (shifted)]]</f>
        <v>0</v>
      </c>
    </row>
    <row r="299" spans="1:30" ht="13.9">
      <c r="A299" s="8" t="s">
        <v>2069</v>
      </c>
      <c r="B299" s="8" t="s">
        <v>351</v>
      </c>
      <c r="C299" s="8" t="s">
        <v>123</v>
      </c>
      <c r="D299" s="9">
        <v>41440</v>
      </c>
      <c r="E299" s="9">
        <v>41786</v>
      </c>
      <c r="F299" s="17">
        <f>IF(MONTH(Table1[[#This Row],[Loss date]])&lt;Policy_Inception_Month,YEAR(Table1[[#This Row],[Loss date]])-1,YEAR(Table1[[#This Row],[Loss date]]))</f>
        <v>2013</v>
      </c>
      <c r="G299" s="10" t="s">
        <v>125</v>
      </c>
      <c r="H299" s="10" t="s">
        <v>2</v>
      </c>
      <c r="I299" s="11">
        <v>0</v>
      </c>
      <c r="J299" s="11">
        <v>10192.714054863109</v>
      </c>
      <c r="K299" s="11">
        <v>10192.714054863109</v>
      </c>
      <c r="L299" s="12">
        <v>321.87518067988765</v>
      </c>
      <c r="M299" s="12">
        <v>0</v>
      </c>
      <c r="N299" s="12">
        <v>10514.589235542997</v>
      </c>
      <c r="O299" s="70">
        <f>IF(Table1[[#This Row],[Overall amount]]=0,0,1)</f>
        <v>1</v>
      </c>
      <c r="P299" s="70">
        <f>Table1[[#This Row],[Overall amount]]*Exchange_Rate</f>
        <v>10514.589235542997</v>
      </c>
      <c r="Q299" s="70">
        <f>Table1[[#This Row],[Overall (destination currency)]]*(1+Claims_Inflation)^((Revalue_at_date-Table1[[#This Row],[Loss date]])/365.25)</f>
        <v>11760</v>
      </c>
      <c r="R299" s="70">
        <f>INT(Table1[[#This Row],[Reporting date]])-INT(Table1[[#This Row],[Loss date]])</f>
        <v>346</v>
      </c>
      <c r="S299" s="69" t="s">
        <v>16</v>
      </c>
      <c r="T299" s="70">
        <f>VLOOKUP(Table1[[#This Row],[Policy Year]],exposure_table,3,FALSE)</f>
        <v>1090.5865384615383</v>
      </c>
      <c r="U299" s="17">
        <f>IF(MONTH(Table1[[#This Row],[Reporting date]])&lt;Policy_Inception_Month,YEAR(Table1[[#This Row],[Reporting date]])-1,YEAR(Table1[[#This Row],[Reporting date]]))</f>
        <v>2014</v>
      </c>
      <c r="V299" s="17">
        <f>Table1[[#This Row],[Reporting year]]-Table1[[#This Row],[Policy Year]]</f>
        <v>1</v>
      </c>
      <c r="W299" s="17">
        <f>INT(Table1[[#This Row],[Reporting date]])-INT(Table1[[#This Row],[Loss date]])</f>
        <v>346</v>
      </c>
      <c r="X299" s="17">
        <f>INT((YEAR(Table1[[#This Row],[Loss date]])*12+MONTH(Table1[[#This Row],[Loss date]])-Earliest_Month)/4)</f>
        <v>24</v>
      </c>
      <c r="Y299" s="17">
        <f>INT((YEAR(Table1[[#This Row],[Reporting date]])*12+MONTH(Table1[[#This Row],[Reporting date]])-Earliest_Month)/4)</f>
        <v>27</v>
      </c>
      <c r="Z299" s="17">
        <f>Table1[[#This Row],[Reporting third]]-Table1[[#This Row],[Policy third]]</f>
        <v>3</v>
      </c>
      <c r="AA299" s="71">
        <f>IF(Table1[[#This Row],[Overall amount]]=0,"N/A",Table1[[#This Row],[Outstanding]]/Table1[[#This Row],[Overall amount]])</f>
        <v>0.96938775510204078</v>
      </c>
      <c r="AB299" s="17">
        <f>IF(MONTH(Table1[[#This Row],[Loss date]])&lt;Pol_Inc_Month_Shifted,YEAR(Table1[[#This Row],[Loss date]])-1,YEAR(Table1[[#This Row],[Loss date]]))</f>
        <v>2012</v>
      </c>
      <c r="AC299" s="17">
        <f>IF(MONTH(Table1[[#This Row],[Reporting date]])&lt;Pol_Inc_Month_Shifted,YEAR(Table1[[#This Row],[Reporting date]])-1,YEAR(Table1[[#This Row],[Reporting date]]))</f>
        <v>2013</v>
      </c>
      <c r="AD299" s="17">
        <f>Table1[[#This Row],[Reporting year (shifted)]]-Table1[[#This Row],[Policy Year (shifted)]]</f>
        <v>1</v>
      </c>
    </row>
    <row r="300" spans="1:30" ht="13.9">
      <c r="A300" s="8" t="s">
        <v>2070</v>
      </c>
      <c r="B300" s="8" t="s">
        <v>352</v>
      </c>
      <c r="C300" s="8" t="s">
        <v>123</v>
      </c>
      <c r="D300" s="9">
        <v>41613</v>
      </c>
      <c r="E300" s="9">
        <v>41798</v>
      </c>
      <c r="F300" s="17">
        <f>IF(MONTH(Table1[[#This Row],[Loss date]])&lt;Policy_Inception_Month,YEAR(Table1[[#This Row],[Loss date]])-1,YEAR(Table1[[#This Row],[Loss date]]))</f>
        <v>2013</v>
      </c>
      <c r="G300" s="10" t="s">
        <v>126</v>
      </c>
      <c r="H300" s="10" t="s">
        <v>2</v>
      </c>
      <c r="I300" s="11">
        <v>0</v>
      </c>
      <c r="J300" s="11">
        <v>9882.0038319621872</v>
      </c>
      <c r="K300" s="11">
        <v>9882.0038319621872</v>
      </c>
      <c r="L300" s="12">
        <v>329.40012773207292</v>
      </c>
      <c r="M300" s="12">
        <v>0</v>
      </c>
      <c r="N300" s="12">
        <v>10211.40395969426</v>
      </c>
      <c r="O300" s="70">
        <f>IF(Table1[[#This Row],[Overall amount]]=0,0,1)</f>
        <v>1</v>
      </c>
      <c r="P300" s="70">
        <f>Table1[[#This Row],[Overall amount]]*Exchange_Rate</f>
        <v>10211.40395969426</v>
      </c>
      <c r="Q300" s="70">
        <f>Table1[[#This Row],[Overall (destination currency)]]*(1+Claims_Inflation)^((Revalue_at_date-Table1[[#This Row],[Loss date]])/365.25)</f>
        <v>11160</v>
      </c>
      <c r="R300" s="70">
        <f>INT(Table1[[#This Row],[Reporting date]])-INT(Table1[[#This Row],[Loss date]])</f>
        <v>185</v>
      </c>
      <c r="S300" s="69" t="s">
        <v>16</v>
      </c>
      <c r="T300" s="70">
        <f>VLOOKUP(Table1[[#This Row],[Policy Year]],exposure_table,3,FALSE)</f>
        <v>1090.5865384615383</v>
      </c>
      <c r="U300" s="17">
        <f>IF(MONTH(Table1[[#This Row],[Reporting date]])&lt;Policy_Inception_Month,YEAR(Table1[[#This Row],[Reporting date]])-1,YEAR(Table1[[#This Row],[Reporting date]]))</f>
        <v>2014</v>
      </c>
      <c r="V300" s="17">
        <f>Table1[[#This Row],[Reporting year]]-Table1[[#This Row],[Policy Year]]</f>
        <v>1</v>
      </c>
      <c r="W300" s="17">
        <f>INT(Table1[[#This Row],[Reporting date]])-INT(Table1[[#This Row],[Loss date]])</f>
        <v>185</v>
      </c>
      <c r="X300" s="17">
        <f>INT((YEAR(Table1[[#This Row],[Loss date]])*12+MONTH(Table1[[#This Row],[Loss date]])-Earliest_Month)/4)</f>
        <v>26</v>
      </c>
      <c r="Y300" s="17">
        <f>INT((YEAR(Table1[[#This Row],[Reporting date]])*12+MONTH(Table1[[#This Row],[Reporting date]])-Earliest_Month)/4)</f>
        <v>27</v>
      </c>
      <c r="Z300" s="17">
        <f>Table1[[#This Row],[Reporting third]]-Table1[[#This Row],[Policy third]]</f>
        <v>1</v>
      </c>
      <c r="AA300" s="71">
        <f>IF(Table1[[#This Row],[Overall amount]]=0,"N/A",Table1[[#This Row],[Outstanding]]/Table1[[#This Row],[Overall amount]])</f>
        <v>0.967741935483871</v>
      </c>
      <c r="AB300" s="17">
        <f>IF(MONTH(Table1[[#This Row],[Loss date]])&lt;Pol_Inc_Month_Shifted,YEAR(Table1[[#This Row],[Loss date]])-1,YEAR(Table1[[#This Row],[Loss date]]))</f>
        <v>2013</v>
      </c>
      <c r="AC300" s="17">
        <f>IF(MONTH(Table1[[#This Row],[Reporting date]])&lt;Pol_Inc_Month_Shifted,YEAR(Table1[[#This Row],[Reporting date]])-1,YEAR(Table1[[#This Row],[Reporting date]]))</f>
        <v>2013</v>
      </c>
      <c r="AD300" s="17">
        <f>Table1[[#This Row],[Reporting year (shifted)]]-Table1[[#This Row],[Policy Year (shifted)]]</f>
        <v>0</v>
      </c>
    </row>
    <row r="301" spans="1:30" ht="13.9">
      <c r="A301" s="8" t="s">
        <v>2071</v>
      </c>
      <c r="B301" s="8" t="s">
        <v>353</v>
      </c>
      <c r="C301" s="8" t="s">
        <v>123</v>
      </c>
      <c r="D301" s="9">
        <v>41602</v>
      </c>
      <c r="E301" s="9">
        <v>41826</v>
      </c>
      <c r="F301" s="17">
        <f>IF(MONTH(Table1[[#This Row],[Loss date]])&lt;Policy_Inception_Month,YEAR(Table1[[#This Row],[Loss date]])-1,YEAR(Table1[[#This Row],[Loss date]]))</f>
        <v>2013</v>
      </c>
      <c r="G301" s="10" t="s">
        <v>125</v>
      </c>
      <c r="H301" s="10" t="s">
        <v>2</v>
      </c>
      <c r="I301" s="11">
        <v>0</v>
      </c>
      <c r="J301" s="11">
        <v>10963.882283777304</v>
      </c>
      <c r="K301" s="11">
        <v>10963.882283777304</v>
      </c>
      <c r="L301" s="12">
        <v>0</v>
      </c>
      <c r="M301" s="12">
        <v>0</v>
      </c>
      <c r="N301" s="12">
        <v>10963.882283777304</v>
      </c>
      <c r="O301" s="70">
        <f>IF(Table1[[#This Row],[Overall amount]]=0,0,1)</f>
        <v>1</v>
      </c>
      <c r="P301" s="70">
        <f>Table1[[#This Row],[Overall amount]]*Exchange_Rate</f>
        <v>10963.882283777304</v>
      </c>
      <c r="Q301" s="70">
        <f>Table1[[#This Row],[Overall (destination currency)]]*(1+Claims_Inflation)^((Revalue_at_date-Table1[[#This Row],[Loss date]])/365.25)</f>
        <v>12000</v>
      </c>
      <c r="R301" s="70">
        <f>INT(Table1[[#This Row],[Reporting date]])-INT(Table1[[#This Row],[Loss date]])</f>
        <v>224</v>
      </c>
      <c r="S301" s="69" t="s">
        <v>16</v>
      </c>
      <c r="T301" s="70">
        <f>VLOOKUP(Table1[[#This Row],[Policy Year]],exposure_table,3,FALSE)</f>
        <v>1090.5865384615383</v>
      </c>
      <c r="U301" s="17">
        <f>IF(MONTH(Table1[[#This Row],[Reporting date]])&lt;Policy_Inception_Month,YEAR(Table1[[#This Row],[Reporting date]])-1,YEAR(Table1[[#This Row],[Reporting date]]))</f>
        <v>2014</v>
      </c>
      <c r="V301" s="17">
        <f>Table1[[#This Row],[Reporting year]]-Table1[[#This Row],[Policy Year]]</f>
        <v>1</v>
      </c>
      <c r="W301" s="17">
        <f>INT(Table1[[#This Row],[Reporting date]])-INT(Table1[[#This Row],[Loss date]])</f>
        <v>224</v>
      </c>
      <c r="X301" s="17">
        <f>INT((YEAR(Table1[[#This Row],[Loss date]])*12+MONTH(Table1[[#This Row],[Loss date]])-Earliest_Month)/4)</f>
        <v>25</v>
      </c>
      <c r="Y301" s="17">
        <f>INT((YEAR(Table1[[#This Row],[Reporting date]])*12+MONTH(Table1[[#This Row],[Reporting date]])-Earliest_Month)/4)</f>
        <v>27</v>
      </c>
      <c r="Z301" s="17">
        <f>Table1[[#This Row],[Reporting third]]-Table1[[#This Row],[Policy third]]</f>
        <v>2</v>
      </c>
      <c r="AA301" s="71">
        <f>IF(Table1[[#This Row],[Overall amount]]=0,"N/A",Table1[[#This Row],[Outstanding]]/Table1[[#This Row],[Overall amount]])</f>
        <v>1</v>
      </c>
      <c r="AB301" s="17">
        <f>IF(MONTH(Table1[[#This Row],[Loss date]])&lt;Pol_Inc_Month_Shifted,YEAR(Table1[[#This Row],[Loss date]])-1,YEAR(Table1[[#This Row],[Loss date]]))</f>
        <v>2012</v>
      </c>
      <c r="AC301" s="17">
        <f>IF(MONTH(Table1[[#This Row],[Reporting date]])&lt;Pol_Inc_Month_Shifted,YEAR(Table1[[#This Row],[Reporting date]])-1,YEAR(Table1[[#This Row],[Reporting date]]))</f>
        <v>2013</v>
      </c>
      <c r="AD301" s="17">
        <f>Table1[[#This Row],[Reporting year (shifted)]]-Table1[[#This Row],[Policy Year (shifted)]]</f>
        <v>1</v>
      </c>
    </row>
    <row r="302" spans="1:30" ht="13.9">
      <c r="A302" s="8" t="s">
        <v>2072</v>
      </c>
      <c r="B302" s="8" t="s">
        <v>354</v>
      </c>
      <c r="C302" s="8" t="s">
        <v>123</v>
      </c>
      <c r="D302" s="9">
        <v>41692</v>
      </c>
      <c r="E302" s="9">
        <v>41819</v>
      </c>
      <c r="F302" s="17">
        <f>IF(MONTH(Table1[[#This Row],[Loss date]])&lt;Policy_Inception_Month,YEAR(Table1[[#This Row],[Loss date]])-1,YEAR(Table1[[#This Row],[Loss date]]))</f>
        <v>2013</v>
      </c>
      <c r="G302" s="10" t="s">
        <v>125</v>
      </c>
      <c r="H302" s="10" t="s">
        <v>2</v>
      </c>
      <c r="I302" s="11">
        <v>0</v>
      </c>
      <c r="J302" s="11">
        <v>15313.153393385477</v>
      </c>
      <c r="K302" s="11">
        <v>15313.153393385477</v>
      </c>
      <c r="L302" s="12">
        <v>0</v>
      </c>
      <c r="M302" s="12">
        <v>0</v>
      </c>
      <c r="N302" s="12">
        <v>15313.153393385477</v>
      </c>
      <c r="O302" s="70">
        <f>IF(Table1[[#This Row],[Overall amount]]=0,0,1)</f>
        <v>1</v>
      </c>
      <c r="P302" s="70">
        <f>Table1[[#This Row],[Overall amount]]*Exchange_Rate</f>
        <v>15313.153393385477</v>
      </c>
      <c r="Q302" s="70">
        <f>Table1[[#This Row],[Overall (destination currency)]]*(1+Claims_Inflation)^((Revalue_at_date-Table1[[#This Row],[Loss date]])/365.25)</f>
        <v>16560</v>
      </c>
      <c r="R302" s="70">
        <f>INT(Table1[[#This Row],[Reporting date]])-INT(Table1[[#This Row],[Loss date]])</f>
        <v>127</v>
      </c>
      <c r="S302" s="69" t="s">
        <v>16</v>
      </c>
      <c r="T302" s="70">
        <f>VLOOKUP(Table1[[#This Row],[Policy Year]],exposure_table,3,FALSE)</f>
        <v>1090.5865384615383</v>
      </c>
      <c r="U302" s="17">
        <f>IF(MONTH(Table1[[#This Row],[Reporting date]])&lt;Policy_Inception_Month,YEAR(Table1[[#This Row],[Reporting date]])-1,YEAR(Table1[[#This Row],[Reporting date]]))</f>
        <v>2014</v>
      </c>
      <c r="V302" s="17">
        <f>Table1[[#This Row],[Reporting year]]-Table1[[#This Row],[Policy Year]]</f>
        <v>1</v>
      </c>
      <c r="W302" s="17">
        <f>INT(Table1[[#This Row],[Reporting date]])-INT(Table1[[#This Row],[Loss date]])</f>
        <v>127</v>
      </c>
      <c r="X302" s="17">
        <f>INT((YEAR(Table1[[#This Row],[Loss date]])*12+MONTH(Table1[[#This Row],[Loss date]])-Earliest_Month)/4)</f>
        <v>26</v>
      </c>
      <c r="Y302" s="17">
        <f>INT((YEAR(Table1[[#This Row],[Reporting date]])*12+MONTH(Table1[[#This Row],[Reporting date]])-Earliest_Month)/4)</f>
        <v>27</v>
      </c>
      <c r="Z302" s="17">
        <f>Table1[[#This Row],[Reporting third]]-Table1[[#This Row],[Policy third]]</f>
        <v>1</v>
      </c>
      <c r="AA302" s="71">
        <f>IF(Table1[[#This Row],[Overall amount]]=0,"N/A",Table1[[#This Row],[Outstanding]]/Table1[[#This Row],[Overall amount]])</f>
        <v>1</v>
      </c>
      <c r="AB302" s="17">
        <f>IF(MONTH(Table1[[#This Row],[Loss date]])&lt;Pol_Inc_Month_Shifted,YEAR(Table1[[#This Row],[Loss date]])-1,YEAR(Table1[[#This Row],[Loss date]]))</f>
        <v>2013</v>
      </c>
      <c r="AC302" s="17">
        <f>IF(MONTH(Table1[[#This Row],[Reporting date]])&lt;Pol_Inc_Month_Shifted,YEAR(Table1[[#This Row],[Reporting date]])-1,YEAR(Table1[[#This Row],[Reporting date]]))</f>
        <v>2013</v>
      </c>
      <c r="AD302" s="17">
        <f>Table1[[#This Row],[Reporting year (shifted)]]-Table1[[#This Row],[Policy Year (shifted)]]</f>
        <v>0</v>
      </c>
    </row>
    <row r="303" spans="1:30" ht="13.9">
      <c r="A303" s="8" t="s">
        <v>2073</v>
      </c>
      <c r="B303" s="8" t="s">
        <v>355</v>
      </c>
      <c r="C303" s="8" t="s">
        <v>123</v>
      </c>
      <c r="D303" s="9">
        <v>41282</v>
      </c>
      <c r="E303" s="9">
        <v>41841</v>
      </c>
      <c r="F303" s="17">
        <f>IF(MONTH(Table1[[#This Row],[Loss date]])&lt;Policy_Inception_Month,YEAR(Table1[[#This Row],[Loss date]])-1,YEAR(Table1[[#This Row],[Loss date]]))</f>
        <v>2012</v>
      </c>
      <c r="G303" s="10" t="s">
        <v>125</v>
      </c>
      <c r="H303" s="10" t="s">
        <v>2</v>
      </c>
      <c r="I303" s="11">
        <v>0</v>
      </c>
      <c r="J303" s="11">
        <v>12185.915118248209</v>
      </c>
      <c r="K303" s="11">
        <v>12185.915118248209</v>
      </c>
      <c r="L303" s="12">
        <v>0</v>
      </c>
      <c r="M303" s="12">
        <v>0</v>
      </c>
      <c r="N303" s="12">
        <v>12185.915118248209</v>
      </c>
      <c r="O303" s="70">
        <f>IF(Table1[[#This Row],[Overall amount]]=0,0,1)</f>
        <v>1</v>
      </c>
      <c r="P303" s="70">
        <f>Table1[[#This Row],[Overall amount]]*Exchange_Rate</f>
        <v>12185.915118248209</v>
      </c>
      <c r="Q303" s="70">
        <f>Table1[[#This Row],[Overall (destination currency)]]*(1+Claims_Inflation)^((Revalue_at_date-Table1[[#This Row],[Loss date]])/365.25)</f>
        <v>13920.000000000002</v>
      </c>
      <c r="R303" s="70">
        <f>INT(Table1[[#This Row],[Reporting date]])-INT(Table1[[#This Row],[Loss date]])</f>
        <v>559</v>
      </c>
      <c r="S303" s="69" t="s">
        <v>16</v>
      </c>
      <c r="T303" s="70">
        <f>VLOOKUP(Table1[[#This Row],[Policy Year]],exposure_table,3,FALSE)</f>
        <v>1057.54</v>
      </c>
      <c r="U303" s="17">
        <f>IF(MONTH(Table1[[#This Row],[Reporting date]])&lt;Policy_Inception_Month,YEAR(Table1[[#This Row],[Reporting date]])-1,YEAR(Table1[[#This Row],[Reporting date]]))</f>
        <v>2014</v>
      </c>
      <c r="V303" s="17">
        <f>Table1[[#This Row],[Reporting year]]-Table1[[#This Row],[Policy Year]]</f>
        <v>2</v>
      </c>
      <c r="W303" s="17">
        <f>INT(Table1[[#This Row],[Reporting date]])-INT(Table1[[#This Row],[Loss date]])</f>
        <v>559</v>
      </c>
      <c r="X303" s="17">
        <f>INT((YEAR(Table1[[#This Row],[Loss date]])*12+MONTH(Table1[[#This Row],[Loss date]])-Earliest_Month)/4)</f>
        <v>23</v>
      </c>
      <c r="Y303" s="17">
        <f>INT((YEAR(Table1[[#This Row],[Reporting date]])*12+MONTH(Table1[[#This Row],[Reporting date]])-Earliest_Month)/4)</f>
        <v>27</v>
      </c>
      <c r="Z303" s="17">
        <f>Table1[[#This Row],[Reporting third]]-Table1[[#This Row],[Policy third]]</f>
        <v>4</v>
      </c>
      <c r="AA303" s="71">
        <f>IF(Table1[[#This Row],[Overall amount]]=0,"N/A",Table1[[#This Row],[Outstanding]]/Table1[[#This Row],[Overall amount]])</f>
        <v>1</v>
      </c>
      <c r="AB303" s="17">
        <f>IF(MONTH(Table1[[#This Row],[Loss date]])&lt;Pol_Inc_Month_Shifted,YEAR(Table1[[#This Row],[Loss date]])-1,YEAR(Table1[[#This Row],[Loss date]]))</f>
        <v>2012</v>
      </c>
      <c r="AC303" s="17">
        <f>IF(MONTH(Table1[[#This Row],[Reporting date]])&lt;Pol_Inc_Month_Shifted,YEAR(Table1[[#This Row],[Reporting date]])-1,YEAR(Table1[[#This Row],[Reporting date]]))</f>
        <v>2013</v>
      </c>
      <c r="AD303" s="17">
        <f>Table1[[#This Row],[Reporting year (shifted)]]-Table1[[#This Row],[Policy Year (shifted)]]</f>
        <v>1</v>
      </c>
    </row>
    <row r="304" spans="1:30" ht="13.9">
      <c r="A304" s="8" t="s">
        <v>2074</v>
      </c>
      <c r="B304" s="8" t="s">
        <v>356</v>
      </c>
      <c r="C304" s="8" t="s">
        <v>123</v>
      </c>
      <c r="D304" s="9">
        <v>41740</v>
      </c>
      <c r="E304" s="9">
        <v>41817</v>
      </c>
      <c r="F304" s="17">
        <f>IF(MONTH(Table1[[#This Row],[Loss date]])&lt;Policy_Inception_Month,YEAR(Table1[[#This Row],[Loss date]])-1,YEAR(Table1[[#This Row],[Loss date]]))</f>
        <v>2014</v>
      </c>
      <c r="G304" s="10" t="s">
        <v>125</v>
      </c>
      <c r="H304" s="10" t="s">
        <v>2</v>
      </c>
      <c r="I304" s="11">
        <v>0</v>
      </c>
      <c r="J304" s="11">
        <v>0</v>
      </c>
      <c r="K304" s="11">
        <v>0</v>
      </c>
      <c r="L304" s="12">
        <v>335.03596677386469</v>
      </c>
      <c r="M304" s="12">
        <v>0</v>
      </c>
      <c r="N304" s="12">
        <v>335.03596677386469</v>
      </c>
      <c r="O304" s="70">
        <f>IF(Table1[[#This Row],[Overall amount]]=0,0,1)</f>
        <v>1</v>
      </c>
      <c r="P304" s="70">
        <f>Table1[[#This Row],[Overall amount]]*Exchange_Rate</f>
        <v>335.03596677386469</v>
      </c>
      <c r="Q304" s="70">
        <f>Table1[[#This Row],[Overall (destination currency)]]*(1+Claims_Inflation)^((Revalue_at_date-Table1[[#This Row],[Loss date]])/365.25)</f>
        <v>360</v>
      </c>
      <c r="R304" s="70">
        <f>INT(Table1[[#This Row],[Reporting date]])-INT(Table1[[#This Row],[Loss date]])</f>
        <v>77</v>
      </c>
      <c r="S304" s="69" t="s">
        <v>9</v>
      </c>
      <c r="T304" s="70">
        <f>VLOOKUP(Table1[[#This Row],[Policy Year]],exposure_table,3,FALSE)</f>
        <v>1076.5070266272189</v>
      </c>
      <c r="U304" s="17">
        <f>IF(MONTH(Table1[[#This Row],[Reporting date]])&lt;Policy_Inception_Month,YEAR(Table1[[#This Row],[Reporting date]])-1,YEAR(Table1[[#This Row],[Reporting date]]))</f>
        <v>2014</v>
      </c>
      <c r="V304" s="17">
        <f>Table1[[#This Row],[Reporting year]]-Table1[[#This Row],[Policy Year]]</f>
        <v>0</v>
      </c>
      <c r="W304" s="17">
        <f>INT(Table1[[#This Row],[Reporting date]])-INT(Table1[[#This Row],[Loss date]])</f>
        <v>77</v>
      </c>
      <c r="X304" s="17">
        <f>INT((YEAR(Table1[[#This Row],[Loss date]])*12+MONTH(Table1[[#This Row],[Loss date]])-Earliest_Month)/4)</f>
        <v>27</v>
      </c>
      <c r="Y304" s="17">
        <f>INT((YEAR(Table1[[#This Row],[Reporting date]])*12+MONTH(Table1[[#This Row],[Reporting date]])-Earliest_Month)/4)</f>
        <v>27</v>
      </c>
      <c r="Z304" s="17">
        <f>Table1[[#This Row],[Reporting third]]-Table1[[#This Row],[Policy third]]</f>
        <v>0</v>
      </c>
      <c r="AA304" s="71">
        <f>IF(Table1[[#This Row],[Overall amount]]=0,"N/A",Table1[[#This Row],[Outstanding]]/Table1[[#This Row],[Overall amount]])</f>
        <v>0</v>
      </c>
      <c r="AB304" s="17">
        <f>IF(MONTH(Table1[[#This Row],[Loss date]])&lt;Pol_Inc_Month_Shifted,YEAR(Table1[[#This Row],[Loss date]])-1,YEAR(Table1[[#This Row],[Loss date]]))</f>
        <v>2013</v>
      </c>
      <c r="AC304" s="17">
        <f>IF(MONTH(Table1[[#This Row],[Reporting date]])&lt;Pol_Inc_Month_Shifted,YEAR(Table1[[#This Row],[Reporting date]])-1,YEAR(Table1[[#This Row],[Reporting date]]))</f>
        <v>2013</v>
      </c>
      <c r="AD304" s="17">
        <f>Table1[[#This Row],[Reporting year (shifted)]]-Table1[[#This Row],[Policy Year (shifted)]]</f>
        <v>0</v>
      </c>
    </row>
    <row r="305" spans="1:30" ht="13.9">
      <c r="A305" s="8" t="s">
        <v>2075</v>
      </c>
      <c r="B305" s="8" t="s">
        <v>357</v>
      </c>
      <c r="C305" s="8" t="s">
        <v>123</v>
      </c>
      <c r="D305" s="9">
        <v>41287</v>
      </c>
      <c r="E305" s="9">
        <v>41842</v>
      </c>
      <c r="F305" s="17">
        <f>IF(MONTH(Table1[[#This Row],[Loss date]])&lt;Policy_Inception_Month,YEAR(Table1[[#This Row],[Loss date]])-1,YEAR(Table1[[#This Row],[Loss date]]))</f>
        <v>2012</v>
      </c>
      <c r="G305" s="10" t="s">
        <v>125</v>
      </c>
      <c r="H305" s="10" t="s">
        <v>2</v>
      </c>
      <c r="I305" s="11">
        <v>0</v>
      </c>
      <c r="J305" s="11">
        <v>19762.781744569133</v>
      </c>
      <c r="K305" s="11">
        <v>19762.781744569133</v>
      </c>
      <c r="L305" s="12">
        <v>315.36353847716697</v>
      </c>
      <c r="M305" s="12">
        <v>0</v>
      </c>
      <c r="N305" s="12">
        <v>20078.145283046299</v>
      </c>
      <c r="O305" s="70">
        <f>IF(Table1[[#This Row],[Overall amount]]=0,0,1)</f>
        <v>1</v>
      </c>
      <c r="P305" s="70">
        <f>Table1[[#This Row],[Overall amount]]*Exchange_Rate</f>
        <v>20078.145283046299</v>
      </c>
      <c r="Q305" s="70">
        <f>Table1[[#This Row],[Overall (destination currency)]]*(1+Claims_Inflation)^((Revalue_at_date-Table1[[#This Row],[Loss date]])/365.25)</f>
        <v>22920</v>
      </c>
      <c r="R305" s="70">
        <f>INT(Table1[[#This Row],[Reporting date]])-INT(Table1[[#This Row],[Loss date]])</f>
        <v>555</v>
      </c>
      <c r="S305" s="69" t="s">
        <v>16</v>
      </c>
      <c r="T305" s="70">
        <f>VLOOKUP(Table1[[#This Row],[Policy Year]],exposure_table,3,FALSE)</f>
        <v>1057.54</v>
      </c>
      <c r="U305" s="17">
        <f>IF(MONTH(Table1[[#This Row],[Reporting date]])&lt;Policy_Inception_Month,YEAR(Table1[[#This Row],[Reporting date]])-1,YEAR(Table1[[#This Row],[Reporting date]]))</f>
        <v>2014</v>
      </c>
      <c r="V305" s="17">
        <f>Table1[[#This Row],[Reporting year]]-Table1[[#This Row],[Policy Year]]</f>
        <v>2</v>
      </c>
      <c r="W305" s="17">
        <f>INT(Table1[[#This Row],[Reporting date]])-INT(Table1[[#This Row],[Loss date]])</f>
        <v>555</v>
      </c>
      <c r="X305" s="17">
        <f>INT((YEAR(Table1[[#This Row],[Loss date]])*12+MONTH(Table1[[#This Row],[Loss date]])-Earliest_Month)/4)</f>
        <v>23</v>
      </c>
      <c r="Y305" s="17">
        <f>INT((YEAR(Table1[[#This Row],[Reporting date]])*12+MONTH(Table1[[#This Row],[Reporting date]])-Earliest_Month)/4)</f>
        <v>27</v>
      </c>
      <c r="Z305" s="17">
        <f>Table1[[#This Row],[Reporting third]]-Table1[[#This Row],[Policy third]]</f>
        <v>4</v>
      </c>
      <c r="AA305" s="71">
        <f>IF(Table1[[#This Row],[Overall amount]]=0,"N/A",Table1[[#This Row],[Outstanding]]/Table1[[#This Row],[Overall amount]])</f>
        <v>0.98429319371727753</v>
      </c>
      <c r="AB305" s="17">
        <f>IF(MONTH(Table1[[#This Row],[Loss date]])&lt;Pol_Inc_Month_Shifted,YEAR(Table1[[#This Row],[Loss date]])-1,YEAR(Table1[[#This Row],[Loss date]]))</f>
        <v>2012</v>
      </c>
      <c r="AC305" s="17">
        <f>IF(MONTH(Table1[[#This Row],[Reporting date]])&lt;Pol_Inc_Month_Shifted,YEAR(Table1[[#This Row],[Reporting date]])-1,YEAR(Table1[[#This Row],[Reporting date]]))</f>
        <v>2013</v>
      </c>
      <c r="AD305" s="17">
        <f>Table1[[#This Row],[Reporting year (shifted)]]-Table1[[#This Row],[Policy Year (shifted)]]</f>
        <v>1</v>
      </c>
    </row>
    <row r="306" spans="1:30" ht="13.9">
      <c r="A306" s="8" t="s">
        <v>2076</v>
      </c>
      <c r="B306" s="8" t="s">
        <v>358</v>
      </c>
      <c r="C306" s="8" t="s">
        <v>123</v>
      </c>
      <c r="D306" s="9">
        <v>41617</v>
      </c>
      <c r="E306" s="9">
        <v>41825</v>
      </c>
      <c r="F306" s="17">
        <f>IF(MONTH(Table1[[#This Row],[Loss date]])&lt;Policy_Inception_Month,YEAR(Table1[[#This Row],[Loss date]])-1,YEAR(Table1[[#This Row],[Loss date]]))</f>
        <v>2013</v>
      </c>
      <c r="G306" s="10" t="s">
        <v>125</v>
      </c>
      <c r="H306" s="10" t="s">
        <v>2</v>
      </c>
      <c r="I306" s="11">
        <v>0</v>
      </c>
      <c r="J306" s="11">
        <v>9887.2854026360874</v>
      </c>
      <c r="K306" s="11">
        <v>9887.2854026360874</v>
      </c>
      <c r="L306" s="12">
        <v>329.57618008786955</v>
      </c>
      <c r="M306" s="12">
        <v>0</v>
      </c>
      <c r="N306" s="12">
        <v>10216.861582723957</v>
      </c>
      <c r="O306" s="70">
        <f>IF(Table1[[#This Row],[Overall amount]]=0,0,1)</f>
        <v>1</v>
      </c>
      <c r="P306" s="70">
        <f>Table1[[#This Row],[Overall amount]]*Exchange_Rate</f>
        <v>10216.861582723957</v>
      </c>
      <c r="Q306" s="70">
        <f>Table1[[#This Row],[Overall (destination currency)]]*(1+Claims_Inflation)^((Revalue_at_date-Table1[[#This Row],[Loss date]])/365.25)</f>
        <v>11160</v>
      </c>
      <c r="R306" s="70">
        <f>INT(Table1[[#This Row],[Reporting date]])-INT(Table1[[#This Row],[Loss date]])</f>
        <v>208</v>
      </c>
      <c r="S306" s="69" t="s">
        <v>16</v>
      </c>
      <c r="T306" s="70">
        <f>VLOOKUP(Table1[[#This Row],[Policy Year]],exposure_table,3,FALSE)</f>
        <v>1090.5865384615383</v>
      </c>
      <c r="U306" s="17">
        <f>IF(MONTH(Table1[[#This Row],[Reporting date]])&lt;Policy_Inception_Month,YEAR(Table1[[#This Row],[Reporting date]])-1,YEAR(Table1[[#This Row],[Reporting date]]))</f>
        <v>2014</v>
      </c>
      <c r="V306" s="17">
        <f>Table1[[#This Row],[Reporting year]]-Table1[[#This Row],[Policy Year]]</f>
        <v>1</v>
      </c>
      <c r="W306" s="17">
        <f>INT(Table1[[#This Row],[Reporting date]])-INT(Table1[[#This Row],[Loss date]])</f>
        <v>208</v>
      </c>
      <c r="X306" s="17">
        <f>INT((YEAR(Table1[[#This Row],[Loss date]])*12+MONTH(Table1[[#This Row],[Loss date]])-Earliest_Month)/4)</f>
        <v>26</v>
      </c>
      <c r="Y306" s="17">
        <f>INT((YEAR(Table1[[#This Row],[Reporting date]])*12+MONTH(Table1[[#This Row],[Reporting date]])-Earliest_Month)/4)</f>
        <v>27</v>
      </c>
      <c r="Z306" s="17">
        <f>Table1[[#This Row],[Reporting third]]-Table1[[#This Row],[Policy third]]</f>
        <v>1</v>
      </c>
      <c r="AA306" s="71">
        <f>IF(Table1[[#This Row],[Overall amount]]=0,"N/A",Table1[[#This Row],[Outstanding]]/Table1[[#This Row],[Overall amount]])</f>
        <v>0.96774193548387089</v>
      </c>
      <c r="AB306" s="17">
        <f>IF(MONTH(Table1[[#This Row],[Loss date]])&lt;Pol_Inc_Month_Shifted,YEAR(Table1[[#This Row],[Loss date]])-1,YEAR(Table1[[#This Row],[Loss date]]))</f>
        <v>2013</v>
      </c>
      <c r="AC306" s="17">
        <f>IF(MONTH(Table1[[#This Row],[Reporting date]])&lt;Pol_Inc_Month_Shifted,YEAR(Table1[[#This Row],[Reporting date]])-1,YEAR(Table1[[#This Row],[Reporting date]]))</f>
        <v>2013</v>
      </c>
      <c r="AD306" s="17">
        <f>Table1[[#This Row],[Reporting year (shifted)]]-Table1[[#This Row],[Policy Year (shifted)]]</f>
        <v>0</v>
      </c>
    </row>
    <row r="307" spans="1:30" ht="13.9">
      <c r="A307" s="8" t="s">
        <v>2077</v>
      </c>
      <c r="B307" s="8" t="s">
        <v>359</v>
      </c>
      <c r="C307" s="8" t="s">
        <v>123</v>
      </c>
      <c r="D307" s="9">
        <v>41230</v>
      </c>
      <c r="E307" s="9">
        <v>41818</v>
      </c>
      <c r="F307" s="17">
        <f>IF(MONTH(Table1[[#This Row],[Loss date]])&lt;Policy_Inception_Month,YEAR(Table1[[#This Row],[Loss date]])-1,YEAR(Table1[[#This Row],[Loss date]]))</f>
        <v>2012</v>
      </c>
      <c r="G307" s="10" t="s">
        <v>125</v>
      </c>
      <c r="H307" s="10" t="s">
        <v>2</v>
      </c>
      <c r="I307" s="11">
        <v>0</v>
      </c>
      <c r="J307" s="11">
        <v>25872.307067910911</v>
      </c>
      <c r="K307" s="11">
        <v>25872.307067910911</v>
      </c>
      <c r="L307" s="12">
        <v>0</v>
      </c>
      <c r="M307" s="12">
        <v>0</v>
      </c>
      <c r="N307" s="12">
        <v>25872.307067910911</v>
      </c>
      <c r="O307" s="70">
        <f>IF(Table1[[#This Row],[Overall amount]]=0,0,1)</f>
        <v>1</v>
      </c>
      <c r="P307" s="70">
        <f>Table1[[#This Row],[Overall amount]]*Exchange_Rate</f>
        <v>25872.307067910911</v>
      </c>
      <c r="Q307" s="70">
        <f>Table1[[#This Row],[Overall (destination currency)]]*(1+Claims_Inflation)^((Revalue_at_date-Table1[[#This Row],[Loss date]])/365.25)</f>
        <v>29760</v>
      </c>
      <c r="R307" s="70">
        <f>INT(Table1[[#This Row],[Reporting date]])-INT(Table1[[#This Row],[Loss date]])</f>
        <v>588</v>
      </c>
      <c r="S307" s="69" t="s">
        <v>16</v>
      </c>
      <c r="T307" s="70">
        <f>VLOOKUP(Table1[[#This Row],[Policy Year]],exposure_table,3,FALSE)</f>
        <v>1057.54</v>
      </c>
      <c r="U307" s="17">
        <f>IF(MONTH(Table1[[#This Row],[Reporting date]])&lt;Policy_Inception_Month,YEAR(Table1[[#This Row],[Reporting date]])-1,YEAR(Table1[[#This Row],[Reporting date]]))</f>
        <v>2014</v>
      </c>
      <c r="V307" s="17">
        <f>Table1[[#This Row],[Reporting year]]-Table1[[#This Row],[Policy Year]]</f>
        <v>2</v>
      </c>
      <c r="W307" s="17">
        <f>INT(Table1[[#This Row],[Reporting date]])-INT(Table1[[#This Row],[Loss date]])</f>
        <v>588</v>
      </c>
      <c r="X307" s="17">
        <f>INT((YEAR(Table1[[#This Row],[Loss date]])*12+MONTH(Table1[[#This Row],[Loss date]])-Earliest_Month)/4)</f>
        <v>22</v>
      </c>
      <c r="Y307" s="17">
        <f>INT((YEAR(Table1[[#This Row],[Reporting date]])*12+MONTH(Table1[[#This Row],[Reporting date]])-Earliest_Month)/4)</f>
        <v>27</v>
      </c>
      <c r="Z307" s="17">
        <f>Table1[[#This Row],[Reporting third]]-Table1[[#This Row],[Policy third]]</f>
        <v>5</v>
      </c>
      <c r="AA307" s="71">
        <f>IF(Table1[[#This Row],[Overall amount]]=0,"N/A",Table1[[#This Row],[Outstanding]]/Table1[[#This Row],[Overall amount]])</f>
        <v>1</v>
      </c>
      <c r="AB307" s="17">
        <f>IF(MONTH(Table1[[#This Row],[Loss date]])&lt;Pol_Inc_Month_Shifted,YEAR(Table1[[#This Row],[Loss date]])-1,YEAR(Table1[[#This Row],[Loss date]]))</f>
        <v>2011</v>
      </c>
      <c r="AC307" s="17">
        <f>IF(MONTH(Table1[[#This Row],[Reporting date]])&lt;Pol_Inc_Month_Shifted,YEAR(Table1[[#This Row],[Reporting date]])-1,YEAR(Table1[[#This Row],[Reporting date]]))</f>
        <v>2013</v>
      </c>
      <c r="AD307" s="17">
        <f>Table1[[#This Row],[Reporting year (shifted)]]-Table1[[#This Row],[Policy Year (shifted)]]</f>
        <v>2</v>
      </c>
    </row>
    <row r="308" spans="1:30" ht="13.9">
      <c r="A308" s="8" t="s">
        <v>2078</v>
      </c>
      <c r="B308" s="8" t="s">
        <v>360</v>
      </c>
      <c r="C308" s="8" t="s">
        <v>123</v>
      </c>
      <c r="D308" s="9">
        <v>41786</v>
      </c>
      <c r="E308" s="9">
        <v>41841</v>
      </c>
      <c r="F308" s="17">
        <f>IF(MONTH(Table1[[#This Row],[Loss date]])&lt;Policy_Inception_Month,YEAR(Table1[[#This Row],[Loss date]])-1,YEAR(Table1[[#This Row],[Loss date]]))</f>
        <v>2014</v>
      </c>
      <c r="G308" s="10" t="s">
        <v>125</v>
      </c>
      <c r="H308" s="10" t="s">
        <v>2</v>
      </c>
      <c r="I308" s="11">
        <v>0</v>
      </c>
      <c r="J308" s="11">
        <v>13259.305861612142</v>
      </c>
      <c r="K308" s="11">
        <v>13259.305861612142</v>
      </c>
      <c r="L308" s="12">
        <v>337.10099648166465</v>
      </c>
      <c r="M308" s="12">
        <v>0</v>
      </c>
      <c r="N308" s="12">
        <v>13596.406858093806</v>
      </c>
      <c r="O308" s="70">
        <f>IF(Table1[[#This Row],[Overall amount]]=0,0,1)</f>
        <v>1</v>
      </c>
      <c r="P308" s="70">
        <f>Table1[[#This Row],[Overall amount]]*Exchange_Rate</f>
        <v>13596.406858093806</v>
      </c>
      <c r="Q308" s="70">
        <f>Table1[[#This Row],[Overall (destination currency)]]*(1+Claims_Inflation)^((Revalue_at_date-Table1[[#This Row],[Loss date]])/365.25)</f>
        <v>14519.999999999998</v>
      </c>
      <c r="R308" s="70">
        <f>INT(Table1[[#This Row],[Reporting date]])-INT(Table1[[#This Row],[Loss date]])</f>
        <v>55</v>
      </c>
      <c r="S308" s="69" t="s">
        <v>16</v>
      </c>
      <c r="T308" s="70">
        <f>VLOOKUP(Table1[[#This Row],[Policy Year]],exposure_table,3,FALSE)</f>
        <v>1076.5070266272189</v>
      </c>
      <c r="U308" s="17">
        <f>IF(MONTH(Table1[[#This Row],[Reporting date]])&lt;Policy_Inception_Month,YEAR(Table1[[#This Row],[Reporting date]])-1,YEAR(Table1[[#This Row],[Reporting date]]))</f>
        <v>2014</v>
      </c>
      <c r="V308" s="17">
        <f>Table1[[#This Row],[Reporting year]]-Table1[[#This Row],[Policy Year]]</f>
        <v>0</v>
      </c>
      <c r="W308" s="17">
        <f>INT(Table1[[#This Row],[Reporting date]])-INT(Table1[[#This Row],[Loss date]])</f>
        <v>55</v>
      </c>
      <c r="X308" s="17">
        <f>INT((YEAR(Table1[[#This Row],[Loss date]])*12+MONTH(Table1[[#This Row],[Loss date]])-Earliest_Month)/4)</f>
        <v>27</v>
      </c>
      <c r="Y308" s="17">
        <f>INT((YEAR(Table1[[#This Row],[Reporting date]])*12+MONTH(Table1[[#This Row],[Reporting date]])-Earliest_Month)/4)</f>
        <v>27</v>
      </c>
      <c r="Z308" s="17">
        <f>Table1[[#This Row],[Reporting third]]-Table1[[#This Row],[Policy third]]</f>
        <v>0</v>
      </c>
      <c r="AA308" s="71">
        <f>IF(Table1[[#This Row],[Overall amount]]=0,"N/A",Table1[[#This Row],[Outstanding]]/Table1[[#This Row],[Overall amount]])</f>
        <v>0.97520661157024802</v>
      </c>
      <c r="AB308" s="17">
        <f>IF(MONTH(Table1[[#This Row],[Loss date]])&lt;Pol_Inc_Month_Shifted,YEAR(Table1[[#This Row],[Loss date]])-1,YEAR(Table1[[#This Row],[Loss date]]))</f>
        <v>2013</v>
      </c>
      <c r="AC308" s="17">
        <f>IF(MONTH(Table1[[#This Row],[Reporting date]])&lt;Pol_Inc_Month_Shifted,YEAR(Table1[[#This Row],[Reporting date]])-1,YEAR(Table1[[#This Row],[Reporting date]]))</f>
        <v>2013</v>
      </c>
      <c r="AD308" s="17">
        <f>Table1[[#This Row],[Reporting year (shifted)]]-Table1[[#This Row],[Policy Year (shifted)]]</f>
        <v>0</v>
      </c>
    </row>
    <row r="309" spans="1:30" ht="13.9">
      <c r="A309" s="8" t="s">
        <v>2079</v>
      </c>
      <c r="B309" s="8" t="s">
        <v>361</v>
      </c>
      <c r="C309" s="8" t="s">
        <v>123</v>
      </c>
      <c r="D309" s="9">
        <v>41680</v>
      </c>
      <c r="E309" s="9">
        <v>41798</v>
      </c>
      <c r="F309" s="17">
        <f>IF(MONTH(Table1[[#This Row],[Loss date]])&lt;Policy_Inception_Month,YEAR(Table1[[#This Row],[Loss date]])-1,YEAR(Table1[[#This Row],[Loss date]]))</f>
        <v>2013</v>
      </c>
      <c r="G309" s="10" t="s">
        <v>125</v>
      </c>
      <c r="H309" s="10" t="s">
        <v>2</v>
      </c>
      <c r="I309" s="11">
        <v>0</v>
      </c>
      <c r="J309" s="11">
        <v>0</v>
      </c>
      <c r="K309" s="11">
        <v>0</v>
      </c>
      <c r="L309" s="12">
        <v>0</v>
      </c>
      <c r="M309" s="12">
        <v>0</v>
      </c>
      <c r="N309" s="12">
        <v>0</v>
      </c>
      <c r="O309" s="70">
        <f>IF(Table1[[#This Row],[Overall amount]]=0,0,1)</f>
        <v>0</v>
      </c>
      <c r="P309" s="70">
        <f>Table1[[#This Row],[Overall amount]]*Exchange_Rate</f>
        <v>0</v>
      </c>
      <c r="Q309" s="70">
        <f>Table1[[#This Row],[Overall (destination currency)]]*(1+Claims_Inflation)^((Revalue_at_date-Table1[[#This Row],[Loss date]])/365.25)</f>
        <v>0</v>
      </c>
      <c r="R309" s="70">
        <f>INT(Table1[[#This Row],[Reporting date]])-INT(Table1[[#This Row],[Loss date]])</f>
        <v>118</v>
      </c>
      <c r="S309" s="69" t="s">
        <v>9</v>
      </c>
      <c r="T309" s="70">
        <f>VLOOKUP(Table1[[#This Row],[Policy Year]],exposure_table,3,FALSE)</f>
        <v>1090.5865384615383</v>
      </c>
      <c r="U309" s="17">
        <f>IF(MONTH(Table1[[#This Row],[Reporting date]])&lt;Policy_Inception_Month,YEAR(Table1[[#This Row],[Reporting date]])-1,YEAR(Table1[[#This Row],[Reporting date]]))</f>
        <v>2014</v>
      </c>
      <c r="V309" s="17">
        <f>Table1[[#This Row],[Reporting year]]-Table1[[#This Row],[Policy Year]]</f>
        <v>1</v>
      </c>
      <c r="W309" s="17">
        <f>INT(Table1[[#This Row],[Reporting date]])-INT(Table1[[#This Row],[Loss date]])</f>
        <v>118</v>
      </c>
      <c r="X309" s="17">
        <f>INT((YEAR(Table1[[#This Row],[Loss date]])*12+MONTH(Table1[[#This Row],[Loss date]])-Earliest_Month)/4)</f>
        <v>26</v>
      </c>
      <c r="Y309" s="17">
        <f>INT((YEAR(Table1[[#This Row],[Reporting date]])*12+MONTH(Table1[[#This Row],[Reporting date]])-Earliest_Month)/4)</f>
        <v>27</v>
      </c>
      <c r="Z309" s="17">
        <f>Table1[[#This Row],[Reporting third]]-Table1[[#This Row],[Policy third]]</f>
        <v>1</v>
      </c>
      <c r="AA309" s="71" t="str">
        <f>IF(Table1[[#This Row],[Overall amount]]=0,"N/A",Table1[[#This Row],[Outstanding]]/Table1[[#This Row],[Overall amount]])</f>
        <v>N/A</v>
      </c>
      <c r="AB309" s="17">
        <f>IF(MONTH(Table1[[#This Row],[Loss date]])&lt;Pol_Inc_Month_Shifted,YEAR(Table1[[#This Row],[Loss date]])-1,YEAR(Table1[[#This Row],[Loss date]]))</f>
        <v>2013</v>
      </c>
      <c r="AC309" s="17">
        <f>IF(MONTH(Table1[[#This Row],[Reporting date]])&lt;Pol_Inc_Month_Shifted,YEAR(Table1[[#This Row],[Reporting date]])-1,YEAR(Table1[[#This Row],[Reporting date]]))</f>
        <v>2013</v>
      </c>
      <c r="AD309" s="17">
        <f>Table1[[#This Row],[Reporting year (shifted)]]-Table1[[#This Row],[Policy Year (shifted)]]</f>
        <v>0</v>
      </c>
    </row>
    <row r="310" spans="1:30" ht="13.9">
      <c r="A310" s="8" t="s">
        <v>2080</v>
      </c>
      <c r="B310" s="8" t="s">
        <v>362</v>
      </c>
      <c r="C310" s="8" t="s">
        <v>123</v>
      </c>
      <c r="D310" s="9">
        <v>40739</v>
      </c>
      <c r="E310" s="9">
        <v>41839</v>
      </c>
      <c r="F310" s="17">
        <f>IF(MONTH(Table1[[#This Row],[Loss date]])&lt;Policy_Inception_Month,YEAR(Table1[[#This Row],[Loss date]])-1,YEAR(Table1[[#This Row],[Loss date]]))</f>
        <v>2011</v>
      </c>
      <c r="G310" s="10" t="s">
        <v>142</v>
      </c>
      <c r="H310" s="10" t="s">
        <v>2</v>
      </c>
      <c r="I310" s="11">
        <v>0</v>
      </c>
      <c r="J310" s="11">
        <v>14459.748533884738</v>
      </c>
      <c r="K310" s="11">
        <v>14459.748533884738</v>
      </c>
      <c r="L310" s="12">
        <v>0</v>
      </c>
      <c r="M310" s="12">
        <v>0</v>
      </c>
      <c r="N310" s="12">
        <v>14459.748533884738</v>
      </c>
      <c r="O310" s="70">
        <f>IF(Table1[[#This Row],[Overall amount]]=0,0,1)</f>
        <v>1</v>
      </c>
      <c r="P310" s="70">
        <f>Table1[[#This Row],[Overall amount]]*Exchange_Rate</f>
        <v>14459.748533884738</v>
      </c>
      <c r="Q310" s="70">
        <f>Table1[[#This Row],[Overall (destination currency)]]*(1+Claims_Inflation)^((Revalue_at_date-Table1[[#This Row],[Loss date]])/365.25)</f>
        <v>17760</v>
      </c>
      <c r="R310" s="70">
        <f>INT(Table1[[#This Row],[Reporting date]])-INT(Table1[[#This Row],[Loss date]])</f>
        <v>1100</v>
      </c>
      <c r="S310" s="69" t="s">
        <v>16</v>
      </c>
      <c r="T310" s="70">
        <f>VLOOKUP(Table1[[#This Row],[Policy Year]],exposure_table,3,FALSE)</f>
        <v>870.52680000000009</v>
      </c>
      <c r="U310" s="17">
        <f>IF(MONTH(Table1[[#This Row],[Reporting date]])&lt;Policy_Inception_Month,YEAR(Table1[[#This Row],[Reporting date]])-1,YEAR(Table1[[#This Row],[Reporting date]]))</f>
        <v>2014</v>
      </c>
      <c r="V310" s="17">
        <f>Table1[[#This Row],[Reporting year]]-Table1[[#This Row],[Policy Year]]</f>
        <v>3</v>
      </c>
      <c r="W310" s="17">
        <f>INT(Table1[[#This Row],[Reporting date]])-INT(Table1[[#This Row],[Loss date]])</f>
        <v>1100</v>
      </c>
      <c r="X310" s="17">
        <f>INT((YEAR(Table1[[#This Row],[Loss date]])*12+MONTH(Table1[[#This Row],[Loss date]])-Earliest_Month)/4)</f>
        <v>18</v>
      </c>
      <c r="Y310" s="17">
        <f>INT((YEAR(Table1[[#This Row],[Reporting date]])*12+MONTH(Table1[[#This Row],[Reporting date]])-Earliest_Month)/4)</f>
        <v>27</v>
      </c>
      <c r="Z310" s="17">
        <f>Table1[[#This Row],[Reporting third]]-Table1[[#This Row],[Policy third]]</f>
        <v>9</v>
      </c>
      <c r="AA310" s="71">
        <f>IF(Table1[[#This Row],[Overall amount]]=0,"N/A",Table1[[#This Row],[Outstanding]]/Table1[[#This Row],[Overall amount]])</f>
        <v>1</v>
      </c>
      <c r="AB310" s="17">
        <f>IF(MONTH(Table1[[#This Row],[Loss date]])&lt;Pol_Inc_Month_Shifted,YEAR(Table1[[#This Row],[Loss date]])-1,YEAR(Table1[[#This Row],[Loss date]]))</f>
        <v>2010</v>
      </c>
      <c r="AC310" s="17">
        <f>IF(MONTH(Table1[[#This Row],[Reporting date]])&lt;Pol_Inc_Month_Shifted,YEAR(Table1[[#This Row],[Reporting date]])-1,YEAR(Table1[[#This Row],[Reporting date]]))</f>
        <v>2013</v>
      </c>
      <c r="AD310" s="17">
        <f>Table1[[#This Row],[Reporting year (shifted)]]-Table1[[#This Row],[Policy Year (shifted)]]</f>
        <v>3</v>
      </c>
    </row>
    <row r="311" spans="1:30" ht="13.9">
      <c r="A311" s="8" t="s">
        <v>2081</v>
      </c>
      <c r="B311" s="8" t="s">
        <v>363</v>
      </c>
      <c r="C311" s="8" t="s">
        <v>123</v>
      </c>
      <c r="D311" s="9">
        <v>41674</v>
      </c>
      <c r="E311" s="9">
        <v>41835</v>
      </c>
      <c r="F311" s="17">
        <f>IF(MONTH(Table1[[#This Row],[Loss date]])&lt;Policy_Inception_Month,YEAR(Table1[[#This Row],[Loss date]])-1,YEAR(Table1[[#This Row],[Loss date]]))</f>
        <v>2013</v>
      </c>
      <c r="G311" s="10" t="s">
        <v>130</v>
      </c>
      <c r="H311" s="10" t="s">
        <v>2</v>
      </c>
      <c r="I311" s="11">
        <v>0</v>
      </c>
      <c r="J311" s="11">
        <v>20811.297582273735</v>
      </c>
      <c r="K311" s="11">
        <v>20811.297582273735</v>
      </c>
      <c r="L311" s="12">
        <v>0</v>
      </c>
      <c r="M311" s="12">
        <v>0</v>
      </c>
      <c r="N311" s="12">
        <v>20811.297582273735</v>
      </c>
      <c r="O311" s="70">
        <f>IF(Table1[[#This Row],[Overall amount]]=0,0,1)</f>
        <v>1</v>
      </c>
      <c r="P311" s="70">
        <f>Table1[[#This Row],[Overall amount]]*Exchange_Rate</f>
        <v>20811.297582273735</v>
      </c>
      <c r="Q311" s="70">
        <f>Table1[[#This Row],[Overall (destination currency)]]*(1+Claims_Inflation)^((Revalue_at_date-Table1[[#This Row],[Loss date]])/365.25)</f>
        <v>22560</v>
      </c>
      <c r="R311" s="70">
        <f>INT(Table1[[#This Row],[Reporting date]])-INT(Table1[[#This Row],[Loss date]])</f>
        <v>161</v>
      </c>
      <c r="S311" s="69" t="s">
        <v>16</v>
      </c>
      <c r="T311" s="70">
        <f>VLOOKUP(Table1[[#This Row],[Policy Year]],exposure_table,3,FALSE)</f>
        <v>1090.5865384615383</v>
      </c>
      <c r="U311" s="17">
        <f>IF(MONTH(Table1[[#This Row],[Reporting date]])&lt;Policy_Inception_Month,YEAR(Table1[[#This Row],[Reporting date]])-1,YEAR(Table1[[#This Row],[Reporting date]]))</f>
        <v>2014</v>
      </c>
      <c r="V311" s="17">
        <f>Table1[[#This Row],[Reporting year]]-Table1[[#This Row],[Policy Year]]</f>
        <v>1</v>
      </c>
      <c r="W311" s="17">
        <f>INT(Table1[[#This Row],[Reporting date]])-INT(Table1[[#This Row],[Loss date]])</f>
        <v>161</v>
      </c>
      <c r="X311" s="17">
        <f>INT((YEAR(Table1[[#This Row],[Loss date]])*12+MONTH(Table1[[#This Row],[Loss date]])-Earliest_Month)/4)</f>
        <v>26</v>
      </c>
      <c r="Y311" s="17">
        <f>INT((YEAR(Table1[[#This Row],[Reporting date]])*12+MONTH(Table1[[#This Row],[Reporting date]])-Earliest_Month)/4)</f>
        <v>27</v>
      </c>
      <c r="Z311" s="17">
        <f>Table1[[#This Row],[Reporting third]]-Table1[[#This Row],[Policy third]]</f>
        <v>1</v>
      </c>
      <c r="AA311" s="71">
        <f>IF(Table1[[#This Row],[Overall amount]]=0,"N/A",Table1[[#This Row],[Outstanding]]/Table1[[#This Row],[Overall amount]])</f>
        <v>1</v>
      </c>
      <c r="AB311" s="17">
        <f>IF(MONTH(Table1[[#This Row],[Loss date]])&lt;Pol_Inc_Month_Shifted,YEAR(Table1[[#This Row],[Loss date]])-1,YEAR(Table1[[#This Row],[Loss date]]))</f>
        <v>2013</v>
      </c>
      <c r="AC311" s="17">
        <f>IF(MONTH(Table1[[#This Row],[Reporting date]])&lt;Pol_Inc_Month_Shifted,YEAR(Table1[[#This Row],[Reporting date]])-1,YEAR(Table1[[#This Row],[Reporting date]]))</f>
        <v>2013</v>
      </c>
      <c r="AD311" s="17">
        <f>Table1[[#This Row],[Reporting year (shifted)]]-Table1[[#This Row],[Policy Year (shifted)]]</f>
        <v>0</v>
      </c>
    </row>
    <row r="312" spans="1:30" ht="13.9">
      <c r="A312" s="8" t="s">
        <v>2082</v>
      </c>
      <c r="B312" s="8" t="s">
        <v>364</v>
      </c>
      <c r="C312" s="8" t="s">
        <v>123</v>
      </c>
      <c r="D312" s="9">
        <v>40994</v>
      </c>
      <c r="E312" s="9">
        <v>41805</v>
      </c>
      <c r="F312" s="17">
        <f>IF(MONTH(Table1[[#This Row],[Loss date]])&lt;Policy_Inception_Month,YEAR(Table1[[#This Row],[Loss date]])-1,YEAR(Table1[[#This Row],[Loss date]]))</f>
        <v>2011</v>
      </c>
      <c r="G312" s="10" t="s">
        <v>125</v>
      </c>
      <c r="H312" s="10" t="s">
        <v>2</v>
      </c>
      <c r="I312" s="11">
        <v>0</v>
      </c>
      <c r="J312" s="11">
        <v>18195.53713283881</v>
      </c>
      <c r="K312" s="11">
        <v>18195.53713283881</v>
      </c>
      <c r="L312" s="12">
        <v>0</v>
      </c>
      <c r="M312" s="12">
        <v>1146.925357273273</v>
      </c>
      <c r="N312" s="12">
        <v>17048.611775565536</v>
      </c>
      <c r="O312" s="70">
        <f>IF(Table1[[#This Row],[Overall amount]]=0,0,1)</f>
        <v>1</v>
      </c>
      <c r="P312" s="70">
        <f>Table1[[#This Row],[Overall amount]]*Exchange_Rate</f>
        <v>17048.611775565536</v>
      </c>
      <c r="Q312" s="70">
        <f>Table1[[#This Row],[Overall (destination currency)]]*(1+Claims_Inflation)^((Revalue_at_date-Table1[[#This Row],[Loss date]])/365.25)</f>
        <v>20238.479999999996</v>
      </c>
      <c r="R312" s="70">
        <f>INT(Table1[[#This Row],[Reporting date]])-INT(Table1[[#This Row],[Loss date]])</f>
        <v>811</v>
      </c>
      <c r="S312" s="69" t="s">
        <v>16</v>
      </c>
      <c r="T312" s="70">
        <f>VLOOKUP(Table1[[#This Row],[Policy Year]],exposure_table,3,FALSE)</f>
        <v>870.52680000000009</v>
      </c>
      <c r="U312" s="17">
        <f>IF(MONTH(Table1[[#This Row],[Reporting date]])&lt;Policy_Inception_Month,YEAR(Table1[[#This Row],[Reporting date]])-1,YEAR(Table1[[#This Row],[Reporting date]]))</f>
        <v>2014</v>
      </c>
      <c r="V312" s="17">
        <f>Table1[[#This Row],[Reporting year]]-Table1[[#This Row],[Policy Year]]</f>
        <v>3</v>
      </c>
      <c r="W312" s="17">
        <f>INT(Table1[[#This Row],[Reporting date]])-INT(Table1[[#This Row],[Loss date]])</f>
        <v>811</v>
      </c>
      <c r="X312" s="17">
        <f>INT((YEAR(Table1[[#This Row],[Loss date]])*12+MONTH(Table1[[#This Row],[Loss date]])-Earliest_Month)/4)</f>
        <v>20</v>
      </c>
      <c r="Y312" s="17">
        <f>INT((YEAR(Table1[[#This Row],[Reporting date]])*12+MONTH(Table1[[#This Row],[Reporting date]])-Earliest_Month)/4)</f>
        <v>27</v>
      </c>
      <c r="Z312" s="17">
        <f>Table1[[#This Row],[Reporting third]]-Table1[[#This Row],[Policy third]]</f>
        <v>7</v>
      </c>
      <c r="AA312" s="71">
        <f>IF(Table1[[#This Row],[Overall amount]]=0,"N/A",Table1[[#This Row],[Outstanding]]/Table1[[#This Row],[Overall amount]])</f>
        <v>1.0672738268881854</v>
      </c>
      <c r="AB312" s="17">
        <f>IF(MONTH(Table1[[#This Row],[Loss date]])&lt;Pol_Inc_Month_Shifted,YEAR(Table1[[#This Row],[Loss date]])-1,YEAR(Table1[[#This Row],[Loss date]]))</f>
        <v>2011</v>
      </c>
      <c r="AC312" s="17">
        <f>IF(MONTH(Table1[[#This Row],[Reporting date]])&lt;Pol_Inc_Month_Shifted,YEAR(Table1[[#This Row],[Reporting date]])-1,YEAR(Table1[[#This Row],[Reporting date]]))</f>
        <v>2013</v>
      </c>
      <c r="AD312" s="17">
        <f>Table1[[#This Row],[Reporting year (shifted)]]-Table1[[#This Row],[Policy Year (shifted)]]</f>
        <v>2</v>
      </c>
    </row>
    <row r="313" spans="1:30" ht="13.9">
      <c r="A313" s="8" t="s">
        <v>2083</v>
      </c>
      <c r="B313" s="8" t="s">
        <v>365</v>
      </c>
      <c r="C313" s="8" t="s">
        <v>123</v>
      </c>
      <c r="D313" s="9">
        <v>41575</v>
      </c>
      <c r="E313" s="9">
        <v>41819</v>
      </c>
      <c r="F313" s="17">
        <f>IF(MONTH(Table1[[#This Row],[Loss date]])&lt;Policy_Inception_Month,YEAR(Table1[[#This Row],[Loss date]])-1,YEAR(Table1[[#This Row],[Loss date]]))</f>
        <v>2013</v>
      </c>
      <c r="G313" s="10" t="s">
        <v>125</v>
      </c>
      <c r="H313" s="10" t="s">
        <v>2</v>
      </c>
      <c r="I313" s="11">
        <v>0</v>
      </c>
      <c r="J313" s="11">
        <v>16479.473172363254</v>
      </c>
      <c r="K313" s="11">
        <v>16479.473172363254</v>
      </c>
      <c r="L313" s="12">
        <v>0</v>
      </c>
      <c r="M313" s="12">
        <v>0</v>
      </c>
      <c r="N313" s="12">
        <v>16479.473172363254</v>
      </c>
      <c r="O313" s="70">
        <f>IF(Table1[[#This Row],[Overall amount]]=0,0,1)</f>
        <v>1</v>
      </c>
      <c r="P313" s="70">
        <f>Table1[[#This Row],[Overall amount]]*Exchange_Rate</f>
        <v>16479.473172363254</v>
      </c>
      <c r="Q313" s="70">
        <f>Table1[[#This Row],[Overall (destination currency)]]*(1+Claims_Inflation)^((Revalue_at_date-Table1[[#This Row],[Loss date]])/365.25)</f>
        <v>18102</v>
      </c>
      <c r="R313" s="70">
        <f>INT(Table1[[#This Row],[Reporting date]])-INT(Table1[[#This Row],[Loss date]])</f>
        <v>244</v>
      </c>
      <c r="S313" s="69" t="s">
        <v>16</v>
      </c>
      <c r="T313" s="70">
        <f>VLOOKUP(Table1[[#This Row],[Policy Year]],exposure_table,3,FALSE)</f>
        <v>1090.5865384615383</v>
      </c>
      <c r="U313" s="17">
        <f>IF(MONTH(Table1[[#This Row],[Reporting date]])&lt;Policy_Inception_Month,YEAR(Table1[[#This Row],[Reporting date]])-1,YEAR(Table1[[#This Row],[Reporting date]]))</f>
        <v>2014</v>
      </c>
      <c r="V313" s="17">
        <f>Table1[[#This Row],[Reporting year]]-Table1[[#This Row],[Policy Year]]</f>
        <v>1</v>
      </c>
      <c r="W313" s="17">
        <f>INT(Table1[[#This Row],[Reporting date]])-INT(Table1[[#This Row],[Loss date]])</f>
        <v>244</v>
      </c>
      <c r="X313" s="17">
        <f>INT((YEAR(Table1[[#This Row],[Loss date]])*12+MONTH(Table1[[#This Row],[Loss date]])-Earliest_Month)/4)</f>
        <v>25</v>
      </c>
      <c r="Y313" s="17">
        <f>INT((YEAR(Table1[[#This Row],[Reporting date]])*12+MONTH(Table1[[#This Row],[Reporting date]])-Earliest_Month)/4)</f>
        <v>27</v>
      </c>
      <c r="Z313" s="17">
        <f>Table1[[#This Row],[Reporting third]]-Table1[[#This Row],[Policy third]]</f>
        <v>2</v>
      </c>
      <c r="AA313" s="71">
        <f>IF(Table1[[#This Row],[Overall amount]]=0,"N/A",Table1[[#This Row],[Outstanding]]/Table1[[#This Row],[Overall amount]])</f>
        <v>1</v>
      </c>
      <c r="AB313" s="17">
        <f>IF(MONTH(Table1[[#This Row],[Loss date]])&lt;Pol_Inc_Month_Shifted,YEAR(Table1[[#This Row],[Loss date]])-1,YEAR(Table1[[#This Row],[Loss date]]))</f>
        <v>2012</v>
      </c>
      <c r="AC313" s="17">
        <f>IF(MONTH(Table1[[#This Row],[Reporting date]])&lt;Pol_Inc_Month_Shifted,YEAR(Table1[[#This Row],[Reporting date]])-1,YEAR(Table1[[#This Row],[Reporting date]]))</f>
        <v>2013</v>
      </c>
      <c r="AD313" s="17">
        <f>Table1[[#This Row],[Reporting year (shifted)]]-Table1[[#This Row],[Policy Year (shifted)]]</f>
        <v>1</v>
      </c>
    </row>
    <row r="314" spans="1:30" ht="13.9">
      <c r="A314" s="8" t="s">
        <v>2084</v>
      </c>
      <c r="B314" s="8" t="s">
        <v>366</v>
      </c>
      <c r="C314" s="8" t="s">
        <v>123</v>
      </c>
      <c r="D314" s="9">
        <v>41372</v>
      </c>
      <c r="E314" s="9">
        <v>41838</v>
      </c>
      <c r="F314" s="17">
        <f>IF(MONTH(Table1[[#This Row],[Loss date]])&lt;Policy_Inception_Month,YEAR(Table1[[#This Row],[Loss date]])-1,YEAR(Table1[[#This Row],[Loss date]]))</f>
        <v>2013</v>
      </c>
      <c r="G314" s="10" t="s">
        <v>125</v>
      </c>
      <c r="H314" s="10" t="s">
        <v>2</v>
      </c>
      <c r="I314" s="11">
        <v>0</v>
      </c>
      <c r="J314" s="11">
        <v>15506.999591504507</v>
      </c>
      <c r="K314" s="11">
        <v>15506.999591504507</v>
      </c>
      <c r="L314" s="12">
        <v>0</v>
      </c>
      <c r="M314" s="12">
        <v>0</v>
      </c>
      <c r="N314" s="12">
        <v>15506.999591504507</v>
      </c>
      <c r="O314" s="70">
        <f>IF(Table1[[#This Row],[Overall amount]]=0,0,1)</f>
        <v>1</v>
      </c>
      <c r="P314" s="70">
        <f>Table1[[#This Row],[Overall amount]]*Exchange_Rate</f>
        <v>15506.999591504507</v>
      </c>
      <c r="Q314" s="70">
        <f>Table1[[#This Row],[Overall (destination currency)]]*(1+Claims_Inflation)^((Revalue_at_date-Table1[[#This Row],[Loss date]])/365.25)</f>
        <v>17502</v>
      </c>
      <c r="R314" s="70">
        <f>INT(Table1[[#This Row],[Reporting date]])-INT(Table1[[#This Row],[Loss date]])</f>
        <v>466</v>
      </c>
      <c r="S314" s="69" t="s">
        <v>16</v>
      </c>
      <c r="T314" s="70">
        <f>VLOOKUP(Table1[[#This Row],[Policy Year]],exposure_table,3,FALSE)</f>
        <v>1090.5865384615383</v>
      </c>
      <c r="U314" s="17">
        <f>IF(MONTH(Table1[[#This Row],[Reporting date]])&lt;Policy_Inception_Month,YEAR(Table1[[#This Row],[Reporting date]])-1,YEAR(Table1[[#This Row],[Reporting date]]))</f>
        <v>2014</v>
      </c>
      <c r="V314" s="17">
        <f>Table1[[#This Row],[Reporting year]]-Table1[[#This Row],[Policy Year]]</f>
        <v>1</v>
      </c>
      <c r="W314" s="17">
        <f>INT(Table1[[#This Row],[Reporting date]])-INT(Table1[[#This Row],[Loss date]])</f>
        <v>466</v>
      </c>
      <c r="X314" s="17">
        <f>INT((YEAR(Table1[[#This Row],[Loss date]])*12+MONTH(Table1[[#This Row],[Loss date]])-Earliest_Month)/4)</f>
        <v>24</v>
      </c>
      <c r="Y314" s="17">
        <f>INT((YEAR(Table1[[#This Row],[Reporting date]])*12+MONTH(Table1[[#This Row],[Reporting date]])-Earliest_Month)/4)</f>
        <v>27</v>
      </c>
      <c r="Z314" s="17">
        <f>Table1[[#This Row],[Reporting third]]-Table1[[#This Row],[Policy third]]</f>
        <v>3</v>
      </c>
      <c r="AA314" s="71">
        <f>IF(Table1[[#This Row],[Overall amount]]=0,"N/A",Table1[[#This Row],[Outstanding]]/Table1[[#This Row],[Overall amount]])</f>
        <v>1</v>
      </c>
      <c r="AB314" s="17">
        <f>IF(MONTH(Table1[[#This Row],[Loss date]])&lt;Pol_Inc_Month_Shifted,YEAR(Table1[[#This Row],[Loss date]])-1,YEAR(Table1[[#This Row],[Loss date]]))</f>
        <v>2012</v>
      </c>
      <c r="AC314" s="17">
        <f>IF(MONTH(Table1[[#This Row],[Reporting date]])&lt;Pol_Inc_Month_Shifted,YEAR(Table1[[#This Row],[Reporting date]])-1,YEAR(Table1[[#This Row],[Reporting date]]))</f>
        <v>2013</v>
      </c>
      <c r="AD314" s="17">
        <f>Table1[[#This Row],[Reporting year (shifted)]]-Table1[[#This Row],[Policy Year (shifted)]]</f>
        <v>1</v>
      </c>
    </row>
    <row r="315" spans="1:30" ht="13.9">
      <c r="A315" s="8" t="s">
        <v>2085</v>
      </c>
      <c r="B315" s="8" t="s">
        <v>367</v>
      </c>
      <c r="C315" s="8" t="s">
        <v>123</v>
      </c>
      <c r="D315" s="9">
        <v>41540</v>
      </c>
      <c r="E315" s="9">
        <v>41827</v>
      </c>
      <c r="F315" s="17">
        <f>IF(MONTH(Table1[[#This Row],[Loss date]])&lt;Policy_Inception_Month,YEAR(Table1[[#This Row],[Loss date]])-1,YEAR(Table1[[#This Row],[Loss date]]))</f>
        <v>2013</v>
      </c>
      <c r="G315" s="10" t="s">
        <v>125</v>
      </c>
      <c r="H315" s="10" t="s">
        <v>2</v>
      </c>
      <c r="I315" s="11">
        <v>0</v>
      </c>
      <c r="J315" s="11">
        <v>14227.915470716729</v>
      </c>
      <c r="K315" s="11">
        <v>14227.915470716729</v>
      </c>
      <c r="L315" s="12">
        <v>0</v>
      </c>
      <c r="M315" s="12">
        <v>0</v>
      </c>
      <c r="N315" s="12">
        <v>14227.915470716729</v>
      </c>
      <c r="O315" s="70">
        <f>IF(Table1[[#This Row],[Overall amount]]=0,0,1)</f>
        <v>1</v>
      </c>
      <c r="P315" s="70">
        <f>Table1[[#This Row],[Overall amount]]*Exchange_Rate</f>
        <v>14227.915470716729</v>
      </c>
      <c r="Q315" s="70">
        <f>Table1[[#This Row],[Overall (destination currency)]]*(1+Claims_Inflation)^((Revalue_at_date-Table1[[#This Row],[Loss date]])/365.25)</f>
        <v>15702.000000000002</v>
      </c>
      <c r="R315" s="70">
        <f>INT(Table1[[#This Row],[Reporting date]])-INT(Table1[[#This Row],[Loss date]])</f>
        <v>287</v>
      </c>
      <c r="S315" s="69" t="s">
        <v>16</v>
      </c>
      <c r="T315" s="70">
        <f>VLOOKUP(Table1[[#This Row],[Policy Year]],exposure_table,3,FALSE)</f>
        <v>1090.5865384615383</v>
      </c>
      <c r="U315" s="17">
        <f>IF(MONTH(Table1[[#This Row],[Reporting date]])&lt;Policy_Inception_Month,YEAR(Table1[[#This Row],[Reporting date]])-1,YEAR(Table1[[#This Row],[Reporting date]]))</f>
        <v>2014</v>
      </c>
      <c r="V315" s="17">
        <f>Table1[[#This Row],[Reporting year]]-Table1[[#This Row],[Policy Year]]</f>
        <v>1</v>
      </c>
      <c r="W315" s="17">
        <f>INT(Table1[[#This Row],[Reporting date]])-INT(Table1[[#This Row],[Loss date]])</f>
        <v>287</v>
      </c>
      <c r="X315" s="17">
        <f>INT((YEAR(Table1[[#This Row],[Loss date]])*12+MONTH(Table1[[#This Row],[Loss date]])-Earliest_Month)/4)</f>
        <v>25</v>
      </c>
      <c r="Y315" s="17">
        <f>INT((YEAR(Table1[[#This Row],[Reporting date]])*12+MONTH(Table1[[#This Row],[Reporting date]])-Earliest_Month)/4)</f>
        <v>27</v>
      </c>
      <c r="Z315" s="17">
        <f>Table1[[#This Row],[Reporting third]]-Table1[[#This Row],[Policy third]]</f>
        <v>2</v>
      </c>
      <c r="AA315" s="71">
        <f>IF(Table1[[#This Row],[Overall amount]]=0,"N/A",Table1[[#This Row],[Outstanding]]/Table1[[#This Row],[Overall amount]])</f>
        <v>1</v>
      </c>
      <c r="AB315" s="17">
        <f>IF(MONTH(Table1[[#This Row],[Loss date]])&lt;Pol_Inc_Month_Shifted,YEAR(Table1[[#This Row],[Loss date]])-1,YEAR(Table1[[#This Row],[Loss date]]))</f>
        <v>2012</v>
      </c>
      <c r="AC315" s="17">
        <f>IF(MONTH(Table1[[#This Row],[Reporting date]])&lt;Pol_Inc_Month_Shifted,YEAR(Table1[[#This Row],[Reporting date]])-1,YEAR(Table1[[#This Row],[Reporting date]]))</f>
        <v>2013</v>
      </c>
      <c r="AD315" s="17">
        <f>Table1[[#This Row],[Reporting year (shifted)]]-Table1[[#This Row],[Policy Year (shifted)]]</f>
        <v>1</v>
      </c>
    </row>
    <row r="316" spans="1:30" ht="13.9">
      <c r="A316" s="8" t="s">
        <v>2086</v>
      </c>
      <c r="B316" s="8" t="s">
        <v>368</v>
      </c>
      <c r="C316" s="8" t="s">
        <v>123</v>
      </c>
      <c r="D316" s="9">
        <v>41770</v>
      </c>
      <c r="E316" s="9">
        <v>41832</v>
      </c>
      <c r="F316" s="17">
        <f>IF(MONTH(Table1[[#This Row],[Loss date]])&lt;Policy_Inception_Month,YEAR(Table1[[#This Row],[Loss date]])-1,YEAR(Table1[[#This Row],[Loss date]]))</f>
        <v>2014</v>
      </c>
      <c r="G316" s="10" t="s">
        <v>125</v>
      </c>
      <c r="H316" s="10" t="s">
        <v>2</v>
      </c>
      <c r="I316" s="11">
        <v>0</v>
      </c>
      <c r="J316" s="11">
        <v>14111.194932151204</v>
      </c>
      <c r="K316" s="11">
        <v>14111.194932151204</v>
      </c>
      <c r="L316" s="12">
        <v>0</v>
      </c>
      <c r="M316" s="12">
        <v>0</v>
      </c>
      <c r="N316" s="12">
        <v>14111.194932151204</v>
      </c>
      <c r="O316" s="70">
        <f>IF(Table1[[#This Row],[Overall amount]]=0,0,1)</f>
        <v>1</v>
      </c>
      <c r="P316" s="70">
        <f>Table1[[#This Row],[Overall amount]]*Exchange_Rate</f>
        <v>14111.194932151204</v>
      </c>
      <c r="Q316" s="70">
        <f>Table1[[#This Row],[Overall (destination currency)]]*(1+Claims_Inflation)^((Revalue_at_date-Table1[[#This Row],[Loss date]])/365.25)</f>
        <v>15102</v>
      </c>
      <c r="R316" s="70">
        <f>INT(Table1[[#This Row],[Reporting date]])-INT(Table1[[#This Row],[Loss date]])</f>
        <v>62</v>
      </c>
      <c r="S316" s="69" t="s">
        <v>16</v>
      </c>
      <c r="T316" s="70">
        <f>VLOOKUP(Table1[[#This Row],[Policy Year]],exposure_table,3,FALSE)</f>
        <v>1076.5070266272189</v>
      </c>
      <c r="U316" s="17">
        <f>IF(MONTH(Table1[[#This Row],[Reporting date]])&lt;Policy_Inception_Month,YEAR(Table1[[#This Row],[Reporting date]])-1,YEAR(Table1[[#This Row],[Reporting date]]))</f>
        <v>2014</v>
      </c>
      <c r="V316" s="17">
        <f>Table1[[#This Row],[Reporting year]]-Table1[[#This Row],[Policy Year]]</f>
        <v>0</v>
      </c>
      <c r="W316" s="17">
        <f>INT(Table1[[#This Row],[Reporting date]])-INT(Table1[[#This Row],[Loss date]])</f>
        <v>62</v>
      </c>
      <c r="X316" s="17">
        <f>INT((YEAR(Table1[[#This Row],[Loss date]])*12+MONTH(Table1[[#This Row],[Loss date]])-Earliest_Month)/4)</f>
        <v>27</v>
      </c>
      <c r="Y316" s="17">
        <f>INT((YEAR(Table1[[#This Row],[Reporting date]])*12+MONTH(Table1[[#This Row],[Reporting date]])-Earliest_Month)/4)</f>
        <v>27</v>
      </c>
      <c r="Z316" s="17">
        <f>Table1[[#This Row],[Reporting third]]-Table1[[#This Row],[Policy third]]</f>
        <v>0</v>
      </c>
      <c r="AA316" s="71">
        <f>IF(Table1[[#This Row],[Overall amount]]=0,"N/A",Table1[[#This Row],[Outstanding]]/Table1[[#This Row],[Overall amount]])</f>
        <v>1</v>
      </c>
      <c r="AB316" s="17">
        <f>IF(MONTH(Table1[[#This Row],[Loss date]])&lt;Pol_Inc_Month_Shifted,YEAR(Table1[[#This Row],[Loss date]])-1,YEAR(Table1[[#This Row],[Loss date]]))</f>
        <v>2013</v>
      </c>
      <c r="AC316" s="17">
        <f>IF(MONTH(Table1[[#This Row],[Reporting date]])&lt;Pol_Inc_Month_Shifted,YEAR(Table1[[#This Row],[Reporting date]])-1,YEAR(Table1[[#This Row],[Reporting date]]))</f>
        <v>2013</v>
      </c>
      <c r="AD316" s="17">
        <f>Table1[[#This Row],[Reporting year (shifted)]]-Table1[[#This Row],[Policy Year (shifted)]]</f>
        <v>0</v>
      </c>
    </row>
    <row r="317" spans="1:30" ht="13.9">
      <c r="A317" s="8" t="s">
        <v>2087</v>
      </c>
      <c r="B317" s="8" t="s">
        <v>369</v>
      </c>
      <c r="C317" s="8" t="s">
        <v>123</v>
      </c>
      <c r="D317" s="9">
        <v>41724</v>
      </c>
      <c r="E317" s="9">
        <v>41840</v>
      </c>
      <c r="F317" s="17">
        <f>IF(MONTH(Table1[[#This Row],[Loss date]])&lt;Policy_Inception_Month,YEAR(Table1[[#This Row],[Loss date]])-1,YEAR(Table1[[#This Row],[Loss date]]))</f>
        <v>2013</v>
      </c>
      <c r="G317" s="10" t="s">
        <v>125</v>
      </c>
      <c r="H317" s="10" t="s">
        <v>2</v>
      </c>
      <c r="I317" s="11">
        <v>0</v>
      </c>
      <c r="J317" s="11">
        <v>13467.550778803159</v>
      </c>
      <c r="K317" s="11">
        <v>13467.550778803159</v>
      </c>
      <c r="L317" s="12">
        <v>0</v>
      </c>
      <c r="M317" s="12">
        <v>897.12164383169318</v>
      </c>
      <c r="N317" s="12">
        <v>12570.429134971466</v>
      </c>
      <c r="O317" s="70">
        <f>IF(Table1[[#This Row],[Overall amount]]=0,0,1)</f>
        <v>1</v>
      </c>
      <c r="P317" s="70">
        <f>Table1[[#This Row],[Overall amount]]*Exchange_Rate</f>
        <v>12570.429134971466</v>
      </c>
      <c r="Q317" s="70">
        <f>Table1[[#This Row],[Overall (destination currency)]]*(1+Claims_Inflation)^((Revalue_at_date-Table1[[#This Row],[Loss date]])/365.25)</f>
        <v>13535.969999999998</v>
      </c>
      <c r="R317" s="70">
        <f>INT(Table1[[#This Row],[Reporting date]])-INT(Table1[[#This Row],[Loss date]])</f>
        <v>116</v>
      </c>
      <c r="S317" s="69" t="s">
        <v>16</v>
      </c>
      <c r="T317" s="70">
        <f>VLOOKUP(Table1[[#This Row],[Policy Year]],exposure_table,3,FALSE)</f>
        <v>1090.5865384615383</v>
      </c>
      <c r="U317" s="17">
        <f>IF(MONTH(Table1[[#This Row],[Reporting date]])&lt;Policy_Inception_Month,YEAR(Table1[[#This Row],[Reporting date]])-1,YEAR(Table1[[#This Row],[Reporting date]]))</f>
        <v>2014</v>
      </c>
      <c r="V317" s="17">
        <f>Table1[[#This Row],[Reporting year]]-Table1[[#This Row],[Policy Year]]</f>
        <v>1</v>
      </c>
      <c r="W317" s="17">
        <f>INT(Table1[[#This Row],[Reporting date]])-INT(Table1[[#This Row],[Loss date]])</f>
        <v>116</v>
      </c>
      <c r="X317" s="17">
        <f>INT((YEAR(Table1[[#This Row],[Loss date]])*12+MONTH(Table1[[#This Row],[Loss date]])-Earliest_Month)/4)</f>
        <v>26</v>
      </c>
      <c r="Y317" s="17">
        <f>INT((YEAR(Table1[[#This Row],[Reporting date]])*12+MONTH(Table1[[#This Row],[Reporting date]])-Earliest_Month)/4)</f>
        <v>27</v>
      </c>
      <c r="Z317" s="17">
        <f>Table1[[#This Row],[Reporting third]]-Table1[[#This Row],[Policy third]]</f>
        <v>1</v>
      </c>
      <c r="AA317" s="71">
        <f>IF(Table1[[#This Row],[Overall amount]]=0,"N/A",Table1[[#This Row],[Outstanding]]/Table1[[#This Row],[Overall amount]])</f>
        <v>1.0713676227119298</v>
      </c>
      <c r="AB317" s="17">
        <f>IF(MONTH(Table1[[#This Row],[Loss date]])&lt;Pol_Inc_Month_Shifted,YEAR(Table1[[#This Row],[Loss date]])-1,YEAR(Table1[[#This Row],[Loss date]]))</f>
        <v>2013</v>
      </c>
      <c r="AC317" s="17">
        <f>IF(MONTH(Table1[[#This Row],[Reporting date]])&lt;Pol_Inc_Month_Shifted,YEAR(Table1[[#This Row],[Reporting date]])-1,YEAR(Table1[[#This Row],[Reporting date]]))</f>
        <v>2013</v>
      </c>
      <c r="AD317" s="17">
        <f>Table1[[#This Row],[Reporting year (shifted)]]-Table1[[#This Row],[Policy Year (shifted)]]</f>
        <v>0</v>
      </c>
    </row>
    <row r="318" spans="1:30" ht="13.9">
      <c r="A318" s="8" t="s">
        <v>2088</v>
      </c>
      <c r="B318" s="8" t="s">
        <v>370</v>
      </c>
      <c r="C318" s="8" t="s">
        <v>123</v>
      </c>
      <c r="D318" s="9">
        <v>41820</v>
      </c>
      <c r="E318" s="9">
        <v>41820</v>
      </c>
      <c r="F318" s="17">
        <f>IF(MONTH(Table1[[#This Row],[Loss date]])&lt;Policy_Inception_Month,YEAR(Table1[[#This Row],[Loss date]])-1,YEAR(Table1[[#This Row],[Loss date]]))</f>
        <v>2014</v>
      </c>
      <c r="G318" s="10" t="s">
        <v>125</v>
      </c>
      <c r="H318" s="10" t="s">
        <v>2</v>
      </c>
      <c r="I318" s="11">
        <v>0</v>
      </c>
      <c r="J318" s="11">
        <v>13076.974186287864</v>
      </c>
      <c r="K318" s="11">
        <v>13076.974186287864</v>
      </c>
      <c r="L318" s="12">
        <v>0</v>
      </c>
      <c r="M318" s="12">
        <v>0</v>
      </c>
      <c r="N318" s="12">
        <v>13076.974186287864</v>
      </c>
      <c r="O318" s="70">
        <f>IF(Table1[[#This Row],[Overall amount]]=0,0,1)</f>
        <v>1</v>
      </c>
      <c r="P318" s="70">
        <f>Table1[[#This Row],[Overall amount]]*Exchange_Rate</f>
        <v>13076.974186287864</v>
      </c>
      <c r="Q318" s="70">
        <f>Table1[[#This Row],[Overall (destination currency)]]*(1+Claims_Inflation)^((Revalue_at_date-Table1[[#This Row],[Loss date]])/365.25)</f>
        <v>13902.000000000002</v>
      </c>
      <c r="R318" s="70">
        <f>INT(Table1[[#This Row],[Reporting date]])-INT(Table1[[#This Row],[Loss date]])</f>
        <v>0</v>
      </c>
      <c r="S318" s="69" t="s">
        <v>16</v>
      </c>
      <c r="T318" s="70">
        <f>VLOOKUP(Table1[[#This Row],[Policy Year]],exposure_table,3,FALSE)</f>
        <v>1076.5070266272189</v>
      </c>
      <c r="U318" s="17">
        <f>IF(MONTH(Table1[[#This Row],[Reporting date]])&lt;Policy_Inception_Month,YEAR(Table1[[#This Row],[Reporting date]])-1,YEAR(Table1[[#This Row],[Reporting date]]))</f>
        <v>2014</v>
      </c>
      <c r="V318" s="17">
        <f>Table1[[#This Row],[Reporting year]]-Table1[[#This Row],[Policy Year]]</f>
        <v>0</v>
      </c>
      <c r="W318" s="17">
        <f>INT(Table1[[#This Row],[Reporting date]])-INT(Table1[[#This Row],[Loss date]])</f>
        <v>0</v>
      </c>
      <c r="X318" s="17">
        <f>INT((YEAR(Table1[[#This Row],[Loss date]])*12+MONTH(Table1[[#This Row],[Loss date]])-Earliest_Month)/4)</f>
        <v>27</v>
      </c>
      <c r="Y318" s="17">
        <f>INT((YEAR(Table1[[#This Row],[Reporting date]])*12+MONTH(Table1[[#This Row],[Reporting date]])-Earliest_Month)/4)</f>
        <v>27</v>
      </c>
      <c r="Z318" s="17">
        <f>Table1[[#This Row],[Reporting third]]-Table1[[#This Row],[Policy third]]</f>
        <v>0</v>
      </c>
      <c r="AA318" s="71">
        <f>IF(Table1[[#This Row],[Overall amount]]=0,"N/A",Table1[[#This Row],[Outstanding]]/Table1[[#This Row],[Overall amount]])</f>
        <v>1</v>
      </c>
      <c r="AB318" s="17">
        <f>IF(MONTH(Table1[[#This Row],[Loss date]])&lt;Pol_Inc_Month_Shifted,YEAR(Table1[[#This Row],[Loss date]])-1,YEAR(Table1[[#This Row],[Loss date]]))</f>
        <v>2013</v>
      </c>
      <c r="AC318" s="17">
        <f>IF(MONTH(Table1[[#This Row],[Reporting date]])&lt;Pol_Inc_Month_Shifted,YEAR(Table1[[#This Row],[Reporting date]])-1,YEAR(Table1[[#This Row],[Reporting date]]))</f>
        <v>2013</v>
      </c>
      <c r="AD318" s="17">
        <f>Table1[[#This Row],[Reporting year (shifted)]]-Table1[[#This Row],[Policy Year (shifted)]]</f>
        <v>0</v>
      </c>
    </row>
    <row r="319" spans="1:30" ht="13.9">
      <c r="A319" s="8" t="s">
        <v>2089</v>
      </c>
      <c r="B319" s="8" t="s">
        <v>371</v>
      </c>
      <c r="C319" s="8" t="s">
        <v>123</v>
      </c>
      <c r="D319" s="9">
        <v>41650</v>
      </c>
      <c r="E319" s="9">
        <v>41824</v>
      </c>
      <c r="F319" s="17">
        <f>IF(MONTH(Table1[[#This Row],[Loss date]])&lt;Policy_Inception_Month,YEAR(Table1[[#This Row],[Loss date]])-1,YEAR(Table1[[#This Row],[Loss date]]))</f>
        <v>2013</v>
      </c>
      <c r="G319" s="10" t="s">
        <v>125</v>
      </c>
      <c r="H319" s="10" t="s">
        <v>2</v>
      </c>
      <c r="I319" s="11">
        <v>0</v>
      </c>
      <c r="J319" s="11">
        <v>11034.406897395505</v>
      </c>
      <c r="K319" s="11">
        <v>11034.406897395505</v>
      </c>
      <c r="L319" s="12">
        <v>0</v>
      </c>
      <c r="M319" s="12">
        <v>0</v>
      </c>
      <c r="N319" s="12">
        <v>11034.406897395505</v>
      </c>
      <c r="O319" s="70">
        <f>IF(Table1[[#This Row],[Overall amount]]=0,0,1)</f>
        <v>1</v>
      </c>
      <c r="P319" s="70">
        <f>Table1[[#This Row],[Overall amount]]*Exchange_Rate</f>
        <v>11034.406897395505</v>
      </c>
      <c r="Q319" s="70">
        <f>Table1[[#This Row],[Overall (destination currency)]]*(1+Claims_Inflation)^((Revalue_at_date-Table1[[#This Row],[Loss date]])/365.25)</f>
        <v>12000</v>
      </c>
      <c r="R319" s="70">
        <f>INT(Table1[[#This Row],[Reporting date]])-INT(Table1[[#This Row],[Loss date]])</f>
        <v>174</v>
      </c>
      <c r="S319" s="69" t="s">
        <v>16</v>
      </c>
      <c r="T319" s="70">
        <f>VLOOKUP(Table1[[#This Row],[Policy Year]],exposure_table,3,FALSE)</f>
        <v>1090.5865384615383</v>
      </c>
      <c r="U319" s="17">
        <f>IF(MONTH(Table1[[#This Row],[Reporting date]])&lt;Policy_Inception_Month,YEAR(Table1[[#This Row],[Reporting date]])-1,YEAR(Table1[[#This Row],[Reporting date]]))</f>
        <v>2014</v>
      </c>
      <c r="V319" s="17">
        <f>Table1[[#This Row],[Reporting year]]-Table1[[#This Row],[Policy Year]]</f>
        <v>1</v>
      </c>
      <c r="W319" s="17">
        <f>INT(Table1[[#This Row],[Reporting date]])-INT(Table1[[#This Row],[Loss date]])</f>
        <v>174</v>
      </c>
      <c r="X319" s="17">
        <f>INT((YEAR(Table1[[#This Row],[Loss date]])*12+MONTH(Table1[[#This Row],[Loss date]])-Earliest_Month)/4)</f>
        <v>26</v>
      </c>
      <c r="Y319" s="17">
        <f>INT((YEAR(Table1[[#This Row],[Reporting date]])*12+MONTH(Table1[[#This Row],[Reporting date]])-Earliest_Month)/4)</f>
        <v>27</v>
      </c>
      <c r="Z319" s="17">
        <f>Table1[[#This Row],[Reporting third]]-Table1[[#This Row],[Policy third]]</f>
        <v>1</v>
      </c>
      <c r="AA319" s="71">
        <f>IF(Table1[[#This Row],[Overall amount]]=0,"N/A",Table1[[#This Row],[Outstanding]]/Table1[[#This Row],[Overall amount]])</f>
        <v>1</v>
      </c>
      <c r="AB319" s="17">
        <f>IF(MONTH(Table1[[#This Row],[Loss date]])&lt;Pol_Inc_Month_Shifted,YEAR(Table1[[#This Row],[Loss date]])-1,YEAR(Table1[[#This Row],[Loss date]]))</f>
        <v>2013</v>
      </c>
      <c r="AC319" s="17">
        <f>IF(MONTH(Table1[[#This Row],[Reporting date]])&lt;Pol_Inc_Month_Shifted,YEAR(Table1[[#This Row],[Reporting date]])-1,YEAR(Table1[[#This Row],[Reporting date]]))</f>
        <v>2013</v>
      </c>
      <c r="AD319" s="17">
        <f>Table1[[#This Row],[Reporting year (shifted)]]-Table1[[#This Row],[Policy Year (shifted)]]</f>
        <v>0</v>
      </c>
    </row>
    <row r="320" spans="1:30" ht="13.9">
      <c r="A320" s="8" t="s">
        <v>2090</v>
      </c>
      <c r="B320" s="8" t="s">
        <v>372</v>
      </c>
      <c r="C320" s="8" t="s">
        <v>123</v>
      </c>
      <c r="D320" s="9">
        <v>41505</v>
      </c>
      <c r="E320" s="9">
        <v>41832</v>
      </c>
      <c r="F320" s="17">
        <f>IF(MONTH(Table1[[#This Row],[Loss date]])&lt;Policy_Inception_Month,YEAR(Table1[[#This Row],[Loss date]])-1,YEAR(Table1[[#This Row],[Loss date]]))</f>
        <v>2013</v>
      </c>
      <c r="G320" s="10" t="s">
        <v>125</v>
      </c>
      <c r="H320" s="10" t="s">
        <v>2</v>
      </c>
      <c r="I320" s="11">
        <v>0</v>
      </c>
      <c r="J320" s="11">
        <v>10822.736615625656</v>
      </c>
      <c r="K320" s="11">
        <v>10822.736615625656</v>
      </c>
      <c r="L320" s="12">
        <v>0</v>
      </c>
      <c r="M320" s="12">
        <v>0</v>
      </c>
      <c r="N320" s="12">
        <v>10822.736615625656</v>
      </c>
      <c r="O320" s="70">
        <f>IF(Table1[[#This Row],[Overall amount]]=0,0,1)</f>
        <v>1</v>
      </c>
      <c r="P320" s="70">
        <f>Table1[[#This Row],[Overall amount]]*Exchange_Rate</f>
        <v>10822.736615625656</v>
      </c>
      <c r="Q320" s="70">
        <f>Table1[[#This Row],[Overall (destination currency)]]*(1+Claims_Inflation)^((Revalue_at_date-Table1[[#This Row],[Loss date]])/365.25)</f>
        <v>12000</v>
      </c>
      <c r="R320" s="70">
        <f>INT(Table1[[#This Row],[Reporting date]])-INT(Table1[[#This Row],[Loss date]])</f>
        <v>327</v>
      </c>
      <c r="S320" s="69" t="s">
        <v>16</v>
      </c>
      <c r="T320" s="70">
        <f>VLOOKUP(Table1[[#This Row],[Policy Year]],exposure_table,3,FALSE)</f>
        <v>1090.5865384615383</v>
      </c>
      <c r="U320" s="17">
        <f>IF(MONTH(Table1[[#This Row],[Reporting date]])&lt;Policy_Inception_Month,YEAR(Table1[[#This Row],[Reporting date]])-1,YEAR(Table1[[#This Row],[Reporting date]]))</f>
        <v>2014</v>
      </c>
      <c r="V320" s="17">
        <f>Table1[[#This Row],[Reporting year]]-Table1[[#This Row],[Policy Year]]</f>
        <v>1</v>
      </c>
      <c r="W320" s="17">
        <f>INT(Table1[[#This Row],[Reporting date]])-INT(Table1[[#This Row],[Loss date]])</f>
        <v>327</v>
      </c>
      <c r="X320" s="17">
        <f>INT((YEAR(Table1[[#This Row],[Loss date]])*12+MONTH(Table1[[#This Row],[Loss date]])-Earliest_Month)/4)</f>
        <v>25</v>
      </c>
      <c r="Y320" s="17">
        <f>INT((YEAR(Table1[[#This Row],[Reporting date]])*12+MONTH(Table1[[#This Row],[Reporting date]])-Earliest_Month)/4)</f>
        <v>27</v>
      </c>
      <c r="Z320" s="17">
        <f>Table1[[#This Row],[Reporting third]]-Table1[[#This Row],[Policy third]]</f>
        <v>2</v>
      </c>
      <c r="AA320" s="71">
        <f>IF(Table1[[#This Row],[Overall amount]]=0,"N/A",Table1[[#This Row],[Outstanding]]/Table1[[#This Row],[Overall amount]])</f>
        <v>1</v>
      </c>
      <c r="AB320" s="17">
        <f>IF(MONTH(Table1[[#This Row],[Loss date]])&lt;Pol_Inc_Month_Shifted,YEAR(Table1[[#This Row],[Loss date]])-1,YEAR(Table1[[#This Row],[Loss date]]))</f>
        <v>2012</v>
      </c>
      <c r="AC320" s="17">
        <f>IF(MONTH(Table1[[#This Row],[Reporting date]])&lt;Pol_Inc_Month_Shifted,YEAR(Table1[[#This Row],[Reporting date]])-1,YEAR(Table1[[#This Row],[Reporting date]]))</f>
        <v>2013</v>
      </c>
      <c r="AD320" s="17">
        <f>Table1[[#This Row],[Reporting year (shifted)]]-Table1[[#This Row],[Policy Year (shifted)]]</f>
        <v>1</v>
      </c>
    </row>
    <row r="321" spans="1:30" ht="13.9">
      <c r="A321" s="8" t="s">
        <v>2091</v>
      </c>
      <c r="B321" s="8" t="s">
        <v>373</v>
      </c>
      <c r="C321" s="8" t="s">
        <v>123</v>
      </c>
      <c r="D321" s="9">
        <v>41723</v>
      </c>
      <c r="E321" s="9">
        <v>41835</v>
      </c>
      <c r="F321" s="17">
        <f>IF(MONTH(Table1[[#This Row],[Loss date]])&lt;Policy_Inception_Month,YEAR(Table1[[#This Row],[Loss date]])-1,YEAR(Table1[[#This Row],[Loss date]]))</f>
        <v>2013</v>
      </c>
      <c r="G321" s="10" t="s">
        <v>131</v>
      </c>
      <c r="H321" s="10" t="s">
        <v>2</v>
      </c>
      <c r="I321" s="11">
        <v>0</v>
      </c>
      <c r="J321" s="11">
        <v>11142.533637542076</v>
      </c>
      <c r="K321" s="11">
        <v>11142.533637542076</v>
      </c>
      <c r="L321" s="12">
        <v>0</v>
      </c>
      <c r="M321" s="12">
        <v>0</v>
      </c>
      <c r="N321" s="12">
        <v>11142.533637542076</v>
      </c>
      <c r="O321" s="70">
        <f>IF(Table1[[#This Row],[Overall amount]]=0,0,1)</f>
        <v>1</v>
      </c>
      <c r="P321" s="70">
        <f>Table1[[#This Row],[Overall amount]]*Exchange_Rate</f>
        <v>11142.533637542076</v>
      </c>
      <c r="Q321" s="70">
        <f>Table1[[#This Row],[Overall (destination currency)]]*(1+Claims_Inflation)^((Revalue_at_date-Table1[[#This Row],[Loss date]])/365.25)</f>
        <v>12000</v>
      </c>
      <c r="R321" s="70">
        <f>INT(Table1[[#This Row],[Reporting date]])-INT(Table1[[#This Row],[Loss date]])</f>
        <v>112</v>
      </c>
      <c r="S321" s="69" t="s">
        <v>16</v>
      </c>
      <c r="T321" s="70">
        <f>VLOOKUP(Table1[[#This Row],[Policy Year]],exposure_table,3,FALSE)</f>
        <v>1090.5865384615383</v>
      </c>
      <c r="U321" s="17">
        <f>IF(MONTH(Table1[[#This Row],[Reporting date]])&lt;Policy_Inception_Month,YEAR(Table1[[#This Row],[Reporting date]])-1,YEAR(Table1[[#This Row],[Reporting date]]))</f>
        <v>2014</v>
      </c>
      <c r="V321" s="17">
        <f>Table1[[#This Row],[Reporting year]]-Table1[[#This Row],[Policy Year]]</f>
        <v>1</v>
      </c>
      <c r="W321" s="17">
        <f>INT(Table1[[#This Row],[Reporting date]])-INT(Table1[[#This Row],[Loss date]])</f>
        <v>112</v>
      </c>
      <c r="X321" s="17">
        <f>INT((YEAR(Table1[[#This Row],[Loss date]])*12+MONTH(Table1[[#This Row],[Loss date]])-Earliest_Month)/4)</f>
        <v>26</v>
      </c>
      <c r="Y321" s="17">
        <f>INT((YEAR(Table1[[#This Row],[Reporting date]])*12+MONTH(Table1[[#This Row],[Reporting date]])-Earliest_Month)/4)</f>
        <v>27</v>
      </c>
      <c r="Z321" s="17">
        <f>Table1[[#This Row],[Reporting third]]-Table1[[#This Row],[Policy third]]</f>
        <v>1</v>
      </c>
      <c r="AA321" s="71">
        <f>IF(Table1[[#This Row],[Overall amount]]=0,"N/A",Table1[[#This Row],[Outstanding]]/Table1[[#This Row],[Overall amount]])</f>
        <v>1</v>
      </c>
      <c r="AB321" s="17">
        <f>IF(MONTH(Table1[[#This Row],[Loss date]])&lt;Pol_Inc_Month_Shifted,YEAR(Table1[[#This Row],[Loss date]])-1,YEAR(Table1[[#This Row],[Loss date]]))</f>
        <v>2013</v>
      </c>
      <c r="AC321" s="17">
        <f>IF(MONTH(Table1[[#This Row],[Reporting date]])&lt;Pol_Inc_Month_Shifted,YEAR(Table1[[#This Row],[Reporting date]])-1,YEAR(Table1[[#This Row],[Reporting date]]))</f>
        <v>2013</v>
      </c>
      <c r="AD321" s="17">
        <f>Table1[[#This Row],[Reporting year (shifted)]]-Table1[[#This Row],[Policy Year (shifted)]]</f>
        <v>0</v>
      </c>
    </row>
    <row r="322" spans="1:30" ht="13.9">
      <c r="A322" s="8" t="s">
        <v>2092</v>
      </c>
      <c r="B322" s="8" t="s">
        <v>374</v>
      </c>
      <c r="C322" s="8" t="s">
        <v>123</v>
      </c>
      <c r="D322" s="9">
        <v>41664</v>
      </c>
      <c r="E322" s="9">
        <v>41838</v>
      </c>
      <c r="F322" s="17">
        <f>IF(MONTH(Table1[[#This Row],[Loss date]])&lt;Policy_Inception_Month,YEAR(Table1[[#This Row],[Loss date]])-1,YEAR(Table1[[#This Row],[Loss date]]))</f>
        <v>2013</v>
      </c>
      <c r="G322" s="10" t="s">
        <v>125</v>
      </c>
      <c r="H322" s="10" t="s">
        <v>2</v>
      </c>
      <c r="I322" s="11">
        <v>0</v>
      </c>
      <c r="J322" s="11">
        <v>11055.061899351205</v>
      </c>
      <c r="K322" s="11">
        <v>11055.061899351205</v>
      </c>
      <c r="L322" s="12">
        <v>331.65185698053614</v>
      </c>
      <c r="M322" s="12">
        <v>0</v>
      </c>
      <c r="N322" s="12">
        <v>11386.713756331741</v>
      </c>
      <c r="O322" s="70">
        <f>IF(Table1[[#This Row],[Overall amount]]=0,0,1)</f>
        <v>1</v>
      </c>
      <c r="P322" s="70">
        <f>Table1[[#This Row],[Overall amount]]*Exchange_Rate</f>
        <v>11386.713756331741</v>
      </c>
      <c r="Q322" s="70">
        <f>Table1[[#This Row],[Overall (destination currency)]]*(1+Claims_Inflation)^((Revalue_at_date-Table1[[#This Row],[Loss date]])/365.25)</f>
        <v>12360</v>
      </c>
      <c r="R322" s="70">
        <f>INT(Table1[[#This Row],[Reporting date]])-INT(Table1[[#This Row],[Loss date]])</f>
        <v>174</v>
      </c>
      <c r="S322" s="69" t="s">
        <v>16</v>
      </c>
      <c r="T322" s="70">
        <f>VLOOKUP(Table1[[#This Row],[Policy Year]],exposure_table,3,FALSE)</f>
        <v>1090.5865384615383</v>
      </c>
      <c r="U322" s="17">
        <f>IF(MONTH(Table1[[#This Row],[Reporting date]])&lt;Policy_Inception_Month,YEAR(Table1[[#This Row],[Reporting date]])-1,YEAR(Table1[[#This Row],[Reporting date]]))</f>
        <v>2014</v>
      </c>
      <c r="V322" s="17">
        <f>Table1[[#This Row],[Reporting year]]-Table1[[#This Row],[Policy Year]]</f>
        <v>1</v>
      </c>
      <c r="W322" s="17">
        <f>INT(Table1[[#This Row],[Reporting date]])-INT(Table1[[#This Row],[Loss date]])</f>
        <v>174</v>
      </c>
      <c r="X322" s="17">
        <f>INT((YEAR(Table1[[#This Row],[Loss date]])*12+MONTH(Table1[[#This Row],[Loss date]])-Earliest_Month)/4)</f>
        <v>26</v>
      </c>
      <c r="Y322" s="17">
        <f>INT((YEAR(Table1[[#This Row],[Reporting date]])*12+MONTH(Table1[[#This Row],[Reporting date]])-Earliest_Month)/4)</f>
        <v>27</v>
      </c>
      <c r="Z322" s="17">
        <f>Table1[[#This Row],[Reporting third]]-Table1[[#This Row],[Policy third]]</f>
        <v>1</v>
      </c>
      <c r="AA322" s="71">
        <f>IF(Table1[[#This Row],[Overall amount]]=0,"N/A",Table1[[#This Row],[Outstanding]]/Table1[[#This Row],[Overall amount]])</f>
        <v>0.970873786407767</v>
      </c>
      <c r="AB322" s="17">
        <f>IF(MONTH(Table1[[#This Row],[Loss date]])&lt;Pol_Inc_Month_Shifted,YEAR(Table1[[#This Row],[Loss date]])-1,YEAR(Table1[[#This Row],[Loss date]]))</f>
        <v>2013</v>
      </c>
      <c r="AC322" s="17">
        <f>IF(MONTH(Table1[[#This Row],[Reporting date]])&lt;Pol_Inc_Month_Shifted,YEAR(Table1[[#This Row],[Reporting date]])-1,YEAR(Table1[[#This Row],[Reporting date]]))</f>
        <v>2013</v>
      </c>
      <c r="AD322" s="17">
        <f>Table1[[#This Row],[Reporting year (shifted)]]-Table1[[#This Row],[Policy Year (shifted)]]</f>
        <v>0</v>
      </c>
    </row>
    <row r="323" spans="1:30" ht="13.9">
      <c r="A323" s="8" t="s">
        <v>2093</v>
      </c>
      <c r="B323" s="8" t="s">
        <v>375</v>
      </c>
      <c r="C323" s="8" t="s">
        <v>123</v>
      </c>
      <c r="D323" s="9">
        <v>41525</v>
      </c>
      <c r="E323" s="9">
        <v>41817</v>
      </c>
      <c r="F323" s="17">
        <f>IF(MONTH(Table1[[#This Row],[Loss date]])&lt;Policy_Inception_Month,YEAR(Table1[[#This Row],[Loss date]])-1,YEAR(Table1[[#This Row],[Loss date]]))</f>
        <v>2013</v>
      </c>
      <c r="G323" s="10" t="s">
        <v>125</v>
      </c>
      <c r="H323" s="10" t="s">
        <v>2</v>
      </c>
      <c r="I323" s="11">
        <v>0</v>
      </c>
      <c r="J323" s="11">
        <v>10309.104870757375</v>
      </c>
      <c r="K323" s="11">
        <v>10309.104870757375</v>
      </c>
      <c r="L323" s="12">
        <v>0</v>
      </c>
      <c r="M323" s="12">
        <v>0</v>
      </c>
      <c r="N323" s="12">
        <v>10309.104870757375</v>
      </c>
      <c r="O323" s="70">
        <f>IF(Table1[[#This Row],[Overall amount]]=0,0,1)</f>
        <v>1</v>
      </c>
      <c r="P323" s="70">
        <f>Table1[[#This Row],[Overall amount]]*Exchange_Rate</f>
        <v>10309.104870757375</v>
      </c>
      <c r="Q323" s="70">
        <f>Table1[[#This Row],[Overall (destination currency)]]*(1+Claims_Inflation)^((Revalue_at_date-Table1[[#This Row],[Loss date]])/365.25)</f>
        <v>11400</v>
      </c>
      <c r="R323" s="70">
        <f>INT(Table1[[#This Row],[Reporting date]])-INT(Table1[[#This Row],[Loss date]])</f>
        <v>292</v>
      </c>
      <c r="S323" s="69" t="s">
        <v>16</v>
      </c>
      <c r="T323" s="70">
        <f>VLOOKUP(Table1[[#This Row],[Policy Year]],exposure_table,3,FALSE)</f>
        <v>1090.5865384615383</v>
      </c>
      <c r="U323" s="17">
        <f>IF(MONTH(Table1[[#This Row],[Reporting date]])&lt;Policy_Inception_Month,YEAR(Table1[[#This Row],[Reporting date]])-1,YEAR(Table1[[#This Row],[Reporting date]]))</f>
        <v>2014</v>
      </c>
      <c r="V323" s="17">
        <f>Table1[[#This Row],[Reporting year]]-Table1[[#This Row],[Policy Year]]</f>
        <v>1</v>
      </c>
      <c r="W323" s="17">
        <f>INT(Table1[[#This Row],[Reporting date]])-INT(Table1[[#This Row],[Loss date]])</f>
        <v>292</v>
      </c>
      <c r="X323" s="17">
        <f>INT((YEAR(Table1[[#This Row],[Loss date]])*12+MONTH(Table1[[#This Row],[Loss date]])-Earliest_Month)/4)</f>
        <v>25</v>
      </c>
      <c r="Y323" s="17">
        <f>INT((YEAR(Table1[[#This Row],[Reporting date]])*12+MONTH(Table1[[#This Row],[Reporting date]])-Earliest_Month)/4)</f>
        <v>27</v>
      </c>
      <c r="Z323" s="17">
        <f>Table1[[#This Row],[Reporting third]]-Table1[[#This Row],[Policy third]]</f>
        <v>2</v>
      </c>
      <c r="AA323" s="71">
        <f>IF(Table1[[#This Row],[Overall amount]]=0,"N/A",Table1[[#This Row],[Outstanding]]/Table1[[#This Row],[Overall amount]])</f>
        <v>1</v>
      </c>
      <c r="AB323" s="17">
        <f>IF(MONTH(Table1[[#This Row],[Loss date]])&lt;Pol_Inc_Month_Shifted,YEAR(Table1[[#This Row],[Loss date]])-1,YEAR(Table1[[#This Row],[Loss date]]))</f>
        <v>2012</v>
      </c>
      <c r="AC323" s="17">
        <f>IF(MONTH(Table1[[#This Row],[Reporting date]])&lt;Pol_Inc_Month_Shifted,YEAR(Table1[[#This Row],[Reporting date]])-1,YEAR(Table1[[#This Row],[Reporting date]]))</f>
        <v>2013</v>
      </c>
      <c r="AD323" s="17">
        <f>Table1[[#This Row],[Reporting year (shifted)]]-Table1[[#This Row],[Policy Year (shifted)]]</f>
        <v>1</v>
      </c>
    </row>
    <row r="324" spans="1:30" ht="13.9">
      <c r="A324" s="8" t="s">
        <v>2094</v>
      </c>
      <c r="B324" s="8" t="s">
        <v>376</v>
      </c>
      <c r="C324" s="8" t="s">
        <v>123</v>
      </c>
      <c r="D324" s="9">
        <v>41789</v>
      </c>
      <c r="E324" s="9">
        <v>41789</v>
      </c>
      <c r="F324" s="17">
        <f>IF(MONTH(Table1[[#This Row],[Loss date]])&lt;Policy_Inception_Month,YEAR(Table1[[#This Row],[Loss date]])-1,YEAR(Table1[[#This Row],[Loss date]]))</f>
        <v>2014</v>
      </c>
      <c r="G324" s="10" t="s">
        <v>124</v>
      </c>
      <c r="H324" s="10" t="s">
        <v>2</v>
      </c>
      <c r="I324" s="11">
        <v>0</v>
      </c>
      <c r="J324" s="11">
        <v>10117.083407944727</v>
      </c>
      <c r="K324" s="11">
        <v>10117.083407944727</v>
      </c>
      <c r="L324" s="12">
        <v>0</v>
      </c>
      <c r="M324" s="12">
        <v>0</v>
      </c>
      <c r="N324" s="12">
        <v>10117.083407944727</v>
      </c>
      <c r="O324" s="70">
        <f>IF(Table1[[#This Row],[Overall amount]]=0,0,1)</f>
        <v>1</v>
      </c>
      <c r="P324" s="70">
        <f>Table1[[#This Row],[Overall amount]]*Exchange_Rate</f>
        <v>10117.083407944727</v>
      </c>
      <c r="Q324" s="70">
        <f>Table1[[#This Row],[Overall (destination currency)]]*(1+Claims_Inflation)^((Revalue_at_date-Table1[[#This Row],[Loss date]])/365.25)</f>
        <v>10800</v>
      </c>
      <c r="R324" s="70">
        <f>INT(Table1[[#This Row],[Reporting date]])-INT(Table1[[#This Row],[Loss date]])</f>
        <v>0</v>
      </c>
      <c r="S324" s="69" t="s">
        <v>16</v>
      </c>
      <c r="T324" s="70">
        <f>VLOOKUP(Table1[[#This Row],[Policy Year]],exposure_table,3,FALSE)</f>
        <v>1076.5070266272189</v>
      </c>
      <c r="U324" s="17">
        <f>IF(MONTH(Table1[[#This Row],[Reporting date]])&lt;Policy_Inception_Month,YEAR(Table1[[#This Row],[Reporting date]])-1,YEAR(Table1[[#This Row],[Reporting date]]))</f>
        <v>2014</v>
      </c>
      <c r="V324" s="17">
        <f>Table1[[#This Row],[Reporting year]]-Table1[[#This Row],[Policy Year]]</f>
        <v>0</v>
      </c>
      <c r="W324" s="17">
        <f>INT(Table1[[#This Row],[Reporting date]])-INT(Table1[[#This Row],[Loss date]])</f>
        <v>0</v>
      </c>
      <c r="X324" s="17">
        <f>INT((YEAR(Table1[[#This Row],[Loss date]])*12+MONTH(Table1[[#This Row],[Loss date]])-Earliest_Month)/4)</f>
        <v>27</v>
      </c>
      <c r="Y324" s="17">
        <f>INT((YEAR(Table1[[#This Row],[Reporting date]])*12+MONTH(Table1[[#This Row],[Reporting date]])-Earliest_Month)/4)</f>
        <v>27</v>
      </c>
      <c r="Z324" s="17">
        <f>Table1[[#This Row],[Reporting third]]-Table1[[#This Row],[Policy third]]</f>
        <v>0</v>
      </c>
      <c r="AA324" s="71">
        <f>IF(Table1[[#This Row],[Overall amount]]=0,"N/A",Table1[[#This Row],[Outstanding]]/Table1[[#This Row],[Overall amount]])</f>
        <v>1</v>
      </c>
      <c r="AB324" s="17">
        <f>IF(MONTH(Table1[[#This Row],[Loss date]])&lt;Pol_Inc_Month_Shifted,YEAR(Table1[[#This Row],[Loss date]])-1,YEAR(Table1[[#This Row],[Loss date]]))</f>
        <v>2013</v>
      </c>
      <c r="AC324" s="17">
        <f>IF(MONTH(Table1[[#This Row],[Reporting date]])&lt;Pol_Inc_Month_Shifted,YEAR(Table1[[#This Row],[Reporting date]])-1,YEAR(Table1[[#This Row],[Reporting date]]))</f>
        <v>2013</v>
      </c>
      <c r="AD324" s="17">
        <f>Table1[[#This Row],[Reporting year (shifted)]]-Table1[[#This Row],[Policy Year (shifted)]]</f>
        <v>0</v>
      </c>
    </row>
    <row r="325" spans="1:30" ht="13.9">
      <c r="A325" s="8" t="s">
        <v>2095</v>
      </c>
      <c r="B325" s="8" t="s">
        <v>377</v>
      </c>
      <c r="C325" s="8" t="s">
        <v>123</v>
      </c>
      <c r="D325" s="9">
        <v>41393</v>
      </c>
      <c r="E325" s="9">
        <v>41846</v>
      </c>
      <c r="F325" s="17">
        <f>IF(MONTH(Table1[[#This Row],[Loss date]])&lt;Policy_Inception_Month,YEAR(Table1[[#This Row],[Loss date]])-1,YEAR(Table1[[#This Row],[Loss date]]))</f>
        <v>2013</v>
      </c>
      <c r="G325" s="10" t="s">
        <v>125</v>
      </c>
      <c r="H325" s="10" t="s">
        <v>2</v>
      </c>
      <c r="I325" s="11">
        <v>0</v>
      </c>
      <c r="J325" s="11">
        <v>9595.8207633189213</v>
      </c>
      <c r="K325" s="11">
        <v>9595.8207633189213</v>
      </c>
      <c r="L325" s="12">
        <v>0</v>
      </c>
      <c r="M325" s="12">
        <v>0</v>
      </c>
      <c r="N325" s="12">
        <v>9595.8207633189213</v>
      </c>
      <c r="O325" s="70">
        <f>IF(Table1[[#This Row],[Overall amount]]=0,0,1)</f>
        <v>1</v>
      </c>
      <c r="P325" s="70">
        <f>Table1[[#This Row],[Overall amount]]*Exchange_Rate</f>
        <v>9595.8207633189213</v>
      </c>
      <c r="Q325" s="70">
        <f>Table1[[#This Row],[Overall (destination currency)]]*(1+Claims_Inflation)^((Revalue_at_date-Table1[[#This Row],[Loss date]])/365.25)</f>
        <v>10800</v>
      </c>
      <c r="R325" s="70">
        <f>INT(Table1[[#This Row],[Reporting date]])-INT(Table1[[#This Row],[Loss date]])</f>
        <v>453</v>
      </c>
      <c r="S325" s="69" t="s">
        <v>16</v>
      </c>
      <c r="T325" s="70">
        <f>VLOOKUP(Table1[[#This Row],[Policy Year]],exposure_table,3,FALSE)</f>
        <v>1090.5865384615383</v>
      </c>
      <c r="U325" s="17">
        <f>IF(MONTH(Table1[[#This Row],[Reporting date]])&lt;Policy_Inception_Month,YEAR(Table1[[#This Row],[Reporting date]])-1,YEAR(Table1[[#This Row],[Reporting date]]))</f>
        <v>2014</v>
      </c>
      <c r="V325" s="17">
        <f>Table1[[#This Row],[Reporting year]]-Table1[[#This Row],[Policy Year]]</f>
        <v>1</v>
      </c>
      <c r="W325" s="17">
        <f>INT(Table1[[#This Row],[Reporting date]])-INT(Table1[[#This Row],[Loss date]])</f>
        <v>453</v>
      </c>
      <c r="X325" s="17">
        <f>INT((YEAR(Table1[[#This Row],[Loss date]])*12+MONTH(Table1[[#This Row],[Loss date]])-Earliest_Month)/4)</f>
        <v>24</v>
      </c>
      <c r="Y325" s="17">
        <f>INT((YEAR(Table1[[#This Row],[Reporting date]])*12+MONTH(Table1[[#This Row],[Reporting date]])-Earliest_Month)/4)</f>
        <v>27</v>
      </c>
      <c r="Z325" s="17">
        <f>Table1[[#This Row],[Reporting third]]-Table1[[#This Row],[Policy third]]</f>
        <v>3</v>
      </c>
      <c r="AA325" s="71">
        <f>IF(Table1[[#This Row],[Overall amount]]=0,"N/A",Table1[[#This Row],[Outstanding]]/Table1[[#This Row],[Overall amount]])</f>
        <v>1</v>
      </c>
      <c r="AB325" s="17">
        <f>IF(MONTH(Table1[[#This Row],[Loss date]])&lt;Pol_Inc_Month_Shifted,YEAR(Table1[[#This Row],[Loss date]])-1,YEAR(Table1[[#This Row],[Loss date]]))</f>
        <v>2012</v>
      </c>
      <c r="AC325" s="17">
        <f>IF(MONTH(Table1[[#This Row],[Reporting date]])&lt;Pol_Inc_Month_Shifted,YEAR(Table1[[#This Row],[Reporting date]])-1,YEAR(Table1[[#This Row],[Reporting date]]))</f>
        <v>2013</v>
      </c>
      <c r="AD325" s="17">
        <f>Table1[[#This Row],[Reporting year (shifted)]]-Table1[[#This Row],[Policy Year (shifted)]]</f>
        <v>1</v>
      </c>
    </row>
    <row r="326" spans="1:30" ht="13.9">
      <c r="A326" s="8" t="s">
        <v>2096</v>
      </c>
      <c r="B326" s="8" t="s">
        <v>378</v>
      </c>
      <c r="C326" s="8" t="s">
        <v>123</v>
      </c>
      <c r="D326" s="9">
        <v>41242</v>
      </c>
      <c r="E326" s="9">
        <v>41819</v>
      </c>
      <c r="F326" s="17">
        <f>IF(MONTH(Table1[[#This Row],[Loss date]])&lt;Policy_Inception_Month,YEAR(Table1[[#This Row],[Loss date]])-1,YEAR(Table1[[#This Row],[Loss date]]))</f>
        <v>2012</v>
      </c>
      <c r="G326" s="10" t="s">
        <v>125</v>
      </c>
      <c r="H326" s="10" t="s">
        <v>2</v>
      </c>
      <c r="I326" s="11">
        <v>2305.0754323213337</v>
      </c>
      <c r="J326" s="11">
        <v>16294.354619954158</v>
      </c>
      <c r="K326" s="11">
        <v>18599.430052275493</v>
      </c>
      <c r="L326" s="12">
        <v>0</v>
      </c>
      <c r="M326" s="12">
        <v>624.12581855191866</v>
      </c>
      <c r="N326" s="12">
        <v>17975.304233723575</v>
      </c>
      <c r="O326" s="70">
        <f>IF(Table1[[#This Row],[Overall amount]]=0,0,1)</f>
        <v>1</v>
      </c>
      <c r="P326" s="70">
        <f>Table1[[#This Row],[Overall amount]]*Exchange_Rate</f>
        <v>17975.304233723575</v>
      </c>
      <c r="Q326" s="70">
        <f>Table1[[#This Row],[Overall (destination currency)]]*(1+Claims_Inflation)^((Revalue_at_date-Table1[[#This Row],[Loss date]])/365.25)</f>
        <v>20643.240000000002</v>
      </c>
      <c r="R326" s="70">
        <f>INT(Table1[[#This Row],[Reporting date]])-INT(Table1[[#This Row],[Loss date]])</f>
        <v>577</v>
      </c>
      <c r="S326" s="69" t="s">
        <v>16</v>
      </c>
      <c r="T326" s="70">
        <f>VLOOKUP(Table1[[#This Row],[Policy Year]],exposure_table,3,FALSE)</f>
        <v>1057.54</v>
      </c>
      <c r="U326" s="17">
        <f>IF(MONTH(Table1[[#This Row],[Reporting date]])&lt;Policy_Inception_Month,YEAR(Table1[[#This Row],[Reporting date]])-1,YEAR(Table1[[#This Row],[Reporting date]]))</f>
        <v>2014</v>
      </c>
      <c r="V326" s="17">
        <f>Table1[[#This Row],[Reporting year]]-Table1[[#This Row],[Policy Year]]</f>
        <v>2</v>
      </c>
      <c r="W326" s="17">
        <f>INT(Table1[[#This Row],[Reporting date]])-INT(Table1[[#This Row],[Loss date]])</f>
        <v>577</v>
      </c>
      <c r="X326" s="17">
        <f>INT((YEAR(Table1[[#This Row],[Loss date]])*12+MONTH(Table1[[#This Row],[Loss date]])-Earliest_Month)/4)</f>
        <v>22</v>
      </c>
      <c r="Y326" s="17">
        <f>INT((YEAR(Table1[[#This Row],[Reporting date]])*12+MONTH(Table1[[#This Row],[Reporting date]])-Earliest_Month)/4)</f>
        <v>27</v>
      </c>
      <c r="Z326" s="17">
        <f>Table1[[#This Row],[Reporting third]]-Table1[[#This Row],[Policy third]]</f>
        <v>5</v>
      </c>
      <c r="AA326" s="71">
        <f>IF(Table1[[#This Row],[Overall amount]]=0,"N/A",Table1[[#This Row],[Outstanding]]/Table1[[#This Row],[Overall amount]])</f>
        <v>0.9064856098170635</v>
      </c>
      <c r="AB326" s="17">
        <f>IF(MONTH(Table1[[#This Row],[Loss date]])&lt;Pol_Inc_Month_Shifted,YEAR(Table1[[#This Row],[Loss date]])-1,YEAR(Table1[[#This Row],[Loss date]]))</f>
        <v>2011</v>
      </c>
      <c r="AC326" s="17">
        <f>IF(MONTH(Table1[[#This Row],[Reporting date]])&lt;Pol_Inc_Month_Shifted,YEAR(Table1[[#This Row],[Reporting date]])-1,YEAR(Table1[[#This Row],[Reporting date]]))</f>
        <v>2013</v>
      </c>
      <c r="AD326" s="17">
        <f>Table1[[#This Row],[Reporting year (shifted)]]-Table1[[#This Row],[Policy Year (shifted)]]</f>
        <v>2</v>
      </c>
    </row>
    <row r="327" spans="1:30" ht="13.9">
      <c r="A327" s="8" t="s">
        <v>2097</v>
      </c>
      <c r="B327" s="8" t="s">
        <v>379</v>
      </c>
      <c r="C327" s="8" t="s">
        <v>123</v>
      </c>
      <c r="D327" s="9">
        <v>41580</v>
      </c>
      <c r="E327" s="9">
        <v>41873</v>
      </c>
      <c r="F327" s="17">
        <f>IF(MONTH(Table1[[#This Row],[Loss date]])&lt;Policy_Inception_Month,YEAR(Table1[[#This Row],[Loss date]])-1,YEAR(Table1[[#This Row],[Loss date]]))</f>
        <v>2013</v>
      </c>
      <c r="G327" s="10" t="s">
        <v>125</v>
      </c>
      <c r="H327" s="10" t="s">
        <v>2</v>
      </c>
      <c r="I327" s="11">
        <v>0</v>
      </c>
      <c r="J327" s="11">
        <v>13227.368273490578</v>
      </c>
      <c r="K327" s="11">
        <v>13227.368273490578</v>
      </c>
      <c r="L327" s="12">
        <v>0</v>
      </c>
      <c r="M327" s="12">
        <v>0</v>
      </c>
      <c r="N327" s="12">
        <v>13227.368273490578</v>
      </c>
      <c r="O327" s="70">
        <f>IF(Table1[[#This Row],[Overall amount]]=0,0,1)</f>
        <v>1</v>
      </c>
      <c r="P327" s="70">
        <f>Table1[[#This Row],[Overall amount]]*Exchange_Rate</f>
        <v>13227.368273490578</v>
      </c>
      <c r="Q327" s="70">
        <f>Table1[[#This Row],[Overall (destination currency)]]*(1+Claims_Inflation)^((Revalue_at_date-Table1[[#This Row],[Loss date]])/365.25)</f>
        <v>14520</v>
      </c>
      <c r="R327" s="70">
        <f>INT(Table1[[#This Row],[Reporting date]])-INT(Table1[[#This Row],[Loss date]])</f>
        <v>293</v>
      </c>
      <c r="S327" s="69" t="s">
        <v>16</v>
      </c>
      <c r="T327" s="70">
        <f>VLOOKUP(Table1[[#This Row],[Policy Year]],exposure_table,3,FALSE)</f>
        <v>1090.5865384615383</v>
      </c>
      <c r="U327" s="17">
        <f>IF(MONTH(Table1[[#This Row],[Reporting date]])&lt;Policy_Inception_Month,YEAR(Table1[[#This Row],[Reporting date]])-1,YEAR(Table1[[#This Row],[Reporting date]]))</f>
        <v>2014</v>
      </c>
      <c r="V327" s="17">
        <f>Table1[[#This Row],[Reporting year]]-Table1[[#This Row],[Policy Year]]</f>
        <v>1</v>
      </c>
      <c r="W327" s="17">
        <f>INT(Table1[[#This Row],[Reporting date]])-INT(Table1[[#This Row],[Loss date]])</f>
        <v>293</v>
      </c>
      <c r="X327" s="17">
        <f>INT((YEAR(Table1[[#This Row],[Loss date]])*12+MONTH(Table1[[#This Row],[Loss date]])-Earliest_Month)/4)</f>
        <v>25</v>
      </c>
      <c r="Y327" s="17">
        <f>INT((YEAR(Table1[[#This Row],[Reporting date]])*12+MONTH(Table1[[#This Row],[Reporting date]])-Earliest_Month)/4)</f>
        <v>28</v>
      </c>
      <c r="Z327" s="17">
        <f>Table1[[#This Row],[Reporting third]]-Table1[[#This Row],[Policy third]]</f>
        <v>3</v>
      </c>
      <c r="AA327" s="71">
        <f>IF(Table1[[#This Row],[Overall amount]]=0,"N/A",Table1[[#This Row],[Outstanding]]/Table1[[#This Row],[Overall amount]])</f>
        <v>1</v>
      </c>
      <c r="AB327" s="17">
        <f>IF(MONTH(Table1[[#This Row],[Loss date]])&lt;Pol_Inc_Month_Shifted,YEAR(Table1[[#This Row],[Loss date]])-1,YEAR(Table1[[#This Row],[Loss date]]))</f>
        <v>2012</v>
      </c>
      <c r="AC327" s="17">
        <f>IF(MONTH(Table1[[#This Row],[Reporting date]])&lt;Pol_Inc_Month_Shifted,YEAR(Table1[[#This Row],[Reporting date]])-1,YEAR(Table1[[#This Row],[Reporting date]]))</f>
        <v>2013</v>
      </c>
      <c r="AD327" s="17">
        <f>Table1[[#This Row],[Reporting year (shifted)]]-Table1[[#This Row],[Policy Year (shifted)]]</f>
        <v>1</v>
      </c>
    </row>
    <row r="328" spans="1:30" ht="13.9">
      <c r="A328" s="8" t="s">
        <v>2098</v>
      </c>
      <c r="B328" s="8" t="s">
        <v>380</v>
      </c>
      <c r="C328" s="8" t="s">
        <v>123</v>
      </c>
      <c r="D328" s="9">
        <v>41514</v>
      </c>
      <c r="E328" s="9">
        <v>41863</v>
      </c>
      <c r="F328" s="17">
        <f>IF(MONTH(Table1[[#This Row],[Loss date]])&lt;Policy_Inception_Month,YEAR(Table1[[#This Row],[Loss date]])-1,YEAR(Table1[[#This Row],[Loss date]]))</f>
        <v>2013</v>
      </c>
      <c r="G328" s="10" t="s">
        <v>125</v>
      </c>
      <c r="H328" s="10" t="s">
        <v>2</v>
      </c>
      <c r="I328" s="11">
        <v>0</v>
      </c>
      <c r="J328" s="11">
        <v>10835.755768871966</v>
      </c>
      <c r="K328" s="11">
        <v>10835.755768871966</v>
      </c>
      <c r="L328" s="12">
        <v>0</v>
      </c>
      <c r="M328" s="12">
        <v>0</v>
      </c>
      <c r="N328" s="12">
        <v>10835.755768871966</v>
      </c>
      <c r="O328" s="70">
        <f>IF(Table1[[#This Row],[Overall amount]]=0,0,1)</f>
        <v>1</v>
      </c>
      <c r="P328" s="70">
        <f>Table1[[#This Row],[Overall amount]]*Exchange_Rate</f>
        <v>10835.755768871966</v>
      </c>
      <c r="Q328" s="70">
        <f>Table1[[#This Row],[Overall (destination currency)]]*(1+Claims_Inflation)^((Revalue_at_date-Table1[[#This Row],[Loss date]])/365.25)</f>
        <v>12000</v>
      </c>
      <c r="R328" s="70">
        <f>INT(Table1[[#This Row],[Reporting date]])-INT(Table1[[#This Row],[Loss date]])</f>
        <v>349</v>
      </c>
      <c r="S328" s="69" t="s">
        <v>16</v>
      </c>
      <c r="T328" s="70">
        <f>VLOOKUP(Table1[[#This Row],[Policy Year]],exposure_table,3,FALSE)</f>
        <v>1090.5865384615383</v>
      </c>
      <c r="U328" s="17">
        <f>IF(MONTH(Table1[[#This Row],[Reporting date]])&lt;Policy_Inception_Month,YEAR(Table1[[#This Row],[Reporting date]])-1,YEAR(Table1[[#This Row],[Reporting date]]))</f>
        <v>2014</v>
      </c>
      <c r="V328" s="17">
        <f>Table1[[#This Row],[Reporting year]]-Table1[[#This Row],[Policy Year]]</f>
        <v>1</v>
      </c>
      <c r="W328" s="17">
        <f>INT(Table1[[#This Row],[Reporting date]])-INT(Table1[[#This Row],[Loss date]])</f>
        <v>349</v>
      </c>
      <c r="X328" s="17">
        <f>INT((YEAR(Table1[[#This Row],[Loss date]])*12+MONTH(Table1[[#This Row],[Loss date]])-Earliest_Month)/4)</f>
        <v>25</v>
      </c>
      <c r="Y328" s="17">
        <f>INT((YEAR(Table1[[#This Row],[Reporting date]])*12+MONTH(Table1[[#This Row],[Reporting date]])-Earliest_Month)/4)</f>
        <v>28</v>
      </c>
      <c r="Z328" s="17">
        <f>Table1[[#This Row],[Reporting third]]-Table1[[#This Row],[Policy third]]</f>
        <v>3</v>
      </c>
      <c r="AA328" s="71">
        <f>IF(Table1[[#This Row],[Overall amount]]=0,"N/A",Table1[[#This Row],[Outstanding]]/Table1[[#This Row],[Overall amount]])</f>
        <v>1</v>
      </c>
      <c r="AB328" s="17">
        <f>IF(MONTH(Table1[[#This Row],[Loss date]])&lt;Pol_Inc_Month_Shifted,YEAR(Table1[[#This Row],[Loss date]])-1,YEAR(Table1[[#This Row],[Loss date]]))</f>
        <v>2012</v>
      </c>
      <c r="AC328" s="17">
        <f>IF(MONTH(Table1[[#This Row],[Reporting date]])&lt;Pol_Inc_Month_Shifted,YEAR(Table1[[#This Row],[Reporting date]])-1,YEAR(Table1[[#This Row],[Reporting date]]))</f>
        <v>2013</v>
      </c>
      <c r="AD328" s="17">
        <f>Table1[[#This Row],[Reporting year (shifted)]]-Table1[[#This Row],[Policy Year (shifted)]]</f>
        <v>1</v>
      </c>
    </row>
    <row r="329" spans="1:30" ht="13.9">
      <c r="A329" s="8" t="s">
        <v>2099</v>
      </c>
      <c r="B329" s="8" t="s">
        <v>381</v>
      </c>
      <c r="C329" s="8" t="s">
        <v>123</v>
      </c>
      <c r="D329" s="9">
        <v>41660</v>
      </c>
      <c r="E329" s="9">
        <v>41869</v>
      </c>
      <c r="F329" s="17">
        <f>IF(MONTH(Table1[[#This Row],[Loss date]])&lt;Policy_Inception_Month,YEAR(Table1[[#This Row],[Loss date]])-1,YEAR(Table1[[#This Row],[Loss date]]))</f>
        <v>2013</v>
      </c>
      <c r="G329" s="10" t="s">
        <v>125</v>
      </c>
      <c r="H329" s="10" t="s">
        <v>2</v>
      </c>
      <c r="I329" s="11">
        <v>0</v>
      </c>
      <c r="J329" s="11">
        <v>1.104915652812462</v>
      </c>
      <c r="K329" s="11">
        <v>1.104915652812462</v>
      </c>
      <c r="L329" s="12">
        <v>0</v>
      </c>
      <c r="M329" s="12">
        <v>0</v>
      </c>
      <c r="N329" s="12">
        <v>1.104915652812462</v>
      </c>
      <c r="O329" s="70">
        <f>IF(Table1[[#This Row],[Overall amount]]=0,0,1)</f>
        <v>1</v>
      </c>
      <c r="P329" s="70">
        <f>Table1[[#This Row],[Overall amount]]*Exchange_Rate</f>
        <v>1.104915652812462</v>
      </c>
      <c r="Q329" s="70">
        <f>Table1[[#This Row],[Overall (destination currency)]]*(1+Claims_Inflation)^((Revalue_at_date-Table1[[#This Row],[Loss date]])/365.25)</f>
        <v>1.2</v>
      </c>
      <c r="R329" s="70">
        <f>INT(Table1[[#This Row],[Reporting date]])-INT(Table1[[#This Row],[Loss date]])</f>
        <v>209</v>
      </c>
      <c r="S329" s="69" t="s">
        <v>16</v>
      </c>
      <c r="T329" s="70">
        <f>VLOOKUP(Table1[[#This Row],[Policy Year]],exposure_table,3,FALSE)</f>
        <v>1090.5865384615383</v>
      </c>
      <c r="U329" s="17">
        <f>IF(MONTH(Table1[[#This Row],[Reporting date]])&lt;Policy_Inception_Month,YEAR(Table1[[#This Row],[Reporting date]])-1,YEAR(Table1[[#This Row],[Reporting date]]))</f>
        <v>2014</v>
      </c>
      <c r="V329" s="17">
        <f>Table1[[#This Row],[Reporting year]]-Table1[[#This Row],[Policy Year]]</f>
        <v>1</v>
      </c>
      <c r="W329" s="17">
        <f>INT(Table1[[#This Row],[Reporting date]])-INT(Table1[[#This Row],[Loss date]])</f>
        <v>209</v>
      </c>
      <c r="X329" s="17">
        <f>INT((YEAR(Table1[[#This Row],[Loss date]])*12+MONTH(Table1[[#This Row],[Loss date]])-Earliest_Month)/4)</f>
        <v>26</v>
      </c>
      <c r="Y329" s="17">
        <f>INT((YEAR(Table1[[#This Row],[Reporting date]])*12+MONTH(Table1[[#This Row],[Reporting date]])-Earliest_Month)/4)</f>
        <v>28</v>
      </c>
      <c r="Z329" s="17">
        <f>Table1[[#This Row],[Reporting third]]-Table1[[#This Row],[Policy third]]</f>
        <v>2</v>
      </c>
      <c r="AA329" s="71">
        <f>IF(Table1[[#This Row],[Overall amount]]=0,"N/A",Table1[[#This Row],[Outstanding]]/Table1[[#This Row],[Overall amount]])</f>
        <v>1</v>
      </c>
      <c r="AB329" s="17">
        <f>IF(MONTH(Table1[[#This Row],[Loss date]])&lt;Pol_Inc_Month_Shifted,YEAR(Table1[[#This Row],[Loss date]])-1,YEAR(Table1[[#This Row],[Loss date]]))</f>
        <v>2013</v>
      </c>
      <c r="AC329" s="17">
        <f>IF(MONTH(Table1[[#This Row],[Reporting date]])&lt;Pol_Inc_Month_Shifted,YEAR(Table1[[#This Row],[Reporting date]])-1,YEAR(Table1[[#This Row],[Reporting date]]))</f>
        <v>2013</v>
      </c>
      <c r="AD329" s="17">
        <f>Table1[[#This Row],[Reporting year (shifted)]]-Table1[[#This Row],[Policy Year (shifted)]]</f>
        <v>0</v>
      </c>
    </row>
    <row r="330" spans="1:30" ht="13.9">
      <c r="A330" s="8" t="s">
        <v>2100</v>
      </c>
      <c r="B330" s="8" t="s">
        <v>382</v>
      </c>
      <c r="C330" s="8" t="s">
        <v>123</v>
      </c>
      <c r="D330" s="9">
        <v>41630</v>
      </c>
      <c r="E330" s="9">
        <v>41859</v>
      </c>
      <c r="F330" s="17">
        <f>IF(MONTH(Table1[[#This Row],[Loss date]])&lt;Policy_Inception_Month,YEAR(Table1[[#This Row],[Loss date]])-1,YEAR(Table1[[#This Row],[Loss date]]))</f>
        <v>2013</v>
      </c>
      <c r="G330" s="10" t="s">
        <v>125</v>
      </c>
      <c r="H330" s="10" t="s">
        <v>2</v>
      </c>
      <c r="I330" s="11">
        <v>0</v>
      </c>
      <c r="J330" s="11">
        <v>23990.827357924649</v>
      </c>
      <c r="K330" s="11">
        <v>23990.827357924649</v>
      </c>
      <c r="L330" s="12">
        <v>0</v>
      </c>
      <c r="M330" s="12">
        <v>0</v>
      </c>
      <c r="N330" s="12">
        <v>23990.827357924649</v>
      </c>
      <c r="O330" s="70">
        <f>IF(Table1[[#This Row],[Overall amount]]=0,0,1)</f>
        <v>1</v>
      </c>
      <c r="P330" s="70">
        <f>Table1[[#This Row],[Overall amount]]*Exchange_Rate</f>
        <v>23990.827357924649</v>
      </c>
      <c r="Q330" s="70">
        <f>Table1[[#This Row],[Overall (destination currency)]]*(1+Claims_Inflation)^((Revalue_at_date-Table1[[#This Row],[Loss date]])/365.25)</f>
        <v>26160.000000000004</v>
      </c>
      <c r="R330" s="70">
        <f>INT(Table1[[#This Row],[Reporting date]])-INT(Table1[[#This Row],[Loss date]])</f>
        <v>229</v>
      </c>
      <c r="S330" s="69" t="s">
        <v>16</v>
      </c>
      <c r="T330" s="70">
        <f>VLOOKUP(Table1[[#This Row],[Policy Year]],exposure_table,3,FALSE)</f>
        <v>1090.5865384615383</v>
      </c>
      <c r="U330" s="17">
        <f>IF(MONTH(Table1[[#This Row],[Reporting date]])&lt;Policy_Inception_Month,YEAR(Table1[[#This Row],[Reporting date]])-1,YEAR(Table1[[#This Row],[Reporting date]]))</f>
        <v>2014</v>
      </c>
      <c r="V330" s="17">
        <f>Table1[[#This Row],[Reporting year]]-Table1[[#This Row],[Policy Year]]</f>
        <v>1</v>
      </c>
      <c r="W330" s="17">
        <f>INT(Table1[[#This Row],[Reporting date]])-INT(Table1[[#This Row],[Loss date]])</f>
        <v>229</v>
      </c>
      <c r="X330" s="17">
        <f>INT((YEAR(Table1[[#This Row],[Loss date]])*12+MONTH(Table1[[#This Row],[Loss date]])-Earliest_Month)/4)</f>
        <v>26</v>
      </c>
      <c r="Y330" s="17">
        <f>INT((YEAR(Table1[[#This Row],[Reporting date]])*12+MONTH(Table1[[#This Row],[Reporting date]])-Earliest_Month)/4)</f>
        <v>28</v>
      </c>
      <c r="Z330" s="17">
        <f>Table1[[#This Row],[Reporting third]]-Table1[[#This Row],[Policy third]]</f>
        <v>2</v>
      </c>
      <c r="AA330" s="71">
        <f>IF(Table1[[#This Row],[Overall amount]]=0,"N/A",Table1[[#This Row],[Outstanding]]/Table1[[#This Row],[Overall amount]])</f>
        <v>1</v>
      </c>
      <c r="AB330" s="17">
        <f>IF(MONTH(Table1[[#This Row],[Loss date]])&lt;Pol_Inc_Month_Shifted,YEAR(Table1[[#This Row],[Loss date]])-1,YEAR(Table1[[#This Row],[Loss date]]))</f>
        <v>2013</v>
      </c>
      <c r="AC330" s="17">
        <f>IF(MONTH(Table1[[#This Row],[Reporting date]])&lt;Pol_Inc_Month_Shifted,YEAR(Table1[[#This Row],[Reporting date]])-1,YEAR(Table1[[#This Row],[Reporting date]]))</f>
        <v>2013</v>
      </c>
      <c r="AD330" s="17">
        <f>Table1[[#This Row],[Reporting year (shifted)]]-Table1[[#This Row],[Policy Year (shifted)]]</f>
        <v>0</v>
      </c>
    </row>
    <row r="331" spans="1:30" ht="13.9">
      <c r="A331" s="8" t="s">
        <v>2101</v>
      </c>
      <c r="B331" s="8" t="s">
        <v>383</v>
      </c>
      <c r="C331" s="8" t="s">
        <v>123</v>
      </c>
      <c r="D331" s="9">
        <v>41524</v>
      </c>
      <c r="E331" s="9">
        <v>41542</v>
      </c>
      <c r="F331" s="17">
        <f>IF(MONTH(Table1[[#This Row],[Loss date]])&lt;Policy_Inception_Month,YEAR(Table1[[#This Row],[Loss date]])-1,YEAR(Table1[[#This Row],[Loss date]]))</f>
        <v>2013</v>
      </c>
      <c r="G331" s="10" t="s">
        <v>125</v>
      </c>
      <c r="H331" s="10" t="s">
        <v>2</v>
      </c>
      <c r="I331" s="11">
        <v>0</v>
      </c>
      <c r="J331" s="11">
        <v>1.0850239863735232</v>
      </c>
      <c r="K331" s="11">
        <v>1.0850239863735232</v>
      </c>
      <c r="L331" s="12">
        <v>0</v>
      </c>
      <c r="M331" s="12">
        <v>0</v>
      </c>
      <c r="N331" s="12">
        <v>1.0850239863735232</v>
      </c>
      <c r="O331" s="70">
        <f>IF(Table1[[#This Row],[Overall amount]]=0,0,1)</f>
        <v>1</v>
      </c>
      <c r="P331" s="70">
        <f>Table1[[#This Row],[Overall amount]]*Exchange_Rate</f>
        <v>1.0850239863735232</v>
      </c>
      <c r="Q331" s="70">
        <f>Table1[[#This Row],[Overall (destination currency)]]*(1+Claims_Inflation)^((Revalue_at_date-Table1[[#This Row],[Loss date]])/365.25)</f>
        <v>1.2</v>
      </c>
      <c r="R331" s="70">
        <f>INT(Table1[[#This Row],[Reporting date]])-INT(Table1[[#This Row],[Loss date]])</f>
        <v>18</v>
      </c>
      <c r="S331" s="69" t="s">
        <v>16</v>
      </c>
      <c r="T331" s="70">
        <f>VLOOKUP(Table1[[#This Row],[Policy Year]],exposure_table,3,FALSE)</f>
        <v>1090.5865384615383</v>
      </c>
      <c r="U331" s="17">
        <f>IF(MONTH(Table1[[#This Row],[Reporting date]])&lt;Policy_Inception_Month,YEAR(Table1[[#This Row],[Reporting date]])-1,YEAR(Table1[[#This Row],[Reporting date]]))</f>
        <v>2013</v>
      </c>
      <c r="V331" s="17">
        <f>Table1[[#This Row],[Reporting year]]-Table1[[#This Row],[Policy Year]]</f>
        <v>0</v>
      </c>
      <c r="W331" s="17">
        <f>INT(Table1[[#This Row],[Reporting date]])-INT(Table1[[#This Row],[Loss date]])</f>
        <v>18</v>
      </c>
      <c r="X331" s="17">
        <f>INT((YEAR(Table1[[#This Row],[Loss date]])*12+MONTH(Table1[[#This Row],[Loss date]])-Earliest_Month)/4)</f>
        <v>25</v>
      </c>
      <c r="Y331" s="17">
        <f>INT((YEAR(Table1[[#This Row],[Reporting date]])*12+MONTH(Table1[[#This Row],[Reporting date]])-Earliest_Month)/4)</f>
        <v>25</v>
      </c>
      <c r="Z331" s="17">
        <f>Table1[[#This Row],[Reporting third]]-Table1[[#This Row],[Policy third]]</f>
        <v>0</v>
      </c>
      <c r="AA331" s="71">
        <f>IF(Table1[[#This Row],[Overall amount]]=0,"N/A",Table1[[#This Row],[Outstanding]]/Table1[[#This Row],[Overall amount]])</f>
        <v>1</v>
      </c>
      <c r="AB331" s="17">
        <f>IF(MONTH(Table1[[#This Row],[Loss date]])&lt;Pol_Inc_Month_Shifted,YEAR(Table1[[#This Row],[Loss date]])-1,YEAR(Table1[[#This Row],[Loss date]]))</f>
        <v>2012</v>
      </c>
      <c r="AC331" s="17">
        <f>IF(MONTH(Table1[[#This Row],[Reporting date]])&lt;Pol_Inc_Month_Shifted,YEAR(Table1[[#This Row],[Reporting date]])-1,YEAR(Table1[[#This Row],[Reporting date]]))</f>
        <v>2012</v>
      </c>
      <c r="AD331" s="17">
        <f>Table1[[#This Row],[Reporting year (shifted)]]-Table1[[#This Row],[Policy Year (shifted)]]</f>
        <v>0</v>
      </c>
    </row>
    <row r="332" spans="1:30" ht="13.9">
      <c r="A332" s="8" t="s">
        <v>2102</v>
      </c>
      <c r="B332" s="8" t="s">
        <v>384</v>
      </c>
      <c r="C332" s="8" t="s">
        <v>123</v>
      </c>
      <c r="D332" s="9">
        <v>41687</v>
      </c>
      <c r="E332" s="9">
        <v>41867</v>
      </c>
      <c r="F332" s="17">
        <f>IF(MONTH(Table1[[#This Row],[Loss date]])&lt;Policy_Inception_Month,YEAR(Table1[[#This Row],[Loss date]])-1,YEAR(Table1[[#This Row],[Loss date]]))</f>
        <v>2013</v>
      </c>
      <c r="G332" s="10" t="s">
        <v>131</v>
      </c>
      <c r="H332" s="10" t="s">
        <v>2</v>
      </c>
      <c r="I332" s="11">
        <v>0</v>
      </c>
      <c r="J332" s="11">
        <v>8316.8093144071663</v>
      </c>
      <c r="K332" s="11">
        <v>8316.8093144071663</v>
      </c>
      <c r="L332" s="12">
        <v>0</v>
      </c>
      <c r="M332" s="12">
        <v>622.76268146280859</v>
      </c>
      <c r="N332" s="12">
        <v>7694.046632944358</v>
      </c>
      <c r="O332" s="70">
        <f>IF(Table1[[#This Row],[Overall amount]]=0,0,1)</f>
        <v>1</v>
      </c>
      <c r="P332" s="70">
        <f>Table1[[#This Row],[Overall amount]]*Exchange_Rate</f>
        <v>7694.046632944358</v>
      </c>
      <c r="Q332" s="70">
        <f>Table1[[#This Row],[Overall (destination currency)]]*(1+Claims_Inflation)^((Revalue_at_date-Table1[[#This Row],[Loss date]])/365.25)</f>
        <v>8326.08</v>
      </c>
      <c r="R332" s="70">
        <f>INT(Table1[[#This Row],[Reporting date]])-INT(Table1[[#This Row],[Loss date]])</f>
        <v>180</v>
      </c>
      <c r="S332" s="69" t="s">
        <v>16</v>
      </c>
      <c r="T332" s="70">
        <f>VLOOKUP(Table1[[#This Row],[Policy Year]],exposure_table,3,FALSE)</f>
        <v>1090.5865384615383</v>
      </c>
      <c r="U332" s="17">
        <f>IF(MONTH(Table1[[#This Row],[Reporting date]])&lt;Policy_Inception_Month,YEAR(Table1[[#This Row],[Reporting date]])-1,YEAR(Table1[[#This Row],[Reporting date]]))</f>
        <v>2014</v>
      </c>
      <c r="V332" s="17">
        <f>Table1[[#This Row],[Reporting year]]-Table1[[#This Row],[Policy Year]]</f>
        <v>1</v>
      </c>
      <c r="W332" s="17">
        <f>INT(Table1[[#This Row],[Reporting date]])-INT(Table1[[#This Row],[Loss date]])</f>
        <v>180</v>
      </c>
      <c r="X332" s="17">
        <f>INT((YEAR(Table1[[#This Row],[Loss date]])*12+MONTH(Table1[[#This Row],[Loss date]])-Earliest_Month)/4)</f>
        <v>26</v>
      </c>
      <c r="Y332" s="17">
        <f>INT((YEAR(Table1[[#This Row],[Reporting date]])*12+MONTH(Table1[[#This Row],[Reporting date]])-Earliest_Month)/4)</f>
        <v>28</v>
      </c>
      <c r="Z332" s="17">
        <f>Table1[[#This Row],[Reporting third]]-Table1[[#This Row],[Policy third]]</f>
        <v>2</v>
      </c>
      <c r="AA332" s="71">
        <f>IF(Table1[[#This Row],[Overall amount]]=0,"N/A",Table1[[#This Row],[Outstanding]]/Table1[[#This Row],[Overall amount]])</f>
        <v>1.0809408509166378</v>
      </c>
      <c r="AB332" s="17">
        <f>IF(MONTH(Table1[[#This Row],[Loss date]])&lt;Pol_Inc_Month_Shifted,YEAR(Table1[[#This Row],[Loss date]])-1,YEAR(Table1[[#This Row],[Loss date]]))</f>
        <v>2013</v>
      </c>
      <c r="AC332" s="17">
        <f>IF(MONTH(Table1[[#This Row],[Reporting date]])&lt;Pol_Inc_Month_Shifted,YEAR(Table1[[#This Row],[Reporting date]])-1,YEAR(Table1[[#This Row],[Reporting date]]))</f>
        <v>2013</v>
      </c>
      <c r="AD332" s="17">
        <f>Table1[[#This Row],[Reporting year (shifted)]]-Table1[[#This Row],[Policy Year (shifted)]]</f>
        <v>0</v>
      </c>
    </row>
    <row r="333" spans="1:30" ht="13.9">
      <c r="A333" s="8" t="s">
        <v>2103</v>
      </c>
      <c r="B333" s="8" t="s">
        <v>385</v>
      </c>
      <c r="C333" s="8" t="s">
        <v>123</v>
      </c>
      <c r="D333" s="9">
        <v>41192</v>
      </c>
      <c r="E333" s="9">
        <v>41852</v>
      </c>
      <c r="F333" s="17">
        <f>IF(MONTH(Table1[[#This Row],[Loss date]])&lt;Policy_Inception_Month,YEAR(Table1[[#This Row],[Loss date]])-1,YEAR(Table1[[#This Row],[Loss date]]))</f>
        <v>2012</v>
      </c>
      <c r="G333" s="10" t="s">
        <v>125</v>
      </c>
      <c r="H333" s="10" t="s">
        <v>2</v>
      </c>
      <c r="I333" s="11">
        <v>0</v>
      </c>
      <c r="J333" s="11">
        <v>24759.404318016139</v>
      </c>
      <c r="K333" s="11">
        <v>24759.404318016139</v>
      </c>
      <c r="L333" s="12">
        <v>0</v>
      </c>
      <c r="M333" s="12">
        <v>0</v>
      </c>
      <c r="N333" s="12">
        <v>24759.404318016139</v>
      </c>
      <c r="O333" s="70">
        <f>IF(Table1[[#This Row],[Overall amount]]=0,0,1)</f>
        <v>1</v>
      </c>
      <c r="P333" s="70">
        <f>Table1[[#This Row],[Overall amount]]*Exchange_Rate</f>
        <v>24759.404318016139</v>
      </c>
      <c r="Q333" s="70">
        <f>Table1[[#This Row],[Overall (destination currency)]]*(1+Claims_Inflation)^((Revalue_at_date-Table1[[#This Row],[Loss date]])/365.25)</f>
        <v>28624.800000000003</v>
      </c>
      <c r="R333" s="70">
        <f>INT(Table1[[#This Row],[Reporting date]])-INT(Table1[[#This Row],[Loss date]])</f>
        <v>660</v>
      </c>
      <c r="S333" s="69" t="s">
        <v>16</v>
      </c>
      <c r="T333" s="70">
        <f>VLOOKUP(Table1[[#This Row],[Policy Year]],exposure_table,3,FALSE)</f>
        <v>1057.54</v>
      </c>
      <c r="U333" s="17">
        <f>IF(MONTH(Table1[[#This Row],[Reporting date]])&lt;Policy_Inception_Month,YEAR(Table1[[#This Row],[Reporting date]])-1,YEAR(Table1[[#This Row],[Reporting date]]))</f>
        <v>2014</v>
      </c>
      <c r="V333" s="17">
        <f>Table1[[#This Row],[Reporting year]]-Table1[[#This Row],[Policy Year]]</f>
        <v>2</v>
      </c>
      <c r="W333" s="17">
        <f>INT(Table1[[#This Row],[Reporting date]])-INT(Table1[[#This Row],[Loss date]])</f>
        <v>660</v>
      </c>
      <c r="X333" s="17">
        <f>INT((YEAR(Table1[[#This Row],[Loss date]])*12+MONTH(Table1[[#This Row],[Loss date]])-Earliest_Month)/4)</f>
        <v>22</v>
      </c>
      <c r="Y333" s="17">
        <f>INT((YEAR(Table1[[#This Row],[Reporting date]])*12+MONTH(Table1[[#This Row],[Reporting date]])-Earliest_Month)/4)</f>
        <v>28</v>
      </c>
      <c r="Z333" s="17">
        <f>Table1[[#This Row],[Reporting third]]-Table1[[#This Row],[Policy third]]</f>
        <v>6</v>
      </c>
      <c r="AA333" s="71">
        <f>IF(Table1[[#This Row],[Overall amount]]=0,"N/A",Table1[[#This Row],[Outstanding]]/Table1[[#This Row],[Overall amount]])</f>
        <v>1</v>
      </c>
      <c r="AB333" s="17">
        <f>IF(MONTH(Table1[[#This Row],[Loss date]])&lt;Pol_Inc_Month_Shifted,YEAR(Table1[[#This Row],[Loss date]])-1,YEAR(Table1[[#This Row],[Loss date]]))</f>
        <v>2011</v>
      </c>
      <c r="AC333" s="17">
        <f>IF(MONTH(Table1[[#This Row],[Reporting date]])&lt;Pol_Inc_Month_Shifted,YEAR(Table1[[#This Row],[Reporting date]])-1,YEAR(Table1[[#This Row],[Reporting date]]))</f>
        <v>2013</v>
      </c>
      <c r="AD333" s="17">
        <f>Table1[[#This Row],[Reporting year (shifted)]]-Table1[[#This Row],[Policy Year (shifted)]]</f>
        <v>2</v>
      </c>
    </row>
    <row r="334" spans="1:30" ht="13.9">
      <c r="A334" s="8" t="s">
        <v>2104</v>
      </c>
      <c r="B334" s="8" t="s">
        <v>386</v>
      </c>
      <c r="C334" s="8" t="s">
        <v>123</v>
      </c>
      <c r="D334" s="9">
        <v>41797</v>
      </c>
      <c r="E334" s="9">
        <v>41859</v>
      </c>
      <c r="F334" s="17">
        <f>IF(MONTH(Table1[[#This Row],[Loss date]])&lt;Policy_Inception_Month,YEAR(Table1[[#This Row],[Loss date]])-1,YEAR(Table1[[#This Row],[Loss date]]))</f>
        <v>2014</v>
      </c>
      <c r="G334" s="10" t="s">
        <v>125</v>
      </c>
      <c r="H334" s="10" t="s">
        <v>2</v>
      </c>
      <c r="I334" s="11">
        <v>0</v>
      </c>
      <c r="J334" s="11">
        <v>14404.125471532534</v>
      </c>
      <c r="K334" s="11">
        <v>14404.125471532534</v>
      </c>
      <c r="L334" s="12">
        <v>0</v>
      </c>
      <c r="M334" s="12">
        <v>0</v>
      </c>
      <c r="N334" s="12">
        <v>14404.125471532534</v>
      </c>
      <c r="O334" s="70">
        <f>IF(Table1[[#This Row],[Overall amount]]=0,0,1)</f>
        <v>1</v>
      </c>
      <c r="P334" s="70">
        <f>Table1[[#This Row],[Overall amount]]*Exchange_Rate</f>
        <v>14404.125471532534</v>
      </c>
      <c r="Q334" s="70">
        <f>Table1[[#This Row],[Overall (destination currency)]]*(1+Claims_Inflation)^((Revalue_at_date-Table1[[#This Row],[Loss date]])/365.25)</f>
        <v>15360.000000000005</v>
      </c>
      <c r="R334" s="70">
        <f>INT(Table1[[#This Row],[Reporting date]])-INT(Table1[[#This Row],[Loss date]])</f>
        <v>62</v>
      </c>
      <c r="S334" s="69" t="s">
        <v>16</v>
      </c>
      <c r="T334" s="70">
        <f>VLOOKUP(Table1[[#This Row],[Policy Year]],exposure_table,3,FALSE)</f>
        <v>1076.5070266272189</v>
      </c>
      <c r="U334" s="17">
        <f>IF(MONTH(Table1[[#This Row],[Reporting date]])&lt;Policy_Inception_Month,YEAR(Table1[[#This Row],[Reporting date]])-1,YEAR(Table1[[#This Row],[Reporting date]]))</f>
        <v>2014</v>
      </c>
      <c r="V334" s="17">
        <f>Table1[[#This Row],[Reporting year]]-Table1[[#This Row],[Policy Year]]</f>
        <v>0</v>
      </c>
      <c r="W334" s="17">
        <f>INT(Table1[[#This Row],[Reporting date]])-INT(Table1[[#This Row],[Loss date]])</f>
        <v>62</v>
      </c>
      <c r="X334" s="17">
        <f>INT((YEAR(Table1[[#This Row],[Loss date]])*12+MONTH(Table1[[#This Row],[Loss date]])-Earliest_Month)/4)</f>
        <v>27</v>
      </c>
      <c r="Y334" s="17">
        <f>INT((YEAR(Table1[[#This Row],[Reporting date]])*12+MONTH(Table1[[#This Row],[Reporting date]])-Earliest_Month)/4)</f>
        <v>28</v>
      </c>
      <c r="Z334" s="17">
        <f>Table1[[#This Row],[Reporting third]]-Table1[[#This Row],[Policy third]]</f>
        <v>1</v>
      </c>
      <c r="AA334" s="71">
        <f>IF(Table1[[#This Row],[Overall amount]]=0,"N/A",Table1[[#This Row],[Outstanding]]/Table1[[#This Row],[Overall amount]])</f>
        <v>1</v>
      </c>
      <c r="AB334" s="17">
        <f>IF(MONTH(Table1[[#This Row],[Loss date]])&lt;Pol_Inc_Month_Shifted,YEAR(Table1[[#This Row],[Loss date]])-1,YEAR(Table1[[#This Row],[Loss date]]))</f>
        <v>2013</v>
      </c>
      <c r="AC334" s="17">
        <f>IF(MONTH(Table1[[#This Row],[Reporting date]])&lt;Pol_Inc_Month_Shifted,YEAR(Table1[[#This Row],[Reporting date]])-1,YEAR(Table1[[#This Row],[Reporting date]]))</f>
        <v>2013</v>
      </c>
      <c r="AD334" s="17">
        <f>Table1[[#This Row],[Reporting year (shifted)]]-Table1[[#This Row],[Policy Year (shifted)]]</f>
        <v>0</v>
      </c>
    </row>
    <row r="335" spans="1:30" ht="13.9">
      <c r="A335" s="8" t="s">
        <v>2105</v>
      </c>
      <c r="B335" s="8" t="s">
        <v>387</v>
      </c>
      <c r="C335" s="8" t="s">
        <v>123</v>
      </c>
      <c r="D335" s="9">
        <v>41713</v>
      </c>
      <c r="E335" s="9">
        <v>41859</v>
      </c>
      <c r="F335" s="17">
        <f>IF(MONTH(Table1[[#This Row],[Loss date]])&lt;Policy_Inception_Month,YEAR(Table1[[#This Row],[Loss date]])-1,YEAR(Table1[[#This Row],[Loss date]]))</f>
        <v>2013</v>
      </c>
      <c r="G335" s="10" t="s">
        <v>125</v>
      </c>
      <c r="H335" s="10" t="s">
        <v>2</v>
      </c>
      <c r="I335" s="11">
        <v>0</v>
      </c>
      <c r="J335" s="11">
        <v>13130.638040983633</v>
      </c>
      <c r="K335" s="11">
        <v>13130.638040983633</v>
      </c>
      <c r="L335" s="12">
        <v>0</v>
      </c>
      <c r="M335" s="12">
        <v>242.36042079035892</v>
      </c>
      <c r="N335" s="12">
        <v>12888.277620193274</v>
      </c>
      <c r="O335" s="70">
        <f>IF(Table1[[#This Row],[Overall amount]]=0,0,1)</f>
        <v>1</v>
      </c>
      <c r="P335" s="70">
        <f>Table1[[#This Row],[Overall amount]]*Exchange_Rate</f>
        <v>12888.277620193274</v>
      </c>
      <c r="Q335" s="70">
        <f>Table1[[#This Row],[Overall (destination currency)]]*(1+Claims_Inflation)^((Revalue_at_date-Table1[[#This Row],[Loss date]])/365.25)</f>
        <v>13898.640000000001</v>
      </c>
      <c r="R335" s="70">
        <f>INT(Table1[[#This Row],[Reporting date]])-INT(Table1[[#This Row],[Loss date]])</f>
        <v>146</v>
      </c>
      <c r="S335" s="69" t="s">
        <v>16</v>
      </c>
      <c r="T335" s="70">
        <f>VLOOKUP(Table1[[#This Row],[Policy Year]],exposure_table,3,FALSE)</f>
        <v>1090.5865384615383</v>
      </c>
      <c r="U335" s="17">
        <f>IF(MONTH(Table1[[#This Row],[Reporting date]])&lt;Policy_Inception_Month,YEAR(Table1[[#This Row],[Reporting date]])-1,YEAR(Table1[[#This Row],[Reporting date]]))</f>
        <v>2014</v>
      </c>
      <c r="V335" s="17">
        <f>Table1[[#This Row],[Reporting year]]-Table1[[#This Row],[Policy Year]]</f>
        <v>1</v>
      </c>
      <c r="W335" s="17">
        <f>INT(Table1[[#This Row],[Reporting date]])-INT(Table1[[#This Row],[Loss date]])</f>
        <v>146</v>
      </c>
      <c r="X335" s="17">
        <f>INT((YEAR(Table1[[#This Row],[Loss date]])*12+MONTH(Table1[[#This Row],[Loss date]])-Earliest_Month)/4)</f>
        <v>26</v>
      </c>
      <c r="Y335" s="17">
        <f>INT((YEAR(Table1[[#This Row],[Reporting date]])*12+MONTH(Table1[[#This Row],[Reporting date]])-Earliest_Month)/4)</f>
        <v>28</v>
      </c>
      <c r="Z335" s="17">
        <f>Table1[[#This Row],[Reporting third]]-Table1[[#This Row],[Policy third]]</f>
        <v>2</v>
      </c>
      <c r="AA335" s="71">
        <f>IF(Table1[[#This Row],[Overall amount]]=0,"N/A",Table1[[#This Row],[Outstanding]]/Table1[[#This Row],[Overall amount]])</f>
        <v>1.0188047175838788</v>
      </c>
      <c r="AB335" s="17">
        <f>IF(MONTH(Table1[[#This Row],[Loss date]])&lt;Pol_Inc_Month_Shifted,YEAR(Table1[[#This Row],[Loss date]])-1,YEAR(Table1[[#This Row],[Loss date]]))</f>
        <v>2013</v>
      </c>
      <c r="AC335" s="17">
        <f>IF(MONTH(Table1[[#This Row],[Reporting date]])&lt;Pol_Inc_Month_Shifted,YEAR(Table1[[#This Row],[Reporting date]])-1,YEAR(Table1[[#This Row],[Reporting date]]))</f>
        <v>2013</v>
      </c>
      <c r="AD335" s="17">
        <f>Table1[[#This Row],[Reporting year (shifted)]]-Table1[[#This Row],[Policy Year (shifted)]]</f>
        <v>0</v>
      </c>
    </row>
    <row r="336" spans="1:30" ht="13.9">
      <c r="A336" s="8" t="s">
        <v>2106</v>
      </c>
      <c r="B336" s="8" t="s">
        <v>388</v>
      </c>
      <c r="C336" s="8" t="s">
        <v>123</v>
      </c>
      <c r="D336" s="9">
        <v>41731</v>
      </c>
      <c r="E336" s="9">
        <v>41859</v>
      </c>
      <c r="F336" s="17">
        <f>IF(MONTH(Table1[[#This Row],[Loss date]])&lt;Policy_Inception_Month,YEAR(Table1[[#This Row],[Loss date]])-1,YEAR(Table1[[#This Row],[Loss date]]))</f>
        <v>2014</v>
      </c>
      <c r="G336" s="10" t="s">
        <v>125</v>
      </c>
      <c r="H336" s="10" t="s">
        <v>2</v>
      </c>
      <c r="I336" s="11">
        <v>0</v>
      </c>
      <c r="J336" s="11">
        <v>13162.247903908406</v>
      </c>
      <c r="K336" s="11">
        <v>13162.247903908406</v>
      </c>
      <c r="L336" s="12">
        <v>0</v>
      </c>
      <c r="M336" s="12">
        <v>0</v>
      </c>
      <c r="N336" s="12">
        <v>13162.247903908406</v>
      </c>
      <c r="O336" s="70">
        <f>IF(Table1[[#This Row],[Overall amount]]=0,0,1)</f>
        <v>1</v>
      </c>
      <c r="P336" s="70">
        <f>Table1[[#This Row],[Overall amount]]*Exchange_Rate</f>
        <v>13162.247903908406</v>
      </c>
      <c r="Q336" s="70">
        <f>Table1[[#This Row],[Overall (destination currency)]]*(1+Claims_Inflation)^((Revalue_at_date-Table1[[#This Row],[Loss date]])/365.25)</f>
        <v>14160</v>
      </c>
      <c r="R336" s="70">
        <f>INT(Table1[[#This Row],[Reporting date]])-INT(Table1[[#This Row],[Loss date]])</f>
        <v>128</v>
      </c>
      <c r="S336" s="69" t="s">
        <v>16</v>
      </c>
      <c r="T336" s="70">
        <f>VLOOKUP(Table1[[#This Row],[Policy Year]],exposure_table,3,FALSE)</f>
        <v>1076.5070266272189</v>
      </c>
      <c r="U336" s="17">
        <f>IF(MONTH(Table1[[#This Row],[Reporting date]])&lt;Policy_Inception_Month,YEAR(Table1[[#This Row],[Reporting date]])-1,YEAR(Table1[[#This Row],[Reporting date]]))</f>
        <v>2014</v>
      </c>
      <c r="V336" s="17">
        <f>Table1[[#This Row],[Reporting year]]-Table1[[#This Row],[Policy Year]]</f>
        <v>0</v>
      </c>
      <c r="W336" s="17">
        <f>INT(Table1[[#This Row],[Reporting date]])-INT(Table1[[#This Row],[Loss date]])</f>
        <v>128</v>
      </c>
      <c r="X336" s="17">
        <f>INT((YEAR(Table1[[#This Row],[Loss date]])*12+MONTH(Table1[[#This Row],[Loss date]])-Earliest_Month)/4)</f>
        <v>27</v>
      </c>
      <c r="Y336" s="17">
        <f>INT((YEAR(Table1[[#This Row],[Reporting date]])*12+MONTH(Table1[[#This Row],[Reporting date]])-Earliest_Month)/4)</f>
        <v>28</v>
      </c>
      <c r="Z336" s="17">
        <f>Table1[[#This Row],[Reporting third]]-Table1[[#This Row],[Policy third]]</f>
        <v>1</v>
      </c>
      <c r="AA336" s="71">
        <f>IF(Table1[[#This Row],[Overall amount]]=0,"N/A",Table1[[#This Row],[Outstanding]]/Table1[[#This Row],[Overall amount]])</f>
        <v>1</v>
      </c>
      <c r="AB336" s="17">
        <f>IF(MONTH(Table1[[#This Row],[Loss date]])&lt;Pol_Inc_Month_Shifted,YEAR(Table1[[#This Row],[Loss date]])-1,YEAR(Table1[[#This Row],[Loss date]]))</f>
        <v>2013</v>
      </c>
      <c r="AC336" s="17">
        <f>IF(MONTH(Table1[[#This Row],[Reporting date]])&lt;Pol_Inc_Month_Shifted,YEAR(Table1[[#This Row],[Reporting date]])-1,YEAR(Table1[[#This Row],[Reporting date]]))</f>
        <v>2013</v>
      </c>
      <c r="AD336" s="17">
        <f>Table1[[#This Row],[Reporting year (shifted)]]-Table1[[#This Row],[Policy Year (shifted)]]</f>
        <v>0</v>
      </c>
    </row>
    <row r="337" spans="1:30" ht="13.9">
      <c r="A337" s="8" t="s">
        <v>2107</v>
      </c>
      <c r="B337" s="8" t="s">
        <v>389</v>
      </c>
      <c r="C337" s="8" t="s">
        <v>123</v>
      </c>
      <c r="D337" s="9">
        <v>41504</v>
      </c>
      <c r="E337" s="9">
        <v>41861</v>
      </c>
      <c r="F337" s="17">
        <f>IF(MONTH(Table1[[#This Row],[Loss date]])&lt;Policy_Inception_Month,YEAR(Table1[[#This Row],[Loss date]])-1,YEAR(Table1[[#This Row],[Loss date]]))</f>
        <v>2013</v>
      </c>
      <c r="G337" s="10" t="s">
        <v>125</v>
      </c>
      <c r="H337" s="10" t="s">
        <v>2</v>
      </c>
      <c r="I337" s="11">
        <v>0</v>
      </c>
      <c r="J337" s="11">
        <v>12769.123390588535</v>
      </c>
      <c r="K337" s="11">
        <v>12769.123390588535</v>
      </c>
      <c r="L337" s="12">
        <v>0</v>
      </c>
      <c r="M337" s="12">
        <v>0</v>
      </c>
      <c r="N337" s="12">
        <v>12769.123390588535</v>
      </c>
      <c r="O337" s="70">
        <f>IF(Table1[[#This Row],[Overall amount]]=0,0,1)</f>
        <v>1</v>
      </c>
      <c r="P337" s="70">
        <f>Table1[[#This Row],[Overall amount]]*Exchange_Rate</f>
        <v>12769.123390588535</v>
      </c>
      <c r="Q337" s="70">
        <f>Table1[[#This Row],[Overall (destination currency)]]*(1+Claims_Inflation)^((Revalue_at_date-Table1[[#This Row],[Loss date]])/365.25)</f>
        <v>14160</v>
      </c>
      <c r="R337" s="70">
        <f>INT(Table1[[#This Row],[Reporting date]])-INT(Table1[[#This Row],[Loss date]])</f>
        <v>357</v>
      </c>
      <c r="S337" s="69" t="s">
        <v>16</v>
      </c>
      <c r="T337" s="70">
        <f>VLOOKUP(Table1[[#This Row],[Policy Year]],exposure_table,3,FALSE)</f>
        <v>1090.5865384615383</v>
      </c>
      <c r="U337" s="17">
        <f>IF(MONTH(Table1[[#This Row],[Reporting date]])&lt;Policy_Inception_Month,YEAR(Table1[[#This Row],[Reporting date]])-1,YEAR(Table1[[#This Row],[Reporting date]]))</f>
        <v>2014</v>
      </c>
      <c r="V337" s="17">
        <f>Table1[[#This Row],[Reporting year]]-Table1[[#This Row],[Policy Year]]</f>
        <v>1</v>
      </c>
      <c r="W337" s="17">
        <f>INT(Table1[[#This Row],[Reporting date]])-INT(Table1[[#This Row],[Loss date]])</f>
        <v>357</v>
      </c>
      <c r="X337" s="17">
        <f>INT((YEAR(Table1[[#This Row],[Loss date]])*12+MONTH(Table1[[#This Row],[Loss date]])-Earliest_Month)/4)</f>
        <v>25</v>
      </c>
      <c r="Y337" s="17">
        <f>INT((YEAR(Table1[[#This Row],[Reporting date]])*12+MONTH(Table1[[#This Row],[Reporting date]])-Earliest_Month)/4)</f>
        <v>28</v>
      </c>
      <c r="Z337" s="17">
        <f>Table1[[#This Row],[Reporting third]]-Table1[[#This Row],[Policy third]]</f>
        <v>3</v>
      </c>
      <c r="AA337" s="71">
        <f>IF(Table1[[#This Row],[Overall amount]]=0,"N/A",Table1[[#This Row],[Outstanding]]/Table1[[#This Row],[Overall amount]])</f>
        <v>1</v>
      </c>
      <c r="AB337" s="17">
        <f>IF(MONTH(Table1[[#This Row],[Loss date]])&lt;Pol_Inc_Month_Shifted,YEAR(Table1[[#This Row],[Loss date]])-1,YEAR(Table1[[#This Row],[Loss date]]))</f>
        <v>2012</v>
      </c>
      <c r="AC337" s="17">
        <f>IF(MONTH(Table1[[#This Row],[Reporting date]])&lt;Pol_Inc_Month_Shifted,YEAR(Table1[[#This Row],[Reporting date]])-1,YEAR(Table1[[#This Row],[Reporting date]]))</f>
        <v>2013</v>
      </c>
      <c r="AD337" s="17">
        <f>Table1[[#This Row],[Reporting year (shifted)]]-Table1[[#This Row],[Policy Year (shifted)]]</f>
        <v>1</v>
      </c>
    </row>
    <row r="338" spans="1:30" ht="13.9">
      <c r="A338" s="8" t="s">
        <v>2108</v>
      </c>
      <c r="B338" s="8" t="s">
        <v>390</v>
      </c>
      <c r="C338" s="8" t="s">
        <v>123</v>
      </c>
      <c r="D338" s="9">
        <v>41624</v>
      </c>
      <c r="E338" s="9">
        <v>41868</v>
      </c>
      <c r="F338" s="17">
        <f>IF(MONTH(Table1[[#This Row],[Loss date]])&lt;Policy_Inception_Month,YEAR(Table1[[#This Row],[Loss date]])-1,YEAR(Table1[[#This Row],[Loss date]]))</f>
        <v>2013</v>
      </c>
      <c r="G338" s="10" t="s">
        <v>125</v>
      </c>
      <c r="H338" s="10" t="s">
        <v>2</v>
      </c>
      <c r="I338" s="11">
        <v>0</v>
      </c>
      <c r="J338" s="11">
        <v>11106.111437831245</v>
      </c>
      <c r="K338" s="11">
        <v>11106.111437831245</v>
      </c>
      <c r="L338" s="12">
        <v>329.88449815340329</v>
      </c>
      <c r="M338" s="12">
        <v>0</v>
      </c>
      <c r="N338" s="12">
        <v>11435.995935984649</v>
      </c>
      <c r="O338" s="70">
        <f>IF(Table1[[#This Row],[Overall amount]]=0,0,1)</f>
        <v>1</v>
      </c>
      <c r="P338" s="70">
        <f>Table1[[#This Row],[Overall amount]]*Exchange_Rate</f>
        <v>11435.995935984649</v>
      </c>
      <c r="Q338" s="70">
        <f>Table1[[#This Row],[Overall (destination currency)]]*(1+Claims_Inflation)^((Revalue_at_date-Table1[[#This Row],[Loss date]])/365.25)</f>
        <v>12480.000000000002</v>
      </c>
      <c r="R338" s="70">
        <f>INT(Table1[[#This Row],[Reporting date]])-INT(Table1[[#This Row],[Loss date]])</f>
        <v>244</v>
      </c>
      <c r="S338" s="69" t="s">
        <v>16</v>
      </c>
      <c r="T338" s="70">
        <f>VLOOKUP(Table1[[#This Row],[Policy Year]],exposure_table,3,FALSE)</f>
        <v>1090.5865384615383</v>
      </c>
      <c r="U338" s="17">
        <f>IF(MONTH(Table1[[#This Row],[Reporting date]])&lt;Policy_Inception_Month,YEAR(Table1[[#This Row],[Reporting date]])-1,YEAR(Table1[[#This Row],[Reporting date]]))</f>
        <v>2014</v>
      </c>
      <c r="V338" s="17">
        <f>Table1[[#This Row],[Reporting year]]-Table1[[#This Row],[Policy Year]]</f>
        <v>1</v>
      </c>
      <c r="W338" s="17">
        <f>INT(Table1[[#This Row],[Reporting date]])-INT(Table1[[#This Row],[Loss date]])</f>
        <v>244</v>
      </c>
      <c r="X338" s="17">
        <f>INT((YEAR(Table1[[#This Row],[Loss date]])*12+MONTH(Table1[[#This Row],[Loss date]])-Earliest_Month)/4)</f>
        <v>26</v>
      </c>
      <c r="Y338" s="17">
        <f>INT((YEAR(Table1[[#This Row],[Reporting date]])*12+MONTH(Table1[[#This Row],[Reporting date]])-Earliest_Month)/4)</f>
        <v>28</v>
      </c>
      <c r="Z338" s="17">
        <f>Table1[[#This Row],[Reporting third]]-Table1[[#This Row],[Policy third]]</f>
        <v>2</v>
      </c>
      <c r="AA338" s="71">
        <f>IF(Table1[[#This Row],[Overall amount]]=0,"N/A",Table1[[#This Row],[Outstanding]]/Table1[[#This Row],[Overall amount]])</f>
        <v>0.97115384615384615</v>
      </c>
      <c r="AB338" s="17">
        <f>IF(MONTH(Table1[[#This Row],[Loss date]])&lt;Pol_Inc_Month_Shifted,YEAR(Table1[[#This Row],[Loss date]])-1,YEAR(Table1[[#This Row],[Loss date]]))</f>
        <v>2013</v>
      </c>
      <c r="AC338" s="17">
        <f>IF(MONTH(Table1[[#This Row],[Reporting date]])&lt;Pol_Inc_Month_Shifted,YEAR(Table1[[#This Row],[Reporting date]])-1,YEAR(Table1[[#This Row],[Reporting date]]))</f>
        <v>2013</v>
      </c>
      <c r="AD338" s="17">
        <f>Table1[[#This Row],[Reporting year (shifted)]]-Table1[[#This Row],[Policy Year (shifted)]]</f>
        <v>0</v>
      </c>
    </row>
    <row r="339" spans="1:30" ht="13.9">
      <c r="A339" s="8" t="s">
        <v>2109</v>
      </c>
      <c r="B339" s="8" t="s">
        <v>391</v>
      </c>
      <c r="C339" s="8" t="s">
        <v>123</v>
      </c>
      <c r="D339" s="9">
        <v>41715</v>
      </c>
      <c r="E339" s="9">
        <v>41849</v>
      </c>
      <c r="F339" s="17">
        <f>IF(MONTH(Table1[[#This Row],[Loss date]])&lt;Policy_Inception_Month,YEAR(Table1[[#This Row],[Loss date]])-1,YEAR(Table1[[#This Row],[Loss date]]))</f>
        <v>2013</v>
      </c>
      <c r="G339" s="10" t="s">
        <v>124</v>
      </c>
      <c r="H339" s="10" t="s">
        <v>2</v>
      </c>
      <c r="I339" s="11">
        <v>0</v>
      </c>
      <c r="J339" s="11">
        <v>10908.019971133897</v>
      </c>
      <c r="K339" s="11">
        <v>10908.019971133897</v>
      </c>
      <c r="L339" s="12">
        <v>0</v>
      </c>
      <c r="M339" s="12">
        <v>0</v>
      </c>
      <c r="N339" s="12">
        <v>10908.019971133897</v>
      </c>
      <c r="O339" s="70">
        <f>IF(Table1[[#This Row],[Overall amount]]=0,0,1)</f>
        <v>1</v>
      </c>
      <c r="P339" s="70">
        <f>Table1[[#This Row],[Overall amount]]*Exchange_Rate</f>
        <v>10908.019971133897</v>
      </c>
      <c r="Q339" s="70">
        <f>Table1[[#This Row],[Overall (destination currency)]]*(1+Claims_Inflation)^((Revalue_at_date-Table1[[#This Row],[Loss date]])/365.25)</f>
        <v>11760</v>
      </c>
      <c r="R339" s="70">
        <f>INT(Table1[[#This Row],[Reporting date]])-INT(Table1[[#This Row],[Loss date]])</f>
        <v>134</v>
      </c>
      <c r="S339" s="69" t="s">
        <v>16</v>
      </c>
      <c r="T339" s="70">
        <f>VLOOKUP(Table1[[#This Row],[Policy Year]],exposure_table,3,FALSE)</f>
        <v>1090.5865384615383</v>
      </c>
      <c r="U339" s="17">
        <f>IF(MONTH(Table1[[#This Row],[Reporting date]])&lt;Policy_Inception_Month,YEAR(Table1[[#This Row],[Reporting date]])-1,YEAR(Table1[[#This Row],[Reporting date]]))</f>
        <v>2014</v>
      </c>
      <c r="V339" s="17">
        <f>Table1[[#This Row],[Reporting year]]-Table1[[#This Row],[Policy Year]]</f>
        <v>1</v>
      </c>
      <c r="W339" s="17">
        <f>INT(Table1[[#This Row],[Reporting date]])-INT(Table1[[#This Row],[Loss date]])</f>
        <v>134</v>
      </c>
      <c r="X339" s="17">
        <f>INT((YEAR(Table1[[#This Row],[Loss date]])*12+MONTH(Table1[[#This Row],[Loss date]])-Earliest_Month)/4)</f>
        <v>26</v>
      </c>
      <c r="Y339" s="17">
        <f>INT((YEAR(Table1[[#This Row],[Reporting date]])*12+MONTH(Table1[[#This Row],[Reporting date]])-Earliest_Month)/4)</f>
        <v>27</v>
      </c>
      <c r="Z339" s="17">
        <f>Table1[[#This Row],[Reporting third]]-Table1[[#This Row],[Policy third]]</f>
        <v>1</v>
      </c>
      <c r="AA339" s="71">
        <f>IF(Table1[[#This Row],[Overall amount]]=0,"N/A",Table1[[#This Row],[Outstanding]]/Table1[[#This Row],[Overall amount]])</f>
        <v>1</v>
      </c>
      <c r="AB339" s="17">
        <f>IF(MONTH(Table1[[#This Row],[Loss date]])&lt;Pol_Inc_Month_Shifted,YEAR(Table1[[#This Row],[Loss date]])-1,YEAR(Table1[[#This Row],[Loss date]]))</f>
        <v>2013</v>
      </c>
      <c r="AC339" s="17">
        <f>IF(MONTH(Table1[[#This Row],[Reporting date]])&lt;Pol_Inc_Month_Shifted,YEAR(Table1[[#This Row],[Reporting date]])-1,YEAR(Table1[[#This Row],[Reporting date]]))</f>
        <v>2013</v>
      </c>
      <c r="AD339" s="17">
        <f>Table1[[#This Row],[Reporting year (shifted)]]-Table1[[#This Row],[Policy Year (shifted)]]</f>
        <v>0</v>
      </c>
    </row>
    <row r="340" spans="1:30" ht="13.9">
      <c r="A340" s="8" t="s">
        <v>2110</v>
      </c>
      <c r="B340" s="8" t="s">
        <v>392</v>
      </c>
      <c r="C340" s="8" t="s">
        <v>123</v>
      </c>
      <c r="D340" s="9">
        <v>41639</v>
      </c>
      <c r="E340" s="9">
        <v>41863</v>
      </c>
      <c r="F340" s="17">
        <f>IF(MONTH(Table1[[#This Row],[Loss date]])&lt;Policy_Inception_Month,YEAR(Table1[[#This Row],[Loss date]])-1,YEAR(Table1[[#This Row],[Loss date]]))</f>
        <v>2013</v>
      </c>
      <c r="G340" s="10" t="s">
        <v>125</v>
      </c>
      <c r="H340" s="10" t="s">
        <v>2</v>
      </c>
      <c r="I340" s="11">
        <v>0</v>
      </c>
      <c r="J340" s="11">
        <v>10010.039282359734</v>
      </c>
      <c r="K340" s="11">
        <v>10010.039282359734</v>
      </c>
      <c r="L340" s="12">
        <v>0</v>
      </c>
      <c r="M340" s="12">
        <v>0</v>
      </c>
      <c r="N340" s="12">
        <v>10010.039282359734</v>
      </c>
      <c r="O340" s="70">
        <f>IF(Table1[[#This Row],[Overall amount]]=0,0,1)</f>
        <v>1</v>
      </c>
      <c r="P340" s="70">
        <f>Table1[[#This Row],[Overall amount]]*Exchange_Rate</f>
        <v>10010.039282359734</v>
      </c>
      <c r="Q340" s="70">
        <f>Table1[[#This Row],[Overall (destination currency)]]*(1+Claims_Inflation)^((Revalue_at_date-Table1[[#This Row],[Loss date]])/365.25)</f>
        <v>10902</v>
      </c>
      <c r="R340" s="70">
        <f>INT(Table1[[#This Row],[Reporting date]])-INT(Table1[[#This Row],[Loss date]])</f>
        <v>224</v>
      </c>
      <c r="S340" s="69" t="s">
        <v>16</v>
      </c>
      <c r="T340" s="70">
        <f>VLOOKUP(Table1[[#This Row],[Policy Year]],exposure_table,3,FALSE)</f>
        <v>1090.5865384615383</v>
      </c>
      <c r="U340" s="17">
        <f>IF(MONTH(Table1[[#This Row],[Reporting date]])&lt;Policy_Inception_Month,YEAR(Table1[[#This Row],[Reporting date]])-1,YEAR(Table1[[#This Row],[Reporting date]]))</f>
        <v>2014</v>
      </c>
      <c r="V340" s="17">
        <f>Table1[[#This Row],[Reporting year]]-Table1[[#This Row],[Policy Year]]</f>
        <v>1</v>
      </c>
      <c r="W340" s="17">
        <f>INT(Table1[[#This Row],[Reporting date]])-INT(Table1[[#This Row],[Loss date]])</f>
        <v>224</v>
      </c>
      <c r="X340" s="17">
        <f>INT((YEAR(Table1[[#This Row],[Loss date]])*12+MONTH(Table1[[#This Row],[Loss date]])-Earliest_Month)/4)</f>
        <v>26</v>
      </c>
      <c r="Y340" s="17">
        <f>INT((YEAR(Table1[[#This Row],[Reporting date]])*12+MONTH(Table1[[#This Row],[Reporting date]])-Earliest_Month)/4)</f>
        <v>28</v>
      </c>
      <c r="Z340" s="17">
        <f>Table1[[#This Row],[Reporting third]]-Table1[[#This Row],[Policy third]]</f>
        <v>2</v>
      </c>
      <c r="AA340" s="71">
        <f>IF(Table1[[#This Row],[Overall amount]]=0,"N/A",Table1[[#This Row],[Outstanding]]/Table1[[#This Row],[Overall amount]])</f>
        <v>1</v>
      </c>
      <c r="AB340" s="17">
        <f>IF(MONTH(Table1[[#This Row],[Loss date]])&lt;Pol_Inc_Month_Shifted,YEAR(Table1[[#This Row],[Loss date]])-1,YEAR(Table1[[#This Row],[Loss date]]))</f>
        <v>2013</v>
      </c>
      <c r="AC340" s="17">
        <f>IF(MONTH(Table1[[#This Row],[Reporting date]])&lt;Pol_Inc_Month_Shifted,YEAR(Table1[[#This Row],[Reporting date]])-1,YEAR(Table1[[#This Row],[Reporting date]]))</f>
        <v>2013</v>
      </c>
      <c r="AD340" s="17">
        <f>Table1[[#This Row],[Reporting year (shifted)]]-Table1[[#This Row],[Policy Year (shifted)]]</f>
        <v>0</v>
      </c>
    </row>
    <row r="341" spans="1:30" ht="13.9">
      <c r="A341" s="8" t="s">
        <v>2111</v>
      </c>
      <c r="B341" s="8" t="s">
        <v>393</v>
      </c>
      <c r="C341" s="8" t="s">
        <v>123</v>
      </c>
      <c r="D341" s="9">
        <v>41751</v>
      </c>
      <c r="E341" s="9">
        <v>41849</v>
      </c>
      <c r="F341" s="17">
        <f>IF(MONTH(Table1[[#This Row],[Loss date]])&lt;Policy_Inception_Month,YEAR(Table1[[#This Row],[Loss date]])-1,YEAR(Table1[[#This Row],[Loss date]]))</f>
        <v>2014</v>
      </c>
      <c r="G341" s="10" t="s">
        <v>125</v>
      </c>
      <c r="H341" s="10" t="s">
        <v>2</v>
      </c>
      <c r="I341" s="11">
        <v>0</v>
      </c>
      <c r="J341" s="11">
        <v>6486.8867400087584</v>
      </c>
      <c r="K341" s="11">
        <v>6486.8867400087584</v>
      </c>
      <c r="L341" s="12">
        <v>0</v>
      </c>
      <c r="M341" s="12">
        <v>0</v>
      </c>
      <c r="N341" s="12">
        <v>6486.8867400087584</v>
      </c>
      <c r="O341" s="70">
        <f>IF(Table1[[#This Row],[Overall amount]]=0,0,1)</f>
        <v>1</v>
      </c>
      <c r="P341" s="70">
        <f>Table1[[#This Row],[Overall amount]]*Exchange_Rate</f>
        <v>6486.8867400087584</v>
      </c>
      <c r="Q341" s="70">
        <f>Table1[[#This Row],[Overall (destination currency)]]*(1+Claims_Inflation)^((Revalue_at_date-Table1[[#This Row],[Loss date]])/365.25)</f>
        <v>6960</v>
      </c>
      <c r="R341" s="70">
        <f>INT(Table1[[#This Row],[Reporting date]])-INT(Table1[[#This Row],[Loss date]])</f>
        <v>98</v>
      </c>
      <c r="S341" s="69" t="s">
        <v>16</v>
      </c>
      <c r="T341" s="70">
        <f>VLOOKUP(Table1[[#This Row],[Policy Year]],exposure_table,3,FALSE)</f>
        <v>1076.5070266272189</v>
      </c>
      <c r="U341" s="17">
        <f>IF(MONTH(Table1[[#This Row],[Reporting date]])&lt;Policy_Inception_Month,YEAR(Table1[[#This Row],[Reporting date]])-1,YEAR(Table1[[#This Row],[Reporting date]]))</f>
        <v>2014</v>
      </c>
      <c r="V341" s="17">
        <f>Table1[[#This Row],[Reporting year]]-Table1[[#This Row],[Policy Year]]</f>
        <v>0</v>
      </c>
      <c r="W341" s="17">
        <f>INT(Table1[[#This Row],[Reporting date]])-INT(Table1[[#This Row],[Loss date]])</f>
        <v>98</v>
      </c>
      <c r="X341" s="17">
        <f>INT((YEAR(Table1[[#This Row],[Loss date]])*12+MONTH(Table1[[#This Row],[Loss date]])-Earliest_Month)/4)</f>
        <v>27</v>
      </c>
      <c r="Y341" s="17">
        <f>INT((YEAR(Table1[[#This Row],[Reporting date]])*12+MONTH(Table1[[#This Row],[Reporting date]])-Earliest_Month)/4)</f>
        <v>27</v>
      </c>
      <c r="Z341" s="17">
        <f>Table1[[#This Row],[Reporting third]]-Table1[[#This Row],[Policy third]]</f>
        <v>0</v>
      </c>
      <c r="AA341" s="71">
        <f>IF(Table1[[#This Row],[Overall amount]]=0,"N/A",Table1[[#This Row],[Outstanding]]/Table1[[#This Row],[Overall amount]])</f>
        <v>1</v>
      </c>
      <c r="AB341" s="17">
        <f>IF(MONTH(Table1[[#This Row],[Loss date]])&lt;Pol_Inc_Month_Shifted,YEAR(Table1[[#This Row],[Loss date]])-1,YEAR(Table1[[#This Row],[Loss date]]))</f>
        <v>2013</v>
      </c>
      <c r="AC341" s="17">
        <f>IF(MONTH(Table1[[#This Row],[Reporting date]])&lt;Pol_Inc_Month_Shifted,YEAR(Table1[[#This Row],[Reporting date]])-1,YEAR(Table1[[#This Row],[Reporting date]]))</f>
        <v>2013</v>
      </c>
      <c r="AD341" s="17">
        <f>Table1[[#This Row],[Reporting year (shifted)]]-Table1[[#This Row],[Policy Year (shifted)]]</f>
        <v>0</v>
      </c>
    </row>
    <row r="342" spans="1:30" ht="13.9">
      <c r="A342" s="8" t="s">
        <v>2112</v>
      </c>
      <c r="B342" s="8" t="s">
        <v>394</v>
      </c>
      <c r="C342" s="8" t="s">
        <v>123</v>
      </c>
      <c r="D342" s="9">
        <v>41647</v>
      </c>
      <c r="E342" s="9">
        <v>41890</v>
      </c>
      <c r="F342" s="17">
        <f>IF(MONTH(Table1[[#This Row],[Loss date]])&lt;Policy_Inception_Month,YEAR(Table1[[#This Row],[Loss date]])-1,YEAR(Table1[[#This Row],[Loss date]]))</f>
        <v>2013</v>
      </c>
      <c r="G342" s="10" t="s">
        <v>126</v>
      </c>
      <c r="H342" s="10" t="s">
        <v>2</v>
      </c>
      <c r="I342" s="11">
        <v>0</v>
      </c>
      <c r="J342" s="11">
        <v>16103.779339266144</v>
      </c>
      <c r="K342" s="11">
        <v>16103.779339266144</v>
      </c>
      <c r="L342" s="12">
        <v>0</v>
      </c>
      <c r="M342" s="12">
        <v>0</v>
      </c>
      <c r="N342" s="12">
        <v>16103.779339266144</v>
      </c>
      <c r="O342" s="70">
        <f>IF(Table1[[#This Row],[Overall amount]]=0,0,1)</f>
        <v>1</v>
      </c>
      <c r="P342" s="70">
        <f>Table1[[#This Row],[Overall amount]]*Exchange_Rate</f>
        <v>16103.779339266144</v>
      </c>
      <c r="Q342" s="70">
        <f>Table1[[#This Row],[Overall (destination currency)]]*(1+Claims_Inflation)^((Revalue_at_date-Table1[[#This Row],[Loss date]])/365.25)</f>
        <v>17520</v>
      </c>
      <c r="R342" s="70">
        <f>INT(Table1[[#This Row],[Reporting date]])-INT(Table1[[#This Row],[Loss date]])</f>
        <v>243</v>
      </c>
      <c r="S342" s="69" t="s">
        <v>16</v>
      </c>
      <c r="T342" s="70">
        <f>VLOOKUP(Table1[[#This Row],[Policy Year]],exposure_table,3,FALSE)</f>
        <v>1090.5865384615383</v>
      </c>
      <c r="U342" s="17">
        <f>IF(MONTH(Table1[[#This Row],[Reporting date]])&lt;Policy_Inception_Month,YEAR(Table1[[#This Row],[Reporting date]])-1,YEAR(Table1[[#This Row],[Reporting date]]))</f>
        <v>2014</v>
      </c>
      <c r="V342" s="17">
        <f>Table1[[#This Row],[Reporting year]]-Table1[[#This Row],[Policy Year]]</f>
        <v>1</v>
      </c>
      <c r="W342" s="17">
        <f>INT(Table1[[#This Row],[Reporting date]])-INT(Table1[[#This Row],[Loss date]])</f>
        <v>243</v>
      </c>
      <c r="X342" s="17">
        <f>INT((YEAR(Table1[[#This Row],[Loss date]])*12+MONTH(Table1[[#This Row],[Loss date]])-Earliest_Month)/4)</f>
        <v>26</v>
      </c>
      <c r="Y342" s="17">
        <f>INT((YEAR(Table1[[#This Row],[Reporting date]])*12+MONTH(Table1[[#This Row],[Reporting date]])-Earliest_Month)/4)</f>
        <v>28</v>
      </c>
      <c r="Z342" s="17">
        <f>Table1[[#This Row],[Reporting third]]-Table1[[#This Row],[Policy third]]</f>
        <v>2</v>
      </c>
      <c r="AA342" s="71">
        <f>IF(Table1[[#This Row],[Overall amount]]=0,"N/A",Table1[[#This Row],[Outstanding]]/Table1[[#This Row],[Overall amount]])</f>
        <v>1</v>
      </c>
      <c r="AB342" s="17">
        <f>IF(MONTH(Table1[[#This Row],[Loss date]])&lt;Pol_Inc_Month_Shifted,YEAR(Table1[[#This Row],[Loss date]])-1,YEAR(Table1[[#This Row],[Loss date]]))</f>
        <v>2013</v>
      </c>
      <c r="AC342" s="17">
        <f>IF(MONTH(Table1[[#This Row],[Reporting date]])&lt;Pol_Inc_Month_Shifted,YEAR(Table1[[#This Row],[Reporting date]])-1,YEAR(Table1[[#This Row],[Reporting date]]))</f>
        <v>2013</v>
      </c>
      <c r="AD342" s="17">
        <f>Table1[[#This Row],[Reporting year (shifted)]]-Table1[[#This Row],[Policy Year (shifted)]]</f>
        <v>0</v>
      </c>
    </row>
    <row r="343" spans="1:30" ht="13.9">
      <c r="A343" s="8" t="s">
        <v>2113</v>
      </c>
      <c r="B343" s="8" t="s">
        <v>395</v>
      </c>
      <c r="C343" s="8" t="s">
        <v>123</v>
      </c>
      <c r="D343" s="9">
        <v>41746</v>
      </c>
      <c r="E343" s="9">
        <v>41874</v>
      </c>
      <c r="F343" s="17">
        <f>IF(MONTH(Table1[[#This Row],[Loss date]])&lt;Policy_Inception_Month,YEAR(Table1[[#This Row],[Loss date]])-1,YEAR(Table1[[#This Row],[Loss date]]))</f>
        <v>2014</v>
      </c>
      <c r="G343" s="10" t="s">
        <v>125</v>
      </c>
      <c r="H343" s="10" t="s">
        <v>2</v>
      </c>
      <c r="I343" s="11">
        <v>0</v>
      </c>
      <c r="J343" s="11">
        <v>13188.647577140211</v>
      </c>
      <c r="K343" s="11">
        <v>13188.647577140211</v>
      </c>
      <c r="L343" s="12">
        <v>0</v>
      </c>
      <c r="M343" s="12">
        <v>0</v>
      </c>
      <c r="N343" s="12">
        <v>13188.647577140211</v>
      </c>
      <c r="O343" s="70">
        <f>IF(Table1[[#This Row],[Overall amount]]=0,0,1)</f>
        <v>1</v>
      </c>
      <c r="P343" s="70">
        <f>Table1[[#This Row],[Overall amount]]*Exchange_Rate</f>
        <v>13188.647577140211</v>
      </c>
      <c r="Q343" s="70">
        <f>Table1[[#This Row],[Overall (destination currency)]]*(1+Claims_Inflation)^((Revalue_at_date-Table1[[#This Row],[Loss date]])/365.25)</f>
        <v>14160</v>
      </c>
      <c r="R343" s="70">
        <f>INT(Table1[[#This Row],[Reporting date]])-INT(Table1[[#This Row],[Loss date]])</f>
        <v>128</v>
      </c>
      <c r="S343" s="69" t="s">
        <v>16</v>
      </c>
      <c r="T343" s="70">
        <f>VLOOKUP(Table1[[#This Row],[Policy Year]],exposure_table,3,FALSE)</f>
        <v>1076.5070266272189</v>
      </c>
      <c r="U343" s="17">
        <f>IF(MONTH(Table1[[#This Row],[Reporting date]])&lt;Policy_Inception_Month,YEAR(Table1[[#This Row],[Reporting date]])-1,YEAR(Table1[[#This Row],[Reporting date]]))</f>
        <v>2014</v>
      </c>
      <c r="V343" s="17">
        <f>Table1[[#This Row],[Reporting year]]-Table1[[#This Row],[Policy Year]]</f>
        <v>0</v>
      </c>
      <c r="W343" s="17">
        <f>INT(Table1[[#This Row],[Reporting date]])-INT(Table1[[#This Row],[Loss date]])</f>
        <v>128</v>
      </c>
      <c r="X343" s="17">
        <f>INT((YEAR(Table1[[#This Row],[Loss date]])*12+MONTH(Table1[[#This Row],[Loss date]])-Earliest_Month)/4)</f>
        <v>27</v>
      </c>
      <c r="Y343" s="17">
        <f>INT((YEAR(Table1[[#This Row],[Reporting date]])*12+MONTH(Table1[[#This Row],[Reporting date]])-Earliest_Month)/4)</f>
        <v>28</v>
      </c>
      <c r="Z343" s="17">
        <f>Table1[[#This Row],[Reporting third]]-Table1[[#This Row],[Policy third]]</f>
        <v>1</v>
      </c>
      <c r="AA343" s="71">
        <f>IF(Table1[[#This Row],[Overall amount]]=0,"N/A",Table1[[#This Row],[Outstanding]]/Table1[[#This Row],[Overall amount]])</f>
        <v>1</v>
      </c>
      <c r="AB343" s="17">
        <f>IF(MONTH(Table1[[#This Row],[Loss date]])&lt;Pol_Inc_Month_Shifted,YEAR(Table1[[#This Row],[Loss date]])-1,YEAR(Table1[[#This Row],[Loss date]]))</f>
        <v>2013</v>
      </c>
      <c r="AC343" s="17">
        <f>IF(MONTH(Table1[[#This Row],[Reporting date]])&lt;Pol_Inc_Month_Shifted,YEAR(Table1[[#This Row],[Reporting date]])-1,YEAR(Table1[[#This Row],[Reporting date]]))</f>
        <v>2013</v>
      </c>
      <c r="AD343" s="17">
        <f>Table1[[#This Row],[Reporting year (shifted)]]-Table1[[#This Row],[Policy Year (shifted)]]</f>
        <v>0</v>
      </c>
    </row>
    <row r="344" spans="1:30" ht="13.9">
      <c r="A344" s="8" t="s">
        <v>2114</v>
      </c>
      <c r="B344" s="8" t="s">
        <v>396</v>
      </c>
      <c r="C344" s="8" t="s">
        <v>123</v>
      </c>
      <c r="D344" s="9">
        <v>41664</v>
      </c>
      <c r="E344" s="9">
        <v>41894</v>
      </c>
      <c r="F344" s="17">
        <f>IF(MONTH(Table1[[#This Row],[Loss date]])&lt;Policy_Inception_Month,YEAR(Table1[[#This Row],[Loss date]])-1,YEAR(Table1[[#This Row],[Loss date]]))</f>
        <v>2013</v>
      </c>
      <c r="G344" s="10" t="s">
        <v>125</v>
      </c>
      <c r="H344" s="10" t="s">
        <v>2</v>
      </c>
      <c r="I344" s="11">
        <v>0</v>
      </c>
      <c r="J344" s="11">
        <v>11607.814994318765</v>
      </c>
      <c r="K344" s="11">
        <v>11607.814994318765</v>
      </c>
      <c r="L344" s="12">
        <v>0</v>
      </c>
      <c r="M344" s="12">
        <v>0</v>
      </c>
      <c r="N344" s="12">
        <v>11607.814994318765</v>
      </c>
      <c r="O344" s="70">
        <f>IF(Table1[[#This Row],[Overall amount]]=0,0,1)</f>
        <v>1</v>
      </c>
      <c r="P344" s="70">
        <f>Table1[[#This Row],[Overall amount]]*Exchange_Rate</f>
        <v>11607.814994318765</v>
      </c>
      <c r="Q344" s="70">
        <f>Table1[[#This Row],[Overall (destination currency)]]*(1+Claims_Inflation)^((Revalue_at_date-Table1[[#This Row],[Loss date]])/365.25)</f>
        <v>12600</v>
      </c>
      <c r="R344" s="70">
        <f>INT(Table1[[#This Row],[Reporting date]])-INT(Table1[[#This Row],[Loss date]])</f>
        <v>230</v>
      </c>
      <c r="S344" s="69" t="s">
        <v>16</v>
      </c>
      <c r="T344" s="70">
        <f>VLOOKUP(Table1[[#This Row],[Policy Year]],exposure_table,3,FALSE)</f>
        <v>1090.5865384615383</v>
      </c>
      <c r="U344" s="17">
        <f>IF(MONTH(Table1[[#This Row],[Reporting date]])&lt;Policy_Inception_Month,YEAR(Table1[[#This Row],[Reporting date]])-1,YEAR(Table1[[#This Row],[Reporting date]]))</f>
        <v>2014</v>
      </c>
      <c r="V344" s="17">
        <f>Table1[[#This Row],[Reporting year]]-Table1[[#This Row],[Policy Year]]</f>
        <v>1</v>
      </c>
      <c r="W344" s="17">
        <f>INT(Table1[[#This Row],[Reporting date]])-INT(Table1[[#This Row],[Loss date]])</f>
        <v>230</v>
      </c>
      <c r="X344" s="17">
        <f>INT((YEAR(Table1[[#This Row],[Loss date]])*12+MONTH(Table1[[#This Row],[Loss date]])-Earliest_Month)/4)</f>
        <v>26</v>
      </c>
      <c r="Y344" s="17">
        <f>INT((YEAR(Table1[[#This Row],[Reporting date]])*12+MONTH(Table1[[#This Row],[Reporting date]])-Earliest_Month)/4)</f>
        <v>28</v>
      </c>
      <c r="Z344" s="17">
        <f>Table1[[#This Row],[Reporting third]]-Table1[[#This Row],[Policy third]]</f>
        <v>2</v>
      </c>
      <c r="AA344" s="71">
        <f>IF(Table1[[#This Row],[Overall amount]]=0,"N/A",Table1[[#This Row],[Outstanding]]/Table1[[#This Row],[Overall amount]])</f>
        <v>1</v>
      </c>
      <c r="AB344" s="17">
        <f>IF(MONTH(Table1[[#This Row],[Loss date]])&lt;Pol_Inc_Month_Shifted,YEAR(Table1[[#This Row],[Loss date]])-1,YEAR(Table1[[#This Row],[Loss date]]))</f>
        <v>2013</v>
      </c>
      <c r="AC344" s="17">
        <f>IF(MONTH(Table1[[#This Row],[Reporting date]])&lt;Pol_Inc_Month_Shifted,YEAR(Table1[[#This Row],[Reporting date]])-1,YEAR(Table1[[#This Row],[Reporting date]]))</f>
        <v>2013</v>
      </c>
      <c r="AD344" s="17">
        <f>Table1[[#This Row],[Reporting year (shifted)]]-Table1[[#This Row],[Policy Year (shifted)]]</f>
        <v>0</v>
      </c>
    </row>
    <row r="345" spans="1:30" ht="13.9">
      <c r="A345" s="8" t="s">
        <v>2115</v>
      </c>
      <c r="B345" s="8" t="s">
        <v>397</v>
      </c>
      <c r="C345" s="8" t="s">
        <v>123</v>
      </c>
      <c r="D345" s="9">
        <v>41808</v>
      </c>
      <c r="E345" s="9">
        <v>41887</v>
      </c>
      <c r="F345" s="17">
        <f>IF(MONTH(Table1[[#This Row],[Loss date]])&lt;Policy_Inception_Month,YEAR(Table1[[#This Row],[Loss date]])-1,YEAR(Table1[[#This Row],[Loss date]]))</f>
        <v>2014</v>
      </c>
      <c r="G345" s="10" t="s">
        <v>125</v>
      </c>
      <c r="H345" s="10" t="s">
        <v>2</v>
      </c>
      <c r="I345" s="11">
        <v>0</v>
      </c>
      <c r="J345" s="11">
        <v>13298.329146578679</v>
      </c>
      <c r="K345" s="11">
        <v>13298.329146578679</v>
      </c>
      <c r="L345" s="12">
        <v>0</v>
      </c>
      <c r="M345" s="12">
        <v>0</v>
      </c>
      <c r="N345" s="12">
        <v>13298.329146578679</v>
      </c>
      <c r="O345" s="70">
        <f>IF(Table1[[#This Row],[Overall amount]]=0,0,1)</f>
        <v>1</v>
      </c>
      <c r="P345" s="70">
        <f>Table1[[#This Row],[Overall amount]]*Exchange_Rate</f>
        <v>13298.329146578679</v>
      </c>
      <c r="Q345" s="70">
        <f>Table1[[#This Row],[Overall (destination currency)]]*(1+Claims_Inflation)^((Revalue_at_date-Table1[[#This Row],[Loss date]])/365.25)</f>
        <v>14160</v>
      </c>
      <c r="R345" s="70">
        <f>INT(Table1[[#This Row],[Reporting date]])-INT(Table1[[#This Row],[Loss date]])</f>
        <v>79</v>
      </c>
      <c r="S345" s="69" t="s">
        <v>16</v>
      </c>
      <c r="T345" s="70">
        <f>VLOOKUP(Table1[[#This Row],[Policy Year]],exposure_table,3,FALSE)</f>
        <v>1076.5070266272189</v>
      </c>
      <c r="U345" s="17">
        <f>IF(MONTH(Table1[[#This Row],[Reporting date]])&lt;Policy_Inception_Month,YEAR(Table1[[#This Row],[Reporting date]])-1,YEAR(Table1[[#This Row],[Reporting date]]))</f>
        <v>2014</v>
      </c>
      <c r="V345" s="17">
        <f>Table1[[#This Row],[Reporting year]]-Table1[[#This Row],[Policy Year]]</f>
        <v>0</v>
      </c>
      <c r="W345" s="17">
        <f>INT(Table1[[#This Row],[Reporting date]])-INT(Table1[[#This Row],[Loss date]])</f>
        <v>79</v>
      </c>
      <c r="X345" s="17">
        <f>INT((YEAR(Table1[[#This Row],[Loss date]])*12+MONTH(Table1[[#This Row],[Loss date]])-Earliest_Month)/4)</f>
        <v>27</v>
      </c>
      <c r="Y345" s="17">
        <f>INT((YEAR(Table1[[#This Row],[Reporting date]])*12+MONTH(Table1[[#This Row],[Reporting date]])-Earliest_Month)/4)</f>
        <v>28</v>
      </c>
      <c r="Z345" s="17">
        <f>Table1[[#This Row],[Reporting third]]-Table1[[#This Row],[Policy third]]</f>
        <v>1</v>
      </c>
      <c r="AA345" s="71">
        <f>IF(Table1[[#This Row],[Overall amount]]=0,"N/A",Table1[[#This Row],[Outstanding]]/Table1[[#This Row],[Overall amount]])</f>
        <v>1</v>
      </c>
      <c r="AB345" s="17">
        <f>IF(MONTH(Table1[[#This Row],[Loss date]])&lt;Pol_Inc_Month_Shifted,YEAR(Table1[[#This Row],[Loss date]])-1,YEAR(Table1[[#This Row],[Loss date]]))</f>
        <v>2013</v>
      </c>
      <c r="AC345" s="17">
        <f>IF(MONTH(Table1[[#This Row],[Reporting date]])&lt;Pol_Inc_Month_Shifted,YEAR(Table1[[#This Row],[Reporting date]])-1,YEAR(Table1[[#This Row],[Reporting date]]))</f>
        <v>2013</v>
      </c>
      <c r="AD345" s="17">
        <f>Table1[[#This Row],[Reporting year (shifted)]]-Table1[[#This Row],[Policy Year (shifted)]]</f>
        <v>0</v>
      </c>
    </row>
    <row r="346" spans="1:30" ht="13.9">
      <c r="A346" s="8" t="s">
        <v>2116</v>
      </c>
      <c r="B346" s="8" t="s">
        <v>398</v>
      </c>
      <c r="C346" s="8" t="s">
        <v>123</v>
      </c>
      <c r="D346" s="9">
        <v>41692</v>
      </c>
      <c r="E346" s="9">
        <v>41894</v>
      </c>
      <c r="F346" s="17">
        <f>IF(MONTH(Table1[[#This Row],[Loss date]])&lt;Policy_Inception_Month,YEAR(Table1[[#This Row],[Loss date]])-1,YEAR(Table1[[#This Row],[Loss date]]))</f>
        <v>2013</v>
      </c>
      <c r="G346" s="10" t="s">
        <v>125</v>
      </c>
      <c r="H346" s="10" t="s">
        <v>2</v>
      </c>
      <c r="I346" s="11">
        <v>0</v>
      </c>
      <c r="J346" s="11">
        <v>16755.696828994256</v>
      </c>
      <c r="K346" s="11">
        <v>16755.696828994256</v>
      </c>
      <c r="L346" s="12">
        <v>332.89463898664081</v>
      </c>
      <c r="M346" s="12">
        <v>0</v>
      </c>
      <c r="N346" s="12">
        <v>17088.591467980896</v>
      </c>
      <c r="O346" s="70">
        <f>IF(Table1[[#This Row],[Overall amount]]=0,0,1)</f>
        <v>1</v>
      </c>
      <c r="P346" s="70">
        <f>Table1[[#This Row],[Overall amount]]*Exchange_Rate</f>
        <v>17088.591467980896</v>
      </c>
      <c r="Q346" s="70">
        <f>Table1[[#This Row],[Overall (destination currency)]]*(1+Claims_Inflation)^((Revalue_at_date-Table1[[#This Row],[Loss date]])/365.25)</f>
        <v>18480</v>
      </c>
      <c r="R346" s="70">
        <f>INT(Table1[[#This Row],[Reporting date]])-INT(Table1[[#This Row],[Loss date]])</f>
        <v>202</v>
      </c>
      <c r="S346" s="69" t="s">
        <v>16</v>
      </c>
      <c r="T346" s="70">
        <f>VLOOKUP(Table1[[#This Row],[Policy Year]],exposure_table,3,FALSE)</f>
        <v>1090.5865384615383</v>
      </c>
      <c r="U346" s="17">
        <f>IF(MONTH(Table1[[#This Row],[Reporting date]])&lt;Policy_Inception_Month,YEAR(Table1[[#This Row],[Reporting date]])-1,YEAR(Table1[[#This Row],[Reporting date]]))</f>
        <v>2014</v>
      </c>
      <c r="V346" s="17">
        <f>Table1[[#This Row],[Reporting year]]-Table1[[#This Row],[Policy Year]]</f>
        <v>1</v>
      </c>
      <c r="W346" s="17">
        <f>INT(Table1[[#This Row],[Reporting date]])-INT(Table1[[#This Row],[Loss date]])</f>
        <v>202</v>
      </c>
      <c r="X346" s="17">
        <f>INT((YEAR(Table1[[#This Row],[Loss date]])*12+MONTH(Table1[[#This Row],[Loss date]])-Earliest_Month)/4)</f>
        <v>26</v>
      </c>
      <c r="Y346" s="17">
        <f>INT((YEAR(Table1[[#This Row],[Reporting date]])*12+MONTH(Table1[[#This Row],[Reporting date]])-Earliest_Month)/4)</f>
        <v>28</v>
      </c>
      <c r="Z346" s="17">
        <f>Table1[[#This Row],[Reporting third]]-Table1[[#This Row],[Policy third]]</f>
        <v>2</v>
      </c>
      <c r="AA346" s="71">
        <f>IF(Table1[[#This Row],[Overall amount]]=0,"N/A",Table1[[#This Row],[Outstanding]]/Table1[[#This Row],[Overall amount]])</f>
        <v>0.98051948051948057</v>
      </c>
      <c r="AB346" s="17">
        <f>IF(MONTH(Table1[[#This Row],[Loss date]])&lt;Pol_Inc_Month_Shifted,YEAR(Table1[[#This Row],[Loss date]])-1,YEAR(Table1[[#This Row],[Loss date]]))</f>
        <v>2013</v>
      </c>
      <c r="AC346" s="17">
        <f>IF(MONTH(Table1[[#This Row],[Reporting date]])&lt;Pol_Inc_Month_Shifted,YEAR(Table1[[#This Row],[Reporting date]])-1,YEAR(Table1[[#This Row],[Reporting date]]))</f>
        <v>2013</v>
      </c>
      <c r="AD346" s="17">
        <f>Table1[[#This Row],[Reporting year (shifted)]]-Table1[[#This Row],[Policy Year (shifted)]]</f>
        <v>0</v>
      </c>
    </row>
    <row r="347" spans="1:30" ht="13.9">
      <c r="A347" s="8" t="s">
        <v>2117</v>
      </c>
      <c r="B347" s="8" t="s">
        <v>399</v>
      </c>
      <c r="C347" s="8" t="s">
        <v>123</v>
      </c>
      <c r="D347" s="9">
        <v>41776</v>
      </c>
      <c r="E347" s="9">
        <v>41887</v>
      </c>
      <c r="F347" s="17">
        <f>IF(MONTH(Table1[[#This Row],[Loss date]])&lt;Policy_Inception_Month,YEAR(Table1[[#This Row],[Loss date]])-1,YEAR(Table1[[#This Row],[Loss date]]))</f>
        <v>2014</v>
      </c>
      <c r="G347" s="10" t="s">
        <v>125</v>
      </c>
      <c r="H347" s="10" t="s">
        <v>2</v>
      </c>
      <c r="I347" s="11">
        <v>0</v>
      </c>
      <c r="J347" s="11">
        <v>6508.5859411145657</v>
      </c>
      <c r="K347" s="11">
        <v>6508.5859411145657</v>
      </c>
      <c r="L347" s="12">
        <v>336.65099695420162</v>
      </c>
      <c r="M347" s="12">
        <v>684.52369380687662</v>
      </c>
      <c r="N347" s="12">
        <v>6160.7132442618904</v>
      </c>
      <c r="O347" s="70">
        <f>IF(Table1[[#This Row],[Overall amount]]=0,0,1)</f>
        <v>1</v>
      </c>
      <c r="P347" s="70">
        <f>Table1[[#This Row],[Overall amount]]*Exchange_Rate</f>
        <v>6160.7132442618904</v>
      </c>
      <c r="Q347" s="70">
        <f>Table1[[#This Row],[Overall (destination currency)]]*(1+Claims_Inflation)^((Revalue_at_date-Table1[[#This Row],[Loss date]])/365.25)</f>
        <v>6588.0000000000009</v>
      </c>
      <c r="R347" s="70">
        <f>INT(Table1[[#This Row],[Reporting date]])-INT(Table1[[#This Row],[Loss date]])</f>
        <v>111</v>
      </c>
      <c r="S347" s="69" t="s">
        <v>16</v>
      </c>
      <c r="T347" s="70">
        <f>VLOOKUP(Table1[[#This Row],[Policy Year]],exposure_table,3,FALSE)</f>
        <v>1076.5070266272189</v>
      </c>
      <c r="U347" s="17">
        <f>IF(MONTH(Table1[[#This Row],[Reporting date]])&lt;Policy_Inception_Month,YEAR(Table1[[#This Row],[Reporting date]])-1,YEAR(Table1[[#This Row],[Reporting date]]))</f>
        <v>2014</v>
      </c>
      <c r="V347" s="17">
        <f>Table1[[#This Row],[Reporting year]]-Table1[[#This Row],[Policy Year]]</f>
        <v>0</v>
      </c>
      <c r="W347" s="17">
        <f>INT(Table1[[#This Row],[Reporting date]])-INT(Table1[[#This Row],[Loss date]])</f>
        <v>111</v>
      </c>
      <c r="X347" s="17">
        <f>INT((YEAR(Table1[[#This Row],[Loss date]])*12+MONTH(Table1[[#This Row],[Loss date]])-Earliest_Month)/4)</f>
        <v>27</v>
      </c>
      <c r="Y347" s="17">
        <f>INT((YEAR(Table1[[#This Row],[Reporting date]])*12+MONTH(Table1[[#This Row],[Reporting date]])-Earliest_Month)/4)</f>
        <v>28</v>
      </c>
      <c r="Z347" s="17">
        <f>Table1[[#This Row],[Reporting third]]-Table1[[#This Row],[Policy third]]</f>
        <v>1</v>
      </c>
      <c r="AA347" s="71">
        <f>IF(Table1[[#This Row],[Overall amount]]=0,"N/A",Table1[[#This Row],[Outstanding]]/Table1[[#This Row],[Overall amount]])</f>
        <v>1.0564663023679417</v>
      </c>
      <c r="AB347" s="17">
        <f>IF(MONTH(Table1[[#This Row],[Loss date]])&lt;Pol_Inc_Month_Shifted,YEAR(Table1[[#This Row],[Loss date]])-1,YEAR(Table1[[#This Row],[Loss date]]))</f>
        <v>2013</v>
      </c>
      <c r="AC347" s="17">
        <f>IF(MONTH(Table1[[#This Row],[Reporting date]])&lt;Pol_Inc_Month_Shifted,YEAR(Table1[[#This Row],[Reporting date]])-1,YEAR(Table1[[#This Row],[Reporting date]]))</f>
        <v>2013</v>
      </c>
      <c r="AD347" s="17">
        <f>Table1[[#This Row],[Reporting year (shifted)]]-Table1[[#This Row],[Policy Year (shifted)]]</f>
        <v>0</v>
      </c>
    </row>
    <row r="348" spans="1:30" ht="13.9">
      <c r="A348" s="8" t="s">
        <v>2118</v>
      </c>
      <c r="B348" s="8" t="s">
        <v>400</v>
      </c>
      <c r="C348" s="8" t="s">
        <v>123</v>
      </c>
      <c r="D348" s="9">
        <v>41349</v>
      </c>
      <c r="E348" s="9">
        <v>41884</v>
      </c>
      <c r="F348" s="17">
        <f>IF(MONTH(Table1[[#This Row],[Loss date]])&lt;Policy_Inception_Month,YEAR(Table1[[#This Row],[Loss date]])-1,YEAR(Table1[[#This Row],[Loss date]]))</f>
        <v>2012</v>
      </c>
      <c r="G348" s="10" t="s">
        <v>125</v>
      </c>
      <c r="H348" s="10" t="s">
        <v>2</v>
      </c>
      <c r="I348" s="11">
        <v>0</v>
      </c>
      <c r="J348" s="11">
        <v>12507.457824223689</v>
      </c>
      <c r="K348" s="11">
        <v>12507.457824223689</v>
      </c>
      <c r="L348" s="12">
        <v>0</v>
      </c>
      <c r="M348" s="12">
        <v>0</v>
      </c>
      <c r="N348" s="12">
        <v>12507.457824223689</v>
      </c>
      <c r="O348" s="70">
        <f>IF(Table1[[#This Row],[Overall amount]]=0,0,1)</f>
        <v>1</v>
      </c>
      <c r="P348" s="70">
        <f>Table1[[#This Row],[Overall amount]]*Exchange_Rate</f>
        <v>12507.457824223689</v>
      </c>
      <c r="Q348" s="70">
        <f>Table1[[#This Row],[Overall (destination currency)]]*(1+Claims_Inflation)^((Revalue_at_date-Table1[[#This Row],[Loss date]])/365.25)</f>
        <v>14160</v>
      </c>
      <c r="R348" s="70">
        <f>INT(Table1[[#This Row],[Reporting date]])-INT(Table1[[#This Row],[Loss date]])</f>
        <v>535</v>
      </c>
      <c r="S348" s="69" t="s">
        <v>16</v>
      </c>
      <c r="T348" s="70">
        <f>VLOOKUP(Table1[[#This Row],[Policy Year]],exposure_table,3,FALSE)</f>
        <v>1057.54</v>
      </c>
      <c r="U348" s="17">
        <f>IF(MONTH(Table1[[#This Row],[Reporting date]])&lt;Policy_Inception_Month,YEAR(Table1[[#This Row],[Reporting date]])-1,YEAR(Table1[[#This Row],[Reporting date]]))</f>
        <v>2014</v>
      </c>
      <c r="V348" s="17">
        <f>Table1[[#This Row],[Reporting year]]-Table1[[#This Row],[Policy Year]]</f>
        <v>2</v>
      </c>
      <c r="W348" s="17">
        <f>INT(Table1[[#This Row],[Reporting date]])-INT(Table1[[#This Row],[Loss date]])</f>
        <v>535</v>
      </c>
      <c r="X348" s="17">
        <f>INT((YEAR(Table1[[#This Row],[Loss date]])*12+MONTH(Table1[[#This Row],[Loss date]])-Earliest_Month)/4)</f>
        <v>23</v>
      </c>
      <c r="Y348" s="17">
        <f>INT((YEAR(Table1[[#This Row],[Reporting date]])*12+MONTH(Table1[[#This Row],[Reporting date]])-Earliest_Month)/4)</f>
        <v>28</v>
      </c>
      <c r="Z348" s="17">
        <f>Table1[[#This Row],[Reporting third]]-Table1[[#This Row],[Policy third]]</f>
        <v>5</v>
      </c>
      <c r="AA348" s="71">
        <f>IF(Table1[[#This Row],[Overall amount]]=0,"N/A",Table1[[#This Row],[Outstanding]]/Table1[[#This Row],[Overall amount]])</f>
        <v>1</v>
      </c>
      <c r="AB348" s="17">
        <f>IF(MONTH(Table1[[#This Row],[Loss date]])&lt;Pol_Inc_Month_Shifted,YEAR(Table1[[#This Row],[Loss date]])-1,YEAR(Table1[[#This Row],[Loss date]]))</f>
        <v>2012</v>
      </c>
      <c r="AC348" s="17">
        <f>IF(MONTH(Table1[[#This Row],[Reporting date]])&lt;Pol_Inc_Month_Shifted,YEAR(Table1[[#This Row],[Reporting date]])-1,YEAR(Table1[[#This Row],[Reporting date]]))</f>
        <v>2013</v>
      </c>
      <c r="AD348" s="17">
        <f>Table1[[#This Row],[Reporting year (shifted)]]-Table1[[#This Row],[Policy Year (shifted)]]</f>
        <v>1</v>
      </c>
    </row>
    <row r="349" spans="1:30" ht="13.9">
      <c r="A349" s="8" t="s">
        <v>2119</v>
      </c>
      <c r="B349" s="8" t="s">
        <v>401</v>
      </c>
      <c r="C349" s="8" t="s">
        <v>123</v>
      </c>
      <c r="D349" s="9">
        <v>41820</v>
      </c>
      <c r="E349" s="9">
        <v>41889</v>
      </c>
      <c r="F349" s="17">
        <f>IF(MONTH(Table1[[#This Row],[Loss date]])&lt;Policy_Inception_Month,YEAR(Table1[[#This Row],[Loss date]])-1,YEAR(Table1[[#This Row],[Loss date]]))</f>
        <v>2014</v>
      </c>
      <c r="G349" s="10" t="s">
        <v>125</v>
      </c>
      <c r="H349" s="10" t="s">
        <v>2</v>
      </c>
      <c r="I349" s="11">
        <v>0</v>
      </c>
      <c r="J349" s="11">
        <v>13319.662960569423</v>
      </c>
      <c r="K349" s="11">
        <v>13319.662960569423</v>
      </c>
      <c r="L349" s="12">
        <v>0</v>
      </c>
      <c r="M349" s="12">
        <v>0</v>
      </c>
      <c r="N349" s="12">
        <v>13319.662960569423</v>
      </c>
      <c r="O349" s="70">
        <f>IF(Table1[[#This Row],[Overall amount]]=0,0,1)</f>
        <v>1</v>
      </c>
      <c r="P349" s="70">
        <f>Table1[[#This Row],[Overall amount]]*Exchange_Rate</f>
        <v>13319.662960569423</v>
      </c>
      <c r="Q349" s="70">
        <f>Table1[[#This Row],[Overall (destination currency)]]*(1+Claims_Inflation)^((Revalue_at_date-Table1[[#This Row],[Loss date]])/365.25)</f>
        <v>14160</v>
      </c>
      <c r="R349" s="70">
        <f>INT(Table1[[#This Row],[Reporting date]])-INT(Table1[[#This Row],[Loss date]])</f>
        <v>69</v>
      </c>
      <c r="S349" s="69" t="s">
        <v>16</v>
      </c>
      <c r="T349" s="70">
        <f>VLOOKUP(Table1[[#This Row],[Policy Year]],exposure_table,3,FALSE)</f>
        <v>1076.5070266272189</v>
      </c>
      <c r="U349" s="17">
        <f>IF(MONTH(Table1[[#This Row],[Reporting date]])&lt;Policy_Inception_Month,YEAR(Table1[[#This Row],[Reporting date]])-1,YEAR(Table1[[#This Row],[Reporting date]]))</f>
        <v>2014</v>
      </c>
      <c r="V349" s="17">
        <f>Table1[[#This Row],[Reporting year]]-Table1[[#This Row],[Policy Year]]</f>
        <v>0</v>
      </c>
      <c r="W349" s="17">
        <f>INT(Table1[[#This Row],[Reporting date]])-INT(Table1[[#This Row],[Loss date]])</f>
        <v>69</v>
      </c>
      <c r="X349" s="17">
        <f>INT((YEAR(Table1[[#This Row],[Loss date]])*12+MONTH(Table1[[#This Row],[Loss date]])-Earliest_Month)/4)</f>
        <v>27</v>
      </c>
      <c r="Y349" s="17">
        <f>INT((YEAR(Table1[[#This Row],[Reporting date]])*12+MONTH(Table1[[#This Row],[Reporting date]])-Earliest_Month)/4)</f>
        <v>28</v>
      </c>
      <c r="Z349" s="17">
        <f>Table1[[#This Row],[Reporting third]]-Table1[[#This Row],[Policy third]]</f>
        <v>1</v>
      </c>
      <c r="AA349" s="71">
        <f>IF(Table1[[#This Row],[Overall amount]]=0,"N/A",Table1[[#This Row],[Outstanding]]/Table1[[#This Row],[Overall amount]])</f>
        <v>1</v>
      </c>
      <c r="AB349" s="17">
        <f>IF(MONTH(Table1[[#This Row],[Loss date]])&lt;Pol_Inc_Month_Shifted,YEAR(Table1[[#This Row],[Loss date]])-1,YEAR(Table1[[#This Row],[Loss date]]))</f>
        <v>2013</v>
      </c>
      <c r="AC349" s="17">
        <f>IF(MONTH(Table1[[#This Row],[Reporting date]])&lt;Pol_Inc_Month_Shifted,YEAR(Table1[[#This Row],[Reporting date]])-1,YEAR(Table1[[#This Row],[Reporting date]]))</f>
        <v>2013</v>
      </c>
      <c r="AD349" s="17">
        <f>Table1[[#This Row],[Reporting year (shifted)]]-Table1[[#This Row],[Policy Year (shifted)]]</f>
        <v>0</v>
      </c>
    </row>
    <row r="350" spans="1:30" ht="13.9">
      <c r="A350" s="8" t="s">
        <v>2120</v>
      </c>
      <c r="B350" s="8" t="s">
        <v>402</v>
      </c>
      <c r="C350" s="8" t="s">
        <v>123</v>
      </c>
      <c r="D350" s="9">
        <v>41287</v>
      </c>
      <c r="E350" s="9">
        <v>41887</v>
      </c>
      <c r="F350" s="17">
        <f>IF(MONTH(Table1[[#This Row],[Loss date]])&lt;Policy_Inception_Month,YEAR(Table1[[#This Row],[Loss date]])-1,YEAR(Table1[[#This Row],[Loss date]]))</f>
        <v>2012</v>
      </c>
      <c r="G350" s="10" t="s">
        <v>125</v>
      </c>
      <c r="H350" s="10" t="s">
        <v>2</v>
      </c>
      <c r="I350" s="11">
        <v>0</v>
      </c>
      <c r="J350" s="11">
        <v>9986.5120517769537</v>
      </c>
      <c r="K350" s="11">
        <v>9986.5120517769537</v>
      </c>
      <c r="L350" s="12">
        <v>0</v>
      </c>
      <c r="M350" s="12">
        <v>0</v>
      </c>
      <c r="N350" s="12">
        <v>9986.5120517769537</v>
      </c>
      <c r="O350" s="70">
        <f>IF(Table1[[#This Row],[Overall amount]]=0,0,1)</f>
        <v>1</v>
      </c>
      <c r="P350" s="70">
        <f>Table1[[#This Row],[Overall amount]]*Exchange_Rate</f>
        <v>9986.5120517769537</v>
      </c>
      <c r="Q350" s="70">
        <f>Table1[[#This Row],[Overall (destination currency)]]*(1+Claims_Inflation)^((Revalue_at_date-Table1[[#This Row],[Loss date]])/365.25)</f>
        <v>11399.999999999998</v>
      </c>
      <c r="R350" s="70">
        <f>INT(Table1[[#This Row],[Reporting date]])-INT(Table1[[#This Row],[Loss date]])</f>
        <v>600</v>
      </c>
      <c r="S350" s="69" t="s">
        <v>16</v>
      </c>
      <c r="T350" s="70">
        <f>VLOOKUP(Table1[[#This Row],[Policy Year]],exposure_table,3,FALSE)</f>
        <v>1057.54</v>
      </c>
      <c r="U350" s="17">
        <f>IF(MONTH(Table1[[#This Row],[Reporting date]])&lt;Policy_Inception_Month,YEAR(Table1[[#This Row],[Reporting date]])-1,YEAR(Table1[[#This Row],[Reporting date]]))</f>
        <v>2014</v>
      </c>
      <c r="V350" s="17">
        <f>Table1[[#This Row],[Reporting year]]-Table1[[#This Row],[Policy Year]]</f>
        <v>2</v>
      </c>
      <c r="W350" s="17">
        <f>INT(Table1[[#This Row],[Reporting date]])-INT(Table1[[#This Row],[Loss date]])</f>
        <v>600</v>
      </c>
      <c r="X350" s="17">
        <f>INT((YEAR(Table1[[#This Row],[Loss date]])*12+MONTH(Table1[[#This Row],[Loss date]])-Earliest_Month)/4)</f>
        <v>23</v>
      </c>
      <c r="Y350" s="17">
        <f>INT((YEAR(Table1[[#This Row],[Reporting date]])*12+MONTH(Table1[[#This Row],[Reporting date]])-Earliest_Month)/4)</f>
        <v>28</v>
      </c>
      <c r="Z350" s="17">
        <f>Table1[[#This Row],[Reporting third]]-Table1[[#This Row],[Policy third]]</f>
        <v>5</v>
      </c>
      <c r="AA350" s="71">
        <f>IF(Table1[[#This Row],[Overall amount]]=0,"N/A",Table1[[#This Row],[Outstanding]]/Table1[[#This Row],[Overall amount]])</f>
        <v>1</v>
      </c>
      <c r="AB350" s="17">
        <f>IF(MONTH(Table1[[#This Row],[Loss date]])&lt;Pol_Inc_Month_Shifted,YEAR(Table1[[#This Row],[Loss date]])-1,YEAR(Table1[[#This Row],[Loss date]]))</f>
        <v>2012</v>
      </c>
      <c r="AC350" s="17">
        <f>IF(MONTH(Table1[[#This Row],[Reporting date]])&lt;Pol_Inc_Month_Shifted,YEAR(Table1[[#This Row],[Reporting date]])-1,YEAR(Table1[[#This Row],[Reporting date]]))</f>
        <v>2013</v>
      </c>
      <c r="AD350" s="17">
        <f>Table1[[#This Row],[Reporting year (shifted)]]-Table1[[#This Row],[Policy Year (shifted)]]</f>
        <v>1</v>
      </c>
    </row>
    <row r="351" spans="1:30" ht="13.9">
      <c r="A351" s="8" t="s">
        <v>2121</v>
      </c>
      <c r="B351" s="8" t="s">
        <v>403</v>
      </c>
      <c r="C351" s="8" t="s">
        <v>123</v>
      </c>
      <c r="D351" s="9">
        <v>41882</v>
      </c>
      <c r="E351" s="9">
        <v>41901</v>
      </c>
      <c r="F351" s="17">
        <f>IF(MONTH(Table1[[#This Row],[Loss date]])&lt;Policy_Inception_Month,YEAR(Table1[[#This Row],[Loss date]])-1,YEAR(Table1[[#This Row],[Loss date]]))</f>
        <v>2014</v>
      </c>
      <c r="G351" s="10" t="s">
        <v>125</v>
      </c>
      <c r="H351" s="10" t="s">
        <v>2</v>
      </c>
      <c r="I351" s="11">
        <v>0</v>
      </c>
      <c r="J351" s="11">
        <v>13430.434101382896</v>
      </c>
      <c r="K351" s="11">
        <v>13430.434101382896</v>
      </c>
      <c r="L351" s="12">
        <v>0</v>
      </c>
      <c r="M351" s="12">
        <v>0</v>
      </c>
      <c r="N351" s="12">
        <v>13430.434101382896</v>
      </c>
      <c r="O351" s="70">
        <f>IF(Table1[[#This Row],[Overall amount]]=0,0,1)</f>
        <v>1</v>
      </c>
      <c r="P351" s="70">
        <f>Table1[[#This Row],[Overall amount]]*Exchange_Rate</f>
        <v>13430.434101382896</v>
      </c>
      <c r="Q351" s="70">
        <f>Table1[[#This Row],[Overall (destination currency)]]*(1+Claims_Inflation)^((Revalue_at_date-Table1[[#This Row],[Loss date]])/365.25)</f>
        <v>14160</v>
      </c>
      <c r="R351" s="70">
        <f>INT(Table1[[#This Row],[Reporting date]])-INT(Table1[[#This Row],[Loss date]])</f>
        <v>19</v>
      </c>
      <c r="S351" s="69" t="s">
        <v>16</v>
      </c>
      <c r="T351" s="70">
        <f>VLOOKUP(Table1[[#This Row],[Policy Year]],exposure_table,3,FALSE)</f>
        <v>1076.5070266272189</v>
      </c>
      <c r="U351" s="17">
        <f>IF(MONTH(Table1[[#This Row],[Reporting date]])&lt;Policy_Inception_Month,YEAR(Table1[[#This Row],[Reporting date]])-1,YEAR(Table1[[#This Row],[Reporting date]]))</f>
        <v>2014</v>
      </c>
      <c r="V351" s="17">
        <f>Table1[[#This Row],[Reporting year]]-Table1[[#This Row],[Policy Year]]</f>
        <v>0</v>
      </c>
      <c r="W351" s="17">
        <f>INT(Table1[[#This Row],[Reporting date]])-INT(Table1[[#This Row],[Loss date]])</f>
        <v>19</v>
      </c>
      <c r="X351" s="17">
        <f>INT((YEAR(Table1[[#This Row],[Loss date]])*12+MONTH(Table1[[#This Row],[Loss date]])-Earliest_Month)/4)</f>
        <v>28</v>
      </c>
      <c r="Y351" s="17">
        <f>INT((YEAR(Table1[[#This Row],[Reporting date]])*12+MONTH(Table1[[#This Row],[Reporting date]])-Earliest_Month)/4)</f>
        <v>28</v>
      </c>
      <c r="Z351" s="17">
        <f>Table1[[#This Row],[Reporting third]]-Table1[[#This Row],[Policy third]]</f>
        <v>0</v>
      </c>
      <c r="AA351" s="71">
        <f>IF(Table1[[#This Row],[Overall amount]]=0,"N/A",Table1[[#This Row],[Outstanding]]/Table1[[#This Row],[Overall amount]])</f>
        <v>1</v>
      </c>
      <c r="AB351" s="17">
        <f>IF(MONTH(Table1[[#This Row],[Loss date]])&lt;Pol_Inc_Month_Shifted,YEAR(Table1[[#This Row],[Loss date]])-1,YEAR(Table1[[#This Row],[Loss date]]))</f>
        <v>2013</v>
      </c>
      <c r="AC351" s="17">
        <f>IF(MONTH(Table1[[#This Row],[Reporting date]])&lt;Pol_Inc_Month_Shifted,YEAR(Table1[[#This Row],[Reporting date]])-1,YEAR(Table1[[#This Row],[Reporting date]]))</f>
        <v>2013</v>
      </c>
      <c r="AD351" s="17">
        <f>Table1[[#This Row],[Reporting year (shifted)]]-Table1[[#This Row],[Policy Year (shifted)]]</f>
        <v>0</v>
      </c>
    </row>
    <row r="352" spans="1:30" ht="13.9">
      <c r="A352" s="8" t="s">
        <v>2122</v>
      </c>
      <c r="B352" s="8" t="s">
        <v>404</v>
      </c>
      <c r="C352" s="8" t="s">
        <v>123</v>
      </c>
      <c r="D352" s="9">
        <v>41632</v>
      </c>
      <c r="E352" s="9">
        <v>41883</v>
      </c>
      <c r="F352" s="17">
        <f>IF(MONTH(Table1[[#This Row],[Loss date]])&lt;Policy_Inception_Month,YEAR(Table1[[#This Row],[Loss date]])-1,YEAR(Table1[[#This Row],[Loss date]]))</f>
        <v>2013</v>
      </c>
      <c r="G352" s="10" t="s">
        <v>143</v>
      </c>
      <c r="H352" s="10" t="s">
        <v>2</v>
      </c>
      <c r="I352" s="11">
        <v>0</v>
      </c>
      <c r="J352" s="11">
        <v>1.1007907161785806</v>
      </c>
      <c r="K352" s="11">
        <v>1.1007907161785806</v>
      </c>
      <c r="L352" s="12">
        <v>0</v>
      </c>
      <c r="M352" s="12">
        <v>0</v>
      </c>
      <c r="N352" s="12">
        <v>1.1007907161785806</v>
      </c>
      <c r="O352" s="70">
        <f>IF(Table1[[#This Row],[Overall amount]]=0,0,1)</f>
        <v>1</v>
      </c>
      <c r="P352" s="70">
        <f>Table1[[#This Row],[Overall amount]]*Exchange_Rate</f>
        <v>1.1007907161785806</v>
      </c>
      <c r="Q352" s="70">
        <f>Table1[[#This Row],[Overall (destination currency)]]*(1+Claims_Inflation)^((Revalue_at_date-Table1[[#This Row],[Loss date]])/365.25)</f>
        <v>1.2</v>
      </c>
      <c r="R352" s="70">
        <f>INT(Table1[[#This Row],[Reporting date]])-INT(Table1[[#This Row],[Loss date]])</f>
        <v>251</v>
      </c>
      <c r="S352" s="69" t="s">
        <v>16</v>
      </c>
      <c r="T352" s="70">
        <f>VLOOKUP(Table1[[#This Row],[Policy Year]],exposure_table,3,FALSE)</f>
        <v>1090.5865384615383</v>
      </c>
      <c r="U352" s="17">
        <f>IF(MONTH(Table1[[#This Row],[Reporting date]])&lt;Policy_Inception_Month,YEAR(Table1[[#This Row],[Reporting date]])-1,YEAR(Table1[[#This Row],[Reporting date]]))</f>
        <v>2014</v>
      </c>
      <c r="V352" s="17">
        <f>Table1[[#This Row],[Reporting year]]-Table1[[#This Row],[Policy Year]]</f>
        <v>1</v>
      </c>
      <c r="W352" s="17">
        <f>INT(Table1[[#This Row],[Reporting date]])-INT(Table1[[#This Row],[Loss date]])</f>
        <v>251</v>
      </c>
      <c r="X352" s="17">
        <f>INT((YEAR(Table1[[#This Row],[Loss date]])*12+MONTH(Table1[[#This Row],[Loss date]])-Earliest_Month)/4)</f>
        <v>26</v>
      </c>
      <c r="Y352" s="17">
        <f>INT((YEAR(Table1[[#This Row],[Reporting date]])*12+MONTH(Table1[[#This Row],[Reporting date]])-Earliest_Month)/4)</f>
        <v>28</v>
      </c>
      <c r="Z352" s="17">
        <f>Table1[[#This Row],[Reporting third]]-Table1[[#This Row],[Policy third]]</f>
        <v>2</v>
      </c>
      <c r="AA352" s="71">
        <f>IF(Table1[[#This Row],[Overall amount]]=0,"N/A",Table1[[#This Row],[Outstanding]]/Table1[[#This Row],[Overall amount]])</f>
        <v>1</v>
      </c>
      <c r="AB352" s="17">
        <f>IF(MONTH(Table1[[#This Row],[Loss date]])&lt;Pol_Inc_Month_Shifted,YEAR(Table1[[#This Row],[Loss date]])-1,YEAR(Table1[[#This Row],[Loss date]]))</f>
        <v>2013</v>
      </c>
      <c r="AC352" s="17">
        <f>IF(MONTH(Table1[[#This Row],[Reporting date]])&lt;Pol_Inc_Month_Shifted,YEAR(Table1[[#This Row],[Reporting date]])-1,YEAR(Table1[[#This Row],[Reporting date]]))</f>
        <v>2013</v>
      </c>
      <c r="AD352" s="17">
        <f>Table1[[#This Row],[Reporting year (shifted)]]-Table1[[#This Row],[Policy Year (shifted)]]</f>
        <v>0</v>
      </c>
    </row>
    <row r="353" spans="1:30" ht="13.9">
      <c r="A353" s="8" t="s">
        <v>2123</v>
      </c>
      <c r="B353" s="8" t="s">
        <v>405</v>
      </c>
      <c r="C353" s="8" t="s">
        <v>123</v>
      </c>
      <c r="D353" s="9">
        <v>41807</v>
      </c>
      <c r="E353" s="9">
        <v>41910</v>
      </c>
      <c r="F353" s="17">
        <f>IF(MONTH(Table1[[#This Row],[Loss date]])&lt;Policy_Inception_Month,YEAR(Table1[[#This Row],[Loss date]])-1,YEAR(Table1[[#This Row],[Loss date]]))</f>
        <v>2014</v>
      </c>
      <c r="G353" s="10" t="s">
        <v>125</v>
      </c>
      <c r="H353" s="10" t="s">
        <v>2</v>
      </c>
      <c r="I353" s="11">
        <v>0</v>
      </c>
      <c r="J353" s="11">
        <v>12958.504917522932</v>
      </c>
      <c r="K353" s="11">
        <v>12958.504917522932</v>
      </c>
      <c r="L353" s="12">
        <v>338.04795437016344</v>
      </c>
      <c r="M353" s="12">
        <v>0</v>
      </c>
      <c r="N353" s="12">
        <v>13296.552871893096</v>
      </c>
      <c r="O353" s="70">
        <f>IF(Table1[[#This Row],[Overall amount]]=0,0,1)</f>
        <v>1</v>
      </c>
      <c r="P353" s="70">
        <f>Table1[[#This Row],[Overall amount]]*Exchange_Rate</f>
        <v>13296.552871893096</v>
      </c>
      <c r="Q353" s="70">
        <f>Table1[[#This Row],[Overall (destination currency)]]*(1+Claims_Inflation)^((Revalue_at_date-Table1[[#This Row],[Loss date]])/365.25)</f>
        <v>14160</v>
      </c>
      <c r="R353" s="70">
        <f>INT(Table1[[#This Row],[Reporting date]])-INT(Table1[[#This Row],[Loss date]])</f>
        <v>103</v>
      </c>
      <c r="S353" s="69" t="s">
        <v>16</v>
      </c>
      <c r="T353" s="70">
        <f>VLOOKUP(Table1[[#This Row],[Policy Year]],exposure_table,3,FALSE)</f>
        <v>1076.5070266272189</v>
      </c>
      <c r="U353" s="17">
        <f>IF(MONTH(Table1[[#This Row],[Reporting date]])&lt;Policy_Inception_Month,YEAR(Table1[[#This Row],[Reporting date]])-1,YEAR(Table1[[#This Row],[Reporting date]]))</f>
        <v>2014</v>
      </c>
      <c r="V353" s="17">
        <f>Table1[[#This Row],[Reporting year]]-Table1[[#This Row],[Policy Year]]</f>
        <v>0</v>
      </c>
      <c r="W353" s="17">
        <f>INT(Table1[[#This Row],[Reporting date]])-INT(Table1[[#This Row],[Loss date]])</f>
        <v>103</v>
      </c>
      <c r="X353" s="17">
        <f>INT((YEAR(Table1[[#This Row],[Loss date]])*12+MONTH(Table1[[#This Row],[Loss date]])-Earliest_Month)/4)</f>
        <v>27</v>
      </c>
      <c r="Y353" s="17">
        <f>INT((YEAR(Table1[[#This Row],[Reporting date]])*12+MONTH(Table1[[#This Row],[Reporting date]])-Earliest_Month)/4)</f>
        <v>28</v>
      </c>
      <c r="Z353" s="17">
        <f>Table1[[#This Row],[Reporting third]]-Table1[[#This Row],[Policy third]]</f>
        <v>1</v>
      </c>
      <c r="AA353" s="71">
        <f>IF(Table1[[#This Row],[Overall amount]]=0,"N/A",Table1[[#This Row],[Outstanding]]/Table1[[#This Row],[Overall amount]])</f>
        <v>0.97457627118644063</v>
      </c>
      <c r="AB353" s="17">
        <f>IF(MONTH(Table1[[#This Row],[Loss date]])&lt;Pol_Inc_Month_Shifted,YEAR(Table1[[#This Row],[Loss date]])-1,YEAR(Table1[[#This Row],[Loss date]]))</f>
        <v>2013</v>
      </c>
      <c r="AC353" s="17">
        <f>IF(MONTH(Table1[[#This Row],[Reporting date]])&lt;Pol_Inc_Month_Shifted,YEAR(Table1[[#This Row],[Reporting date]])-1,YEAR(Table1[[#This Row],[Reporting date]]))</f>
        <v>2013</v>
      </c>
      <c r="AD353" s="17">
        <f>Table1[[#This Row],[Reporting year (shifted)]]-Table1[[#This Row],[Policy Year (shifted)]]</f>
        <v>0</v>
      </c>
    </row>
    <row r="354" spans="1:30" ht="13.9">
      <c r="A354" s="8" t="s">
        <v>2124</v>
      </c>
      <c r="B354" s="8" t="s">
        <v>406</v>
      </c>
      <c r="C354" s="8" t="s">
        <v>123</v>
      </c>
      <c r="D354" s="9">
        <v>41851</v>
      </c>
      <c r="E354" s="9">
        <v>41887</v>
      </c>
      <c r="F354" s="17">
        <f>IF(MONTH(Table1[[#This Row],[Loss date]])&lt;Policy_Inception_Month,YEAR(Table1[[#This Row],[Loss date]])-1,YEAR(Table1[[#This Row],[Loss date]]))</f>
        <v>2014</v>
      </c>
      <c r="G354" s="10" t="s">
        <v>125</v>
      </c>
      <c r="H354" s="10" t="s">
        <v>2</v>
      </c>
      <c r="I354" s="11">
        <v>0</v>
      </c>
      <c r="J354" s="11">
        <v>12468.158679049629</v>
      </c>
      <c r="K354" s="11">
        <v>12468.158679049629</v>
      </c>
      <c r="L354" s="12">
        <v>0</v>
      </c>
      <c r="M354" s="12">
        <v>0</v>
      </c>
      <c r="N354" s="12">
        <v>12468.158679049629</v>
      </c>
      <c r="O354" s="70">
        <f>IF(Table1[[#This Row],[Overall amount]]=0,0,1)</f>
        <v>1</v>
      </c>
      <c r="P354" s="70">
        <f>Table1[[#This Row],[Overall amount]]*Exchange_Rate</f>
        <v>12468.158679049629</v>
      </c>
      <c r="Q354" s="70">
        <f>Table1[[#This Row],[Overall (destination currency)]]*(1+Claims_Inflation)^((Revalue_at_date-Table1[[#This Row],[Loss date]])/365.25)</f>
        <v>13200.000000000002</v>
      </c>
      <c r="R354" s="70">
        <f>INT(Table1[[#This Row],[Reporting date]])-INT(Table1[[#This Row],[Loss date]])</f>
        <v>36</v>
      </c>
      <c r="S354" s="69" t="s">
        <v>16</v>
      </c>
      <c r="T354" s="70">
        <f>VLOOKUP(Table1[[#This Row],[Policy Year]],exposure_table,3,FALSE)</f>
        <v>1076.5070266272189</v>
      </c>
      <c r="U354" s="17">
        <f>IF(MONTH(Table1[[#This Row],[Reporting date]])&lt;Policy_Inception_Month,YEAR(Table1[[#This Row],[Reporting date]])-1,YEAR(Table1[[#This Row],[Reporting date]]))</f>
        <v>2014</v>
      </c>
      <c r="V354" s="17">
        <f>Table1[[#This Row],[Reporting year]]-Table1[[#This Row],[Policy Year]]</f>
        <v>0</v>
      </c>
      <c r="W354" s="17">
        <f>INT(Table1[[#This Row],[Reporting date]])-INT(Table1[[#This Row],[Loss date]])</f>
        <v>36</v>
      </c>
      <c r="X354" s="17">
        <f>INT((YEAR(Table1[[#This Row],[Loss date]])*12+MONTH(Table1[[#This Row],[Loss date]])-Earliest_Month)/4)</f>
        <v>27</v>
      </c>
      <c r="Y354" s="17">
        <f>INT((YEAR(Table1[[#This Row],[Reporting date]])*12+MONTH(Table1[[#This Row],[Reporting date]])-Earliest_Month)/4)</f>
        <v>28</v>
      </c>
      <c r="Z354" s="17">
        <f>Table1[[#This Row],[Reporting third]]-Table1[[#This Row],[Policy third]]</f>
        <v>1</v>
      </c>
      <c r="AA354" s="71">
        <f>IF(Table1[[#This Row],[Overall amount]]=0,"N/A",Table1[[#This Row],[Outstanding]]/Table1[[#This Row],[Overall amount]])</f>
        <v>1</v>
      </c>
      <c r="AB354" s="17">
        <f>IF(MONTH(Table1[[#This Row],[Loss date]])&lt;Pol_Inc_Month_Shifted,YEAR(Table1[[#This Row],[Loss date]])-1,YEAR(Table1[[#This Row],[Loss date]]))</f>
        <v>2013</v>
      </c>
      <c r="AC354" s="17">
        <f>IF(MONTH(Table1[[#This Row],[Reporting date]])&lt;Pol_Inc_Month_Shifted,YEAR(Table1[[#This Row],[Reporting date]])-1,YEAR(Table1[[#This Row],[Reporting date]]))</f>
        <v>2013</v>
      </c>
      <c r="AD354" s="17">
        <f>Table1[[#This Row],[Reporting year (shifted)]]-Table1[[#This Row],[Policy Year (shifted)]]</f>
        <v>0</v>
      </c>
    </row>
    <row r="355" spans="1:30" ht="13.9">
      <c r="A355" s="8" t="s">
        <v>2125</v>
      </c>
      <c r="B355" s="8" t="s">
        <v>407</v>
      </c>
      <c r="C355" s="8" t="s">
        <v>123</v>
      </c>
      <c r="D355" s="9">
        <v>41749</v>
      </c>
      <c r="E355" s="9">
        <v>41887</v>
      </c>
      <c r="F355" s="17">
        <f>IF(MONTH(Table1[[#This Row],[Loss date]])&lt;Policy_Inception_Month,YEAR(Table1[[#This Row],[Loss date]])-1,YEAR(Table1[[#This Row],[Loss date]]))</f>
        <v>2014</v>
      </c>
      <c r="G355" s="10" t="s">
        <v>125</v>
      </c>
      <c r="H355" s="10" t="s">
        <v>2</v>
      </c>
      <c r="I355" s="11">
        <v>0</v>
      </c>
      <c r="J355" s="11">
        <v>11740.364877565404</v>
      </c>
      <c r="K355" s="11">
        <v>11740.364877565404</v>
      </c>
      <c r="L355" s="12">
        <v>0</v>
      </c>
      <c r="M355" s="12">
        <v>0</v>
      </c>
      <c r="N355" s="12">
        <v>11740.364877565404</v>
      </c>
      <c r="O355" s="70">
        <f>IF(Table1[[#This Row],[Overall amount]]=0,0,1)</f>
        <v>1</v>
      </c>
      <c r="P355" s="70">
        <f>Table1[[#This Row],[Overall amount]]*Exchange_Rate</f>
        <v>11740.364877565404</v>
      </c>
      <c r="Q355" s="70">
        <f>Table1[[#This Row],[Overall (destination currency)]]*(1+Claims_Inflation)^((Revalue_at_date-Table1[[#This Row],[Loss date]])/365.25)</f>
        <v>12600.000000000002</v>
      </c>
      <c r="R355" s="70">
        <f>INT(Table1[[#This Row],[Reporting date]])-INT(Table1[[#This Row],[Loss date]])</f>
        <v>138</v>
      </c>
      <c r="S355" s="69" t="s">
        <v>16</v>
      </c>
      <c r="T355" s="70">
        <f>VLOOKUP(Table1[[#This Row],[Policy Year]],exposure_table,3,FALSE)</f>
        <v>1076.5070266272189</v>
      </c>
      <c r="U355" s="17">
        <f>IF(MONTH(Table1[[#This Row],[Reporting date]])&lt;Policy_Inception_Month,YEAR(Table1[[#This Row],[Reporting date]])-1,YEAR(Table1[[#This Row],[Reporting date]]))</f>
        <v>2014</v>
      </c>
      <c r="V355" s="17">
        <f>Table1[[#This Row],[Reporting year]]-Table1[[#This Row],[Policy Year]]</f>
        <v>0</v>
      </c>
      <c r="W355" s="17">
        <f>INT(Table1[[#This Row],[Reporting date]])-INT(Table1[[#This Row],[Loss date]])</f>
        <v>138</v>
      </c>
      <c r="X355" s="17">
        <f>INT((YEAR(Table1[[#This Row],[Loss date]])*12+MONTH(Table1[[#This Row],[Loss date]])-Earliest_Month)/4)</f>
        <v>27</v>
      </c>
      <c r="Y355" s="17">
        <f>INT((YEAR(Table1[[#This Row],[Reporting date]])*12+MONTH(Table1[[#This Row],[Reporting date]])-Earliest_Month)/4)</f>
        <v>28</v>
      </c>
      <c r="Z355" s="17">
        <f>Table1[[#This Row],[Reporting third]]-Table1[[#This Row],[Policy third]]</f>
        <v>1</v>
      </c>
      <c r="AA355" s="71">
        <f>IF(Table1[[#This Row],[Overall amount]]=0,"N/A",Table1[[#This Row],[Outstanding]]/Table1[[#This Row],[Overall amount]])</f>
        <v>1</v>
      </c>
      <c r="AB355" s="17">
        <f>IF(MONTH(Table1[[#This Row],[Loss date]])&lt;Pol_Inc_Month_Shifted,YEAR(Table1[[#This Row],[Loss date]])-1,YEAR(Table1[[#This Row],[Loss date]]))</f>
        <v>2013</v>
      </c>
      <c r="AC355" s="17">
        <f>IF(MONTH(Table1[[#This Row],[Reporting date]])&lt;Pol_Inc_Month_Shifted,YEAR(Table1[[#This Row],[Reporting date]])-1,YEAR(Table1[[#This Row],[Reporting date]]))</f>
        <v>2013</v>
      </c>
      <c r="AD355" s="17">
        <f>Table1[[#This Row],[Reporting year (shifted)]]-Table1[[#This Row],[Policy Year (shifted)]]</f>
        <v>0</v>
      </c>
    </row>
    <row r="356" spans="1:30" ht="13.9">
      <c r="A356" s="8" t="s">
        <v>2126</v>
      </c>
      <c r="B356" s="8" t="s">
        <v>408</v>
      </c>
      <c r="C356" s="8" t="s">
        <v>123</v>
      </c>
      <c r="D356" s="9">
        <v>40911</v>
      </c>
      <c r="E356" s="9">
        <v>41888</v>
      </c>
      <c r="F356" s="17">
        <f>IF(MONTH(Table1[[#This Row],[Loss date]])&lt;Policy_Inception_Month,YEAR(Table1[[#This Row],[Loss date]])-1,YEAR(Table1[[#This Row],[Loss date]]))</f>
        <v>2011</v>
      </c>
      <c r="G356" s="10" t="s">
        <v>125</v>
      </c>
      <c r="H356" s="10" t="s">
        <v>2</v>
      </c>
      <c r="I356" s="11">
        <v>0</v>
      </c>
      <c r="J356" s="11">
        <v>10097.146526127814</v>
      </c>
      <c r="K356" s="11">
        <v>10097.146526127814</v>
      </c>
      <c r="L356" s="12">
        <v>299.91524335033097</v>
      </c>
      <c r="M356" s="12">
        <v>0</v>
      </c>
      <c r="N356" s="12">
        <v>10397.061769478145</v>
      </c>
      <c r="O356" s="70">
        <f>IF(Table1[[#This Row],[Overall amount]]=0,0,1)</f>
        <v>1</v>
      </c>
      <c r="P356" s="70">
        <f>Table1[[#This Row],[Overall amount]]*Exchange_Rate</f>
        <v>10397.061769478145</v>
      </c>
      <c r="Q356" s="70">
        <f>Table1[[#This Row],[Overall (destination currency)]]*(1+Claims_Inflation)^((Revalue_at_date-Table1[[#This Row],[Loss date]])/365.25)</f>
        <v>12480.000000000004</v>
      </c>
      <c r="R356" s="70">
        <f>INT(Table1[[#This Row],[Reporting date]])-INT(Table1[[#This Row],[Loss date]])</f>
        <v>977</v>
      </c>
      <c r="S356" s="69" t="s">
        <v>16</v>
      </c>
      <c r="T356" s="70">
        <f>VLOOKUP(Table1[[#This Row],[Policy Year]],exposure_table,3,FALSE)</f>
        <v>870.52680000000009</v>
      </c>
      <c r="U356" s="17">
        <f>IF(MONTH(Table1[[#This Row],[Reporting date]])&lt;Policy_Inception_Month,YEAR(Table1[[#This Row],[Reporting date]])-1,YEAR(Table1[[#This Row],[Reporting date]]))</f>
        <v>2014</v>
      </c>
      <c r="V356" s="17">
        <f>Table1[[#This Row],[Reporting year]]-Table1[[#This Row],[Policy Year]]</f>
        <v>3</v>
      </c>
      <c r="W356" s="17">
        <f>INT(Table1[[#This Row],[Reporting date]])-INT(Table1[[#This Row],[Loss date]])</f>
        <v>977</v>
      </c>
      <c r="X356" s="17">
        <f>INT((YEAR(Table1[[#This Row],[Loss date]])*12+MONTH(Table1[[#This Row],[Loss date]])-Earliest_Month)/4)</f>
        <v>20</v>
      </c>
      <c r="Y356" s="17">
        <f>INT((YEAR(Table1[[#This Row],[Reporting date]])*12+MONTH(Table1[[#This Row],[Reporting date]])-Earliest_Month)/4)</f>
        <v>28</v>
      </c>
      <c r="Z356" s="17">
        <f>Table1[[#This Row],[Reporting third]]-Table1[[#This Row],[Policy third]]</f>
        <v>8</v>
      </c>
      <c r="AA356" s="71">
        <f>IF(Table1[[#This Row],[Overall amount]]=0,"N/A",Table1[[#This Row],[Outstanding]]/Table1[[#This Row],[Overall amount]])</f>
        <v>0.97115384615384615</v>
      </c>
      <c r="AB356" s="17">
        <f>IF(MONTH(Table1[[#This Row],[Loss date]])&lt;Pol_Inc_Month_Shifted,YEAR(Table1[[#This Row],[Loss date]])-1,YEAR(Table1[[#This Row],[Loss date]]))</f>
        <v>2011</v>
      </c>
      <c r="AC356" s="17">
        <f>IF(MONTH(Table1[[#This Row],[Reporting date]])&lt;Pol_Inc_Month_Shifted,YEAR(Table1[[#This Row],[Reporting date]])-1,YEAR(Table1[[#This Row],[Reporting date]]))</f>
        <v>2013</v>
      </c>
      <c r="AD356" s="17">
        <f>Table1[[#This Row],[Reporting year (shifted)]]-Table1[[#This Row],[Policy Year (shifted)]]</f>
        <v>2</v>
      </c>
    </row>
    <row r="357" spans="1:30" ht="13.9">
      <c r="A357" s="8" t="s">
        <v>2127</v>
      </c>
      <c r="B357" s="8" t="s">
        <v>409</v>
      </c>
      <c r="C357" s="8" t="s">
        <v>123</v>
      </c>
      <c r="D357" s="9">
        <v>41689</v>
      </c>
      <c r="E357" s="9">
        <v>41894</v>
      </c>
      <c r="F357" s="17">
        <f>IF(MONTH(Table1[[#This Row],[Loss date]])&lt;Policy_Inception_Month,YEAR(Table1[[#This Row],[Loss date]])-1,YEAR(Table1[[#This Row],[Loss date]]))</f>
        <v>2013</v>
      </c>
      <c r="G357" s="10" t="s">
        <v>125</v>
      </c>
      <c r="H357" s="10" t="s">
        <v>2</v>
      </c>
      <c r="I357" s="11">
        <v>0</v>
      </c>
      <c r="J357" s="11">
        <v>11202.962464661918</v>
      </c>
      <c r="K357" s="11">
        <v>11202.962464661918</v>
      </c>
      <c r="L357" s="12">
        <v>332.76126132659158</v>
      </c>
      <c r="M357" s="12">
        <v>0</v>
      </c>
      <c r="N357" s="12">
        <v>11535.72372598851</v>
      </c>
      <c r="O357" s="70">
        <f>IF(Table1[[#This Row],[Overall amount]]=0,0,1)</f>
        <v>1</v>
      </c>
      <c r="P357" s="70">
        <f>Table1[[#This Row],[Overall amount]]*Exchange_Rate</f>
        <v>11535.72372598851</v>
      </c>
      <c r="Q357" s="70">
        <f>Table1[[#This Row],[Overall (destination currency)]]*(1+Claims_Inflation)^((Revalue_at_date-Table1[[#This Row],[Loss date]])/365.25)</f>
        <v>12480.000000000002</v>
      </c>
      <c r="R357" s="70">
        <f>INT(Table1[[#This Row],[Reporting date]])-INT(Table1[[#This Row],[Loss date]])</f>
        <v>205</v>
      </c>
      <c r="S357" s="69" t="s">
        <v>16</v>
      </c>
      <c r="T357" s="70">
        <f>VLOOKUP(Table1[[#This Row],[Policy Year]],exposure_table,3,FALSE)</f>
        <v>1090.5865384615383</v>
      </c>
      <c r="U357" s="17">
        <f>IF(MONTH(Table1[[#This Row],[Reporting date]])&lt;Policy_Inception_Month,YEAR(Table1[[#This Row],[Reporting date]])-1,YEAR(Table1[[#This Row],[Reporting date]]))</f>
        <v>2014</v>
      </c>
      <c r="V357" s="17">
        <f>Table1[[#This Row],[Reporting year]]-Table1[[#This Row],[Policy Year]]</f>
        <v>1</v>
      </c>
      <c r="W357" s="17">
        <f>INT(Table1[[#This Row],[Reporting date]])-INT(Table1[[#This Row],[Loss date]])</f>
        <v>205</v>
      </c>
      <c r="X357" s="17">
        <f>INT((YEAR(Table1[[#This Row],[Loss date]])*12+MONTH(Table1[[#This Row],[Loss date]])-Earliest_Month)/4)</f>
        <v>26</v>
      </c>
      <c r="Y357" s="17">
        <f>INT((YEAR(Table1[[#This Row],[Reporting date]])*12+MONTH(Table1[[#This Row],[Reporting date]])-Earliest_Month)/4)</f>
        <v>28</v>
      </c>
      <c r="Z357" s="17">
        <f>Table1[[#This Row],[Reporting third]]-Table1[[#This Row],[Policy third]]</f>
        <v>2</v>
      </c>
      <c r="AA357" s="71">
        <f>IF(Table1[[#This Row],[Overall amount]]=0,"N/A",Table1[[#This Row],[Outstanding]]/Table1[[#This Row],[Overall amount]])</f>
        <v>0.97115384615384615</v>
      </c>
      <c r="AB357" s="17">
        <f>IF(MONTH(Table1[[#This Row],[Loss date]])&lt;Pol_Inc_Month_Shifted,YEAR(Table1[[#This Row],[Loss date]])-1,YEAR(Table1[[#This Row],[Loss date]]))</f>
        <v>2013</v>
      </c>
      <c r="AC357" s="17">
        <f>IF(MONTH(Table1[[#This Row],[Reporting date]])&lt;Pol_Inc_Month_Shifted,YEAR(Table1[[#This Row],[Reporting date]])-1,YEAR(Table1[[#This Row],[Reporting date]]))</f>
        <v>2013</v>
      </c>
      <c r="AD357" s="17">
        <f>Table1[[#This Row],[Reporting year (shifted)]]-Table1[[#This Row],[Policy Year (shifted)]]</f>
        <v>0</v>
      </c>
    </row>
    <row r="358" spans="1:30" ht="13.9">
      <c r="A358" s="8" t="s">
        <v>2128</v>
      </c>
      <c r="B358" s="8" t="s">
        <v>410</v>
      </c>
      <c r="C358" s="8" t="s">
        <v>123</v>
      </c>
      <c r="D358" s="9">
        <v>41547</v>
      </c>
      <c r="E358" s="9">
        <v>41905</v>
      </c>
      <c r="F358" s="17">
        <f>IF(MONTH(Table1[[#This Row],[Loss date]])&lt;Policy_Inception_Month,YEAR(Table1[[#This Row],[Loss date]])-1,YEAR(Table1[[#This Row],[Loss date]]))</f>
        <v>2013</v>
      </c>
      <c r="G358" s="10" t="s">
        <v>125</v>
      </c>
      <c r="H358" s="10" t="s">
        <v>2</v>
      </c>
      <c r="I358" s="11">
        <v>0</v>
      </c>
      <c r="J358" s="11">
        <v>10883.626798756144</v>
      </c>
      <c r="K358" s="11">
        <v>10883.626798756144</v>
      </c>
      <c r="L358" s="12">
        <v>0</v>
      </c>
      <c r="M358" s="12">
        <v>672.60813616312976</v>
      </c>
      <c r="N358" s="12">
        <v>10211.018662593015</v>
      </c>
      <c r="O358" s="70">
        <f>IF(Table1[[#This Row],[Overall amount]]=0,0,1)</f>
        <v>1</v>
      </c>
      <c r="P358" s="70">
        <f>Table1[[#This Row],[Overall amount]]*Exchange_Rate</f>
        <v>10211.018662593015</v>
      </c>
      <c r="Q358" s="70">
        <f>Table1[[#This Row],[Overall (destination currency)]]*(1+Claims_Inflation)^((Revalue_at_date-Table1[[#This Row],[Loss date]])/365.25)</f>
        <v>11258.4</v>
      </c>
      <c r="R358" s="70">
        <f>INT(Table1[[#This Row],[Reporting date]])-INT(Table1[[#This Row],[Loss date]])</f>
        <v>358</v>
      </c>
      <c r="S358" s="69" t="s">
        <v>16</v>
      </c>
      <c r="T358" s="70">
        <f>VLOOKUP(Table1[[#This Row],[Policy Year]],exposure_table,3,FALSE)</f>
        <v>1090.5865384615383</v>
      </c>
      <c r="U358" s="17">
        <f>IF(MONTH(Table1[[#This Row],[Reporting date]])&lt;Policy_Inception_Month,YEAR(Table1[[#This Row],[Reporting date]])-1,YEAR(Table1[[#This Row],[Reporting date]]))</f>
        <v>2014</v>
      </c>
      <c r="V358" s="17">
        <f>Table1[[#This Row],[Reporting year]]-Table1[[#This Row],[Policy Year]]</f>
        <v>1</v>
      </c>
      <c r="W358" s="17">
        <f>INT(Table1[[#This Row],[Reporting date]])-INT(Table1[[#This Row],[Loss date]])</f>
        <v>358</v>
      </c>
      <c r="X358" s="17">
        <f>INT((YEAR(Table1[[#This Row],[Loss date]])*12+MONTH(Table1[[#This Row],[Loss date]])-Earliest_Month)/4)</f>
        <v>25</v>
      </c>
      <c r="Y358" s="17">
        <f>INT((YEAR(Table1[[#This Row],[Reporting date]])*12+MONTH(Table1[[#This Row],[Reporting date]])-Earliest_Month)/4)</f>
        <v>28</v>
      </c>
      <c r="Z358" s="17">
        <f>Table1[[#This Row],[Reporting third]]-Table1[[#This Row],[Policy third]]</f>
        <v>3</v>
      </c>
      <c r="AA358" s="71">
        <f>IF(Table1[[#This Row],[Overall amount]]=0,"N/A",Table1[[#This Row],[Outstanding]]/Table1[[#This Row],[Overall amount]])</f>
        <v>1.0658708164570454</v>
      </c>
      <c r="AB358" s="17">
        <f>IF(MONTH(Table1[[#This Row],[Loss date]])&lt;Pol_Inc_Month_Shifted,YEAR(Table1[[#This Row],[Loss date]])-1,YEAR(Table1[[#This Row],[Loss date]]))</f>
        <v>2012</v>
      </c>
      <c r="AC358" s="17">
        <f>IF(MONTH(Table1[[#This Row],[Reporting date]])&lt;Pol_Inc_Month_Shifted,YEAR(Table1[[#This Row],[Reporting date]])-1,YEAR(Table1[[#This Row],[Reporting date]]))</f>
        <v>2013</v>
      </c>
      <c r="AD358" s="17">
        <f>Table1[[#This Row],[Reporting year (shifted)]]-Table1[[#This Row],[Policy Year (shifted)]]</f>
        <v>1</v>
      </c>
    </row>
    <row r="359" spans="1:30" ht="13.9">
      <c r="A359" s="8" t="s">
        <v>2129</v>
      </c>
      <c r="B359" s="8" t="s">
        <v>411</v>
      </c>
      <c r="C359" s="8" t="s">
        <v>123</v>
      </c>
      <c r="D359" s="9">
        <v>41213</v>
      </c>
      <c r="E359" s="9">
        <v>41887</v>
      </c>
      <c r="F359" s="17">
        <f>IF(MONTH(Table1[[#This Row],[Loss date]])&lt;Policy_Inception_Month,YEAR(Table1[[#This Row],[Loss date]])-1,YEAR(Table1[[#This Row],[Loss date]]))</f>
        <v>2012</v>
      </c>
      <c r="G359" s="10" t="s">
        <v>124</v>
      </c>
      <c r="H359" s="10" t="s">
        <v>2</v>
      </c>
      <c r="I359" s="11">
        <v>0</v>
      </c>
      <c r="J359" s="11">
        <v>9992.3695185811375</v>
      </c>
      <c r="K359" s="11">
        <v>9992.3695185811375</v>
      </c>
      <c r="L359" s="12">
        <v>0</v>
      </c>
      <c r="M359" s="12">
        <v>0</v>
      </c>
      <c r="N359" s="12">
        <v>9992.3695185811375</v>
      </c>
      <c r="O359" s="70">
        <f>IF(Table1[[#This Row],[Overall amount]]=0,0,1)</f>
        <v>1</v>
      </c>
      <c r="P359" s="70">
        <f>Table1[[#This Row],[Overall amount]]*Exchange_Rate</f>
        <v>9992.3695185811375</v>
      </c>
      <c r="Q359" s="70">
        <f>Table1[[#This Row],[Overall (destination currency)]]*(1+Claims_Inflation)^((Revalue_at_date-Table1[[#This Row],[Loss date]])/365.25)</f>
        <v>11520</v>
      </c>
      <c r="R359" s="70">
        <f>INT(Table1[[#This Row],[Reporting date]])-INT(Table1[[#This Row],[Loss date]])</f>
        <v>674</v>
      </c>
      <c r="S359" s="69" t="s">
        <v>16</v>
      </c>
      <c r="T359" s="70">
        <f>VLOOKUP(Table1[[#This Row],[Policy Year]],exposure_table,3,FALSE)</f>
        <v>1057.54</v>
      </c>
      <c r="U359" s="17">
        <f>IF(MONTH(Table1[[#This Row],[Reporting date]])&lt;Policy_Inception_Month,YEAR(Table1[[#This Row],[Reporting date]])-1,YEAR(Table1[[#This Row],[Reporting date]]))</f>
        <v>2014</v>
      </c>
      <c r="V359" s="17">
        <f>Table1[[#This Row],[Reporting year]]-Table1[[#This Row],[Policy Year]]</f>
        <v>2</v>
      </c>
      <c r="W359" s="17">
        <f>INT(Table1[[#This Row],[Reporting date]])-INT(Table1[[#This Row],[Loss date]])</f>
        <v>674</v>
      </c>
      <c r="X359" s="17">
        <f>INT((YEAR(Table1[[#This Row],[Loss date]])*12+MONTH(Table1[[#This Row],[Loss date]])-Earliest_Month)/4)</f>
        <v>22</v>
      </c>
      <c r="Y359" s="17">
        <f>INT((YEAR(Table1[[#This Row],[Reporting date]])*12+MONTH(Table1[[#This Row],[Reporting date]])-Earliest_Month)/4)</f>
        <v>28</v>
      </c>
      <c r="Z359" s="17">
        <f>Table1[[#This Row],[Reporting third]]-Table1[[#This Row],[Policy third]]</f>
        <v>6</v>
      </c>
      <c r="AA359" s="71">
        <f>IF(Table1[[#This Row],[Overall amount]]=0,"N/A",Table1[[#This Row],[Outstanding]]/Table1[[#This Row],[Overall amount]])</f>
        <v>1</v>
      </c>
      <c r="AB359" s="17">
        <f>IF(MONTH(Table1[[#This Row],[Loss date]])&lt;Pol_Inc_Month_Shifted,YEAR(Table1[[#This Row],[Loss date]])-1,YEAR(Table1[[#This Row],[Loss date]]))</f>
        <v>2011</v>
      </c>
      <c r="AC359" s="17">
        <f>IF(MONTH(Table1[[#This Row],[Reporting date]])&lt;Pol_Inc_Month_Shifted,YEAR(Table1[[#This Row],[Reporting date]])-1,YEAR(Table1[[#This Row],[Reporting date]]))</f>
        <v>2013</v>
      </c>
      <c r="AD359" s="17">
        <f>Table1[[#This Row],[Reporting year (shifted)]]-Table1[[#This Row],[Policy Year (shifted)]]</f>
        <v>2</v>
      </c>
    </row>
    <row r="360" spans="1:30" ht="13.9">
      <c r="A360" s="8" t="s">
        <v>2130</v>
      </c>
      <c r="B360" s="8" t="s">
        <v>412</v>
      </c>
      <c r="C360" s="8" t="s">
        <v>123</v>
      </c>
      <c r="D360" s="9">
        <v>41835</v>
      </c>
      <c r="E360" s="9">
        <v>41887</v>
      </c>
      <c r="F360" s="17">
        <f>IF(MONTH(Table1[[#This Row],[Loss date]])&lt;Policy_Inception_Month,YEAR(Table1[[#This Row],[Loss date]])-1,YEAR(Table1[[#This Row],[Loss date]]))</f>
        <v>2014</v>
      </c>
      <c r="G360" s="10" t="s">
        <v>125</v>
      </c>
      <c r="H360" s="10" t="s">
        <v>2</v>
      </c>
      <c r="I360" s="11">
        <v>0</v>
      </c>
      <c r="J360" s="11">
        <v>10744.965631233268</v>
      </c>
      <c r="K360" s="11">
        <v>10744.965631233268</v>
      </c>
      <c r="L360" s="12">
        <v>0</v>
      </c>
      <c r="M360" s="12">
        <v>0</v>
      </c>
      <c r="N360" s="12">
        <v>10744.965631233268</v>
      </c>
      <c r="O360" s="70">
        <f>IF(Table1[[#This Row],[Overall amount]]=0,0,1)</f>
        <v>1</v>
      </c>
      <c r="P360" s="70">
        <f>Table1[[#This Row],[Overall amount]]*Exchange_Rate</f>
        <v>10744.965631233268</v>
      </c>
      <c r="Q360" s="70">
        <f>Table1[[#This Row],[Overall (destination currency)]]*(1+Claims_Inflation)^((Revalue_at_date-Table1[[#This Row],[Loss date]])/365.25)</f>
        <v>11400</v>
      </c>
      <c r="R360" s="70">
        <f>INT(Table1[[#This Row],[Reporting date]])-INT(Table1[[#This Row],[Loss date]])</f>
        <v>52</v>
      </c>
      <c r="S360" s="69" t="s">
        <v>16</v>
      </c>
      <c r="T360" s="70">
        <f>VLOOKUP(Table1[[#This Row],[Policy Year]],exposure_table,3,FALSE)</f>
        <v>1076.5070266272189</v>
      </c>
      <c r="U360" s="17">
        <f>IF(MONTH(Table1[[#This Row],[Reporting date]])&lt;Policy_Inception_Month,YEAR(Table1[[#This Row],[Reporting date]])-1,YEAR(Table1[[#This Row],[Reporting date]]))</f>
        <v>2014</v>
      </c>
      <c r="V360" s="17">
        <f>Table1[[#This Row],[Reporting year]]-Table1[[#This Row],[Policy Year]]</f>
        <v>0</v>
      </c>
      <c r="W360" s="17">
        <f>INT(Table1[[#This Row],[Reporting date]])-INT(Table1[[#This Row],[Loss date]])</f>
        <v>52</v>
      </c>
      <c r="X360" s="17">
        <f>INT((YEAR(Table1[[#This Row],[Loss date]])*12+MONTH(Table1[[#This Row],[Loss date]])-Earliest_Month)/4)</f>
        <v>27</v>
      </c>
      <c r="Y360" s="17">
        <f>INT((YEAR(Table1[[#This Row],[Reporting date]])*12+MONTH(Table1[[#This Row],[Reporting date]])-Earliest_Month)/4)</f>
        <v>28</v>
      </c>
      <c r="Z360" s="17">
        <f>Table1[[#This Row],[Reporting third]]-Table1[[#This Row],[Policy third]]</f>
        <v>1</v>
      </c>
      <c r="AA360" s="71">
        <f>IF(Table1[[#This Row],[Overall amount]]=0,"N/A",Table1[[#This Row],[Outstanding]]/Table1[[#This Row],[Overall amount]])</f>
        <v>1</v>
      </c>
      <c r="AB360" s="17">
        <f>IF(MONTH(Table1[[#This Row],[Loss date]])&lt;Pol_Inc_Month_Shifted,YEAR(Table1[[#This Row],[Loss date]])-1,YEAR(Table1[[#This Row],[Loss date]]))</f>
        <v>2013</v>
      </c>
      <c r="AC360" s="17">
        <f>IF(MONTH(Table1[[#This Row],[Reporting date]])&lt;Pol_Inc_Month_Shifted,YEAR(Table1[[#This Row],[Reporting date]])-1,YEAR(Table1[[#This Row],[Reporting date]]))</f>
        <v>2013</v>
      </c>
      <c r="AD360" s="17">
        <f>Table1[[#This Row],[Reporting year (shifted)]]-Table1[[#This Row],[Policy Year (shifted)]]</f>
        <v>0</v>
      </c>
    </row>
    <row r="361" spans="1:30" ht="13.9">
      <c r="A361" s="8" t="s">
        <v>2131</v>
      </c>
      <c r="B361" s="8" t="s">
        <v>413</v>
      </c>
      <c r="C361" s="8" t="s">
        <v>123</v>
      </c>
      <c r="D361" s="9">
        <v>41793</v>
      </c>
      <c r="E361" s="9">
        <v>41891</v>
      </c>
      <c r="F361" s="17">
        <f>IF(MONTH(Table1[[#This Row],[Loss date]])&lt;Policy_Inception_Month,YEAR(Table1[[#This Row],[Loss date]])-1,YEAR(Table1[[#This Row],[Loss date]]))</f>
        <v>2014</v>
      </c>
      <c r="G361" s="10" t="s">
        <v>125</v>
      </c>
      <c r="H361" s="10" t="s">
        <v>2</v>
      </c>
      <c r="I361" s="11">
        <v>0</v>
      </c>
      <c r="J361" s="11">
        <v>10684.851210083569</v>
      </c>
      <c r="K361" s="11">
        <v>10684.851210083569</v>
      </c>
      <c r="L361" s="12">
        <v>0</v>
      </c>
      <c r="M361" s="12">
        <v>0</v>
      </c>
      <c r="N361" s="12">
        <v>10684.851210083569</v>
      </c>
      <c r="O361" s="70">
        <f>IF(Table1[[#This Row],[Overall amount]]=0,0,1)</f>
        <v>1</v>
      </c>
      <c r="P361" s="70">
        <f>Table1[[#This Row],[Overall amount]]*Exchange_Rate</f>
        <v>10684.851210083569</v>
      </c>
      <c r="Q361" s="70">
        <f>Table1[[#This Row],[Overall (destination currency)]]*(1+Claims_Inflation)^((Revalue_at_date-Table1[[#This Row],[Loss date]])/365.25)</f>
        <v>11400</v>
      </c>
      <c r="R361" s="70">
        <f>INT(Table1[[#This Row],[Reporting date]])-INT(Table1[[#This Row],[Loss date]])</f>
        <v>98</v>
      </c>
      <c r="S361" s="69" t="s">
        <v>16</v>
      </c>
      <c r="T361" s="70">
        <f>VLOOKUP(Table1[[#This Row],[Policy Year]],exposure_table,3,FALSE)</f>
        <v>1076.5070266272189</v>
      </c>
      <c r="U361" s="17">
        <f>IF(MONTH(Table1[[#This Row],[Reporting date]])&lt;Policy_Inception_Month,YEAR(Table1[[#This Row],[Reporting date]])-1,YEAR(Table1[[#This Row],[Reporting date]]))</f>
        <v>2014</v>
      </c>
      <c r="V361" s="17">
        <f>Table1[[#This Row],[Reporting year]]-Table1[[#This Row],[Policy Year]]</f>
        <v>0</v>
      </c>
      <c r="W361" s="17">
        <f>INT(Table1[[#This Row],[Reporting date]])-INT(Table1[[#This Row],[Loss date]])</f>
        <v>98</v>
      </c>
      <c r="X361" s="17">
        <f>INT((YEAR(Table1[[#This Row],[Loss date]])*12+MONTH(Table1[[#This Row],[Loss date]])-Earliest_Month)/4)</f>
        <v>27</v>
      </c>
      <c r="Y361" s="17">
        <f>INT((YEAR(Table1[[#This Row],[Reporting date]])*12+MONTH(Table1[[#This Row],[Reporting date]])-Earliest_Month)/4)</f>
        <v>28</v>
      </c>
      <c r="Z361" s="17">
        <f>Table1[[#This Row],[Reporting third]]-Table1[[#This Row],[Policy third]]</f>
        <v>1</v>
      </c>
      <c r="AA361" s="71">
        <f>IF(Table1[[#This Row],[Overall amount]]=0,"N/A",Table1[[#This Row],[Outstanding]]/Table1[[#This Row],[Overall amount]])</f>
        <v>1</v>
      </c>
      <c r="AB361" s="17">
        <f>IF(MONTH(Table1[[#This Row],[Loss date]])&lt;Pol_Inc_Month_Shifted,YEAR(Table1[[#This Row],[Loss date]])-1,YEAR(Table1[[#This Row],[Loss date]]))</f>
        <v>2013</v>
      </c>
      <c r="AC361" s="17">
        <f>IF(MONTH(Table1[[#This Row],[Reporting date]])&lt;Pol_Inc_Month_Shifted,YEAR(Table1[[#This Row],[Reporting date]])-1,YEAR(Table1[[#This Row],[Reporting date]]))</f>
        <v>2013</v>
      </c>
      <c r="AD361" s="17">
        <f>Table1[[#This Row],[Reporting year (shifted)]]-Table1[[#This Row],[Policy Year (shifted)]]</f>
        <v>0</v>
      </c>
    </row>
    <row r="362" spans="1:30" ht="13.9">
      <c r="A362" s="8" t="s">
        <v>2132</v>
      </c>
      <c r="B362" s="8" t="s">
        <v>414</v>
      </c>
      <c r="C362" s="8" t="s">
        <v>123</v>
      </c>
      <c r="D362" s="9">
        <v>41796</v>
      </c>
      <c r="E362" s="9">
        <v>41909</v>
      </c>
      <c r="F362" s="17">
        <f>IF(MONTH(Table1[[#This Row],[Loss date]])&lt;Policy_Inception_Month,YEAR(Table1[[#This Row],[Loss date]])-1,YEAR(Table1[[#This Row],[Loss date]]))</f>
        <v>2014</v>
      </c>
      <c r="G362" s="10" t="s">
        <v>125</v>
      </c>
      <c r="H362" s="10" t="s">
        <v>2</v>
      </c>
      <c r="I362" s="11">
        <v>0</v>
      </c>
      <c r="J362" s="11">
        <v>8438.7899380252384</v>
      </c>
      <c r="K362" s="11">
        <v>8438.7899380252384</v>
      </c>
      <c r="L362" s="12">
        <v>337.55159752100951</v>
      </c>
      <c r="M362" s="12">
        <v>0</v>
      </c>
      <c r="N362" s="12">
        <v>8776.3415355462475</v>
      </c>
      <c r="O362" s="70">
        <f>IF(Table1[[#This Row],[Overall amount]]=0,0,1)</f>
        <v>1</v>
      </c>
      <c r="P362" s="70">
        <f>Table1[[#This Row],[Overall amount]]*Exchange_Rate</f>
        <v>8776.3415355462475</v>
      </c>
      <c r="Q362" s="70">
        <f>Table1[[#This Row],[Overall (destination currency)]]*(1+Claims_Inflation)^((Revalue_at_date-Table1[[#This Row],[Loss date]])/365.25)</f>
        <v>9360</v>
      </c>
      <c r="R362" s="70">
        <f>INT(Table1[[#This Row],[Reporting date]])-INT(Table1[[#This Row],[Loss date]])</f>
        <v>113</v>
      </c>
      <c r="S362" s="69" t="s">
        <v>16</v>
      </c>
      <c r="T362" s="70">
        <f>VLOOKUP(Table1[[#This Row],[Policy Year]],exposure_table,3,FALSE)</f>
        <v>1076.5070266272189</v>
      </c>
      <c r="U362" s="17">
        <f>IF(MONTH(Table1[[#This Row],[Reporting date]])&lt;Policy_Inception_Month,YEAR(Table1[[#This Row],[Reporting date]])-1,YEAR(Table1[[#This Row],[Reporting date]]))</f>
        <v>2014</v>
      </c>
      <c r="V362" s="17">
        <f>Table1[[#This Row],[Reporting year]]-Table1[[#This Row],[Policy Year]]</f>
        <v>0</v>
      </c>
      <c r="W362" s="17">
        <f>INT(Table1[[#This Row],[Reporting date]])-INT(Table1[[#This Row],[Loss date]])</f>
        <v>113</v>
      </c>
      <c r="X362" s="17">
        <f>INT((YEAR(Table1[[#This Row],[Loss date]])*12+MONTH(Table1[[#This Row],[Loss date]])-Earliest_Month)/4)</f>
        <v>27</v>
      </c>
      <c r="Y362" s="17">
        <f>INT((YEAR(Table1[[#This Row],[Reporting date]])*12+MONTH(Table1[[#This Row],[Reporting date]])-Earliest_Month)/4)</f>
        <v>28</v>
      </c>
      <c r="Z362" s="17">
        <f>Table1[[#This Row],[Reporting third]]-Table1[[#This Row],[Policy third]]</f>
        <v>1</v>
      </c>
      <c r="AA362" s="71">
        <f>IF(Table1[[#This Row],[Overall amount]]=0,"N/A",Table1[[#This Row],[Outstanding]]/Table1[[#This Row],[Overall amount]])</f>
        <v>0.96153846153846156</v>
      </c>
      <c r="AB362" s="17">
        <f>IF(MONTH(Table1[[#This Row],[Loss date]])&lt;Pol_Inc_Month_Shifted,YEAR(Table1[[#This Row],[Loss date]])-1,YEAR(Table1[[#This Row],[Loss date]]))</f>
        <v>2013</v>
      </c>
      <c r="AC362" s="17">
        <f>IF(MONTH(Table1[[#This Row],[Reporting date]])&lt;Pol_Inc_Month_Shifted,YEAR(Table1[[#This Row],[Reporting date]])-1,YEAR(Table1[[#This Row],[Reporting date]]))</f>
        <v>2013</v>
      </c>
      <c r="AD362" s="17">
        <f>Table1[[#This Row],[Reporting year (shifted)]]-Table1[[#This Row],[Policy Year (shifted)]]</f>
        <v>0</v>
      </c>
    </row>
    <row r="363" spans="1:30" ht="13.9">
      <c r="A363" s="8" t="s">
        <v>2133</v>
      </c>
      <c r="B363" s="8" t="s">
        <v>415</v>
      </c>
      <c r="C363" s="8" t="s">
        <v>123</v>
      </c>
      <c r="D363" s="9">
        <v>41705</v>
      </c>
      <c r="E363" s="9">
        <v>41887</v>
      </c>
      <c r="F363" s="17">
        <f>IF(MONTH(Table1[[#This Row],[Loss date]])&lt;Policy_Inception_Month,YEAR(Table1[[#This Row],[Loss date]])-1,YEAR(Table1[[#This Row],[Loss date]]))</f>
        <v>2013</v>
      </c>
      <c r="G363" s="10" t="s">
        <v>125</v>
      </c>
      <c r="H363" s="10" t="s">
        <v>2</v>
      </c>
      <c r="I363" s="11">
        <v>0</v>
      </c>
      <c r="J363" s="11">
        <v>3334.7322688840563</v>
      </c>
      <c r="K363" s="11">
        <v>3334.7322688840563</v>
      </c>
      <c r="L363" s="12">
        <v>0</v>
      </c>
      <c r="M363" s="12">
        <v>223.7605352421202</v>
      </c>
      <c r="N363" s="12">
        <v>3110.9717336419362</v>
      </c>
      <c r="O363" s="70">
        <f>IF(Table1[[#This Row],[Overall amount]]=0,0,1)</f>
        <v>1</v>
      </c>
      <c r="P363" s="70">
        <f>Table1[[#This Row],[Overall amount]]*Exchange_Rate</f>
        <v>3110.9717336419362</v>
      </c>
      <c r="Q363" s="70">
        <f>Table1[[#This Row],[Overall (destination currency)]]*(1+Claims_Inflation)^((Revalue_at_date-Table1[[#This Row],[Loss date]])/365.25)</f>
        <v>3358.4399999999996</v>
      </c>
      <c r="R363" s="70">
        <f>INT(Table1[[#This Row],[Reporting date]])-INT(Table1[[#This Row],[Loss date]])</f>
        <v>182</v>
      </c>
      <c r="S363" s="69" t="s">
        <v>16</v>
      </c>
      <c r="T363" s="70">
        <f>VLOOKUP(Table1[[#This Row],[Policy Year]],exposure_table,3,FALSE)</f>
        <v>1090.5865384615383</v>
      </c>
      <c r="U363" s="17">
        <f>IF(MONTH(Table1[[#This Row],[Reporting date]])&lt;Policy_Inception_Month,YEAR(Table1[[#This Row],[Reporting date]])-1,YEAR(Table1[[#This Row],[Reporting date]]))</f>
        <v>2014</v>
      </c>
      <c r="V363" s="17">
        <f>Table1[[#This Row],[Reporting year]]-Table1[[#This Row],[Policy Year]]</f>
        <v>1</v>
      </c>
      <c r="W363" s="17">
        <f>INT(Table1[[#This Row],[Reporting date]])-INT(Table1[[#This Row],[Loss date]])</f>
        <v>182</v>
      </c>
      <c r="X363" s="17">
        <f>INT((YEAR(Table1[[#This Row],[Loss date]])*12+MONTH(Table1[[#This Row],[Loss date]])-Earliest_Month)/4)</f>
        <v>26</v>
      </c>
      <c r="Y363" s="17">
        <f>INT((YEAR(Table1[[#This Row],[Reporting date]])*12+MONTH(Table1[[#This Row],[Reporting date]])-Earliest_Month)/4)</f>
        <v>28</v>
      </c>
      <c r="Z363" s="17">
        <f>Table1[[#This Row],[Reporting third]]-Table1[[#This Row],[Policy third]]</f>
        <v>2</v>
      </c>
      <c r="AA363" s="71">
        <f>IF(Table1[[#This Row],[Overall amount]]=0,"N/A",Table1[[#This Row],[Outstanding]]/Table1[[#This Row],[Overall amount]])</f>
        <v>1.0719262514738985</v>
      </c>
      <c r="AB363" s="17">
        <f>IF(MONTH(Table1[[#This Row],[Loss date]])&lt;Pol_Inc_Month_Shifted,YEAR(Table1[[#This Row],[Loss date]])-1,YEAR(Table1[[#This Row],[Loss date]]))</f>
        <v>2013</v>
      </c>
      <c r="AC363" s="17">
        <f>IF(MONTH(Table1[[#This Row],[Reporting date]])&lt;Pol_Inc_Month_Shifted,YEAR(Table1[[#This Row],[Reporting date]])-1,YEAR(Table1[[#This Row],[Reporting date]]))</f>
        <v>2013</v>
      </c>
      <c r="AD363" s="17">
        <f>Table1[[#This Row],[Reporting year (shifted)]]-Table1[[#This Row],[Policy Year (shifted)]]</f>
        <v>0</v>
      </c>
    </row>
    <row r="364" spans="1:30" ht="13.9">
      <c r="A364" s="8" t="s">
        <v>2134</v>
      </c>
      <c r="B364" s="8" t="s">
        <v>416</v>
      </c>
      <c r="C364" s="8" t="s">
        <v>123</v>
      </c>
      <c r="D364" s="9">
        <v>41754</v>
      </c>
      <c r="E364" s="9">
        <v>41887</v>
      </c>
      <c r="F364" s="17">
        <f>IF(MONTH(Table1[[#This Row],[Loss date]])&lt;Policy_Inception_Month,YEAR(Table1[[#This Row],[Loss date]])-1,YEAR(Table1[[#This Row],[Loss date]]))</f>
        <v>2014</v>
      </c>
      <c r="G364" s="10" t="s">
        <v>125</v>
      </c>
      <c r="H364" s="10" t="s">
        <v>2</v>
      </c>
      <c r="I364" s="11">
        <v>0</v>
      </c>
      <c r="J364" s="11">
        <v>2237.7540757345587</v>
      </c>
      <c r="K364" s="11">
        <v>2237.7540757345587</v>
      </c>
      <c r="L364" s="12">
        <v>0</v>
      </c>
      <c r="M364" s="12">
        <v>0</v>
      </c>
      <c r="N364" s="12">
        <v>2237.7540757345587</v>
      </c>
      <c r="O364" s="70">
        <f>IF(Table1[[#This Row],[Overall amount]]=0,0,1)</f>
        <v>1</v>
      </c>
      <c r="P364" s="70">
        <f>Table1[[#This Row],[Overall amount]]*Exchange_Rate</f>
        <v>2237.7540757345587</v>
      </c>
      <c r="Q364" s="70">
        <f>Table1[[#This Row],[Overall (destination currency)]]*(1+Claims_Inflation)^((Revalue_at_date-Table1[[#This Row],[Loss date]])/365.25)</f>
        <v>2400.0000000000005</v>
      </c>
      <c r="R364" s="70">
        <f>INT(Table1[[#This Row],[Reporting date]])-INT(Table1[[#This Row],[Loss date]])</f>
        <v>133</v>
      </c>
      <c r="S364" s="69" t="s">
        <v>16</v>
      </c>
      <c r="T364" s="70">
        <f>VLOOKUP(Table1[[#This Row],[Policy Year]],exposure_table,3,FALSE)</f>
        <v>1076.5070266272189</v>
      </c>
      <c r="U364" s="17">
        <f>IF(MONTH(Table1[[#This Row],[Reporting date]])&lt;Policy_Inception_Month,YEAR(Table1[[#This Row],[Reporting date]])-1,YEAR(Table1[[#This Row],[Reporting date]]))</f>
        <v>2014</v>
      </c>
      <c r="V364" s="17">
        <f>Table1[[#This Row],[Reporting year]]-Table1[[#This Row],[Policy Year]]</f>
        <v>0</v>
      </c>
      <c r="W364" s="17">
        <f>INT(Table1[[#This Row],[Reporting date]])-INT(Table1[[#This Row],[Loss date]])</f>
        <v>133</v>
      </c>
      <c r="X364" s="17">
        <f>INT((YEAR(Table1[[#This Row],[Loss date]])*12+MONTH(Table1[[#This Row],[Loss date]])-Earliest_Month)/4)</f>
        <v>27</v>
      </c>
      <c r="Y364" s="17">
        <f>INT((YEAR(Table1[[#This Row],[Reporting date]])*12+MONTH(Table1[[#This Row],[Reporting date]])-Earliest_Month)/4)</f>
        <v>28</v>
      </c>
      <c r="Z364" s="17">
        <f>Table1[[#This Row],[Reporting third]]-Table1[[#This Row],[Policy third]]</f>
        <v>1</v>
      </c>
      <c r="AA364" s="71">
        <f>IF(Table1[[#This Row],[Overall amount]]=0,"N/A",Table1[[#This Row],[Outstanding]]/Table1[[#This Row],[Overall amount]])</f>
        <v>1</v>
      </c>
      <c r="AB364" s="17">
        <f>IF(MONTH(Table1[[#This Row],[Loss date]])&lt;Pol_Inc_Month_Shifted,YEAR(Table1[[#This Row],[Loss date]])-1,YEAR(Table1[[#This Row],[Loss date]]))</f>
        <v>2013</v>
      </c>
      <c r="AC364" s="17">
        <f>IF(MONTH(Table1[[#This Row],[Reporting date]])&lt;Pol_Inc_Month_Shifted,YEAR(Table1[[#This Row],[Reporting date]])-1,YEAR(Table1[[#This Row],[Reporting date]]))</f>
        <v>2013</v>
      </c>
      <c r="AD364" s="17">
        <f>Table1[[#This Row],[Reporting year (shifted)]]-Table1[[#This Row],[Policy Year (shifted)]]</f>
        <v>0</v>
      </c>
    </row>
    <row r="365" spans="1:30" ht="13.9">
      <c r="A365" s="8" t="s">
        <v>2135</v>
      </c>
      <c r="B365" s="8" t="s">
        <v>417</v>
      </c>
      <c r="C365" s="8" t="s">
        <v>123</v>
      </c>
      <c r="D365" s="9">
        <v>41918</v>
      </c>
      <c r="E365" s="9">
        <v>41929</v>
      </c>
      <c r="F365" s="17">
        <f>IF(MONTH(Table1[[#This Row],[Loss date]])&lt;Policy_Inception_Month,YEAR(Table1[[#This Row],[Loss date]])-1,YEAR(Table1[[#This Row],[Loss date]]))</f>
        <v>2014</v>
      </c>
      <c r="G365" s="10" t="s">
        <v>125</v>
      </c>
      <c r="H365" s="10" t="s">
        <v>2</v>
      </c>
      <c r="I365" s="11">
        <v>0</v>
      </c>
      <c r="J365" s="11">
        <v>11436.5890509686</v>
      </c>
      <c r="K365" s="11">
        <v>11436.5890509686</v>
      </c>
      <c r="L365" s="12">
        <v>343.09767152905795</v>
      </c>
      <c r="M365" s="12">
        <v>0</v>
      </c>
      <c r="N365" s="12">
        <v>11779.686722497658</v>
      </c>
      <c r="O365" s="70">
        <f>IF(Table1[[#This Row],[Overall amount]]=0,0,1)</f>
        <v>1</v>
      </c>
      <c r="P365" s="70">
        <f>Table1[[#This Row],[Overall amount]]*Exchange_Rate</f>
        <v>11779.686722497658</v>
      </c>
      <c r="Q365" s="70">
        <f>Table1[[#This Row],[Overall (destination currency)]]*(1+Claims_Inflation)^((Revalue_at_date-Table1[[#This Row],[Loss date]])/365.25)</f>
        <v>12360</v>
      </c>
      <c r="R365" s="70">
        <f>INT(Table1[[#This Row],[Reporting date]])-INT(Table1[[#This Row],[Loss date]])</f>
        <v>11</v>
      </c>
      <c r="S365" s="69" t="s">
        <v>16</v>
      </c>
      <c r="T365" s="70">
        <f>VLOOKUP(Table1[[#This Row],[Policy Year]],exposure_table,3,FALSE)</f>
        <v>1076.5070266272189</v>
      </c>
      <c r="U365" s="17">
        <f>IF(MONTH(Table1[[#This Row],[Reporting date]])&lt;Policy_Inception_Month,YEAR(Table1[[#This Row],[Reporting date]])-1,YEAR(Table1[[#This Row],[Reporting date]]))</f>
        <v>2014</v>
      </c>
      <c r="V365" s="17">
        <f>Table1[[#This Row],[Reporting year]]-Table1[[#This Row],[Policy Year]]</f>
        <v>0</v>
      </c>
      <c r="W365" s="17">
        <f>INT(Table1[[#This Row],[Reporting date]])-INT(Table1[[#This Row],[Loss date]])</f>
        <v>11</v>
      </c>
      <c r="X365" s="17">
        <f>INT((YEAR(Table1[[#This Row],[Loss date]])*12+MONTH(Table1[[#This Row],[Loss date]])-Earliest_Month)/4)</f>
        <v>28</v>
      </c>
      <c r="Y365" s="17">
        <f>INT((YEAR(Table1[[#This Row],[Reporting date]])*12+MONTH(Table1[[#This Row],[Reporting date]])-Earliest_Month)/4)</f>
        <v>28</v>
      </c>
      <c r="Z365" s="17">
        <f>Table1[[#This Row],[Reporting third]]-Table1[[#This Row],[Policy third]]</f>
        <v>0</v>
      </c>
      <c r="AA365" s="71">
        <f>IF(Table1[[#This Row],[Overall amount]]=0,"N/A",Table1[[#This Row],[Outstanding]]/Table1[[#This Row],[Overall amount]])</f>
        <v>0.970873786407767</v>
      </c>
      <c r="AB365" s="17">
        <f>IF(MONTH(Table1[[#This Row],[Loss date]])&lt;Pol_Inc_Month_Shifted,YEAR(Table1[[#This Row],[Loss date]])-1,YEAR(Table1[[#This Row],[Loss date]]))</f>
        <v>2013</v>
      </c>
      <c r="AC365" s="17">
        <f>IF(MONTH(Table1[[#This Row],[Reporting date]])&lt;Pol_Inc_Month_Shifted,YEAR(Table1[[#This Row],[Reporting date]])-1,YEAR(Table1[[#This Row],[Reporting date]]))</f>
        <v>2013</v>
      </c>
      <c r="AD365" s="17">
        <f>Table1[[#This Row],[Reporting year (shifted)]]-Table1[[#This Row],[Policy Year (shifted)]]</f>
        <v>0</v>
      </c>
    </row>
    <row r="366" spans="1:30" ht="13.9">
      <c r="A366" s="8" t="s">
        <v>2136</v>
      </c>
      <c r="B366" s="8" t="s">
        <v>418</v>
      </c>
      <c r="C366" s="8" t="s">
        <v>123</v>
      </c>
      <c r="D366" s="9">
        <v>41371</v>
      </c>
      <c r="E366" s="9">
        <v>41938</v>
      </c>
      <c r="F366" s="17">
        <f>IF(MONTH(Table1[[#This Row],[Loss date]])&lt;Policy_Inception_Month,YEAR(Table1[[#This Row],[Loss date]])-1,YEAR(Table1[[#This Row],[Loss date]]))</f>
        <v>2013</v>
      </c>
      <c r="G366" s="10" t="s">
        <v>125</v>
      </c>
      <c r="H366" s="10" t="s">
        <v>2</v>
      </c>
      <c r="I366" s="11">
        <v>0</v>
      </c>
      <c r="J366" s="11">
        <v>10630.735894348396</v>
      </c>
      <c r="K366" s="11">
        <v>10630.735894348396</v>
      </c>
      <c r="L366" s="12">
        <v>0</v>
      </c>
      <c r="M366" s="12">
        <v>0</v>
      </c>
      <c r="N366" s="12">
        <v>10630.735894348396</v>
      </c>
      <c r="O366" s="70">
        <f>IF(Table1[[#This Row],[Overall amount]]=0,0,1)</f>
        <v>1</v>
      </c>
      <c r="P366" s="70">
        <f>Table1[[#This Row],[Overall amount]]*Exchange_Rate</f>
        <v>10630.735894348396</v>
      </c>
      <c r="Q366" s="70">
        <f>Table1[[#This Row],[Overall (destination currency)]]*(1+Claims_Inflation)^((Revalue_at_date-Table1[[#This Row],[Loss date]])/365.25)</f>
        <v>12000</v>
      </c>
      <c r="R366" s="70">
        <f>INT(Table1[[#This Row],[Reporting date]])-INT(Table1[[#This Row],[Loss date]])</f>
        <v>567</v>
      </c>
      <c r="S366" s="69" t="s">
        <v>16</v>
      </c>
      <c r="T366" s="70">
        <f>VLOOKUP(Table1[[#This Row],[Policy Year]],exposure_table,3,FALSE)</f>
        <v>1090.5865384615383</v>
      </c>
      <c r="U366" s="17">
        <f>IF(MONTH(Table1[[#This Row],[Reporting date]])&lt;Policy_Inception_Month,YEAR(Table1[[#This Row],[Reporting date]])-1,YEAR(Table1[[#This Row],[Reporting date]]))</f>
        <v>2014</v>
      </c>
      <c r="V366" s="17">
        <f>Table1[[#This Row],[Reporting year]]-Table1[[#This Row],[Policy Year]]</f>
        <v>1</v>
      </c>
      <c r="W366" s="17">
        <f>INT(Table1[[#This Row],[Reporting date]])-INT(Table1[[#This Row],[Loss date]])</f>
        <v>567</v>
      </c>
      <c r="X366" s="17">
        <f>INT((YEAR(Table1[[#This Row],[Loss date]])*12+MONTH(Table1[[#This Row],[Loss date]])-Earliest_Month)/4)</f>
        <v>24</v>
      </c>
      <c r="Y366" s="17">
        <f>INT((YEAR(Table1[[#This Row],[Reporting date]])*12+MONTH(Table1[[#This Row],[Reporting date]])-Earliest_Month)/4)</f>
        <v>28</v>
      </c>
      <c r="Z366" s="17">
        <f>Table1[[#This Row],[Reporting third]]-Table1[[#This Row],[Policy third]]</f>
        <v>4</v>
      </c>
      <c r="AA366" s="71">
        <f>IF(Table1[[#This Row],[Overall amount]]=0,"N/A",Table1[[#This Row],[Outstanding]]/Table1[[#This Row],[Overall amount]])</f>
        <v>1</v>
      </c>
      <c r="AB366" s="17">
        <f>IF(MONTH(Table1[[#This Row],[Loss date]])&lt;Pol_Inc_Month_Shifted,YEAR(Table1[[#This Row],[Loss date]])-1,YEAR(Table1[[#This Row],[Loss date]]))</f>
        <v>2012</v>
      </c>
      <c r="AC366" s="17">
        <f>IF(MONTH(Table1[[#This Row],[Reporting date]])&lt;Pol_Inc_Month_Shifted,YEAR(Table1[[#This Row],[Reporting date]])-1,YEAR(Table1[[#This Row],[Reporting date]]))</f>
        <v>2013</v>
      </c>
      <c r="AD366" s="17">
        <f>Table1[[#This Row],[Reporting year (shifted)]]-Table1[[#This Row],[Policy Year (shifted)]]</f>
        <v>1</v>
      </c>
    </row>
    <row r="367" spans="1:30" ht="13.9">
      <c r="A367" s="8" t="s">
        <v>2137</v>
      </c>
      <c r="B367" s="8" t="s">
        <v>419</v>
      </c>
      <c r="C367" s="8" t="s">
        <v>123</v>
      </c>
      <c r="D367" s="9">
        <v>41881</v>
      </c>
      <c r="E367" s="9">
        <v>41915</v>
      </c>
      <c r="F367" s="17">
        <f>IF(MONTH(Table1[[#This Row],[Loss date]])&lt;Policy_Inception_Month,YEAR(Table1[[#This Row],[Loss date]])-1,YEAR(Table1[[#This Row],[Loss date]]))</f>
        <v>2014</v>
      </c>
      <c r="G367" s="10" t="s">
        <v>125</v>
      </c>
      <c r="H367" s="10" t="s">
        <v>2</v>
      </c>
      <c r="I367" s="11">
        <v>0</v>
      </c>
      <c r="J367" s="11">
        <v>13428.640181270999</v>
      </c>
      <c r="K367" s="11">
        <v>13428.640181270999</v>
      </c>
      <c r="L367" s="12">
        <v>0</v>
      </c>
      <c r="M367" s="12">
        <v>0</v>
      </c>
      <c r="N367" s="12">
        <v>13428.640181270999</v>
      </c>
      <c r="O367" s="70">
        <f>IF(Table1[[#This Row],[Overall amount]]=0,0,1)</f>
        <v>1</v>
      </c>
      <c r="P367" s="70">
        <f>Table1[[#This Row],[Overall amount]]*Exchange_Rate</f>
        <v>13428.640181270999</v>
      </c>
      <c r="Q367" s="70">
        <f>Table1[[#This Row],[Overall (destination currency)]]*(1+Claims_Inflation)^((Revalue_at_date-Table1[[#This Row],[Loss date]])/365.25)</f>
        <v>14160</v>
      </c>
      <c r="R367" s="70">
        <f>INT(Table1[[#This Row],[Reporting date]])-INT(Table1[[#This Row],[Loss date]])</f>
        <v>34</v>
      </c>
      <c r="S367" s="69" t="s">
        <v>16</v>
      </c>
      <c r="T367" s="70">
        <f>VLOOKUP(Table1[[#This Row],[Policy Year]],exposure_table,3,FALSE)</f>
        <v>1076.5070266272189</v>
      </c>
      <c r="U367" s="17">
        <f>IF(MONTH(Table1[[#This Row],[Reporting date]])&lt;Policy_Inception_Month,YEAR(Table1[[#This Row],[Reporting date]])-1,YEAR(Table1[[#This Row],[Reporting date]]))</f>
        <v>2014</v>
      </c>
      <c r="V367" s="17">
        <f>Table1[[#This Row],[Reporting year]]-Table1[[#This Row],[Policy Year]]</f>
        <v>0</v>
      </c>
      <c r="W367" s="17">
        <f>INT(Table1[[#This Row],[Reporting date]])-INT(Table1[[#This Row],[Loss date]])</f>
        <v>34</v>
      </c>
      <c r="X367" s="17">
        <f>INT((YEAR(Table1[[#This Row],[Loss date]])*12+MONTH(Table1[[#This Row],[Loss date]])-Earliest_Month)/4)</f>
        <v>28</v>
      </c>
      <c r="Y367" s="17">
        <f>INT((YEAR(Table1[[#This Row],[Reporting date]])*12+MONTH(Table1[[#This Row],[Reporting date]])-Earliest_Month)/4)</f>
        <v>28</v>
      </c>
      <c r="Z367" s="17">
        <f>Table1[[#This Row],[Reporting third]]-Table1[[#This Row],[Policy third]]</f>
        <v>0</v>
      </c>
      <c r="AA367" s="71">
        <f>IF(Table1[[#This Row],[Overall amount]]=0,"N/A",Table1[[#This Row],[Outstanding]]/Table1[[#This Row],[Overall amount]])</f>
        <v>1</v>
      </c>
      <c r="AB367" s="17">
        <f>IF(MONTH(Table1[[#This Row],[Loss date]])&lt;Pol_Inc_Month_Shifted,YEAR(Table1[[#This Row],[Loss date]])-1,YEAR(Table1[[#This Row],[Loss date]]))</f>
        <v>2013</v>
      </c>
      <c r="AC367" s="17">
        <f>IF(MONTH(Table1[[#This Row],[Reporting date]])&lt;Pol_Inc_Month_Shifted,YEAR(Table1[[#This Row],[Reporting date]])-1,YEAR(Table1[[#This Row],[Reporting date]]))</f>
        <v>2013</v>
      </c>
      <c r="AD367" s="17">
        <f>Table1[[#This Row],[Reporting year (shifted)]]-Table1[[#This Row],[Policy Year (shifted)]]</f>
        <v>0</v>
      </c>
    </row>
    <row r="368" spans="1:30" ht="13.9">
      <c r="A368" s="8" t="s">
        <v>2138</v>
      </c>
      <c r="B368" s="8" t="s">
        <v>420</v>
      </c>
      <c r="C368" s="8" t="s">
        <v>123</v>
      </c>
      <c r="D368" s="9">
        <v>41745</v>
      </c>
      <c r="E368" s="9">
        <v>41924</v>
      </c>
      <c r="F368" s="17">
        <f>IF(MONTH(Table1[[#This Row],[Loss date]])&lt;Policy_Inception_Month,YEAR(Table1[[#This Row],[Loss date]])-1,YEAR(Table1[[#This Row],[Loss date]]))</f>
        <v>2014</v>
      </c>
      <c r="G368" s="10" t="s">
        <v>125</v>
      </c>
      <c r="H368" s="10" t="s">
        <v>2</v>
      </c>
      <c r="I368" s="11">
        <v>0</v>
      </c>
      <c r="J368" s="11">
        <v>5587.6635393054776</v>
      </c>
      <c r="K368" s="11">
        <v>5587.6635393054776</v>
      </c>
      <c r="L368" s="12">
        <v>0</v>
      </c>
      <c r="M368" s="12">
        <v>0</v>
      </c>
      <c r="N368" s="12">
        <v>5587.6635393054776</v>
      </c>
      <c r="O368" s="70">
        <f>IF(Table1[[#This Row],[Overall amount]]=0,0,1)</f>
        <v>1</v>
      </c>
      <c r="P368" s="70">
        <f>Table1[[#This Row],[Overall amount]]*Exchange_Rate</f>
        <v>5587.6635393054776</v>
      </c>
      <c r="Q368" s="70">
        <f>Table1[[#This Row],[Overall (destination currency)]]*(1+Claims_Inflation)^((Revalue_at_date-Table1[[#This Row],[Loss date]])/365.25)</f>
        <v>6000</v>
      </c>
      <c r="R368" s="70">
        <f>INT(Table1[[#This Row],[Reporting date]])-INT(Table1[[#This Row],[Loss date]])</f>
        <v>179</v>
      </c>
      <c r="S368" s="69" t="s">
        <v>16</v>
      </c>
      <c r="T368" s="70">
        <f>VLOOKUP(Table1[[#This Row],[Policy Year]],exposure_table,3,FALSE)</f>
        <v>1076.5070266272189</v>
      </c>
      <c r="U368" s="17">
        <f>IF(MONTH(Table1[[#This Row],[Reporting date]])&lt;Policy_Inception_Month,YEAR(Table1[[#This Row],[Reporting date]])-1,YEAR(Table1[[#This Row],[Reporting date]]))</f>
        <v>2014</v>
      </c>
      <c r="V368" s="17">
        <f>Table1[[#This Row],[Reporting year]]-Table1[[#This Row],[Policy Year]]</f>
        <v>0</v>
      </c>
      <c r="W368" s="17">
        <f>INT(Table1[[#This Row],[Reporting date]])-INT(Table1[[#This Row],[Loss date]])</f>
        <v>179</v>
      </c>
      <c r="X368" s="17">
        <f>INT((YEAR(Table1[[#This Row],[Loss date]])*12+MONTH(Table1[[#This Row],[Loss date]])-Earliest_Month)/4)</f>
        <v>27</v>
      </c>
      <c r="Y368" s="17">
        <f>INT((YEAR(Table1[[#This Row],[Reporting date]])*12+MONTH(Table1[[#This Row],[Reporting date]])-Earliest_Month)/4)</f>
        <v>28</v>
      </c>
      <c r="Z368" s="17">
        <f>Table1[[#This Row],[Reporting third]]-Table1[[#This Row],[Policy third]]</f>
        <v>1</v>
      </c>
      <c r="AA368" s="71">
        <f>IF(Table1[[#This Row],[Overall amount]]=0,"N/A",Table1[[#This Row],[Outstanding]]/Table1[[#This Row],[Overall amount]])</f>
        <v>1</v>
      </c>
      <c r="AB368" s="17">
        <f>IF(MONTH(Table1[[#This Row],[Loss date]])&lt;Pol_Inc_Month_Shifted,YEAR(Table1[[#This Row],[Loss date]])-1,YEAR(Table1[[#This Row],[Loss date]]))</f>
        <v>2013</v>
      </c>
      <c r="AC368" s="17">
        <f>IF(MONTH(Table1[[#This Row],[Reporting date]])&lt;Pol_Inc_Month_Shifted,YEAR(Table1[[#This Row],[Reporting date]])-1,YEAR(Table1[[#This Row],[Reporting date]]))</f>
        <v>2013</v>
      </c>
      <c r="AD368" s="17">
        <f>Table1[[#This Row],[Reporting year (shifted)]]-Table1[[#This Row],[Policy Year (shifted)]]</f>
        <v>0</v>
      </c>
    </row>
    <row r="369" spans="1:30" ht="13.9">
      <c r="A369" s="8" t="s">
        <v>2139</v>
      </c>
      <c r="B369" s="8" t="s">
        <v>421</v>
      </c>
      <c r="C369" s="8" t="s">
        <v>123</v>
      </c>
      <c r="D369" s="9">
        <v>41553</v>
      </c>
      <c r="E369" s="9">
        <v>41915</v>
      </c>
      <c r="F369" s="17">
        <f>IF(MONTH(Table1[[#This Row],[Loss date]])&lt;Policy_Inception_Month,YEAR(Table1[[#This Row],[Loss date]])-1,YEAR(Table1[[#This Row],[Loss date]]))</f>
        <v>2013</v>
      </c>
      <c r="G369" s="10" t="s">
        <v>125</v>
      </c>
      <c r="H369" s="10" t="s">
        <v>2</v>
      </c>
      <c r="I369" s="11">
        <v>0</v>
      </c>
      <c r="J369" s="11">
        <v>11763.74158228665</v>
      </c>
      <c r="K369" s="11">
        <v>11763.74158228665</v>
      </c>
      <c r="L369" s="12">
        <v>0</v>
      </c>
      <c r="M369" s="12">
        <v>0</v>
      </c>
      <c r="N369" s="12">
        <v>11763.74158228665</v>
      </c>
      <c r="O369" s="70">
        <f>IF(Table1[[#This Row],[Overall amount]]=0,0,1)</f>
        <v>1</v>
      </c>
      <c r="P369" s="70">
        <f>Table1[[#This Row],[Overall amount]]*Exchange_Rate</f>
        <v>11763.74158228665</v>
      </c>
      <c r="Q369" s="70">
        <f>Table1[[#This Row],[Overall (destination currency)]]*(1+Claims_Inflation)^((Revalue_at_date-Table1[[#This Row],[Loss date]])/365.25)</f>
        <v>12960</v>
      </c>
      <c r="R369" s="70">
        <f>INT(Table1[[#This Row],[Reporting date]])-INT(Table1[[#This Row],[Loss date]])</f>
        <v>362</v>
      </c>
      <c r="S369" s="69" t="s">
        <v>16</v>
      </c>
      <c r="T369" s="70">
        <f>VLOOKUP(Table1[[#This Row],[Policy Year]],exposure_table,3,FALSE)</f>
        <v>1090.5865384615383</v>
      </c>
      <c r="U369" s="17">
        <f>IF(MONTH(Table1[[#This Row],[Reporting date]])&lt;Policy_Inception_Month,YEAR(Table1[[#This Row],[Reporting date]])-1,YEAR(Table1[[#This Row],[Reporting date]]))</f>
        <v>2014</v>
      </c>
      <c r="V369" s="17">
        <f>Table1[[#This Row],[Reporting year]]-Table1[[#This Row],[Policy Year]]</f>
        <v>1</v>
      </c>
      <c r="W369" s="17">
        <f>INT(Table1[[#This Row],[Reporting date]])-INT(Table1[[#This Row],[Loss date]])</f>
        <v>362</v>
      </c>
      <c r="X369" s="17">
        <f>INT((YEAR(Table1[[#This Row],[Loss date]])*12+MONTH(Table1[[#This Row],[Loss date]])-Earliest_Month)/4)</f>
        <v>25</v>
      </c>
      <c r="Y369" s="17">
        <f>INT((YEAR(Table1[[#This Row],[Reporting date]])*12+MONTH(Table1[[#This Row],[Reporting date]])-Earliest_Month)/4)</f>
        <v>28</v>
      </c>
      <c r="Z369" s="17">
        <f>Table1[[#This Row],[Reporting third]]-Table1[[#This Row],[Policy third]]</f>
        <v>3</v>
      </c>
      <c r="AA369" s="71">
        <f>IF(Table1[[#This Row],[Overall amount]]=0,"N/A",Table1[[#This Row],[Outstanding]]/Table1[[#This Row],[Overall amount]])</f>
        <v>1</v>
      </c>
      <c r="AB369" s="17">
        <f>IF(MONTH(Table1[[#This Row],[Loss date]])&lt;Pol_Inc_Month_Shifted,YEAR(Table1[[#This Row],[Loss date]])-1,YEAR(Table1[[#This Row],[Loss date]]))</f>
        <v>2012</v>
      </c>
      <c r="AC369" s="17">
        <f>IF(MONTH(Table1[[#This Row],[Reporting date]])&lt;Pol_Inc_Month_Shifted,YEAR(Table1[[#This Row],[Reporting date]])-1,YEAR(Table1[[#This Row],[Reporting date]]))</f>
        <v>2013</v>
      </c>
      <c r="AD369" s="17">
        <f>Table1[[#This Row],[Reporting year (shifted)]]-Table1[[#This Row],[Policy Year (shifted)]]</f>
        <v>1</v>
      </c>
    </row>
    <row r="370" spans="1:30" ht="13.9">
      <c r="A370" s="8" t="s">
        <v>2140</v>
      </c>
      <c r="B370" s="8" t="s">
        <v>422</v>
      </c>
      <c r="C370" s="8" t="s">
        <v>123</v>
      </c>
      <c r="D370" s="9">
        <v>41899</v>
      </c>
      <c r="E370" s="9">
        <v>41939</v>
      </c>
      <c r="F370" s="17">
        <f>IF(MONTH(Table1[[#This Row],[Loss date]])&lt;Policy_Inception_Month,YEAR(Table1[[#This Row],[Loss date]])-1,YEAR(Table1[[#This Row],[Loss date]]))</f>
        <v>2014</v>
      </c>
      <c r="G370" s="10" t="s">
        <v>125</v>
      </c>
      <c r="H370" s="10" t="s">
        <v>2</v>
      </c>
      <c r="I370" s="11">
        <v>0</v>
      </c>
      <c r="J370" s="11">
        <v>11407.599521691247</v>
      </c>
      <c r="K370" s="11">
        <v>11407.599521691247</v>
      </c>
      <c r="L370" s="12">
        <v>0</v>
      </c>
      <c r="M370" s="12">
        <v>0</v>
      </c>
      <c r="N370" s="12">
        <v>11407.599521691247</v>
      </c>
      <c r="O370" s="70">
        <f>IF(Table1[[#This Row],[Overall amount]]=0,0,1)</f>
        <v>1</v>
      </c>
      <c r="P370" s="70">
        <f>Table1[[#This Row],[Overall amount]]*Exchange_Rate</f>
        <v>11407.599521691247</v>
      </c>
      <c r="Q370" s="70">
        <f>Table1[[#This Row],[Overall (destination currency)]]*(1+Claims_Inflation)^((Revalue_at_date-Table1[[#This Row],[Loss date]])/365.25)</f>
        <v>12000</v>
      </c>
      <c r="R370" s="70">
        <f>INT(Table1[[#This Row],[Reporting date]])-INT(Table1[[#This Row],[Loss date]])</f>
        <v>40</v>
      </c>
      <c r="S370" s="69" t="s">
        <v>16</v>
      </c>
      <c r="T370" s="70">
        <f>VLOOKUP(Table1[[#This Row],[Policy Year]],exposure_table,3,FALSE)</f>
        <v>1076.5070266272189</v>
      </c>
      <c r="U370" s="17">
        <f>IF(MONTH(Table1[[#This Row],[Reporting date]])&lt;Policy_Inception_Month,YEAR(Table1[[#This Row],[Reporting date]])-1,YEAR(Table1[[#This Row],[Reporting date]]))</f>
        <v>2014</v>
      </c>
      <c r="V370" s="17">
        <f>Table1[[#This Row],[Reporting year]]-Table1[[#This Row],[Policy Year]]</f>
        <v>0</v>
      </c>
      <c r="W370" s="17">
        <f>INT(Table1[[#This Row],[Reporting date]])-INT(Table1[[#This Row],[Loss date]])</f>
        <v>40</v>
      </c>
      <c r="X370" s="17">
        <f>INT((YEAR(Table1[[#This Row],[Loss date]])*12+MONTH(Table1[[#This Row],[Loss date]])-Earliest_Month)/4)</f>
        <v>28</v>
      </c>
      <c r="Y370" s="17">
        <f>INT((YEAR(Table1[[#This Row],[Reporting date]])*12+MONTH(Table1[[#This Row],[Reporting date]])-Earliest_Month)/4)</f>
        <v>28</v>
      </c>
      <c r="Z370" s="17">
        <f>Table1[[#This Row],[Reporting third]]-Table1[[#This Row],[Policy third]]</f>
        <v>0</v>
      </c>
      <c r="AA370" s="71">
        <f>IF(Table1[[#This Row],[Overall amount]]=0,"N/A",Table1[[#This Row],[Outstanding]]/Table1[[#This Row],[Overall amount]])</f>
        <v>1</v>
      </c>
      <c r="AB370" s="17">
        <f>IF(MONTH(Table1[[#This Row],[Loss date]])&lt;Pol_Inc_Month_Shifted,YEAR(Table1[[#This Row],[Loss date]])-1,YEAR(Table1[[#This Row],[Loss date]]))</f>
        <v>2013</v>
      </c>
      <c r="AC370" s="17">
        <f>IF(MONTH(Table1[[#This Row],[Reporting date]])&lt;Pol_Inc_Month_Shifted,YEAR(Table1[[#This Row],[Reporting date]])-1,YEAR(Table1[[#This Row],[Reporting date]]))</f>
        <v>2013</v>
      </c>
      <c r="AD370" s="17">
        <f>Table1[[#This Row],[Reporting year (shifted)]]-Table1[[#This Row],[Policy Year (shifted)]]</f>
        <v>0</v>
      </c>
    </row>
    <row r="371" spans="1:30" ht="13.9">
      <c r="A371" s="8" t="s">
        <v>2141</v>
      </c>
      <c r="B371" s="8" t="s">
        <v>423</v>
      </c>
      <c r="C371" s="8" t="s">
        <v>123</v>
      </c>
      <c r="D371" s="9">
        <v>41591</v>
      </c>
      <c r="E371" s="9">
        <v>41923</v>
      </c>
      <c r="F371" s="17">
        <f>IF(MONTH(Table1[[#This Row],[Loss date]])&lt;Policy_Inception_Month,YEAR(Table1[[#This Row],[Loss date]])-1,YEAR(Table1[[#This Row],[Loss date]]))</f>
        <v>2013</v>
      </c>
      <c r="G371" s="10" t="s">
        <v>125</v>
      </c>
      <c r="H371" s="10" t="s">
        <v>2</v>
      </c>
      <c r="I371" s="11">
        <v>0</v>
      </c>
      <c r="J371" s="11">
        <v>2736.9459954406748</v>
      </c>
      <c r="K371" s="11">
        <v>2736.9459954406748</v>
      </c>
      <c r="L371" s="12">
        <v>0</v>
      </c>
      <c r="M371" s="12">
        <v>0</v>
      </c>
      <c r="N371" s="12">
        <v>2736.9459954406748</v>
      </c>
      <c r="O371" s="70">
        <f>IF(Table1[[#This Row],[Overall amount]]=0,0,1)</f>
        <v>1</v>
      </c>
      <c r="P371" s="70">
        <f>Table1[[#This Row],[Overall amount]]*Exchange_Rate</f>
        <v>2736.9459954406748</v>
      </c>
      <c r="Q371" s="70">
        <f>Table1[[#This Row],[Overall (destination currency)]]*(1+Claims_Inflation)^((Revalue_at_date-Table1[[#This Row],[Loss date]])/365.25)</f>
        <v>3000</v>
      </c>
      <c r="R371" s="70">
        <f>INT(Table1[[#This Row],[Reporting date]])-INT(Table1[[#This Row],[Loss date]])</f>
        <v>332</v>
      </c>
      <c r="S371" s="69" t="s">
        <v>16</v>
      </c>
      <c r="T371" s="70">
        <f>VLOOKUP(Table1[[#This Row],[Policy Year]],exposure_table,3,FALSE)</f>
        <v>1090.5865384615383</v>
      </c>
      <c r="U371" s="17">
        <f>IF(MONTH(Table1[[#This Row],[Reporting date]])&lt;Policy_Inception_Month,YEAR(Table1[[#This Row],[Reporting date]])-1,YEAR(Table1[[#This Row],[Reporting date]]))</f>
        <v>2014</v>
      </c>
      <c r="V371" s="17">
        <f>Table1[[#This Row],[Reporting year]]-Table1[[#This Row],[Policy Year]]</f>
        <v>1</v>
      </c>
      <c r="W371" s="17">
        <f>INT(Table1[[#This Row],[Reporting date]])-INT(Table1[[#This Row],[Loss date]])</f>
        <v>332</v>
      </c>
      <c r="X371" s="17">
        <f>INT((YEAR(Table1[[#This Row],[Loss date]])*12+MONTH(Table1[[#This Row],[Loss date]])-Earliest_Month)/4)</f>
        <v>25</v>
      </c>
      <c r="Y371" s="17">
        <f>INT((YEAR(Table1[[#This Row],[Reporting date]])*12+MONTH(Table1[[#This Row],[Reporting date]])-Earliest_Month)/4)</f>
        <v>28</v>
      </c>
      <c r="Z371" s="17">
        <f>Table1[[#This Row],[Reporting third]]-Table1[[#This Row],[Policy third]]</f>
        <v>3</v>
      </c>
      <c r="AA371" s="71">
        <f>IF(Table1[[#This Row],[Overall amount]]=0,"N/A",Table1[[#This Row],[Outstanding]]/Table1[[#This Row],[Overall amount]])</f>
        <v>1</v>
      </c>
      <c r="AB371" s="17">
        <f>IF(MONTH(Table1[[#This Row],[Loss date]])&lt;Pol_Inc_Month_Shifted,YEAR(Table1[[#This Row],[Loss date]])-1,YEAR(Table1[[#This Row],[Loss date]]))</f>
        <v>2012</v>
      </c>
      <c r="AC371" s="17">
        <f>IF(MONTH(Table1[[#This Row],[Reporting date]])&lt;Pol_Inc_Month_Shifted,YEAR(Table1[[#This Row],[Reporting date]])-1,YEAR(Table1[[#This Row],[Reporting date]]))</f>
        <v>2013</v>
      </c>
      <c r="AD371" s="17">
        <f>Table1[[#This Row],[Reporting year (shifted)]]-Table1[[#This Row],[Policy Year (shifted)]]</f>
        <v>1</v>
      </c>
    </row>
    <row r="372" spans="1:30" ht="13.9">
      <c r="A372" s="8" t="s">
        <v>2142</v>
      </c>
      <c r="B372" s="8" t="s">
        <v>424</v>
      </c>
      <c r="C372" s="8" t="s">
        <v>123</v>
      </c>
      <c r="D372" s="9">
        <v>41616</v>
      </c>
      <c r="E372" s="9">
        <v>41964</v>
      </c>
      <c r="F372" s="17">
        <f>IF(MONTH(Table1[[#This Row],[Loss date]])&lt;Policy_Inception_Month,YEAR(Table1[[#This Row],[Loss date]])-1,YEAR(Table1[[#This Row],[Loss date]]))</f>
        <v>2013</v>
      </c>
      <c r="G372" s="10" t="s">
        <v>126</v>
      </c>
      <c r="H372" s="10" t="s">
        <v>2</v>
      </c>
      <c r="I372" s="11">
        <v>0</v>
      </c>
      <c r="J372" s="11">
        <v>12412.377958098745</v>
      </c>
      <c r="K372" s="11">
        <v>12412.377958098745</v>
      </c>
      <c r="L372" s="12">
        <v>0</v>
      </c>
      <c r="M372" s="12">
        <v>0</v>
      </c>
      <c r="N372" s="12">
        <v>12412.377958098745</v>
      </c>
      <c r="O372" s="70">
        <f>IF(Table1[[#This Row],[Overall amount]]=0,0,1)</f>
        <v>1</v>
      </c>
      <c r="P372" s="70">
        <f>Table1[[#This Row],[Overall amount]]*Exchange_Rate</f>
        <v>12412.377958098745</v>
      </c>
      <c r="Q372" s="70">
        <f>Table1[[#This Row],[Overall (destination currency)]]*(1+Claims_Inflation)^((Revalue_at_date-Table1[[#This Row],[Loss date]])/365.25)</f>
        <v>13560.000000000002</v>
      </c>
      <c r="R372" s="70">
        <f>INT(Table1[[#This Row],[Reporting date]])-INT(Table1[[#This Row],[Loss date]])</f>
        <v>348</v>
      </c>
      <c r="S372" s="69" t="s">
        <v>16</v>
      </c>
      <c r="T372" s="70">
        <f>VLOOKUP(Table1[[#This Row],[Policy Year]],exposure_table,3,FALSE)</f>
        <v>1090.5865384615383</v>
      </c>
      <c r="U372" s="17">
        <f>IF(MONTH(Table1[[#This Row],[Reporting date]])&lt;Policy_Inception_Month,YEAR(Table1[[#This Row],[Reporting date]])-1,YEAR(Table1[[#This Row],[Reporting date]]))</f>
        <v>2014</v>
      </c>
      <c r="V372" s="17">
        <f>Table1[[#This Row],[Reporting year]]-Table1[[#This Row],[Policy Year]]</f>
        <v>1</v>
      </c>
      <c r="W372" s="17">
        <f>INT(Table1[[#This Row],[Reporting date]])-INT(Table1[[#This Row],[Loss date]])</f>
        <v>348</v>
      </c>
      <c r="X372" s="17">
        <f>INT((YEAR(Table1[[#This Row],[Loss date]])*12+MONTH(Table1[[#This Row],[Loss date]])-Earliest_Month)/4)</f>
        <v>26</v>
      </c>
      <c r="Y372" s="17">
        <f>INT((YEAR(Table1[[#This Row],[Reporting date]])*12+MONTH(Table1[[#This Row],[Reporting date]])-Earliest_Month)/4)</f>
        <v>28</v>
      </c>
      <c r="Z372" s="17">
        <f>Table1[[#This Row],[Reporting third]]-Table1[[#This Row],[Policy third]]</f>
        <v>2</v>
      </c>
      <c r="AA372" s="71">
        <f>IF(Table1[[#This Row],[Overall amount]]=0,"N/A",Table1[[#This Row],[Outstanding]]/Table1[[#This Row],[Overall amount]])</f>
        <v>1</v>
      </c>
      <c r="AB372" s="17">
        <f>IF(MONTH(Table1[[#This Row],[Loss date]])&lt;Pol_Inc_Month_Shifted,YEAR(Table1[[#This Row],[Loss date]])-1,YEAR(Table1[[#This Row],[Loss date]]))</f>
        <v>2013</v>
      </c>
      <c r="AC372" s="17">
        <f>IF(MONTH(Table1[[#This Row],[Reporting date]])&lt;Pol_Inc_Month_Shifted,YEAR(Table1[[#This Row],[Reporting date]])-1,YEAR(Table1[[#This Row],[Reporting date]]))</f>
        <v>2013</v>
      </c>
      <c r="AD372" s="17">
        <f>Table1[[#This Row],[Reporting year (shifted)]]-Table1[[#This Row],[Policy Year (shifted)]]</f>
        <v>0</v>
      </c>
    </row>
    <row r="373" spans="1:30" ht="13.9">
      <c r="A373" s="8" t="s">
        <v>2143</v>
      </c>
      <c r="B373" s="8" t="s">
        <v>425</v>
      </c>
      <c r="C373" s="8" t="s">
        <v>123</v>
      </c>
      <c r="D373" s="9">
        <v>41908</v>
      </c>
      <c r="E373" s="9">
        <v>41961</v>
      </c>
      <c r="F373" s="17">
        <f>IF(MONTH(Table1[[#This Row],[Loss date]])&lt;Policy_Inception_Month,YEAR(Table1[[#This Row],[Loss date]])-1,YEAR(Table1[[#This Row],[Loss date]]))</f>
        <v>2014</v>
      </c>
      <c r="G373" s="10" t="s">
        <v>127</v>
      </c>
      <c r="H373" s="10" t="s">
        <v>2</v>
      </c>
      <c r="I373" s="11">
        <v>0</v>
      </c>
      <c r="J373" s="11">
        <v>9708.1238977514386</v>
      </c>
      <c r="K373" s="11">
        <v>9708.1238977514386</v>
      </c>
      <c r="L373" s="12">
        <v>0</v>
      </c>
      <c r="M373" s="12">
        <v>0</v>
      </c>
      <c r="N373" s="12">
        <v>9708.1238977514386</v>
      </c>
      <c r="O373" s="70">
        <f>IF(Table1[[#This Row],[Overall amount]]=0,0,1)</f>
        <v>1</v>
      </c>
      <c r="P373" s="70">
        <f>Table1[[#This Row],[Overall amount]]*Exchange_Rate</f>
        <v>9708.1238977514386</v>
      </c>
      <c r="Q373" s="70">
        <f>Table1[[#This Row],[Overall (destination currency)]]*(1+Claims_Inflation)^((Revalue_at_date-Table1[[#This Row],[Loss date]])/365.25)</f>
        <v>10199.999999999998</v>
      </c>
      <c r="R373" s="70">
        <f>INT(Table1[[#This Row],[Reporting date]])-INT(Table1[[#This Row],[Loss date]])</f>
        <v>53</v>
      </c>
      <c r="S373" s="69" t="s">
        <v>16</v>
      </c>
      <c r="T373" s="70">
        <f>VLOOKUP(Table1[[#This Row],[Policy Year]],exposure_table,3,FALSE)</f>
        <v>1076.5070266272189</v>
      </c>
      <c r="U373" s="17">
        <f>IF(MONTH(Table1[[#This Row],[Reporting date]])&lt;Policy_Inception_Month,YEAR(Table1[[#This Row],[Reporting date]])-1,YEAR(Table1[[#This Row],[Reporting date]]))</f>
        <v>2014</v>
      </c>
      <c r="V373" s="17">
        <f>Table1[[#This Row],[Reporting year]]-Table1[[#This Row],[Policy Year]]</f>
        <v>0</v>
      </c>
      <c r="W373" s="17">
        <f>INT(Table1[[#This Row],[Reporting date]])-INT(Table1[[#This Row],[Loss date]])</f>
        <v>53</v>
      </c>
      <c r="X373" s="17">
        <f>INT((YEAR(Table1[[#This Row],[Loss date]])*12+MONTH(Table1[[#This Row],[Loss date]])-Earliest_Month)/4)</f>
        <v>28</v>
      </c>
      <c r="Y373" s="17">
        <f>INT((YEAR(Table1[[#This Row],[Reporting date]])*12+MONTH(Table1[[#This Row],[Reporting date]])-Earliest_Month)/4)</f>
        <v>28</v>
      </c>
      <c r="Z373" s="17">
        <f>Table1[[#This Row],[Reporting third]]-Table1[[#This Row],[Policy third]]</f>
        <v>0</v>
      </c>
      <c r="AA373" s="71">
        <f>IF(Table1[[#This Row],[Overall amount]]=0,"N/A",Table1[[#This Row],[Outstanding]]/Table1[[#This Row],[Overall amount]])</f>
        <v>1</v>
      </c>
      <c r="AB373" s="17">
        <f>IF(MONTH(Table1[[#This Row],[Loss date]])&lt;Pol_Inc_Month_Shifted,YEAR(Table1[[#This Row],[Loss date]])-1,YEAR(Table1[[#This Row],[Loss date]]))</f>
        <v>2013</v>
      </c>
      <c r="AC373" s="17">
        <f>IF(MONTH(Table1[[#This Row],[Reporting date]])&lt;Pol_Inc_Month_Shifted,YEAR(Table1[[#This Row],[Reporting date]])-1,YEAR(Table1[[#This Row],[Reporting date]]))</f>
        <v>2013</v>
      </c>
      <c r="AD373" s="17">
        <f>Table1[[#This Row],[Reporting year (shifted)]]-Table1[[#This Row],[Policy Year (shifted)]]</f>
        <v>0</v>
      </c>
    </row>
    <row r="374" spans="1:30" ht="13.9">
      <c r="A374" s="8" t="s">
        <v>2144</v>
      </c>
      <c r="B374" s="8" t="s">
        <v>426</v>
      </c>
      <c r="C374" s="8" t="s">
        <v>123</v>
      </c>
      <c r="D374" s="9">
        <v>41589</v>
      </c>
      <c r="E374" s="9">
        <v>41968</v>
      </c>
      <c r="F374" s="17">
        <f>IF(MONTH(Table1[[#This Row],[Loss date]])&lt;Policy_Inception_Month,YEAR(Table1[[#This Row],[Loss date]])-1,YEAR(Table1[[#This Row],[Loss date]]))</f>
        <v>2013</v>
      </c>
      <c r="G374" s="10" t="s">
        <v>125</v>
      </c>
      <c r="H374" s="10" t="s">
        <v>2</v>
      </c>
      <c r="I374" s="11">
        <v>0</v>
      </c>
      <c r="J374" s="11">
        <v>1.0944859558310078</v>
      </c>
      <c r="K374" s="11">
        <v>1.0944859558310078</v>
      </c>
      <c r="L374" s="12">
        <v>0</v>
      </c>
      <c r="M374" s="12">
        <v>0</v>
      </c>
      <c r="N374" s="12">
        <v>1.0944859558310078</v>
      </c>
      <c r="O374" s="70">
        <f>IF(Table1[[#This Row],[Overall amount]]=0,0,1)</f>
        <v>1</v>
      </c>
      <c r="P374" s="70">
        <f>Table1[[#This Row],[Overall amount]]*Exchange_Rate</f>
        <v>1.0944859558310078</v>
      </c>
      <c r="Q374" s="70">
        <f>Table1[[#This Row],[Overall (destination currency)]]*(1+Claims_Inflation)^((Revalue_at_date-Table1[[#This Row],[Loss date]])/365.25)</f>
        <v>1.2</v>
      </c>
      <c r="R374" s="70">
        <f>INT(Table1[[#This Row],[Reporting date]])-INT(Table1[[#This Row],[Loss date]])</f>
        <v>379</v>
      </c>
      <c r="S374" s="69" t="s">
        <v>16</v>
      </c>
      <c r="T374" s="70">
        <f>VLOOKUP(Table1[[#This Row],[Policy Year]],exposure_table,3,FALSE)</f>
        <v>1090.5865384615383</v>
      </c>
      <c r="U374" s="17">
        <f>IF(MONTH(Table1[[#This Row],[Reporting date]])&lt;Policy_Inception_Month,YEAR(Table1[[#This Row],[Reporting date]])-1,YEAR(Table1[[#This Row],[Reporting date]]))</f>
        <v>2014</v>
      </c>
      <c r="V374" s="17">
        <f>Table1[[#This Row],[Reporting year]]-Table1[[#This Row],[Policy Year]]</f>
        <v>1</v>
      </c>
      <c r="W374" s="17">
        <f>INT(Table1[[#This Row],[Reporting date]])-INT(Table1[[#This Row],[Loss date]])</f>
        <v>379</v>
      </c>
      <c r="X374" s="17">
        <f>INT((YEAR(Table1[[#This Row],[Loss date]])*12+MONTH(Table1[[#This Row],[Loss date]])-Earliest_Month)/4)</f>
        <v>25</v>
      </c>
      <c r="Y374" s="17">
        <f>INT((YEAR(Table1[[#This Row],[Reporting date]])*12+MONTH(Table1[[#This Row],[Reporting date]])-Earliest_Month)/4)</f>
        <v>28</v>
      </c>
      <c r="Z374" s="17">
        <f>Table1[[#This Row],[Reporting third]]-Table1[[#This Row],[Policy third]]</f>
        <v>3</v>
      </c>
      <c r="AA374" s="71">
        <f>IF(Table1[[#This Row],[Overall amount]]=0,"N/A",Table1[[#This Row],[Outstanding]]/Table1[[#This Row],[Overall amount]])</f>
        <v>1</v>
      </c>
      <c r="AB374" s="17">
        <f>IF(MONTH(Table1[[#This Row],[Loss date]])&lt;Pol_Inc_Month_Shifted,YEAR(Table1[[#This Row],[Loss date]])-1,YEAR(Table1[[#This Row],[Loss date]]))</f>
        <v>2012</v>
      </c>
      <c r="AC374" s="17">
        <f>IF(MONTH(Table1[[#This Row],[Reporting date]])&lt;Pol_Inc_Month_Shifted,YEAR(Table1[[#This Row],[Reporting date]])-1,YEAR(Table1[[#This Row],[Reporting date]]))</f>
        <v>2013</v>
      </c>
      <c r="AD374" s="17">
        <f>Table1[[#This Row],[Reporting year (shifted)]]-Table1[[#This Row],[Policy Year (shifted)]]</f>
        <v>1</v>
      </c>
    </row>
    <row r="375" spans="1:30" ht="13.9">
      <c r="A375" s="8" t="s">
        <v>2145</v>
      </c>
      <c r="B375" s="8" t="s">
        <v>427</v>
      </c>
      <c r="C375" s="8" t="s">
        <v>123</v>
      </c>
      <c r="D375" s="9">
        <v>41612</v>
      </c>
      <c r="E375" s="9">
        <v>41973</v>
      </c>
      <c r="F375" s="17">
        <f>IF(MONTH(Table1[[#This Row],[Loss date]])&lt;Policy_Inception_Month,YEAR(Table1[[#This Row],[Loss date]])-1,YEAR(Table1[[#This Row],[Loss date]]))</f>
        <v>2013</v>
      </c>
      <c r="G375" s="10" t="s">
        <v>125</v>
      </c>
      <c r="H375" s="10" t="s">
        <v>2</v>
      </c>
      <c r="I375" s="11">
        <v>0</v>
      </c>
      <c r="J375" s="11">
        <v>1.0978537644645079</v>
      </c>
      <c r="K375" s="11">
        <v>1.0978537644645079</v>
      </c>
      <c r="L375" s="12">
        <v>0</v>
      </c>
      <c r="M375" s="12">
        <v>0</v>
      </c>
      <c r="N375" s="12">
        <v>1.0978537644645079</v>
      </c>
      <c r="O375" s="70">
        <f>IF(Table1[[#This Row],[Overall amount]]=0,0,1)</f>
        <v>1</v>
      </c>
      <c r="P375" s="70">
        <f>Table1[[#This Row],[Overall amount]]*Exchange_Rate</f>
        <v>1.0978537644645079</v>
      </c>
      <c r="Q375" s="70">
        <f>Table1[[#This Row],[Overall (destination currency)]]*(1+Claims_Inflation)^((Revalue_at_date-Table1[[#This Row],[Loss date]])/365.25)</f>
        <v>1.2</v>
      </c>
      <c r="R375" s="70">
        <f>INT(Table1[[#This Row],[Reporting date]])-INT(Table1[[#This Row],[Loss date]])</f>
        <v>361</v>
      </c>
      <c r="S375" s="69" t="s">
        <v>16</v>
      </c>
      <c r="T375" s="70">
        <f>VLOOKUP(Table1[[#This Row],[Policy Year]],exposure_table,3,FALSE)</f>
        <v>1090.5865384615383</v>
      </c>
      <c r="U375" s="17">
        <f>IF(MONTH(Table1[[#This Row],[Reporting date]])&lt;Policy_Inception_Month,YEAR(Table1[[#This Row],[Reporting date]])-1,YEAR(Table1[[#This Row],[Reporting date]]))</f>
        <v>2014</v>
      </c>
      <c r="V375" s="17">
        <f>Table1[[#This Row],[Reporting year]]-Table1[[#This Row],[Policy Year]]</f>
        <v>1</v>
      </c>
      <c r="W375" s="17">
        <f>INT(Table1[[#This Row],[Reporting date]])-INT(Table1[[#This Row],[Loss date]])</f>
        <v>361</v>
      </c>
      <c r="X375" s="17">
        <f>INT((YEAR(Table1[[#This Row],[Loss date]])*12+MONTH(Table1[[#This Row],[Loss date]])-Earliest_Month)/4)</f>
        <v>26</v>
      </c>
      <c r="Y375" s="17">
        <f>INT((YEAR(Table1[[#This Row],[Reporting date]])*12+MONTH(Table1[[#This Row],[Reporting date]])-Earliest_Month)/4)</f>
        <v>28</v>
      </c>
      <c r="Z375" s="17">
        <f>Table1[[#This Row],[Reporting third]]-Table1[[#This Row],[Policy third]]</f>
        <v>2</v>
      </c>
      <c r="AA375" s="71">
        <f>IF(Table1[[#This Row],[Overall amount]]=0,"N/A",Table1[[#This Row],[Outstanding]]/Table1[[#This Row],[Overall amount]])</f>
        <v>1</v>
      </c>
      <c r="AB375" s="17">
        <f>IF(MONTH(Table1[[#This Row],[Loss date]])&lt;Pol_Inc_Month_Shifted,YEAR(Table1[[#This Row],[Loss date]])-1,YEAR(Table1[[#This Row],[Loss date]]))</f>
        <v>2013</v>
      </c>
      <c r="AC375" s="17">
        <f>IF(MONTH(Table1[[#This Row],[Reporting date]])&lt;Pol_Inc_Month_Shifted,YEAR(Table1[[#This Row],[Reporting date]])-1,YEAR(Table1[[#This Row],[Reporting date]]))</f>
        <v>2013</v>
      </c>
      <c r="AD375" s="17">
        <f>Table1[[#This Row],[Reporting year (shifted)]]-Table1[[#This Row],[Policy Year (shifted)]]</f>
        <v>0</v>
      </c>
    </row>
    <row r="376" spans="1:30" ht="13.9">
      <c r="A376" s="8" t="s">
        <v>2146</v>
      </c>
      <c r="B376" s="8" t="s">
        <v>428</v>
      </c>
      <c r="C376" s="8" t="s">
        <v>123</v>
      </c>
      <c r="D376" s="9">
        <v>41600</v>
      </c>
      <c r="E376" s="9">
        <v>41973</v>
      </c>
      <c r="F376" s="17">
        <f>IF(MONTH(Table1[[#This Row],[Loss date]])&lt;Policy_Inception_Month,YEAR(Table1[[#This Row],[Loss date]])-1,YEAR(Table1[[#This Row],[Loss date]]))</f>
        <v>2013</v>
      </c>
      <c r="G376" s="10" t="s">
        <v>125</v>
      </c>
      <c r="H376" s="10" t="s">
        <v>2</v>
      </c>
      <c r="I376" s="11">
        <v>0</v>
      </c>
      <c r="J376" s="11">
        <v>12605.096594081277</v>
      </c>
      <c r="K376" s="11">
        <v>12605.096594081277</v>
      </c>
      <c r="L376" s="12">
        <v>0</v>
      </c>
      <c r="M376" s="12">
        <v>0</v>
      </c>
      <c r="N376" s="12">
        <v>12605.096594081277</v>
      </c>
      <c r="O376" s="70">
        <f>IF(Table1[[#This Row],[Overall amount]]=0,0,1)</f>
        <v>1</v>
      </c>
      <c r="P376" s="70">
        <f>Table1[[#This Row],[Overall amount]]*Exchange_Rate</f>
        <v>12605.096594081277</v>
      </c>
      <c r="Q376" s="70">
        <f>Table1[[#This Row],[Overall (destination currency)]]*(1+Claims_Inflation)^((Revalue_at_date-Table1[[#This Row],[Loss date]])/365.25)</f>
        <v>13800</v>
      </c>
      <c r="R376" s="70">
        <f>INT(Table1[[#This Row],[Reporting date]])-INT(Table1[[#This Row],[Loss date]])</f>
        <v>373</v>
      </c>
      <c r="S376" s="69" t="s">
        <v>16</v>
      </c>
      <c r="T376" s="70">
        <f>VLOOKUP(Table1[[#This Row],[Policy Year]],exposure_table,3,FALSE)</f>
        <v>1090.5865384615383</v>
      </c>
      <c r="U376" s="17">
        <f>IF(MONTH(Table1[[#This Row],[Reporting date]])&lt;Policy_Inception_Month,YEAR(Table1[[#This Row],[Reporting date]])-1,YEAR(Table1[[#This Row],[Reporting date]]))</f>
        <v>2014</v>
      </c>
      <c r="V376" s="17">
        <f>Table1[[#This Row],[Reporting year]]-Table1[[#This Row],[Policy Year]]</f>
        <v>1</v>
      </c>
      <c r="W376" s="17">
        <f>INT(Table1[[#This Row],[Reporting date]])-INT(Table1[[#This Row],[Loss date]])</f>
        <v>373</v>
      </c>
      <c r="X376" s="17">
        <f>INT((YEAR(Table1[[#This Row],[Loss date]])*12+MONTH(Table1[[#This Row],[Loss date]])-Earliest_Month)/4)</f>
        <v>25</v>
      </c>
      <c r="Y376" s="17">
        <f>INT((YEAR(Table1[[#This Row],[Reporting date]])*12+MONTH(Table1[[#This Row],[Reporting date]])-Earliest_Month)/4)</f>
        <v>28</v>
      </c>
      <c r="Z376" s="17">
        <f>Table1[[#This Row],[Reporting third]]-Table1[[#This Row],[Policy third]]</f>
        <v>3</v>
      </c>
      <c r="AA376" s="71">
        <f>IF(Table1[[#This Row],[Overall amount]]=0,"N/A",Table1[[#This Row],[Outstanding]]/Table1[[#This Row],[Overall amount]])</f>
        <v>1</v>
      </c>
      <c r="AB376" s="17">
        <f>IF(MONTH(Table1[[#This Row],[Loss date]])&lt;Pol_Inc_Month_Shifted,YEAR(Table1[[#This Row],[Loss date]])-1,YEAR(Table1[[#This Row],[Loss date]]))</f>
        <v>2012</v>
      </c>
      <c r="AC376" s="17">
        <f>IF(MONTH(Table1[[#This Row],[Reporting date]])&lt;Pol_Inc_Month_Shifted,YEAR(Table1[[#This Row],[Reporting date]])-1,YEAR(Table1[[#This Row],[Reporting date]]))</f>
        <v>2013</v>
      </c>
      <c r="AD376" s="17">
        <f>Table1[[#This Row],[Reporting year (shifted)]]-Table1[[#This Row],[Policy Year (shifted)]]</f>
        <v>1</v>
      </c>
    </row>
    <row r="377" spans="1:30" ht="13.9">
      <c r="A377" s="8" t="s">
        <v>2147</v>
      </c>
      <c r="B377" s="8" t="s">
        <v>429</v>
      </c>
      <c r="C377" s="8" t="s">
        <v>123</v>
      </c>
      <c r="D377" s="9">
        <v>41833</v>
      </c>
      <c r="E377" s="9">
        <v>41952</v>
      </c>
      <c r="F377" s="17">
        <f>IF(MONTH(Table1[[#This Row],[Loss date]])&lt;Policy_Inception_Month,YEAR(Table1[[#This Row],[Loss date]])-1,YEAR(Table1[[#This Row],[Loss date]]))</f>
        <v>2014</v>
      </c>
      <c r="G377" s="10" t="s">
        <v>125</v>
      </c>
      <c r="H377" s="10" t="s">
        <v>2</v>
      </c>
      <c r="I377" s="11">
        <v>0</v>
      </c>
      <c r="J377" s="11">
        <v>13568.962592299695</v>
      </c>
      <c r="K377" s="11">
        <v>13568.962592299695</v>
      </c>
      <c r="L377" s="12">
        <v>339.22406480749237</v>
      </c>
      <c r="M377" s="12">
        <v>0</v>
      </c>
      <c r="N377" s="12">
        <v>13908.186657107188</v>
      </c>
      <c r="O377" s="70">
        <f>IF(Table1[[#This Row],[Overall amount]]=0,0,1)</f>
        <v>1</v>
      </c>
      <c r="P377" s="70">
        <f>Table1[[#This Row],[Overall amount]]*Exchange_Rate</f>
        <v>13908.186657107188</v>
      </c>
      <c r="Q377" s="70">
        <f>Table1[[#This Row],[Overall (destination currency)]]*(1+Claims_Inflation)^((Revalue_at_date-Table1[[#This Row],[Loss date]])/365.25)</f>
        <v>14760</v>
      </c>
      <c r="R377" s="70">
        <f>INT(Table1[[#This Row],[Reporting date]])-INT(Table1[[#This Row],[Loss date]])</f>
        <v>119</v>
      </c>
      <c r="S377" s="69" t="s">
        <v>16</v>
      </c>
      <c r="T377" s="70">
        <f>VLOOKUP(Table1[[#This Row],[Policy Year]],exposure_table,3,FALSE)</f>
        <v>1076.5070266272189</v>
      </c>
      <c r="U377" s="17">
        <f>IF(MONTH(Table1[[#This Row],[Reporting date]])&lt;Policy_Inception_Month,YEAR(Table1[[#This Row],[Reporting date]])-1,YEAR(Table1[[#This Row],[Reporting date]]))</f>
        <v>2014</v>
      </c>
      <c r="V377" s="17">
        <f>Table1[[#This Row],[Reporting year]]-Table1[[#This Row],[Policy Year]]</f>
        <v>0</v>
      </c>
      <c r="W377" s="17">
        <f>INT(Table1[[#This Row],[Reporting date]])-INT(Table1[[#This Row],[Loss date]])</f>
        <v>119</v>
      </c>
      <c r="X377" s="17">
        <f>INT((YEAR(Table1[[#This Row],[Loss date]])*12+MONTH(Table1[[#This Row],[Loss date]])-Earliest_Month)/4)</f>
        <v>27</v>
      </c>
      <c r="Y377" s="17">
        <f>INT((YEAR(Table1[[#This Row],[Reporting date]])*12+MONTH(Table1[[#This Row],[Reporting date]])-Earliest_Month)/4)</f>
        <v>28</v>
      </c>
      <c r="Z377" s="17">
        <f>Table1[[#This Row],[Reporting third]]-Table1[[#This Row],[Policy third]]</f>
        <v>1</v>
      </c>
      <c r="AA377" s="71">
        <f>IF(Table1[[#This Row],[Overall amount]]=0,"N/A",Table1[[#This Row],[Outstanding]]/Table1[[#This Row],[Overall amount]])</f>
        <v>0.97560975609756095</v>
      </c>
      <c r="AB377" s="17">
        <f>IF(MONTH(Table1[[#This Row],[Loss date]])&lt;Pol_Inc_Month_Shifted,YEAR(Table1[[#This Row],[Loss date]])-1,YEAR(Table1[[#This Row],[Loss date]]))</f>
        <v>2013</v>
      </c>
      <c r="AC377" s="17">
        <f>IF(MONTH(Table1[[#This Row],[Reporting date]])&lt;Pol_Inc_Month_Shifted,YEAR(Table1[[#This Row],[Reporting date]])-1,YEAR(Table1[[#This Row],[Reporting date]]))</f>
        <v>2013</v>
      </c>
      <c r="AD377" s="17">
        <f>Table1[[#This Row],[Reporting year (shifted)]]-Table1[[#This Row],[Policy Year (shifted)]]</f>
        <v>0</v>
      </c>
    </row>
    <row r="378" spans="1:30" ht="13.9">
      <c r="A378" s="8" t="s">
        <v>2148</v>
      </c>
      <c r="B378" s="8" t="s">
        <v>430</v>
      </c>
      <c r="C378" s="8" t="s">
        <v>123</v>
      </c>
      <c r="D378" s="9">
        <v>41859</v>
      </c>
      <c r="E378" s="9">
        <v>41973</v>
      </c>
      <c r="F378" s="17">
        <f>IF(MONTH(Table1[[#This Row],[Loss date]])&lt;Policy_Inception_Month,YEAR(Table1[[#This Row],[Loss date]])-1,YEAR(Table1[[#This Row],[Loss date]]))</f>
        <v>2014</v>
      </c>
      <c r="G378" s="10" t="s">
        <v>125</v>
      </c>
      <c r="H378" s="10" t="s">
        <v>2</v>
      </c>
      <c r="I378" s="11">
        <v>0</v>
      </c>
      <c r="J378" s="11">
        <v>11914.149347722247</v>
      </c>
      <c r="K378" s="11">
        <v>11914.149347722247</v>
      </c>
      <c r="L378" s="12">
        <v>0</v>
      </c>
      <c r="M378" s="12">
        <v>0</v>
      </c>
      <c r="N378" s="12">
        <v>11914.149347722247</v>
      </c>
      <c r="O378" s="70">
        <f>IF(Table1[[#This Row],[Overall amount]]=0,0,1)</f>
        <v>1</v>
      </c>
      <c r="P378" s="70">
        <f>Table1[[#This Row],[Overall amount]]*Exchange_Rate</f>
        <v>11914.149347722247</v>
      </c>
      <c r="Q378" s="70">
        <f>Table1[[#This Row],[Overall (destination currency)]]*(1+Claims_Inflation)^((Revalue_at_date-Table1[[#This Row],[Loss date]])/365.25)</f>
        <v>12600</v>
      </c>
      <c r="R378" s="70">
        <f>INT(Table1[[#This Row],[Reporting date]])-INT(Table1[[#This Row],[Loss date]])</f>
        <v>114</v>
      </c>
      <c r="S378" s="69" t="s">
        <v>16</v>
      </c>
      <c r="T378" s="70">
        <f>VLOOKUP(Table1[[#This Row],[Policy Year]],exposure_table,3,FALSE)</f>
        <v>1076.5070266272189</v>
      </c>
      <c r="U378" s="17">
        <f>IF(MONTH(Table1[[#This Row],[Reporting date]])&lt;Policy_Inception_Month,YEAR(Table1[[#This Row],[Reporting date]])-1,YEAR(Table1[[#This Row],[Reporting date]]))</f>
        <v>2014</v>
      </c>
      <c r="V378" s="17">
        <f>Table1[[#This Row],[Reporting year]]-Table1[[#This Row],[Policy Year]]</f>
        <v>0</v>
      </c>
      <c r="W378" s="17">
        <f>INT(Table1[[#This Row],[Reporting date]])-INT(Table1[[#This Row],[Loss date]])</f>
        <v>114</v>
      </c>
      <c r="X378" s="17">
        <f>INT((YEAR(Table1[[#This Row],[Loss date]])*12+MONTH(Table1[[#This Row],[Loss date]])-Earliest_Month)/4)</f>
        <v>28</v>
      </c>
      <c r="Y378" s="17">
        <f>INT((YEAR(Table1[[#This Row],[Reporting date]])*12+MONTH(Table1[[#This Row],[Reporting date]])-Earliest_Month)/4)</f>
        <v>28</v>
      </c>
      <c r="Z378" s="17">
        <f>Table1[[#This Row],[Reporting third]]-Table1[[#This Row],[Policy third]]</f>
        <v>0</v>
      </c>
      <c r="AA378" s="71">
        <f>IF(Table1[[#This Row],[Overall amount]]=0,"N/A",Table1[[#This Row],[Outstanding]]/Table1[[#This Row],[Overall amount]])</f>
        <v>1</v>
      </c>
      <c r="AB378" s="17">
        <f>IF(MONTH(Table1[[#This Row],[Loss date]])&lt;Pol_Inc_Month_Shifted,YEAR(Table1[[#This Row],[Loss date]])-1,YEAR(Table1[[#This Row],[Loss date]]))</f>
        <v>2013</v>
      </c>
      <c r="AC378" s="17">
        <f>IF(MONTH(Table1[[#This Row],[Reporting date]])&lt;Pol_Inc_Month_Shifted,YEAR(Table1[[#This Row],[Reporting date]])-1,YEAR(Table1[[#This Row],[Reporting date]]))</f>
        <v>2013</v>
      </c>
      <c r="AD378" s="17">
        <f>Table1[[#This Row],[Reporting year (shifted)]]-Table1[[#This Row],[Policy Year (shifted)]]</f>
        <v>0</v>
      </c>
    </row>
    <row r="379" spans="1:30" ht="13.9">
      <c r="A379" s="8" t="s">
        <v>2149</v>
      </c>
      <c r="B379" s="8" t="s">
        <v>431</v>
      </c>
      <c r="C379" s="8" t="s">
        <v>123</v>
      </c>
      <c r="D379" s="9">
        <v>41849</v>
      </c>
      <c r="E379" s="9">
        <v>41963</v>
      </c>
      <c r="F379" s="17">
        <f>IF(MONTH(Table1[[#This Row],[Loss date]])&lt;Policy_Inception_Month,YEAR(Table1[[#This Row],[Loss date]])-1,YEAR(Table1[[#This Row],[Loss date]]))</f>
        <v>2014</v>
      </c>
      <c r="G379" s="10" t="s">
        <v>125</v>
      </c>
      <c r="H379" s="10" t="s">
        <v>2</v>
      </c>
      <c r="I379" s="11">
        <v>0</v>
      </c>
      <c r="J379" s="11">
        <v>11444.978552027298</v>
      </c>
      <c r="K379" s="11">
        <v>11444.978552027298</v>
      </c>
      <c r="L379" s="12">
        <v>0</v>
      </c>
      <c r="M379" s="12">
        <v>0</v>
      </c>
      <c r="N379" s="12">
        <v>11444.978552027298</v>
      </c>
      <c r="O379" s="70">
        <f>IF(Table1[[#This Row],[Overall amount]]=0,0,1)</f>
        <v>1</v>
      </c>
      <c r="P379" s="70">
        <f>Table1[[#This Row],[Overall amount]]*Exchange_Rate</f>
        <v>11444.978552027298</v>
      </c>
      <c r="Q379" s="70">
        <f>Table1[[#This Row],[Overall (destination currency)]]*(1+Claims_Inflation)^((Revalue_at_date-Table1[[#This Row],[Loss date]])/365.25)</f>
        <v>12120.000000000004</v>
      </c>
      <c r="R379" s="70">
        <f>INT(Table1[[#This Row],[Reporting date]])-INT(Table1[[#This Row],[Loss date]])</f>
        <v>114</v>
      </c>
      <c r="S379" s="69" t="s">
        <v>16</v>
      </c>
      <c r="T379" s="70">
        <f>VLOOKUP(Table1[[#This Row],[Policy Year]],exposure_table,3,FALSE)</f>
        <v>1076.5070266272189</v>
      </c>
      <c r="U379" s="17">
        <f>IF(MONTH(Table1[[#This Row],[Reporting date]])&lt;Policy_Inception_Month,YEAR(Table1[[#This Row],[Reporting date]])-1,YEAR(Table1[[#This Row],[Reporting date]]))</f>
        <v>2014</v>
      </c>
      <c r="V379" s="17">
        <f>Table1[[#This Row],[Reporting year]]-Table1[[#This Row],[Policy Year]]</f>
        <v>0</v>
      </c>
      <c r="W379" s="17">
        <f>INT(Table1[[#This Row],[Reporting date]])-INT(Table1[[#This Row],[Loss date]])</f>
        <v>114</v>
      </c>
      <c r="X379" s="17">
        <f>INT((YEAR(Table1[[#This Row],[Loss date]])*12+MONTH(Table1[[#This Row],[Loss date]])-Earliest_Month)/4)</f>
        <v>27</v>
      </c>
      <c r="Y379" s="17">
        <f>INT((YEAR(Table1[[#This Row],[Reporting date]])*12+MONTH(Table1[[#This Row],[Reporting date]])-Earliest_Month)/4)</f>
        <v>28</v>
      </c>
      <c r="Z379" s="17">
        <f>Table1[[#This Row],[Reporting third]]-Table1[[#This Row],[Policy third]]</f>
        <v>1</v>
      </c>
      <c r="AA379" s="71">
        <f>IF(Table1[[#This Row],[Overall amount]]=0,"N/A",Table1[[#This Row],[Outstanding]]/Table1[[#This Row],[Overall amount]])</f>
        <v>1</v>
      </c>
      <c r="AB379" s="17">
        <f>IF(MONTH(Table1[[#This Row],[Loss date]])&lt;Pol_Inc_Month_Shifted,YEAR(Table1[[#This Row],[Loss date]])-1,YEAR(Table1[[#This Row],[Loss date]]))</f>
        <v>2013</v>
      </c>
      <c r="AC379" s="17">
        <f>IF(MONTH(Table1[[#This Row],[Reporting date]])&lt;Pol_Inc_Month_Shifted,YEAR(Table1[[#This Row],[Reporting date]])-1,YEAR(Table1[[#This Row],[Reporting date]]))</f>
        <v>2013</v>
      </c>
      <c r="AD379" s="17">
        <f>Table1[[#This Row],[Reporting year (shifted)]]-Table1[[#This Row],[Policy Year (shifted)]]</f>
        <v>0</v>
      </c>
    </row>
    <row r="380" spans="1:30" ht="13.9">
      <c r="A380" s="8" t="s">
        <v>2150</v>
      </c>
      <c r="B380" s="8" t="s">
        <v>432</v>
      </c>
      <c r="C380" s="8" t="s">
        <v>123</v>
      </c>
      <c r="D380" s="9">
        <v>41705</v>
      </c>
      <c r="E380" s="9">
        <v>41953</v>
      </c>
      <c r="F380" s="17">
        <f>IF(MONTH(Table1[[#This Row],[Loss date]])&lt;Policy_Inception_Month,YEAR(Table1[[#This Row],[Loss date]])-1,YEAR(Table1[[#This Row],[Loss date]]))</f>
        <v>2013</v>
      </c>
      <c r="G380" s="10" t="s">
        <v>125</v>
      </c>
      <c r="H380" s="10" t="s">
        <v>2</v>
      </c>
      <c r="I380" s="11">
        <v>0</v>
      </c>
      <c r="J380" s="11">
        <v>11115.774229613524</v>
      </c>
      <c r="K380" s="11">
        <v>11115.774229613524</v>
      </c>
      <c r="L380" s="12">
        <v>0</v>
      </c>
      <c r="M380" s="12">
        <v>0</v>
      </c>
      <c r="N380" s="12">
        <v>11115.774229613524</v>
      </c>
      <c r="O380" s="70">
        <f>IF(Table1[[#This Row],[Overall amount]]=0,0,1)</f>
        <v>1</v>
      </c>
      <c r="P380" s="70">
        <f>Table1[[#This Row],[Overall amount]]*Exchange_Rate</f>
        <v>11115.774229613524</v>
      </c>
      <c r="Q380" s="70">
        <f>Table1[[#This Row],[Overall (destination currency)]]*(1+Claims_Inflation)^((Revalue_at_date-Table1[[#This Row],[Loss date]])/365.25)</f>
        <v>12000</v>
      </c>
      <c r="R380" s="70">
        <f>INT(Table1[[#This Row],[Reporting date]])-INT(Table1[[#This Row],[Loss date]])</f>
        <v>248</v>
      </c>
      <c r="S380" s="69" t="s">
        <v>16</v>
      </c>
      <c r="T380" s="70">
        <f>VLOOKUP(Table1[[#This Row],[Policy Year]],exposure_table,3,FALSE)</f>
        <v>1090.5865384615383</v>
      </c>
      <c r="U380" s="17">
        <f>IF(MONTH(Table1[[#This Row],[Reporting date]])&lt;Policy_Inception_Month,YEAR(Table1[[#This Row],[Reporting date]])-1,YEAR(Table1[[#This Row],[Reporting date]]))</f>
        <v>2014</v>
      </c>
      <c r="V380" s="17">
        <f>Table1[[#This Row],[Reporting year]]-Table1[[#This Row],[Policy Year]]</f>
        <v>1</v>
      </c>
      <c r="W380" s="17">
        <f>INT(Table1[[#This Row],[Reporting date]])-INT(Table1[[#This Row],[Loss date]])</f>
        <v>248</v>
      </c>
      <c r="X380" s="17">
        <f>INT((YEAR(Table1[[#This Row],[Loss date]])*12+MONTH(Table1[[#This Row],[Loss date]])-Earliest_Month)/4)</f>
        <v>26</v>
      </c>
      <c r="Y380" s="17">
        <f>INT((YEAR(Table1[[#This Row],[Reporting date]])*12+MONTH(Table1[[#This Row],[Reporting date]])-Earliest_Month)/4)</f>
        <v>28</v>
      </c>
      <c r="Z380" s="17">
        <f>Table1[[#This Row],[Reporting third]]-Table1[[#This Row],[Policy third]]</f>
        <v>2</v>
      </c>
      <c r="AA380" s="71">
        <f>IF(Table1[[#This Row],[Overall amount]]=0,"N/A",Table1[[#This Row],[Outstanding]]/Table1[[#This Row],[Overall amount]])</f>
        <v>1</v>
      </c>
      <c r="AB380" s="17">
        <f>IF(MONTH(Table1[[#This Row],[Loss date]])&lt;Pol_Inc_Month_Shifted,YEAR(Table1[[#This Row],[Loss date]])-1,YEAR(Table1[[#This Row],[Loss date]]))</f>
        <v>2013</v>
      </c>
      <c r="AC380" s="17">
        <f>IF(MONTH(Table1[[#This Row],[Reporting date]])&lt;Pol_Inc_Month_Shifted,YEAR(Table1[[#This Row],[Reporting date]])-1,YEAR(Table1[[#This Row],[Reporting date]]))</f>
        <v>2013</v>
      </c>
      <c r="AD380" s="17">
        <f>Table1[[#This Row],[Reporting year (shifted)]]-Table1[[#This Row],[Policy Year (shifted)]]</f>
        <v>0</v>
      </c>
    </row>
    <row r="381" spans="1:30" ht="13.9">
      <c r="A381" s="8" t="s">
        <v>2151</v>
      </c>
      <c r="B381" s="8" t="s">
        <v>433</v>
      </c>
      <c r="C381" s="8" t="s">
        <v>123</v>
      </c>
      <c r="D381" s="9">
        <v>41921</v>
      </c>
      <c r="E381" s="9">
        <v>41959</v>
      </c>
      <c r="F381" s="17">
        <f>IF(MONTH(Table1[[#This Row],[Loss date]])&lt;Policy_Inception_Month,YEAR(Table1[[#This Row],[Loss date]])-1,YEAR(Table1[[#This Row],[Loss date]]))</f>
        <v>2014</v>
      </c>
      <c r="G381" s="10" t="s">
        <v>125</v>
      </c>
      <c r="H381" s="10" t="s">
        <v>2</v>
      </c>
      <c r="I381" s="11">
        <v>0</v>
      </c>
      <c r="J381" s="11">
        <v>3546.7636531269568</v>
      </c>
      <c r="K381" s="11">
        <v>3546.7636531269568</v>
      </c>
      <c r="L381" s="12">
        <v>343.23519223809257</v>
      </c>
      <c r="M381" s="12">
        <v>198.38994111361748</v>
      </c>
      <c r="N381" s="12">
        <v>3691.6089042514318</v>
      </c>
      <c r="O381" s="70">
        <f>IF(Table1[[#This Row],[Overall amount]]=0,0,1)</f>
        <v>1</v>
      </c>
      <c r="P381" s="70">
        <f>Table1[[#This Row],[Overall amount]]*Exchange_Rate</f>
        <v>3691.6089042514318</v>
      </c>
      <c r="Q381" s="70">
        <f>Table1[[#This Row],[Overall (destination currency)]]*(1+Claims_Inflation)^((Revalue_at_date-Table1[[#This Row],[Loss date]])/365.25)</f>
        <v>3871.9199999999996</v>
      </c>
      <c r="R381" s="70">
        <f>INT(Table1[[#This Row],[Reporting date]])-INT(Table1[[#This Row],[Loss date]])</f>
        <v>38</v>
      </c>
      <c r="S381" s="69" t="s">
        <v>16</v>
      </c>
      <c r="T381" s="70">
        <f>VLOOKUP(Table1[[#This Row],[Policy Year]],exposure_table,3,FALSE)</f>
        <v>1076.5070266272189</v>
      </c>
      <c r="U381" s="17">
        <f>IF(MONTH(Table1[[#This Row],[Reporting date]])&lt;Policy_Inception_Month,YEAR(Table1[[#This Row],[Reporting date]])-1,YEAR(Table1[[#This Row],[Reporting date]]))</f>
        <v>2014</v>
      </c>
      <c r="V381" s="17">
        <f>Table1[[#This Row],[Reporting year]]-Table1[[#This Row],[Policy Year]]</f>
        <v>0</v>
      </c>
      <c r="W381" s="17">
        <f>INT(Table1[[#This Row],[Reporting date]])-INT(Table1[[#This Row],[Loss date]])</f>
        <v>38</v>
      </c>
      <c r="X381" s="17">
        <f>INT((YEAR(Table1[[#This Row],[Loss date]])*12+MONTH(Table1[[#This Row],[Loss date]])-Earliest_Month)/4)</f>
        <v>28</v>
      </c>
      <c r="Y381" s="17">
        <f>INT((YEAR(Table1[[#This Row],[Reporting date]])*12+MONTH(Table1[[#This Row],[Reporting date]])-Earliest_Month)/4)</f>
        <v>28</v>
      </c>
      <c r="Z381" s="17">
        <f>Table1[[#This Row],[Reporting third]]-Table1[[#This Row],[Policy third]]</f>
        <v>0</v>
      </c>
      <c r="AA381" s="71">
        <f>IF(Table1[[#This Row],[Overall amount]]=0,"N/A",Table1[[#This Row],[Outstanding]]/Table1[[#This Row],[Overall amount]])</f>
        <v>0.96076365214157322</v>
      </c>
      <c r="AB381" s="17">
        <f>IF(MONTH(Table1[[#This Row],[Loss date]])&lt;Pol_Inc_Month_Shifted,YEAR(Table1[[#This Row],[Loss date]])-1,YEAR(Table1[[#This Row],[Loss date]]))</f>
        <v>2013</v>
      </c>
      <c r="AC381" s="17">
        <f>IF(MONTH(Table1[[#This Row],[Reporting date]])&lt;Pol_Inc_Month_Shifted,YEAR(Table1[[#This Row],[Reporting date]])-1,YEAR(Table1[[#This Row],[Reporting date]]))</f>
        <v>2013</v>
      </c>
      <c r="AD381" s="17">
        <f>Table1[[#This Row],[Reporting year (shifted)]]-Table1[[#This Row],[Policy Year (shifted)]]</f>
        <v>0</v>
      </c>
    </row>
    <row r="382" spans="1:30" ht="13.9">
      <c r="A382" s="8" t="s">
        <v>2152</v>
      </c>
      <c r="B382" s="8" t="s">
        <v>434</v>
      </c>
      <c r="C382" s="8" t="s">
        <v>123</v>
      </c>
      <c r="D382" s="9">
        <v>41803</v>
      </c>
      <c r="E382" s="9">
        <v>41944</v>
      </c>
      <c r="F382" s="17">
        <f>IF(MONTH(Table1[[#This Row],[Loss date]])&lt;Policy_Inception_Month,YEAR(Table1[[#This Row],[Loss date]])-1,YEAR(Table1[[#This Row],[Loss date]]))</f>
        <v>2014</v>
      </c>
      <c r="G382" s="10" t="s">
        <v>124</v>
      </c>
      <c r="H382" s="10" t="s">
        <v>2</v>
      </c>
      <c r="I382" s="11">
        <v>0</v>
      </c>
      <c r="J382" s="11">
        <v>1126.2245885954655</v>
      </c>
      <c r="K382" s="11">
        <v>1126.2245885954655</v>
      </c>
      <c r="L382" s="12">
        <v>0</v>
      </c>
      <c r="M382" s="12">
        <v>0</v>
      </c>
      <c r="N382" s="12">
        <v>1126.2245885954655</v>
      </c>
      <c r="O382" s="70">
        <f>IF(Table1[[#This Row],[Overall amount]]=0,0,1)</f>
        <v>1</v>
      </c>
      <c r="P382" s="70">
        <f>Table1[[#This Row],[Overall amount]]*Exchange_Rate</f>
        <v>1126.2245885954655</v>
      </c>
      <c r="Q382" s="70">
        <f>Table1[[#This Row],[Overall (destination currency)]]*(1+Claims_Inflation)^((Revalue_at_date-Table1[[#This Row],[Loss date]])/365.25)</f>
        <v>1200</v>
      </c>
      <c r="R382" s="70">
        <f>INT(Table1[[#This Row],[Reporting date]])-INT(Table1[[#This Row],[Loss date]])</f>
        <v>141</v>
      </c>
      <c r="S382" s="69" t="s">
        <v>16</v>
      </c>
      <c r="T382" s="70">
        <f>VLOOKUP(Table1[[#This Row],[Policy Year]],exposure_table,3,FALSE)</f>
        <v>1076.5070266272189</v>
      </c>
      <c r="U382" s="17">
        <f>IF(MONTH(Table1[[#This Row],[Reporting date]])&lt;Policy_Inception_Month,YEAR(Table1[[#This Row],[Reporting date]])-1,YEAR(Table1[[#This Row],[Reporting date]]))</f>
        <v>2014</v>
      </c>
      <c r="V382" s="17">
        <f>Table1[[#This Row],[Reporting year]]-Table1[[#This Row],[Policy Year]]</f>
        <v>0</v>
      </c>
      <c r="W382" s="17">
        <f>INT(Table1[[#This Row],[Reporting date]])-INT(Table1[[#This Row],[Loss date]])</f>
        <v>141</v>
      </c>
      <c r="X382" s="17">
        <f>INT((YEAR(Table1[[#This Row],[Loss date]])*12+MONTH(Table1[[#This Row],[Loss date]])-Earliest_Month)/4)</f>
        <v>27</v>
      </c>
      <c r="Y382" s="17">
        <f>INT((YEAR(Table1[[#This Row],[Reporting date]])*12+MONTH(Table1[[#This Row],[Reporting date]])-Earliest_Month)/4)</f>
        <v>28</v>
      </c>
      <c r="Z382" s="17">
        <f>Table1[[#This Row],[Reporting third]]-Table1[[#This Row],[Policy third]]</f>
        <v>1</v>
      </c>
      <c r="AA382" s="71">
        <f>IF(Table1[[#This Row],[Overall amount]]=0,"N/A",Table1[[#This Row],[Outstanding]]/Table1[[#This Row],[Overall amount]])</f>
        <v>1</v>
      </c>
      <c r="AB382" s="17">
        <f>IF(MONTH(Table1[[#This Row],[Loss date]])&lt;Pol_Inc_Month_Shifted,YEAR(Table1[[#This Row],[Loss date]])-1,YEAR(Table1[[#This Row],[Loss date]]))</f>
        <v>2013</v>
      </c>
      <c r="AC382" s="17">
        <f>IF(MONTH(Table1[[#This Row],[Reporting date]])&lt;Pol_Inc_Month_Shifted,YEAR(Table1[[#This Row],[Reporting date]])-1,YEAR(Table1[[#This Row],[Reporting date]]))</f>
        <v>2013</v>
      </c>
      <c r="AD382" s="17">
        <f>Table1[[#This Row],[Reporting year (shifted)]]-Table1[[#This Row],[Policy Year (shifted)]]</f>
        <v>0</v>
      </c>
    </row>
    <row r="383" spans="1:30" ht="13.9">
      <c r="A383" s="8" t="s">
        <v>2153</v>
      </c>
      <c r="B383" s="8" t="s">
        <v>435</v>
      </c>
      <c r="C383" s="8" t="s">
        <v>123</v>
      </c>
      <c r="D383" s="9">
        <v>41896</v>
      </c>
      <c r="E383" s="9">
        <v>41944</v>
      </c>
      <c r="F383" s="17">
        <f>IF(MONTH(Table1[[#This Row],[Loss date]])&lt;Policy_Inception_Month,YEAR(Table1[[#This Row],[Loss date]])-1,YEAR(Table1[[#This Row],[Loss date]]))</f>
        <v>2014</v>
      </c>
      <c r="G383" s="10" t="s">
        <v>124</v>
      </c>
      <c r="H383" s="10" t="s">
        <v>2</v>
      </c>
      <c r="I383" s="11">
        <v>0</v>
      </c>
      <c r="J383" s="11">
        <v>57.015144748229744</v>
      </c>
      <c r="K383" s="11">
        <v>57.015144748229744</v>
      </c>
      <c r="L383" s="12">
        <v>0</v>
      </c>
      <c r="M383" s="12">
        <v>0</v>
      </c>
      <c r="N383" s="12">
        <v>57.015144748229744</v>
      </c>
      <c r="O383" s="70">
        <f>IF(Table1[[#This Row],[Overall amount]]=0,0,1)</f>
        <v>1</v>
      </c>
      <c r="P383" s="70">
        <f>Table1[[#This Row],[Overall amount]]*Exchange_Rate</f>
        <v>57.015144748229744</v>
      </c>
      <c r="Q383" s="70">
        <f>Table1[[#This Row],[Overall (destination currency)]]*(1+Claims_Inflation)^((Revalue_at_date-Table1[[#This Row],[Loss date]])/365.25)</f>
        <v>60.000000000000007</v>
      </c>
      <c r="R383" s="70">
        <f>INT(Table1[[#This Row],[Reporting date]])-INT(Table1[[#This Row],[Loss date]])</f>
        <v>48</v>
      </c>
      <c r="S383" s="69" t="s">
        <v>16</v>
      </c>
      <c r="T383" s="70">
        <f>VLOOKUP(Table1[[#This Row],[Policy Year]],exposure_table,3,FALSE)</f>
        <v>1076.5070266272189</v>
      </c>
      <c r="U383" s="17">
        <f>IF(MONTH(Table1[[#This Row],[Reporting date]])&lt;Policy_Inception_Month,YEAR(Table1[[#This Row],[Reporting date]])-1,YEAR(Table1[[#This Row],[Reporting date]]))</f>
        <v>2014</v>
      </c>
      <c r="V383" s="17">
        <f>Table1[[#This Row],[Reporting year]]-Table1[[#This Row],[Policy Year]]</f>
        <v>0</v>
      </c>
      <c r="W383" s="17">
        <f>INT(Table1[[#This Row],[Reporting date]])-INT(Table1[[#This Row],[Loss date]])</f>
        <v>48</v>
      </c>
      <c r="X383" s="17">
        <f>INT((YEAR(Table1[[#This Row],[Loss date]])*12+MONTH(Table1[[#This Row],[Loss date]])-Earliest_Month)/4)</f>
        <v>28</v>
      </c>
      <c r="Y383" s="17">
        <f>INT((YEAR(Table1[[#This Row],[Reporting date]])*12+MONTH(Table1[[#This Row],[Reporting date]])-Earliest_Month)/4)</f>
        <v>28</v>
      </c>
      <c r="Z383" s="17">
        <f>Table1[[#This Row],[Reporting third]]-Table1[[#This Row],[Policy third]]</f>
        <v>0</v>
      </c>
      <c r="AA383" s="71">
        <f>IF(Table1[[#This Row],[Overall amount]]=0,"N/A",Table1[[#This Row],[Outstanding]]/Table1[[#This Row],[Overall amount]])</f>
        <v>1</v>
      </c>
      <c r="AB383" s="17">
        <f>IF(MONTH(Table1[[#This Row],[Loss date]])&lt;Pol_Inc_Month_Shifted,YEAR(Table1[[#This Row],[Loss date]])-1,YEAR(Table1[[#This Row],[Loss date]]))</f>
        <v>2013</v>
      </c>
      <c r="AC383" s="17">
        <f>IF(MONTH(Table1[[#This Row],[Reporting date]])&lt;Pol_Inc_Month_Shifted,YEAR(Table1[[#This Row],[Reporting date]])-1,YEAR(Table1[[#This Row],[Reporting date]]))</f>
        <v>2013</v>
      </c>
      <c r="AD383" s="17">
        <f>Table1[[#This Row],[Reporting year (shifted)]]-Table1[[#This Row],[Policy Year (shifted)]]</f>
        <v>0</v>
      </c>
    </row>
    <row r="384" spans="1:30" ht="13.9">
      <c r="A384" s="8" t="s">
        <v>2154</v>
      </c>
      <c r="B384" s="8" t="s">
        <v>436</v>
      </c>
      <c r="C384" s="8" t="s">
        <v>123</v>
      </c>
      <c r="D384" s="9">
        <v>41714</v>
      </c>
      <c r="E384" s="9">
        <v>41965</v>
      </c>
      <c r="F384" s="17">
        <f>IF(MONTH(Table1[[#This Row],[Loss date]])&lt;Policy_Inception_Month,YEAR(Table1[[#This Row],[Loss date]])-1,YEAR(Table1[[#This Row],[Loss date]]))</f>
        <v>2013</v>
      </c>
      <c r="G384" s="10" t="s">
        <v>125</v>
      </c>
      <c r="H384" s="10" t="s">
        <v>2</v>
      </c>
      <c r="I384" s="11">
        <v>0</v>
      </c>
      <c r="J384" s="11">
        <v>1.1129145890893515</v>
      </c>
      <c r="K384" s="11">
        <v>1.1129145890893515</v>
      </c>
      <c r="L384" s="12">
        <v>0</v>
      </c>
      <c r="M384" s="12">
        <v>3.349872913158948</v>
      </c>
      <c r="N384" s="12">
        <v>-2.2369583240695965</v>
      </c>
      <c r="O384" s="70">
        <f>IF(Table1[[#This Row],[Overall amount]]=0,0,1)</f>
        <v>1</v>
      </c>
      <c r="P384" s="70">
        <f>Table1[[#This Row],[Overall amount]]*Exchange_Rate</f>
        <v>-2.2369583240695965</v>
      </c>
      <c r="Q384" s="70">
        <f>Table1[[#This Row],[Overall (destination currency)]]*(1+Claims_Inflation)^((Revalue_at_date-Table1[[#This Row],[Loss date]])/365.25)</f>
        <v>-2.4119999999999999</v>
      </c>
      <c r="R384" s="70">
        <f>INT(Table1[[#This Row],[Reporting date]])-INT(Table1[[#This Row],[Loss date]])</f>
        <v>251</v>
      </c>
      <c r="S384" s="69" t="s">
        <v>16</v>
      </c>
      <c r="T384" s="70">
        <f>VLOOKUP(Table1[[#This Row],[Policy Year]],exposure_table,3,FALSE)</f>
        <v>1090.5865384615383</v>
      </c>
      <c r="U384" s="17">
        <f>IF(MONTH(Table1[[#This Row],[Reporting date]])&lt;Policy_Inception_Month,YEAR(Table1[[#This Row],[Reporting date]])-1,YEAR(Table1[[#This Row],[Reporting date]]))</f>
        <v>2014</v>
      </c>
      <c r="V384" s="17">
        <f>Table1[[#This Row],[Reporting year]]-Table1[[#This Row],[Policy Year]]</f>
        <v>1</v>
      </c>
      <c r="W384" s="17">
        <f>INT(Table1[[#This Row],[Reporting date]])-INT(Table1[[#This Row],[Loss date]])</f>
        <v>251</v>
      </c>
      <c r="X384" s="17">
        <f>INT((YEAR(Table1[[#This Row],[Loss date]])*12+MONTH(Table1[[#This Row],[Loss date]])-Earliest_Month)/4)</f>
        <v>26</v>
      </c>
      <c r="Y384" s="17">
        <f>INT((YEAR(Table1[[#This Row],[Reporting date]])*12+MONTH(Table1[[#This Row],[Reporting date]])-Earliest_Month)/4)</f>
        <v>28</v>
      </c>
      <c r="Z384" s="17">
        <f>Table1[[#This Row],[Reporting third]]-Table1[[#This Row],[Policy third]]</f>
        <v>2</v>
      </c>
      <c r="AA384" s="71">
        <f>IF(Table1[[#This Row],[Overall amount]]=0,"N/A",Table1[[#This Row],[Outstanding]]/Table1[[#This Row],[Overall amount]])</f>
        <v>-0.49751243781094528</v>
      </c>
      <c r="AB384" s="17">
        <f>IF(MONTH(Table1[[#This Row],[Loss date]])&lt;Pol_Inc_Month_Shifted,YEAR(Table1[[#This Row],[Loss date]])-1,YEAR(Table1[[#This Row],[Loss date]]))</f>
        <v>2013</v>
      </c>
      <c r="AC384" s="17">
        <f>IF(MONTH(Table1[[#This Row],[Reporting date]])&lt;Pol_Inc_Month_Shifted,YEAR(Table1[[#This Row],[Reporting date]])-1,YEAR(Table1[[#This Row],[Reporting date]]))</f>
        <v>2013</v>
      </c>
      <c r="AD384" s="17">
        <f>Table1[[#This Row],[Reporting year (shifted)]]-Table1[[#This Row],[Policy Year (shifted)]]</f>
        <v>0</v>
      </c>
    </row>
    <row r="385" spans="1:30" ht="13.9">
      <c r="A385" s="8" t="s">
        <v>2155</v>
      </c>
      <c r="B385" s="8" t="s">
        <v>437</v>
      </c>
      <c r="C385" s="8" t="s">
        <v>118</v>
      </c>
      <c r="D385" s="9">
        <v>41693</v>
      </c>
      <c r="E385" s="9">
        <v>41765</v>
      </c>
      <c r="F385" s="17">
        <f>IF(MONTH(Table1[[#This Row],[Loss date]])&lt;Policy_Inception_Month,YEAR(Table1[[#This Row],[Loss date]])-1,YEAR(Table1[[#This Row],[Loss date]]))</f>
        <v>2013</v>
      </c>
      <c r="G385" s="10" t="s">
        <v>144</v>
      </c>
      <c r="H385" s="10" t="s">
        <v>2</v>
      </c>
      <c r="I385" s="11">
        <v>0</v>
      </c>
      <c r="J385" s="11">
        <v>1.1097970336190719</v>
      </c>
      <c r="K385" s="11">
        <v>1.1097970336190719</v>
      </c>
      <c r="L385" s="12">
        <v>0</v>
      </c>
      <c r="M385" s="12">
        <v>0</v>
      </c>
      <c r="N385" s="12">
        <v>1.1097970336190719</v>
      </c>
      <c r="O385" s="70">
        <f>IF(Table1[[#This Row],[Overall amount]]=0,0,1)</f>
        <v>1</v>
      </c>
      <c r="P385" s="70">
        <f>Table1[[#This Row],[Overall amount]]*Exchange_Rate</f>
        <v>1.1097970336190719</v>
      </c>
      <c r="Q385" s="70">
        <f>Table1[[#This Row],[Overall (destination currency)]]*(1+Claims_Inflation)^((Revalue_at_date-Table1[[#This Row],[Loss date]])/365.25)</f>
        <v>1.2</v>
      </c>
      <c r="R385" s="70">
        <f>INT(Table1[[#This Row],[Reporting date]])-INT(Table1[[#This Row],[Loss date]])</f>
        <v>72</v>
      </c>
      <c r="S385" s="69" t="s">
        <v>16</v>
      </c>
      <c r="T385" s="70">
        <f>VLOOKUP(Table1[[#This Row],[Policy Year]],exposure_table,3,FALSE)</f>
        <v>1090.5865384615383</v>
      </c>
      <c r="U385" s="17">
        <f>IF(MONTH(Table1[[#This Row],[Reporting date]])&lt;Policy_Inception_Month,YEAR(Table1[[#This Row],[Reporting date]])-1,YEAR(Table1[[#This Row],[Reporting date]]))</f>
        <v>2014</v>
      </c>
      <c r="V385" s="17">
        <f>Table1[[#This Row],[Reporting year]]-Table1[[#This Row],[Policy Year]]</f>
        <v>1</v>
      </c>
      <c r="W385" s="17">
        <f>INT(Table1[[#This Row],[Reporting date]])-INT(Table1[[#This Row],[Loss date]])</f>
        <v>72</v>
      </c>
      <c r="X385" s="17">
        <f>INT((YEAR(Table1[[#This Row],[Loss date]])*12+MONTH(Table1[[#This Row],[Loss date]])-Earliest_Month)/4)</f>
        <v>26</v>
      </c>
      <c r="Y385" s="17">
        <f>INT((YEAR(Table1[[#This Row],[Reporting date]])*12+MONTH(Table1[[#This Row],[Reporting date]])-Earliest_Month)/4)</f>
        <v>27</v>
      </c>
      <c r="Z385" s="17">
        <f>Table1[[#This Row],[Reporting third]]-Table1[[#This Row],[Policy third]]</f>
        <v>1</v>
      </c>
      <c r="AA385" s="71">
        <f>IF(Table1[[#This Row],[Overall amount]]=0,"N/A",Table1[[#This Row],[Outstanding]]/Table1[[#This Row],[Overall amount]])</f>
        <v>1</v>
      </c>
      <c r="AB385" s="17">
        <f>IF(MONTH(Table1[[#This Row],[Loss date]])&lt;Pol_Inc_Month_Shifted,YEAR(Table1[[#This Row],[Loss date]])-1,YEAR(Table1[[#This Row],[Loss date]]))</f>
        <v>2013</v>
      </c>
      <c r="AC385" s="17">
        <f>IF(MONTH(Table1[[#This Row],[Reporting date]])&lt;Pol_Inc_Month_Shifted,YEAR(Table1[[#This Row],[Reporting date]])-1,YEAR(Table1[[#This Row],[Reporting date]]))</f>
        <v>2013</v>
      </c>
      <c r="AD385" s="17">
        <f>Table1[[#This Row],[Reporting year (shifted)]]-Table1[[#This Row],[Policy Year (shifted)]]</f>
        <v>0</v>
      </c>
    </row>
    <row r="386" spans="1:30" ht="13.9">
      <c r="A386" s="8" t="s">
        <v>2156</v>
      </c>
      <c r="B386" s="8" t="s">
        <v>438</v>
      </c>
      <c r="C386" s="8" t="s">
        <v>118</v>
      </c>
      <c r="D386" s="9">
        <v>41136</v>
      </c>
      <c r="E386" s="9">
        <v>41146</v>
      </c>
      <c r="F386" s="17">
        <f>IF(MONTH(Table1[[#This Row],[Loss date]])&lt;Policy_Inception_Month,YEAR(Table1[[#This Row],[Loss date]])-1,YEAR(Table1[[#This Row],[Loss date]]))</f>
        <v>2012</v>
      </c>
      <c r="G386" s="10" t="s">
        <v>119</v>
      </c>
      <c r="H386" s="10" t="s">
        <v>2</v>
      </c>
      <c r="I386" s="11">
        <v>1174.4515150763984</v>
      </c>
      <c r="J386" s="11">
        <v>0</v>
      </c>
      <c r="K386" s="11">
        <v>1174.4515150763984</v>
      </c>
      <c r="L386" s="12">
        <v>0</v>
      </c>
      <c r="M386" s="12">
        <v>59.340708130175933</v>
      </c>
      <c r="N386" s="12">
        <v>1115.1108069462225</v>
      </c>
      <c r="O386" s="70">
        <f>IF(Table1[[#This Row],[Overall amount]]=0,0,1)</f>
        <v>1</v>
      </c>
      <c r="P386" s="70">
        <f>Table1[[#This Row],[Overall amount]]*Exchange_Rate</f>
        <v>1115.1108069462225</v>
      </c>
      <c r="Q386" s="70">
        <f>Table1[[#This Row],[Overall (destination currency)]]*(1+Claims_Inflation)^((Revalue_at_date-Table1[[#This Row],[Loss date]])/365.25)</f>
        <v>1298.8799999999997</v>
      </c>
      <c r="R386" s="70">
        <f>INT(Table1[[#This Row],[Reporting date]])-INT(Table1[[#This Row],[Loss date]])</f>
        <v>10</v>
      </c>
      <c r="S386" s="69" t="s">
        <v>9</v>
      </c>
      <c r="T386" s="70">
        <f>VLOOKUP(Table1[[#This Row],[Policy Year]],exposure_table,3,FALSE)</f>
        <v>1057.54</v>
      </c>
      <c r="U386" s="17">
        <f>IF(MONTH(Table1[[#This Row],[Reporting date]])&lt;Policy_Inception_Month,YEAR(Table1[[#This Row],[Reporting date]])-1,YEAR(Table1[[#This Row],[Reporting date]]))</f>
        <v>2012</v>
      </c>
      <c r="V386" s="17">
        <f>Table1[[#This Row],[Reporting year]]-Table1[[#This Row],[Policy Year]]</f>
        <v>0</v>
      </c>
      <c r="W386" s="17">
        <f>INT(Table1[[#This Row],[Reporting date]])-INT(Table1[[#This Row],[Loss date]])</f>
        <v>10</v>
      </c>
      <c r="X386" s="17">
        <f>INT((YEAR(Table1[[#This Row],[Loss date]])*12+MONTH(Table1[[#This Row],[Loss date]])-Earliest_Month)/4)</f>
        <v>22</v>
      </c>
      <c r="Y386" s="17">
        <f>INT((YEAR(Table1[[#This Row],[Reporting date]])*12+MONTH(Table1[[#This Row],[Reporting date]])-Earliest_Month)/4)</f>
        <v>22</v>
      </c>
      <c r="Z386" s="17">
        <f>Table1[[#This Row],[Reporting third]]-Table1[[#This Row],[Policy third]]</f>
        <v>0</v>
      </c>
      <c r="AA386" s="71">
        <f>IF(Table1[[#This Row],[Overall amount]]=0,"N/A",Table1[[#This Row],[Outstanding]]/Table1[[#This Row],[Overall amount]])</f>
        <v>0</v>
      </c>
      <c r="AB386" s="17">
        <f>IF(MONTH(Table1[[#This Row],[Loss date]])&lt;Pol_Inc_Month_Shifted,YEAR(Table1[[#This Row],[Loss date]])-1,YEAR(Table1[[#This Row],[Loss date]]))</f>
        <v>2011</v>
      </c>
      <c r="AC386" s="17">
        <f>IF(MONTH(Table1[[#This Row],[Reporting date]])&lt;Pol_Inc_Month_Shifted,YEAR(Table1[[#This Row],[Reporting date]])-1,YEAR(Table1[[#This Row],[Reporting date]]))</f>
        <v>2011</v>
      </c>
      <c r="AD386" s="17">
        <f>Table1[[#This Row],[Reporting year (shifted)]]-Table1[[#This Row],[Policy Year (shifted)]]</f>
        <v>0</v>
      </c>
    </row>
    <row r="387" spans="1:30" ht="13.9">
      <c r="A387" s="8" t="s">
        <v>2157</v>
      </c>
      <c r="B387" s="8" t="s">
        <v>439</v>
      </c>
      <c r="C387" s="8" t="s">
        <v>118</v>
      </c>
      <c r="D387" s="9">
        <v>41030</v>
      </c>
      <c r="E387" s="9">
        <v>41196</v>
      </c>
      <c r="F387" s="17">
        <f>IF(MONTH(Table1[[#This Row],[Loss date]])&lt;Policy_Inception_Month,YEAR(Table1[[#This Row],[Loss date]])-1,YEAR(Table1[[#This Row],[Loss date]]))</f>
        <v>2012</v>
      </c>
      <c r="G387" s="10" t="s">
        <v>145</v>
      </c>
      <c r="H387" s="10" t="s">
        <v>2</v>
      </c>
      <c r="I387" s="11">
        <v>10157.360077008405</v>
      </c>
      <c r="J387" s="11">
        <v>0</v>
      </c>
      <c r="K387" s="11">
        <v>10157.360077008405</v>
      </c>
      <c r="L387" s="12">
        <v>0</v>
      </c>
      <c r="M387" s="12">
        <v>0</v>
      </c>
      <c r="N387" s="12">
        <v>10157.360077008405</v>
      </c>
      <c r="O387" s="70">
        <f>IF(Table1[[#This Row],[Overall amount]]=0,0,1)</f>
        <v>1</v>
      </c>
      <c r="P387" s="70">
        <f>Table1[[#This Row],[Overall amount]]*Exchange_Rate</f>
        <v>10157.360077008405</v>
      </c>
      <c r="Q387" s="70">
        <f>Table1[[#This Row],[Overall (destination currency)]]*(1+Claims_Inflation)^((Revalue_at_date-Table1[[#This Row],[Loss date]])/365.25)</f>
        <v>12000</v>
      </c>
      <c r="R387" s="70">
        <f>INT(Table1[[#This Row],[Reporting date]])-INT(Table1[[#This Row],[Loss date]])</f>
        <v>166</v>
      </c>
      <c r="S387" s="69" t="s">
        <v>9</v>
      </c>
      <c r="T387" s="70">
        <f>VLOOKUP(Table1[[#This Row],[Policy Year]],exposure_table,3,FALSE)</f>
        <v>1057.54</v>
      </c>
      <c r="U387" s="17">
        <f>IF(MONTH(Table1[[#This Row],[Reporting date]])&lt;Policy_Inception_Month,YEAR(Table1[[#This Row],[Reporting date]])-1,YEAR(Table1[[#This Row],[Reporting date]]))</f>
        <v>2012</v>
      </c>
      <c r="V387" s="17">
        <f>Table1[[#This Row],[Reporting year]]-Table1[[#This Row],[Policy Year]]</f>
        <v>0</v>
      </c>
      <c r="W387" s="17">
        <f>INT(Table1[[#This Row],[Reporting date]])-INT(Table1[[#This Row],[Loss date]])</f>
        <v>166</v>
      </c>
      <c r="X387" s="17">
        <f>INT((YEAR(Table1[[#This Row],[Loss date]])*12+MONTH(Table1[[#This Row],[Loss date]])-Earliest_Month)/4)</f>
        <v>21</v>
      </c>
      <c r="Y387" s="17">
        <f>INT((YEAR(Table1[[#This Row],[Reporting date]])*12+MONTH(Table1[[#This Row],[Reporting date]])-Earliest_Month)/4)</f>
        <v>22</v>
      </c>
      <c r="Z387" s="17">
        <f>Table1[[#This Row],[Reporting third]]-Table1[[#This Row],[Policy third]]</f>
        <v>1</v>
      </c>
      <c r="AA387" s="71">
        <f>IF(Table1[[#This Row],[Overall amount]]=0,"N/A",Table1[[#This Row],[Outstanding]]/Table1[[#This Row],[Overall amount]])</f>
        <v>0</v>
      </c>
      <c r="AB387" s="17">
        <f>IF(MONTH(Table1[[#This Row],[Loss date]])&lt;Pol_Inc_Month_Shifted,YEAR(Table1[[#This Row],[Loss date]])-1,YEAR(Table1[[#This Row],[Loss date]]))</f>
        <v>2011</v>
      </c>
      <c r="AC387" s="17">
        <f>IF(MONTH(Table1[[#This Row],[Reporting date]])&lt;Pol_Inc_Month_Shifted,YEAR(Table1[[#This Row],[Reporting date]])-1,YEAR(Table1[[#This Row],[Reporting date]]))</f>
        <v>2011</v>
      </c>
      <c r="AD387" s="17">
        <f>Table1[[#This Row],[Reporting year (shifted)]]-Table1[[#This Row],[Policy Year (shifted)]]</f>
        <v>0</v>
      </c>
    </row>
    <row r="388" spans="1:30" ht="13.9">
      <c r="A388" s="8" t="s">
        <v>2158</v>
      </c>
      <c r="B388" s="8" t="s">
        <v>440</v>
      </c>
      <c r="C388" s="8" t="s">
        <v>118</v>
      </c>
      <c r="D388" s="9">
        <v>41150</v>
      </c>
      <c r="E388" s="9">
        <v>41196</v>
      </c>
      <c r="F388" s="17">
        <f>IF(MONTH(Table1[[#This Row],[Loss date]])&lt;Policy_Inception_Month,YEAR(Table1[[#This Row],[Loss date]])-1,YEAR(Table1[[#This Row],[Loss date]]))</f>
        <v>2012</v>
      </c>
      <c r="G388" s="10" t="s">
        <v>133</v>
      </c>
      <c r="H388" s="10" t="s">
        <v>2</v>
      </c>
      <c r="I388" s="11">
        <v>37824.031561801326</v>
      </c>
      <c r="J388" s="11">
        <v>0</v>
      </c>
      <c r="K388" s="11">
        <v>37824.031561801326</v>
      </c>
      <c r="L388" s="12">
        <v>309.64472065198009</v>
      </c>
      <c r="M388" s="12">
        <v>0</v>
      </c>
      <c r="N388" s="12">
        <v>38133.676282453307</v>
      </c>
      <c r="O388" s="70">
        <f>IF(Table1[[#This Row],[Overall amount]]=0,0,1)</f>
        <v>1</v>
      </c>
      <c r="P388" s="70">
        <f>Table1[[#This Row],[Overall amount]]*Exchange_Rate</f>
        <v>38133.676282453307</v>
      </c>
      <c r="Q388" s="70">
        <f>Table1[[#This Row],[Overall (destination currency)]]*(1+Claims_Inflation)^((Revalue_at_date-Table1[[#This Row],[Loss date]])/365.25)</f>
        <v>44335.08</v>
      </c>
      <c r="R388" s="70">
        <f>INT(Table1[[#This Row],[Reporting date]])-INT(Table1[[#This Row],[Loss date]])</f>
        <v>46</v>
      </c>
      <c r="S388" s="69" t="s">
        <v>9</v>
      </c>
      <c r="T388" s="70">
        <f>VLOOKUP(Table1[[#This Row],[Policy Year]],exposure_table,3,FALSE)</f>
        <v>1057.54</v>
      </c>
      <c r="U388" s="17">
        <f>IF(MONTH(Table1[[#This Row],[Reporting date]])&lt;Policy_Inception_Month,YEAR(Table1[[#This Row],[Reporting date]])-1,YEAR(Table1[[#This Row],[Reporting date]]))</f>
        <v>2012</v>
      </c>
      <c r="V388" s="17">
        <f>Table1[[#This Row],[Reporting year]]-Table1[[#This Row],[Policy Year]]</f>
        <v>0</v>
      </c>
      <c r="W388" s="17">
        <f>INT(Table1[[#This Row],[Reporting date]])-INT(Table1[[#This Row],[Loss date]])</f>
        <v>46</v>
      </c>
      <c r="X388" s="17">
        <f>INT((YEAR(Table1[[#This Row],[Loss date]])*12+MONTH(Table1[[#This Row],[Loss date]])-Earliest_Month)/4)</f>
        <v>22</v>
      </c>
      <c r="Y388" s="17">
        <f>INT((YEAR(Table1[[#This Row],[Reporting date]])*12+MONTH(Table1[[#This Row],[Reporting date]])-Earliest_Month)/4)</f>
        <v>22</v>
      </c>
      <c r="Z388" s="17">
        <f>Table1[[#This Row],[Reporting third]]-Table1[[#This Row],[Policy third]]</f>
        <v>0</v>
      </c>
      <c r="AA388" s="71">
        <f>IF(Table1[[#This Row],[Overall amount]]=0,"N/A",Table1[[#This Row],[Outstanding]]/Table1[[#This Row],[Overall amount]])</f>
        <v>0</v>
      </c>
      <c r="AB388" s="17">
        <f>IF(MONTH(Table1[[#This Row],[Loss date]])&lt;Pol_Inc_Month_Shifted,YEAR(Table1[[#This Row],[Loss date]])-1,YEAR(Table1[[#This Row],[Loss date]]))</f>
        <v>2011</v>
      </c>
      <c r="AC388" s="17">
        <f>IF(MONTH(Table1[[#This Row],[Reporting date]])&lt;Pol_Inc_Month_Shifted,YEAR(Table1[[#This Row],[Reporting date]])-1,YEAR(Table1[[#This Row],[Reporting date]]))</f>
        <v>2011</v>
      </c>
      <c r="AD388" s="17">
        <f>Table1[[#This Row],[Reporting year (shifted)]]-Table1[[#This Row],[Policy Year (shifted)]]</f>
        <v>0</v>
      </c>
    </row>
    <row r="389" spans="1:30" ht="13.9">
      <c r="A389" s="8" t="s">
        <v>2159</v>
      </c>
      <c r="B389" s="8" t="s">
        <v>441</v>
      </c>
      <c r="C389" s="8" t="s">
        <v>118</v>
      </c>
      <c r="D389" s="9">
        <v>40878</v>
      </c>
      <c r="E389" s="9">
        <v>41253</v>
      </c>
      <c r="F389" s="17">
        <f>IF(MONTH(Table1[[#This Row],[Loss date]])&lt;Policy_Inception_Month,YEAR(Table1[[#This Row],[Loss date]])-1,YEAR(Table1[[#This Row],[Loss date]]))</f>
        <v>2011</v>
      </c>
      <c r="G389" s="10" t="s">
        <v>129</v>
      </c>
      <c r="H389" s="10" t="s">
        <v>2</v>
      </c>
      <c r="I389" s="11">
        <v>14101.936545239456</v>
      </c>
      <c r="J389" s="11">
        <v>0</v>
      </c>
      <c r="K389" s="11">
        <v>14101.936545239456</v>
      </c>
      <c r="L389" s="12">
        <v>0</v>
      </c>
      <c r="M389" s="12">
        <v>0</v>
      </c>
      <c r="N389" s="12">
        <v>14101.936545239456</v>
      </c>
      <c r="O389" s="70">
        <f>IF(Table1[[#This Row],[Overall amount]]=0,0,1)</f>
        <v>1</v>
      </c>
      <c r="P389" s="70">
        <f>Table1[[#This Row],[Overall amount]]*Exchange_Rate</f>
        <v>14101.936545239456</v>
      </c>
      <c r="Q389" s="70">
        <f>Table1[[#This Row],[Overall (destination currency)]]*(1+Claims_Inflation)^((Revalue_at_date-Table1[[#This Row],[Loss date]])/365.25)</f>
        <v>17001.887999999999</v>
      </c>
      <c r="R389" s="70">
        <f>INT(Table1[[#This Row],[Reporting date]])-INT(Table1[[#This Row],[Loss date]])</f>
        <v>375</v>
      </c>
      <c r="S389" s="69" t="s">
        <v>9</v>
      </c>
      <c r="T389" s="70">
        <f>VLOOKUP(Table1[[#This Row],[Policy Year]],exposure_table,3,FALSE)</f>
        <v>870.52680000000009</v>
      </c>
      <c r="U389" s="17">
        <f>IF(MONTH(Table1[[#This Row],[Reporting date]])&lt;Policy_Inception_Month,YEAR(Table1[[#This Row],[Reporting date]])-1,YEAR(Table1[[#This Row],[Reporting date]]))</f>
        <v>2012</v>
      </c>
      <c r="V389" s="17">
        <f>Table1[[#This Row],[Reporting year]]-Table1[[#This Row],[Policy Year]]</f>
        <v>1</v>
      </c>
      <c r="W389" s="17">
        <f>INT(Table1[[#This Row],[Reporting date]])-INT(Table1[[#This Row],[Loss date]])</f>
        <v>375</v>
      </c>
      <c r="X389" s="17">
        <f>INT((YEAR(Table1[[#This Row],[Loss date]])*12+MONTH(Table1[[#This Row],[Loss date]])-Earliest_Month)/4)</f>
        <v>20</v>
      </c>
      <c r="Y389" s="17">
        <f>INT((YEAR(Table1[[#This Row],[Reporting date]])*12+MONTH(Table1[[#This Row],[Reporting date]])-Earliest_Month)/4)</f>
        <v>23</v>
      </c>
      <c r="Z389" s="17">
        <f>Table1[[#This Row],[Reporting third]]-Table1[[#This Row],[Policy third]]</f>
        <v>3</v>
      </c>
      <c r="AA389" s="71">
        <f>IF(Table1[[#This Row],[Overall amount]]=0,"N/A",Table1[[#This Row],[Outstanding]]/Table1[[#This Row],[Overall amount]])</f>
        <v>0</v>
      </c>
      <c r="AB389" s="17">
        <f>IF(MONTH(Table1[[#This Row],[Loss date]])&lt;Pol_Inc_Month_Shifted,YEAR(Table1[[#This Row],[Loss date]])-1,YEAR(Table1[[#This Row],[Loss date]]))</f>
        <v>2011</v>
      </c>
      <c r="AC389" s="17">
        <f>IF(MONTH(Table1[[#This Row],[Reporting date]])&lt;Pol_Inc_Month_Shifted,YEAR(Table1[[#This Row],[Reporting date]])-1,YEAR(Table1[[#This Row],[Reporting date]]))</f>
        <v>2012</v>
      </c>
      <c r="AD389" s="17">
        <f>Table1[[#This Row],[Reporting year (shifted)]]-Table1[[#This Row],[Policy Year (shifted)]]</f>
        <v>1</v>
      </c>
    </row>
    <row r="390" spans="1:30" ht="13.9">
      <c r="A390" s="8" t="s">
        <v>2160</v>
      </c>
      <c r="B390" s="8" t="s">
        <v>442</v>
      </c>
      <c r="C390" s="8" t="s">
        <v>118</v>
      </c>
      <c r="D390" s="9">
        <v>41197</v>
      </c>
      <c r="E390" s="9">
        <v>41330</v>
      </c>
      <c r="F390" s="17">
        <f>IF(MONTH(Table1[[#This Row],[Loss date]])&lt;Policy_Inception_Month,YEAR(Table1[[#This Row],[Loss date]])-1,YEAR(Table1[[#This Row],[Loss date]]))</f>
        <v>2012</v>
      </c>
      <c r="G390" s="10" t="s">
        <v>131</v>
      </c>
      <c r="H390" s="10" t="s">
        <v>2</v>
      </c>
      <c r="I390" s="11">
        <v>1763.6269576546758</v>
      </c>
      <c r="J390" s="11">
        <v>0</v>
      </c>
      <c r="K390" s="11">
        <v>1763.6269576546758</v>
      </c>
      <c r="L390" s="12">
        <v>311.59486884358228</v>
      </c>
      <c r="M390" s="12">
        <v>0</v>
      </c>
      <c r="N390" s="12">
        <v>2075.221826498258</v>
      </c>
      <c r="O390" s="70">
        <f>IF(Table1[[#This Row],[Overall amount]]=0,0,1)</f>
        <v>1</v>
      </c>
      <c r="P390" s="70">
        <f>Table1[[#This Row],[Overall amount]]*Exchange_Rate</f>
        <v>2075.221826498258</v>
      </c>
      <c r="Q390" s="70">
        <f>Table1[[#This Row],[Overall (destination currency)]]*(1+Claims_Inflation)^((Revalue_at_date-Table1[[#This Row],[Loss date]])/365.25)</f>
        <v>2397.6</v>
      </c>
      <c r="R390" s="70">
        <f>INT(Table1[[#This Row],[Reporting date]])-INT(Table1[[#This Row],[Loss date]])</f>
        <v>133</v>
      </c>
      <c r="S390" s="69" t="s">
        <v>9</v>
      </c>
      <c r="T390" s="70">
        <f>VLOOKUP(Table1[[#This Row],[Policy Year]],exposure_table,3,FALSE)</f>
        <v>1057.54</v>
      </c>
      <c r="U390" s="17">
        <f>IF(MONTH(Table1[[#This Row],[Reporting date]])&lt;Policy_Inception_Month,YEAR(Table1[[#This Row],[Reporting date]])-1,YEAR(Table1[[#This Row],[Reporting date]]))</f>
        <v>2012</v>
      </c>
      <c r="V390" s="17">
        <f>Table1[[#This Row],[Reporting year]]-Table1[[#This Row],[Policy Year]]</f>
        <v>0</v>
      </c>
      <c r="W390" s="17">
        <f>INT(Table1[[#This Row],[Reporting date]])-INT(Table1[[#This Row],[Loss date]])</f>
        <v>133</v>
      </c>
      <c r="X390" s="17">
        <f>INT((YEAR(Table1[[#This Row],[Loss date]])*12+MONTH(Table1[[#This Row],[Loss date]])-Earliest_Month)/4)</f>
        <v>22</v>
      </c>
      <c r="Y390" s="17">
        <f>INT((YEAR(Table1[[#This Row],[Reporting date]])*12+MONTH(Table1[[#This Row],[Reporting date]])-Earliest_Month)/4)</f>
        <v>23</v>
      </c>
      <c r="Z390" s="17">
        <f>Table1[[#This Row],[Reporting third]]-Table1[[#This Row],[Policy third]]</f>
        <v>1</v>
      </c>
      <c r="AA390" s="71">
        <f>IF(Table1[[#This Row],[Overall amount]]=0,"N/A",Table1[[#This Row],[Outstanding]]/Table1[[#This Row],[Overall amount]])</f>
        <v>0</v>
      </c>
      <c r="AB390" s="17">
        <f>IF(MONTH(Table1[[#This Row],[Loss date]])&lt;Pol_Inc_Month_Shifted,YEAR(Table1[[#This Row],[Loss date]])-1,YEAR(Table1[[#This Row],[Loss date]]))</f>
        <v>2011</v>
      </c>
      <c r="AC390" s="17">
        <f>IF(MONTH(Table1[[#This Row],[Reporting date]])&lt;Pol_Inc_Month_Shifted,YEAR(Table1[[#This Row],[Reporting date]])-1,YEAR(Table1[[#This Row],[Reporting date]]))</f>
        <v>2012</v>
      </c>
      <c r="AD390" s="17">
        <f>Table1[[#This Row],[Reporting year (shifted)]]-Table1[[#This Row],[Policy Year (shifted)]]</f>
        <v>1</v>
      </c>
    </row>
    <row r="391" spans="1:30" ht="13.9">
      <c r="A391" s="8" t="s">
        <v>2161</v>
      </c>
      <c r="B391" s="8" t="s">
        <v>443</v>
      </c>
      <c r="C391" s="8" t="s">
        <v>118</v>
      </c>
      <c r="D391" s="9">
        <v>41295</v>
      </c>
      <c r="E391" s="9">
        <v>41344</v>
      </c>
      <c r="F391" s="17">
        <f>IF(MONTH(Table1[[#This Row],[Loss date]])&lt;Policy_Inception_Month,YEAR(Table1[[#This Row],[Loss date]])-1,YEAR(Table1[[#This Row],[Loss date]]))</f>
        <v>2012</v>
      </c>
      <c r="G391" s="10" t="s">
        <v>121</v>
      </c>
      <c r="H391" s="10" t="s">
        <v>2</v>
      </c>
      <c r="I391" s="11">
        <v>63140.145836521304</v>
      </c>
      <c r="J391" s="11">
        <v>0</v>
      </c>
      <c r="K391" s="11">
        <v>63140.145836521304</v>
      </c>
      <c r="L391" s="12">
        <v>0</v>
      </c>
      <c r="M391" s="12">
        <v>0</v>
      </c>
      <c r="N391" s="12">
        <v>63140.145836521304</v>
      </c>
      <c r="O391" s="70">
        <f>IF(Table1[[#This Row],[Overall amount]]=0,0,1)</f>
        <v>1</v>
      </c>
      <c r="P391" s="70">
        <f>Table1[[#This Row],[Overall amount]]*Exchange_Rate</f>
        <v>63140.145836521304</v>
      </c>
      <c r="Q391" s="70">
        <f>Table1[[#This Row],[Overall (destination currency)]]*(1+Claims_Inflation)^((Revalue_at_date-Table1[[#This Row],[Loss date]])/365.25)</f>
        <v>72000.000000000015</v>
      </c>
      <c r="R391" s="70">
        <f>INT(Table1[[#This Row],[Reporting date]])-INT(Table1[[#This Row],[Loss date]])</f>
        <v>49</v>
      </c>
      <c r="S391" s="69" t="s">
        <v>9</v>
      </c>
      <c r="T391" s="70">
        <f>VLOOKUP(Table1[[#This Row],[Policy Year]],exposure_table,3,FALSE)</f>
        <v>1057.54</v>
      </c>
      <c r="U391" s="17">
        <f>IF(MONTH(Table1[[#This Row],[Reporting date]])&lt;Policy_Inception_Month,YEAR(Table1[[#This Row],[Reporting date]])-1,YEAR(Table1[[#This Row],[Reporting date]]))</f>
        <v>2012</v>
      </c>
      <c r="V391" s="17">
        <f>Table1[[#This Row],[Reporting year]]-Table1[[#This Row],[Policy Year]]</f>
        <v>0</v>
      </c>
      <c r="W391" s="17">
        <f>INT(Table1[[#This Row],[Reporting date]])-INT(Table1[[#This Row],[Loss date]])</f>
        <v>49</v>
      </c>
      <c r="X391" s="17">
        <f>INT((YEAR(Table1[[#This Row],[Loss date]])*12+MONTH(Table1[[#This Row],[Loss date]])-Earliest_Month)/4)</f>
        <v>23</v>
      </c>
      <c r="Y391" s="17">
        <f>INT((YEAR(Table1[[#This Row],[Reporting date]])*12+MONTH(Table1[[#This Row],[Reporting date]])-Earliest_Month)/4)</f>
        <v>23</v>
      </c>
      <c r="Z391" s="17">
        <f>Table1[[#This Row],[Reporting third]]-Table1[[#This Row],[Policy third]]</f>
        <v>0</v>
      </c>
      <c r="AA391" s="71">
        <f>IF(Table1[[#This Row],[Overall amount]]=0,"N/A",Table1[[#This Row],[Outstanding]]/Table1[[#This Row],[Overall amount]])</f>
        <v>0</v>
      </c>
      <c r="AB391" s="17">
        <f>IF(MONTH(Table1[[#This Row],[Loss date]])&lt;Pol_Inc_Month_Shifted,YEAR(Table1[[#This Row],[Loss date]])-1,YEAR(Table1[[#This Row],[Loss date]]))</f>
        <v>2012</v>
      </c>
      <c r="AC391" s="17">
        <f>IF(MONTH(Table1[[#This Row],[Reporting date]])&lt;Pol_Inc_Month_Shifted,YEAR(Table1[[#This Row],[Reporting date]])-1,YEAR(Table1[[#This Row],[Reporting date]]))</f>
        <v>2012</v>
      </c>
      <c r="AD391" s="17">
        <f>Table1[[#This Row],[Reporting year (shifted)]]-Table1[[#This Row],[Policy Year (shifted)]]</f>
        <v>0</v>
      </c>
    </row>
    <row r="392" spans="1:30" ht="13.9">
      <c r="A392" s="8" t="s">
        <v>2162</v>
      </c>
      <c r="B392" s="8" t="s">
        <v>444</v>
      </c>
      <c r="C392" s="8" t="s">
        <v>118</v>
      </c>
      <c r="D392" s="9">
        <v>41340</v>
      </c>
      <c r="E392" s="9">
        <v>41357</v>
      </c>
      <c r="F392" s="17">
        <f>IF(MONTH(Table1[[#This Row],[Loss date]])&lt;Policy_Inception_Month,YEAR(Table1[[#This Row],[Loss date]])-1,YEAR(Table1[[#This Row],[Loss date]]))</f>
        <v>2012</v>
      </c>
      <c r="G392" s="10" t="s">
        <v>121</v>
      </c>
      <c r="H392" s="10" t="s">
        <v>2</v>
      </c>
      <c r="I392" s="11">
        <v>0</v>
      </c>
      <c r="J392" s="11">
        <v>0</v>
      </c>
      <c r="K392" s="11">
        <v>0</v>
      </c>
      <c r="L392" s="12">
        <v>0</v>
      </c>
      <c r="M392" s="12">
        <v>0</v>
      </c>
      <c r="N392" s="12">
        <v>0</v>
      </c>
      <c r="O392" s="70">
        <f>IF(Table1[[#This Row],[Overall amount]]=0,0,1)</f>
        <v>0</v>
      </c>
      <c r="P392" s="70">
        <f>Table1[[#This Row],[Overall amount]]*Exchange_Rate</f>
        <v>0</v>
      </c>
      <c r="Q392" s="70">
        <f>Table1[[#This Row],[Overall (destination currency)]]*(1+Claims_Inflation)^((Revalue_at_date-Table1[[#This Row],[Loss date]])/365.25)</f>
        <v>0</v>
      </c>
      <c r="R392" s="70">
        <f>INT(Table1[[#This Row],[Reporting date]])-INT(Table1[[#This Row],[Loss date]])</f>
        <v>17</v>
      </c>
      <c r="S392" s="69" t="s">
        <v>9</v>
      </c>
      <c r="T392" s="70">
        <f>VLOOKUP(Table1[[#This Row],[Policy Year]],exposure_table,3,FALSE)</f>
        <v>1057.54</v>
      </c>
      <c r="U392" s="17">
        <f>IF(MONTH(Table1[[#This Row],[Reporting date]])&lt;Policy_Inception_Month,YEAR(Table1[[#This Row],[Reporting date]])-1,YEAR(Table1[[#This Row],[Reporting date]]))</f>
        <v>2012</v>
      </c>
      <c r="V392" s="17">
        <f>Table1[[#This Row],[Reporting year]]-Table1[[#This Row],[Policy Year]]</f>
        <v>0</v>
      </c>
      <c r="W392" s="17">
        <f>INT(Table1[[#This Row],[Reporting date]])-INT(Table1[[#This Row],[Loss date]])</f>
        <v>17</v>
      </c>
      <c r="X392" s="17">
        <f>INT((YEAR(Table1[[#This Row],[Loss date]])*12+MONTH(Table1[[#This Row],[Loss date]])-Earliest_Month)/4)</f>
        <v>23</v>
      </c>
      <c r="Y392" s="17">
        <f>INT((YEAR(Table1[[#This Row],[Reporting date]])*12+MONTH(Table1[[#This Row],[Reporting date]])-Earliest_Month)/4)</f>
        <v>23</v>
      </c>
      <c r="Z392" s="17">
        <f>Table1[[#This Row],[Reporting third]]-Table1[[#This Row],[Policy third]]</f>
        <v>0</v>
      </c>
      <c r="AA392" s="71" t="str">
        <f>IF(Table1[[#This Row],[Overall amount]]=0,"N/A",Table1[[#This Row],[Outstanding]]/Table1[[#This Row],[Overall amount]])</f>
        <v>N/A</v>
      </c>
      <c r="AB392" s="17">
        <f>IF(MONTH(Table1[[#This Row],[Loss date]])&lt;Pol_Inc_Month_Shifted,YEAR(Table1[[#This Row],[Loss date]])-1,YEAR(Table1[[#This Row],[Loss date]]))</f>
        <v>2012</v>
      </c>
      <c r="AC392" s="17">
        <f>IF(MONTH(Table1[[#This Row],[Reporting date]])&lt;Pol_Inc_Month_Shifted,YEAR(Table1[[#This Row],[Reporting date]])-1,YEAR(Table1[[#This Row],[Reporting date]]))</f>
        <v>2012</v>
      </c>
      <c r="AD392" s="17">
        <f>Table1[[#This Row],[Reporting year (shifted)]]-Table1[[#This Row],[Policy Year (shifted)]]</f>
        <v>0</v>
      </c>
    </row>
    <row r="393" spans="1:30" ht="13.9">
      <c r="A393" s="8" t="s">
        <v>2163</v>
      </c>
      <c r="B393" s="8" t="s">
        <v>445</v>
      </c>
      <c r="C393" s="8" t="s">
        <v>118</v>
      </c>
      <c r="D393" s="9">
        <v>41334</v>
      </c>
      <c r="E393" s="9">
        <v>41418</v>
      </c>
      <c r="F393" s="17">
        <f>IF(MONTH(Table1[[#This Row],[Loss date]])&lt;Policy_Inception_Month,YEAR(Table1[[#This Row],[Loss date]])-1,YEAR(Table1[[#This Row],[Loss date]]))</f>
        <v>2012</v>
      </c>
      <c r="G393" s="10" t="s">
        <v>121</v>
      </c>
      <c r="H393" s="10" t="s">
        <v>2</v>
      </c>
      <c r="I393" s="11">
        <v>0</v>
      </c>
      <c r="J393" s="11">
        <v>10049.407289832943</v>
      </c>
      <c r="K393" s="11">
        <v>10049.407289832943</v>
      </c>
      <c r="L393" s="12">
        <v>0</v>
      </c>
      <c r="M393" s="12">
        <v>0</v>
      </c>
      <c r="N393" s="12">
        <v>10049.407289832943</v>
      </c>
      <c r="O393" s="70">
        <f>IF(Table1[[#This Row],[Overall amount]]=0,0,1)</f>
        <v>1</v>
      </c>
      <c r="P393" s="70">
        <f>Table1[[#This Row],[Overall amount]]*Exchange_Rate</f>
        <v>10049.407289832943</v>
      </c>
      <c r="Q393" s="70">
        <f>Table1[[#This Row],[Overall (destination currency)]]*(1+Claims_Inflation)^((Revalue_at_date-Table1[[#This Row],[Loss date]])/365.25)</f>
        <v>11399.999999999998</v>
      </c>
      <c r="R393" s="70">
        <f>INT(Table1[[#This Row],[Reporting date]])-INT(Table1[[#This Row],[Loss date]])</f>
        <v>84</v>
      </c>
      <c r="S393" s="69" t="s">
        <v>16</v>
      </c>
      <c r="T393" s="70">
        <f>VLOOKUP(Table1[[#This Row],[Policy Year]],exposure_table,3,FALSE)</f>
        <v>1057.54</v>
      </c>
      <c r="U393" s="17">
        <f>IF(MONTH(Table1[[#This Row],[Reporting date]])&lt;Policy_Inception_Month,YEAR(Table1[[#This Row],[Reporting date]])-1,YEAR(Table1[[#This Row],[Reporting date]]))</f>
        <v>2013</v>
      </c>
      <c r="V393" s="17">
        <f>Table1[[#This Row],[Reporting year]]-Table1[[#This Row],[Policy Year]]</f>
        <v>1</v>
      </c>
      <c r="W393" s="17">
        <f>INT(Table1[[#This Row],[Reporting date]])-INT(Table1[[#This Row],[Loss date]])</f>
        <v>84</v>
      </c>
      <c r="X393" s="17">
        <f>INT((YEAR(Table1[[#This Row],[Loss date]])*12+MONTH(Table1[[#This Row],[Loss date]])-Earliest_Month)/4)</f>
        <v>23</v>
      </c>
      <c r="Y393" s="17">
        <f>INT((YEAR(Table1[[#This Row],[Reporting date]])*12+MONTH(Table1[[#This Row],[Reporting date]])-Earliest_Month)/4)</f>
        <v>24</v>
      </c>
      <c r="Z393" s="17">
        <f>Table1[[#This Row],[Reporting third]]-Table1[[#This Row],[Policy third]]</f>
        <v>1</v>
      </c>
      <c r="AA393" s="71">
        <f>IF(Table1[[#This Row],[Overall amount]]=0,"N/A",Table1[[#This Row],[Outstanding]]/Table1[[#This Row],[Overall amount]])</f>
        <v>1</v>
      </c>
      <c r="AB393" s="17">
        <f>IF(MONTH(Table1[[#This Row],[Loss date]])&lt;Pol_Inc_Month_Shifted,YEAR(Table1[[#This Row],[Loss date]])-1,YEAR(Table1[[#This Row],[Loss date]]))</f>
        <v>2012</v>
      </c>
      <c r="AC393" s="17">
        <f>IF(MONTH(Table1[[#This Row],[Reporting date]])&lt;Pol_Inc_Month_Shifted,YEAR(Table1[[#This Row],[Reporting date]])-1,YEAR(Table1[[#This Row],[Reporting date]]))</f>
        <v>2012</v>
      </c>
      <c r="AD393" s="17">
        <f>Table1[[#This Row],[Reporting year (shifted)]]-Table1[[#This Row],[Policy Year (shifted)]]</f>
        <v>0</v>
      </c>
    </row>
    <row r="394" spans="1:30" ht="13.9">
      <c r="A394" s="8" t="s">
        <v>2164</v>
      </c>
      <c r="B394" s="8" t="s">
        <v>446</v>
      </c>
      <c r="C394" s="8" t="s">
        <v>118</v>
      </c>
      <c r="D394" s="9">
        <v>41272</v>
      </c>
      <c r="E394" s="9">
        <v>41495</v>
      </c>
      <c r="F394" s="17">
        <f>IF(MONTH(Table1[[#This Row],[Loss date]])&lt;Policy_Inception_Month,YEAR(Table1[[#This Row],[Loss date]])-1,YEAR(Table1[[#This Row],[Loss date]]))</f>
        <v>2012</v>
      </c>
      <c r="G394" s="10" t="s">
        <v>121</v>
      </c>
      <c r="H394" s="10" t="s">
        <v>2</v>
      </c>
      <c r="I394" s="11">
        <v>0</v>
      </c>
      <c r="J394" s="11">
        <v>0</v>
      </c>
      <c r="K394" s="11">
        <v>0</v>
      </c>
      <c r="L394" s="12">
        <v>314.73227630139598</v>
      </c>
      <c r="M394" s="12">
        <v>0</v>
      </c>
      <c r="N394" s="12">
        <v>314.73227630139598</v>
      </c>
      <c r="O394" s="70">
        <f>IF(Table1[[#This Row],[Overall amount]]=0,0,1)</f>
        <v>1</v>
      </c>
      <c r="P394" s="70">
        <f>Table1[[#This Row],[Overall amount]]*Exchange_Rate</f>
        <v>314.73227630139598</v>
      </c>
      <c r="Q394" s="70">
        <f>Table1[[#This Row],[Overall (destination currency)]]*(1+Claims_Inflation)^((Revalue_at_date-Table1[[#This Row],[Loss date]])/365.25)</f>
        <v>360</v>
      </c>
      <c r="R394" s="70">
        <f>INT(Table1[[#This Row],[Reporting date]])-INT(Table1[[#This Row],[Loss date]])</f>
        <v>223</v>
      </c>
      <c r="S394" s="69" t="s">
        <v>9</v>
      </c>
      <c r="T394" s="70">
        <f>VLOOKUP(Table1[[#This Row],[Policy Year]],exposure_table,3,FALSE)</f>
        <v>1057.54</v>
      </c>
      <c r="U394" s="17">
        <f>IF(MONTH(Table1[[#This Row],[Reporting date]])&lt;Policy_Inception_Month,YEAR(Table1[[#This Row],[Reporting date]])-1,YEAR(Table1[[#This Row],[Reporting date]]))</f>
        <v>2013</v>
      </c>
      <c r="V394" s="17">
        <f>Table1[[#This Row],[Reporting year]]-Table1[[#This Row],[Policy Year]]</f>
        <v>1</v>
      </c>
      <c r="W394" s="17">
        <f>INT(Table1[[#This Row],[Reporting date]])-INT(Table1[[#This Row],[Loss date]])</f>
        <v>223</v>
      </c>
      <c r="X394" s="17">
        <f>INT((YEAR(Table1[[#This Row],[Loss date]])*12+MONTH(Table1[[#This Row],[Loss date]])-Earliest_Month)/4)</f>
        <v>23</v>
      </c>
      <c r="Y394" s="17">
        <f>INT((YEAR(Table1[[#This Row],[Reporting date]])*12+MONTH(Table1[[#This Row],[Reporting date]])-Earliest_Month)/4)</f>
        <v>25</v>
      </c>
      <c r="Z394" s="17">
        <f>Table1[[#This Row],[Reporting third]]-Table1[[#This Row],[Policy third]]</f>
        <v>2</v>
      </c>
      <c r="AA394" s="71">
        <f>IF(Table1[[#This Row],[Overall amount]]=0,"N/A",Table1[[#This Row],[Outstanding]]/Table1[[#This Row],[Overall amount]])</f>
        <v>0</v>
      </c>
      <c r="AB394" s="17">
        <f>IF(MONTH(Table1[[#This Row],[Loss date]])&lt;Pol_Inc_Month_Shifted,YEAR(Table1[[#This Row],[Loss date]])-1,YEAR(Table1[[#This Row],[Loss date]]))</f>
        <v>2012</v>
      </c>
      <c r="AC394" s="17">
        <f>IF(MONTH(Table1[[#This Row],[Reporting date]])&lt;Pol_Inc_Month_Shifted,YEAR(Table1[[#This Row],[Reporting date]])-1,YEAR(Table1[[#This Row],[Reporting date]]))</f>
        <v>2012</v>
      </c>
      <c r="AD394" s="17">
        <f>Table1[[#This Row],[Reporting year (shifted)]]-Table1[[#This Row],[Policy Year (shifted)]]</f>
        <v>0</v>
      </c>
    </row>
    <row r="395" spans="1:30" ht="13.9">
      <c r="A395" s="8" t="s">
        <v>2165</v>
      </c>
      <c r="B395" s="8" t="s">
        <v>447</v>
      </c>
      <c r="C395" s="8" t="s">
        <v>118</v>
      </c>
      <c r="D395" s="9">
        <v>41112</v>
      </c>
      <c r="E395" s="9">
        <v>41532</v>
      </c>
      <c r="F395" s="17">
        <f>IF(MONTH(Table1[[#This Row],[Loss date]])&lt;Policy_Inception_Month,YEAR(Table1[[#This Row],[Loss date]])-1,YEAR(Table1[[#This Row],[Loss date]]))</f>
        <v>2012</v>
      </c>
      <c r="G395" s="10" t="s">
        <v>121</v>
      </c>
      <c r="H395" s="10" t="s">
        <v>2</v>
      </c>
      <c r="I395" s="11">
        <v>0</v>
      </c>
      <c r="J395" s="11">
        <v>25181.181489344606</v>
      </c>
      <c r="K395" s="11">
        <v>25181.181489344606</v>
      </c>
      <c r="L395" s="12">
        <v>0</v>
      </c>
      <c r="M395" s="12">
        <v>0</v>
      </c>
      <c r="N395" s="12">
        <v>25181.181489344606</v>
      </c>
      <c r="O395" s="70">
        <f>IF(Table1[[#This Row],[Overall amount]]=0,0,1)</f>
        <v>1</v>
      </c>
      <c r="P395" s="70">
        <f>Table1[[#This Row],[Overall amount]]*Exchange_Rate</f>
        <v>25181.181489344606</v>
      </c>
      <c r="Q395" s="70">
        <f>Table1[[#This Row],[Overall (destination currency)]]*(1+Claims_Inflation)^((Revalue_at_date-Table1[[#This Row],[Loss date]])/365.25)</f>
        <v>29425.199999999997</v>
      </c>
      <c r="R395" s="70">
        <f>INT(Table1[[#This Row],[Reporting date]])-INT(Table1[[#This Row],[Loss date]])</f>
        <v>420</v>
      </c>
      <c r="S395" s="69" t="s">
        <v>16</v>
      </c>
      <c r="T395" s="70">
        <f>VLOOKUP(Table1[[#This Row],[Policy Year]],exposure_table,3,FALSE)</f>
        <v>1057.54</v>
      </c>
      <c r="U395" s="17">
        <f>IF(MONTH(Table1[[#This Row],[Reporting date]])&lt;Policy_Inception_Month,YEAR(Table1[[#This Row],[Reporting date]])-1,YEAR(Table1[[#This Row],[Reporting date]]))</f>
        <v>2013</v>
      </c>
      <c r="V395" s="17">
        <f>Table1[[#This Row],[Reporting year]]-Table1[[#This Row],[Policy Year]]</f>
        <v>1</v>
      </c>
      <c r="W395" s="17">
        <f>INT(Table1[[#This Row],[Reporting date]])-INT(Table1[[#This Row],[Loss date]])</f>
        <v>420</v>
      </c>
      <c r="X395" s="17">
        <f>INT((YEAR(Table1[[#This Row],[Loss date]])*12+MONTH(Table1[[#This Row],[Loss date]])-Earliest_Month)/4)</f>
        <v>21</v>
      </c>
      <c r="Y395" s="17">
        <f>INT((YEAR(Table1[[#This Row],[Reporting date]])*12+MONTH(Table1[[#This Row],[Reporting date]])-Earliest_Month)/4)</f>
        <v>25</v>
      </c>
      <c r="Z395" s="17">
        <f>Table1[[#This Row],[Reporting third]]-Table1[[#This Row],[Policy third]]</f>
        <v>4</v>
      </c>
      <c r="AA395" s="71">
        <f>IF(Table1[[#This Row],[Overall amount]]=0,"N/A",Table1[[#This Row],[Outstanding]]/Table1[[#This Row],[Overall amount]])</f>
        <v>1</v>
      </c>
      <c r="AB395" s="17">
        <f>IF(MONTH(Table1[[#This Row],[Loss date]])&lt;Pol_Inc_Month_Shifted,YEAR(Table1[[#This Row],[Loss date]])-1,YEAR(Table1[[#This Row],[Loss date]]))</f>
        <v>2011</v>
      </c>
      <c r="AC395" s="17">
        <f>IF(MONTH(Table1[[#This Row],[Reporting date]])&lt;Pol_Inc_Month_Shifted,YEAR(Table1[[#This Row],[Reporting date]])-1,YEAR(Table1[[#This Row],[Reporting date]]))</f>
        <v>2012</v>
      </c>
      <c r="AD395" s="17">
        <f>Table1[[#This Row],[Reporting year (shifted)]]-Table1[[#This Row],[Policy Year (shifted)]]</f>
        <v>1</v>
      </c>
    </row>
    <row r="396" spans="1:30" ht="13.9">
      <c r="A396" s="8" t="s">
        <v>2166</v>
      </c>
      <c r="B396" s="8" t="s">
        <v>448</v>
      </c>
      <c r="C396" s="8" t="s">
        <v>118</v>
      </c>
      <c r="D396" s="9">
        <v>41442</v>
      </c>
      <c r="E396" s="9">
        <v>41442</v>
      </c>
      <c r="F396" s="17">
        <f>IF(MONTH(Table1[[#This Row],[Loss date]])&lt;Policy_Inception_Month,YEAR(Table1[[#This Row],[Loss date]])-1,YEAR(Table1[[#This Row],[Loss date]]))</f>
        <v>2013</v>
      </c>
      <c r="G396" s="10" t="s">
        <v>129</v>
      </c>
      <c r="H396" s="10" t="s">
        <v>2</v>
      </c>
      <c r="I396" s="11">
        <v>0</v>
      </c>
      <c r="J396" s="11">
        <v>0</v>
      </c>
      <c r="K396" s="11">
        <v>0</v>
      </c>
      <c r="L396" s="12">
        <v>0</v>
      </c>
      <c r="M396" s="12">
        <v>0</v>
      </c>
      <c r="N396" s="12">
        <v>0</v>
      </c>
      <c r="O396" s="70">
        <f>IF(Table1[[#This Row],[Overall amount]]=0,0,1)</f>
        <v>0</v>
      </c>
      <c r="P396" s="70">
        <f>Table1[[#This Row],[Overall amount]]*Exchange_Rate</f>
        <v>0</v>
      </c>
      <c r="Q396" s="70">
        <f>Table1[[#This Row],[Overall (destination currency)]]*(1+Claims_Inflation)^((Revalue_at_date-Table1[[#This Row],[Loss date]])/365.25)</f>
        <v>0</v>
      </c>
      <c r="R396" s="70">
        <f>INT(Table1[[#This Row],[Reporting date]])-INT(Table1[[#This Row],[Loss date]])</f>
        <v>0</v>
      </c>
      <c r="S396" s="69" t="s">
        <v>9</v>
      </c>
      <c r="T396" s="70">
        <f>VLOOKUP(Table1[[#This Row],[Policy Year]],exposure_table,3,FALSE)</f>
        <v>1090.5865384615383</v>
      </c>
      <c r="U396" s="17">
        <f>IF(MONTH(Table1[[#This Row],[Reporting date]])&lt;Policy_Inception_Month,YEAR(Table1[[#This Row],[Reporting date]])-1,YEAR(Table1[[#This Row],[Reporting date]]))</f>
        <v>2013</v>
      </c>
      <c r="V396" s="17">
        <f>Table1[[#This Row],[Reporting year]]-Table1[[#This Row],[Policy Year]]</f>
        <v>0</v>
      </c>
      <c r="W396" s="17">
        <f>INT(Table1[[#This Row],[Reporting date]])-INT(Table1[[#This Row],[Loss date]])</f>
        <v>0</v>
      </c>
      <c r="X396" s="17">
        <f>INT((YEAR(Table1[[#This Row],[Loss date]])*12+MONTH(Table1[[#This Row],[Loss date]])-Earliest_Month)/4)</f>
        <v>24</v>
      </c>
      <c r="Y396" s="17">
        <f>INT((YEAR(Table1[[#This Row],[Reporting date]])*12+MONTH(Table1[[#This Row],[Reporting date]])-Earliest_Month)/4)</f>
        <v>24</v>
      </c>
      <c r="Z396" s="17">
        <f>Table1[[#This Row],[Reporting third]]-Table1[[#This Row],[Policy third]]</f>
        <v>0</v>
      </c>
      <c r="AA396" s="71" t="str">
        <f>IF(Table1[[#This Row],[Overall amount]]=0,"N/A",Table1[[#This Row],[Outstanding]]/Table1[[#This Row],[Overall amount]])</f>
        <v>N/A</v>
      </c>
      <c r="AB396" s="17">
        <f>IF(MONTH(Table1[[#This Row],[Loss date]])&lt;Pol_Inc_Month_Shifted,YEAR(Table1[[#This Row],[Loss date]])-1,YEAR(Table1[[#This Row],[Loss date]]))</f>
        <v>2012</v>
      </c>
      <c r="AC396" s="17">
        <f>IF(MONTH(Table1[[#This Row],[Reporting date]])&lt;Pol_Inc_Month_Shifted,YEAR(Table1[[#This Row],[Reporting date]])-1,YEAR(Table1[[#This Row],[Reporting date]]))</f>
        <v>2012</v>
      </c>
      <c r="AD396" s="17">
        <f>Table1[[#This Row],[Reporting year (shifted)]]-Table1[[#This Row],[Policy Year (shifted)]]</f>
        <v>0</v>
      </c>
    </row>
    <row r="397" spans="1:30" ht="13.9">
      <c r="A397" s="8" t="s">
        <v>2167</v>
      </c>
      <c r="B397" s="8" t="s">
        <v>449</v>
      </c>
      <c r="C397" s="8" t="s">
        <v>118</v>
      </c>
      <c r="D397" s="9">
        <v>41388</v>
      </c>
      <c r="E397" s="9">
        <v>41440</v>
      </c>
      <c r="F397" s="17">
        <f>IF(MONTH(Table1[[#This Row],[Loss date]])&lt;Policy_Inception_Month,YEAR(Table1[[#This Row],[Loss date]])-1,YEAR(Table1[[#This Row],[Loss date]]))</f>
        <v>2013</v>
      </c>
      <c r="G397" s="10" t="s">
        <v>145</v>
      </c>
      <c r="H397" s="10" t="s">
        <v>2</v>
      </c>
      <c r="I397" s="11">
        <v>0</v>
      </c>
      <c r="J397" s="11">
        <v>0</v>
      </c>
      <c r="K397" s="11">
        <v>0</v>
      </c>
      <c r="L397" s="12">
        <v>0</v>
      </c>
      <c r="M397" s="12">
        <v>0</v>
      </c>
      <c r="N397" s="12">
        <v>0</v>
      </c>
      <c r="O397" s="70">
        <f>IF(Table1[[#This Row],[Overall amount]]=0,0,1)</f>
        <v>0</v>
      </c>
      <c r="P397" s="70">
        <f>Table1[[#This Row],[Overall amount]]*Exchange_Rate</f>
        <v>0</v>
      </c>
      <c r="Q397" s="70">
        <f>Table1[[#This Row],[Overall (destination currency)]]*(1+Claims_Inflation)^((Revalue_at_date-Table1[[#This Row],[Loss date]])/365.25)</f>
        <v>0</v>
      </c>
      <c r="R397" s="70">
        <f>INT(Table1[[#This Row],[Reporting date]])-INT(Table1[[#This Row],[Loss date]])</f>
        <v>52</v>
      </c>
      <c r="S397" s="69" t="s">
        <v>9</v>
      </c>
      <c r="T397" s="70">
        <f>VLOOKUP(Table1[[#This Row],[Policy Year]],exposure_table,3,FALSE)</f>
        <v>1090.5865384615383</v>
      </c>
      <c r="U397" s="17">
        <f>IF(MONTH(Table1[[#This Row],[Reporting date]])&lt;Policy_Inception_Month,YEAR(Table1[[#This Row],[Reporting date]])-1,YEAR(Table1[[#This Row],[Reporting date]]))</f>
        <v>2013</v>
      </c>
      <c r="V397" s="17">
        <f>Table1[[#This Row],[Reporting year]]-Table1[[#This Row],[Policy Year]]</f>
        <v>0</v>
      </c>
      <c r="W397" s="17">
        <f>INT(Table1[[#This Row],[Reporting date]])-INT(Table1[[#This Row],[Loss date]])</f>
        <v>52</v>
      </c>
      <c r="X397" s="17">
        <f>INT((YEAR(Table1[[#This Row],[Loss date]])*12+MONTH(Table1[[#This Row],[Loss date]])-Earliest_Month)/4)</f>
        <v>24</v>
      </c>
      <c r="Y397" s="17">
        <f>INT((YEAR(Table1[[#This Row],[Reporting date]])*12+MONTH(Table1[[#This Row],[Reporting date]])-Earliest_Month)/4)</f>
        <v>24</v>
      </c>
      <c r="Z397" s="17">
        <f>Table1[[#This Row],[Reporting third]]-Table1[[#This Row],[Policy third]]</f>
        <v>0</v>
      </c>
      <c r="AA397" s="71" t="str">
        <f>IF(Table1[[#This Row],[Overall amount]]=0,"N/A",Table1[[#This Row],[Outstanding]]/Table1[[#This Row],[Overall amount]])</f>
        <v>N/A</v>
      </c>
      <c r="AB397" s="17">
        <f>IF(MONTH(Table1[[#This Row],[Loss date]])&lt;Pol_Inc_Month_Shifted,YEAR(Table1[[#This Row],[Loss date]])-1,YEAR(Table1[[#This Row],[Loss date]]))</f>
        <v>2012</v>
      </c>
      <c r="AC397" s="17">
        <f>IF(MONTH(Table1[[#This Row],[Reporting date]])&lt;Pol_Inc_Month_Shifted,YEAR(Table1[[#This Row],[Reporting date]])-1,YEAR(Table1[[#This Row],[Reporting date]]))</f>
        <v>2012</v>
      </c>
      <c r="AD397" s="17">
        <f>Table1[[#This Row],[Reporting year (shifted)]]-Table1[[#This Row],[Policy Year (shifted)]]</f>
        <v>0</v>
      </c>
    </row>
    <row r="398" spans="1:30" ht="13.9">
      <c r="A398" s="8" t="s">
        <v>2168</v>
      </c>
      <c r="B398" s="8" t="s">
        <v>450</v>
      </c>
      <c r="C398" s="8" t="s">
        <v>118</v>
      </c>
      <c r="D398" s="9">
        <v>41505</v>
      </c>
      <c r="E398" s="9">
        <v>41517</v>
      </c>
      <c r="F398" s="17">
        <f>IF(MONTH(Table1[[#This Row],[Loss date]])&lt;Policy_Inception_Month,YEAR(Table1[[#This Row],[Loss date]])-1,YEAR(Table1[[#This Row],[Loss date]]))</f>
        <v>2013</v>
      </c>
      <c r="G398" s="10" t="s">
        <v>121</v>
      </c>
      <c r="H398" s="10" t="s">
        <v>2</v>
      </c>
      <c r="I398" s="11">
        <v>2510.8748948251523</v>
      </c>
      <c r="J398" s="11">
        <v>159830.17433955969</v>
      </c>
      <c r="K398" s="11">
        <v>162341.04923438485</v>
      </c>
      <c r="L398" s="12">
        <v>0</v>
      </c>
      <c r="M398" s="12">
        <v>0</v>
      </c>
      <c r="N398" s="12">
        <v>162341.04923438485</v>
      </c>
      <c r="O398" s="70">
        <f>IF(Table1[[#This Row],[Overall amount]]=0,0,1)</f>
        <v>1</v>
      </c>
      <c r="P398" s="70">
        <f>Table1[[#This Row],[Overall amount]]*Exchange_Rate</f>
        <v>162341.04923438485</v>
      </c>
      <c r="Q398" s="70">
        <f>Table1[[#This Row],[Overall (destination currency)]]*(1+Claims_Inflation)^((Revalue_at_date-Table1[[#This Row],[Loss date]])/365.25)</f>
        <v>180000</v>
      </c>
      <c r="R398" s="70">
        <f>INT(Table1[[#This Row],[Reporting date]])-INT(Table1[[#This Row],[Loss date]])</f>
        <v>12</v>
      </c>
      <c r="S398" s="69" t="s">
        <v>16</v>
      </c>
      <c r="T398" s="70">
        <f>VLOOKUP(Table1[[#This Row],[Policy Year]],exposure_table,3,FALSE)</f>
        <v>1090.5865384615383</v>
      </c>
      <c r="U398" s="17">
        <f>IF(MONTH(Table1[[#This Row],[Reporting date]])&lt;Policy_Inception_Month,YEAR(Table1[[#This Row],[Reporting date]])-1,YEAR(Table1[[#This Row],[Reporting date]]))</f>
        <v>2013</v>
      </c>
      <c r="V398" s="17">
        <f>Table1[[#This Row],[Reporting year]]-Table1[[#This Row],[Policy Year]]</f>
        <v>0</v>
      </c>
      <c r="W398" s="17">
        <f>INT(Table1[[#This Row],[Reporting date]])-INT(Table1[[#This Row],[Loss date]])</f>
        <v>12</v>
      </c>
      <c r="X398" s="17">
        <f>INT((YEAR(Table1[[#This Row],[Loss date]])*12+MONTH(Table1[[#This Row],[Loss date]])-Earliest_Month)/4)</f>
        <v>25</v>
      </c>
      <c r="Y398" s="17">
        <f>INT((YEAR(Table1[[#This Row],[Reporting date]])*12+MONTH(Table1[[#This Row],[Reporting date]])-Earliest_Month)/4)</f>
        <v>25</v>
      </c>
      <c r="Z398" s="17">
        <f>Table1[[#This Row],[Reporting third]]-Table1[[#This Row],[Policy third]]</f>
        <v>0</v>
      </c>
      <c r="AA398" s="71">
        <f>IF(Table1[[#This Row],[Overall amount]]=0,"N/A",Table1[[#This Row],[Outstanding]]/Table1[[#This Row],[Overall amount]])</f>
        <v>0.98453333333333326</v>
      </c>
      <c r="AB398" s="17">
        <f>IF(MONTH(Table1[[#This Row],[Loss date]])&lt;Pol_Inc_Month_Shifted,YEAR(Table1[[#This Row],[Loss date]])-1,YEAR(Table1[[#This Row],[Loss date]]))</f>
        <v>2012</v>
      </c>
      <c r="AC398" s="17">
        <f>IF(MONTH(Table1[[#This Row],[Reporting date]])&lt;Pol_Inc_Month_Shifted,YEAR(Table1[[#This Row],[Reporting date]])-1,YEAR(Table1[[#This Row],[Reporting date]]))</f>
        <v>2012</v>
      </c>
      <c r="AD398" s="17">
        <f>Table1[[#This Row],[Reporting year (shifted)]]-Table1[[#This Row],[Policy Year (shifted)]]</f>
        <v>0</v>
      </c>
    </row>
    <row r="399" spans="1:30" ht="13.9">
      <c r="A399" s="8" t="s">
        <v>2169</v>
      </c>
      <c r="B399" s="8" t="s">
        <v>451</v>
      </c>
      <c r="C399" s="8" t="s">
        <v>118</v>
      </c>
      <c r="D399" s="9">
        <v>41408</v>
      </c>
      <c r="E399" s="9">
        <v>41408</v>
      </c>
      <c r="F399" s="17">
        <f>IF(MONTH(Table1[[#This Row],[Loss date]])&lt;Policy_Inception_Month,YEAR(Table1[[#This Row],[Loss date]])-1,YEAR(Table1[[#This Row],[Loss date]]))</f>
        <v>2013</v>
      </c>
      <c r="G399" s="10" t="s">
        <v>121</v>
      </c>
      <c r="H399" s="10" t="s">
        <v>2</v>
      </c>
      <c r="I399" s="11">
        <v>67242.1712935041</v>
      </c>
      <c r="J399" s="11">
        <v>0</v>
      </c>
      <c r="K399" s="11">
        <v>67242.1712935041</v>
      </c>
      <c r="L399" s="12">
        <v>0</v>
      </c>
      <c r="M399" s="12">
        <v>0</v>
      </c>
      <c r="N399" s="12">
        <v>67242.1712935041</v>
      </c>
      <c r="O399" s="70">
        <f>IF(Table1[[#This Row],[Overall amount]]=0,0,1)</f>
        <v>1</v>
      </c>
      <c r="P399" s="70">
        <f>Table1[[#This Row],[Overall amount]]*Exchange_Rate</f>
        <v>67242.1712935041</v>
      </c>
      <c r="Q399" s="70">
        <f>Table1[[#This Row],[Overall (destination currency)]]*(1+Claims_Inflation)^((Revalue_at_date-Table1[[#This Row],[Loss date]])/365.25)</f>
        <v>75528.899999999994</v>
      </c>
      <c r="R399" s="70">
        <f>INT(Table1[[#This Row],[Reporting date]])-INT(Table1[[#This Row],[Loss date]])</f>
        <v>0</v>
      </c>
      <c r="S399" s="69" t="s">
        <v>9</v>
      </c>
      <c r="T399" s="70">
        <f>VLOOKUP(Table1[[#This Row],[Policy Year]],exposure_table,3,FALSE)</f>
        <v>1090.5865384615383</v>
      </c>
      <c r="U399" s="17">
        <f>IF(MONTH(Table1[[#This Row],[Reporting date]])&lt;Policy_Inception_Month,YEAR(Table1[[#This Row],[Reporting date]])-1,YEAR(Table1[[#This Row],[Reporting date]]))</f>
        <v>2013</v>
      </c>
      <c r="V399" s="17">
        <f>Table1[[#This Row],[Reporting year]]-Table1[[#This Row],[Policy Year]]</f>
        <v>0</v>
      </c>
      <c r="W399" s="17">
        <f>INT(Table1[[#This Row],[Reporting date]])-INT(Table1[[#This Row],[Loss date]])</f>
        <v>0</v>
      </c>
      <c r="X399" s="17">
        <f>INT((YEAR(Table1[[#This Row],[Loss date]])*12+MONTH(Table1[[#This Row],[Loss date]])-Earliest_Month)/4)</f>
        <v>24</v>
      </c>
      <c r="Y399" s="17">
        <f>INT((YEAR(Table1[[#This Row],[Reporting date]])*12+MONTH(Table1[[#This Row],[Reporting date]])-Earliest_Month)/4)</f>
        <v>24</v>
      </c>
      <c r="Z399" s="17">
        <f>Table1[[#This Row],[Reporting third]]-Table1[[#This Row],[Policy third]]</f>
        <v>0</v>
      </c>
      <c r="AA399" s="71">
        <f>IF(Table1[[#This Row],[Overall amount]]=0,"N/A",Table1[[#This Row],[Outstanding]]/Table1[[#This Row],[Overall amount]])</f>
        <v>0</v>
      </c>
      <c r="AB399" s="17">
        <f>IF(MONTH(Table1[[#This Row],[Loss date]])&lt;Pol_Inc_Month_Shifted,YEAR(Table1[[#This Row],[Loss date]])-1,YEAR(Table1[[#This Row],[Loss date]]))</f>
        <v>2012</v>
      </c>
      <c r="AC399" s="17">
        <f>IF(MONTH(Table1[[#This Row],[Reporting date]])&lt;Pol_Inc_Month_Shifted,YEAR(Table1[[#This Row],[Reporting date]])-1,YEAR(Table1[[#This Row],[Reporting date]]))</f>
        <v>2012</v>
      </c>
      <c r="AD399" s="17">
        <f>Table1[[#This Row],[Reporting year (shifted)]]-Table1[[#This Row],[Policy Year (shifted)]]</f>
        <v>0</v>
      </c>
    </row>
    <row r="400" spans="1:30" ht="13.9">
      <c r="A400" s="8" t="s">
        <v>2170</v>
      </c>
      <c r="B400" s="8" t="s">
        <v>452</v>
      </c>
      <c r="C400" s="8" t="s">
        <v>118</v>
      </c>
      <c r="D400" s="9">
        <v>41456</v>
      </c>
      <c r="E400" s="9">
        <v>41623</v>
      </c>
      <c r="F400" s="17">
        <f>IF(MONTH(Table1[[#This Row],[Loss date]])&lt;Policy_Inception_Month,YEAR(Table1[[#This Row],[Loss date]])-1,YEAR(Table1[[#This Row],[Loss date]]))</f>
        <v>2013</v>
      </c>
      <c r="G400" s="10" t="s">
        <v>121</v>
      </c>
      <c r="H400" s="10" t="s">
        <v>2</v>
      </c>
      <c r="I400" s="11">
        <v>5008.0403914301987</v>
      </c>
      <c r="J400" s="11">
        <v>59504.730553541136</v>
      </c>
      <c r="K400" s="11">
        <v>64512.770944971329</v>
      </c>
      <c r="L400" s="12">
        <v>0</v>
      </c>
      <c r="M400" s="12">
        <v>0</v>
      </c>
      <c r="N400" s="12">
        <v>64512.770944971329</v>
      </c>
      <c r="O400" s="70">
        <f>IF(Table1[[#This Row],[Overall amount]]=0,0,1)</f>
        <v>1</v>
      </c>
      <c r="P400" s="70">
        <f>Table1[[#This Row],[Overall amount]]*Exchange_Rate</f>
        <v>64512.770944971329</v>
      </c>
      <c r="Q400" s="70">
        <f>Table1[[#This Row],[Overall (destination currency)]]*(1+Claims_Inflation)^((Revalue_at_date-Table1[[#This Row],[Loss date]])/365.25)</f>
        <v>71999.999999999985</v>
      </c>
      <c r="R400" s="70">
        <f>INT(Table1[[#This Row],[Reporting date]])-INT(Table1[[#This Row],[Loss date]])</f>
        <v>167</v>
      </c>
      <c r="S400" s="69" t="s">
        <v>16</v>
      </c>
      <c r="T400" s="70">
        <f>VLOOKUP(Table1[[#This Row],[Policy Year]],exposure_table,3,FALSE)</f>
        <v>1090.5865384615383</v>
      </c>
      <c r="U400" s="17">
        <f>IF(MONTH(Table1[[#This Row],[Reporting date]])&lt;Policy_Inception_Month,YEAR(Table1[[#This Row],[Reporting date]])-1,YEAR(Table1[[#This Row],[Reporting date]]))</f>
        <v>2013</v>
      </c>
      <c r="V400" s="17">
        <f>Table1[[#This Row],[Reporting year]]-Table1[[#This Row],[Policy Year]]</f>
        <v>0</v>
      </c>
      <c r="W400" s="17">
        <f>INT(Table1[[#This Row],[Reporting date]])-INT(Table1[[#This Row],[Loss date]])</f>
        <v>167</v>
      </c>
      <c r="X400" s="17">
        <f>INT((YEAR(Table1[[#This Row],[Loss date]])*12+MONTH(Table1[[#This Row],[Loss date]])-Earliest_Month)/4)</f>
        <v>24</v>
      </c>
      <c r="Y400" s="17">
        <f>INT((YEAR(Table1[[#This Row],[Reporting date]])*12+MONTH(Table1[[#This Row],[Reporting date]])-Earliest_Month)/4)</f>
        <v>26</v>
      </c>
      <c r="Z400" s="17">
        <f>Table1[[#This Row],[Reporting third]]-Table1[[#This Row],[Policy third]]</f>
        <v>2</v>
      </c>
      <c r="AA400" s="71">
        <f>IF(Table1[[#This Row],[Overall amount]]=0,"N/A",Table1[[#This Row],[Outstanding]]/Table1[[#This Row],[Overall amount]])</f>
        <v>0.92237133333333343</v>
      </c>
      <c r="AB400" s="17">
        <f>IF(MONTH(Table1[[#This Row],[Loss date]])&lt;Pol_Inc_Month_Shifted,YEAR(Table1[[#This Row],[Loss date]])-1,YEAR(Table1[[#This Row],[Loss date]]))</f>
        <v>2012</v>
      </c>
      <c r="AC400" s="17">
        <f>IF(MONTH(Table1[[#This Row],[Reporting date]])&lt;Pol_Inc_Month_Shifted,YEAR(Table1[[#This Row],[Reporting date]])-1,YEAR(Table1[[#This Row],[Reporting date]]))</f>
        <v>2013</v>
      </c>
      <c r="AD400" s="17">
        <f>Table1[[#This Row],[Reporting year (shifted)]]-Table1[[#This Row],[Policy Year (shifted)]]</f>
        <v>1</v>
      </c>
    </row>
    <row r="401" spans="1:30" ht="13.9">
      <c r="A401" s="8" t="s">
        <v>2171</v>
      </c>
      <c r="B401" s="8" t="s">
        <v>453</v>
      </c>
      <c r="C401" s="8" t="s">
        <v>118</v>
      </c>
      <c r="D401" s="9">
        <v>41663</v>
      </c>
      <c r="E401" s="9">
        <v>41666</v>
      </c>
      <c r="F401" s="17">
        <f>IF(MONTH(Table1[[#This Row],[Loss date]])&lt;Policy_Inception_Month,YEAR(Table1[[#This Row],[Loss date]])-1,YEAR(Table1[[#This Row],[Loss date]]))</f>
        <v>2013</v>
      </c>
      <c r="G401" s="10" t="s">
        <v>146</v>
      </c>
      <c r="H401" s="10" t="s">
        <v>2</v>
      </c>
      <c r="I401" s="11">
        <v>2252.1016753593535</v>
      </c>
      <c r="J401" s="11">
        <v>30908.65410678913</v>
      </c>
      <c r="K401" s="11">
        <v>33160.755782148481</v>
      </c>
      <c r="L401" s="12">
        <v>0</v>
      </c>
      <c r="M401" s="12">
        <v>2411.4501604778375</v>
      </c>
      <c r="N401" s="12">
        <v>30749.305621670643</v>
      </c>
      <c r="O401" s="70">
        <f>IF(Table1[[#This Row],[Overall amount]]=0,0,1)</f>
        <v>1</v>
      </c>
      <c r="P401" s="70">
        <f>Table1[[#This Row],[Overall amount]]*Exchange_Rate</f>
        <v>30749.305621670643</v>
      </c>
      <c r="Q401" s="70">
        <f>Table1[[#This Row],[Overall (destination currency)]]*(1+Claims_Inflation)^((Revalue_at_date-Table1[[#This Row],[Loss date]])/365.25)</f>
        <v>33382.079999999994</v>
      </c>
      <c r="R401" s="70">
        <f>INT(Table1[[#This Row],[Reporting date]])-INT(Table1[[#This Row],[Loss date]])</f>
        <v>3</v>
      </c>
      <c r="S401" s="69" t="s">
        <v>16</v>
      </c>
      <c r="T401" s="70">
        <f>VLOOKUP(Table1[[#This Row],[Policy Year]],exposure_table,3,FALSE)</f>
        <v>1090.5865384615383</v>
      </c>
      <c r="U401" s="17">
        <f>IF(MONTH(Table1[[#This Row],[Reporting date]])&lt;Policy_Inception_Month,YEAR(Table1[[#This Row],[Reporting date]])-1,YEAR(Table1[[#This Row],[Reporting date]]))</f>
        <v>2013</v>
      </c>
      <c r="V401" s="17">
        <f>Table1[[#This Row],[Reporting year]]-Table1[[#This Row],[Policy Year]]</f>
        <v>0</v>
      </c>
      <c r="W401" s="17">
        <f>INT(Table1[[#This Row],[Reporting date]])-INT(Table1[[#This Row],[Loss date]])</f>
        <v>3</v>
      </c>
      <c r="X401" s="17">
        <f>INT((YEAR(Table1[[#This Row],[Loss date]])*12+MONTH(Table1[[#This Row],[Loss date]])-Earliest_Month)/4)</f>
        <v>26</v>
      </c>
      <c r="Y401" s="17">
        <f>INT((YEAR(Table1[[#This Row],[Reporting date]])*12+MONTH(Table1[[#This Row],[Reporting date]])-Earliest_Month)/4)</f>
        <v>26</v>
      </c>
      <c r="Z401" s="17">
        <f>Table1[[#This Row],[Reporting third]]-Table1[[#This Row],[Policy third]]</f>
        <v>0</v>
      </c>
      <c r="AA401" s="71">
        <f>IF(Table1[[#This Row],[Overall amount]]=0,"N/A",Table1[[#This Row],[Outstanding]]/Table1[[#This Row],[Overall amount]])</f>
        <v>1.0051821815776609</v>
      </c>
      <c r="AB401" s="17">
        <f>IF(MONTH(Table1[[#This Row],[Loss date]])&lt;Pol_Inc_Month_Shifted,YEAR(Table1[[#This Row],[Loss date]])-1,YEAR(Table1[[#This Row],[Loss date]]))</f>
        <v>2013</v>
      </c>
      <c r="AC401" s="17">
        <f>IF(MONTH(Table1[[#This Row],[Reporting date]])&lt;Pol_Inc_Month_Shifted,YEAR(Table1[[#This Row],[Reporting date]])-1,YEAR(Table1[[#This Row],[Reporting date]]))</f>
        <v>2013</v>
      </c>
      <c r="AD401" s="17">
        <f>Table1[[#This Row],[Reporting year (shifted)]]-Table1[[#This Row],[Policy Year (shifted)]]</f>
        <v>0</v>
      </c>
    </row>
    <row r="402" spans="1:30" ht="13.9">
      <c r="A402" s="8" t="s">
        <v>2172</v>
      </c>
      <c r="B402" s="8" t="s">
        <v>454</v>
      </c>
      <c r="C402" s="8" t="s">
        <v>118</v>
      </c>
      <c r="D402" s="9">
        <v>41292</v>
      </c>
      <c r="E402" s="9">
        <v>41695</v>
      </c>
      <c r="F402" s="17">
        <f>IF(MONTH(Table1[[#This Row],[Loss date]])&lt;Policy_Inception_Month,YEAR(Table1[[#This Row],[Loss date]])-1,YEAR(Table1[[#This Row],[Loss date]]))</f>
        <v>2012</v>
      </c>
      <c r="G402" s="10" t="s">
        <v>124</v>
      </c>
      <c r="H402" s="10" t="s">
        <v>2</v>
      </c>
      <c r="I402" s="11">
        <v>1520.2263076096554</v>
      </c>
      <c r="J402" s="11">
        <v>0</v>
      </c>
      <c r="K402" s="11">
        <v>1520.2263076096554</v>
      </c>
      <c r="L402" s="12">
        <v>0</v>
      </c>
      <c r="M402" s="12">
        <v>0</v>
      </c>
      <c r="N402" s="12">
        <v>1520.2263076096554</v>
      </c>
      <c r="O402" s="70">
        <f>IF(Table1[[#This Row],[Overall amount]]=0,0,1)</f>
        <v>1</v>
      </c>
      <c r="P402" s="70">
        <f>Table1[[#This Row],[Overall amount]]*Exchange_Rate</f>
        <v>1520.2263076096554</v>
      </c>
      <c r="Q402" s="70">
        <f>Table1[[#This Row],[Overall (destination currency)]]*(1+Claims_Inflation)^((Revalue_at_date-Table1[[#This Row],[Loss date]])/365.25)</f>
        <v>1734.24</v>
      </c>
      <c r="R402" s="70">
        <f>INT(Table1[[#This Row],[Reporting date]])-INT(Table1[[#This Row],[Loss date]])</f>
        <v>403</v>
      </c>
      <c r="S402" s="69" t="s">
        <v>9</v>
      </c>
      <c r="T402" s="70">
        <f>VLOOKUP(Table1[[#This Row],[Policy Year]],exposure_table,3,FALSE)</f>
        <v>1057.54</v>
      </c>
      <c r="U402" s="17">
        <f>IF(MONTH(Table1[[#This Row],[Reporting date]])&lt;Policy_Inception_Month,YEAR(Table1[[#This Row],[Reporting date]])-1,YEAR(Table1[[#This Row],[Reporting date]]))</f>
        <v>2013</v>
      </c>
      <c r="V402" s="17">
        <f>Table1[[#This Row],[Reporting year]]-Table1[[#This Row],[Policy Year]]</f>
        <v>1</v>
      </c>
      <c r="W402" s="17">
        <f>INT(Table1[[#This Row],[Reporting date]])-INT(Table1[[#This Row],[Loss date]])</f>
        <v>403</v>
      </c>
      <c r="X402" s="17">
        <f>INT((YEAR(Table1[[#This Row],[Loss date]])*12+MONTH(Table1[[#This Row],[Loss date]])-Earliest_Month)/4)</f>
        <v>23</v>
      </c>
      <c r="Y402" s="17">
        <f>INT((YEAR(Table1[[#This Row],[Reporting date]])*12+MONTH(Table1[[#This Row],[Reporting date]])-Earliest_Month)/4)</f>
        <v>26</v>
      </c>
      <c r="Z402" s="17">
        <f>Table1[[#This Row],[Reporting third]]-Table1[[#This Row],[Policy third]]</f>
        <v>3</v>
      </c>
      <c r="AA402" s="71">
        <f>IF(Table1[[#This Row],[Overall amount]]=0,"N/A",Table1[[#This Row],[Outstanding]]/Table1[[#This Row],[Overall amount]])</f>
        <v>0</v>
      </c>
      <c r="AB402" s="17">
        <f>IF(MONTH(Table1[[#This Row],[Loss date]])&lt;Pol_Inc_Month_Shifted,YEAR(Table1[[#This Row],[Loss date]])-1,YEAR(Table1[[#This Row],[Loss date]]))</f>
        <v>2012</v>
      </c>
      <c r="AC402" s="17">
        <f>IF(MONTH(Table1[[#This Row],[Reporting date]])&lt;Pol_Inc_Month_Shifted,YEAR(Table1[[#This Row],[Reporting date]])-1,YEAR(Table1[[#This Row],[Reporting date]]))</f>
        <v>2013</v>
      </c>
      <c r="AD402" s="17">
        <f>Table1[[#This Row],[Reporting year (shifted)]]-Table1[[#This Row],[Policy Year (shifted)]]</f>
        <v>1</v>
      </c>
    </row>
    <row r="403" spans="1:30" ht="13.9">
      <c r="A403" s="8" t="s">
        <v>2173</v>
      </c>
      <c r="B403" s="8" t="s">
        <v>455</v>
      </c>
      <c r="C403" s="8" t="s">
        <v>118</v>
      </c>
      <c r="D403" s="9">
        <v>41746</v>
      </c>
      <c r="E403" s="9">
        <v>41764</v>
      </c>
      <c r="F403" s="17">
        <f>IF(MONTH(Table1[[#This Row],[Loss date]])&lt;Policy_Inception_Month,YEAR(Table1[[#This Row],[Loss date]])-1,YEAR(Table1[[#This Row],[Loss date]]))</f>
        <v>2014</v>
      </c>
      <c r="G403" s="10" t="s">
        <v>144</v>
      </c>
      <c r="H403" s="10" t="s">
        <v>2</v>
      </c>
      <c r="I403" s="11">
        <v>0</v>
      </c>
      <c r="J403" s="11">
        <v>0</v>
      </c>
      <c r="K403" s="11">
        <v>0</v>
      </c>
      <c r="L403" s="12">
        <v>0</v>
      </c>
      <c r="M403" s="12">
        <v>0</v>
      </c>
      <c r="N403" s="12">
        <v>0</v>
      </c>
      <c r="O403" s="70">
        <f>IF(Table1[[#This Row],[Overall amount]]=0,0,1)</f>
        <v>0</v>
      </c>
      <c r="P403" s="70">
        <f>Table1[[#This Row],[Overall amount]]*Exchange_Rate</f>
        <v>0</v>
      </c>
      <c r="Q403" s="70">
        <f>Table1[[#This Row],[Overall (destination currency)]]*(1+Claims_Inflation)^((Revalue_at_date-Table1[[#This Row],[Loss date]])/365.25)</f>
        <v>0</v>
      </c>
      <c r="R403" s="70">
        <f>INT(Table1[[#This Row],[Reporting date]])-INT(Table1[[#This Row],[Loss date]])</f>
        <v>18</v>
      </c>
      <c r="S403" s="69" t="s">
        <v>9</v>
      </c>
      <c r="T403" s="70">
        <f>VLOOKUP(Table1[[#This Row],[Policy Year]],exposure_table,3,FALSE)</f>
        <v>1076.5070266272189</v>
      </c>
      <c r="U403" s="17">
        <f>IF(MONTH(Table1[[#This Row],[Reporting date]])&lt;Policy_Inception_Month,YEAR(Table1[[#This Row],[Reporting date]])-1,YEAR(Table1[[#This Row],[Reporting date]]))</f>
        <v>2014</v>
      </c>
      <c r="V403" s="17">
        <f>Table1[[#This Row],[Reporting year]]-Table1[[#This Row],[Policy Year]]</f>
        <v>0</v>
      </c>
      <c r="W403" s="17">
        <f>INT(Table1[[#This Row],[Reporting date]])-INT(Table1[[#This Row],[Loss date]])</f>
        <v>18</v>
      </c>
      <c r="X403" s="17">
        <f>INT((YEAR(Table1[[#This Row],[Loss date]])*12+MONTH(Table1[[#This Row],[Loss date]])-Earliest_Month)/4)</f>
        <v>27</v>
      </c>
      <c r="Y403" s="17">
        <f>INT((YEAR(Table1[[#This Row],[Reporting date]])*12+MONTH(Table1[[#This Row],[Reporting date]])-Earliest_Month)/4)</f>
        <v>27</v>
      </c>
      <c r="Z403" s="17">
        <f>Table1[[#This Row],[Reporting third]]-Table1[[#This Row],[Policy third]]</f>
        <v>0</v>
      </c>
      <c r="AA403" s="71" t="str">
        <f>IF(Table1[[#This Row],[Overall amount]]=0,"N/A",Table1[[#This Row],[Outstanding]]/Table1[[#This Row],[Overall amount]])</f>
        <v>N/A</v>
      </c>
      <c r="AB403" s="17">
        <f>IF(MONTH(Table1[[#This Row],[Loss date]])&lt;Pol_Inc_Month_Shifted,YEAR(Table1[[#This Row],[Loss date]])-1,YEAR(Table1[[#This Row],[Loss date]]))</f>
        <v>2013</v>
      </c>
      <c r="AC403" s="17">
        <f>IF(MONTH(Table1[[#This Row],[Reporting date]])&lt;Pol_Inc_Month_Shifted,YEAR(Table1[[#This Row],[Reporting date]])-1,YEAR(Table1[[#This Row],[Reporting date]]))</f>
        <v>2013</v>
      </c>
      <c r="AD403" s="17">
        <f>Table1[[#This Row],[Reporting year (shifted)]]-Table1[[#This Row],[Policy Year (shifted)]]</f>
        <v>0</v>
      </c>
    </row>
    <row r="404" spans="1:30" ht="13.9">
      <c r="A404" s="8" t="s">
        <v>2174</v>
      </c>
      <c r="B404" s="8" t="s">
        <v>456</v>
      </c>
      <c r="C404" s="8" t="s">
        <v>118</v>
      </c>
      <c r="D404" s="9">
        <v>41501</v>
      </c>
      <c r="E404" s="9">
        <v>41765</v>
      </c>
      <c r="F404" s="17">
        <f>IF(MONTH(Table1[[#This Row],[Loss date]])&lt;Policy_Inception_Month,YEAR(Table1[[#This Row],[Loss date]])-1,YEAR(Table1[[#This Row],[Loss date]]))</f>
        <v>2013</v>
      </c>
      <c r="G404" s="10" t="s">
        <v>144</v>
      </c>
      <c r="H404" s="10" t="s">
        <v>2</v>
      </c>
      <c r="I404" s="11">
        <v>0</v>
      </c>
      <c r="J404" s="11">
        <v>31477.340061115246</v>
      </c>
      <c r="K404" s="11">
        <v>31477.340061115246</v>
      </c>
      <c r="L404" s="12">
        <v>0</v>
      </c>
      <c r="M404" s="12">
        <v>0</v>
      </c>
      <c r="N404" s="12">
        <v>31477.340061115246</v>
      </c>
      <c r="O404" s="70">
        <f>IF(Table1[[#This Row],[Overall amount]]=0,0,1)</f>
        <v>1</v>
      </c>
      <c r="P404" s="70">
        <f>Table1[[#This Row],[Overall amount]]*Exchange_Rate</f>
        <v>31477.340061115246</v>
      </c>
      <c r="Q404" s="70">
        <f>Table1[[#This Row],[Overall (destination currency)]]*(1+Claims_Inflation)^((Revalue_at_date-Table1[[#This Row],[Loss date]])/365.25)</f>
        <v>34920</v>
      </c>
      <c r="R404" s="70">
        <f>INT(Table1[[#This Row],[Reporting date]])-INT(Table1[[#This Row],[Loss date]])</f>
        <v>264</v>
      </c>
      <c r="S404" s="69" t="s">
        <v>16</v>
      </c>
      <c r="T404" s="70">
        <f>VLOOKUP(Table1[[#This Row],[Policy Year]],exposure_table,3,FALSE)</f>
        <v>1090.5865384615383</v>
      </c>
      <c r="U404" s="17">
        <f>IF(MONTH(Table1[[#This Row],[Reporting date]])&lt;Policy_Inception_Month,YEAR(Table1[[#This Row],[Reporting date]])-1,YEAR(Table1[[#This Row],[Reporting date]]))</f>
        <v>2014</v>
      </c>
      <c r="V404" s="17">
        <f>Table1[[#This Row],[Reporting year]]-Table1[[#This Row],[Policy Year]]</f>
        <v>1</v>
      </c>
      <c r="W404" s="17">
        <f>INT(Table1[[#This Row],[Reporting date]])-INT(Table1[[#This Row],[Loss date]])</f>
        <v>264</v>
      </c>
      <c r="X404" s="17">
        <f>INT((YEAR(Table1[[#This Row],[Loss date]])*12+MONTH(Table1[[#This Row],[Loss date]])-Earliest_Month)/4)</f>
        <v>25</v>
      </c>
      <c r="Y404" s="17">
        <f>INT((YEAR(Table1[[#This Row],[Reporting date]])*12+MONTH(Table1[[#This Row],[Reporting date]])-Earliest_Month)/4)</f>
        <v>27</v>
      </c>
      <c r="Z404" s="17">
        <f>Table1[[#This Row],[Reporting third]]-Table1[[#This Row],[Policy third]]</f>
        <v>2</v>
      </c>
      <c r="AA404" s="71">
        <f>IF(Table1[[#This Row],[Overall amount]]=0,"N/A",Table1[[#This Row],[Outstanding]]/Table1[[#This Row],[Overall amount]])</f>
        <v>1</v>
      </c>
      <c r="AB404" s="17">
        <f>IF(MONTH(Table1[[#This Row],[Loss date]])&lt;Pol_Inc_Month_Shifted,YEAR(Table1[[#This Row],[Loss date]])-1,YEAR(Table1[[#This Row],[Loss date]]))</f>
        <v>2012</v>
      </c>
      <c r="AC404" s="17">
        <f>IF(MONTH(Table1[[#This Row],[Reporting date]])&lt;Pol_Inc_Month_Shifted,YEAR(Table1[[#This Row],[Reporting date]])-1,YEAR(Table1[[#This Row],[Reporting date]]))</f>
        <v>2013</v>
      </c>
      <c r="AD404" s="17">
        <f>Table1[[#This Row],[Reporting year (shifted)]]-Table1[[#This Row],[Policy Year (shifted)]]</f>
        <v>1</v>
      </c>
    </row>
    <row r="405" spans="1:30" ht="13.9">
      <c r="A405" s="8" t="s">
        <v>2175</v>
      </c>
      <c r="B405" s="8" t="s">
        <v>457</v>
      </c>
      <c r="C405" s="8" t="s">
        <v>118</v>
      </c>
      <c r="D405" s="9">
        <v>41804</v>
      </c>
      <c r="E405" s="9">
        <v>41804</v>
      </c>
      <c r="F405" s="17">
        <f>IF(MONTH(Table1[[#This Row],[Loss date]])&lt;Policy_Inception_Month,YEAR(Table1[[#This Row],[Loss date]])-1,YEAR(Table1[[#This Row],[Loss date]]))</f>
        <v>2014</v>
      </c>
      <c r="G405" s="10" t="s">
        <v>144</v>
      </c>
      <c r="H405" s="10" t="s">
        <v>2</v>
      </c>
      <c r="I405" s="11">
        <v>0</v>
      </c>
      <c r="J405" s="11">
        <v>1.1263750399377253</v>
      </c>
      <c r="K405" s="11">
        <v>1.1263750399377253</v>
      </c>
      <c r="L405" s="12">
        <v>0</v>
      </c>
      <c r="M405" s="12">
        <v>0</v>
      </c>
      <c r="N405" s="12">
        <v>1.1263750399377253</v>
      </c>
      <c r="O405" s="70">
        <f>IF(Table1[[#This Row],[Overall amount]]=0,0,1)</f>
        <v>1</v>
      </c>
      <c r="P405" s="70">
        <f>Table1[[#This Row],[Overall amount]]*Exchange_Rate</f>
        <v>1.1263750399377253</v>
      </c>
      <c r="Q405" s="70">
        <f>Table1[[#This Row],[Overall (destination currency)]]*(1+Claims_Inflation)^((Revalue_at_date-Table1[[#This Row],[Loss date]])/365.25)</f>
        <v>1.2</v>
      </c>
      <c r="R405" s="70">
        <f>INT(Table1[[#This Row],[Reporting date]])-INT(Table1[[#This Row],[Loss date]])</f>
        <v>0</v>
      </c>
      <c r="S405" s="69" t="s">
        <v>16</v>
      </c>
      <c r="T405" s="70">
        <f>VLOOKUP(Table1[[#This Row],[Policy Year]],exposure_table,3,FALSE)</f>
        <v>1076.5070266272189</v>
      </c>
      <c r="U405" s="17">
        <f>IF(MONTH(Table1[[#This Row],[Reporting date]])&lt;Policy_Inception_Month,YEAR(Table1[[#This Row],[Reporting date]])-1,YEAR(Table1[[#This Row],[Reporting date]]))</f>
        <v>2014</v>
      </c>
      <c r="V405" s="17">
        <f>Table1[[#This Row],[Reporting year]]-Table1[[#This Row],[Policy Year]]</f>
        <v>0</v>
      </c>
      <c r="W405" s="17">
        <f>INT(Table1[[#This Row],[Reporting date]])-INT(Table1[[#This Row],[Loss date]])</f>
        <v>0</v>
      </c>
      <c r="X405" s="17">
        <f>INT((YEAR(Table1[[#This Row],[Loss date]])*12+MONTH(Table1[[#This Row],[Loss date]])-Earliest_Month)/4)</f>
        <v>27</v>
      </c>
      <c r="Y405" s="17">
        <f>INT((YEAR(Table1[[#This Row],[Reporting date]])*12+MONTH(Table1[[#This Row],[Reporting date]])-Earliest_Month)/4)</f>
        <v>27</v>
      </c>
      <c r="Z405" s="17">
        <f>Table1[[#This Row],[Reporting third]]-Table1[[#This Row],[Policy third]]</f>
        <v>0</v>
      </c>
      <c r="AA405" s="71">
        <f>IF(Table1[[#This Row],[Overall amount]]=0,"N/A",Table1[[#This Row],[Outstanding]]/Table1[[#This Row],[Overall amount]])</f>
        <v>1</v>
      </c>
      <c r="AB405" s="17">
        <f>IF(MONTH(Table1[[#This Row],[Loss date]])&lt;Pol_Inc_Month_Shifted,YEAR(Table1[[#This Row],[Loss date]])-1,YEAR(Table1[[#This Row],[Loss date]]))</f>
        <v>2013</v>
      </c>
      <c r="AC405" s="17">
        <f>IF(MONTH(Table1[[#This Row],[Reporting date]])&lt;Pol_Inc_Month_Shifted,YEAR(Table1[[#This Row],[Reporting date]])-1,YEAR(Table1[[#This Row],[Reporting date]]))</f>
        <v>2013</v>
      </c>
      <c r="AD405" s="17">
        <f>Table1[[#This Row],[Reporting year (shifted)]]-Table1[[#This Row],[Policy Year (shifted)]]</f>
        <v>0</v>
      </c>
    </row>
    <row r="406" spans="1:30" ht="13.9">
      <c r="A406" s="8" t="s">
        <v>2176</v>
      </c>
      <c r="B406" s="8" t="s">
        <v>458</v>
      </c>
      <c r="C406" s="8" t="s">
        <v>118</v>
      </c>
      <c r="D406" s="9">
        <v>41846</v>
      </c>
      <c r="E406" s="9">
        <v>41847</v>
      </c>
      <c r="F406" s="17">
        <f>IF(MONTH(Table1[[#This Row],[Loss date]])&lt;Policy_Inception_Month,YEAR(Table1[[#This Row],[Loss date]])-1,YEAR(Table1[[#This Row],[Loss date]]))</f>
        <v>2014</v>
      </c>
      <c r="G406" s="10" t="s">
        <v>129</v>
      </c>
      <c r="H406" s="10" t="s">
        <v>2</v>
      </c>
      <c r="I406" s="11">
        <v>0</v>
      </c>
      <c r="J406" s="11">
        <v>11327.121785830841</v>
      </c>
      <c r="K406" s="11">
        <v>11327.121785830841</v>
      </c>
      <c r="L406" s="12">
        <v>0</v>
      </c>
      <c r="M406" s="12">
        <v>0</v>
      </c>
      <c r="N406" s="12">
        <v>11327.121785830841</v>
      </c>
      <c r="O406" s="70">
        <f>IF(Table1[[#This Row],[Overall amount]]=0,0,1)</f>
        <v>1</v>
      </c>
      <c r="P406" s="70">
        <f>Table1[[#This Row],[Overall amount]]*Exchange_Rate</f>
        <v>11327.121785830841</v>
      </c>
      <c r="Q406" s="70">
        <f>Table1[[#This Row],[Overall (destination currency)]]*(1+Claims_Inflation)^((Revalue_at_date-Table1[[#This Row],[Loss date]])/365.25)</f>
        <v>12000</v>
      </c>
      <c r="R406" s="70">
        <f>INT(Table1[[#This Row],[Reporting date]])-INT(Table1[[#This Row],[Loss date]])</f>
        <v>1</v>
      </c>
      <c r="S406" s="69" t="s">
        <v>16</v>
      </c>
      <c r="T406" s="70">
        <f>VLOOKUP(Table1[[#This Row],[Policy Year]],exposure_table,3,FALSE)</f>
        <v>1076.5070266272189</v>
      </c>
      <c r="U406" s="17">
        <f>IF(MONTH(Table1[[#This Row],[Reporting date]])&lt;Policy_Inception_Month,YEAR(Table1[[#This Row],[Reporting date]])-1,YEAR(Table1[[#This Row],[Reporting date]]))</f>
        <v>2014</v>
      </c>
      <c r="V406" s="17">
        <f>Table1[[#This Row],[Reporting year]]-Table1[[#This Row],[Policy Year]]</f>
        <v>0</v>
      </c>
      <c r="W406" s="17">
        <f>INT(Table1[[#This Row],[Reporting date]])-INT(Table1[[#This Row],[Loss date]])</f>
        <v>1</v>
      </c>
      <c r="X406" s="17">
        <f>INT((YEAR(Table1[[#This Row],[Loss date]])*12+MONTH(Table1[[#This Row],[Loss date]])-Earliest_Month)/4)</f>
        <v>27</v>
      </c>
      <c r="Y406" s="17">
        <f>INT((YEAR(Table1[[#This Row],[Reporting date]])*12+MONTH(Table1[[#This Row],[Reporting date]])-Earliest_Month)/4)</f>
        <v>27</v>
      </c>
      <c r="Z406" s="17">
        <f>Table1[[#This Row],[Reporting third]]-Table1[[#This Row],[Policy third]]</f>
        <v>0</v>
      </c>
      <c r="AA406" s="71">
        <f>IF(Table1[[#This Row],[Overall amount]]=0,"N/A",Table1[[#This Row],[Outstanding]]/Table1[[#This Row],[Overall amount]])</f>
        <v>1</v>
      </c>
      <c r="AB406" s="17">
        <f>IF(MONTH(Table1[[#This Row],[Loss date]])&lt;Pol_Inc_Month_Shifted,YEAR(Table1[[#This Row],[Loss date]])-1,YEAR(Table1[[#This Row],[Loss date]]))</f>
        <v>2013</v>
      </c>
      <c r="AC406" s="17">
        <f>IF(MONTH(Table1[[#This Row],[Reporting date]])&lt;Pol_Inc_Month_Shifted,YEAR(Table1[[#This Row],[Reporting date]])-1,YEAR(Table1[[#This Row],[Reporting date]]))</f>
        <v>2013</v>
      </c>
      <c r="AD406" s="17">
        <f>Table1[[#This Row],[Reporting year (shifted)]]-Table1[[#This Row],[Policy Year (shifted)]]</f>
        <v>0</v>
      </c>
    </row>
    <row r="407" spans="1:30" ht="13.9">
      <c r="A407" s="8" t="s">
        <v>2177</v>
      </c>
      <c r="B407" s="8" t="s">
        <v>459</v>
      </c>
      <c r="C407" s="8" t="s">
        <v>118</v>
      </c>
      <c r="D407" s="9">
        <v>41593</v>
      </c>
      <c r="E407" s="9">
        <v>41828</v>
      </c>
      <c r="F407" s="17">
        <f>IF(MONTH(Table1[[#This Row],[Loss date]])&lt;Policy_Inception_Month,YEAR(Table1[[#This Row],[Loss date]])-1,YEAR(Table1[[#This Row],[Loss date]]))</f>
        <v>2013</v>
      </c>
      <c r="G407" s="10" t="s">
        <v>133</v>
      </c>
      <c r="H407" s="10" t="s">
        <v>2</v>
      </c>
      <c r="I407" s="11">
        <v>0</v>
      </c>
      <c r="J407" s="11">
        <v>1371.0287901635436</v>
      </c>
      <c r="K407" s="11">
        <v>1371.0287901635436</v>
      </c>
      <c r="L407" s="12">
        <v>328.52127559829319</v>
      </c>
      <c r="M407" s="12">
        <v>56.085152170140624</v>
      </c>
      <c r="N407" s="12">
        <v>1643.4649135916961</v>
      </c>
      <c r="O407" s="70">
        <f>IF(Table1[[#This Row],[Overall amount]]=0,0,1)</f>
        <v>1</v>
      </c>
      <c r="P407" s="70">
        <f>Table1[[#This Row],[Overall amount]]*Exchange_Rate</f>
        <v>1643.4649135916961</v>
      </c>
      <c r="Q407" s="70">
        <f>Table1[[#This Row],[Overall (destination currency)]]*(1+Claims_Inflation)^((Revalue_at_date-Table1[[#This Row],[Loss date]])/365.25)</f>
        <v>1800.9408000000001</v>
      </c>
      <c r="R407" s="70">
        <f>INT(Table1[[#This Row],[Reporting date]])-INT(Table1[[#This Row],[Loss date]])</f>
        <v>235</v>
      </c>
      <c r="S407" s="69" t="s">
        <v>16</v>
      </c>
      <c r="T407" s="70">
        <f>VLOOKUP(Table1[[#This Row],[Policy Year]],exposure_table,3,FALSE)</f>
        <v>1090.5865384615383</v>
      </c>
      <c r="U407" s="17">
        <f>IF(MONTH(Table1[[#This Row],[Reporting date]])&lt;Policy_Inception_Month,YEAR(Table1[[#This Row],[Reporting date]])-1,YEAR(Table1[[#This Row],[Reporting date]]))</f>
        <v>2014</v>
      </c>
      <c r="V407" s="17">
        <f>Table1[[#This Row],[Reporting year]]-Table1[[#This Row],[Policy Year]]</f>
        <v>1</v>
      </c>
      <c r="W407" s="17">
        <f>INT(Table1[[#This Row],[Reporting date]])-INT(Table1[[#This Row],[Loss date]])</f>
        <v>235</v>
      </c>
      <c r="X407" s="17">
        <f>INT((YEAR(Table1[[#This Row],[Loss date]])*12+MONTH(Table1[[#This Row],[Loss date]])-Earliest_Month)/4)</f>
        <v>25</v>
      </c>
      <c r="Y407" s="17">
        <f>INT((YEAR(Table1[[#This Row],[Reporting date]])*12+MONTH(Table1[[#This Row],[Reporting date]])-Earliest_Month)/4)</f>
        <v>27</v>
      </c>
      <c r="Z407" s="17">
        <f>Table1[[#This Row],[Reporting third]]-Table1[[#This Row],[Policy third]]</f>
        <v>2</v>
      </c>
      <c r="AA407" s="71">
        <f>IF(Table1[[#This Row],[Overall amount]]=0,"N/A",Table1[[#This Row],[Outstanding]]/Table1[[#This Row],[Overall amount]])</f>
        <v>0.8342306421177198</v>
      </c>
      <c r="AB407" s="17">
        <f>IF(MONTH(Table1[[#This Row],[Loss date]])&lt;Pol_Inc_Month_Shifted,YEAR(Table1[[#This Row],[Loss date]])-1,YEAR(Table1[[#This Row],[Loss date]]))</f>
        <v>2012</v>
      </c>
      <c r="AC407" s="17">
        <f>IF(MONTH(Table1[[#This Row],[Reporting date]])&lt;Pol_Inc_Month_Shifted,YEAR(Table1[[#This Row],[Reporting date]])-1,YEAR(Table1[[#This Row],[Reporting date]]))</f>
        <v>2013</v>
      </c>
      <c r="AD407" s="17">
        <f>Table1[[#This Row],[Reporting year (shifted)]]-Table1[[#This Row],[Policy Year (shifted)]]</f>
        <v>1</v>
      </c>
    </row>
    <row r="408" spans="1:30" ht="13.9">
      <c r="A408" s="8" t="s">
        <v>2178</v>
      </c>
      <c r="B408" s="8" t="s">
        <v>460</v>
      </c>
      <c r="C408" s="8" t="s">
        <v>118</v>
      </c>
      <c r="D408" s="9">
        <v>41820</v>
      </c>
      <c r="E408" s="9">
        <v>41842</v>
      </c>
      <c r="F408" s="17">
        <f>IF(MONTH(Table1[[#This Row],[Loss date]])&lt;Policy_Inception_Month,YEAR(Table1[[#This Row],[Loss date]])-1,YEAR(Table1[[#This Row],[Loss date]]))</f>
        <v>2014</v>
      </c>
      <c r="G408" s="10" t="s">
        <v>121</v>
      </c>
      <c r="H408" s="10" t="s">
        <v>2</v>
      </c>
      <c r="I408" s="11">
        <v>0</v>
      </c>
      <c r="J408" s="11">
        <v>1.1287849966584256</v>
      </c>
      <c r="K408" s="11">
        <v>1.1287849966584256</v>
      </c>
      <c r="L408" s="12">
        <v>0</v>
      </c>
      <c r="M408" s="12">
        <v>0</v>
      </c>
      <c r="N408" s="12">
        <v>1.1287849966584256</v>
      </c>
      <c r="O408" s="70">
        <f>IF(Table1[[#This Row],[Overall amount]]=0,0,1)</f>
        <v>1</v>
      </c>
      <c r="P408" s="70">
        <f>Table1[[#This Row],[Overall amount]]*Exchange_Rate</f>
        <v>1.1287849966584256</v>
      </c>
      <c r="Q408" s="70">
        <f>Table1[[#This Row],[Overall (destination currency)]]*(1+Claims_Inflation)^((Revalue_at_date-Table1[[#This Row],[Loss date]])/365.25)</f>
        <v>1.2</v>
      </c>
      <c r="R408" s="70">
        <f>INT(Table1[[#This Row],[Reporting date]])-INT(Table1[[#This Row],[Loss date]])</f>
        <v>22</v>
      </c>
      <c r="S408" s="69" t="s">
        <v>16</v>
      </c>
      <c r="T408" s="70">
        <f>VLOOKUP(Table1[[#This Row],[Policy Year]],exposure_table,3,FALSE)</f>
        <v>1076.5070266272189</v>
      </c>
      <c r="U408" s="17">
        <f>IF(MONTH(Table1[[#This Row],[Reporting date]])&lt;Policy_Inception_Month,YEAR(Table1[[#This Row],[Reporting date]])-1,YEAR(Table1[[#This Row],[Reporting date]]))</f>
        <v>2014</v>
      </c>
      <c r="V408" s="17">
        <f>Table1[[#This Row],[Reporting year]]-Table1[[#This Row],[Policy Year]]</f>
        <v>0</v>
      </c>
      <c r="W408" s="17">
        <f>INT(Table1[[#This Row],[Reporting date]])-INT(Table1[[#This Row],[Loss date]])</f>
        <v>22</v>
      </c>
      <c r="X408" s="17">
        <f>INT((YEAR(Table1[[#This Row],[Loss date]])*12+MONTH(Table1[[#This Row],[Loss date]])-Earliest_Month)/4)</f>
        <v>27</v>
      </c>
      <c r="Y408" s="17">
        <f>INT((YEAR(Table1[[#This Row],[Reporting date]])*12+MONTH(Table1[[#This Row],[Reporting date]])-Earliest_Month)/4)</f>
        <v>27</v>
      </c>
      <c r="Z408" s="17">
        <f>Table1[[#This Row],[Reporting third]]-Table1[[#This Row],[Policy third]]</f>
        <v>0</v>
      </c>
      <c r="AA408" s="71">
        <f>IF(Table1[[#This Row],[Overall amount]]=0,"N/A",Table1[[#This Row],[Outstanding]]/Table1[[#This Row],[Overall amount]])</f>
        <v>1</v>
      </c>
      <c r="AB408" s="17">
        <f>IF(MONTH(Table1[[#This Row],[Loss date]])&lt;Pol_Inc_Month_Shifted,YEAR(Table1[[#This Row],[Loss date]])-1,YEAR(Table1[[#This Row],[Loss date]]))</f>
        <v>2013</v>
      </c>
      <c r="AC408" s="17">
        <f>IF(MONTH(Table1[[#This Row],[Reporting date]])&lt;Pol_Inc_Month_Shifted,YEAR(Table1[[#This Row],[Reporting date]])-1,YEAR(Table1[[#This Row],[Reporting date]]))</f>
        <v>2013</v>
      </c>
      <c r="AD408" s="17">
        <f>Table1[[#This Row],[Reporting year (shifted)]]-Table1[[#This Row],[Policy Year (shifted)]]</f>
        <v>0</v>
      </c>
    </row>
    <row r="409" spans="1:30" ht="13.9">
      <c r="A409" s="8" t="s">
        <v>2179</v>
      </c>
      <c r="B409" s="8" t="s">
        <v>461</v>
      </c>
      <c r="C409" s="8" t="s">
        <v>118</v>
      </c>
      <c r="D409" s="9">
        <v>41888</v>
      </c>
      <c r="E409" s="9">
        <v>41950</v>
      </c>
      <c r="F409" s="17">
        <f>IF(MONTH(Table1[[#This Row],[Loss date]])&lt;Policy_Inception_Month,YEAR(Table1[[#This Row],[Loss date]])-1,YEAR(Table1[[#This Row],[Loss date]]))</f>
        <v>2014</v>
      </c>
      <c r="G409" s="10" t="s">
        <v>129</v>
      </c>
      <c r="H409" s="10" t="s">
        <v>2</v>
      </c>
      <c r="I409" s="11">
        <v>0</v>
      </c>
      <c r="J409" s="11">
        <v>13669.019649952888</v>
      </c>
      <c r="K409" s="11">
        <v>13669.019649952888</v>
      </c>
      <c r="L409" s="12">
        <v>341.72549124882221</v>
      </c>
      <c r="M409" s="12">
        <v>0</v>
      </c>
      <c r="N409" s="12">
        <v>14010.745141201711</v>
      </c>
      <c r="O409" s="70">
        <f>IF(Table1[[#This Row],[Overall amount]]=0,0,1)</f>
        <v>1</v>
      </c>
      <c r="P409" s="70">
        <f>Table1[[#This Row],[Overall amount]]*Exchange_Rate</f>
        <v>14010.745141201711</v>
      </c>
      <c r="Q409" s="70">
        <f>Table1[[#This Row],[Overall (destination currency)]]*(1+Claims_Inflation)^((Revalue_at_date-Table1[[#This Row],[Loss date]])/365.25)</f>
        <v>14760</v>
      </c>
      <c r="R409" s="70">
        <f>INT(Table1[[#This Row],[Reporting date]])-INT(Table1[[#This Row],[Loss date]])</f>
        <v>62</v>
      </c>
      <c r="S409" s="69" t="s">
        <v>16</v>
      </c>
      <c r="T409" s="70">
        <f>VLOOKUP(Table1[[#This Row],[Policy Year]],exposure_table,3,FALSE)</f>
        <v>1076.5070266272189</v>
      </c>
      <c r="U409" s="17">
        <f>IF(MONTH(Table1[[#This Row],[Reporting date]])&lt;Policy_Inception_Month,YEAR(Table1[[#This Row],[Reporting date]])-1,YEAR(Table1[[#This Row],[Reporting date]]))</f>
        <v>2014</v>
      </c>
      <c r="V409" s="17">
        <f>Table1[[#This Row],[Reporting year]]-Table1[[#This Row],[Policy Year]]</f>
        <v>0</v>
      </c>
      <c r="W409" s="17">
        <f>INT(Table1[[#This Row],[Reporting date]])-INT(Table1[[#This Row],[Loss date]])</f>
        <v>62</v>
      </c>
      <c r="X409" s="17">
        <f>INT((YEAR(Table1[[#This Row],[Loss date]])*12+MONTH(Table1[[#This Row],[Loss date]])-Earliest_Month)/4)</f>
        <v>28</v>
      </c>
      <c r="Y409" s="17">
        <f>INT((YEAR(Table1[[#This Row],[Reporting date]])*12+MONTH(Table1[[#This Row],[Reporting date]])-Earliest_Month)/4)</f>
        <v>28</v>
      </c>
      <c r="Z409" s="17">
        <f>Table1[[#This Row],[Reporting third]]-Table1[[#This Row],[Policy third]]</f>
        <v>0</v>
      </c>
      <c r="AA409" s="71">
        <f>IF(Table1[[#This Row],[Overall amount]]=0,"N/A",Table1[[#This Row],[Outstanding]]/Table1[[#This Row],[Overall amount]])</f>
        <v>0.97560975609756095</v>
      </c>
      <c r="AB409" s="17">
        <f>IF(MONTH(Table1[[#This Row],[Loss date]])&lt;Pol_Inc_Month_Shifted,YEAR(Table1[[#This Row],[Loss date]])-1,YEAR(Table1[[#This Row],[Loss date]]))</f>
        <v>2013</v>
      </c>
      <c r="AC409" s="17">
        <f>IF(MONTH(Table1[[#This Row],[Reporting date]])&lt;Pol_Inc_Month_Shifted,YEAR(Table1[[#This Row],[Reporting date]])-1,YEAR(Table1[[#This Row],[Reporting date]]))</f>
        <v>2013</v>
      </c>
      <c r="AD409" s="17">
        <f>Table1[[#This Row],[Reporting year (shifted)]]-Table1[[#This Row],[Policy Year (shifted)]]</f>
        <v>0</v>
      </c>
    </row>
    <row r="410" spans="1:30" ht="13.9">
      <c r="A410" s="8" t="s">
        <v>2180</v>
      </c>
      <c r="B410" s="8" t="s">
        <v>462</v>
      </c>
      <c r="C410" s="8" t="s">
        <v>118</v>
      </c>
      <c r="D410" s="9">
        <v>41261</v>
      </c>
      <c r="E410" s="9">
        <v>41463</v>
      </c>
      <c r="F410" s="17">
        <f>IF(MONTH(Table1[[#This Row],[Loss date]])&lt;Policy_Inception_Month,YEAR(Table1[[#This Row],[Loss date]])-1,YEAR(Table1[[#This Row],[Loss date]]))</f>
        <v>2012</v>
      </c>
      <c r="G410" s="10" t="s">
        <v>133</v>
      </c>
      <c r="H410" s="10" t="s">
        <v>2</v>
      </c>
      <c r="I410" s="11">
        <v>0</v>
      </c>
      <c r="J410" s="11">
        <v>0</v>
      </c>
      <c r="K410" s="11">
        <v>0</v>
      </c>
      <c r="L410" s="12">
        <v>0</v>
      </c>
      <c r="M410" s="12">
        <v>0</v>
      </c>
      <c r="N410" s="12">
        <v>0</v>
      </c>
      <c r="O410" s="70">
        <f>IF(Table1[[#This Row],[Overall amount]]=0,0,1)</f>
        <v>0</v>
      </c>
      <c r="P410" s="70">
        <f>Table1[[#This Row],[Overall amount]]*Exchange_Rate</f>
        <v>0</v>
      </c>
      <c r="Q410" s="70">
        <f>Table1[[#This Row],[Overall (destination currency)]]*(1+Claims_Inflation)^((Revalue_at_date-Table1[[#This Row],[Loss date]])/365.25)</f>
        <v>0</v>
      </c>
      <c r="R410" s="70">
        <f>INT(Table1[[#This Row],[Reporting date]])-INT(Table1[[#This Row],[Loss date]])</f>
        <v>202</v>
      </c>
      <c r="S410" s="69" t="s">
        <v>9</v>
      </c>
      <c r="T410" s="70">
        <f>VLOOKUP(Table1[[#This Row],[Policy Year]],exposure_table,3,FALSE)</f>
        <v>1057.54</v>
      </c>
      <c r="U410" s="17">
        <f>IF(MONTH(Table1[[#This Row],[Reporting date]])&lt;Policy_Inception_Month,YEAR(Table1[[#This Row],[Reporting date]])-1,YEAR(Table1[[#This Row],[Reporting date]]))</f>
        <v>2013</v>
      </c>
      <c r="V410" s="17">
        <f>Table1[[#This Row],[Reporting year]]-Table1[[#This Row],[Policy Year]]</f>
        <v>1</v>
      </c>
      <c r="W410" s="17">
        <f>INT(Table1[[#This Row],[Reporting date]])-INT(Table1[[#This Row],[Loss date]])</f>
        <v>202</v>
      </c>
      <c r="X410" s="17">
        <f>INT((YEAR(Table1[[#This Row],[Loss date]])*12+MONTH(Table1[[#This Row],[Loss date]])-Earliest_Month)/4)</f>
        <v>23</v>
      </c>
      <c r="Y410" s="17">
        <f>INT((YEAR(Table1[[#This Row],[Reporting date]])*12+MONTH(Table1[[#This Row],[Reporting date]])-Earliest_Month)/4)</f>
        <v>24</v>
      </c>
      <c r="Z410" s="17">
        <f>Table1[[#This Row],[Reporting third]]-Table1[[#This Row],[Policy third]]</f>
        <v>1</v>
      </c>
      <c r="AA410" s="71" t="str">
        <f>IF(Table1[[#This Row],[Overall amount]]=0,"N/A",Table1[[#This Row],[Outstanding]]/Table1[[#This Row],[Overall amount]])</f>
        <v>N/A</v>
      </c>
      <c r="AB410" s="17">
        <f>IF(MONTH(Table1[[#This Row],[Loss date]])&lt;Pol_Inc_Month_Shifted,YEAR(Table1[[#This Row],[Loss date]])-1,YEAR(Table1[[#This Row],[Loss date]]))</f>
        <v>2012</v>
      </c>
      <c r="AC410" s="17">
        <f>IF(MONTH(Table1[[#This Row],[Reporting date]])&lt;Pol_Inc_Month_Shifted,YEAR(Table1[[#This Row],[Reporting date]])-1,YEAR(Table1[[#This Row],[Reporting date]]))</f>
        <v>2012</v>
      </c>
      <c r="AD410" s="17">
        <f>Table1[[#This Row],[Reporting year (shifted)]]-Table1[[#This Row],[Policy Year (shifted)]]</f>
        <v>0</v>
      </c>
    </row>
    <row r="411" spans="1:30" ht="13.9">
      <c r="A411" s="8" t="s">
        <v>2181</v>
      </c>
      <c r="B411" s="8" t="s">
        <v>463</v>
      </c>
      <c r="C411" s="8" t="s">
        <v>123</v>
      </c>
      <c r="D411" s="9">
        <v>40676</v>
      </c>
      <c r="E411" s="9">
        <v>41041</v>
      </c>
      <c r="F411" s="17">
        <f>IF(MONTH(Table1[[#This Row],[Loss date]])&lt;Policy_Inception_Month,YEAR(Table1[[#This Row],[Loss date]])-1,YEAR(Table1[[#This Row],[Loss date]]))</f>
        <v>2011</v>
      </c>
      <c r="G411" s="10" t="s">
        <v>125</v>
      </c>
      <c r="H411" s="10" t="s">
        <v>2</v>
      </c>
      <c r="I411" s="11">
        <v>7038.0107403067968</v>
      </c>
      <c r="J411" s="11">
        <v>13257.850915510822</v>
      </c>
      <c r="K411" s="11">
        <v>20295.861655817618</v>
      </c>
      <c r="L411" s="12">
        <v>0</v>
      </c>
      <c r="M411" s="12">
        <v>0</v>
      </c>
      <c r="N411" s="12">
        <v>20295.861655817618</v>
      </c>
      <c r="O411" s="70">
        <f>IF(Table1[[#This Row],[Overall amount]]=0,0,1)</f>
        <v>1</v>
      </c>
      <c r="P411" s="70">
        <f>Table1[[#This Row],[Overall amount]]*Exchange_Rate</f>
        <v>20295.861655817618</v>
      </c>
      <c r="Q411" s="70">
        <f>Table1[[#This Row],[Overall (destination currency)]]*(1+Claims_Inflation)^((Revalue_at_date-Table1[[#This Row],[Loss date]])/365.25)</f>
        <v>25138.799999999999</v>
      </c>
      <c r="R411" s="70">
        <f>INT(Table1[[#This Row],[Reporting date]])-INT(Table1[[#This Row],[Loss date]])</f>
        <v>365</v>
      </c>
      <c r="S411" s="69" t="s">
        <v>16</v>
      </c>
      <c r="T411" s="70">
        <f>VLOOKUP(Table1[[#This Row],[Policy Year]],exposure_table,3,FALSE)</f>
        <v>870.52680000000009</v>
      </c>
      <c r="U411" s="17">
        <f>IF(MONTH(Table1[[#This Row],[Reporting date]])&lt;Policy_Inception_Month,YEAR(Table1[[#This Row],[Reporting date]])-1,YEAR(Table1[[#This Row],[Reporting date]]))</f>
        <v>2012</v>
      </c>
      <c r="V411" s="17">
        <f>Table1[[#This Row],[Reporting year]]-Table1[[#This Row],[Policy Year]]</f>
        <v>1</v>
      </c>
      <c r="W411" s="17">
        <f>INT(Table1[[#This Row],[Reporting date]])-INT(Table1[[#This Row],[Loss date]])</f>
        <v>365</v>
      </c>
      <c r="X411" s="17">
        <f>INT((YEAR(Table1[[#This Row],[Loss date]])*12+MONTH(Table1[[#This Row],[Loss date]])-Earliest_Month)/4)</f>
        <v>18</v>
      </c>
      <c r="Y411" s="17">
        <f>INT((YEAR(Table1[[#This Row],[Reporting date]])*12+MONTH(Table1[[#This Row],[Reporting date]])-Earliest_Month)/4)</f>
        <v>21</v>
      </c>
      <c r="Z411" s="17">
        <f>Table1[[#This Row],[Reporting third]]-Table1[[#This Row],[Policy third]]</f>
        <v>3</v>
      </c>
      <c r="AA411" s="71">
        <f>IF(Table1[[#This Row],[Overall amount]]=0,"N/A",Table1[[#This Row],[Outstanding]]/Table1[[#This Row],[Overall amount]])</f>
        <v>0.65322927108692541</v>
      </c>
      <c r="AB411" s="17">
        <f>IF(MONTH(Table1[[#This Row],[Loss date]])&lt;Pol_Inc_Month_Shifted,YEAR(Table1[[#This Row],[Loss date]])-1,YEAR(Table1[[#This Row],[Loss date]]))</f>
        <v>2010</v>
      </c>
      <c r="AC411" s="17">
        <f>IF(MONTH(Table1[[#This Row],[Reporting date]])&lt;Pol_Inc_Month_Shifted,YEAR(Table1[[#This Row],[Reporting date]])-1,YEAR(Table1[[#This Row],[Reporting date]]))</f>
        <v>2011</v>
      </c>
      <c r="AD411" s="17">
        <f>Table1[[#This Row],[Reporting year (shifted)]]-Table1[[#This Row],[Policy Year (shifted)]]</f>
        <v>1</v>
      </c>
    </row>
    <row r="412" spans="1:30" ht="13.9">
      <c r="A412" s="8" t="s">
        <v>2182</v>
      </c>
      <c r="B412" s="8" t="s">
        <v>464</v>
      </c>
      <c r="C412" s="8" t="s">
        <v>123</v>
      </c>
      <c r="D412" s="9">
        <v>39617</v>
      </c>
      <c r="E412" s="9">
        <v>39706</v>
      </c>
      <c r="F412" s="17">
        <f>IF(MONTH(Table1[[#This Row],[Loss date]])&lt;Policy_Inception_Month,YEAR(Table1[[#This Row],[Loss date]])-1,YEAR(Table1[[#This Row],[Loss date]]))</f>
        <v>2008</v>
      </c>
      <c r="G412" s="10" t="s">
        <v>126</v>
      </c>
      <c r="H412" s="10" t="s">
        <v>2</v>
      </c>
      <c r="I412" s="11">
        <v>33067.709934272491</v>
      </c>
      <c r="J412" s="11">
        <v>0</v>
      </c>
      <c r="K412" s="11">
        <v>33067.709934272491</v>
      </c>
      <c r="L412" s="12">
        <v>0</v>
      </c>
      <c r="M412" s="12">
        <v>0</v>
      </c>
      <c r="N412" s="12">
        <v>33067.709934272491</v>
      </c>
      <c r="O412" s="70">
        <f>IF(Table1[[#This Row],[Overall amount]]=0,0,1)</f>
        <v>1</v>
      </c>
      <c r="P412" s="70">
        <f>Table1[[#This Row],[Overall amount]]*Exchange_Rate</f>
        <v>33067.709934272491</v>
      </c>
      <c r="Q412" s="70">
        <f>Table1[[#This Row],[Overall (destination currency)]]*(1+Claims_Inflation)^((Revalue_at_date-Table1[[#This Row],[Loss date]])/365.25)</f>
        <v>47182.080000000002</v>
      </c>
      <c r="R412" s="70">
        <f>INT(Table1[[#This Row],[Reporting date]])-INT(Table1[[#This Row],[Loss date]])</f>
        <v>89</v>
      </c>
      <c r="S412" s="69" t="s">
        <v>9</v>
      </c>
      <c r="T412" s="70">
        <f>VLOOKUP(Table1[[#This Row],[Policy Year]],exposure_table,3,FALSE)</f>
        <v>601.98581780480015</v>
      </c>
      <c r="U412" s="17">
        <f>IF(MONTH(Table1[[#This Row],[Reporting date]])&lt;Policy_Inception_Month,YEAR(Table1[[#This Row],[Reporting date]])-1,YEAR(Table1[[#This Row],[Reporting date]]))</f>
        <v>2008</v>
      </c>
      <c r="V412" s="17">
        <f>Table1[[#This Row],[Reporting year]]-Table1[[#This Row],[Policy Year]]</f>
        <v>0</v>
      </c>
      <c r="W412" s="17">
        <f>INT(Table1[[#This Row],[Reporting date]])-INT(Table1[[#This Row],[Loss date]])</f>
        <v>89</v>
      </c>
      <c r="X412" s="17">
        <f>INT((YEAR(Table1[[#This Row],[Loss date]])*12+MONTH(Table1[[#This Row],[Loss date]])-Earliest_Month)/4)</f>
        <v>9</v>
      </c>
      <c r="Y412" s="17">
        <f>INT((YEAR(Table1[[#This Row],[Reporting date]])*12+MONTH(Table1[[#This Row],[Reporting date]])-Earliest_Month)/4)</f>
        <v>10</v>
      </c>
      <c r="Z412" s="17">
        <f>Table1[[#This Row],[Reporting third]]-Table1[[#This Row],[Policy third]]</f>
        <v>1</v>
      </c>
      <c r="AA412" s="71">
        <f>IF(Table1[[#This Row],[Overall amount]]=0,"N/A",Table1[[#This Row],[Outstanding]]/Table1[[#This Row],[Overall amount]])</f>
        <v>0</v>
      </c>
      <c r="AB412" s="17">
        <f>IF(MONTH(Table1[[#This Row],[Loss date]])&lt;Pol_Inc_Month_Shifted,YEAR(Table1[[#This Row],[Loss date]])-1,YEAR(Table1[[#This Row],[Loss date]]))</f>
        <v>2007</v>
      </c>
      <c r="AC412" s="17">
        <f>IF(MONTH(Table1[[#This Row],[Reporting date]])&lt;Pol_Inc_Month_Shifted,YEAR(Table1[[#This Row],[Reporting date]])-1,YEAR(Table1[[#This Row],[Reporting date]]))</f>
        <v>2007</v>
      </c>
      <c r="AD412" s="17">
        <f>Table1[[#This Row],[Reporting year (shifted)]]-Table1[[#This Row],[Policy Year (shifted)]]</f>
        <v>0</v>
      </c>
    </row>
    <row r="413" spans="1:30" ht="13.9">
      <c r="A413" s="8" t="s">
        <v>2183</v>
      </c>
      <c r="B413" s="8" t="s">
        <v>465</v>
      </c>
      <c r="C413" s="8" t="s">
        <v>123</v>
      </c>
      <c r="D413" s="9">
        <v>39605</v>
      </c>
      <c r="E413" s="9">
        <v>39927</v>
      </c>
      <c r="F413" s="17">
        <f>IF(MONTH(Table1[[#This Row],[Loss date]])&lt;Policy_Inception_Month,YEAR(Table1[[#This Row],[Loss date]])-1,YEAR(Table1[[#This Row],[Loss date]]))</f>
        <v>2008</v>
      </c>
      <c r="G413" s="10" t="s">
        <v>125</v>
      </c>
      <c r="H413" s="10" t="s">
        <v>2</v>
      </c>
      <c r="I413" s="11">
        <v>25202.704354953388</v>
      </c>
      <c r="J413" s="11">
        <v>0</v>
      </c>
      <c r="K413" s="11">
        <v>25202.704354953388</v>
      </c>
      <c r="L413" s="12">
        <v>0</v>
      </c>
      <c r="M413" s="12">
        <v>0</v>
      </c>
      <c r="N413" s="12">
        <v>25202.704354953388</v>
      </c>
      <c r="O413" s="70">
        <f>IF(Table1[[#This Row],[Overall amount]]=0,0,1)</f>
        <v>1</v>
      </c>
      <c r="P413" s="70">
        <f>Table1[[#This Row],[Overall amount]]*Exchange_Rate</f>
        <v>25202.704354953388</v>
      </c>
      <c r="Q413" s="70">
        <f>Table1[[#This Row],[Overall (destination currency)]]*(1+Claims_Inflation)^((Revalue_at_date-Table1[[#This Row],[Loss date]])/365.25)</f>
        <v>36017.724000000002</v>
      </c>
      <c r="R413" s="70">
        <f>INT(Table1[[#This Row],[Reporting date]])-INT(Table1[[#This Row],[Loss date]])</f>
        <v>322</v>
      </c>
      <c r="S413" s="69" t="s">
        <v>9</v>
      </c>
      <c r="T413" s="70">
        <f>VLOOKUP(Table1[[#This Row],[Policy Year]],exposure_table,3,FALSE)</f>
        <v>601.98581780480015</v>
      </c>
      <c r="U413" s="17">
        <f>IF(MONTH(Table1[[#This Row],[Reporting date]])&lt;Policy_Inception_Month,YEAR(Table1[[#This Row],[Reporting date]])-1,YEAR(Table1[[#This Row],[Reporting date]]))</f>
        <v>2009</v>
      </c>
      <c r="V413" s="17">
        <f>Table1[[#This Row],[Reporting year]]-Table1[[#This Row],[Policy Year]]</f>
        <v>1</v>
      </c>
      <c r="W413" s="17">
        <f>INT(Table1[[#This Row],[Reporting date]])-INT(Table1[[#This Row],[Loss date]])</f>
        <v>322</v>
      </c>
      <c r="X413" s="17">
        <f>INT((YEAR(Table1[[#This Row],[Loss date]])*12+MONTH(Table1[[#This Row],[Loss date]])-Earliest_Month)/4)</f>
        <v>9</v>
      </c>
      <c r="Y413" s="17">
        <f>INT((YEAR(Table1[[#This Row],[Reporting date]])*12+MONTH(Table1[[#This Row],[Reporting date]])-Earliest_Month)/4)</f>
        <v>12</v>
      </c>
      <c r="Z413" s="17">
        <f>Table1[[#This Row],[Reporting third]]-Table1[[#This Row],[Policy third]]</f>
        <v>3</v>
      </c>
      <c r="AA413" s="71">
        <f>IF(Table1[[#This Row],[Overall amount]]=0,"N/A",Table1[[#This Row],[Outstanding]]/Table1[[#This Row],[Overall amount]])</f>
        <v>0</v>
      </c>
      <c r="AB413" s="17">
        <f>IF(MONTH(Table1[[#This Row],[Loss date]])&lt;Pol_Inc_Month_Shifted,YEAR(Table1[[#This Row],[Loss date]])-1,YEAR(Table1[[#This Row],[Loss date]]))</f>
        <v>2007</v>
      </c>
      <c r="AC413" s="17">
        <f>IF(MONTH(Table1[[#This Row],[Reporting date]])&lt;Pol_Inc_Month_Shifted,YEAR(Table1[[#This Row],[Reporting date]])-1,YEAR(Table1[[#This Row],[Reporting date]]))</f>
        <v>2008</v>
      </c>
      <c r="AD413" s="17">
        <f>Table1[[#This Row],[Reporting year (shifted)]]-Table1[[#This Row],[Policy Year (shifted)]]</f>
        <v>1</v>
      </c>
    </row>
    <row r="414" spans="1:30" ht="13.9">
      <c r="A414" s="8" t="s">
        <v>2184</v>
      </c>
      <c r="B414" s="8" t="s">
        <v>466</v>
      </c>
      <c r="C414" s="8" t="s">
        <v>123</v>
      </c>
      <c r="D414" s="9">
        <v>40144</v>
      </c>
      <c r="E414" s="9">
        <v>40421</v>
      </c>
      <c r="F414" s="17">
        <f>IF(MONTH(Table1[[#This Row],[Loss date]])&lt;Policy_Inception_Month,YEAR(Table1[[#This Row],[Loss date]])-1,YEAR(Table1[[#This Row],[Loss date]]))</f>
        <v>2009</v>
      </c>
      <c r="G414" s="10" t="s">
        <v>126</v>
      </c>
      <c r="H414" s="10" t="s">
        <v>2</v>
      </c>
      <c r="I414" s="11">
        <v>17145.796508540923</v>
      </c>
      <c r="J414" s="11">
        <v>0</v>
      </c>
      <c r="K414" s="11">
        <v>17145.796508540923</v>
      </c>
      <c r="L414" s="12">
        <v>0</v>
      </c>
      <c r="M414" s="12">
        <v>0</v>
      </c>
      <c r="N414" s="12">
        <v>17145.796508540923</v>
      </c>
      <c r="O414" s="70">
        <f>IF(Table1[[#This Row],[Overall amount]]=0,0,1)</f>
        <v>1</v>
      </c>
      <c r="P414" s="70">
        <f>Table1[[#This Row],[Overall amount]]*Exchange_Rate</f>
        <v>17145.796508540923</v>
      </c>
      <c r="Q414" s="70">
        <f>Table1[[#This Row],[Overall (destination currency)]]*(1+Claims_Inflation)^((Revalue_at_date-Table1[[#This Row],[Loss date]])/365.25)</f>
        <v>22801.200000000001</v>
      </c>
      <c r="R414" s="70">
        <f>INT(Table1[[#This Row],[Reporting date]])-INT(Table1[[#This Row],[Loss date]])</f>
        <v>277</v>
      </c>
      <c r="S414" s="69" t="s">
        <v>9</v>
      </c>
      <c r="T414" s="70">
        <f>VLOOKUP(Table1[[#This Row],[Policy Year]],exposure_table,3,FALSE)</f>
        <v>760.22808576000011</v>
      </c>
      <c r="U414" s="17">
        <f>IF(MONTH(Table1[[#This Row],[Reporting date]])&lt;Policy_Inception_Month,YEAR(Table1[[#This Row],[Reporting date]])-1,YEAR(Table1[[#This Row],[Reporting date]]))</f>
        <v>2010</v>
      </c>
      <c r="V414" s="17">
        <f>Table1[[#This Row],[Reporting year]]-Table1[[#This Row],[Policy Year]]</f>
        <v>1</v>
      </c>
      <c r="W414" s="17">
        <f>INT(Table1[[#This Row],[Reporting date]])-INT(Table1[[#This Row],[Loss date]])</f>
        <v>277</v>
      </c>
      <c r="X414" s="17">
        <f>INT((YEAR(Table1[[#This Row],[Loss date]])*12+MONTH(Table1[[#This Row],[Loss date]])-Earliest_Month)/4)</f>
        <v>13</v>
      </c>
      <c r="Y414" s="17">
        <f>INT((YEAR(Table1[[#This Row],[Reporting date]])*12+MONTH(Table1[[#This Row],[Reporting date]])-Earliest_Month)/4)</f>
        <v>16</v>
      </c>
      <c r="Z414" s="17">
        <f>Table1[[#This Row],[Reporting third]]-Table1[[#This Row],[Policy third]]</f>
        <v>3</v>
      </c>
      <c r="AA414" s="71">
        <f>IF(Table1[[#This Row],[Overall amount]]=0,"N/A",Table1[[#This Row],[Outstanding]]/Table1[[#This Row],[Overall amount]])</f>
        <v>0</v>
      </c>
      <c r="AB414" s="17">
        <f>IF(MONTH(Table1[[#This Row],[Loss date]])&lt;Pol_Inc_Month_Shifted,YEAR(Table1[[#This Row],[Loss date]])-1,YEAR(Table1[[#This Row],[Loss date]]))</f>
        <v>2008</v>
      </c>
      <c r="AC414" s="17">
        <f>IF(MONTH(Table1[[#This Row],[Reporting date]])&lt;Pol_Inc_Month_Shifted,YEAR(Table1[[#This Row],[Reporting date]])-1,YEAR(Table1[[#This Row],[Reporting date]]))</f>
        <v>2009</v>
      </c>
      <c r="AD414" s="17">
        <f>Table1[[#This Row],[Reporting year (shifted)]]-Table1[[#This Row],[Policy Year (shifted)]]</f>
        <v>1</v>
      </c>
    </row>
    <row r="415" spans="1:30" ht="13.9">
      <c r="A415" s="8" t="s">
        <v>2185</v>
      </c>
      <c r="B415" s="8" t="s">
        <v>467</v>
      </c>
      <c r="C415" s="8" t="s">
        <v>123</v>
      </c>
      <c r="D415" s="9">
        <v>39998</v>
      </c>
      <c r="E415" s="9">
        <v>40300</v>
      </c>
      <c r="F415" s="17">
        <f>IF(MONTH(Table1[[#This Row],[Loss date]])&lt;Policy_Inception_Month,YEAR(Table1[[#This Row],[Loss date]])-1,YEAR(Table1[[#This Row],[Loss date]]))</f>
        <v>2009</v>
      </c>
      <c r="G415" s="10" t="s">
        <v>124</v>
      </c>
      <c r="H415" s="10" t="s">
        <v>2</v>
      </c>
      <c r="I415" s="11">
        <v>10529.839543447808</v>
      </c>
      <c r="J415" s="11">
        <v>0</v>
      </c>
      <c r="K415" s="11">
        <v>10529.839543447808</v>
      </c>
      <c r="L415" s="12">
        <v>132.74022451610816</v>
      </c>
      <c r="M415" s="12">
        <v>0</v>
      </c>
      <c r="N415" s="12">
        <v>10662.579767963916</v>
      </c>
      <c r="O415" s="70">
        <f>IF(Table1[[#This Row],[Overall amount]]=0,0,1)</f>
        <v>1</v>
      </c>
      <c r="P415" s="70">
        <f>Table1[[#This Row],[Overall amount]]*Exchange_Rate</f>
        <v>10662.579767963916</v>
      </c>
      <c r="Q415" s="70">
        <f>Table1[[#This Row],[Overall (destination currency)]]*(1+Claims_Inflation)^((Revalue_at_date-Table1[[#This Row],[Loss date]])/365.25)</f>
        <v>14458.8</v>
      </c>
      <c r="R415" s="70">
        <f>INT(Table1[[#This Row],[Reporting date]])-INT(Table1[[#This Row],[Loss date]])</f>
        <v>302</v>
      </c>
      <c r="S415" s="69" t="s">
        <v>9</v>
      </c>
      <c r="T415" s="70">
        <f>VLOOKUP(Table1[[#This Row],[Policy Year]],exposure_table,3,FALSE)</f>
        <v>760.22808576000011</v>
      </c>
      <c r="U415" s="17">
        <f>IF(MONTH(Table1[[#This Row],[Reporting date]])&lt;Policy_Inception_Month,YEAR(Table1[[#This Row],[Reporting date]])-1,YEAR(Table1[[#This Row],[Reporting date]]))</f>
        <v>2010</v>
      </c>
      <c r="V415" s="17">
        <f>Table1[[#This Row],[Reporting year]]-Table1[[#This Row],[Policy Year]]</f>
        <v>1</v>
      </c>
      <c r="W415" s="17">
        <f>INT(Table1[[#This Row],[Reporting date]])-INT(Table1[[#This Row],[Loss date]])</f>
        <v>302</v>
      </c>
      <c r="X415" s="17">
        <f>INT((YEAR(Table1[[#This Row],[Loss date]])*12+MONTH(Table1[[#This Row],[Loss date]])-Earliest_Month)/4)</f>
        <v>12</v>
      </c>
      <c r="Y415" s="17">
        <f>INT((YEAR(Table1[[#This Row],[Reporting date]])*12+MONTH(Table1[[#This Row],[Reporting date]])-Earliest_Month)/4)</f>
        <v>15</v>
      </c>
      <c r="Z415" s="17">
        <f>Table1[[#This Row],[Reporting third]]-Table1[[#This Row],[Policy third]]</f>
        <v>3</v>
      </c>
      <c r="AA415" s="71">
        <f>IF(Table1[[#This Row],[Overall amount]]=0,"N/A",Table1[[#This Row],[Outstanding]]/Table1[[#This Row],[Overall amount]])</f>
        <v>0</v>
      </c>
      <c r="AB415" s="17">
        <f>IF(MONTH(Table1[[#This Row],[Loss date]])&lt;Pol_Inc_Month_Shifted,YEAR(Table1[[#This Row],[Loss date]])-1,YEAR(Table1[[#This Row],[Loss date]]))</f>
        <v>2008</v>
      </c>
      <c r="AC415" s="17">
        <f>IF(MONTH(Table1[[#This Row],[Reporting date]])&lt;Pol_Inc_Month_Shifted,YEAR(Table1[[#This Row],[Reporting date]])-1,YEAR(Table1[[#This Row],[Reporting date]]))</f>
        <v>2009</v>
      </c>
      <c r="AD415" s="17">
        <f>Table1[[#This Row],[Reporting year (shifted)]]-Table1[[#This Row],[Policy Year (shifted)]]</f>
        <v>1</v>
      </c>
    </row>
    <row r="416" spans="1:30" ht="13.9">
      <c r="A416" s="8" t="s">
        <v>2186</v>
      </c>
      <c r="B416" s="8" t="s">
        <v>468</v>
      </c>
      <c r="C416" s="8" t="s">
        <v>123</v>
      </c>
      <c r="D416" s="9">
        <v>40522</v>
      </c>
      <c r="E416" s="9">
        <v>40619</v>
      </c>
      <c r="F416" s="17">
        <f>IF(MONTH(Table1[[#This Row],[Loss date]])&lt;Policy_Inception_Month,YEAR(Table1[[#This Row],[Loss date]])-1,YEAR(Table1[[#This Row],[Loss date]]))</f>
        <v>2010</v>
      </c>
      <c r="G416" s="10" t="s">
        <v>125</v>
      </c>
      <c r="H416" s="10" t="s">
        <v>2</v>
      </c>
      <c r="I416" s="11">
        <v>9906.9020216652116</v>
      </c>
      <c r="J416" s="11">
        <v>0</v>
      </c>
      <c r="K416" s="11">
        <v>9906.9020216652116</v>
      </c>
      <c r="L416" s="12">
        <v>0</v>
      </c>
      <c r="M416" s="12">
        <v>0</v>
      </c>
      <c r="N416" s="12">
        <v>9906.9020216652116</v>
      </c>
      <c r="O416" s="70">
        <f>IF(Table1[[#This Row],[Overall amount]]=0,0,1)</f>
        <v>1</v>
      </c>
      <c r="P416" s="70">
        <f>Table1[[#This Row],[Overall amount]]*Exchange_Rate</f>
        <v>9906.9020216652116</v>
      </c>
      <c r="Q416" s="70">
        <f>Table1[[#This Row],[Overall (destination currency)]]*(1+Claims_Inflation)^((Revalue_at_date-Table1[[#This Row],[Loss date]])/365.25)</f>
        <v>12525.900000000001</v>
      </c>
      <c r="R416" s="70">
        <f>INT(Table1[[#This Row],[Reporting date]])-INT(Table1[[#This Row],[Loss date]])</f>
        <v>97</v>
      </c>
      <c r="S416" s="69" t="s">
        <v>9</v>
      </c>
      <c r="T416" s="70">
        <f>VLOOKUP(Table1[[#This Row],[Policy Year]],exposure_table,3,FALSE)</f>
        <v>837.11513600000012</v>
      </c>
      <c r="U416" s="17">
        <f>IF(MONTH(Table1[[#This Row],[Reporting date]])&lt;Policy_Inception_Month,YEAR(Table1[[#This Row],[Reporting date]])-1,YEAR(Table1[[#This Row],[Reporting date]]))</f>
        <v>2010</v>
      </c>
      <c r="V416" s="17">
        <f>Table1[[#This Row],[Reporting year]]-Table1[[#This Row],[Policy Year]]</f>
        <v>0</v>
      </c>
      <c r="W416" s="17">
        <f>INT(Table1[[#This Row],[Reporting date]])-INT(Table1[[#This Row],[Loss date]])</f>
        <v>97</v>
      </c>
      <c r="X416" s="17">
        <f>INT((YEAR(Table1[[#This Row],[Loss date]])*12+MONTH(Table1[[#This Row],[Loss date]])-Earliest_Month)/4)</f>
        <v>17</v>
      </c>
      <c r="Y416" s="17">
        <f>INT((YEAR(Table1[[#This Row],[Reporting date]])*12+MONTH(Table1[[#This Row],[Reporting date]])-Earliest_Month)/4)</f>
        <v>17</v>
      </c>
      <c r="Z416" s="17">
        <f>Table1[[#This Row],[Reporting third]]-Table1[[#This Row],[Policy third]]</f>
        <v>0</v>
      </c>
      <c r="AA416" s="71">
        <f>IF(Table1[[#This Row],[Overall amount]]=0,"N/A",Table1[[#This Row],[Outstanding]]/Table1[[#This Row],[Overall amount]])</f>
        <v>0</v>
      </c>
      <c r="AB416" s="17">
        <f>IF(MONTH(Table1[[#This Row],[Loss date]])&lt;Pol_Inc_Month_Shifted,YEAR(Table1[[#This Row],[Loss date]])-1,YEAR(Table1[[#This Row],[Loss date]]))</f>
        <v>2010</v>
      </c>
      <c r="AC416" s="17">
        <f>IF(MONTH(Table1[[#This Row],[Reporting date]])&lt;Pol_Inc_Month_Shifted,YEAR(Table1[[#This Row],[Reporting date]])-1,YEAR(Table1[[#This Row],[Reporting date]]))</f>
        <v>2010</v>
      </c>
      <c r="AD416" s="17">
        <f>Table1[[#This Row],[Reporting year (shifted)]]-Table1[[#This Row],[Policy Year (shifted)]]</f>
        <v>0</v>
      </c>
    </row>
    <row r="417" spans="1:30" ht="13.9">
      <c r="A417" s="8" t="s">
        <v>2187</v>
      </c>
      <c r="B417" s="8" t="s">
        <v>469</v>
      </c>
      <c r="C417" s="8" t="s">
        <v>123</v>
      </c>
      <c r="D417" s="9">
        <v>40152</v>
      </c>
      <c r="E417" s="9">
        <v>40948</v>
      </c>
      <c r="F417" s="17">
        <f>IF(MONTH(Table1[[#This Row],[Loss date]])&lt;Policy_Inception_Month,YEAR(Table1[[#This Row],[Loss date]])-1,YEAR(Table1[[#This Row],[Loss date]]))</f>
        <v>2009</v>
      </c>
      <c r="G417" s="10" t="s">
        <v>125</v>
      </c>
      <c r="H417" s="10" t="s">
        <v>2</v>
      </c>
      <c r="I417" s="11">
        <v>14102.07405092137</v>
      </c>
      <c r="J417" s="11">
        <v>0</v>
      </c>
      <c r="K417" s="11">
        <v>14102.07405092137</v>
      </c>
      <c r="L417" s="12">
        <v>0</v>
      </c>
      <c r="M417" s="12">
        <v>0</v>
      </c>
      <c r="N417" s="12">
        <v>14102.07405092137</v>
      </c>
      <c r="O417" s="70">
        <f>IF(Table1[[#This Row],[Overall amount]]=0,0,1)</f>
        <v>1</v>
      </c>
      <c r="P417" s="70">
        <f>Table1[[#This Row],[Overall amount]]*Exchange_Rate</f>
        <v>14102.07405092137</v>
      </c>
      <c r="Q417" s="70">
        <f>Table1[[#This Row],[Overall (destination currency)]]*(1+Claims_Inflation)^((Revalue_at_date-Table1[[#This Row],[Loss date]])/365.25)</f>
        <v>18733.5</v>
      </c>
      <c r="R417" s="70">
        <f>INT(Table1[[#This Row],[Reporting date]])-INT(Table1[[#This Row],[Loss date]])</f>
        <v>796</v>
      </c>
      <c r="S417" s="69" t="s">
        <v>9</v>
      </c>
      <c r="T417" s="70">
        <f>VLOOKUP(Table1[[#This Row],[Policy Year]],exposure_table,3,FALSE)</f>
        <v>760.22808576000011</v>
      </c>
      <c r="U417" s="17">
        <f>IF(MONTH(Table1[[#This Row],[Reporting date]])&lt;Policy_Inception_Month,YEAR(Table1[[#This Row],[Reporting date]])-1,YEAR(Table1[[#This Row],[Reporting date]]))</f>
        <v>2011</v>
      </c>
      <c r="V417" s="17">
        <f>Table1[[#This Row],[Reporting year]]-Table1[[#This Row],[Policy Year]]</f>
        <v>2</v>
      </c>
      <c r="W417" s="17">
        <f>INT(Table1[[#This Row],[Reporting date]])-INT(Table1[[#This Row],[Loss date]])</f>
        <v>796</v>
      </c>
      <c r="X417" s="17">
        <f>INT((YEAR(Table1[[#This Row],[Loss date]])*12+MONTH(Table1[[#This Row],[Loss date]])-Earliest_Month)/4)</f>
        <v>14</v>
      </c>
      <c r="Y417" s="17">
        <f>INT((YEAR(Table1[[#This Row],[Reporting date]])*12+MONTH(Table1[[#This Row],[Reporting date]])-Earliest_Month)/4)</f>
        <v>20</v>
      </c>
      <c r="Z417" s="17">
        <f>Table1[[#This Row],[Reporting third]]-Table1[[#This Row],[Policy third]]</f>
        <v>6</v>
      </c>
      <c r="AA417" s="71">
        <f>IF(Table1[[#This Row],[Overall amount]]=0,"N/A",Table1[[#This Row],[Outstanding]]/Table1[[#This Row],[Overall amount]])</f>
        <v>0</v>
      </c>
      <c r="AB417" s="17">
        <f>IF(MONTH(Table1[[#This Row],[Loss date]])&lt;Pol_Inc_Month_Shifted,YEAR(Table1[[#This Row],[Loss date]])-1,YEAR(Table1[[#This Row],[Loss date]]))</f>
        <v>2009</v>
      </c>
      <c r="AC417" s="17">
        <f>IF(MONTH(Table1[[#This Row],[Reporting date]])&lt;Pol_Inc_Month_Shifted,YEAR(Table1[[#This Row],[Reporting date]])-1,YEAR(Table1[[#This Row],[Reporting date]]))</f>
        <v>2011</v>
      </c>
      <c r="AD417" s="17">
        <f>Table1[[#This Row],[Reporting year (shifted)]]-Table1[[#This Row],[Policy Year (shifted)]]</f>
        <v>2</v>
      </c>
    </row>
    <row r="418" spans="1:30" ht="13.9">
      <c r="A418" s="8" t="s">
        <v>2188</v>
      </c>
      <c r="B418" s="8" t="s">
        <v>470</v>
      </c>
      <c r="C418" s="8" t="s">
        <v>123</v>
      </c>
      <c r="D418" s="9">
        <v>39691</v>
      </c>
      <c r="E418" s="9">
        <v>40936</v>
      </c>
      <c r="F418" s="17">
        <f>IF(MONTH(Table1[[#This Row],[Loss date]])&lt;Policy_Inception_Month,YEAR(Table1[[#This Row],[Loss date]])-1,YEAR(Table1[[#This Row],[Loss date]]))</f>
        <v>2008</v>
      </c>
      <c r="G418" s="10" t="s">
        <v>125</v>
      </c>
      <c r="H418" s="10" t="s">
        <v>2</v>
      </c>
      <c r="I418" s="11">
        <v>15778.904083459443</v>
      </c>
      <c r="J418" s="11">
        <v>0</v>
      </c>
      <c r="K418" s="11">
        <v>15778.904083459443</v>
      </c>
      <c r="L418" s="12">
        <v>0</v>
      </c>
      <c r="M418" s="12">
        <v>0</v>
      </c>
      <c r="N418" s="12">
        <v>15778.904083459443</v>
      </c>
      <c r="O418" s="70">
        <f>IF(Table1[[#This Row],[Overall amount]]=0,0,1)</f>
        <v>1</v>
      </c>
      <c r="P418" s="70">
        <f>Table1[[#This Row],[Overall amount]]*Exchange_Rate</f>
        <v>15778.904083459443</v>
      </c>
      <c r="Q418" s="70">
        <f>Table1[[#This Row],[Overall (destination currency)]]*(1+Claims_Inflation)^((Revalue_at_date-Table1[[#This Row],[Loss date]])/365.25)</f>
        <v>22292.399999999998</v>
      </c>
      <c r="R418" s="70">
        <f>INT(Table1[[#This Row],[Reporting date]])-INT(Table1[[#This Row],[Loss date]])</f>
        <v>1245</v>
      </c>
      <c r="S418" s="69" t="s">
        <v>9</v>
      </c>
      <c r="T418" s="70">
        <f>VLOOKUP(Table1[[#This Row],[Policy Year]],exposure_table,3,FALSE)</f>
        <v>601.98581780480015</v>
      </c>
      <c r="U418" s="17">
        <f>IF(MONTH(Table1[[#This Row],[Reporting date]])&lt;Policy_Inception_Month,YEAR(Table1[[#This Row],[Reporting date]])-1,YEAR(Table1[[#This Row],[Reporting date]]))</f>
        <v>2011</v>
      </c>
      <c r="V418" s="17">
        <f>Table1[[#This Row],[Reporting year]]-Table1[[#This Row],[Policy Year]]</f>
        <v>3</v>
      </c>
      <c r="W418" s="17">
        <f>INT(Table1[[#This Row],[Reporting date]])-INT(Table1[[#This Row],[Loss date]])</f>
        <v>1245</v>
      </c>
      <c r="X418" s="17">
        <f>INT((YEAR(Table1[[#This Row],[Loss date]])*12+MONTH(Table1[[#This Row],[Loss date]])-Earliest_Month)/4)</f>
        <v>10</v>
      </c>
      <c r="Y418" s="17">
        <f>INT((YEAR(Table1[[#This Row],[Reporting date]])*12+MONTH(Table1[[#This Row],[Reporting date]])-Earliest_Month)/4)</f>
        <v>20</v>
      </c>
      <c r="Z418" s="17">
        <f>Table1[[#This Row],[Reporting third]]-Table1[[#This Row],[Policy third]]</f>
        <v>10</v>
      </c>
      <c r="AA418" s="71">
        <f>IF(Table1[[#This Row],[Overall amount]]=0,"N/A",Table1[[#This Row],[Outstanding]]/Table1[[#This Row],[Overall amount]])</f>
        <v>0</v>
      </c>
      <c r="AB418" s="17">
        <f>IF(MONTH(Table1[[#This Row],[Loss date]])&lt;Pol_Inc_Month_Shifted,YEAR(Table1[[#This Row],[Loss date]])-1,YEAR(Table1[[#This Row],[Loss date]]))</f>
        <v>2007</v>
      </c>
      <c r="AC418" s="17">
        <f>IF(MONTH(Table1[[#This Row],[Reporting date]])&lt;Pol_Inc_Month_Shifted,YEAR(Table1[[#This Row],[Reporting date]])-1,YEAR(Table1[[#This Row],[Reporting date]]))</f>
        <v>2011</v>
      </c>
      <c r="AD418" s="17">
        <f>Table1[[#This Row],[Reporting year (shifted)]]-Table1[[#This Row],[Policy Year (shifted)]]</f>
        <v>4</v>
      </c>
    </row>
    <row r="419" spans="1:30" ht="13.9">
      <c r="A419" s="8" t="s">
        <v>2189</v>
      </c>
      <c r="B419" s="8" t="s">
        <v>471</v>
      </c>
      <c r="C419" s="8" t="s">
        <v>123</v>
      </c>
      <c r="D419" s="9">
        <v>39795</v>
      </c>
      <c r="E419" s="9">
        <v>39894</v>
      </c>
      <c r="F419" s="17">
        <f>IF(MONTH(Table1[[#This Row],[Loss date]])&lt;Policy_Inception_Month,YEAR(Table1[[#This Row],[Loss date]])-1,YEAR(Table1[[#This Row],[Loss date]]))</f>
        <v>2008</v>
      </c>
      <c r="G419" s="10" t="s">
        <v>125</v>
      </c>
      <c r="H419" s="10" t="s">
        <v>2</v>
      </c>
      <c r="I419" s="11">
        <v>25729.275786611455</v>
      </c>
      <c r="J419" s="11">
        <v>0</v>
      </c>
      <c r="K419" s="11">
        <v>25729.275786611455</v>
      </c>
      <c r="L419" s="12">
        <v>0</v>
      </c>
      <c r="M419" s="12">
        <v>0</v>
      </c>
      <c r="N419" s="12">
        <v>25729.275786611455</v>
      </c>
      <c r="O419" s="70">
        <f>IF(Table1[[#This Row],[Overall amount]]=0,0,1)</f>
        <v>1</v>
      </c>
      <c r="P419" s="70">
        <f>Table1[[#This Row],[Overall amount]]*Exchange_Rate</f>
        <v>25729.275786611455</v>
      </c>
      <c r="Q419" s="70">
        <f>Table1[[#This Row],[Overall (destination currency)]]*(1+Claims_Inflation)^((Revalue_at_date-Table1[[#This Row],[Loss date]])/365.25)</f>
        <v>35848.76400000001</v>
      </c>
      <c r="R419" s="70">
        <f>INT(Table1[[#This Row],[Reporting date]])-INT(Table1[[#This Row],[Loss date]])</f>
        <v>99</v>
      </c>
      <c r="S419" s="69" t="s">
        <v>9</v>
      </c>
      <c r="T419" s="70">
        <f>VLOOKUP(Table1[[#This Row],[Policy Year]],exposure_table,3,FALSE)</f>
        <v>601.98581780480015</v>
      </c>
      <c r="U419" s="17">
        <f>IF(MONTH(Table1[[#This Row],[Reporting date]])&lt;Policy_Inception_Month,YEAR(Table1[[#This Row],[Reporting date]])-1,YEAR(Table1[[#This Row],[Reporting date]]))</f>
        <v>2008</v>
      </c>
      <c r="V419" s="17">
        <f>Table1[[#This Row],[Reporting year]]-Table1[[#This Row],[Policy Year]]</f>
        <v>0</v>
      </c>
      <c r="W419" s="17">
        <f>INT(Table1[[#This Row],[Reporting date]])-INT(Table1[[#This Row],[Loss date]])</f>
        <v>99</v>
      </c>
      <c r="X419" s="17">
        <f>INT((YEAR(Table1[[#This Row],[Loss date]])*12+MONTH(Table1[[#This Row],[Loss date]])-Earliest_Month)/4)</f>
        <v>11</v>
      </c>
      <c r="Y419" s="17">
        <f>INT((YEAR(Table1[[#This Row],[Reporting date]])*12+MONTH(Table1[[#This Row],[Reporting date]])-Earliest_Month)/4)</f>
        <v>11</v>
      </c>
      <c r="Z419" s="17">
        <f>Table1[[#This Row],[Reporting third]]-Table1[[#This Row],[Policy third]]</f>
        <v>0</v>
      </c>
      <c r="AA419" s="71">
        <f>IF(Table1[[#This Row],[Overall amount]]=0,"N/A",Table1[[#This Row],[Outstanding]]/Table1[[#This Row],[Overall amount]])</f>
        <v>0</v>
      </c>
      <c r="AB419" s="17">
        <f>IF(MONTH(Table1[[#This Row],[Loss date]])&lt;Pol_Inc_Month_Shifted,YEAR(Table1[[#This Row],[Loss date]])-1,YEAR(Table1[[#This Row],[Loss date]]))</f>
        <v>2008</v>
      </c>
      <c r="AC419" s="17">
        <f>IF(MONTH(Table1[[#This Row],[Reporting date]])&lt;Pol_Inc_Month_Shifted,YEAR(Table1[[#This Row],[Reporting date]])-1,YEAR(Table1[[#This Row],[Reporting date]]))</f>
        <v>2008</v>
      </c>
      <c r="AD419" s="17">
        <f>Table1[[#This Row],[Reporting year (shifted)]]-Table1[[#This Row],[Policy Year (shifted)]]</f>
        <v>0</v>
      </c>
    </row>
    <row r="420" spans="1:30" ht="13.9">
      <c r="A420" s="8" t="s">
        <v>2190</v>
      </c>
      <c r="B420" s="8" t="s">
        <v>472</v>
      </c>
      <c r="C420" s="8" t="s">
        <v>123</v>
      </c>
      <c r="D420" s="9">
        <v>40801</v>
      </c>
      <c r="E420" s="9">
        <v>40859</v>
      </c>
      <c r="F420" s="17">
        <f>IF(MONTH(Table1[[#This Row],[Loss date]])&lt;Policy_Inception_Month,YEAR(Table1[[#This Row],[Loss date]])-1,YEAR(Table1[[#This Row],[Loss date]]))</f>
        <v>2011</v>
      </c>
      <c r="G420" s="10" t="s">
        <v>125</v>
      </c>
      <c r="H420" s="10" t="s">
        <v>2</v>
      </c>
      <c r="I420" s="11">
        <v>5302.4902428039495</v>
      </c>
      <c r="J420" s="11">
        <v>0</v>
      </c>
      <c r="K420" s="11">
        <v>5302.4902428039495</v>
      </c>
      <c r="L420" s="12">
        <v>0</v>
      </c>
      <c r="M420" s="12">
        <v>0</v>
      </c>
      <c r="N420" s="12">
        <v>5302.4902428039495</v>
      </c>
      <c r="O420" s="70">
        <f>IF(Table1[[#This Row],[Overall amount]]=0,0,1)</f>
        <v>1</v>
      </c>
      <c r="P420" s="70">
        <f>Table1[[#This Row],[Overall amount]]*Exchange_Rate</f>
        <v>5302.4902428039495</v>
      </c>
      <c r="Q420" s="70">
        <f>Table1[[#This Row],[Overall (destination currency)]]*(1+Claims_Inflation)^((Revalue_at_date-Table1[[#This Row],[Loss date]])/365.25)</f>
        <v>6459.0000000000009</v>
      </c>
      <c r="R420" s="70">
        <f>INT(Table1[[#This Row],[Reporting date]])-INT(Table1[[#This Row],[Loss date]])</f>
        <v>58</v>
      </c>
      <c r="S420" s="69" t="s">
        <v>9</v>
      </c>
      <c r="T420" s="70">
        <f>VLOOKUP(Table1[[#This Row],[Policy Year]],exposure_table,3,FALSE)</f>
        <v>870.52680000000009</v>
      </c>
      <c r="U420" s="17">
        <f>IF(MONTH(Table1[[#This Row],[Reporting date]])&lt;Policy_Inception_Month,YEAR(Table1[[#This Row],[Reporting date]])-1,YEAR(Table1[[#This Row],[Reporting date]]))</f>
        <v>2011</v>
      </c>
      <c r="V420" s="17">
        <f>Table1[[#This Row],[Reporting year]]-Table1[[#This Row],[Policy Year]]</f>
        <v>0</v>
      </c>
      <c r="W420" s="17">
        <f>INT(Table1[[#This Row],[Reporting date]])-INT(Table1[[#This Row],[Loss date]])</f>
        <v>58</v>
      </c>
      <c r="X420" s="17">
        <f>INT((YEAR(Table1[[#This Row],[Loss date]])*12+MONTH(Table1[[#This Row],[Loss date]])-Earliest_Month)/4)</f>
        <v>19</v>
      </c>
      <c r="Y420" s="17">
        <f>INT((YEAR(Table1[[#This Row],[Reporting date]])*12+MONTH(Table1[[#This Row],[Reporting date]])-Earliest_Month)/4)</f>
        <v>19</v>
      </c>
      <c r="Z420" s="17">
        <f>Table1[[#This Row],[Reporting third]]-Table1[[#This Row],[Policy third]]</f>
        <v>0</v>
      </c>
      <c r="AA420" s="71">
        <f>IF(Table1[[#This Row],[Overall amount]]=0,"N/A",Table1[[#This Row],[Outstanding]]/Table1[[#This Row],[Overall amount]])</f>
        <v>0</v>
      </c>
      <c r="AB420" s="17">
        <f>IF(MONTH(Table1[[#This Row],[Loss date]])&lt;Pol_Inc_Month_Shifted,YEAR(Table1[[#This Row],[Loss date]])-1,YEAR(Table1[[#This Row],[Loss date]]))</f>
        <v>2010</v>
      </c>
      <c r="AC420" s="17">
        <f>IF(MONTH(Table1[[#This Row],[Reporting date]])&lt;Pol_Inc_Month_Shifted,YEAR(Table1[[#This Row],[Reporting date]])-1,YEAR(Table1[[#This Row],[Reporting date]]))</f>
        <v>2010</v>
      </c>
      <c r="AD420" s="17">
        <f>Table1[[#This Row],[Reporting year (shifted)]]-Table1[[#This Row],[Policy Year (shifted)]]</f>
        <v>0</v>
      </c>
    </row>
    <row r="421" spans="1:30" ht="13.9">
      <c r="A421" s="8" t="s">
        <v>2191</v>
      </c>
      <c r="B421" s="8" t="s">
        <v>473</v>
      </c>
      <c r="C421" s="8" t="s">
        <v>123</v>
      </c>
      <c r="D421" s="9">
        <v>39879</v>
      </c>
      <c r="E421" s="9">
        <v>40119</v>
      </c>
      <c r="F421" s="17">
        <f>IF(MONTH(Table1[[#This Row],[Loss date]])&lt;Policy_Inception_Month,YEAR(Table1[[#This Row],[Loss date]])-1,YEAR(Table1[[#This Row],[Loss date]]))</f>
        <v>2008</v>
      </c>
      <c r="G421" s="10" t="s">
        <v>125</v>
      </c>
      <c r="H421" s="10" t="s">
        <v>2</v>
      </c>
      <c r="I421" s="11">
        <v>12105.302782960691</v>
      </c>
      <c r="J421" s="11">
        <v>0</v>
      </c>
      <c r="K421" s="11">
        <v>12105.302782960691</v>
      </c>
      <c r="L421" s="12">
        <v>0</v>
      </c>
      <c r="M421" s="12">
        <v>0</v>
      </c>
      <c r="N421" s="12">
        <v>12105.302782960691</v>
      </c>
      <c r="O421" s="70">
        <f>IF(Table1[[#This Row],[Overall amount]]=0,0,1)</f>
        <v>1</v>
      </c>
      <c r="P421" s="70">
        <f>Table1[[#This Row],[Overall amount]]*Exchange_Rate</f>
        <v>12105.302782960691</v>
      </c>
      <c r="Q421" s="70">
        <f>Table1[[#This Row],[Overall (destination currency)]]*(1+Claims_Inflation)^((Revalue_at_date-Table1[[#This Row],[Loss date]])/365.25)</f>
        <v>16678.2</v>
      </c>
      <c r="R421" s="70">
        <f>INT(Table1[[#This Row],[Reporting date]])-INT(Table1[[#This Row],[Loss date]])</f>
        <v>240</v>
      </c>
      <c r="S421" s="69" t="s">
        <v>9</v>
      </c>
      <c r="T421" s="70">
        <f>VLOOKUP(Table1[[#This Row],[Policy Year]],exposure_table,3,FALSE)</f>
        <v>601.98581780480015</v>
      </c>
      <c r="U421" s="17">
        <f>IF(MONTH(Table1[[#This Row],[Reporting date]])&lt;Policy_Inception_Month,YEAR(Table1[[#This Row],[Reporting date]])-1,YEAR(Table1[[#This Row],[Reporting date]]))</f>
        <v>2009</v>
      </c>
      <c r="V421" s="17">
        <f>Table1[[#This Row],[Reporting year]]-Table1[[#This Row],[Policy Year]]</f>
        <v>1</v>
      </c>
      <c r="W421" s="17">
        <f>INT(Table1[[#This Row],[Reporting date]])-INT(Table1[[#This Row],[Loss date]])</f>
        <v>240</v>
      </c>
      <c r="X421" s="17">
        <f>INT((YEAR(Table1[[#This Row],[Loss date]])*12+MONTH(Table1[[#This Row],[Loss date]])-Earliest_Month)/4)</f>
        <v>11</v>
      </c>
      <c r="Y421" s="17">
        <f>INT((YEAR(Table1[[#This Row],[Reporting date]])*12+MONTH(Table1[[#This Row],[Reporting date]])-Earliest_Month)/4)</f>
        <v>13</v>
      </c>
      <c r="Z421" s="17">
        <f>Table1[[#This Row],[Reporting third]]-Table1[[#This Row],[Policy third]]</f>
        <v>2</v>
      </c>
      <c r="AA421" s="71">
        <f>IF(Table1[[#This Row],[Overall amount]]=0,"N/A",Table1[[#This Row],[Outstanding]]/Table1[[#This Row],[Overall amount]])</f>
        <v>0</v>
      </c>
      <c r="AB421" s="17">
        <f>IF(MONTH(Table1[[#This Row],[Loss date]])&lt;Pol_Inc_Month_Shifted,YEAR(Table1[[#This Row],[Loss date]])-1,YEAR(Table1[[#This Row],[Loss date]]))</f>
        <v>2008</v>
      </c>
      <c r="AC421" s="17">
        <f>IF(MONTH(Table1[[#This Row],[Reporting date]])&lt;Pol_Inc_Month_Shifted,YEAR(Table1[[#This Row],[Reporting date]])-1,YEAR(Table1[[#This Row],[Reporting date]]))</f>
        <v>2008</v>
      </c>
      <c r="AD421" s="17">
        <f>Table1[[#This Row],[Reporting year (shifted)]]-Table1[[#This Row],[Policy Year (shifted)]]</f>
        <v>0</v>
      </c>
    </row>
    <row r="422" spans="1:30" ht="13.9">
      <c r="A422" s="8" t="s">
        <v>2192</v>
      </c>
      <c r="B422" s="8" t="s">
        <v>474</v>
      </c>
      <c r="C422" s="8" t="s">
        <v>123</v>
      </c>
      <c r="D422" s="9">
        <v>40287</v>
      </c>
      <c r="E422" s="9">
        <v>40343</v>
      </c>
      <c r="F422" s="17">
        <f>IF(MONTH(Table1[[#This Row],[Loss date]])&lt;Policy_Inception_Month,YEAR(Table1[[#This Row],[Loss date]])-1,YEAR(Table1[[#This Row],[Loss date]]))</f>
        <v>2010</v>
      </c>
      <c r="G422" s="10" t="s">
        <v>131</v>
      </c>
      <c r="H422" s="10" t="s">
        <v>2</v>
      </c>
      <c r="I422" s="11">
        <v>8865.6190559011411</v>
      </c>
      <c r="J422" s="11">
        <v>0</v>
      </c>
      <c r="K422" s="11">
        <v>8865.6190559011411</v>
      </c>
      <c r="L422" s="12">
        <v>0</v>
      </c>
      <c r="M422" s="12">
        <v>0</v>
      </c>
      <c r="N422" s="12">
        <v>8865.6190559011411</v>
      </c>
      <c r="O422" s="70">
        <f>IF(Table1[[#This Row],[Overall amount]]=0,0,1)</f>
        <v>1</v>
      </c>
      <c r="P422" s="70">
        <f>Table1[[#This Row],[Overall amount]]*Exchange_Rate</f>
        <v>8865.6190559011411</v>
      </c>
      <c r="Q422" s="70">
        <f>Table1[[#This Row],[Overall (destination currency)]]*(1+Claims_Inflation)^((Revalue_at_date-Table1[[#This Row],[Loss date]])/365.25)</f>
        <v>11566.8</v>
      </c>
      <c r="R422" s="70">
        <f>INT(Table1[[#This Row],[Reporting date]])-INT(Table1[[#This Row],[Loss date]])</f>
        <v>56</v>
      </c>
      <c r="S422" s="69" t="s">
        <v>9</v>
      </c>
      <c r="T422" s="70">
        <f>VLOOKUP(Table1[[#This Row],[Policy Year]],exposure_table,3,FALSE)</f>
        <v>837.11513600000012</v>
      </c>
      <c r="U422" s="17">
        <f>IF(MONTH(Table1[[#This Row],[Reporting date]])&lt;Policy_Inception_Month,YEAR(Table1[[#This Row],[Reporting date]])-1,YEAR(Table1[[#This Row],[Reporting date]]))</f>
        <v>2010</v>
      </c>
      <c r="V422" s="17">
        <f>Table1[[#This Row],[Reporting year]]-Table1[[#This Row],[Policy Year]]</f>
        <v>0</v>
      </c>
      <c r="W422" s="17">
        <f>INT(Table1[[#This Row],[Reporting date]])-INT(Table1[[#This Row],[Loss date]])</f>
        <v>56</v>
      </c>
      <c r="X422" s="17">
        <f>INT((YEAR(Table1[[#This Row],[Loss date]])*12+MONTH(Table1[[#This Row],[Loss date]])-Earliest_Month)/4)</f>
        <v>15</v>
      </c>
      <c r="Y422" s="17">
        <f>INT((YEAR(Table1[[#This Row],[Reporting date]])*12+MONTH(Table1[[#This Row],[Reporting date]])-Earliest_Month)/4)</f>
        <v>15</v>
      </c>
      <c r="Z422" s="17">
        <f>Table1[[#This Row],[Reporting third]]-Table1[[#This Row],[Policy third]]</f>
        <v>0</v>
      </c>
      <c r="AA422" s="71">
        <f>IF(Table1[[#This Row],[Overall amount]]=0,"N/A",Table1[[#This Row],[Outstanding]]/Table1[[#This Row],[Overall amount]])</f>
        <v>0</v>
      </c>
      <c r="AB422" s="17">
        <f>IF(MONTH(Table1[[#This Row],[Loss date]])&lt;Pol_Inc_Month_Shifted,YEAR(Table1[[#This Row],[Loss date]])-1,YEAR(Table1[[#This Row],[Loss date]]))</f>
        <v>2009</v>
      </c>
      <c r="AC422" s="17">
        <f>IF(MONTH(Table1[[#This Row],[Reporting date]])&lt;Pol_Inc_Month_Shifted,YEAR(Table1[[#This Row],[Reporting date]])-1,YEAR(Table1[[#This Row],[Reporting date]]))</f>
        <v>2009</v>
      </c>
      <c r="AD422" s="17">
        <f>Table1[[#This Row],[Reporting year (shifted)]]-Table1[[#This Row],[Policy Year (shifted)]]</f>
        <v>0</v>
      </c>
    </row>
    <row r="423" spans="1:30" ht="13.9">
      <c r="A423" s="8" t="s">
        <v>2193</v>
      </c>
      <c r="B423" s="8" t="s">
        <v>475</v>
      </c>
      <c r="C423" s="8" t="s">
        <v>123</v>
      </c>
      <c r="D423" s="9">
        <v>40365</v>
      </c>
      <c r="E423" s="9">
        <v>40943</v>
      </c>
      <c r="F423" s="17">
        <f>IF(MONTH(Table1[[#This Row],[Loss date]])&lt;Policy_Inception_Month,YEAR(Table1[[#This Row],[Loss date]])-1,YEAR(Table1[[#This Row],[Loss date]]))</f>
        <v>2010</v>
      </c>
      <c r="G423" s="10" t="s">
        <v>125</v>
      </c>
      <c r="H423" s="10" t="s">
        <v>2</v>
      </c>
      <c r="I423" s="11">
        <v>12678.393831704989</v>
      </c>
      <c r="J423" s="11">
        <v>0</v>
      </c>
      <c r="K423" s="11">
        <v>12678.393831704989</v>
      </c>
      <c r="L423" s="12">
        <v>0</v>
      </c>
      <c r="M423" s="12">
        <v>0</v>
      </c>
      <c r="N423" s="12">
        <v>12678.393831704989</v>
      </c>
      <c r="O423" s="70">
        <f>IF(Table1[[#This Row],[Overall amount]]=0,0,1)</f>
        <v>1</v>
      </c>
      <c r="P423" s="70">
        <f>Table1[[#This Row],[Overall amount]]*Exchange_Rate</f>
        <v>12678.393831704989</v>
      </c>
      <c r="Q423" s="70">
        <f>Table1[[#This Row],[Overall (destination currency)]]*(1+Claims_Inflation)^((Revalue_at_date-Table1[[#This Row],[Loss date]])/365.25)</f>
        <v>16369.800000000001</v>
      </c>
      <c r="R423" s="70">
        <f>INT(Table1[[#This Row],[Reporting date]])-INT(Table1[[#This Row],[Loss date]])</f>
        <v>578</v>
      </c>
      <c r="S423" s="69" t="s">
        <v>9</v>
      </c>
      <c r="T423" s="70">
        <f>VLOOKUP(Table1[[#This Row],[Policy Year]],exposure_table,3,FALSE)</f>
        <v>837.11513600000012</v>
      </c>
      <c r="U423" s="17">
        <f>IF(MONTH(Table1[[#This Row],[Reporting date]])&lt;Policy_Inception_Month,YEAR(Table1[[#This Row],[Reporting date]])-1,YEAR(Table1[[#This Row],[Reporting date]]))</f>
        <v>2011</v>
      </c>
      <c r="V423" s="17">
        <f>Table1[[#This Row],[Reporting year]]-Table1[[#This Row],[Policy Year]]</f>
        <v>1</v>
      </c>
      <c r="W423" s="17">
        <f>INT(Table1[[#This Row],[Reporting date]])-INT(Table1[[#This Row],[Loss date]])</f>
        <v>578</v>
      </c>
      <c r="X423" s="17">
        <f>INT((YEAR(Table1[[#This Row],[Loss date]])*12+MONTH(Table1[[#This Row],[Loss date]])-Earliest_Month)/4)</f>
        <v>15</v>
      </c>
      <c r="Y423" s="17">
        <f>INT((YEAR(Table1[[#This Row],[Reporting date]])*12+MONTH(Table1[[#This Row],[Reporting date]])-Earliest_Month)/4)</f>
        <v>20</v>
      </c>
      <c r="Z423" s="17">
        <f>Table1[[#This Row],[Reporting third]]-Table1[[#This Row],[Policy third]]</f>
        <v>5</v>
      </c>
      <c r="AA423" s="71">
        <f>IF(Table1[[#This Row],[Overall amount]]=0,"N/A",Table1[[#This Row],[Outstanding]]/Table1[[#This Row],[Overall amount]])</f>
        <v>0</v>
      </c>
      <c r="AB423" s="17">
        <f>IF(MONTH(Table1[[#This Row],[Loss date]])&lt;Pol_Inc_Month_Shifted,YEAR(Table1[[#This Row],[Loss date]])-1,YEAR(Table1[[#This Row],[Loss date]]))</f>
        <v>2009</v>
      </c>
      <c r="AC423" s="17">
        <f>IF(MONTH(Table1[[#This Row],[Reporting date]])&lt;Pol_Inc_Month_Shifted,YEAR(Table1[[#This Row],[Reporting date]])-1,YEAR(Table1[[#This Row],[Reporting date]]))</f>
        <v>2011</v>
      </c>
      <c r="AD423" s="17">
        <f>Table1[[#This Row],[Reporting year (shifted)]]-Table1[[#This Row],[Policy Year (shifted)]]</f>
        <v>2</v>
      </c>
    </row>
    <row r="424" spans="1:30" ht="13.9">
      <c r="A424" s="8" t="s">
        <v>2194</v>
      </c>
      <c r="B424" s="8" t="s">
        <v>476</v>
      </c>
      <c r="C424" s="8" t="s">
        <v>123</v>
      </c>
      <c r="D424" s="9">
        <v>40378</v>
      </c>
      <c r="E424" s="9">
        <v>40851</v>
      </c>
      <c r="F424" s="17">
        <f>IF(MONTH(Table1[[#This Row],[Loss date]])&lt;Policy_Inception_Month,YEAR(Table1[[#This Row],[Loss date]])-1,YEAR(Table1[[#This Row],[Loss date]]))</f>
        <v>2010</v>
      </c>
      <c r="G424" s="10" t="s">
        <v>125</v>
      </c>
      <c r="H424" s="10" t="s">
        <v>2</v>
      </c>
      <c r="I424" s="11">
        <v>11766.62233583224</v>
      </c>
      <c r="J424" s="11">
        <v>0</v>
      </c>
      <c r="K424" s="11">
        <v>11766.62233583224</v>
      </c>
      <c r="L424" s="12">
        <v>139.65212251254783</v>
      </c>
      <c r="M424" s="12">
        <v>0</v>
      </c>
      <c r="N424" s="12">
        <v>11906.274458344787</v>
      </c>
      <c r="O424" s="70">
        <f>IF(Table1[[#This Row],[Overall amount]]=0,0,1)</f>
        <v>1</v>
      </c>
      <c r="P424" s="70">
        <f>Table1[[#This Row],[Overall amount]]*Exchange_Rate</f>
        <v>11906.274458344787</v>
      </c>
      <c r="Q424" s="70">
        <f>Table1[[#This Row],[Overall (destination currency)]]*(1+Claims_Inflation)^((Revalue_at_date-Table1[[#This Row],[Loss date]])/365.25)</f>
        <v>15346.199999999999</v>
      </c>
      <c r="R424" s="70">
        <f>INT(Table1[[#This Row],[Reporting date]])-INT(Table1[[#This Row],[Loss date]])</f>
        <v>473</v>
      </c>
      <c r="S424" s="69" t="s">
        <v>9</v>
      </c>
      <c r="T424" s="70">
        <f>VLOOKUP(Table1[[#This Row],[Policy Year]],exposure_table,3,FALSE)</f>
        <v>837.11513600000012</v>
      </c>
      <c r="U424" s="17">
        <f>IF(MONTH(Table1[[#This Row],[Reporting date]])&lt;Policy_Inception_Month,YEAR(Table1[[#This Row],[Reporting date]])-1,YEAR(Table1[[#This Row],[Reporting date]]))</f>
        <v>2011</v>
      </c>
      <c r="V424" s="17">
        <f>Table1[[#This Row],[Reporting year]]-Table1[[#This Row],[Policy Year]]</f>
        <v>1</v>
      </c>
      <c r="W424" s="17">
        <f>INT(Table1[[#This Row],[Reporting date]])-INT(Table1[[#This Row],[Loss date]])</f>
        <v>473</v>
      </c>
      <c r="X424" s="17">
        <f>INT((YEAR(Table1[[#This Row],[Loss date]])*12+MONTH(Table1[[#This Row],[Loss date]])-Earliest_Month)/4)</f>
        <v>15</v>
      </c>
      <c r="Y424" s="17">
        <f>INT((YEAR(Table1[[#This Row],[Reporting date]])*12+MONTH(Table1[[#This Row],[Reporting date]])-Earliest_Month)/4)</f>
        <v>19</v>
      </c>
      <c r="Z424" s="17">
        <f>Table1[[#This Row],[Reporting third]]-Table1[[#This Row],[Policy third]]</f>
        <v>4</v>
      </c>
      <c r="AA424" s="71">
        <f>IF(Table1[[#This Row],[Overall amount]]=0,"N/A",Table1[[#This Row],[Outstanding]]/Table1[[#This Row],[Overall amount]])</f>
        <v>0</v>
      </c>
      <c r="AB424" s="17">
        <f>IF(MONTH(Table1[[#This Row],[Loss date]])&lt;Pol_Inc_Month_Shifted,YEAR(Table1[[#This Row],[Loss date]])-1,YEAR(Table1[[#This Row],[Loss date]]))</f>
        <v>2009</v>
      </c>
      <c r="AC424" s="17">
        <f>IF(MONTH(Table1[[#This Row],[Reporting date]])&lt;Pol_Inc_Month_Shifted,YEAR(Table1[[#This Row],[Reporting date]])-1,YEAR(Table1[[#This Row],[Reporting date]]))</f>
        <v>2010</v>
      </c>
      <c r="AD424" s="17">
        <f>Table1[[#This Row],[Reporting year (shifted)]]-Table1[[#This Row],[Policy Year (shifted)]]</f>
        <v>1</v>
      </c>
    </row>
    <row r="425" spans="1:30" ht="13.9">
      <c r="A425" s="8" t="s">
        <v>2195</v>
      </c>
      <c r="B425" s="8" t="s">
        <v>477</v>
      </c>
      <c r="C425" s="8" t="s">
        <v>123</v>
      </c>
      <c r="D425" s="9">
        <v>40559</v>
      </c>
      <c r="E425" s="9">
        <v>40641</v>
      </c>
      <c r="F425" s="17">
        <f>IF(MONTH(Table1[[#This Row],[Loss date]])&lt;Policy_Inception_Month,YEAR(Table1[[#This Row],[Loss date]])-1,YEAR(Table1[[#This Row],[Loss date]]))</f>
        <v>2010</v>
      </c>
      <c r="G425" s="10" t="s">
        <v>125</v>
      </c>
      <c r="H425" s="10" t="s">
        <v>2</v>
      </c>
      <c r="I425" s="11">
        <v>10077.358626495172</v>
      </c>
      <c r="J425" s="11">
        <v>0</v>
      </c>
      <c r="K425" s="11">
        <v>10077.358626495172</v>
      </c>
      <c r="L425" s="12">
        <v>0</v>
      </c>
      <c r="M425" s="12">
        <v>0</v>
      </c>
      <c r="N425" s="12">
        <v>10077.358626495172</v>
      </c>
      <c r="O425" s="70">
        <f>IF(Table1[[#This Row],[Overall amount]]=0,0,1)</f>
        <v>1</v>
      </c>
      <c r="P425" s="70">
        <f>Table1[[#This Row],[Overall amount]]*Exchange_Rate</f>
        <v>10077.358626495172</v>
      </c>
      <c r="Q425" s="70">
        <f>Table1[[#This Row],[Overall (destination currency)]]*(1+Claims_Inflation)^((Revalue_at_date-Table1[[#This Row],[Loss date]])/365.25)</f>
        <v>12678.6</v>
      </c>
      <c r="R425" s="70">
        <f>INT(Table1[[#This Row],[Reporting date]])-INT(Table1[[#This Row],[Loss date]])</f>
        <v>82</v>
      </c>
      <c r="S425" s="69" t="s">
        <v>9</v>
      </c>
      <c r="T425" s="70">
        <f>VLOOKUP(Table1[[#This Row],[Policy Year]],exposure_table,3,FALSE)</f>
        <v>837.11513600000012</v>
      </c>
      <c r="U425" s="17">
        <f>IF(MONTH(Table1[[#This Row],[Reporting date]])&lt;Policy_Inception_Month,YEAR(Table1[[#This Row],[Reporting date]])-1,YEAR(Table1[[#This Row],[Reporting date]]))</f>
        <v>2011</v>
      </c>
      <c r="V425" s="17">
        <f>Table1[[#This Row],[Reporting year]]-Table1[[#This Row],[Policy Year]]</f>
        <v>1</v>
      </c>
      <c r="W425" s="17">
        <f>INT(Table1[[#This Row],[Reporting date]])-INT(Table1[[#This Row],[Loss date]])</f>
        <v>82</v>
      </c>
      <c r="X425" s="17">
        <f>INT((YEAR(Table1[[#This Row],[Loss date]])*12+MONTH(Table1[[#This Row],[Loss date]])-Earliest_Month)/4)</f>
        <v>17</v>
      </c>
      <c r="Y425" s="17">
        <f>INT((YEAR(Table1[[#This Row],[Reporting date]])*12+MONTH(Table1[[#This Row],[Reporting date]])-Earliest_Month)/4)</f>
        <v>18</v>
      </c>
      <c r="Z425" s="17">
        <f>Table1[[#This Row],[Reporting third]]-Table1[[#This Row],[Policy third]]</f>
        <v>1</v>
      </c>
      <c r="AA425" s="71">
        <f>IF(Table1[[#This Row],[Overall amount]]=0,"N/A",Table1[[#This Row],[Outstanding]]/Table1[[#This Row],[Overall amount]])</f>
        <v>0</v>
      </c>
      <c r="AB425" s="17">
        <f>IF(MONTH(Table1[[#This Row],[Loss date]])&lt;Pol_Inc_Month_Shifted,YEAR(Table1[[#This Row],[Loss date]])-1,YEAR(Table1[[#This Row],[Loss date]]))</f>
        <v>2010</v>
      </c>
      <c r="AC425" s="17">
        <f>IF(MONTH(Table1[[#This Row],[Reporting date]])&lt;Pol_Inc_Month_Shifted,YEAR(Table1[[#This Row],[Reporting date]])-1,YEAR(Table1[[#This Row],[Reporting date]]))</f>
        <v>2010</v>
      </c>
      <c r="AD425" s="17">
        <f>Table1[[#This Row],[Reporting year (shifted)]]-Table1[[#This Row],[Policy Year (shifted)]]</f>
        <v>0</v>
      </c>
    </row>
    <row r="426" spans="1:30" ht="13.9">
      <c r="A426" s="8" t="s">
        <v>2196</v>
      </c>
      <c r="B426" s="8" t="s">
        <v>478</v>
      </c>
      <c r="C426" s="8" t="s">
        <v>123</v>
      </c>
      <c r="D426" s="9">
        <v>40183</v>
      </c>
      <c r="E426" s="9">
        <v>40244</v>
      </c>
      <c r="F426" s="17">
        <f>IF(MONTH(Table1[[#This Row],[Loss date]])&lt;Policy_Inception_Month,YEAR(Table1[[#This Row],[Loss date]])-1,YEAR(Table1[[#This Row],[Loss date]]))</f>
        <v>2009</v>
      </c>
      <c r="G426" s="10" t="s">
        <v>125</v>
      </c>
      <c r="H426" s="10" t="s">
        <v>2</v>
      </c>
      <c r="I426" s="11">
        <v>42249.790140568235</v>
      </c>
      <c r="J426" s="11">
        <v>0</v>
      </c>
      <c r="K426" s="11">
        <v>42249.790140568235</v>
      </c>
      <c r="L426" s="12">
        <v>0</v>
      </c>
      <c r="M426" s="12">
        <v>1737.8199137195109</v>
      </c>
      <c r="N426" s="12">
        <v>40511.970226848724</v>
      </c>
      <c r="O426" s="70">
        <f>IF(Table1[[#This Row],[Overall amount]]=0,0,1)</f>
        <v>1</v>
      </c>
      <c r="P426" s="70">
        <f>Table1[[#This Row],[Overall amount]]*Exchange_Rate</f>
        <v>40511.970226848724</v>
      </c>
      <c r="Q426" s="70">
        <f>Table1[[#This Row],[Overall (destination currency)]]*(1+Claims_Inflation)^((Revalue_at_date-Table1[[#This Row],[Loss date]])/365.25)</f>
        <v>53594.582399999999</v>
      </c>
      <c r="R426" s="70">
        <f>INT(Table1[[#This Row],[Reporting date]])-INT(Table1[[#This Row],[Loss date]])</f>
        <v>61</v>
      </c>
      <c r="S426" s="69" t="s">
        <v>9</v>
      </c>
      <c r="T426" s="70">
        <f>VLOOKUP(Table1[[#This Row],[Policy Year]],exposure_table,3,FALSE)</f>
        <v>760.22808576000011</v>
      </c>
      <c r="U426" s="17">
        <f>IF(MONTH(Table1[[#This Row],[Reporting date]])&lt;Policy_Inception_Month,YEAR(Table1[[#This Row],[Reporting date]])-1,YEAR(Table1[[#This Row],[Reporting date]]))</f>
        <v>2009</v>
      </c>
      <c r="V426" s="17">
        <f>Table1[[#This Row],[Reporting year]]-Table1[[#This Row],[Policy Year]]</f>
        <v>0</v>
      </c>
      <c r="W426" s="17">
        <f>INT(Table1[[#This Row],[Reporting date]])-INT(Table1[[#This Row],[Loss date]])</f>
        <v>61</v>
      </c>
      <c r="X426" s="17">
        <f>INT((YEAR(Table1[[#This Row],[Loss date]])*12+MONTH(Table1[[#This Row],[Loss date]])-Earliest_Month)/4)</f>
        <v>14</v>
      </c>
      <c r="Y426" s="17">
        <f>INT((YEAR(Table1[[#This Row],[Reporting date]])*12+MONTH(Table1[[#This Row],[Reporting date]])-Earliest_Month)/4)</f>
        <v>14</v>
      </c>
      <c r="Z426" s="17">
        <f>Table1[[#This Row],[Reporting third]]-Table1[[#This Row],[Policy third]]</f>
        <v>0</v>
      </c>
      <c r="AA426" s="71">
        <f>IF(Table1[[#This Row],[Overall amount]]=0,"N/A",Table1[[#This Row],[Outstanding]]/Table1[[#This Row],[Overall amount]])</f>
        <v>0</v>
      </c>
      <c r="AB426" s="17">
        <f>IF(MONTH(Table1[[#This Row],[Loss date]])&lt;Pol_Inc_Month_Shifted,YEAR(Table1[[#This Row],[Loss date]])-1,YEAR(Table1[[#This Row],[Loss date]]))</f>
        <v>2009</v>
      </c>
      <c r="AC426" s="17">
        <f>IF(MONTH(Table1[[#This Row],[Reporting date]])&lt;Pol_Inc_Month_Shifted,YEAR(Table1[[#This Row],[Reporting date]])-1,YEAR(Table1[[#This Row],[Reporting date]]))</f>
        <v>2009</v>
      </c>
      <c r="AD426" s="17">
        <f>Table1[[#This Row],[Reporting year (shifted)]]-Table1[[#This Row],[Policy Year (shifted)]]</f>
        <v>0</v>
      </c>
    </row>
    <row r="427" spans="1:30" ht="13.9">
      <c r="A427" s="8" t="s">
        <v>2197</v>
      </c>
      <c r="B427" s="8" t="s">
        <v>479</v>
      </c>
      <c r="C427" s="8" t="s">
        <v>123</v>
      </c>
      <c r="D427" s="9">
        <v>40332</v>
      </c>
      <c r="E427" s="9">
        <v>40608</v>
      </c>
      <c r="F427" s="17">
        <f>IF(MONTH(Table1[[#This Row],[Loss date]])&lt;Policy_Inception_Month,YEAR(Table1[[#This Row],[Loss date]])-1,YEAR(Table1[[#This Row],[Loss date]]))</f>
        <v>2010</v>
      </c>
      <c r="G427" s="10" t="s">
        <v>125</v>
      </c>
      <c r="H427" s="10" t="s">
        <v>2</v>
      </c>
      <c r="I427" s="11">
        <v>18507.328337959545</v>
      </c>
      <c r="J427" s="11">
        <v>0</v>
      </c>
      <c r="K427" s="11">
        <v>18507.328337959545</v>
      </c>
      <c r="L427" s="12">
        <v>138.79663473661239</v>
      </c>
      <c r="M427" s="12">
        <v>0</v>
      </c>
      <c r="N427" s="12">
        <v>18646.124972696158</v>
      </c>
      <c r="O427" s="70">
        <f>IF(Table1[[#This Row],[Overall amount]]=0,0,1)</f>
        <v>1</v>
      </c>
      <c r="P427" s="70">
        <f>Table1[[#This Row],[Overall amount]]*Exchange_Rate</f>
        <v>18646.124972696158</v>
      </c>
      <c r="Q427" s="70">
        <f>Table1[[#This Row],[Overall (destination currency)]]*(1+Claims_Inflation)^((Revalue_at_date-Table1[[#This Row],[Loss date]])/365.25)</f>
        <v>24181.439999999999</v>
      </c>
      <c r="R427" s="70">
        <f>INT(Table1[[#This Row],[Reporting date]])-INT(Table1[[#This Row],[Loss date]])</f>
        <v>276</v>
      </c>
      <c r="S427" s="69" t="s">
        <v>9</v>
      </c>
      <c r="T427" s="70">
        <f>VLOOKUP(Table1[[#This Row],[Policy Year]],exposure_table,3,FALSE)</f>
        <v>837.11513600000012</v>
      </c>
      <c r="U427" s="17">
        <f>IF(MONTH(Table1[[#This Row],[Reporting date]])&lt;Policy_Inception_Month,YEAR(Table1[[#This Row],[Reporting date]])-1,YEAR(Table1[[#This Row],[Reporting date]]))</f>
        <v>2010</v>
      </c>
      <c r="V427" s="17">
        <f>Table1[[#This Row],[Reporting year]]-Table1[[#This Row],[Policy Year]]</f>
        <v>0</v>
      </c>
      <c r="W427" s="17">
        <f>INT(Table1[[#This Row],[Reporting date]])-INT(Table1[[#This Row],[Loss date]])</f>
        <v>276</v>
      </c>
      <c r="X427" s="17">
        <f>INT((YEAR(Table1[[#This Row],[Loss date]])*12+MONTH(Table1[[#This Row],[Loss date]])-Earliest_Month)/4)</f>
        <v>15</v>
      </c>
      <c r="Y427" s="17">
        <f>INT((YEAR(Table1[[#This Row],[Reporting date]])*12+MONTH(Table1[[#This Row],[Reporting date]])-Earliest_Month)/4)</f>
        <v>17</v>
      </c>
      <c r="Z427" s="17">
        <f>Table1[[#This Row],[Reporting third]]-Table1[[#This Row],[Policy third]]</f>
        <v>2</v>
      </c>
      <c r="AA427" s="71">
        <f>IF(Table1[[#This Row],[Overall amount]]=0,"N/A",Table1[[#This Row],[Outstanding]]/Table1[[#This Row],[Overall amount]])</f>
        <v>0</v>
      </c>
      <c r="AB427" s="17">
        <f>IF(MONTH(Table1[[#This Row],[Loss date]])&lt;Pol_Inc_Month_Shifted,YEAR(Table1[[#This Row],[Loss date]])-1,YEAR(Table1[[#This Row],[Loss date]]))</f>
        <v>2009</v>
      </c>
      <c r="AC427" s="17">
        <f>IF(MONTH(Table1[[#This Row],[Reporting date]])&lt;Pol_Inc_Month_Shifted,YEAR(Table1[[#This Row],[Reporting date]])-1,YEAR(Table1[[#This Row],[Reporting date]]))</f>
        <v>2010</v>
      </c>
      <c r="AD427" s="17">
        <f>Table1[[#This Row],[Reporting year (shifted)]]-Table1[[#This Row],[Policy Year (shifted)]]</f>
        <v>1</v>
      </c>
    </row>
    <row r="428" spans="1:30" ht="13.9">
      <c r="A428" s="8" t="s">
        <v>2198</v>
      </c>
      <c r="B428" s="8" t="s">
        <v>480</v>
      </c>
      <c r="C428" s="8" t="s">
        <v>123</v>
      </c>
      <c r="D428" s="9">
        <v>40830</v>
      </c>
      <c r="E428" s="9">
        <v>40874</v>
      </c>
      <c r="F428" s="17">
        <f>IF(MONTH(Table1[[#This Row],[Loss date]])&lt;Policy_Inception_Month,YEAR(Table1[[#This Row],[Loss date]])-1,YEAR(Table1[[#This Row],[Loss date]]))</f>
        <v>2011</v>
      </c>
      <c r="G428" s="10" t="s">
        <v>125</v>
      </c>
      <c r="H428" s="10" t="s">
        <v>2</v>
      </c>
      <c r="I428" s="11">
        <v>13536.473134788621</v>
      </c>
      <c r="J428" s="11">
        <v>0</v>
      </c>
      <c r="K428" s="11">
        <v>13536.473134788621</v>
      </c>
      <c r="L428" s="12">
        <v>148.34382727565779</v>
      </c>
      <c r="M428" s="12">
        <v>0</v>
      </c>
      <c r="N428" s="12">
        <v>13684.816962064278</v>
      </c>
      <c r="O428" s="70">
        <f>IF(Table1[[#This Row],[Overall amount]]=0,0,1)</f>
        <v>1</v>
      </c>
      <c r="P428" s="70">
        <f>Table1[[#This Row],[Overall amount]]*Exchange_Rate</f>
        <v>13684.816962064278</v>
      </c>
      <c r="Q428" s="70">
        <f>Table1[[#This Row],[Overall (destination currency)]]*(1+Claims_Inflation)^((Revalue_at_date-Table1[[#This Row],[Loss date]])/365.25)</f>
        <v>16605.119999999995</v>
      </c>
      <c r="R428" s="70">
        <f>INT(Table1[[#This Row],[Reporting date]])-INT(Table1[[#This Row],[Loss date]])</f>
        <v>44</v>
      </c>
      <c r="S428" s="69" t="s">
        <v>9</v>
      </c>
      <c r="T428" s="70">
        <f>VLOOKUP(Table1[[#This Row],[Policy Year]],exposure_table,3,FALSE)</f>
        <v>870.52680000000009</v>
      </c>
      <c r="U428" s="17">
        <f>IF(MONTH(Table1[[#This Row],[Reporting date]])&lt;Policy_Inception_Month,YEAR(Table1[[#This Row],[Reporting date]])-1,YEAR(Table1[[#This Row],[Reporting date]]))</f>
        <v>2011</v>
      </c>
      <c r="V428" s="17">
        <f>Table1[[#This Row],[Reporting year]]-Table1[[#This Row],[Policy Year]]</f>
        <v>0</v>
      </c>
      <c r="W428" s="17">
        <f>INT(Table1[[#This Row],[Reporting date]])-INT(Table1[[#This Row],[Loss date]])</f>
        <v>44</v>
      </c>
      <c r="X428" s="17">
        <f>INT((YEAR(Table1[[#This Row],[Loss date]])*12+MONTH(Table1[[#This Row],[Loss date]])-Earliest_Month)/4)</f>
        <v>19</v>
      </c>
      <c r="Y428" s="17">
        <f>INT((YEAR(Table1[[#This Row],[Reporting date]])*12+MONTH(Table1[[#This Row],[Reporting date]])-Earliest_Month)/4)</f>
        <v>19</v>
      </c>
      <c r="Z428" s="17">
        <f>Table1[[#This Row],[Reporting third]]-Table1[[#This Row],[Policy third]]</f>
        <v>0</v>
      </c>
      <c r="AA428" s="71">
        <f>IF(Table1[[#This Row],[Overall amount]]=0,"N/A",Table1[[#This Row],[Outstanding]]/Table1[[#This Row],[Overall amount]])</f>
        <v>0</v>
      </c>
      <c r="AB428" s="17">
        <f>IF(MONTH(Table1[[#This Row],[Loss date]])&lt;Pol_Inc_Month_Shifted,YEAR(Table1[[#This Row],[Loss date]])-1,YEAR(Table1[[#This Row],[Loss date]]))</f>
        <v>2010</v>
      </c>
      <c r="AC428" s="17">
        <f>IF(MONTH(Table1[[#This Row],[Reporting date]])&lt;Pol_Inc_Month_Shifted,YEAR(Table1[[#This Row],[Reporting date]])-1,YEAR(Table1[[#This Row],[Reporting date]]))</f>
        <v>2010</v>
      </c>
      <c r="AD428" s="17">
        <f>Table1[[#This Row],[Reporting year (shifted)]]-Table1[[#This Row],[Policy Year (shifted)]]</f>
        <v>0</v>
      </c>
    </row>
    <row r="429" spans="1:30" ht="13.9">
      <c r="A429" s="8" t="s">
        <v>2199</v>
      </c>
      <c r="B429" s="8" t="s">
        <v>481</v>
      </c>
      <c r="C429" s="8" t="s">
        <v>123</v>
      </c>
      <c r="D429" s="9">
        <v>39932</v>
      </c>
      <c r="E429" s="9">
        <v>40186</v>
      </c>
      <c r="F429" s="17">
        <f>IF(MONTH(Table1[[#This Row],[Loss date]])&lt;Policy_Inception_Month,YEAR(Table1[[#This Row],[Loss date]])-1,YEAR(Table1[[#This Row],[Loss date]]))</f>
        <v>2009</v>
      </c>
      <c r="G429" s="10" t="s">
        <v>125</v>
      </c>
      <c r="H429" s="10" t="s">
        <v>2</v>
      </c>
      <c r="I429" s="11">
        <v>6961.2872240384777</v>
      </c>
      <c r="J429" s="11">
        <v>0</v>
      </c>
      <c r="K429" s="11">
        <v>6961.2872240384777</v>
      </c>
      <c r="L429" s="12">
        <v>0</v>
      </c>
      <c r="M429" s="12">
        <v>0</v>
      </c>
      <c r="N429" s="12">
        <v>6961.2872240384777</v>
      </c>
      <c r="O429" s="70">
        <f>IF(Table1[[#This Row],[Overall amount]]=0,0,1)</f>
        <v>1</v>
      </c>
      <c r="P429" s="70">
        <f>Table1[[#This Row],[Overall amount]]*Exchange_Rate</f>
        <v>6961.2872240384777</v>
      </c>
      <c r="Q429" s="70">
        <f>Table1[[#This Row],[Overall (destination currency)]]*(1+Claims_Inflation)^((Revalue_at_date-Table1[[#This Row],[Loss date]])/365.25)</f>
        <v>9523.32</v>
      </c>
      <c r="R429" s="70">
        <f>INT(Table1[[#This Row],[Reporting date]])-INT(Table1[[#This Row],[Loss date]])</f>
        <v>254</v>
      </c>
      <c r="S429" s="69" t="s">
        <v>9</v>
      </c>
      <c r="T429" s="70">
        <f>VLOOKUP(Table1[[#This Row],[Policy Year]],exposure_table,3,FALSE)</f>
        <v>760.22808576000011</v>
      </c>
      <c r="U429" s="17">
        <f>IF(MONTH(Table1[[#This Row],[Reporting date]])&lt;Policy_Inception_Month,YEAR(Table1[[#This Row],[Reporting date]])-1,YEAR(Table1[[#This Row],[Reporting date]]))</f>
        <v>2009</v>
      </c>
      <c r="V429" s="17">
        <f>Table1[[#This Row],[Reporting year]]-Table1[[#This Row],[Policy Year]]</f>
        <v>0</v>
      </c>
      <c r="W429" s="17">
        <f>INT(Table1[[#This Row],[Reporting date]])-INT(Table1[[#This Row],[Loss date]])</f>
        <v>254</v>
      </c>
      <c r="X429" s="17">
        <f>INT((YEAR(Table1[[#This Row],[Loss date]])*12+MONTH(Table1[[#This Row],[Loss date]])-Earliest_Month)/4)</f>
        <v>12</v>
      </c>
      <c r="Y429" s="17">
        <f>INT((YEAR(Table1[[#This Row],[Reporting date]])*12+MONTH(Table1[[#This Row],[Reporting date]])-Earliest_Month)/4)</f>
        <v>14</v>
      </c>
      <c r="Z429" s="17">
        <f>Table1[[#This Row],[Reporting third]]-Table1[[#This Row],[Policy third]]</f>
        <v>2</v>
      </c>
      <c r="AA429" s="71">
        <f>IF(Table1[[#This Row],[Overall amount]]=0,"N/A",Table1[[#This Row],[Outstanding]]/Table1[[#This Row],[Overall amount]])</f>
        <v>0</v>
      </c>
      <c r="AB429" s="17">
        <f>IF(MONTH(Table1[[#This Row],[Loss date]])&lt;Pol_Inc_Month_Shifted,YEAR(Table1[[#This Row],[Loss date]])-1,YEAR(Table1[[#This Row],[Loss date]]))</f>
        <v>2008</v>
      </c>
      <c r="AC429" s="17">
        <f>IF(MONTH(Table1[[#This Row],[Reporting date]])&lt;Pol_Inc_Month_Shifted,YEAR(Table1[[#This Row],[Reporting date]])-1,YEAR(Table1[[#This Row],[Reporting date]]))</f>
        <v>2009</v>
      </c>
      <c r="AD429" s="17">
        <f>Table1[[#This Row],[Reporting year (shifted)]]-Table1[[#This Row],[Policy Year (shifted)]]</f>
        <v>1</v>
      </c>
    </row>
    <row r="430" spans="1:30" ht="13.9">
      <c r="A430" s="8" t="s">
        <v>2200</v>
      </c>
      <c r="B430" s="8" t="s">
        <v>482</v>
      </c>
      <c r="C430" s="8" t="s">
        <v>123</v>
      </c>
      <c r="D430" s="9">
        <v>39334</v>
      </c>
      <c r="E430" s="9">
        <v>40089</v>
      </c>
      <c r="F430" s="17">
        <f>IF(MONTH(Table1[[#This Row],[Loss date]])&lt;Policy_Inception_Month,YEAR(Table1[[#This Row],[Loss date]])-1,YEAR(Table1[[#This Row],[Loss date]]))</f>
        <v>2007</v>
      </c>
      <c r="G430" s="10" t="s">
        <v>126</v>
      </c>
      <c r="H430" s="10" t="s">
        <v>2</v>
      </c>
      <c r="I430" s="11">
        <v>23050.728965300368</v>
      </c>
      <c r="J430" s="11">
        <v>0</v>
      </c>
      <c r="K430" s="11">
        <v>23050.728965300368</v>
      </c>
      <c r="L430" s="12">
        <v>121.47357790979495</v>
      </c>
      <c r="M430" s="12">
        <v>0</v>
      </c>
      <c r="N430" s="12">
        <v>23172.202543210162</v>
      </c>
      <c r="O430" s="70">
        <f>IF(Table1[[#This Row],[Overall amount]]=0,0,1)</f>
        <v>1</v>
      </c>
      <c r="P430" s="70">
        <f>Table1[[#This Row],[Overall amount]]*Exchange_Rate</f>
        <v>23172.202543210162</v>
      </c>
      <c r="Q430" s="70">
        <f>Table1[[#This Row],[Overall (destination currency)]]*(1+Claims_Inflation)^((Revalue_at_date-Table1[[#This Row],[Loss date]])/365.25)</f>
        <v>34336.656000000003</v>
      </c>
      <c r="R430" s="70">
        <f>INT(Table1[[#This Row],[Reporting date]])-INT(Table1[[#This Row],[Loss date]])</f>
        <v>755</v>
      </c>
      <c r="S430" s="69" t="s">
        <v>9</v>
      </c>
      <c r="T430" s="70">
        <f>VLOOKUP(Table1[[#This Row],[Policy Year]],exposure_table,3,FALSE)</f>
        <v>547.7736362475523</v>
      </c>
      <c r="U430" s="17">
        <f>IF(MONTH(Table1[[#This Row],[Reporting date]])&lt;Policy_Inception_Month,YEAR(Table1[[#This Row],[Reporting date]])-1,YEAR(Table1[[#This Row],[Reporting date]]))</f>
        <v>2009</v>
      </c>
      <c r="V430" s="17">
        <f>Table1[[#This Row],[Reporting year]]-Table1[[#This Row],[Policy Year]]</f>
        <v>2</v>
      </c>
      <c r="W430" s="17">
        <f>INT(Table1[[#This Row],[Reporting date]])-INT(Table1[[#This Row],[Loss date]])</f>
        <v>755</v>
      </c>
      <c r="X430" s="17">
        <f>INT((YEAR(Table1[[#This Row],[Loss date]])*12+MONTH(Table1[[#This Row],[Loss date]])-Earliest_Month)/4)</f>
        <v>7</v>
      </c>
      <c r="Y430" s="17">
        <f>INT((YEAR(Table1[[#This Row],[Reporting date]])*12+MONTH(Table1[[#This Row],[Reporting date]])-Earliest_Month)/4)</f>
        <v>13</v>
      </c>
      <c r="Z430" s="17">
        <f>Table1[[#This Row],[Reporting third]]-Table1[[#This Row],[Policy third]]</f>
        <v>6</v>
      </c>
      <c r="AA430" s="71">
        <f>IF(Table1[[#This Row],[Overall amount]]=0,"N/A",Table1[[#This Row],[Outstanding]]/Table1[[#This Row],[Overall amount]])</f>
        <v>0</v>
      </c>
      <c r="AB430" s="17">
        <f>IF(MONTH(Table1[[#This Row],[Loss date]])&lt;Pol_Inc_Month_Shifted,YEAR(Table1[[#This Row],[Loss date]])-1,YEAR(Table1[[#This Row],[Loss date]]))</f>
        <v>2006</v>
      </c>
      <c r="AC430" s="17">
        <f>IF(MONTH(Table1[[#This Row],[Reporting date]])&lt;Pol_Inc_Month_Shifted,YEAR(Table1[[#This Row],[Reporting date]])-1,YEAR(Table1[[#This Row],[Reporting date]]))</f>
        <v>2008</v>
      </c>
      <c r="AD430" s="17">
        <f>Table1[[#This Row],[Reporting year (shifted)]]-Table1[[#This Row],[Policy Year (shifted)]]</f>
        <v>2</v>
      </c>
    </row>
    <row r="431" spans="1:30" ht="13.9">
      <c r="A431" s="8" t="s">
        <v>2201</v>
      </c>
      <c r="B431" s="8" t="s">
        <v>483</v>
      </c>
      <c r="C431" s="8" t="s">
        <v>123</v>
      </c>
      <c r="D431" s="9">
        <v>40312</v>
      </c>
      <c r="E431" s="9">
        <v>40865</v>
      </c>
      <c r="F431" s="17">
        <f>IF(MONTH(Table1[[#This Row],[Loss date]])&lt;Policy_Inception_Month,YEAR(Table1[[#This Row],[Loss date]])-1,YEAR(Table1[[#This Row],[Loss date]]))</f>
        <v>2010</v>
      </c>
      <c r="G431" s="10" t="s">
        <v>125</v>
      </c>
      <c r="H431" s="10" t="s">
        <v>2</v>
      </c>
      <c r="I431" s="11">
        <v>9059.7534772084364</v>
      </c>
      <c r="J431" s="11">
        <v>0</v>
      </c>
      <c r="K431" s="11">
        <v>9059.7534772084364</v>
      </c>
      <c r="L431" s="12">
        <v>138.42632000892974</v>
      </c>
      <c r="M431" s="12">
        <v>9.1981797972173656</v>
      </c>
      <c r="N431" s="12">
        <v>9188.9816174201496</v>
      </c>
      <c r="O431" s="70">
        <f>IF(Table1[[#This Row],[Overall amount]]=0,0,1)</f>
        <v>1</v>
      </c>
      <c r="P431" s="70">
        <f>Table1[[#This Row],[Overall amount]]*Exchange_Rate</f>
        <v>9188.9816174201496</v>
      </c>
      <c r="Q431" s="70">
        <f>Table1[[#This Row],[Overall (destination currency)]]*(1+Claims_Inflation)^((Revalue_at_date-Table1[[#This Row],[Loss date]])/365.25)</f>
        <v>11948.715324000001</v>
      </c>
      <c r="R431" s="70">
        <f>INT(Table1[[#This Row],[Reporting date]])-INT(Table1[[#This Row],[Loss date]])</f>
        <v>553</v>
      </c>
      <c r="S431" s="69" t="s">
        <v>9</v>
      </c>
      <c r="T431" s="70">
        <f>VLOOKUP(Table1[[#This Row],[Policy Year]],exposure_table,3,FALSE)</f>
        <v>837.11513600000012</v>
      </c>
      <c r="U431" s="17">
        <f>IF(MONTH(Table1[[#This Row],[Reporting date]])&lt;Policy_Inception_Month,YEAR(Table1[[#This Row],[Reporting date]])-1,YEAR(Table1[[#This Row],[Reporting date]]))</f>
        <v>2011</v>
      </c>
      <c r="V431" s="17">
        <f>Table1[[#This Row],[Reporting year]]-Table1[[#This Row],[Policy Year]]</f>
        <v>1</v>
      </c>
      <c r="W431" s="17">
        <f>INT(Table1[[#This Row],[Reporting date]])-INT(Table1[[#This Row],[Loss date]])</f>
        <v>553</v>
      </c>
      <c r="X431" s="17">
        <f>INT((YEAR(Table1[[#This Row],[Loss date]])*12+MONTH(Table1[[#This Row],[Loss date]])-Earliest_Month)/4)</f>
        <v>15</v>
      </c>
      <c r="Y431" s="17">
        <f>INT((YEAR(Table1[[#This Row],[Reporting date]])*12+MONTH(Table1[[#This Row],[Reporting date]])-Earliest_Month)/4)</f>
        <v>19</v>
      </c>
      <c r="Z431" s="17">
        <f>Table1[[#This Row],[Reporting third]]-Table1[[#This Row],[Policy third]]</f>
        <v>4</v>
      </c>
      <c r="AA431" s="71">
        <f>IF(Table1[[#This Row],[Overall amount]]=0,"N/A",Table1[[#This Row],[Outstanding]]/Table1[[#This Row],[Overall amount]])</f>
        <v>0</v>
      </c>
      <c r="AB431" s="17">
        <f>IF(MONTH(Table1[[#This Row],[Loss date]])&lt;Pol_Inc_Month_Shifted,YEAR(Table1[[#This Row],[Loss date]])-1,YEAR(Table1[[#This Row],[Loss date]]))</f>
        <v>2009</v>
      </c>
      <c r="AC431" s="17">
        <f>IF(MONTH(Table1[[#This Row],[Reporting date]])&lt;Pol_Inc_Month_Shifted,YEAR(Table1[[#This Row],[Reporting date]])-1,YEAR(Table1[[#This Row],[Reporting date]]))</f>
        <v>2010</v>
      </c>
      <c r="AD431" s="17">
        <f>Table1[[#This Row],[Reporting year (shifted)]]-Table1[[#This Row],[Policy Year (shifted)]]</f>
        <v>1</v>
      </c>
    </row>
    <row r="432" spans="1:30" ht="13.9">
      <c r="A432" s="8" t="s">
        <v>2202</v>
      </c>
      <c r="B432" s="8" t="s">
        <v>484</v>
      </c>
      <c r="C432" s="8" t="s">
        <v>123</v>
      </c>
      <c r="D432" s="9">
        <v>40104</v>
      </c>
      <c r="E432" s="9">
        <v>40714</v>
      </c>
      <c r="F432" s="17">
        <f>IF(MONTH(Table1[[#This Row],[Loss date]])&lt;Policy_Inception_Month,YEAR(Table1[[#This Row],[Loss date]])-1,YEAR(Table1[[#This Row],[Loss date]]))</f>
        <v>2009</v>
      </c>
      <c r="G432" s="10" t="s">
        <v>125</v>
      </c>
      <c r="H432" s="10" t="s">
        <v>2</v>
      </c>
      <c r="I432" s="11">
        <v>11254.791085535673</v>
      </c>
      <c r="J432" s="11">
        <v>0</v>
      </c>
      <c r="K432" s="11">
        <v>11254.791085535673</v>
      </c>
      <c r="L432" s="12">
        <v>0</v>
      </c>
      <c r="M432" s="12">
        <v>0</v>
      </c>
      <c r="N432" s="12">
        <v>11254.791085535673</v>
      </c>
      <c r="O432" s="70">
        <f>IF(Table1[[#This Row],[Overall amount]]=0,0,1)</f>
        <v>1</v>
      </c>
      <c r="P432" s="70">
        <f>Table1[[#This Row],[Overall amount]]*Exchange_Rate</f>
        <v>11254.791085535673</v>
      </c>
      <c r="Q432" s="70">
        <f>Table1[[#This Row],[Overall (destination currency)]]*(1+Claims_Inflation)^((Revalue_at_date-Table1[[#This Row],[Loss date]])/365.25)</f>
        <v>15047.279999999999</v>
      </c>
      <c r="R432" s="70">
        <f>INT(Table1[[#This Row],[Reporting date]])-INT(Table1[[#This Row],[Loss date]])</f>
        <v>610</v>
      </c>
      <c r="S432" s="69" t="s">
        <v>9</v>
      </c>
      <c r="T432" s="70">
        <f>VLOOKUP(Table1[[#This Row],[Policy Year]],exposure_table,3,FALSE)</f>
        <v>760.22808576000011</v>
      </c>
      <c r="U432" s="17">
        <f>IF(MONTH(Table1[[#This Row],[Reporting date]])&lt;Policy_Inception_Month,YEAR(Table1[[#This Row],[Reporting date]])-1,YEAR(Table1[[#This Row],[Reporting date]]))</f>
        <v>2011</v>
      </c>
      <c r="V432" s="17">
        <f>Table1[[#This Row],[Reporting year]]-Table1[[#This Row],[Policy Year]]</f>
        <v>2</v>
      </c>
      <c r="W432" s="17">
        <f>INT(Table1[[#This Row],[Reporting date]])-INT(Table1[[#This Row],[Loss date]])</f>
        <v>610</v>
      </c>
      <c r="X432" s="17">
        <f>INT((YEAR(Table1[[#This Row],[Loss date]])*12+MONTH(Table1[[#This Row],[Loss date]])-Earliest_Month)/4)</f>
        <v>13</v>
      </c>
      <c r="Y432" s="17">
        <f>INT((YEAR(Table1[[#This Row],[Reporting date]])*12+MONTH(Table1[[#This Row],[Reporting date]])-Earliest_Month)/4)</f>
        <v>18</v>
      </c>
      <c r="Z432" s="17">
        <f>Table1[[#This Row],[Reporting third]]-Table1[[#This Row],[Policy third]]</f>
        <v>5</v>
      </c>
      <c r="AA432" s="71">
        <f>IF(Table1[[#This Row],[Overall amount]]=0,"N/A",Table1[[#This Row],[Outstanding]]/Table1[[#This Row],[Overall amount]])</f>
        <v>0</v>
      </c>
      <c r="AB432" s="17">
        <f>IF(MONTH(Table1[[#This Row],[Loss date]])&lt;Pol_Inc_Month_Shifted,YEAR(Table1[[#This Row],[Loss date]])-1,YEAR(Table1[[#This Row],[Loss date]]))</f>
        <v>2008</v>
      </c>
      <c r="AC432" s="17">
        <f>IF(MONTH(Table1[[#This Row],[Reporting date]])&lt;Pol_Inc_Month_Shifted,YEAR(Table1[[#This Row],[Reporting date]])-1,YEAR(Table1[[#This Row],[Reporting date]]))</f>
        <v>2010</v>
      </c>
      <c r="AD432" s="17">
        <f>Table1[[#This Row],[Reporting year (shifted)]]-Table1[[#This Row],[Policy Year (shifted)]]</f>
        <v>2</v>
      </c>
    </row>
    <row r="433" spans="1:30" ht="13.9">
      <c r="A433" s="8" t="s">
        <v>2203</v>
      </c>
      <c r="B433" s="8" t="s">
        <v>485</v>
      </c>
      <c r="C433" s="8" t="s">
        <v>123</v>
      </c>
      <c r="D433" s="9">
        <v>39248</v>
      </c>
      <c r="E433" s="9">
        <v>40410</v>
      </c>
      <c r="F433" s="17">
        <f>IF(MONTH(Table1[[#This Row],[Loss date]])&lt;Policy_Inception_Month,YEAR(Table1[[#This Row],[Loss date]])-1,YEAR(Table1[[#This Row],[Loss date]]))</f>
        <v>2007</v>
      </c>
      <c r="G433" s="10" t="s">
        <v>125</v>
      </c>
      <c r="H433" s="10" t="s">
        <v>2</v>
      </c>
      <c r="I433" s="11">
        <v>21792.294399443923</v>
      </c>
      <c r="J433" s="11">
        <v>0</v>
      </c>
      <c r="K433" s="11">
        <v>21792.294399443923</v>
      </c>
      <c r="L433" s="12">
        <v>0</v>
      </c>
      <c r="M433" s="12">
        <v>0</v>
      </c>
      <c r="N433" s="12">
        <v>21792.294399443923</v>
      </c>
      <c r="O433" s="70">
        <f>IF(Table1[[#This Row],[Overall amount]]=0,0,1)</f>
        <v>1</v>
      </c>
      <c r="P433" s="70">
        <f>Table1[[#This Row],[Overall amount]]*Exchange_Rate</f>
        <v>21792.294399443923</v>
      </c>
      <c r="Q433" s="70">
        <f>Table1[[#This Row],[Overall (destination currency)]]*(1+Claims_Inflation)^((Revalue_at_date-Table1[[#This Row],[Loss date]])/365.25)</f>
        <v>32665.007999999994</v>
      </c>
      <c r="R433" s="70">
        <f>INT(Table1[[#This Row],[Reporting date]])-INT(Table1[[#This Row],[Loss date]])</f>
        <v>1162</v>
      </c>
      <c r="S433" s="69" t="s">
        <v>9</v>
      </c>
      <c r="T433" s="70">
        <f>VLOOKUP(Table1[[#This Row],[Policy Year]],exposure_table,3,FALSE)</f>
        <v>547.7736362475523</v>
      </c>
      <c r="U433" s="17">
        <f>IF(MONTH(Table1[[#This Row],[Reporting date]])&lt;Policy_Inception_Month,YEAR(Table1[[#This Row],[Reporting date]])-1,YEAR(Table1[[#This Row],[Reporting date]]))</f>
        <v>2010</v>
      </c>
      <c r="V433" s="17">
        <f>Table1[[#This Row],[Reporting year]]-Table1[[#This Row],[Policy Year]]</f>
        <v>3</v>
      </c>
      <c r="W433" s="17">
        <f>INT(Table1[[#This Row],[Reporting date]])-INT(Table1[[#This Row],[Loss date]])</f>
        <v>1162</v>
      </c>
      <c r="X433" s="17">
        <f>INT((YEAR(Table1[[#This Row],[Loss date]])*12+MONTH(Table1[[#This Row],[Loss date]])-Earliest_Month)/4)</f>
        <v>6</v>
      </c>
      <c r="Y433" s="17">
        <f>INT((YEAR(Table1[[#This Row],[Reporting date]])*12+MONTH(Table1[[#This Row],[Reporting date]])-Earliest_Month)/4)</f>
        <v>16</v>
      </c>
      <c r="Z433" s="17">
        <f>Table1[[#This Row],[Reporting third]]-Table1[[#This Row],[Policy third]]</f>
        <v>10</v>
      </c>
      <c r="AA433" s="71">
        <f>IF(Table1[[#This Row],[Overall amount]]=0,"N/A",Table1[[#This Row],[Outstanding]]/Table1[[#This Row],[Overall amount]])</f>
        <v>0</v>
      </c>
      <c r="AB433" s="17">
        <f>IF(MONTH(Table1[[#This Row],[Loss date]])&lt;Pol_Inc_Month_Shifted,YEAR(Table1[[#This Row],[Loss date]])-1,YEAR(Table1[[#This Row],[Loss date]]))</f>
        <v>2006</v>
      </c>
      <c r="AC433" s="17">
        <f>IF(MONTH(Table1[[#This Row],[Reporting date]])&lt;Pol_Inc_Month_Shifted,YEAR(Table1[[#This Row],[Reporting date]])-1,YEAR(Table1[[#This Row],[Reporting date]]))</f>
        <v>2009</v>
      </c>
      <c r="AD433" s="17">
        <f>Table1[[#This Row],[Reporting year (shifted)]]-Table1[[#This Row],[Policy Year (shifted)]]</f>
        <v>3</v>
      </c>
    </row>
    <row r="434" spans="1:30" ht="13.9">
      <c r="A434" s="8" t="s">
        <v>2204</v>
      </c>
      <c r="B434" s="8" t="s">
        <v>486</v>
      </c>
      <c r="C434" s="8" t="s">
        <v>123</v>
      </c>
      <c r="D434" s="9">
        <v>39110</v>
      </c>
      <c r="E434" s="9">
        <v>39310</v>
      </c>
      <c r="F434" s="17">
        <f>IF(MONTH(Table1[[#This Row],[Loss date]])&lt;Policy_Inception_Month,YEAR(Table1[[#This Row],[Loss date]])-1,YEAR(Table1[[#This Row],[Loss date]]))</f>
        <v>2006</v>
      </c>
      <c r="G434" s="10" t="s">
        <v>125</v>
      </c>
      <c r="H434" s="10" t="s">
        <v>2</v>
      </c>
      <c r="I434" s="11">
        <v>28370.67170043413</v>
      </c>
      <c r="J434" s="11">
        <v>0</v>
      </c>
      <c r="K434" s="11">
        <v>28370.67170043413</v>
      </c>
      <c r="L434" s="12">
        <v>0</v>
      </c>
      <c r="M434" s="12">
        <v>0</v>
      </c>
      <c r="N434" s="12">
        <v>28370.67170043413</v>
      </c>
      <c r="O434" s="70">
        <f>IF(Table1[[#This Row],[Overall amount]]=0,0,1)</f>
        <v>1</v>
      </c>
      <c r="P434" s="70">
        <f>Table1[[#This Row],[Overall amount]]*Exchange_Rate</f>
        <v>28370.67170043413</v>
      </c>
      <c r="Q434" s="70">
        <f>Table1[[#This Row],[Overall (destination currency)]]*(1+Claims_Inflation)^((Revalue_at_date-Table1[[#This Row],[Loss date]])/365.25)</f>
        <v>43316.687999999995</v>
      </c>
      <c r="R434" s="70">
        <f>INT(Table1[[#This Row],[Reporting date]])-INT(Table1[[#This Row],[Loss date]])</f>
        <v>200</v>
      </c>
      <c r="S434" s="69" t="s">
        <v>9</v>
      </c>
      <c r="T434" s="70">
        <f>VLOOKUP(Table1[[#This Row],[Policy Year]],exposure_table,3,FALSE)</f>
        <v>483.32023209000977</v>
      </c>
      <c r="U434" s="17">
        <f>IF(MONTH(Table1[[#This Row],[Reporting date]])&lt;Policy_Inception_Month,YEAR(Table1[[#This Row],[Reporting date]])-1,YEAR(Table1[[#This Row],[Reporting date]]))</f>
        <v>2007</v>
      </c>
      <c r="V434" s="17">
        <f>Table1[[#This Row],[Reporting year]]-Table1[[#This Row],[Policy Year]]</f>
        <v>1</v>
      </c>
      <c r="W434" s="17">
        <f>INT(Table1[[#This Row],[Reporting date]])-INT(Table1[[#This Row],[Loss date]])</f>
        <v>200</v>
      </c>
      <c r="X434" s="17">
        <f>INT((YEAR(Table1[[#This Row],[Loss date]])*12+MONTH(Table1[[#This Row],[Loss date]])-Earliest_Month)/4)</f>
        <v>5</v>
      </c>
      <c r="Y434" s="17">
        <f>INT((YEAR(Table1[[#This Row],[Reporting date]])*12+MONTH(Table1[[#This Row],[Reporting date]])-Earliest_Month)/4)</f>
        <v>7</v>
      </c>
      <c r="Z434" s="17">
        <f>Table1[[#This Row],[Reporting third]]-Table1[[#This Row],[Policy third]]</f>
        <v>2</v>
      </c>
      <c r="AA434" s="71">
        <f>IF(Table1[[#This Row],[Overall amount]]=0,"N/A",Table1[[#This Row],[Outstanding]]/Table1[[#This Row],[Overall amount]])</f>
        <v>0</v>
      </c>
      <c r="AB434" s="17">
        <f>IF(MONTH(Table1[[#This Row],[Loss date]])&lt;Pol_Inc_Month_Shifted,YEAR(Table1[[#This Row],[Loss date]])-1,YEAR(Table1[[#This Row],[Loss date]]))</f>
        <v>2006</v>
      </c>
      <c r="AC434" s="17">
        <f>IF(MONTH(Table1[[#This Row],[Reporting date]])&lt;Pol_Inc_Month_Shifted,YEAR(Table1[[#This Row],[Reporting date]])-1,YEAR(Table1[[#This Row],[Reporting date]]))</f>
        <v>2006</v>
      </c>
      <c r="AD434" s="17">
        <f>Table1[[#This Row],[Reporting year (shifted)]]-Table1[[#This Row],[Policy Year (shifted)]]</f>
        <v>0</v>
      </c>
    </row>
    <row r="435" spans="1:30" ht="13.9">
      <c r="A435" s="8" t="s">
        <v>2205</v>
      </c>
      <c r="B435" s="8" t="s">
        <v>487</v>
      </c>
      <c r="C435" s="8" t="s">
        <v>123</v>
      </c>
      <c r="D435" s="9">
        <v>39049</v>
      </c>
      <c r="E435" s="9">
        <v>40286</v>
      </c>
      <c r="F435" s="17">
        <f>IF(MONTH(Table1[[#This Row],[Loss date]])&lt;Policy_Inception_Month,YEAR(Table1[[#This Row],[Loss date]])-1,YEAR(Table1[[#This Row],[Loss date]]))</f>
        <v>2006</v>
      </c>
      <c r="G435" s="10" t="s">
        <v>125</v>
      </c>
      <c r="H435" s="10" t="s">
        <v>2</v>
      </c>
      <c r="I435" s="11">
        <v>16056.133412633319</v>
      </c>
      <c r="J435" s="11">
        <v>0</v>
      </c>
      <c r="K435" s="11">
        <v>16056.133412633319</v>
      </c>
      <c r="L435" s="12">
        <v>0</v>
      </c>
      <c r="M435" s="12">
        <v>1035.0764397353532</v>
      </c>
      <c r="N435" s="12">
        <v>15021.056972897964</v>
      </c>
      <c r="O435" s="70">
        <f>IF(Table1[[#This Row],[Overall amount]]=0,0,1)</f>
        <v>1</v>
      </c>
      <c r="P435" s="70">
        <f>Table1[[#This Row],[Overall amount]]*Exchange_Rate</f>
        <v>15021.056972897964</v>
      </c>
      <c r="Q435" s="70">
        <f>Table1[[#This Row],[Overall (destination currency)]]*(1+Claims_Inflation)^((Revalue_at_date-Table1[[#This Row],[Loss date]])/365.25)</f>
        <v>23121.974592000002</v>
      </c>
      <c r="R435" s="70">
        <f>INT(Table1[[#This Row],[Reporting date]])-INT(Table1[[#This Row],[Loss date]])</f>
        <v>1237</v>
      </c>
      <c r="S435" s="69" t="s">
        <v>9</v>
      </c>
      <c r="T435" s="70">
        <f>VLOOKUP(Table1[[#This Row],[Policy Year]],exposure_table,3,FALSE)</f>
        <v>483.32023209000977</v>
      </c>
      <c r="U435" s="17">
        <f>IF(MONTH(Table1[[#This Row],[Reporting date]])&lt;Policy_Inception_Month,YEAR(Table1[[#This Row],[Reporting date]])-1,YEAR(Table1[[#This Row],[Reporting date]]))</f>
        <v>2010</v>
      </c>
      <c r="V435" s="17">
        <f>Table1[[#This Row],[Reporting year]]-Table1[[#This Row],[Policy Year]]</f>
        <v>4</v>
      </c>
      <c r="W435" s="17">
        <f>INT(Table1[[#This Row],[Reporting date]])-INT(Table1[[#This Row],[Loss date]])</f>
        <v>1237</v>
      </c>
      <c r="X435" s="17">
        <f>INT((YEAR(Table1[[#This Row],[Loss date]])*12+MONTH(Table1[[#This Row],[Loss date]])-Earliest_Month)/4)</f>
        <v>4</v>
      </c>
      <c r="Y435" s="17">
        <f>INT((YEAR(Table1[[#This Row],[Reporting date]])*12+MONTH(Table1[[#This Row],[Reporting date]])-Earliest_Month)/4)</f>
        <v>15</v>
      </c>
      <c r="Z435" s="17">
        <f>Table1[[#This Row],[Reporting third]]-Table1[[#This Row],[Policy third]]</f>
        <v>11</v>
      </c>
      <c r="AA435" s="71">
        <f>IF(Table1[[#This Row],[Overall amount]]=0,"N/A",Table1[[#This Row],[Outstanding]]/Table1[[#This Row],[Overall amount]])</f>
        <v>0</v>
      </c>
      <c r="AB435" s="17">
        <f>IF(MONTH(Table1[[#This Row],[Loss date]])&lt;Pol_Inc_Month_Shifted,YEAR(Table1[[#This Row],[Loss date]])-1,YEAR(Table1[[#This Row],[Loss date]]))</f>
        <v>2005</v>
      </c>
      <c r="AC435" s="17">
        <f>IF(MONTH(Table1[[#This Row],[Reporting date]])&lt;Pol_Inc_Month_Shifted,YEAR(Table1[[#This Row],[Reporting date]])-1,YEAR(Table1[[#This Row],[Reporting date]]))</f>
        <v>2009</v>
      </c>
      <c r="AD435" s="17">
        <f>Table1[[#This Row],[Reporting year (shifted)]]-Table1[[#This Row],[Policy Year (shifted)]]</f>
        <v>4</v>
      </c>
    </row>
    <row r="436" spans="1:30" ht="13.9">
      <c r="A436" s="8" t="s">
        <v>2206</v>
      </c>
      <c r="B436" s="8" t="s">
        <v>488</v>
      </c>
      <c r="C436" s="8" t="s">
        <v>123</v>
      </c>
      <c r="D436" s="9">
        <v>40501</v>
      </c>
      <c r="E436" s="9">
        <v>40697</v>
      </c>
      <c r="F436" s="17">
        <f>IF(MONTH(Table1[[#This Row],[Loss date]])&lt;Policy_Inception_Month,YEAR(Table1[[#This Row],[Loss date]])-1,YEAR(Table1[[#This Row],[Loss date]]))</f>
        <v>2010</v>
      </c>
      <c r="G436" s="10" t="s">
        <v>125</v>
      </c>
      <c r="H436" s="10" t="s">
        <v>2</v>
      </c>
      <c r="I436" s="11">
        <v>19462.444228879278</v>
      </c>
      <c r="J436" s="11">
        <v>0</v>
      </c>
      <c r="K436" s="11">
        <v>19462.444228879278</v>
      </c>
      <c r="L436" s="12">
        <v>0</v>
      </c>
      <c r="M436" s="12">
        <v>0</v>
      </c>
      <c r="N436" s="12">
        <v>19462.444228879278</v>
      </c>
      <c r="O436" s="70">
        <f>IF(Table1[[#This Row],[Overall amount]]=0,0,1)</f>
        <v>1</v>
      </c>
      <c r="P436" s="70">
        <f>Table1[[#This Row],[Overall amount]]*Exchange_Rate</f>
        <v>19462.444228879278</v>
      </c>
      <c r="Q436" s="70">
        <f>Table1[[#This Row],[Overall (destination currency)]]*(1+Claims_Inflation)^((Revalue_at_date-Table1[[#This Row],[Loss date]])/365.25)</f>
        <v>24676.68</v>
      </c>
      <c r="R436" s="70">
        <f>INT(Table1[[#This Row],[Reporting date]])-INT(Table1[[#This Row],[Loss date]])</f>
        <v>196</v>
      </c>
      <c r="S436" s="69" t="s">
        <v>9</v>
      </c>
      <c r="T436" s="70">
        <f>VLOOKUP(Table1[[#This Row],[Policy Year]],exposure_table,3,FALSE)</f>
        <v>837.11513600000012</v>
      </c>
      <c r="U436" s="17">
        <f>IF(MONTH(Table1[[#This Row],[Reporting date]])&lt;Policy_Inception_Month,YEAR(Table1[[#This Row],[Reporting date]])-1,YEAR(Table1[[#This Row],[Reporting date]]))</f>
        <v>2011</v>
      </c>
      <c r="V436" s="17">
        <f>Table1[[#This Row],[Reporting year]]-Table1[[#This Row],[Policy Year]]</f>
        <v>1</v>
      </c>
      <c r="W436" s="17">
        <f>INT(Table1[[#This Row],[Reporting date]])-INT(Table1[[#This Row],[Loss date]])</f>
        <v>196</v>
      </c>
      <c r="X436" s="17">
        <f>INT((YEAR(Table1[[#This Row],[Loss date]])*12+MONTH(Table1[[#This Row],[Loss date]])-Earliest_Month)/4)</f>
        <v>16</v>
      </c>
      <c r="Y436" s="17">
        <f>INT((YEAR(Table1[[#This Row],[Reporting date]])*12+MONTH(Table1[[#This Row],[Reporting date]])-Earliest_Month)/4)</f>
        <v>18</v>
      </c>
      <c r="Z436" s="17">
        <f>Table1[[#This Row],[Reporting third]]-Table1[[#This Row],[Policy third]]</f>
        <v>2</v>
      </c>
      <c r="AA436" s="71">
        <f>IF(Table1[[#This Row],[Overall amount]]=0,"N/A",Table1[[#This Row],[Outstanding]]/Table1[[#This Row],[Overall amount]])</f>
        <v>0</v>
      </c>
      <c r="AB436" s="17">
        <f>IF(MONTH(Table1[[#This Row],[Loss date]])&lt;Pol_Inc_Month_Shifted,YEAR(Table1[[#This Row],[Loss date]])-1,YEAR(Table1[[#This Row],[Loss date]]))</f>
        <v>2009</v>
      </c>
      <c r="AC436" s="17">
        <f>IF(MONTH(Table1[[#This Row],[Reporting date]])&lt;Pol_Inc_Month_Shifted,YEAR(Table1[[#This Row],[Reporting date]])-1,YEAR(Table1[[#This Row],[Reporting date]]))</f>
        <v>2010</v>
      </c>
      <c r="AD436" s="17">
        <f>Table1[[#This Row],[Reporting year (shifted)]]-Table1[[#This Row],[Policy Year (shifted)]]</f>
        <v>1</v>
      </c>
    </row>
    <row r="437" spans="1:30" ht="13.9">
      <c r="A437" s="8" t="s">
        <v>2207</v>
      </c>
      <c r="B437" s="8" t="s">
        <v>489</v>
      </c>
      <c r="C437" s="8" t="s">
        <v>123</v>
      </c>
      <c r="D437" s="9">
        <v>40433</v>
      </c>
      <c r="E437" s="9">
        <v>40533</v>
      </c>
      <c r="F437" s="17">
        <f>IF(MONTH(Table1[[#This Row],[Loss date]])&lt;Policy_Inception_Month,YEAR(Table1[[#This Row],[Loss date]])-1,YEAR(Table1[[#This Row],[Loss date]]))</f>
        <v>2010</v>
      </c>
      <c r="G437" s="10" t="s">
        <v>126</v>
      </c>
      <c r="H437" s="10" t="s">
        <v>2</v>
      </c>
      <c r="I437" s="11">
        <v>43552.615941292737</v>
      </c>
      <c r="J437" s="11">
        <v>0</v>
      </c>
      <c r="K437" s="11">
        <v>43552.615941292737</v>
      </c>
      <c r="L437" s="12">
        <v>0</v>
      </c>
      <c r="M437" s="12">
        <v>0</v>
      </c>
      <c r="N437" s="12">
        <v>43552.615941292737</v>
      </c>
      <c r="O437" s="70">
        <f>IF(Table1[[#This Row],[Overall amount]]=0,0,1)</f>
        <v>1</v>
      </c>
      <c r="P437" s="70">
        <f>Table1[[#This Row],[Overall amount]]*Exchange_Rate</f>
        <v>43552.615941292737</v>
      </c>
      <c r="Q437" s="70">
        <f>Table1[[#This Row],[Overall (destination currency)]]*(1+Claims_Inflation)^((Revalue_at_date-Table1[[#This Row],[Loss date]])/365.25)</f>
        <v>55724.795999999995</v>
      </c>
      <c r="R437" s="70">
        <f>INT(Table1[[#This Row],[Reporting date]])-INT(Table1[[#This Row],[Loss date]])</f>
        <v>100</v>
      </c>
      <c r="S437" s="69" t="s">
        <v>9</v>
      </c>
      <c r="T437" s="70">
        <f>VLOOKUP(Table1[[#This Row],[Policy Year]],exposure_table,3,FALSE)</f>
        <v>837.11513600000012</v>
      </c>
      <c r="U437" s="17">
        <f>IF(MONTH(Table1[[#This Row],[Reporting date]])&lt;Policy_Inception_Month,YEAR(Table1[[#This Row],[Reporting date]])-1,YEAR(Table1[[#This Row],[Reporting date]]))</f>
        <v>2010</v>
      </c>
      <c r="V437" s="17">
        <f>Table1[[#This Row],[Reporting year]]-Table1[[#This Row],[Policy Year]]</f>
        <v>0</v>
      </c>
      <c r="W437" s="17">
        <f>INT(Table1[[#This Row],[Reporting date]])-INT(Table1[[#This Row],[Loss date]])</f>
        <v>100</v>
      </c>
      <c r="X437" s="17">
        <f>INT((YEAR(Table1[[#This Row],[Loss date]])*12+MONTH(Table1[[#This Row],[Loss date]])-Earliest_Month)/4)</f>
        <v>16</v>
      </c>
      <c r="Y437" s="17">
        <f>INT((YEAR(Table1[[#This Row],[Reporting date]])*12+MONTH(Table1[[#This Row],[Reporting date]])-Earliest_Month)/4)</f>
        <v>17</v>
      </c>
      <c r="Z437" s="17">
        <f>Table1[[#This Row],[Reporting third]]-Table1[[#This Row],[Policy third]]</f>
        <v>1</v>
      </c>
      <c r="AA437" s="71">
        <f>IF(Table1[[#This Row],[Overall amount]]=0,"N/A",Table1[[#This Row],[Outstanding]]/Table1[[#This Row],[Overall amount]])</f>
        <v>0</v>
      </c>
      <c r="AB437" s="17">
        <f>IF(MONTH(Table1[[#This Row],[Loss date]])&lt;Pol_Inc_Month_Shifted,YEAR(Table1[[#This Row],[Loss date]])-1,YEAR(Table1[[#This Row],[Loss date]]))</f>
        <v>2009</v>
      </c>
      <c r="AC437" s="17">
        <f>IF(MONTH(Table1[[#This Row],[Reporting date]])&lt;Pol_Inc_Month_Shifted,YEAR(Table1[[#This Row],[Reporting date]])-1,YEAR(Table1[[#This Row],[Reporting date]]))</f>
        <v>2010</v>
      </c>
      <c r="AD437" s="17">
        <f>Table1[[#This Row],[Reporting year (shifted)]]-Table1[[#This Row],[Policy Year (shifted)]]</f>
        <v>1</v>
      </c>
    </row>
    <row r="438" spans="1:30" ht="13.9">
      <c r="A438" s="8" t="s">
        <v>2208</v>
      </c>
      <c r="B438" s="8" t="s">
        <v>490</v>
      </c>
      <c r="C438" s="8" t="s">
        <v>123</v>
      </c>
      <c r="D438" s="9">
        <v>40923</v>
      </c>
      <c r="E438" s="9">
        <v>40937</v>
      </c>
      <c r="F438" s="17">
        <f>IF(MONTH(Table1[[#This Row],[Loss date]])&lt;Policy_Inception_Month,YEAR(Table1[[#This Row],[Loss date]])-1,YEAR(Table1[[#This Row],[Loss date]]))</f>
        <v>2011</v>
      </c>
      <c r="G438" s="10" t="s">
        <v>126</v>
      </c>
      <c r="H438" s="10" t="s">
        <v>2</v>
      </c>
      <c r="I438" s="11">
        <v>1590.598841052001</v>
      </c>
      <c r="J438" s="11">
        <v>0</v>
      </c>
      <c r="K438" s="11">
        <v>1590.598841052001</v>
      </c>
      <c r="L438" s="12">
        <v>0</v>
      </c>
      <c r="M438" s="12">
        <v>0</v>
      </c>
      <c r="N438" s="12">
        <v>1590.598841052001</v>
      </c>
      <c r="O438" s="70">
        <f>IF(Table1[[#This Row],[Overall amount]]=0,0,1)</f>
        <v>1</v>
      </c>
      <c r="P438" s="70">
        <f>Table1[[#This Row],[Overall amount]]*Exchange_Rate</f>
        <v>1590.598841052001</v>
      </c>
      <c r="Q438" s="70">
        <f>Table1[[#This Row],[Overall (destination currency)]]*(1+Claims_Inflation)^((Revalue_at_date-Table1[[#This Row],[Loss date]])/365.25)</f>
        <v>1906.1999999999996</v>
      </c>
      <c r="R438" s="70">
        <f>INT(Table1[[#This Row],[Reporting date]])-INT(Table1[[#This Row],[Loss date]])</f>
        <v>14</v>
      </c>
      <c r="S438" s="69" t="s">
        <v>9</v>
      </c>
      <c r="T438" s="70">
        <f>VLOOKUP(Table1[[#This Row],[Policy Year]],exposure_table,3,FALSE)</f>
        <v>870.52680000000009</v>
      </c>
      <c r="U438" s="17">
        <f>IF(MONTH(Table1[[#This Row],[Reporting date]])&lt;Policy_Inception_Month,YEAR(Table1[[#This Row],[Reporting date]])-1,YEAR(Table1[[#This Row],[Reporting date]]))</f>
        <v>2011</v>
      </c>
      <c r="V438" s="17">
        <f>Table1[[#This Row],[Reporting year]]-Table1[[#This Row],[Policy Year]]</f>
        <v>0</v>
      </c>
      <c r="W438" s="17">
        <f>INT(Table1[[#This Row],[Reporting date]])-INT(Table1[[#This Row],[Loss date]])</f>
        <v>14</v>
      </c>
      <c r="X438" s="17">
        <f>INT((YEAR(Table1[[#This Row],[Loss date]])*12+MONTH(Table1[[#This Row],[Loss date]])-Earliest_Month)/4)</f>
        <v>20</v>
      </c>
      <c r="Y438" s="17">
        <f>INT((YEAR(Table1[[#This Row],[Reporting date]])*12+MONTH(Table1[[#This Row],[Reporting date]])-Earliest_Month)/4)</f>
        <v>20</v>
      </c>
      <c r="Z438" s="17">
        <f>Table1[[#This Row],[Reporting third]]-Table1[[#This Row],[Policy third]]</f>
        <v>0</v>
      </c>
      <c r="AA438" s="71">
        <f>IF(Table1[[#This Row],[Overall amount]]=0,"N/A",Table1[[#This Row],[Outstanding]]/Table1[[#This Row],[Overall amount]])</f>
        <v>0</v>
      </c>
      <c r="AB438" s="17">
        <f>IF(MONTH(Table1[[#This Row],[Loss date]])&lt;Pol_Inc_Month_Shifted,YEAR(Table1[[#This Row],[Loss date]])-1,YEAR(Table1[[#This Row],[Loss date]]))</f>
        <v>2011</v>
      </c>
      <c r="AC438" s="17">
        <f>IF(MONTH(Table1[[#This Row],[Reporting date]])&lt;Pol_Inc_Month_Shifted,YEAR(Table1[[#This Row],[Reporting date]])-1,YEAR(Table1[[#This Row],[Reporting date]]))</f>
        <v>2011</v>
      </c>
      <c r="AD438" s="17">
        <f>Table1[[#This Row],[Reporting year (shifted)]]-Table1[[#This Row],[Policy Year (shifted)]]</f>
        <v>0</v>
      </c>
    </row>
    <row r="439" spans="1:30" ht="13.9">
      <c r="A439" s="8" t="s">
        <v>2209</v>
      </c>
      <c r="B439" s="8" t="s">
        <v>491</v>
      </c>
      <c r="C439" s="8" t="s">
        <v>123</v>
      </c>
      <c r="D439" s="9">
        <v>40125</v>
      </c>
      <c r="E439" s="9">
        <v>40727</v>
      </c>
      <c r="F439" s="17">
        <f>IF(MONTH(Table1[[#This Row],[Loss date]])&lt;Policy_Inception_Month,YEAR(Table1[[#This Row],[Loss date]])-1,YEAR(Table1[[#This Row],[Loss date]]))</f>
        <v>2009</v>
      </c>
      <c r="G439" s="10" t="s">
        <v>125</v>
      </c>
      <c r="H439" s="10" t="s">
        <v>2</v>
      </c>
      <c r="I439" s="11">
        <v>11154.249078018671</v>
      </c>
      <c r="J439" s="11">
        <v>35372.455499073993</v>
      </c>
      <c r="K439" s="11">
        <v>46526.704577092663</v>
      </c>
      <c r="L439" s="12">
        <v>135.01133031347015</v>
      </c>
      <c r="M439" s="12">
        <v>2613.0560908147436</v>
      </c>
      <c r="N439" s="12">
        <v>44048.659816591389</v>
      </c>
      <c r="O439" s="70">
        <f>IF(Table1[[#This Row],[Overall amount]]=0,0,1)</f>
        <v>1</v>
      </c>
      <c r="P439" s="70">
        <f>Table1[[#This Row],[Overall amount]]*Exchange_Rate</f>
        <v>44048.659816591389</v>
      </c>
      <c r="Q439" s="70">
        <f>Table1[[#This Row],[Overall (destination currency)]]*(1+Claims_Inflation)^((Revalue_at_date-Table1[[#This Row],[Loss date]])/365.25)</f>
        <v>58726.617600000005</v>
      </c>
      <c r="R439" s="70">
        <f>INT(Table1[[#This Row],[Reporting date]])-INT(Table1[[#This Row],[Loss date]])</f>
        <v>602</v>
      </c>
      <c r="S439" s="69" t="s">
        <v>16</v>
      </c>
      <c r="T439" s="70">
        <f>VLOOKUP(Table1[[#This Row],[Policy Year]],exposure_table,3,FALSE)</f>
        <v>760.22808576000011</v>
      </c>
      <c r="U439" s="17">
        <f>IF(MONTH(Table1[[#This Row],[Reporting date]])&lt;Policy_Inception_Month,YEAR(Table1[[#This Row],[Reporting date]])-1,YEAR(Table1[[#This Row],[Reporting date]]))</f>
        <v>2011</v>
      </c>
      <c r="V439" s="17">
        <f>Table1[[#This Row],[Reporting year]]-Table1[[#This Row],[Policy Year]]</f>
        <v>2</v>
      </c>
      <c r="W439" s="17">
        <f>INT(Table1[[#This Row],[Reporting date]])-INT(Table1[[#This Row],[Loss date]])</f>
        <v>602</v>
      </c>
      <c r="X439" s="17">
        <f>INT((YEAR(Table1[[#This Row],[Loss date]])*12+MONTH(Table1[[#This Row],[Loss date]])-Earliest_Month)/4)</f>
        <v>13</v>
      </c>
      <c r="Y439" s="17">
        <f>INT((YEAR(Table1[[#This Row],[Reporting date]])*12+MONTH(Table1[[#This Row],[Reporting date]])-Earliest_Month)/4)</f>
        <v>18</v>
      </c>
      <c r="Z439" s="17">
        <f>Table1[[#This Row],[Reporting third]]-Table1[[#This Row],[Policy third]]</f>
        <v>5</v>
      </c>
      <c r="AA439" s="71">
        <f>IF(Table1[[#This Row],[Overall amount]]=0,"N/A",Table1[[#This Row],[Outstanding]]/Table1[[#This Row],[Overall amount]])</f>
        <v>0.80303136681925991</v>
      </c>
      <c r="AB439" s="17">
        <f>IF(MONTH(Table1[[#This Row],[Loss date]])&lt;Pol_Inc_Month_Shifted,YEAR(Table1[[#This Row],[Loss date]])-1,YEAR(Table1[[#This Row],[Loss date]]))</f>
        <v>2008</v>
      </c>
      <c r="AC439" s="17">
        <f>IF(MONTH(Table1[[#This Row],[Reporting date]])&lt;Pol_Inc_Month_Shifted,YEAR(Table1[[#This Row],[Reporting date]])-1,YEAR(Table1[[#This Row],[Reporting date]]))</f>
        <v>2010</v>
      </c>
      <c r="AD439" s="17">
        <f>Table1[[#This Row],[Reporting year (shifted)]]-Table1[[#This Row],[Policy Year (shifted)]]</f>
        <v>2</v>
      </c>
    </row>
    <row r="440" spans="1:30" ht="13.9">
      <c r="A440" s="8" t="s">
        <v>2210</v>
      </c>
      <c r="B440" s="8" t="s">
        <v>492</v>
      </c>
      <c r="C440" s="8" t="s">
        <v>123</v>
      </c>
      <c r="D440" s="9">
        <v>40189</v>
      </c>
      <c r="E440" s="9">
        <v>40942</v>
      </c>
      <c r="F440" s="17">
        <f>IF(MONTH(Table1[[#This Row],[Loss date]])&lt;Policy_Inception_Month,YEAR(Table1[[#This Row],[Loss date]])-1,YEAR(Table1[[#This Row],[Loss date]]))</f>
        <v>2009</v>
      </c>
      <c r="G440" s="10" t="s">
        <v>125</v>
      </c>
      <c r="H440" s="10" t="s">
        <v>2</v>
      </c>
      <c r="I440" s="11">
        <v>3026.0718076750472</v>
      </c>
      <c r="J440" s="11">
        <v>1026.3625084770529</v>
      </c>
      <c r="K440" s="11">
        <v>4052.4343161520997</v>
      </c>
      <c r="L440" s="12">
        <v>0</v>
      </c>
      <c r="M440" s="12">
        <v>0</v>
      </c>
      <c r="N440" s="12">
        <v>4052.4343161520997</v>
      </c>
      <c r="O440" s="70">
        <f>IF(Table1[[#This Row],[Overall amount]]=0,0,1)</f>
        <v>1</v>
      </c>
      <c r="P440" s="70">
        <f>Table1[[#This Row],[Overall amount]]*Exchange_Rate</f>
        <v>4052.4343161520997</v>
      </c>
      <c r="Q440" s="70">
        <f>Table1[[#This Row],[Overall (destination currency)]]*(1+Claims_Inflation)^((Revalue_at_date-Table1[[#This Row],[Loss date]])/365.25)</f>
        <v>5356.8</v>
      </c>
      <c r="R440" s="70">
        <f>INT(Table1[[#This Row],[Reporting date]])-INT(Table1[[#This Row],[Loss date]])</f>
        <v>753</v>
      </c>
      <c r="S440" s="69" t="s">
        <v>16</v>
      </c>
      <c r="T440" s="70">
        <f>VLOOKUP(Table1[[#This Row],[Policy Year]],exposure_table,3,FALSE)</f>
        <v>760.22808576000011</v>
      </c>
      <c r="U440" s="17">
        <f>IF(MONTH(Table1[[#This Row],[Reporting date]])&lt;Policy_Inception_Month,YEAR(Table1[[#This Row],[Reporting date]])-1,YEAR(Table1[[#This Row],[Reporting date]]))</f>
        <v>2011</v>
      </c>
      <c r="V440" s="17">
        <f>Table1[[#This Row],[Reporting year]]-Table1[[#This Row],[Policy Year]]</f>
        <v>2</v>
      </c>
      <c r="W440" s="17">
        <f>INT(Table1[[#This Row],[Reporting date]])-INT(Table1[[#This Row],[Loss date]])</f>
        <v>753</v>
      </c>
      <c r="X440" s="17">
        <f>INT((YEAR(Table1[[#This Row],[Loss date]])*12+MONTH(Table1[[#This Row],[Loss date]])-Earliest_Month)/4)</f>
        <v>14</v>
      </c>
      <c r="Y440" s="17">
        <f>INT((YEAR(Table1[[#This Row],[Reporting date]])*12+MONTH(Table1[[#This Row],[Reporting date]])-Earliest_Month)/4)</f>
        <v>20</v>
      </c>
      <c r="Z440" s="17">
        <f>Table1[[#This Row],[Reporting third]]-Table1[[#This Row],[Policy third]]</f>
        <v>6</v>
      </c>
      <c r="AA440" s="71">
        <f>IF(Table1[[#This Row],[Overall amount]]=0,"N/A",Table1[[#This Row],[Outstanding]]/Table1[[#This Row],[Overall amount]])</f>
        <v>0.25327060931899642</v>
      </c>
      <c r="AB440" s="17">
        <f>IF(MONTH(Table1[[#This Row],[Loss date]])&lt;Pol_Inc_Month_Shifted,YEAR(Table1[[#This Row],[Loss date]])-1,YEAR(Table1[[#This Row],[Loss date]]))</f>
        <v>2009</v>
      </c>
      <c r="AC440" s="17">
        <f>IF(MONTH(Table1[[#This Row],[Reporting date]])&lt;Pol_Inc_Month_Shifted,YEAR(Table1[[#This Row],[Reporting date]])-1,YEAR(Table1[[#This Row],[Reporting date]]))</f>
        <v>2011</v>
      </c>
      <c r="AD440" s="17">
        <f>Table1[[#This Row],[Reporting year (shifted)]]-Table1[[#This Row],[Policy Year (shifted)]]</f>
        <v>2</v>
      </c>
    </row>
    <row r="441" spans="1:30" ht="13.9">
      <c r="A441" s="8" t="s">
        <v>2211</v>
      </c>
      <c r="B441" s="8" t="s">
        <v>493</v>
      </c>
      <c r="C441" s="8" t="s">
        <v>123</v>
      </c>
      <c r="D441" s="9">
        <v>40109</v>
      </c>
      <c r="E441" s="9">
        <v>40393</v>
      </c>
      <c r="F441" s="17">
        <f>IF(MONTH(Table1[[#This Row],[Loss date]])&lt;Policy_Inception_Month,YEAR(Table1[[#This Row],[Loss date]])-1,YEAR(Table1[[#This Row],[Loss date]]))</f>
        <v>2009</v>
      </c>
      <c r="G441" s="10" t="s">
        <v>125</v>
      </c>
      <c r="H441" s="10" t="s">
        <v>2</v>
      </c>
      <c r="I441" s="11">
        <v>38476.301198449648</v>
      </c>
      <c r="J441" s="11">
        <v>2142.7077330619941</v>
      </c>
      <c r="K441" s="11">
        <v>40619.008931511642</v>
      </c>
      <c r="L441" s="12">
        <v>0</v>
      </c>
      <c r="M441" s="12">
        <v>0</v>
      </c>
      <c r="N441" s="12">
        <v>40619.008931511642</v>
      </c>
      <c r="O441" s="70">
        <f>IF(Table1[[#This Row],[Overall amount]]=0,0,1)</f>
        <v>1</v>
      </c>
      <c r="P441" s="70">
        <f>Table1[[#This Row],[Overall amount]]*Exchange_Rate</f>
        <v>40619.008931511642</v>
      </c>
      <c r="Q441" s="70">
        <f>Table1[[#This Row],[Overall (destination currency)]]*(1+Claims_Inflation)^((Revalue_at_date-Table1[[#This Row],[Loss date]])/365.25)</f>
        <v>54270</v>
      </c>
      <c r="R441" s="70">
        <f>INT(Table1[[#This Row],[Reporting date]])-INT(Table1[[#This Row],[Loss date]])</f>
        <v>284</v>
      </c>
      <c r="S441" s="69" t="s">
        <v>16</v>
      </c>
      <c r="T441" s="70">
        <f>VLOOKUP(Table1[[#This Row],[Policy Year]],exposure_table,3,FALSE)</f>
        <v>760.22808576000011</v>
      </c>
      <c r="U441" s="17">
        <f>IF(MONTH(Table1[[#This Row],[Reporting date]])&lt;Policy_Inception_Month,YEAR(Table1[[#This Row],[Reporting date]])-1,YEAR(Table1[[#This Row],[Reporting date]]))</f>
        <v>2010</v>
      </c>
      <c r="V441" s="17">
        <f>Table1[[#This Row],[Reporting year]]-Table1[[#This Row],[Policy Year]]</f>
        <v>1</v>
      </c>
      <c r="W441" s="17">
        <f>INT(Table1[[#This Row],[Reporting date]])-INT(Table1[[#This Row],[Loss date]])</f>
        <v>284</v>
      </c>
      <c r="X441" s="17">
        <f>INT((YEAR(Table1[[#This Row],[Loss date]])*12+MONTH(Table1[[#This Row],[Loss date]])-Earliest_Month)/4)</f>
        <v>13</v>
      </c>
      <c r="Y441" s="17">
        <f>INT((YEAR(Table1[[#This Row],[Reporting date]])*12+MONTH(Table1[[#This Row],[Reporting date]])-Earliest_Month)/4)</f>
        <v>16</v>
      </c>
      <c r="Z441" s="17">
        <f>Table1[[#This Row],[Reporting third]]-Table1[[#This Row],[Policy third]]</f>
        <v>3</v>
      </c>
      <c r="AA441" s="71">
        <f>IF(Table1[[#This Row],[Overall amount]]=0,"N/A",Table1[[#This Row],[Outstanding]]/Table1[[#This Row],[Overall amount]])</f>
        <v>5.2751354339414032E-2</v>
      </c>
      <c r="AB441" s="17">
        <f>IF(MONTH(Table1[[#This Row],[Loss date]])&lt;Pol_Inc_Month_Shifted,YEAR(Table1[[#This Row],[Loss date]])-1,YEAR(Table1[[#This Row],[Loss date]]))</f>
        <v>2008</v>
      </c>
      <c r="AC441" s="17">
        <f>IF(MONTH(Table1[[#This Row],[Reporting date]])&lt;Pol_Inc_Month_Shifted,YEAR(Table1[[#This Row],[Reporting date]])-1,YEAR(Table1[[#This Row],[Reporting date]]))</f>
        <v>2009</v>
      </c>
      <c r="AD441" s="17">
        <f>Table1[[#This Row],[Reporting year (shifted)]]-Table1[[#This Row],[Policy Year (shifted)]]</f>
        <v>1</v>
      </c>
    </row>
    <row r="442" spans="1:30" ht="13.9">
      <c r="A442" s="8" t="s">
        <v>2212</v>
      </c>
      <c r="B442" s="8" t="s">
        <v>494</v>
      </c>
      <c r="C442" s="8" t="s">
        <v>123</v>
      </c>
      <c r="D442" s="9">
        <v>40337</v>
      </c>
      <c r="E442" s="9">
        <v>40488</v>
      </c>
      <c r="F442" s="17">
        <f>IF(MONTH(Table1[[#This Row],[Loss date]])&lt;Policy_Inception_Month,YEAR(Table1[[#This Row],[Loss date]])-1,YEAR(Table1[[#This Row],[Loss date]]))</f>
        <v>2010</v>
      </c>
      <c r="G442" s="10" t="s">
        <v>125</v>
      </c>
      <c r="H442" s="10" t="s">
        <v>2</v>
      </c>
      <c r="I442" s="11">
        <v>42484.350289416965</v>
      </c>
      <c r="J442" s="11">
        <v>820482.51613385289</v>
      </c>
      <c r="K442" s="11">
        <v>862966.86642326973</v>
      </c>
      <c r="L442" s="12">
        <v>0</v>
      </c>
      <c r="M442" s="12">
        <v>25893.172673741254</v>
      </c>
      <c r="N442" s="12">
        <v>837073.69374952849</v>
      </c>
      <c r="O442" s="70">
        <f>IF(Table1[[#This Row],[Overall amount]]=0,0,1)</f>
        <v>1</v>
      </c>
      <c r="P442" s="70">
        <f>Table1[[#This Row],[Overall amount]]*Exchange_Rate</f>
        <v>837073.69374952849</v>
      </c>
      <c r="Q442" s="70">
        <f>Table1[[#This Row],[Overall (destination currency)]]*(1+Claims_Inflation)^((Revalue_at_date-Table1[[#This Row],[Loss date]])/365.25)</f>
        <v>1084843.764</v>
      </c>
      <c r="R442" s="70">
        <f>INT(Table1[[#This Row],[Reporting date]])-INT(Table1[[#This Row],[Loss date]])</f>
        <v>151</v>
      </c>
      <c r="S442" s="69" t="s">
        <v>16</v>
      </c>
      <c r="T442" s="70">
        <f>VLOOKUP(Table1[[#This Row],[Policy Year]],exposure_table,3,FALSE)</f>
        <v>837.11513600000012</v>
      </c>
      <c r="U442" s="17">
        <f>IF(MONTH(Table1[[#This Row],[Reporting date]])&lt;Policy_Inception_Month,YEAR(Table1[[#This Row],[Reporting date]])-1,YEAR(Table1[[#This Row],[Reporting date]]))</f>
        <v>2010</v>
      </c>
      <c r="V442" s="17">
        <f>Table1[[#This Row],[Reporting year]]-Table1[[#This Row],[Policy Year]]</f>
        <v>0</v>
      </c>
      <c r="W442" s="17">
        <f>INT(Table1[[#This Row],[Reporting date]])-INT(Table1[[#This Row],[Loss date]])</f>
        <v>151</v>
      </c>
      <c r="X442" s="17">
        <f>INT((YEAR(Table1[[#This Row],[Loss date]])*12+MONTH(Table1[[#This Row],[Loss date]])-Earliest_Month)/4)</f>
        <v>15</v>
      </c>
      <c r="Y442" s="17">
        <f>INT((YEAR(Table1[[#This Row],[Reporting date]])*12+MONTH(Table1[[#This Row],[Reporting date]])-Earliest_Month)/4)</f>
        <v>16</v>
      </c>
      <c r="Z442" s="17">
        <f>Table1[[#This Row],[Reporting third]]-Table1[[#This Row],[Policy third]]</f>
        <v>1</v>
      </c>
      <c r="AA442" s="71">
        <f>IF(Table1[[#This Row],[Overall amount]]=0,"N/A",Table1[[#This Row],[Outstanding]]/Table1[[#This Row],[Overall amount]])</f>
        <v>0.98017954961485143</v>
      </c>
      <c r="AB442" s="17">
        <f>IF(MONTH(Table1[[#This Row],[Loss date]])&lt;Pol_Inc_Month_Shifted,YEAR(Table1[[#This Row],[Loss date]])-1,YEAR(Table1[[#This Row],[Loss date]]))</f>
        <v>2009</v>
      </c>
      <c r="AC442" s="17">
        <f>IF(MONTH(Table1[[#This Row],[Reporting date]])&lt;Pol_Inc_Month_Shifted,YEAR(Table1[[#This Row],[Reporting date]])-1,YEAR(Table1[[#This Row],[Reporting date]]))</f>
        <v>2009</v>
      </c>
      <c r="AD442" s="17">
        <f>Table1[[#This Row],[Reporting year (shifted)]]-Table1[[#This Row],[Policy Year (shifted)]]</f>
        <v>0</v>
      </c>
    </row>
    <row r="443" spans="1:30" ht="13.9">
      <c r="A443" s="8" t="s">
        <v>2213</v>
      </c>
      <c r="B443" s="8" t="s">
        <v>495</v>
      </c>
      <c r="C443" s="8" t="s">
        <v>123</v>
      </c>
      <c r="D443" s="9">
        <v>39773</v>
      </c>
      <c r="E443" s="9">
        <v>40886</v>
      </c>
      <c r="F443" s="17">
        <f>IF(MONTH(Table1[[#This Row],[Loss date]])&lt;Policy_Inception_Month,YEAR(Table1[[#This Row],[Loss date]])-1,YEAR(Table1[[#This Row],[Loss date]]))</f>
        <v>2008</v>
      </c>
      <c r="G443" s="10" t="s">
        <v>125</v>
      </c>
      <c r="H443" s="10" t="s">
        <v>2</v>
      </c>
      <c r="I443" s="11">
        <v>29364.558846308559</v>
      </c>
      <c r="J443" s="11">
        <v>0</v>
      </c>
      <c r="K443" s="11">
        <v>29364.558846308559</v>
      </c>
      <c r="L443" s="12">
        <v>0</v>
      </c>
      <c r="M443" s="12">
        <v>0</v>
      </c>
      <c r="N443" s="12">
        <v>29364.558846308559</v>
      </c>
      <c r="O443" s="70">
        <f>IF(Table1[[#This Row],[Overall amount]]=0,0,1)</f>
        <v>1</v>
      </c>
      <c r="P443" s="70">
        <f>Table1[[#This Row],[Overall amount]]*Exchange_Rate</f>
        <v>29364.558846308559</v>
      </c>
      <c r="Q443" s="70">
        <f>Table1[[#This Row],[Overall (destination currency)]]*(1+Claims_Inflation)^((Revalue_at_date-Table1[[#This Row],[Loss date]])/365.25)</f>
        <v>41034.239999999998</v>
      </c>
      <c r="R443" s="70">
        <f>INT(Table1[[#This Row],[Reporting date]])-INT(Table1[[#This Row],[Loss date]])</f>
        <v>1113</v>
      </c>
      <c r="S443" s="69" t="s">
        <v>9</v>
      </c>
      <c r="T443" s="70">
        <f>VLOOKUP(Table1[[#This Row],[Policy Year]],exposure_table,3,FALSE)</f>
        <v>601.98581780480015</v>
      </c>
      <c r="U443" s="17">
        <f>IF(MONTH(Table1[[#This Row],[Reporting date]])&lt;Policy_Inception_Month,YEAR(Table1[[#This Row],[Reporting date]])-1,YEAR(Table1[[#This Row],[Reporting date]]))</f>
        <v>2011</v>
      </c>
      <c r="V443" s="17">
        <f>Table1[[#This Row],[Reporting year]]-Table1[[#This Row],[Policy Year]]</f>
        <v>3</v>
      </c>
      <c r="W443" s="17">
        <f>INT(Table1[[#This Row],[Reporting date]])-INT(Table1[[#This Row],[Loss date]])</f>
        <v>1113</v>
      </c>
      <c r="X443" s="17">
        <f>INT((YEAR(Table1[[#This Row],[Loss date]])*12+MONTH(Table1[[#This Row],[Loss date]])-Earliest_Month)/4)</f>
        <v>10</v>
      </c>
      <c r="Y443" s="17">
        <f>INT((YEAR(Table1[[#This Row],[Reporting date]])*12+MONTH(Table1[[#This Row],[Reporting date]])-Earliest_Month)/4)</f>
        <v>20</v>
      </c>
      <c r="Z443" s="17">
        <f>Table1[[#This Row],[Reporting third]]-Table1[[#This Row],[Policy third]]</f>
        <v>10</v>
      </c>
      <c r="AA443" s="71">
        <f>IF(Table1[[#This Row],[Overall amount]]=0,"N/A",Table1[[#This Row],[Outstanding]]/Table1[[#This Row],[Overall amount]])</f>
        <v>0</v>
      </c>
      <c r="AB443" s="17">
        <f>IF(MONTH(Table1[[#This Row],[Loss date]])&lt;Pol_Inc_Month_Shifted,YEAR(Table1[[#This Row],[Loss date]])-1,YEAR(Table1[[#This Row],[Loss date]]))</f>
        <v>2007</v>
      </c>
      <c r="AC443" s="17">
        <f>IF(MONTH(Table1[[#This Row],[Reporting date]])&lt;Pol_Inc_Month_Shifted,YEAR(Table1[[#This Row],[Reporting date]])-1,YEAR(Table1[[#This Row],[Reporting date]]))</f>
        <v>2011</v>
      </c>
      <c r="AD443" s="17">
        <f>Table1[[#This Row],[Reporting year (shifted)]]-Table1[[#This Row],[Policy Year (shifted)]]</f>
        <v>4</v>
      </c>
    </row>
    <row r="444" spans="1:30" ht="13.9">
      <c r="A444" s="8" t="s">
        <v>2214</v>
      </c>
      <c r="B444" s="8" t="s">
        <v>496</v>
      </c>
      <c r="C444" s="8" t="s">
        <v>123</v>
      </c>
      <c r="D444" s="9">
        <v>40343</v>
      </c>
      <c r="E444" s="9">
        <v>40844</v>
      </c>
      <c r="F444" s="17">
        <f>IF(MONTH(Table1[[#This Row],[Loss date]])&lt;Policy_Inception_Month,YEAR(Table1[[#This Row],[Loss date]])-1,YEAR(Table1[[#This Row],[Loss date]]))</f>
        <v>2010</v>
      </c>
      <c r="G444" s="10" t="s">
        <v>125</v>
      </c>
      <c r="H444" s="10" t="s">
        <v>2</v>
      </c>
      <c r="I444" s="11">
        <v>17342.935739694061</v>
      </c>
      <c r="J444" s="11">
        <v>0</v>
      </c>
      <c r="K444" s="11">
        <v>17342.935739694061</v>
      </c>
      <c r="L444" s="12">
        <v>0</v>
      </c>
      <c r="M444" s="12">
        <v>0</v>
      </c>
      <c r="N444" s="12">
        <v>17342.935739694061</v>
      </c>
      <c r="O444" s="70">
        <f>IF(Table1[[#This Row],[Overall amount]]=0,0,1)</f>
        <v>1</v>
      </c>
      <c r="P444" s="70">
        <f>Table1[[#This Row],[Overall amount]]*Exchange_Rate</f>
        <v>17342.935739694061</v>
      </c>
      <c r="Q444" s="70">
        <f>Table1[[#This Row],[Overall (destination currency)]]*(1+Claims_Inflation)^((Revalue_at_date-Table1[[#This Row],[Loss date]])/365.25)</f>
        <v>22458.359999999997</v>
      </c>
      <c r="R444" s="70">
        <f>INT(Table1[[#This Row],[Reporting date]])-INT(Table1[[#This Row],[Loss date]])</f>
        <v>501</v>
      </c>
      <c r="S444" s="69" t="s">
        <v>9</v>
      </c>
      <c r="T444" s="70">
        <f>VLOOKUP(Table1[[#This Row],[Policy Year]],exposure_table,3,FALSE)</f>
        <v>837.11513600000012</v>
      </c>
      <c r="U444" s="17">
        <f>IF(MONTH(Table1[[#This Row],[Reporting date]])&lt;Policy_Inception_Month,YEAR(Table1[[#This Row],[Reporting date]])-1,YEAR(Table1[[#This Row],[Reporting date]]))</f>
        <v>2011</v>
      </c>
      <c r="V444" s="17">
        <f>Table1[[#This Row],[Reporting year]]-Table1[[#This Row],[Policy Year]]</f>
        <v>1</v>
      </c>
      <c r="W444" s="17">
        <f>INT(Table1[[#This Row],[Reporting date]])-INT(Table1[[#This Row],[Loss date]])</f>
        <v>501</v>
      </c>
      <c r="X444" s="17">
        <f>INT((YEAR(Table1[[#This Row],[Loss date]])*12+MONTH(Table1[[#This Row],[Loss date]])-Earliest_Month)/4)</f>
        <v>15</v>
      </c>
      <c r="Y444" s="17">
        <f>INT((YEAR(Table1[[#This Row],[Reporting date]])*12+MONTH(Table1[[#This Row],[Reporting date]])-Earliest_Month)/4)</f>
        <v>19</v>
      </c>
      <c r="Z444" s="17">
        <f>Table1[[#This Row],[Reporting third]]-Table1[[#This Row],[Policy third]]</f>
        <v>4</v>
      </c>
      <c r="AA444" s="71">
        <f>IF(Table1[[#This Row],[Overall amount]]=0,"N/A",Table1[[#This Row],[Outstanding]]/Table1[[#This Row],[Overall amount]])</f>
        <v>0</v>
      </c>
      <c r="AB444" s="17">
        <f>IF(MONTH(Table1[[#This Row],[Loss date]])&lt;Pol_Inc_Month_Shifted,YEAR(Table1[[#This Row],[Loss date]])-1,YEAR(Table1[[#This Row],[Loss date]]))</f>
        <v>2009</v>
      </c>
      <c r="AC444" s="17">
        <f>IF(MONTH(Table1[[#This Row],[Reporting date]])&lt;Pol_Inc_Month_Shifted,YEAR(Table1[[#This Row],[Reporting date]])-1,YEAR(Table1[[#This Row],[Reporting date]]))</f>
        <v>2010</v>
      </c>
      <c r="AD444" s="17">
        <f>Table1[[#This Row],[Reporting year (shifted)]]-Table1[[#This Row],[Policy Year (shifted)]]</f>
        <v>1</v>
      </c>
    </row>
    <row r="445" spans="1:30" ht="13.9">
      <c r="A445" s="8" t="s">
        <v>2215</v>
      </c>
      <c r="B445" s="8" t="s">
        <v>497</v>
      </c>
      <c r="C445" s="8" t="s">
        <v>123</v>
      </c>
      <c r="D445" s="9">
        <v>40188</v>
      </c>
      <c r="E445" s="9">
        <v>40371</v>
      </c>
      <c r="F445" s="17">
        <f>IF(MONTH(Table1[[#This Row],[Loss date]])&lt;Policy_Inception_Month,YEAR(Table1[[#This Row],[Loss date]])-1,YEAR(Table1[[#This Row],[Loss date]]))</f>
        <v>2009</v>
      </c>
      <c r="G445" s="10" t="s">
        <v>125</v>
      </c>
      <c r="H445" s="10" t="s">
        <v>2</v>
      </c>
      <c r="I445" s="11">
        <v>19797.046475792056</v>
      </c>
      <c r="J445" s="11">
        <v>0</v>
      </c>
      <c r="K445" s="11">
        <v>19797.046475792056</v>
      </c>
      <c r="L445" s="12">
        <v>0</v>
      </c>
      <c r="M445" s="12">
        <v>0</v>
      </c>
      <c r="N445" s="12">
        <v>19797.046475792056</v>
      </c>
      <c r="O445" s="70">
        <f>IF(Table1[[#This Row],[Overall amount]]=0,0,1)</f>
        <v>1</v>
      </c>
      <c r="P445" s="70">
        <f>Table1[[#This Row],[Overall amount]]*Exchange_Rate</f>
        <v>19797.046475792056</v>
      </c>
      <c r="Q445" s="70">
        <f>Table1[[#This Row],[Overall (destination currency)]]*(1+Claims_Inflation)^((Revalue_at_date-Table1[[#This Row],[Loss date]])/365.25)</f>
        <v>26172.66</v>
      </c>
      <c r="R445" s="70">
        <f>INT(Table1[[#This Row],[Reporting date]])-INT(Table1[[#This Row],[Loss date]])</f>
        <v>183</v>
      </c>
      <c r="S445" s="69" t="s">
        <v>9</v>
      </c>
      <c r="T445" s="70">
        <f>VLOOKUP(Table1[[#This Row],[Policy Year]],exposure_table,3,FALSE)</f>
        <v>760.22808576000011</v>
      </c>
      <c r="U445" s="17">
        <f>IF(MONTH(Table1[[#This Row],[Reporting date]])&lt;Policy_Inception_Month,YEAR(Table1[[#This Row],[Reporting date]])-1,YEAR(Table1[[#This Row],[Reporting date]]))</f>
        <v>2010</v>
      </c>
      <c r="V445" s="17">
        <f>Table1[[#This Row],[Reporting year]]-Table1[[#This Row],[Policy Year]]</f>
        <v>1</v>
      </c>
      <c r="W445" s="17">
        <f>INT(Table1[[#This Row],[Reporting date]])-INT(Table1[[#This Row],[Loss date]])</f>
        <v>183</v>
      </c>
      <c r="X445" s="17">
        <f>INT((YEAR(Table1[[#This Row],[Loss date]])*12+MONTH(Table1[[#This Row],[Loss date]])-Earliest_Month)/4)</f>
        <v>14</v>
      </c>
      <c r="Y445" s="17">
        <f>INT((YEAR(Table1[[#This Row],[Reporting date]])*12+MONTH(Table1[[#This Row],[Reporting date]])-Earliest_Month)/4)</f>
        <v>15</v>
      </c>
      <c r="Z445" s="17">
        <f>Table1[[#This Row],[Reporting third]]-Table1[[#This Row],[Policy third]]</f>
        <v>1</v>
      </c>
      <c r="AA445" s="71">
        <f>IF(Table1[[#This Row],[Overall amount]]=0,"N/A",Table1[[#This Row],[Outstanding]]/Table1[[#This Row],[Overall amount]])</f>
        <v>0</v>
      </c>
      <c r="AB445" s="17">
        <f>IF(MONTH(Table1[[#This Row],[Loss date]])&lt;Pol_Inc_Month_Shifted,YEAR(Table1[[#This Row],[Loss date]])-1,YEAR(Table1[[#This Row],[Loss date]]))</f>
        <v>2009</v>
      </c>
      <c r="AC445" s="17">
        <f>IF(MONTH(Table1[[#This Row],[Reporting date]])&lt;Pol_Inc_Month_Shifted,YEAR(Table1[[#This Row],[Reporting date]])-1,YEAR(Table1[[#This Row],[Reporting date]]))</f>
        <v>2009</v>
      </c>
      <c r="AD445" s="17">
        <f>Table1[[#This Row],[Reporting year (shifted)]]-Table1[[#This Row],[Policy Year (shifted)]]</f>
        <v>0</v>
      </c>
    </row>
    <row r="446" spans="1:30" ht="13.9">
      <c r="A446" s="8" t="s">
        <v>2216</v>
      </c>
      <c r="B446" s="8" t="s">
        <v>498</v>
      </c>
      <c r="C446" s="8" t="s">
        <v>123</v>
      </c>
      <c r="D446" s="9">
        <v>39640</v>
      </c>
      <c r="E446" s="9">
        <v>39766</v>
      </c>
      <c r="F446" s="17">
        <f>IF(MONTH(Table1[[#This Row],[Loss date]])&lt;Policy_Inception_Month,YEAR(Table1[[#This Row],[Loss date]])-1,YEAR(Table1[[#This Row],[Loss date]]))</f>
        <v>2008</v>
      </c>
      <c r="G446" s="10" t="s">
        <v>125</v>
      </c>
      <c r="H446" s="10" t="s">
        <v>2</v>
      </c>
      <c r="I446" s="11">
        <v>61245.297006422021</v>
      </c>
      <c r="J446" s="11">
        <v>0</v>
      </c>
      <c r="K446" s="11">
        <v>61245.297006422021</v>
      </c>
      <c r="L446" s="12">
        <v>0</v>
      </c>
      <c r="M446" s="12">
        <v>184.11551627612789</v>
      </c>
      <c r="N446" s="12">
        <v>61061.181490145893</v>
      </c>
      <c r="O446" s="70">
        <f>IF(Table1[[#This Row],[Overall amount]]=0,0,1)</f>
        <v>1</v>
      </c>
      <c r="P446" s="70">
        <f>Table1[[#This Row],[Overall amount]]*Exchange_Rate</f>
        <v>61061.181490145893</v>
      </c>
      <c r="Q446" s="70">
        <f>Table1[[#This Row],[Overall (destination currency)]]*(1+Claims_Inflation)^((Revalue_at_date-Table1[[#This Row],[Loss date]])/365.25)</f>
        <v>86856.807887999981</v>
      </c>
      <c r="R446" s="70">
        <f>INT(Table1[[#This Row],[Reporting date]])-INT(Table1[[#This Row],[Loss date]])</f>
        <v>126</v>
      </c>
      <c r="S446" s="69" t="s">
        <v>9</v>
      </c>
      <c r="T446" s="70">
        <f>VLOOKUP(Table1[[#This Row],[Policy Year]],exposure_table,3,FALSE)</f>
        <v>601.98581780480015</v>
      </c>
      <c r="U446" s="17">
        <f>IF(MONTH(Table1[[#This Row],[Reporting date]])&lt;Policy_Inception_Month,YEAR(Table1[[#This Row],[Reporting date]])-1,YEAR(Table1[[#This Row],[Reporting date]]))</f>
        <v>2008</v>
      </c>
      <c r="V446" s="17">
        <f>Table1[[#This Row],[Reporting year]]-Table1[[#This Row],[Policy Year]]</f>
        <v>0</v>
      </c>
      <c r="W446" s="17">
        <f>INT(Table1[[#This Row],[Reporting date]])-INT(Table1[[#This Row],[Loss date]])</f>
        <v>126</v>
      </c>
      <c r="X446" s="17">
        <f>INT((YEAR(Table1[[#This Row],[Loss date]])*12+MONTH(Table1[[#This Row],[Loss date]])-Earliest_Month)/4)</f>
        <v>9</v>
      </c>
      <c r="Y446" s="17">
        <f>INT((YEAR(Table1[[#This Row],[Reporting date]])*12+MONTH(Table1[[#This Row],[Reporting date]])-Earliest_Month)/4)</f>
        <v>10</v>
      </c>
      <c r="Z446" s="17">
        <f>Table1[[#This Row],[Reporting third]]-Table1[[#This Row],[Policy third]]</f>
        <v>1</v>
      </c>
      <c r="AA446" s="71">
        <f>IF(Table1[[#This Row],[Overall amount]]=0,"N/A",Table1[[#This Row],[Outstanding]]/Table1[[#This Row],[Overall amount]])</f>
        <v>0</v>
      </c>
      <c r="AB446" s="17">
        <f>IF(MONTH(Table1[[#This Row],[Loss date]])&lt;Pol_Inc_Month_Shifted,YEAR(Table1[[#This Row],[Loss date]])-1,YEAR(Table1[[#This Row],[Loss date]]))</f>
        <v>2007</v>
      </c>
      <c r="AC446" s="17">
        <f>IF(MONTH(Table1[[#This Row],[Reporting date]])&lt;Pol_Inc_Month_Shifted,YEAR(Table1[[#This Row],[Reporting date]])-1,YEAR(Table1[[#This Row],[Reporting date]]))</f>
        <v>2007</v>
      </c>
      <c r="AD446" s="17">
        <f>Table1[[#This Row],[Reporting year (shifted)]]-Table1[[#This Row],[Policy Year (shifted)]]</f>
        <v>0</v>
      </c>
    </row>
    <row r="447" spans="1:30" ht="13.9">
      <c r="A447" s="8" t="s">
        <v>2217</v>
      </c>
      <c r="B447" s="8" t="s">
        <v>499</v>
      </c>
      <c r="C447" s="8" t="s">
        <v>123</v>
      </c>
      <c r="D447" s="9">
        <v>40075</v>
      </c>
      <c r="E447" s="9">
        <v>40887</v>
      </c>
      <c r="F447" s="17">
        <f>IF(MONTH(Table1[[#This Row],[Loss date]])&lt;Policy_Inception_Month,YEAR(Table1[[#This Row],[Loss date]])-1,YEAR(Table1[[#This Row],[Loss date]]))</f>
        <v>2009</v>
      </c>
      <c r="G447" s="10" t="s">
        <v>125</v>
      </c>
      <c r="H447" s="10" t="s">
        <v>2</v>
      </c>
      <c r="I447" s="11">
        <v>10024.505050993559</v>
      </c>
      <c r="J447" s="11">
        <v>0</v>
      </c>
      <c r="K447" s="11">
        <v>10024.505050993559</v>
      </c>
      <c r="L447" s="12">
        <v>134.11259303829041</v>
      </c>
      <c r="M447" s="12">
        <v>0</v>
      </c>
      <c r="N447" s="12">
        <v>10158.617644031849</v>
      </c>
      <c r="O447" s="70">
        <f>IF(Table1[[#This Row],[Overall amount]]=0,0,1)</f>
        <v>1</v>
      </c>
      <c r="P447" s="70">
        <f>Table1[[#This Row],[Overall amount]]*Exchange_Rate</f>
        <v>10158.617644031849</v>
      </c>
      <c r="Q447" s="70">
        <f>Table1[[#This Row],[Overall (destination currency)]]*(1+Claims_Inflation)^((Revalue_at_date-Table1[[#This Row],[Loss date]])/365.25)</f>
        <v>13634.448</v>
      </c>
      <c r="R447" s="70">
        <f>INT(Table1[[#This Row],[Reporting date]])-INT(Table1[[#This Row],[Loss date]])</f>
        <v>812</v>
      </c>
      <c r="S447" s="69" t="s">
        <v>9</v>
      </c>
      <c r="T447" s="70">
        <f>VLOOKUP(Table1[[#This Row],[Policy Year]],exposure_table,3,FALSE)</f>
        <v>760.22808576000011</v>
      </c>
      <c r="U447" s="17">
        <f>IF(MONTH(Table1[[#This Row],[Reporting date]])&lt;Policy_Inception_Month,YEAR(Table1[[#This Row],[Reporting date]])-1,YEAR(Table1[[#This Row],[Reporting date]]))</f>
        <v>2011</v>
      </c>
      <c r="V447" s="17">
        <f>Table1[[#This Row],[Reporting year]]-Table1[[#This Row],[Policy Year]]</f>
        <v>2</v>
      </c>
      <c r="W447" s="17">
        <f>INT(Table1[[#This Row],[Reporting date]])-INT(Table1[[#This Row],[Loss date]])</f>
        <v>812</v>
      </c>
      <c r="X447" s="17">
        <f>INT((YEAR(Table1[[#This Row],[Loss date]])*12+MONTH(Table1[[#This Row],[Loss date]])-Earliest_Month)/4)</f>
        <v>13</v>
      </c>
      <c r="Y447" s="17">
        <f>INT((YEAR(Table1[[#This Row],[Reporting date]])*12+MONTH(Table1[[#This Row],[Reporting date]])-Earliest_Month)/4)</f>
        <v>20</v>
      </c>
      <c r="Z447" s="17">
        <f>Table1[[#This Row],[Reporting third]]-Table1[[#This Row],[Policy third]]</f>
        <v>7</v>
      </c>
      <c r="AA447" s="71">
        <f>IF(Table1[[#This Row],[Overall amount]]=0,"N/A",Table1[[#This Row],[Outstanding]]/Table1[[#This Row],[Overall amount]])</f>
        <v>0</v>
      </c>
      <c r="AB447" s="17">
        <f>IF(MONTH(Table1[[#This Row],[Loss date]])&lt;Pol_Inc_Month_Shifted,YEAR(Table1[[#This Row],[Loss date]])-1,YEAR(Table1[[#This Row],[Loss date]]))</f>
        <v>2008</v>
      </c>
      <c r="AC447" s="17">
        <f>IF(MONTH(Table1[[#This Row],[Reporting date]])&lt;Pol_Inc_Month_Shifted,YEAR(Table1[[#This Row],[Reporting date]])-1,YEAR(Table1[[#This Row],[Reporting date]]))</f>
        <v>2011</v>
      </c>
      <c r="AD447" s="17">
        <f>Table1[[#This Row],[Reporting year (shifted)]]-Table1[[#This Row],[Policy Year (shifted)]]</f>
        <v>3</v>
      </c>
    </row>
    <row r="448" spans="1:30" ht="13.9">
      <c r="A448" s="8" t="s">
        <v>2218</v>
      </c>
      <c r="B448" s="8" t="s">
        <v>500</v>
      </c>
      <c r="C448" s="8" t="s">
        <v>123</v>
      </c>
      <c r="D448" s="9">
        <v>40207</v>
      </c>
      <c r="E448" s="9">
        <v>40292</v>
      </c>
      <c r="F448" s="17">
        <f>IF(MONTH(Table1[[#This Row],[Loss date]])&lt;Policy_Inception_Month,YEAR(Table1[[#This Row],[Loss date]])-1,YEAR(Table1[[#This Row],[Loss date]]))</f>
        <v>2009</v>
      </c>
      <c r="G448" s="10" t="s">
        <v>125</v>
      </c>
      <c r="H448" s="10" t="s">
        <v>2</v>
      </c>
      <c r="I448" s="11">
        <v>17737.137194538529</v>
      </c>
      <c r="J448" s="11">
        <v>0</v>
      </c>
      <c r="K448" s="11">
        <v>17737.137194538529</v>
      </c>
      <c r="L448" s="12">
        <v>136.49831615571728</v>
      </c>
      <c r="M448" s="12">
        <v>0</v>
      </c>
      <c r="N448" s="12">
        <v>17873.635510694246</v>
      </c>
      <c r="O448" s="70">
        <f>IF(Table1[[#This Row],[Overall amount]]=0,0,1)</f>
        <v>1</v>
      </c>
      <c r="P448" s="70">
        <f>Table1[[#This Row],[Overall amount]]*Exchange_Rate</f>
        <v>17873.635510694246</v>
      </c>
      <c r="Q448" s="70">
        <f>Table1[[#This Row],[Overall (destination currency)]]*(1+Claims_Inflation)^((Revalue_at_date-Table1[[#This Row],[Loss date]])/365.25)</f>
        <v>23569.920000000006</v>
      </c>
      <c r="R448" s="70">
        <f>INT(Table1[[#This Row],[Reporting date]])-INT(Table1[[#This Row],[Loss date]])</f>
        <v>85</v>
      </c>
      <c r="S448" s="69" t="s">
        <v>9</v>
      </c>
      <c r="T448" s="70">
        <f>VLOOKUP(Table1[[#This Row],[Policy Year]],exposure_table,3,FALSE)</f>
        <v>760.22808576000011</v>
      </c>
      <c r="U448" s="17">
        <f>IF(MONTH(Table1[[#This Row],[Reporting date]])&lt;Policy_Inception_Month,YEAR(Table1[[#This Row],[Reporting date]])-1,YEAR(Table1[[#This Row],[Reporting date]]))</f>
        <v>2010</v>
      </c>
      <c r="V448" s="17">
        <f>Table1[[#This Row],[Reporting year]]-Table1[[#This Row],[Policy Year]]</f>
        <v>1</v>
      </c>
      <c r="W448" s="17">
        <f>INT(Table1[[#This Row],[Reporting date]])-INT(Table1[[#This Row],[Loss date]])</f>
        <v>85</v>
      </c>
      <c r="X448" s="17">
        <f>INT((YEAR(Table1[[#This Row],[Loss date]])*12+MONTH(Table1[[#This Row],[Loss date]])-Earliest_Month)/4)</f>
        <v>14</v>
      </c>
      <c r="Y448" s="17">
        <f>INT((YEAR(Table1[[#This Row],[Reporting date]])*12+MONTH(Table1[[#This Row],[Reporting date]])-Earliest_Month)/4)</f>
        <v>15</v>
      </c>
      <c r="Z448" s="17">
        <f>Table1[[#This Row],[Reporting third]]-Table1[[#This Row],[Policy third]]</f>
        <v>1</v>
      </c>
      <c r="AA448" s="71">
        <f>IF(Table1[[#This Row],[Overall amount]]=0,"N/A",Table1[[#This Row],[Outstanding]]/Table1[[#This Row],[Overall amount]])</f>
        <v>0</v>
      </c>
      <c r="AB448" s="17">
        <f>IF(MONTH(Table1[[#This Row],[Loss date]])&lt;Pol_Inc_Month_Shifted,YEAR(Table1[[#This Row],[Loss date]])-1,YEAR(Table1[[#This Row],[Loss date]]))</f>
        <v>2009</v>
      </c>
      <c r="AC448" s="17">
        <f>IF(MONTH(Table1[[#This Row],[Reporting date]])&lt;Pol_Inc_Month_Shifted,YEAR(Table1[[#This Row],[Reporting date]])-1,YEAR(Table1[[#This Row],[Reporting date]]))</f>
        <v>2009</v>
      </c>
      <c r="AD448" s="17">
        <f>Table1[[#This Row],[Reporting year (shifted)]]-Table1[[#This Row],[Policy Year (shifted)]]</f>
        <v>0</v>
      </c>
    </row>
    <row r="449" spans="1:30" ht="13.9">
      <c r="A449" s="8" t="s">
        <v>2219</v>
      </c>
      <c r="B449" s="8" t="s">
        <v>501</v>
      </c>
      <c r="C449" s="8" t="s">
        <v>123</v>
      </c>
      <c r="D449" s="9">
        <v>40843</v>
      </c>
      <c r="E449" s="9">
        <v>40924</v>
      </c>
      <c r="F449" s="17">
        <f>IF(MONTH(Table1[[#This Row],[Loss date]])&lt;Policy_Inception_Month,YEAR(Table1[[#This Row],[Loss date]])-1,YEAR(Table1[[#This Row],[Loss date]]))</f>
        <v>2011</v>
      </c>
      <c r="G449" s="10" t="s">
        <v>125</v>
      </c>
      <c r="H449" s="10" t="s">
        <v>2</v>
      </c>
      <c r="I449" s="11">
        <v>14104.773889625738</v>
      </c>
      <c r="J449" s="11">
        <v>0</v>
      </c>
      <c r="K449" s="11">
        <v>14104.773889625738</v>
      </c>
      <c r="L449" s="12">
        <v>0</v>
      </c>
      <c r="M449" s="12">
        <v>0</v>
      </c>
      <c r="N449" s="12">
        <v>14104.773889625738</v>
      </c>
      <c r="O449" s="70">
        <f>IF(Table1[[#This Row],[Overall amount]]=0,0,1)</f>
        <v>1</v>
      </c>
      <c r="P449" s="70">
        <f>Table1[[#This Row],[Overall amount]]*Exchange_Rate</f>
        <v>14104.773889625738</v>
      </c>
      <c r="Q449" s="70">
        <f>Table1[[#This Row],[Overall (destination currency)]]*(1+Claims_Inflation)^((Revalue_at_date-Table1[[#This Row],[Loss date]])/365.25)</f>
        <v>17085</v>
      </c>
      <c r="R449" s="70">
        <f>INT(Table1[[#This Row],[Reporting date]])-INT(Table1[[#This Row],[Loss date]])</f>
        <v>81</v>
      </c>
      <c r="S449" s="69" t="s">
        <v>9</v>
      </c>
      <c r="T449" s="70">
        <f>VLOOKUP(Table1[[#This Row],[Policy Year]],exposure_table,3,FALSE)</f>
        <v>870.52680000000009</v>
      </c>
      <c r="U449" s="17">
        <f>IF(MONTH(Table1[[#This Row],[Reporting date]])&lt;Policy_Inception_Month,YEAR(Table1[[#This Row],[Reporting date]])-1,YEAR(Table1[[#This Row],[Reporting date]]))</f>
        <v>2011</v>
      </c>
      <c r="V449" s="17">
        <f>Table1[[#This Row],[Reporting year]]-Table1[[#This Row],[Policy Year]]</f>
        <v>0</v>
      </c>
      <c r="W449" s="17">
        <f>INT(Table1[[#This Row],[Reporting date]])-INT(Table1[[#This Row],[Loss date]])</f>
        <v>81</v>
      </c>
      <c r="X449" s="17">
        <f>INT((YEAR(Table1[[#This Row],[Loss date]])*12+MONTH(Table1[[#This Row],[Loss date]])-Earliest_Month)/4)</f>
        <v>19</v>
      </c>
      <c r="Y449" s="17">
        <f>INT((YEAR(Table1[[#This Row],[Reporting date]])*12+MONTH(Table1[[#This Row],[Reporting date]])-Earliest_Month)/4)</f>
        <v>20</v>
      </c>
      <c r="Z449" s="17">
        <f>Table1[[#This Row],[Reporting third]]-Table1[[#This Row],[Policy third]]</f>
        <v>1</v>
      </c>
      <c r="AA449" s="71">
        <f>IF(Table1[[#This Row],[Overall amount]]=0,"N/A",Table1[[#This Row],[Outstanding]]/Table1[[#This Row],[Overall amount]])</f>
        <v>0</v>
      </c>
      <c r="AB449" s="17">
        <f>IF(MONTH(Table1[[#This Row],[Loss date]])&lt;Pol_Inc_Month_Shifted,YEAR(Table1[[#This Row],[Loss date]])-1,YEAR(Table1[[#This Row],[Loss date]]))</f>
        <v>2010</v>
      </c>
      <c r="AC449" s="17">
        <f>IF(MONTH(Table1[[#This Row],[Reporting date]])&lt;Pol_Inc_Month_Shifted,YEAR(Table1[[#This Row],[Reporting date]])-1,YEAR(Table1[[#This Row],[Reporting date]]))</f>
        <v>2011</v>
      </c>
      <c r="AD449" s="17">
        <f>Table1[[#This Row],[Reporting year (shifted)]]-Table1[[#This Row],[Policy Year (shifted)]]</f>
        <v>1</v>
      </c>
    </row>
    <row r="450" spans="1:30" ht="13.9">
      <c r="A450" s="8" t="s">
        <v>2220</v>
      </c>
      <c r="B450" s="8" t="s">
        <v>502</v>
      </c>
      <c r="C450" s="8" t="s">
        <v>123</v>
      </c>
      <c r="D450" s="9">
        <v>40649</v>
      </c>
      <c r="E450" s="9">
        <v>40735</v>
      </c>
      <c r="F450" s="17">
        <f>IF(MONTH(Table1[[#This Row],[Loss date]])&lt;Policy_Inception_Month,YEAR(Table1[[#This Row],[Loss date]])-1,YEAR(Table1[[#This Row],[Loss date]]))</f>
        <v>2011</v>
      </c>
      <c r="G450" s="10" t="s">
        <v>125</v>
      </c>
      <c r="H450" s="10" t="s">
        <v>2</v>
      </c>
      <c r="I450" s="11">
        <v>10669.456456212785</v>
      </c>
      <c r="J450" s="11">
        <v>19255.914057747403</v>
      </c>
      <c r="K450" s="11">
        <v>29925.370513960188</v>
      </c>
      <c r="L450" s="12">
        <v>0</v>
      </c>
      <c r="M450" s="12">
        <v>0</v>
      </c>
      <c r="N450" s="12">
        <v>29925.370513960188</v>
      </c>
      <c r="O450" s="70">
        <f>IF(Table1[[#This Row],[Overall amount]]=0,0,1)</f>
        <v>1</v>
      </c>
      <c r="P450" s="70">
        <f>Table1[[#This Row],[Overall amount]]*Exchange_Rate</f>
        <v>29925.370513960188</v>
      </c>
      <c r="Q450" s="70">
        <f>Table1[[#This Row],[Overall (destination currency)]]*(1+Claims_Inflation)^((Revalue_at_date-Table1[[#This Row],[Loss date]])/365.25)</f>
        <v>37200</v>
      </c>
      <c r="R450" s="70">
        <f>INT(Table1[[#This Row],[Reporting date]])-INT(Table1[[#This Row],[Loss date]])</f>
        <v>86</v>
      </c>
      <c r="S450" s="69" t="s">
        <v>16</v>
      </c>
      <c r="T450" s="70">
        <f>VLOOKUP(Table1[[#This Row],[Policy Year]],exposure_table,3,FALSE)</f>
        <v>870.52680000000009</v>
      </c>
      <c r="U450" s="17">
        <f>IF(MONTH(Table1[[#This Row],[Reporting date]])&lt;Policy_Inception_Month,YEAR(Table1[[#This Row],[Reporting date]])-1,YEAR(Table1[[#This Row],[Reporting date]]))</f>
        <v>2011</v>
      </c>
      <c r="V450" s="17">
        <f>Table1[[#This Row],[Reporting year]]-Table1[[#This Row],[Policy Year]]</f>
        <v>0</v>
      </c>
      <c r="W450" s="17">
        <f>INT(Table1[[#This Row],[Reporting date]])-INT(Table1[[#This Row],[Loss date]])</f>
        <v>86</v>
      </c>
      <c r="X450" s="17">
        <f>INT((YEAR(Table1[[#This Row],[Loss date]])*12+MONTH(Table1[[#This Row],[Loss date]])-Earliest_Month)/4)</f>
        <v>18</v>
      </c>
      <c r="Y450" s="17">
        <f>INT((YEAR(Table1[[#This Row],[Reporting date]])*12+MONTH(Table1[[#This Row],[Reporting date]])-Earliest_Month)/4)</f>
        <v>18</v>
      </c>
      <c r="Z450" s="17">
        <f>Table1[[#This Row],[Reporting third]]-Table1[[#This Row],[Policy third]]</f>
        <v>0</v>
      </c>
      <c r="AA450" s="71">
        <f>IF(Table1[[#This Row],[Overall amount]]=0,"N/A",Table1[[#This Row],[Outstanding]]/Table1[[#This Row],[Overall amount]])</f>
        <v>0.64346451612903233</v>
      </c>
      <c r="AB450" s="17">
        <f>IF(MONTH(Table1[[#This Row],[Loss date]])&lt;Pol_Inc_Month_Shifted,YEAR(Table1[[#This Row],[Loss date]])-1,YEAR(Table1[[#This Row],[Loss date]]))</f>
        <v>2010</v>
      </c>
      <c r="AC450" s="17">
        <f>IF(MONTH(Table1[[#This Row],[Reporting date]])&lt;Pol_Inc_Month_Shifted,YEAR(Table1[[#This Row],[Reporting date]])-1,YEAR(Table1[[#This Row],[Reporting date]]))</f>
        <v>2010</v>
      </c>
      <c r="AD450" s="17">
        <f>Table1[[#This Row],[Reporting year (shifted)]]-Table1[[#This Row],[Policy Year (shifted)]]</f>
        <v>0</v>
      </c>
    </row>
    <row r="451" spans="1:30" ht="13.9">
      <c r="A451" s="8" t="s">
        <v>2221</v>
      </c>
      <c r="B451" s="8" t="s">
        <v>503</v>
      </c>
      <c r="C451" s="8" t="s">
        <v>123</v>
      </c>
      <c r="D451" s="9">
        <v>39783</v>
      </c>
      <c r="E451" s="9">
        <v>40195</v>
      </c>
      <c r="F451" s="17">
        <f>IF(MONTH(Table1[[#This Row],[Loss date]])&lt;Policy_Inception_Month,YEAR(Table1[[#This Row],[Loss date]])-1,YEAR(Table1[[#This Row],[Loss date]]))</f>
        <v>2008</v>
      </c>
      <c r="G451" s="10" t="s">
        <v>125</v>
      </c>
      <c r="H451" s="10" t="s">
        <v>2</v>
      </c>
      <c r="I451" s="11">
        <v>43365.882232028627</v>
      </c>
      <c r="J451" s="11">
        <v>0</v>
      </c>
      <c r="K451" s="11">
        <v>43365.882232028627</v>
      </c>
      <c r="L451" s="12">
        <v>0</v>
      </c>
      <c r="M451" s="12">
        <v>0</v>
      </c>
      <c r="N451" s="12">
        <v>43365.882232028627</v>
      </c>
      <c r="O451" s="70">
        <f>IF(Table1[[#This Row],[Overall amount]]=0,0,1)</f>
        <v>1</v>
      </c>
      <c r="P451" s="70">
        <f>Table1[[#This Row],[Overall amount]]*Exchange_Rate</f>
        <v>43365.882232028627</v>
      </c>
      <c r="Q451" s="70">
        <f>Table1[[#This Row],[Overall (destination currency)]]*(1+Claims_Inflation)^((Revalue_at_date-Table1[[#This Row],[Loss date]])/365.25)</f>
        <v>60518.892</v>
      </c>
      <c r="R451" s="70">
        <f>INT(Table1[[#This Row],[Reporting date]])-INT(Table1[[#This Row],[Loss date]])</f>
        <v>412</v>
      </c>
      <c r="S451" s="69" t="s">
        <v>9</v>
      </c>
      <c r="T451" s="70">
        <f>VLOOKUP(Table1[[#This Row],[Policy Year]],exposure_table,3,FALSE)</f>
        <v>601.98581780480015</v>
      </c>
      <c r="U451" s="17">
        <f>IF(MONTH(Table1[[#This Row],[Reporting date]])&lt;Policy_Inception_Month,YEAR(Table1[[#This Row],[Reporting date]])-1,YEAR(Table1[[#This Row],[Reporting date]]))</f>
        <v>2009</v>
      </c>
      <c r="V451" s="17">
        <f>Table1[[#This Row],[Reporting year]]-Table1[[#This Row],[Policy Year]]</f>
        <v>1</v>
      </c>
      <c r="W451" s="17">
        <f>INT(Table1[[#This Row],[Reporting date]])-INT(Table1[[#This Row],[Loss date]])</f>
        <v>412</v>
      </c>
      <c r="X451" s="17">
        <f>INT((YEAR(Table1[[#This Row],[Loss date]])*12+MONTH(Table1[[#This Row],[Loss date]])-Earliest_Month)/4)</f>
        <v>11</v>
      </c>
      <c r="Y451" s="17">
        <f>INT((YEAR(Table1[[#This Row],[Reporting date]])*12+MONTH(Table1[[#This Row],[Reporting date]])-Earliest_Month)/4)</f>
        <v>14</v>
      </c>
      <c r="Z451" s="17">
        <f>Table1[[#This Row],[Reporting third]]-Table1[[#This Row],[Policy third]]</f>
        <v>3</v>
      </c>
      <c r="AA451" s="71">
        <f>IF(Table1[[#This Row],[Overall amount]]=0,"N/A",Table1[[#This Row],[Outstanding]]/Table1[[#This Row],[Overall amount]])</f>
        <v>0</v>
      </c>
      <c r="AB451" s="17">
        <f>IF(MONTH(Table1[[#This Row],[Loss date]])&lt;Pol_Inc_Month_Shifted,YEAR(Table1[[#This Row],[Loss date]])-1,YEAR(Table1[[#This Row],[Loss date]]))</f>
        <v>2008</v>
      </c>
      <c r="AC451" s="17">
        <f>IF(MONTH(Table1[[#This Row],[Reporting date]])&lt;Pol_Inc_Month_Shifted,YEAR(Table1[[#This Row],[Reporting date]])-1,YEAR(Table1[[#This Row],[Reporting date]]))</f>
        <v>2009</v>
      </c>
      <c r="AD451" s="17">
        <f>Table1[[#This Row],[Reporting year (shifted)]]-Table1[[#This Row],[Policy Year (shifted)]]</f>
        <v>1</v>
      </c>
    </row>
    <row r="452" spans="1:30" ht="13.9">
      <c r="A452" s="8" t="s">
        <v>2222</v>
      </c>
      <c r="B452" s="8" t="s">
        <v>504</v>
      </c>
      <c r="C452" s="8" t="s">
        <v>123</v>
      </c>
      <c r="D452" s="9">
        <v>40237</v>
      </c>
      <c r="E452" s="9">
        <v>40410</v>
      </c>
      <c r="F452" s="17">
        <f>IF(MONTH(Table1[[#This Row],[Loss date]])&lt;Policy_Inception_Month,YEAR(Table1[[#This Row],[Loss date]])-1,YEAR(Table1[[#This Row],[Loss date]]))</f>
        <v>2009</v>
      </c>
      <c r="G452" s="10" t="s">
        <v>125</v>
      </c>
      <c r="H452" s="10" t="s">
        <v>2</v>
      </c>
      <c r="I452" s="11">
        <v>13068.773809036053</v>
      </c>
      <c r="J452" s="11">
        <v>0</v>
      </c>
      <c r="K452" s="11">
        <v>13068.773809036053</v>
      </c>
      <c r="L452" s="12">
        <v>0</v>
      </c>
      <c r="M452" s="12">
        <v>0</v>
      </c>
      <c r="N452" s="12">
        <v>13068.773809036053</v>
      </c>
      <c r="O452" s="70">
        <f>IF(Table1[[#This Row],[Overall amount]]=0,0,1)</f>
        <v>1</v>
      </c>
      <c r="P452" s="70">
        <f>Table1[[#This Row],[Overall amount]]*Exchange_Rate</f>
        <v>13068.773809036053</v>
      </c>
      <c r="Q452" s="70">
        <f>Table1[[#This Row],[Overall (destination currency)]]*(1+Claims_Inflation)^((Revalue_at_date-Table1[[#This Row],[Loss date]])/365.25)</f>
        <v>17164.835999999999</v>
      </c>
      <c r="R452" s="70">
        <f>INT(Table1[[#This Row],[Reporting date]])-INT(Table1[[#This Row],[Loss date]])</f>
        <v>173</v>
      </c>
      <c r="S452" s="69" t="s">
        <v>9</v>
      </c>
      <c r="T452" s="70">
        <f>VLOOKUP(Table1[[#This Row],[Policy Year]],exposure_table,3,FALSE)</f>
        <v>760.22808576000011</v>
      </c>
      <c r="U452" s="17">
        <f>IF(MONTH(Table1[[#This Row],[Reporting date]])&lt;Policy_Inception_Month,YEAR(Table1[[#This Row],[Reporting date]])-1,YEAR(Table1[[#This Row],[Reporting date]]))</f>
        <v>2010</v>
      </c>
      <c r="V452" s="17">
        <f>Table1[[#This Row],[Reporting year]]-Table1[[#This Row],[Policy Year]]</f>
        <v>1</v>
      </c>
      <c r="W452" s="17">
        <f>INT(Table1[[#This Row],[Reporting date]])-INT(Table1[[#This Row],[Loss date]])</f>
        <v>173</v>
      </c>
      <c r="X452" s="17">
        <f>INT((YEAR(Table1[[#This Row],[Loss date]])*12+MONTH(Table1[[#This Row],[Loss date]])-Earliest_Month)/4)</f>
        <v>14</v>
      </c>
      <c r="Y452" s="17">
        <f>INT((YEAR(Table1[[#This Row],[Reporting date]])*12+MONTH(Table1[[#This Row],[Reporting date]])-Earliest_Month)/4)</f>
        <v>16</v>
      </c>
      <c r="Z452" s="17">
        <f>Table1[[#This Row],[Reporting third]]-Table1[[#This Row],[Policy third]]</f>
        <v>2</v>
      </c>
      <c r="AA452" s="71">
        <f>IF(Table1[[#This Row],[Overall amount]]=0,"N/A",Table1[[#This Row],[Outstanding]]/Table1[[#This Row],[Overall amount]])</f>
        <v>0</v>
      </c>
      <c r="AB452" s="17">
        <f>IF(MONTH(Table1[[#This Row],[Loss date]])&lt;Pol_Inc_Month_Shifted,YEAR(Table1[[#This Row],[Loss date]])-1,YEAR(Table1[[#This Row],[Loss date]]))</f>
        <v>2009</v>
      </c>
      <c r="AC452" s="17">
        <f>IF(MONTH(Table1[[#This Row],[Reporting date]])&lt;Pol_Inc_Month_Shifted,YEAR(Table1[[#This Row],[Reporting date]])-1,YEAR(Table1[[#This Row],[Reporting date]]))</f>
        <v>2009</v>
      </c>
      <c r="AD452" s="17">
        <f>Table1[[#This Row],[Reporting year (shifted)]]-Table1[[#This Row],[Policy Year (shifted)]]</f>
        <v>0</v>
      </c>
    </row>
    <row r="453" spans="1:30" ht="13.9">
      <c r="A453" s="8" t="s">
        <v>2223</v>
      </c>
      <c r="B453" s="8" t="s">
        <v>505</v>
      </c>
      <c r="C453" s="8" t="s">
        <v>123</v>
      </c>
      <c r="D453" s="9">
        <v>39741</v>
      </c>
      <c r="E453" s="9">
        <v>41027</v>
      </c>
      <c r="F453" s="17">
        <f>IF(MONTH(Table1[[#This Row],[Loss date]])&lt;Policy_Inception_Month,YEAR(Table1[[#This Row],[Loss date]])-1,YEAR(Table1[[#This Row],[Loss date]]))</f>
        <v>2008</v>
      </c>
      <c r="G453" s="10" t="s">
        <v>124</v>
      </c>
      <c r="H453" s="10" t="s">
        <v>2</v>
      </c>
      <c r="I453" s="11">
        <v>13917.828249109243</v>
      </c>
      <c r="J453" s="11">
        <v>0</v>
      </c>
      <c r="K453" s="11">
        <v>13917.828249109243</v>
      </c>
      <c r="L453" s="12">
        <v>0</v>
      </c>
      <c r="M453" s="12">
        <v>0</v>
      </c>
      <c r="N453" s="12">
        <v>13917.828249109243</v>
      </c>
      <c r="O453" s="70">
        <f>IF(Table1[[#This Row],[Overall amount]]=0,0,1)</f>
        <v>1</v>
      </c>
      <c r="P453" s="70">
        <f>Table1[[#This Row],[Overall amount]]*Exchange_Rate</f>
        <v>13917.828249109243</v>
      </c>
      <c r="Q453" s="70">
        <f>Table1[[#This Row],[Overall (destination currency)]]*(1+Claims_Inflation)^((Revalue_at_date-Table1[[#This Row],[Loss date]])/365.25)</f>
        <v>19532.183999999997</v>
      </c>
      <c r="R453" s="70">
        <f>INT(Table1[[#This Row],[Reporting date]])-INT(Table1[[#This Row],[Loss date]])</f>
        <v>1286</v>
      </c>
      <c r="S453" s="69" t="s">
        <v>9</v>
      </c>
      <c r="T453" s="70">
        <f>VLOOKUP(Table1[[#This Row],[Policy Year]],exposure_table,3,FALSE)</f>
        <v>601.98581780480015</v>
      </c>
      <c r="U453" s="17">
        <f>IF(MONTH(Table1[[#This Row],[Reporting date]])&lt;Policy_Inception_Month,YEAR(Table1[[#This Row],[Reporting date]])-1,YEAR(Table1[[#This Row],[Reporting date]]))</f>
        <v>2012</v>
      </c>
      <c r="V453" s="17">
        <f>Table1[[#This Row],[Reporting year]]-Table1[[#This Row],[Policy Year]]</f>
        <v>4</v>
      </c>
      <c r="W453" s="17">
        <f>INT(Table1[[#This Row],[Reporting date]])-INT(Table1[[#This Row],[Loss date]])</f>
        <v>1286</v>
      </c>
      <c r="X453" s="17">
        <f>INT((YEAR(Table1[[#This Row],[Loss date]])*12+MONTH(Table1[[#This Row],[Loss date]])-Earliest_Month)/4)</f>
        <v>10</v>
      </c>
      <c r="Y453" s="17">
        <f>INT((YEAR(Table1[[#This Row],[Reporting date]])*12+MONTH(Table1[[#This Row],[Reporting date]])-Earliest_Month)/4)</f>
        <v>21</v>
      </c>
      <c r="Z453" s="17">
        <f>Table1[[#This Row],[Reporting third]]-Table1[[#This Row],[Policy third]]</f>
        <v>11</v>
      </c>
      <c r="AA453" s="71">
        <f>IF(Table1[[#This Row],[Overall amount]]=0,"N/A",Table1[[#This Row],[Outstanding]]/Table1[[#This Row],[Overall amount]])</f>
        <v>0</v>
      </c>
      <c r="AB453" s="17">
        <f>IF(MONTH(Table1[[#This Row],[Loss date]])&lt;Pol_Inc_Month_Shifted,YEAR(Table1[[#This Row],[Loss date]])-1,YEAR(Table1[[#This Row],[Loss date]]))</f>
        <v>2007</v>
      </c>
      <c r="AC453" s="17">
        <f>IF(MONTH(Table1[[#This Row],[Reporting date]])&lt;Pol_Inc_Month_Shifted,YEAR(Table1[[#This Row],[Reporting date]])-1,YEAR(Table1[[#This Row],[Reporting date]]))</f>
        <v>2011</v>
      </c>
      <c r="AD453" s="17">
        <f>Table1[[#This Row],[Reporting year (shifted)]]-Table1[[#This Row],[Policy Year (shifted)]]</f>
        <v>4</v>
      </c>
    </row>
    <row r="454" spans="1:30" ht="13.9">
      <c r="A454" s="8" t="s">
        <v>2224</v>
      </c>
      <c r="B454" s="8" t="s">
        <v>506</v>
      </c>
      <c r="C454" s="8" t="s">
        <v>123</v>
      </c>
      <c r="D454" s="9">
        <v>40600</v>
      </c>
      <c r="E454" s="9">
        <v>40640</v>
      </c>
      <c r="F454" s="17">
        <f>IF(MONTH(Table1[[#This Row],[Loss date]])&lt;Policy_Inception_Month,YEAR(Table1[[#This Row],[Loss date]])-1,YEAR(Table1[[#This Row],[Loss date]]))</f>
        <v>2010</v>
      </c>
      <c r="G454" s="10" t="s">
        <v>126</v>
      </c>
      <c r="H454" s="10" t="s">
        <v>2</v>
      </c>
      <c r="I454" s="11">
        <v>10818.412789232059</v>
      </c>
      <c r="J454" s="11">
        <v>2374.0951961122259</v>
      </c>
      <c r="K454" s="11">
        <v>13192.507985344286</v>
      </c>
      <c r="L454" s="12">
        <v>0</v>
      </c>
      <c r="M454" s="12">
        <v>0</v>
      </c>
      <c r="N454" s="12">
        <v>13192.507985344286</v>
      </c>
      <c r="O454" s="70">
        <f>IF(Table1[[#This Row],[Overall amount]]=0,0,1)</f>
        <v>1</v>
      </c>
      <c r="P454" s="70">
        <f>Table1[[#This Row],[Overall amount]]*Exchange_Rate</f>
        <v>13192.507985344286</v>
      </c>
      <c r="Q454" s="70">
        <f>Table1[[#This Row],[Overall (destination currency)]]*(1+Claims_Inflation)^((Revalue_at_date-Table1[[#This Row],[Loss date]])/365.25)</f>
        <v>16507.2</v>
      </c>
      <c r="R454" s="70">
        <f>INT(Table1[[#This Row],[Reporting date]])-INT(Table1[[#This Row],[Loss date]])</f>
        <v>40</v>
      </c>
      <c r="S454" s="69" t="s">
        <v>16</v>
      </c>
      <c r="T454" s="70">
        <f>VLOOKUP(Table1[[#This Row],[Policy Year]],exposure_table,3,FALSE)</f>
        <v>837.11513600000012</v>
      </c>
      <c r="U454" s="17">
        <f>IF(MONTH(Table1[[#This Row],[Reporting date]])&lt;Policy_Inception_Month,YEAR(Table1[[#This Row],[Reporting date]])-1,YEAR(Table1[[#This Row],[Reporting date]]))</f>
        <v>2011</v>
      </c>
      <c r="V454" s="17">
        <f>Table1[[#This Row],[Reporting year]]-Table1[[#This Row],[Policy Year]]</f>
        <v>1</v>
      </c>
      <c r="W454" s="17">
        <f>INT(Table1[[#This Row],[Reporting date]])-INT(Table1[[#This Row],[Loss date]])</f>
        <v>40</v>
      </c>
      <c r="X454" s="17">
        <f>INT((YEAR(Table1[[#This Row],[Loss date]])*12+MONTH(Table1[[#This Row],[Loss date]])-Earliest_Month)/4)</f>
        <v>17</v>
      </c>
      <c r="Y454" s="17">
        <f>INT((YEAR(Table1[[#This Row],[Reporting date]])*12+MONTH(Table1[[#This Row],[Reporting date]])-Earliest_Month)/4)</f>
        <v>18</v>
      </c>
      <c r="Z454" s="17">
        <f>Table1[[#This Row],[Reporting third]]-Table1[[#This Row],[Policy third]]</f>
        <v>1</v>
      </c>
      <c r="AA454" s="71">
        <f>IF(Table1[[#This Row],[Overall amount]]=0,"N/A",Table1[[#This Row],[Outstanding]]/Table1[[#This Row],[Overall amount]])</f>
        <v>0.17995783658040129</v>
      </c>
      <c r="AB454" s="17">
        <f>IF(MONTH(Table1[[#This Row],[Loss date]])&lt;Pol_Inc_Month_Shifted,YEAR(Table1[[#This Row],[Loss date]])-1,YEAR(Table1[[#This Row],[Loss date]]))</f>
        <v>2010</v>
      </c>
      <c r="AC454" s="17">
        <f>IF(MONTH(Table1[[#This Row],[Reporting date]])&lt;Pol_Inc_Month_Shifted,YEAR(Table1[[#This Row],[Reporting date]])-1,YEAR(Table1[[#This Row],[Reporting date]]))</f>
        <v>2010</v>
      </c>
      <c r="AD454" s="17">
        <f>Table1[[#This Row],[Reporting year (shifted)]]-Table1[[#This Row],[Policy Year (shifted)]]</f>
        <v>0</v>
      </c>
    </row>
    <row r="455" spans="1:30" ht="13.9">
      <c r="A455" s="8" t="s">
        <v>2225</v>
      </c>
      <c r="B455" s="8" t="s">
        <v>507</v>
      </c>
      <c r="C455" s="8" t="s">
        <v>123</v>
      </c>
      <c r="D455" s="9">
        <v>40114</v>
      </c>
      <c r="E455" s="9">
        <v>40210</v>
      </c>
      <c r="F455" s="17">
        <f>IF(MONTH(Table1[[#This Row],[Loss date]])&lt;Policy_Inception_Month,YEAR(Table1[[#This Row],[Loss date]])-1,YEAR(Table1[[#This Row],[Loss date]]))</f>
        <v>2009</v>
      </c>
      <c r="G455" s="10" t="s">
        <v>125</v>
      </c>
      <c r="H455" s="10" t="s">
        <v>2</v>
      </c>
      <c r="I455" s="11">
        <v>6127.7044430409569</v>
      </c>
      <c r="J455" s="11">
        <v>0</v>
      </c>
      <c r="K455" s="11">
        <v>6127.7044430409569</v>
      </c>
      <c r="L455" s="12">
        <v>134.81309276270804</v>
      </c>
      <c r="M455" s="12">
        <v>0</v>
      </c>
      <c r="N455" s="12">
        <v>6262.5175358036649</v>
      </c>
      <c r="O455" s="70">
        <f>IF(Table1[[#This Row],[Overall amount]]=0,0,1)</f>
        <v>1</v>
      </c>
      <c r="P455" s="70">
        <f>Table1[[#This Row],[Overall amount]]*Exchange_Rate</f>
        <v>6262.5175358036649</v>
      </c>
      <c r="Q455" s="70">
        <f>Table1[[#This Row],[Overall (destination currency)]]*(1+Claims_Inflation)^((Revalue_at_date-Table1[[#This Row],[Loss date]])/365.25)</f>
        <v>8361.6</v>
      </c>
      <c r="R455" s="70">
        <f>INT(Table1[[#This Row],[Reporting date]])-INT(Table1[[#This Row],[Loss date]])</f>
        <v>96</v>
      </c>
      <c r="S455" s="69" t="s">
        <v>9</v>
      </c>
      <c r="T455" s="70">
        <f>VLOOKUP(Table1[[#This Row],[Policy Year]],exposure_table,3,FALSE)</f>
        <v>760.22808576000011</v>
      </c>
      <c r="U455" s="17">
        <f>IF(MONTH(Table1[[#This Row],[Reporting date]])&lt;Policy_Inception_Month,YEAR(Table1[[#This Row],[Reporting date]])-1,YEAR(Table1[[#This Row],[Reporting date]]))</f>
        <v>2009</v>
      </c>
      <c r="V455" s="17">
        <f>Table1[[#This Row],[Reporting year]]-Table1[[#This Row],[Policy Year]]</f>
        <v>0</v>
      </c>
      <c r="W455" s="17">
        <f>INT(Table1[[#This Row],[Reporting date]])-INT(Table1[[#This Row],[Loss date]])</f>
        <v>96</v>
      </c>
      <c r="X455" s="17">
        <f>INT((YEAR(Table1[[#This Row],[Loss date]])*12+MONTH(Table1[[#This Row],[Loss date]])-Earliest_Month)/4)</f>
        <v>13</v>
      </c>
      <c r="Y455" s="17">
        <f>INT((YEAR(Table1[[#This Row],[Reporting date]])*12+MONTH(Table1[[#This Row],[Reporting date]])-Earliest_Month)/4)</f>
        <v>14</v>
      </c>
      <c r="Z455" s="17">
        <f>Table1[[#This Row],[Reporting third]]-Table1[[#This Row],[Policy third]]</f>
        <v>1</v>
      </c>
      <c r="AA455" s="71">
        <f>IF(Table1[[#This Row],[Overall amount]]=0,"N/A",Table1[[#This Row],[Outstanding]]/Table1[[#This Row],[Overall amount]])</f>
        <v>0</v>
      </c>
      <c r="AB455" s="17">
        <f>IF(MONTH(Table1[[#This Row],[Loss date]])&lt;Pol_Inc_Month_Shifted,YEAR(Table1[[#This Row],[Loss date]])-1,YEAR(Table1[[#This Row],[Loss date]]))</f>
        <v>2008</v>
      </c>
      <c r="AC455" s="17">
        <f>IF(MONTH(Table1[[#This Row],[Reporting date]])&lt;Pol_Inc_Month_Shifted,YEAR(Table1[[#This Row],[Reporting date]])-1,YEAR(Table1[[#This Row],[Reporting date]]))</f>
        <v>2009</v>
      </c>
      <c r="AD455" s="17">
        <f>Table1[[#This Row],[Reporting year (shifted)]]-Table1[[#This Row],[Policy Year (shifted)]]</f>
        <v>1</v>
      </c>
    </row>
    <row r="456" spans="1:30" ht="13.9">
      <c r="A456" s="8" t="s">
        <v>2226</v>
      </c>
      <c r="B456" s="8" t="s">
        <v>508</v>
      </c>
      <c r="C456" s="8" t="s">
        <v>123</v>
      </c>
      <c r="D456" s="9">
        <v>40755</v>
      </c>
      <c r="E456" s="9">
        <v>40871</v>
      </c>
      <c r="F456" s="17">
        <f>IF(MONTH(Table1[[#This Row],[Loss date]])&lt;Policy_Inception_Month,YEAR(Table1[[#This Row],[Loss date]])-1,YEAR(Table1[[#This Row],[Loss date]]))</f>
        <v>2011</v>
      </c>
      <c r="G456" s="10" t="s">
        <v>125</v>
      </c>
      <c r="H456" s="10" t="s">
        <v>2</v>
      </c>
      <c r="I456" s="11">
        <v>21338.024918595755</v>
      </c>
      <c r="J456" s="11">
        <v>0</v>
      </c>
      <c r="K456" s="11">
        <v>21338.024918595755</v>
      </c>
      <c r="L456" s="12">
        <v>146.86506241720528</v>
      </c>
      <c r="M456" s="12">
        <v>0</v>
      </c>
      <c r="N456" s="12">
        <v>21484.889981012959</v>
      </c>
      <c r="O456" s="70">
        <f>IF(Table1[[#This Row],[Overall amount]]=0,0,1)</f>
        <v>1</v>
      </c>
      <c r="P456" s="70">
        <f>Table1[[#This Row],[Overall amount]]*Exchange_Rate</f>
        <v>21484.889981012959</v>
      </c>
      <c r="Q456" s="70">
        <f>Table1[[#This Row],[Overall (destination currency)]]*(1+Claims_Inflation)^((Revalue_at_date-Table1[[#This Row],[Loss date]])/365.25)</f>
        <v>26332.2</v>
      </c>
      <c r="R456" s="70">
        <f>INT(Table1[[#This Row],[Reporting date]])-INT(Table1[[#This Row],[Loss date]])</f>
        <v>116</v>
      </c>
      <c r="S456" s="69" t="s">
        <v>9</v>
      </c>
      <c r="T456" s="70">
        <f>VLOOKUP(Table1[[#This Row],[Policy Year]],exposure_table,3,FALSE)</f>
        <v>870.52680000000009</v>
      </c>
      <c r="U456" s="17">
        <f>IF(MONTH(Table1[[#This Row],[Reporting date]])&lt;Policy_Inception_Month,YEAR(Table1[[#This Row],[Reporting date]])-1,YEAR(Table1[[#This Row],[Reporting date]]))</f>
        <v>2011</v>
      </c>
      <c r="V456" s="17">
        <f>Table1[[#This Row],[Reporting year]]-Table1[[#This Row],[Policy Year]]</f>
        <v>0</v>
      </c>
      <c r="W456" s="17">
        <f>INT(Table1[[#This Row],[Reporting date]])-INT(Table1[[#This Row],[Loss date]])</f>
        <v>116</v>
      </c>
      <c r="X456" s="17">
        <f>INT((YEAR(Table1[[#This Row],[Loss date]])*12+MONTH(Table1[[#This Row],[Loss date]])-Earliest_Month)/4)</f>
        <v>18</v>
      </c>
      <c r="Y456" s="17">
        <f>INT((YEAR(Table1[[#This Row],[Reporting date]])*12+MONTH(Table1[[#This Row],[Reporting date]])-Earliest_Month)/4)</f>
        <v>19</v>
      </c>
      <c r="Z456" s="17">
        <f>Table1[[#This Row],[Reporting third]]-Table1[[#This Row],[Policy third]]</f>
        <v>1</v>
      </c>
      <c r="AA456" s="71">
        <f>IF(Table1[[#This Row],[Overall amount]]=0,"N/A",Table1[[#This Row],[Outstanding]]/Table1[[#This Row],[Overall amount]])</f>
        <v>0</v>
      </c>
      <c r="AB456" s="17">
        <f>IF(MONTH(Table1[[#This Row],[Loss date]])&lt;Pol_Inc_Month_Shifted,YEAR(Table1[[#This Row],[Loss date]])-1,YEAR(Table1[[#This Row],[Loss date]]))</f>
        <v>2010</v>
      </c>
      <c r="AC456" s="17">
        <f>IF(MONTH(Table1[[#This Row],[Reporting date]])&lt;Pol_Inc_Month_Shifted,YEAR(Table1[[#This Row],[Reporting date]])-1,YEAR(Table1[[#This Row],[Reporting date]]))</f>
        <v>2010</v>
      </c>
      <c r="AD456" s="17">
        <f>Table1[[#This Row],[Reporting year (shifted)]]-Table1[[#This Row],[Policy Year (shifted)]]</f>
        <v>0</v>
      </c>
    </row>
    <row r="457" spans="1:30" ht="13.9">
      <c r="A457" s="8" t="s">
        <v>2227</v>
      </c>
      <c r="B457" s="8" t="s">
        <v>509</v>
      </c>
      <c r="C457" s="8" t="s">
        <v>123</v>
      </c>
      <c r="D457" s="9">
        <v>40593</v>
      </c>
      <c r="E457" s="9">
        <v>41014</v>
      </c>
      <c r="F457" s="17">
        <f>IF(MONTH(Table1[[#This Row],[Loss date]])&lt;Policy_Inception_Month,YEAR(Table1[[#This Row],[Loss date]])-1,YEAR(Table1[[#This Row],[Loss date]]))</f>
        <v>2010</v>
      </c>
      <c r="G457" s="10" t="s">
        <v>131</v>
      </c>
      <c r="H457" s="10" t="s">
        <v>2</v>
      </c>
      <c r="I457" s="11">
        <v>3476.8037013628318</v>
      </c>
      <c r="J457" s="11">
        <v>31948.517557073519</v>
      </c>
      <c r="K457" s="11">
        <v>35425.32125843635</v>
      </c>
      <c r="L457" s="12">
        <v>143.7210447830972</v>
      </c>
      <c r="M457" s="12">
        <v>0</v>
      </c>
      <c r="N457" s="12">
        <v>35569.042303219445</v>
      </c>
      <c r="O457" s="70">
        <f>IF(Table1[[#This Row],[Overall amount]]=0,0,1)</f>
        <v>1</v>
      </c>
      <c r="P457" s="70">
        <f>Table1[[#This Row],[Overall amount]]*Exchange_Rate</f>
        <v>35569.042303219445</v>
      </c>
      <c r="Q457" s="70">
        <f>Table1[[#This Row],[Overall (destination currency)]]*(1+Claims_Inflation)^((Revalue_at_date-Table1[[#This Row],[Loss date]])/365.25)</f>
        <v>44547.6</v>
      </c>
      <c r="R457" s="70">
        <f>INT(Table1[[#This Row],[Reporting date]])-INT(Table1[[#This Row],[Loss date]])</f>
        <v>421</v>
      </c>
      <c r="S457" s="69" t="s">
        <v>16</v>
      </c>
      <c r="T457" s="70">
        <f>VLOOKUP(Table1[[#This Row],[Policy Year]],exposure_table,3,FALSE)</f>
        <v>837.11513600000012</v>
      </c>
      <c r="U457" s="17">
        <f>IF(MONTH(Table1[[#This Row],[Reporting date]])&lt;Policy_Inception_Month,YEAR(Table1[[#This Row],[Reporting date]])-1,YEAR(Table1[[#This Row],[Reporting date]]))</f>
        <v>2012</v>
      </c>
      <c r="V457" s="17">
        <f>Table1[[#This Row],[Reporting year]]-Table1[[#This Row],[Policy Year]]</f>
        <v>2</v>
      </c>
      <c r="W457" s="17">
        <f>INT(Table1[[#This Row],[Reporting date]])-INT(Table1[[#This Row],[Loss date]])</f>
        <v>421</v>
      </c>
      <c r="X457" s="17">
        <f>INT((YEAR(Table1[[#This Row],[Loss date]])*12+MONTH(Table1[[#This Row],[Loss date]])-Earliest_Month)/4)</f>
        <v>17</v>
      </c>
      <c r="Y457" s="17">
        <f>INT((YEAR(Table1[[#This Row],[Reporting date]])*12+MONTH(Table1[[#This Row],[Reporting date]])-Earliest_Month)/4)</f>
        <v>21</v>
      </c>
      <c r="Z457" s="17">
        <f>Table1[[#This Row],[Reporting third]]-Table1[[#This Row],[Policy third]]</f>
        <v>4</v>
      </c>
      <c r="AA457" s="71">
        <f>IF(Table1[[#This Row],[Overall amount]]=0,"N/A",Table1[[#This Row],[Outstanding]]/Table1[[#This Row],[Overall amount]])</f>
        <v>0.89821135145327702</v>
      </c>
      <c r="AB457" s="17">
        <f>IF(MONTH(Table1[[#This Row],[Loss date]])&lt;Pol_Inc_Month_Shifted,YEAR(Table1[[#This Row],[Loss date]])-1,YEAR(Table1[[#This Row],[Loss date]]))</f>
        <v>2010</v>
      </c>
      <c r="AC457" s="17">
        <f>IF(MONTH(Table1[[#This Row],[Reporting date]])&lt;Pol_Inc_Month_Shifted,YEAR(Table1[[#This Row],[Reporting date]])-1,YEAR(Table1[[#This Row],[Reporting date]]))</f>
        <v>2011</v>
      </c>
      <c r="AD457" s="17">
        <f>Table1[[#This Row],[Reporting year (shifted)]]-Table1[[#This Row],[Policy Year (shifted)]]</f>
        <v>1</v>
      </c>
    </row>
    <row r="458" spans="1:30" ht="13.9">
      <c r="A458" s="8" t="s">
        <v>2228</v>
      </c>
      <c r="B458" s="8" t="s">
        <v>510</v>
      </c>
      <c r="C458" s="8" t="s">
        <v>123</v>
      </c>
      <c r="D458" s="9">
        <v>40709</v>
      </c>
      <c r="E458" s="9">
        <v>40892</v>
      </c>
      <c r="F458" s="17">
        <f>IF(MONTH(Table1[[#This Row],[Loss date]])&lt;Policy_Inception_Month,YEAR(Table1[[#This Row],[Loss date]])-1,YEAR(Table1[[#This Row],[Loss date]]))</f>
        <v>2011</v>
      </c>
      <c r="G458" s="10" t="s">
        <v>125</v>
      </c>
      <c r="H458" s="10" t="s">
        <v>2</v>
      </c>
      <c r="I458" s="11">
        <v>324.52971546048633</v>
      </c>
      <c r="J458" s="11">
        <v>0</v>
      </c>
      <c r="K458" s="11">
        <v>324.52971546048633</v>
      </c>
      <c r="L458" s="12">
        <v>0</v>
      </c>
      <c r="M458" s="12">
        <v>0</v>
      </c>
      <c r="N458" s="12">
        <v>324.52971546048633</v>
      </c>
      <c r="O458" s="70">
        <f>IF(Table1[[#This Row],[Overall amount]]=0,0,1)</f>
        <v>1</v>
      </c>
      <c r="P458" s="70">
        <f>Table1[[#This Row],[Overall amount]]*Exchange_Rate</f>
        <v>324.52971546048633</v>
      </c>
      <c r="Q458" s="70">
        <f>Table1[[#This Row],[Overall (destination currency)]]*(1+Claims_Inflation)^((Revalue_at_date-Table1[[#This Row],[Loss date]])/365.25)</f>
        <v>400.2</v>
      </c>
      <c r="R458" s="70">
        <f>INT(Table1[[#This Row],[Reporting date]])-INT(Table1[[#This Row],[Loss date]])</f>
        <v>183</v>
      </c>
      <c r="S458" s="69" t="s">
        <v>9</v>
      </c>
      <c r="T458" s="70">
        <f>VLOOKUP(Table1[[#This Row],[Policy Year]],exposure_table,3,FALSE)</f>
        <v>870.52680000000009</v>
      </c>
      <c r="U458" s="17">
        <f>IF(MONTH(Table1[[#This Row],[Reporting date]])&lt;Policy_Inception_Month,YEAR(Table1[[#This Row],[Reporting date]])-1,YEAR(Table1[[#This Row],[Reporting date]]))</f>
        <v>2011</v>
      </c>
      <c r="V458" s="17">
        <f>Table1[[#This Row],[Reporting year]]-Table1[[#This Row],[Policy Year]]</f>
        <v>0</v>
      </c>
      <c r="W458" s="17">
        <f>INT(Table1[[#This Row],[Reporting date]])-INT(Table1[[#This Row],[Loss date]])</f>
        <v>183</v>
      </c>
      <c r="X458" s="17">
        <f>INT((YEAR(Table1[[#This Row],[Loss date]])*12+MONTH(Table1[[#This Row],[Loss date]])-Earliest_Month)/4)</f>
        <v>18</v>
      </c>
      <c r="Y458" s="17">
        <f>INT((YEAR(Table1[[#This Row],[Reporting date]])*12+MONTH(Table1[[#This Row],[Reporting date]])-Earliest_Month)/4)</f>
        <v>20</v>
      </c>
      <c r="Z458" s="17">
        <f>Table1[[#This Row],[Reporting third]]-Table1[[#This Row],[Policy third]]</f>
        <v>2</v>
      </c>
      <c r="AA458" s="71">
        <f>IF(Table1[[#This Row],[Overall amount]]=0,"N/A",Table1[[#This Row],[Outstanding]]/Table1[[#This Row],[Overall amount]])</f>
        <v>0</v>
      </c>
      <c r="AB458" s="17">
        <f>IF(MONTH(Table1[[#This Row],[Loss date]])&lt;Pol_Inc_Month_Shifted,YEAR(Table1[[#This Row],[Loss date]])-1,YEAR(Table1[[#This Row],[Loss date]]))</f>
        <v>2010</v>
      </c>
      <c r="AC458" s="17">
        <f>IF(MONTH(Table1[[#This Row],[Reporting date]])&lt;Pol_Inc_Month_Shifted,YEAR(Table1[[#This Row],[Reporting date]])-1,YEAR(Table1[[#This Row],[Reporting date]]))</f>
        <v>2011</v>
      </c>
      <c r="AD458" s="17">
        <f>Table1[[#This Row],[Reporting year (shifted)]]-Table1[[#This Row],[Policy Year (shifted)]]</f>
        <v>1</v>
      </c>
    </row>
    <row r="459" spans="1:30" ht="13.9">
      <c r="A459" s="8" t="s">
        <v>2229</v>
      </c>
      <c r="B459" s="8" t="s">
        <v>511</v>
      </c>
      <c r="C459" s="8" t="s">
        <v>123</v>
      </c>
      <c r="D459" s="9">
        <v>41056</v>
      </c>
      <c r="E459" s="9">
        <v>41062</v>
      </c>
      <c r="F459" s="17">
        <f>IF(MONTH(Table1[[#This Row],[Loss date]])&lt;Policy_Inception_Month,YEAR(Table1[[#This Row],[Loss date]])-1,YEAR(Table1[[#This Row],[Loss date]]))</f>
        <v>2012</v>
      </c>
      <c r="G459" s="10" t="s">
        <v>125</v>
      </c>
      <c r="H459" s="10" t="s">
        <v>2</v>
      </c>
      <c r="I459" s="11">
        <v>266.02943823102902</v>
      </c>
      <c r="J459" s="11">
        <v>0</v>
      </c>
      <c r="K459" s="11">
        <v>266.02943823102902</v>
      </c>
      <c r="L459" s="12">
        <v>0</v>
      </c>
      <c r="M459" s="12">
        <v>0</v>
      </c>
      <c r="N459" s="12">
        <v>266.02943823102902</v>
      </c>
      <c r="O459" s="70">
        <f>IF(Table1[[#This Row],[Overall amount]]=0,0,1)</f>
        <v>1</v>
      </c>
      <c r="P459" s="70">
        <f>Table1[[#This Row],[Overall amount]]*Exchange_Rate</f>
        <v>266.02943823102902</v>
      </c>
      <c r="Q459" s="70">
        <f>Table1[[#This Row],[Overall (destination currency)]]*(1+Claims_Inflation)^((Revalue_at_date-Table1[[#This Row],[Loss date]])/365.25)</f>
        <v>313.2</v>
      </c>
      <c r="R459" s="70">
        <f>INT(Table1[[#This Row],[Reporting date]])-INT(Table1[[#This Row],[Loss date]])</f>
        <v>6</v>
      </c>
      <c r="S459" s="69" t="s">
        <v>9</v>
      </c>
      <c r="T459" s="70">
        <f>VLOOKUP(Table1[[#This Row],[Policy Year]],exposure_table,3,FALSE)</f>
        <v>1057.54</v>
      </c>
      <c r="U459" s="17">
        <f>IF(MONTH(Table1[[#This Row],[Reporting date]])&lt;Policy_Inception_Month,YEAR(Table1[[#This Row],[Reporting date]])-1,YEAR(Table1[[#This Row],[Reporting date]]))</f>
        <v>2012</v>
      </c>
      <c r="V459" s="17">
        <f>Table1[[#This Row],[Reporting year]]-Table1[[#This Row],[Policy Year]]</f>
        <v>0</v>
      </c>
      <c r="W459" s="17">
        <f>INT(Table1[[#This Row],[Reporting date]])-INT(Table1[[#This Row],[Loss date]])</f>
        <v>6</v>
      </c>
      <c r="X459" s="17">
        <f>INT((YEAR(Table1[[#This Row],[Loss date]])*12+MONTH(Table1[[#This Row],[Loss date]])-Earliest_Month)/4)</f>
        <v>21</v>
      </c>
      <c r="Y459" s="17">
        <f>INT((YEAR(Table1[[#This Row],[Reporting date]])*12+MONTH(Table1[[#This Row],[Reporting date]])-Earliest_Month)/4)</f>
        <v>21</v>
      </c>
      <c r="Z459" s="17">
        <f>Table1[[#This Row],[Reporting third]]-Table1[[#This Row],[Policy third]]</f>
        <v>0</v>
      </c>
      <c r="AA459" s="71">
        <f>IF(Table1[[#This Row],[Overall amount]]=0,"N/A",Table1[[#This Row],[Outstanding]]/Table1[[#This Row],[Overall amount]])</f>
        <v>0</v>
      </c>
      <c r="AB459" s="17">
        <f>IF(MONTH(Table1[[#This Row],[Loss date]])&lt;Pol_Inc_Month_Shifted,YEAR(Table1[[#This Row],[Loss date]])-1,YEAR(Table1[[#This Row],[Loss date]]))</f>
        <v>2011</v>
      </c>
      <c r="AC459" s="17">
        <f>IF(MONTH(Table1[[#This Row],[Reporting date]])&lt;Pol_Inc_Month_Shifted,YEAR(Table1[[#This Row],[Reporting date]])-1,YEAR(Table1[[#This Row],[Reporting date]]))</f>
        <v>2011</v>
      </c>
      <c r="AD459" s="17">
        <f>Table1[[#This Row],[Reporting year (shifted)]]-Table1[[#This Row],[Policy Year (shifted)]]</f>
        <v>0</v>
      </c>
    </row>
    <row r="460" spans="1:30" ht="13.9">
      <c r="A460" s="8" t="s">
        <v>2230</v>
      </c>
      <c r="B460" s="8" t="s">
        <v>512</v>
      </c>
      <c r="C460" s="8" t="s">
        <v>123</v>
      </c>
      <c r="D460" s="9">
        <v>40644</v>
      </c>
      <c r="E460" s="9">
        <v>40938</v>
      </c>
      <c r="F460" s="17">
        <f>IF(MONTH(Table1[[#This Row],[Loss date]])&lt;Policy_Inception_Month,YEAR(Table1[[#This Row],[Loss date]])-1,YEAR(Table1[[#This Row],[Loss date]]))</f>
        <v>2011</v>
      </c>
      <c r="G460" s="10" t="s">
        <v>125</v>
      </c>
      <c r="H460" s="10" t="s">
        <v>2</v>
      </c>
      <c r="I460" s="11">
        <v>9584.6774962505242</v>
      </c>
      <c r="J460" s="11">
        <v>0</v>
      </c>
      <c r="K460" s="11">
        <v>9584.6774962505242</v>
      </c>
      <c r="L460" s="12">
        <v>144.70350001887965</v>
      </c>
      <c r="M460" s="12">
        <v>0</v>
      </c>
      <c r="N460" s="12">
        <v>9729.3809962694031</v>
      </c>
      <c r="O460" s="70">
        <f>IF(Table1[[#This Row],[Overall amount]]=0,0,1)</f>
        <v>1</v>
      </c>
      <c r="P460" s="70">
        <f>Table1[[#This Row],[Overall amount]]*Exchange_Rate</f>
        <v>9729.3809962694031</v>
      </c>
      <c r="Q460" s="70">
        <f>Table1[[#This Row],[Overall (destination currency)]]*(1+Claims_Inflation)^((Revalue_at_date-Table1[[#This Row],[Loss date]])/365.25)</f>
        <v>12102.599999999999</v>
      </c>
      <c r="R460" s="70">
        <f>INT(Table1[[#This Row],[Reporting date]])-INT(Table1[[#This Row],[Loss date]])</f>
        <v>294</v>
      </c>
      <c r="S460" s="69" t="s">
        <v>9</v>
      </c>
      <c r="T460" s="70">
        <f>VLOOKUP(Table1[[#This Row],[Policy Year]],exposure_table,3,FALSE)</f>
        <v>870.52680000000009</v>
      </c>
      <c r="U460" s="17">
        <f>IF(MONTH(Table1[[#This Row],[Reporting date]])&lt;Policy_Inception_Month,YEAR(Table1[[#This Row],[Reporting date]])-1,YEAR(Table1[[#This Row],[Reporting date]]))</f>
        <v>2011</v>
      </c>
      <c r="V460" s="17">
        <f>Table1[[#This Row],[Reporting year]]-Table1[[#This Row],[Policy Year]]</f>
        <v>0</v>
      </c>
      <c r="W460" s="17">
        <f>INT(Table1[[#This Row],[Reporting date]])-INT(Table1[[#This Row],[Loss date]])</f>
        <v>294</v>
      </c>
      <c r="X460" s="17">
        <f>INT((YEAR(Table1[[#This Row],[Loss date]])*12+MONTH(Table1[[#This Row],[Loss date]])-Earliest_Month)/4)</f>
        <v>18</v>
      </c>
      <c r="Y460" s="17">
        <f>INT((YEAR(Table1[[#This Row],[Reporting date]])*12+MONTH(Table1[[#This Row],[Reporting date]])-Earliest_Month)/4)</f>
        <v>20</v>
      </c>
      <c r="Z460" s="17">
        <f>Table1[[#This Row],[Reporting third]]-Table1[[#This Row],[Policy third]]</f>
        <v>2</v>
      </c>
      <c r="AA460" s="71">
        <f>IF(Table1[[#This Row],[Overall amount]]=0,"N/A",Table1[[#This Row],[Outstanding]]/Table1[[#This Row],[Overall amount]])</f>
        <v>0</v>
      </c>
      <c r="AB460" s="17">
        <f>IF(MONTH(Table1[[#This Row],[Loss date]])&lt;Pol_Inc_Month_Shifted,YEAR(Table1[[#This Row],[Loss date]])-1,YEAR(Table1[[#This Row],[Loss date]]))</f>
        <v>2010</v>
      </c>
      <c r="AC460" s="17">
        <f>IF(MONTH(Table1[[#This Row],[Reporting date]])&lt;Pol_Inc_Month_Shifted,YEAR(Table1[[#This Row],[Reporting date]])-1,YEAR(Table1[[#This Row],[Reporting date]]))</f>
        <v>2011</v>
      </c>
      <c r="AD460" s="17">
        <f>Table1[[#This Row],[Reporting year (shifted)]]-Table1[[#This Row],[Policy Year (shifted)]]</f>
        <v>1</v>
      </c>
    </row>
    <row r="461" spans="1:30" ht="13.9">
      <c r="A461" s="8" t="s">
        <v>2231</v>
      </c>
      <c r="B461" s="8" t="s">
        <v>513</v>
      </c>
      <c r="C461" s="8" t="s">
        <v>123</v>
      </c>
      <c r="D461" s="9">
        <v>40698</v>
      </c>
      <c r="E461" s="9">
        <v>40971</v>
      </c>
      <c r="F461" s="17">
        <f>IF(MONTH(Table1[[#This Row],[Loss date]])&lt;Policy_Inception_Month,YEAR(Table1[[#This Row],[Loss date]])-1,YEAR(Table1[[#This Row],[Loss date]]))</f>
        <v>2011</v>
      </c>
      <c r="G461" s="10" t="s">
        <v>132</v>
      </c>
      <c r="H461" s="10" t="s">
        <v>2</v>
      </c>
      <c r="I461" s="11">
        <v>140.89269890566186</v>
      </c>
      <c r="J461" s="11">
        <v>0</v>
      </c>
      <c r="K461" s="11">
        <v>140.89269890566186</v>
      </c>
      <c r="L461" s="12">
        <v>0</v>
      </c>
      <c r="M461" s="12">
        <v>0</v>
      </c>
      <c r="N461" s="12">
        <v>140.89269890566186</v>
      </c>
      <c r="O461" s="70">
        <f>IF(Table1[[#This Row],[Overall amount]]=0,0,1)</f>
        <v>1</v>
      </c>
      <c r="P461" s="70">
        <f>Table1[[#This Row],[Overall amount]]*Exchange_Rate</f>
        <v>140.89269890566186</v>
      </c>
      <c r="Q461" s="70">
        <f>Table1[[#This Row],[Overall (destination currency)]]*(1+Claims_Inflation)^((Revalue_at_date-Table1[[#This Row],[Loss date]])/365.25)</f>
        <v>174</v>
      </c>
      <c r="R461" s="70">
        <f>INT(Table1[[#This Row],[Reporting date]])-INT(Table1[[#This Row],[Loss date]])</f>
        <v>273</v>
      </c>
      <c r="S461" s="69" t="s">
        <v>9</v>
      </c>
      <c r="T461" s="70">
        <f>VLOOKUP(Table1[[#This Row],[Policy Year]],exposure_table,3,FALSE)</f>
        <v>870.52680000000009</v>
      </c>
      <c r="U461" s="17">
        <f>IF(MONTH(Table1[[#This Row],[Reporting date]])&lt;Policy_Inception_Month,YEAR(Table1[[#This Row],[Reporting date]])-1,YEAR(Table1[[#This Row],[Reporting date]]))</f>
        <v>2011</v>
      </c>
      <c r="V461" s="17">
        <f>Table1[[#This Row],[Reporting year]]-Table1[[#This Row],[Policy Year]]</f>
        <v>0</v>
      </c>
      <c r="W461" s="17">
        <f>INT(Table1[[#This Row],[Reporting date]])-INT(Table1[[#This Row],[Loss date]])</f>
        <v>273</v>
      </c>
      <c r="X461" s="17">
        <f>INT((YEAR(Table1[[#This Row],[Loss date]])*12+MONTH(Table1[[#This Row],[Loss date]])-Earliest_Month)/4)</f>
        <v>18</v>
      </c>
      <c r="Y461" s="17">
        <f>INT((YEAR(Table1[[#This Row],[Reporting date]])*12+MONTH(Table1[[#This Row],[Reporting date]])-Earliest_Month)/4)</f>
        <v>20</v>
      </c>
      <c r="Z461" s="17">
        <f>Table1[[#This Row],[Reporting third]]-Table1[[#This Row],[Policy third]]</f>
        <v>2</v>
      </c>
      <c r="AA461" s="71">
        <f>IF(Table1[[#This Row],[Overall amount]]=0,"N/A",Table1[[#This Row],[Outstanding]]/Table1[[#This Row],[Overall amount]])</f>
        <v>0</v>
      </c>
      <c r="AB461" s="17">
        <f>IF(MONTH(Table1[[#This Row],[Loss date]])&lt;Pol_Inc_Month_Shifted,YEAR(Table1[[#This Row],[Loss date]])-1,YEAR(Table1[[#This Row],[Loss date]]))</f>
        <v>2010</v>
      </c>
      <c r="AC461" s="17">
        <f>IF(MONTH(Table1[[#This Row],[Reporting date]])&lt;Pol_Inc_Month_Shifted,YEAR(Table1[[#This Row],[Reporting date]])-1,YEAR(Table1[[#This Row],[Reporting date]]))</f>
        <v>2011</v>
      </c>
      <c r="AD461" s="17">
        <f>Table1[[#This Row],[Reporting year (shifted)]]-Table1[[#This Row],[Policy Year (shifted)]]</f>
        <v>1</v>
      </c>
    </row>
    <row r="462" spans="1:30" ht="13.9">
      <c r="A462" s="8" t="s">
        <v>2232</v>
      </c>
      <c r="B462" s="8" t="s">
        <v>514</v>
      </c>
      <c r="C462" s="8" t="s">
        <v>123</v>
      </c>
      <c r="D462" s="9">
        <v>40929</v>
      </c>
      <c r="E462" s="9">
        <v>40938</v>
      </c>
      <c r="F462" s="17">
        <f>IF(MONTH(Table1[[#This Row],[Loss date]])&lt;Policy_Inception_Month,YEAR(Table1[[#This Row],[Loss date]])-1,YEAR(Table1[[#This Row],[Loss date]]))</f>
        <v>2011</v>
      </c>
      <c r="G462" s="10" t="s">
        <v>125</v>
      </c>
      <c r="H462" s="10" t="s">
        <v>2</v>
      </c>
      <c r="I462" s="11">
        <v>13771.791125414193</v>
      </c>
      <c r="J462" s="11">
        <v>1130.79687292924</v>
      </c>
      <c r="K462" s="11">
        <v>14902.587998343432</v>
      </c>
      <c r="L462" s="12">
        <v>150.31862011643565</v>
      </c>
      <c r="M462" s="12">
        <v>0</v>
      </c>
      <c r="N462" s="12">
        <v>15052.906618459867</v>
      </c>
      <c r="O462" s="70">
        <f>IF(Table1[[#This Row],[Overall amount]]=0,0,1)</f>
        <v>1</v>
      </c>
      <c r="P462" s="70">
        <f>Table1[[#This Row],[Overall amount]]*Exchange_Rate</f>
        <v>15052.906618459867</v>
      </c>
      <c r="Q462" s="70">
        <f>Table1[[#This Row],[Overall (destination currency)]]*(1+Claims_Inflation)^((Revalue_at_date-Table1[[#This Row],[Loss date]])/365.25)</f>
        <v>18025.2</v>
      </c>
      <c r="R462" s="70">
        <f>INT(Table1[[#This Row],[Reporting date]])-INT(Table1[[#This Row],[Loss date]])</f>
        <v>9</v>
      </c>
      <c r="S462" s="69" t="s">
        <v>16</v>
      </c>
      <c r="T462" s="70">
        <f>VLOOKUP(Table1[[#This Row],[Policy Year]],exposure_table,3,FALSE)</f>
        <v>870.52680000000009</v>
      </c>
      <c r="U462" s="17">
        <f>IF(MONTH(Table1[[#This Row],[Reporting date]])&lt;Policy_Inception_Month,YEAR(Table1[[#This Row],[Reporting date]])-1,YEAR(Table1[[#This Row],[Reporting date]]))</f>
        <v>2011</v>
      </c>
      <c r="V462" s="17">
        <f>Table1[[#This Row],[Reporting year]]-Table1[[#This Row],[Policy Year]]</f>
        <v>0</v>
      </c>
      <c r="W462" s="17">
        <f>INT(Table1[[#This Row],[Reporting date]])-INT(Table1[[#This Row],[Loss date]])</f>
        <v>9</v>
      </c>
      <c r="X462" s="17">
        <f>INT((YEAR(Table1[[#This Row],[Loss date]])*12+MONTH(Table1[[#This Row],[Loss date]])-Earliest_Month)/4)</f>
        <v>20</v>
      </c>
      <c r="Y462" s="17">
        <f>INT((YEAR(Table1[[#This Row],[Reporting date]])*12+MONTH(Table1[[#This Row],[Reporting date]])-Earliest_Month)/4)</f>
        <v>20</v>
      </c>
      <c r="Z462" s="17">
        <f>Table1[[#This Row],[Reporting third]]-Table1[[#This Row],[Policy third]]</f>
        <v>0</v>
      </c>
      <c r="AA462" s="71">
        <f>IF(Table1[[#This Row],[Overall amount]]=0,"N/A",Table1[[#This Row],[Outstanding]]/Table1[[#This Row],[Overall amount]])</f>
        <v>7.5121496571466606E-2</v>
      </c>
      <c r="AB462" s="17">
        <f>IF(MONTH(Table1[[#This Row],[Loss date]])&lt;Pol_Inc_Month_Shifted,YEAR(Table1[[#This Row],[Loss date]])-1,YEAR(Table1[[#This Row],[Loss date]]))</f>
        <v>2011</v>
      </c>
      <c r="AC462" s="17">
        <f>IF(MONTH(Table1[[#This Row],[Reporting date]])&lt;Pol_Inc_Month_Shifted,YEAR(Table1[[#This Row],[Reporting date]])-1,YEAR(Table1[[#This Row],[Reporting date]]))</f>
        <v>2011</v>
      </c>
      <c r="AD462" s="17">
        <f>Table1[[#This Row],[Reporting year (shifted)]]-Table1[[#This Row],[Policy Year (shifted)]]</f>
        <v>0</v>
      </c>
    </row>
    <row r="463" spans="1:30" ht="13.9">
      <c r="A463" s="8" t="s">
        <v>2233</v>
      </c>
      <c r="B463" s="8" t="s">
        <v>515</v>
      </c>
      <c r="C463" s="8" t="s">
        <v>123</v>
      </c>
      <c r="D463" s="9">
        <v>40935</v>
      </c>
      <c r="E463" s="9">
        <v>41076</v>
      </c>
      <c r="F463" s="17">
        <f>IF(MONTH(Table1[[#This Row],[Loss date]])&lt;Policy_Inception_Month,YEAR(Table1[[#This Row],[Loss date]])-1,YEAR(Table1[[#This Row],[Loss date]]))</f>
        <v>2011</v>
      </c>
      <c r="G463" s="10" t="s">
        <v>125</v>
      </c>
      <c r="H463" s="10" t="s">
        <v>2</v>
      </c>
      <c r="I463" s="11">
        <v>116.339606199806</v>
      </c>
      <c r="J463" s="11">
        <v>0</v>
      </c>
      <c r="K463" s="11">
        <v>116.339606199806</v>
      </c>
      <c r="L463" s="12">
        <v>0</v>
      </c>
      <c r="M463" s="12">
        <v>0</v>
      </c>
      <c r="N463" s="12">
        <v>116.339606199806</v>
      </c>
      <c r="O463" s="70">
        <f>IF(Table1[[#This Row],[Overall amount]]=0,0,1)</f>
        <v>1</v>
      </c>
      <c r="P463" s="70">
        <f>Table1[[#This Row],[Overall amount]]*Exchange_Rate</f>
        <v>116.339606199806</v>
      </c>
      <c r="Q463" s="70">
        <f>Table1[[#This Row],[Overall (destination currency)]]*(1+Claims_Inflation)^((Revalue_at_date-Table1[[#This Row],[Loss date]])/365.25)</f>
        <v>139.19999999999999</v>
      </c>
      <c r="R463" s="70">
        <f>INT(Table1[[#This Row],[Reporting date]])-INT(Table1[[#This Row],[Loss date]])</f>
        <v>141</v>
      </c>
      <c r="S463" s="69" t="s">
        <v>9</v>
      </c>
      <c r="T463" s="70">
        <f>VLOOKUP(Table1[[#This Row],[Policy Year]],exposure_table,3,FALSE)</f>
        <v>870.52680000000009</v>
      </c>
      <c r="U463" s="17">
        <f>IF(MONTH(Table1[[#This Row],[Reporting date]])&lt;Policy_Inception_Month,YEAR(Table1[[#This Row],[Reporting date]])-1,YEAR(Table1[[#This Row],[Reporting date]]))</f>
        <v>2012</v>
      </c>
      <c r="V463" s="17">
        <f>Table1[[#This Row],[Reporting year]]-Table1[[#This Row],[Policy Year]]</f>
        <v>1</v>
      </c>
      <c r="W463" s="17">
        <f>INT(Table1[[#This Row],[Reporting date]])-INT(Table1[[#This Row],[Loss date]])</f>
        <v>141</v>
      </c>
      <c r="X463" s="17">
        <f>INT((YEAR(Table1[[#This Row],[Loss date]])*12+MONTH(Table1[[#This Row],[Loss date]])-Earliest_Month)/4)</f>
        <v>20</v>
      </c>
      <c r="Y463" s="17">
        <f>INT((YEAR(Table1[[#This Row],[Reporting date]])*12+MONTH(Table1[[#This Row],[Reporting date]])-Earliest_Month)/4)</f>
        <v>21</v>
      </c>
      <c r="Z463" s="17">
        <f>Table1[[#This Row],[Reporting third]]-Table1[[#This Row],[Policy third]]</f>
        <v>1</v>
      </c>
      <c r="AA463" s="71">
        <f>IF(Table1[[#This Row],[Overall amount]]=0,"N/A",Table1[[#This Row],[Outstanding]]/Table1[[#This Row],[Overall amount]])</f>
        <v>0</v>
      </c>
      <c r="AB463" s="17">
        <f>IF(MONTH(Table1[[#This Row],[Loss date]])&lt;Pol_Inc_Month_Shifted,YEAR(Table1[[#This Row],[Loss date]])-1,YEAR(Table1[[#This Row],[Loss date]]))</f>
        <v>2011</v>
      </c>
      <c r="AC463" s="17">
        <f>IF(MONTH(Table1[[#This Row],[Reporting date]])&lt;Pol_Inc_Month_Shifted,YEAR(Table1[[#This Row],[Reporting date]])-1,YEAR(Table1[[#This Row],[Reporting date]]))</f>
        <v>2011</v>
      </c>
      <c r="AD463" s="17">
        <f>Table1[[#This Row],[Reporting year (shifted)]]-Table1[[#This Row],[Policy Year (shifted)]]</f>
        <v>0</v>
      </c>
    </row>
    <row r="464" spans="1:30" ht="13.9">
      <c r="A464" s="8" t="s">
        <v>2234</v>
      </c>
      <c r="B464" s="8" t="s">
        <v>516</v>
      </c>
      <c r="C464" s="8" t="s">
        <v>123</v>
      </c>
      <c r="D464" s="9">
        <v>40887</v>
      </c>
      <c r="E464" s="9">
        <v>40920</v>
      </c>
      <c r="F464" s="17">
        <f>IF(MONTH(Table1[[#This Row],[Loss date]])&lt;Policy_Inception_Month,YEAR(Table1[[#This Row],[Loss date]])-1,YEAR(Table1[[#This Row],[Loss date]]))</f>
        <v>2011</v>
      </c>
      <c r="G464" s="10" t="s">
        <v>131</v>
      </c>
      <c r="H464" s="10" t="s">
        <v>2</v>
      </c>
      <c r="I464" s="11">
        <v>10669.713847614468</v>
      </c>
      <c r="J464" s="11">
        <v>0</v>
      </c>
      <c r="K464" s="11">
        <v>10669.713847614468</v>
      </c>
      <c r="L464" s="12">
        <v>149.47763866089196</v>
      </c>
      <c r="M464" s="12">
        <v>0</v>
      </c>
      <c r="N464" s="12">
        <v>10819.19148627536</v>
      </c>
      <c r="O464" s="70">
        <f>IF(Table1[[#This Row],[Overall amount]]=0,0,1)</f>
        <v>1</v>
      </c>
      <c r="P464" s="70">
        <f>Table1[[#This Row],[Overall amount]]*Exchange_Rate</f>
        <v>10819.19148627536</v>
      </c>
      <c r="Q464" s="70">
        <f>Table1[[#This Row],[Overall (destination currency)]]*(1+Claims_Inflation)^((Revalue_at_date-Table1[[#This Row],[Loss date]])/365.25)</f>
        <v>13028.4</v>
      </c>
      <c r="R464" s="70">
        <f>INT(Table1[[#This Row],[Reporting date]])-INT(Table1[[#This Row],[Loss date]])</f>
        <v>33</v>
      </c>
      <c r="S464" s="69" t="s">
        <v>9</v>
      </c>
      <c r="T464" s="70">
        <f>VLOOKUP(Table1[[#This Row],[Policy Year]],exposure_table,3,FALSE)</f>
        <v>870.52680000000009</v>
      </c>
      <c r="U464" s="17">
        <f>IF(MONTH(Table1[[#This Row],[Reporting date]])&lt;Policy_Inception_Month,YEAR(Table1[[#This Row],[Reporting date]])-1,YEAR(Table1[[#This Row],[Reporting date]]))</f>
        <v>2011</v>
      </c>
      <c r="V464" s="17">
        <f>Table1[[#This Row],[Reporting year]]-Table1[[#This Row],[Policy Year]]</f>
        <v>0</v>
      </c>
      <c r="W464" s="17">
        <f>INT(Table1[[#This Row],[Reporting date]])-INT(Table1[[#This Row],[Loss date]])</f>
        <v>33</v>
      </c>
      <c r="X464" s="17">
        <f>INT((YEAR(Table1[[#This Row],[Loss date]])*12+MONTH(Table1[[#This Row],[Loss date]])-Earliest_Month)/4)</f>
        <v>20</v>
      </c>
      <c r="Y464" s="17">
        <f>INT((YEAR(Table1[[#This Row],[Reporting date]])*12+MONTH(Table1[[#This Row],[Reporting date]])-Earliest_Month)/4)</f>
        <v>20</v>
      </c>
      <c r="Z464" s="17">
        <f>Table1[[#This Row],[Reporting third]]-Table1[[#This Row],[Policy third]]</f>
        <v>0</v>
      </c>
      <c r="AA464" s="71">
        <f>IF(Table1[[#This Row],[Overall amount]]=0,"N/A",Table1[[#This Row],[Outstanding]]/Table1[[#This Row],[Overall amount]])</f>
        <v>0</v>
      </c>
      <c r="AB464" s="17">
        <f>IF(MONTH(Table1[[#This Row],[Loss date]])&lt;Pol_Inc_Month_Shifted,YEAR(Table1[[#This Row],[Loss date]])-1,YEAR(Table1[[#This Row],[Loss date]]))</f>
        <v>2011</v>
      </c>
      <c r="AC464" s="17">
        <f>IF(MONTH(Table1[[#This Row],[Reporting date]])&lt;Pol_Inc_Month_Shifted,YEAR(Table1[[#This Row],[Reporting date]])-1,YEAR(Table1[[#This Row],[Reporting date]]))</f>
        <v>2011</v>
      </c>
      <c r="AD464" s="17">
        <f>Table1[[#This Row],[Reporting year (shifted)]]-Table1[[#This Row],[Policy Year (shifted)]]</f>
        <v>0</v>
      </c>
    </row>
    <row r="465" spans="1:30" ht="13.9">
      <c r="A465" s="8" t="s">
        <v>2235</v>
      </c>
      <c r="B465" s="8" t="s">
        <v>517</v>
      </c>
      <c r="C465" s="8" t="s">
        <v>123</v>
      </c>
      <c r="D465" s="9">
        <v>40559</v>
      </c>
      <c r="E465" s="9">
        <v>40971</v>
      </c>
      <c r="F465" s="17">
        <f>IF(MONTH(Table1[[#This Row],[Loss date]])&lt;Policy_Inception_Month,YEAR(Table1[[#This Row],[Loss date]])-1,YEAR(Table1[[#This Row],[Loss date]]))</f>
        <v>2010</v>
      </c>
      <c r="G465" s="10" t="s">
        <v>125</v>
      </c>
      <c r="H465" s="10" t="s">
        <v>2</v>
      </c>
      <c r="I465" s="11">
        <v>719.16411001631332</v>
      </c>
      <c r="J465" s="11">
        <v>0</v>
      </c>
      <c r="K465" s="11">
        <v>719.16411001631332</v>
      </c>
      <c r="L465" s="12">
        <v>0</v>
      </c>
      <c r="M465" s="12">
        <v>0</v>
      </c>
      <c r="N465" s="12">
        <v>719.16411001631332</v>
      </c>
      <c r="O465" s="70">
        <f>IF(Table1[[#This Row],[Overall amount]]=0,0,1)</f>
        <v>1</v>
      </c>
      <c r="P465" s="70">
        <f>Table1[[#This Row],[Overall amount]]*Exchange_Rate</f>
        <v>719.16411001631332</v>
      </c>
      <c r="Q465" s="70">
        <f>Table1[[#This Row],[Overall (destination currency)]]*(1+Claims_Inflation)^((Revalue_at_date-Table1[[#This Row],[Loss date]])/365.25)</f>
        <v>904.8</v>
      </c>
      <c r="R465" s="70">
        <f>INT(Table1[[#This Row],[Reporting date]])-INT(Table1[[#This Row],[Loss date]])</f>
        <v>412</v>
      </c>
      <c r="S465" s="69" t="s">
        <v>9</v>
      </c>
      <c r="T465" s="70">
        <f>VLOOKUP(Table1[[#This Row],[Policy Year]],exposure_table,3,FALSE)</f>
        <v>837.11513600000012</v>
      </c>
      <c r="U465" s="17">
        <f>IF(MONTH(Table1[[#This Row],[Reporting date]])&lt;Policy_Inception_Month,YEAR(Table1[[#This Row],[Reporting date]])-1,YEAR(Table1[[#This Row],[Reporting date]]))</f>
        <v>2011</v>
      </c>
      <c r="V465" s="17">
        <f>Table1[[#This Row],[Reporting year]]-Table1[[#This Row],[Policy Year]]</f>
        <v>1</v>
      </c>
      <c r="W465" s="17">
        <f>INT(Table1[[#This Row],[Reporting date]])-INT(Table1[[#This Row],[Loss date]])</f>
        <v>412</v>
      </c>
      <c r="X465" s="17">
        <f>INT((YEAR(Table1[[#This Row],[Loss date]])*12+MONTH(Table1[[#This Row],[Loss date]])-Earliest_Month)/4)</f>
        <v>17</v>
      </c>
      <c r="Y465" s="17">
        <f>INT((YEAR(Table1[[#This Row],[Reporting date]])*12+MONTH(Table1[[#This Row],[Reporting date]])-Earliest_Month)/4)</f>
        <v>20</v>
      </c>
      <c r="Z465" s="17">
        <f>Table1[[#This Row],[Reporting third]]-Table1[[#This Row],[Policy third]]</f>
        <v>3</v>
      </c>
      <c r="AA465" s="71">
        <f>IF(Table1[[#This Row],[Overall amount]]=0,"N/A",Table1[[#This Row],[Outstanding]]/Table1[[#This Row],[Overall amount]])</f>
        <v>0</v>
      </c>
      <c r="AB465" s="17">
        <f>IF(MONTH(Table1[[#This Row],[Loss date]])&lt;Pol_Inc_Month_Shifted,YEAR(Table1[[#This Row],[Loss date]])-1,YEAR(Table1[[#This Row],[Loss date]]))</f>
        <v>2010</v>
      </c>
      <c r="AC465" s="17">
        <f>IF(MONTH(Table1[[#This Row],[Reporting date]])&lt;Pol_Inc_Month_Shifted,YEAR(Table1[[#This Row],[Reporting date]])-1,YEAR(Table1[[#This Row],[Reporting date]]))</f>
        <v>2011</v>
      </c>
      <c r="AD465" s="17">
        <f>Table1[[#This Row],[Reporting year (shifted)]]-Table1[[#This Row],[Policy Year (shifted)]]</f>
        <v>1</v>
      </c>
    </row>
    <row r="466" spans="1:30" ht="13.9">
      <c r="A466" s="8" t="s">
        <v>2236</v>
      </c>
      <c r="B466" s="8" t="s">
        <v>518</v>
      </c>
      <c r="C466" s="8" t="s">
        <v>123</v>
      </c>
      <c r="D466" s="9">
        <v>40565</v>
      </c>
      <c r="E466" s="9">
        <v>40698</v>
      </c>
      <c r="F466" s="17">
        <f>IF(MONTH(Table1[[#This Row],[Loss date]])&lt;Policy_Inception_Month,YEAR(Table1[[#This Row],[Loss date]])-1,YEAR(Table1[[#This Row],[Loss date]]))</f>
        <v>2010</v>
      </c>
      <c r="G466" s="10" t="s">
        <v>125</v>
      </c>
      <c r="H466" s="10" t="s">
        <v>2</v>
      </c>
      <c r="I466" s="11">
        <v>8114.0267960244173</v>
      </c>
      <c r="J466" s="11">
        <v>0</v>
      </c>
      <c r="K466" s="11">
        <v>8114.0267960244173</v>
      </c>
      <c r="L466" s="12">
        <v>0</v>
      </c>
      <c r="M466" s="12">
        <v>206.43028232202059</v>
      </c>
      <c r="N466" s="12">
        <v>7907.5965137023968</v>
      </c>
      <c r="O466" s="70">
        <f>IF(Table1[[#This Row],[Overall amount]]=0,0,1)</f>
        <v>1</v>
      </c>
      <c r="P466" s="70">
        <f>Table1[[#This Row],[Overall amount]]*Exchange_Rate</f>
        <v>7907.5965137023968</v>
      </c>
      <c r="Q466" s="70">
        <f>Table1[[#This Row],[Overall (destination currency)]]*(1+Claims_Inflation)^((Revalue_at_date-Table1[[#This Row],[Loss date]])/365.25)</f>
        <v>9940.7924999999996</v>
      </c>
      <c r="R466" s="70">
        <f>INT(Table1[[#This Row],[Reporting date]])-INT(Table1[[#This Row],[Loss date]])</f>
        <v>133</v>
      </c>
      <c r="S466" s="69" t="s">
        <v>9</v>
      </c>
      <c r="T466" s="70">
        <f>VLOOKUP(Table1[[#This Row],[Policy Year]],exposure_table,3,FALSE)</f>
        <v>837.11513600000012</v>
      </c>
      <c r="U466" s="17">
        <f>IF(MONTH(Table1[[#This Row],[Reporting date]])&lt;Policy_Inception_Month,YEAR(Table1[[#This Row],[Reporting date]])-1,YEAR(Table1[[#This Row],[Reporting date]]))</f>
        <v>2011</v>
      </c>
      <c r="V466" s="17">
        <f>Table1[[#This Row],[Reporting year]]-Table1[[#This Row],[Policy Year]]</f>
        <v>1</v>
      </c>
      <c r="W466" s="17">
        <f>INT(Table1[[#This Row],[Reporting date]])-INT(Table1[[#This Row],[Loss date]])</f>
        <v>133</v>
      </c>
      <c r="X466" s="17">
        <f>INT((YEAR(Table1[[#This Row],[Loss date]])*12+MONTH(Table1[[#This Row],[Loss date]])-Earliest_Month)/4)</f>
        <v>17</v>
      </c>
      <c r="Y466" s="17">
        <f>INT((YEAR(Table1[[#This Row],[Reporting date]])*12+MONTH(Table1[[#This Row],[Reporting date]])-Earliest_Month)/4)</f>
        <v>18</v>
      </c>
      <c r="Z466" s="17">
        <f>Table1[[#This Row],[Reporting third]]-Table1[[#This Row],[Policy third]]</f>
        <v>1</v>
      </c>
      <c r="AA466" s="71">
        <f>IF(Table1[[#This Row],[Overall amount]]=0,"N/A",Table1[[#This Row],[Outstanding]]/Table1[[#This Row],[Overall amount]])</f>
        <v>0</v>
      </c>
      <c r="AB466" s="17">
        <f>IF(MONTH(Table1[[#This Row],[Loss date]])&lt;Pol_Inc_Month_Shifted,YEAR(Table1[[#This Row],[Loss date]])-1,YEAR(Table1[[#This Row],[Loss date]]))</f>
        <v>2010</v>
      </c>
      <c r="AC466" s="17">
        <f>IF(MONTH(Table1[[#This Row],[Reporting date]])&lt;Pol_Inc_Month_Shifted,YEAR(Table1[[#This Row],[Reporting date]])-1,YEAR(Table1[[#This Row],[Reporting date]]))</f>
        <v>2010</v>
      </c>
      <c r="AD466" s="17">
        <f>Table1[[#This Row],[Reporting year (shifted)]]-Table1[[#This Row],[Policy Year (shifted)]]</f>
        <v>0</v>
      </c>
    </row>
    <row r="467" spans="1:30" ht="13.9">
      <c r="A467" s="8" t="s">
        <v>2237</v>
      </c>
      <c r="B467" s="8" t="s">
        <v>519</v>
      </c>
      <c r="C467" s="8" t="s">
        <v>123</v>
      </c>
      <c r="D467" s="9">
        <v>40749</v>
      </c>
      <c r="E467" s="9">
        <v>40917</v>
      </c>
      <c r="F467" s="17">
        <f>IF(MONTH(Table1[[#This Row],[Loss date]])&lt;Policy_Inception_Month,YEAR(Table1[[#This Row],[Loss date]])-1,YEAR(Table1[[#This Row],[Loss date]]))</f>
        <v>2011</v>
      </c>
      <c r="G467" s="10" t="s">
        <v>125</v>
      </c>
      <c r="H467" s="10" t="s">
        <v>2</v>
      </c>
      <c r="I467" s="11">
        <v>666.72235399321357</v>
      </c>
      <c r="J467" s="11">
        <v>0</v>
      </c>
      <c r="K467" s="11">
        <v>666.72235399321357</v>
      </c>
      <c r="L467" s="12">
        <v>0</v>
      </c>
      <c r="M467" s="12">
        <v>0</v>
      </c>
      <c r="N467" s="12">
        <v>666.72235399321357</v>
      </c>
      <c r="O467" s="70">
        <f>IF(Table1[[#This Row],[Overall amount]]=0,0,1)</f>
        <v>1</v>
      </c>
      <c r="P467" s="70">
        <f>Table1[[#This Row],[Overall amount]]*Exchange_Rate</f>
        <v>666.72235399321357</v>
      </c>
      <c r="Q467" s="70">
        <f>Table1[[#This Row],[Overall (destination currency)]]*(1+Claims_Inflation)^((Revalue_at_date-Table1[[#This Row],[Loss date]])/365.25)</f>
        <v>817.80000000000018</v>
      </c>
      <c r="R467" s="70">
        <f>INT(Table1[[#This Row],[Reporting date]])-INT(Table1[[#This Row],[Loss date]])</f>
        <v>168</v>
      </c>
      <c r="S467" s="69" t="s">
        <v>9</v>
      </c>
      <c r="T467" s="70">
        <f>VLOOKUP(Table1[[#This Row],[Policy Year]],exposure_table,3,FALSE)</f>
        <v>870.52680000000009</v>
      </c>
      <c r="U467" s="17">
        <f>IF(MONTH(Table1[[#This Row],[Reporting date]])&lt;Policy_Inception_Month,YEAR(Table1[[#This Row],[Reporting date]])-1,YEAR(Table1[[#This Row],[Reporting date]]))</f>
        <v>2011</v>
      </c>
      <c r="V467" s="17">
        <f>Table1[[#This Row],[Reporting year]]-Table1[[#This Row],[Policy Year]]</f>
        <v>0</v>
      </c>
      <c r="W467" s="17">
        <f>INT(Table1[[#This Row],[Reporting date]])-INT(Table1[[#This Row],[Loss date]])</f>
        <v>168</v>
      </c>
      <c r="X467" s="17">
        <f>INT((YEAR(Table1[[#This Row],[Loss date]])*12+MONTH(Table1[[#This Row],[Loss date]])-Earliest_Month)/4)</f>
        <v>18</v>
      </c>
      <c r="Y467" s="17">
        <f>INT((YEAR(Table1[[#This Row],[Reporting date]])*12+MONTH(Table1[[#This Row],[Reporting date]])-Earliest_Month)/4)</f>
        <v>20</v>
      </c>
      <c r="Z467" s="17">
        <f>Table1[[#This Row],[Reporting third]]-Table1[[#This Row],[Policy third]]</f>
        <v>2</v>
      </c>
      <c r="AA467" s="71">
        <f>IF(Table1[[#This Row],[Overall amount]]=0,"N/A",Table1[[#This Row],[Outstanding]]/Table1[[#This Row],[Overall amount]])</f>
        <v>0</v>
      </c>
      <c r="AB467" s="17">
        <f>IF(MONTH(Table1[[#This Row],[Loss date]])&lt;Pol_Inc_Month_Shifted,YEAR(Table1[[#This Row],[Loss date]])-1,YEAR(Table1[[#This Row],[Loss date]]))</f>
        <v>2010</v>
      </c>
      <c r="AC467" s="17">
        <f>IF(MONTH(Table1[[#This Row],[Reporting date]])&lt;Pol_Inc_Month_Shifted,YEAR(Table1[[#This Row],[Reporting date]])-1,YEAR(Table1[[#This Row],[Reporting date]]))</f>
        <v>2011</v>
      </c>
      <c r="AD467" s="17">
        <f>Table1[[#This Row],[Reporting year (shifted)]]-Table1[[#This Row],[Policy Year (shifted)]]</f>
        <v>1</v>
      </c>
    </row>
    <row r="468" spans="1:30" ht="13.9">
      <c r="A468" s="8" t="s">
        <v>2238</v>
      </c>
      <c r="B468" s="8" t="s">
        <v>520</v>
      </c>
      <c r="C468" s="8" t="s">
        <v>123</v>
      </c>
      <c r="D468" s="9">
        <v>40789</v>
      </c>
      <c r="E468" s="9">
        <v>40973</v>
      </c>
      <c r="F468" s="17">
        <f>IF(MONTH(Table1[[#This Row],[Loss date]])&lt;Policy_Inception_Month,YEAR(Table1[[#This Row],[Loss date]])-1,YEAR(Table1[[#This Row],[Loss date]]))</f>
        <v>2011</v>
      </c>
      <c r="G468" s="10" t="s">
        <v>125</v>
      </c>
      <c r="H468" s="10" t="s">
        <v>2</v>
      </c>
      <c r="I468" s="11">
        <v>613.24799884292304</v>
      </c>
      <c r="J468" s="11">
        <v>0</v>
      </c>
      <c r="K468" s="11">
        <v>613.24799884292304</v>
      </c>
      <c r="L468" s="12">
        <v>0</v>
      </c>
      <c r="M468" s="12">
        <v>0</v>
      </c>
      <c r="N468" s="12">
        <v>613.24799884292304</v>
      </c>
      <c r="O468" s="70">
        <f>IF(Table1[[#This Row],[Overall amount]]=0,0,1)</f>
        <v>1</v>
      </c>
      <c r="P468" s="70">
        <f>Table1[[#This Row],[Overall amount]]*Exchange_Rate</f>
        <v>613.24799884292304</v>
      </c>
      <c r="Q468" s="70">
        <f>Table1[[#This Row],[Overall (destination currency)]]*(1+Claims_Inflation)^((Revalue_at_date-Table1[[#This Row],[Loss date]])/365.25)</f>
        <v>748.19999999999993</v>
      </c>
      <c r="R468" s="70">
        <f>INT(Table1[[#This Row],[Reporting date]])-INT(Table1[[#This Row],[Loss date]])</f>
        <v>184</v>
      </c>
      <c r="S468" s="69" t="s">
        <v>9</v>
      </c>
      <c r="T468" s="70">
        <f>VLOOKUP(Table1[[#This Row],[Policy Year]],exposure_table,3,FALSE)</f>
        <v>870.52680000000009</v>
      </c>
      <c r="U468" s="17">
        <f>IF(MONTH(Table1[[#This Row],[Reporting date]])&lt;Policy_Inception_Month,YEAR(Table1[[#This Row],[Reporting date]])-1,YEAR(Table1[[#This Row],[Reporting date]]))</f>
        <v>2011</v>
      </c>
      <c r="V468" s="17">
        <f>Table1[[#This Row],[Reporting year]]-Table1[[#This Row],[Policy Year]]</f>
        <v>0</v>
      </c>
      <c r="W468" s="17">
        <f>INT(Table1[[#This Row],[Reporting date]])-INT(Table1[[#This Row],[Loss date]])</f>
        <v>184</v>
      </c>
      <c r="X468" s="17">
        <f>INT((YEAR(Table1[[#This Row],[Loss date]])*12+MONTH(Table1[[#This Row],[Loss date]])-Earliest_Month)/4)</f>
        <v>19</v>
      </c>
      <c r="Y468" s="17">
        <f>INT((YEAR(Table1[[#This Row],[Reporting date]])*12+MONTH(Table1[[#This Row],[Reporting date]])-Earliest_Month)/4)</f>
        <v>20</v>
      </c>
      <c r="Z468" s="17">
        <f>Table1[[#This Row],[Reporting third]]-Table1[[#This Row],[Policy third]]</f>
        <v>1</v>
      </c>
      <c r="AA468" s="71">
        <f>IF(Table1[[#This Row],[Overall amount]]=0,"N/A",Table1[[#This Row],[Outstanding]]/Table1[[#This Row],[Overall amount]])</f>
        <v>0</v>
      </c>
      <c r="AB468" s="17">
        <f>IF(MONTH(Table1[[#This Row],[Loss date]])&lt;Pol_Inc_Month_Shifted,YEAR(Table1[[#This Row],[Loss date]])-1,YEAR(Table1[[#This Row],[Loss date]]))</f>
        <v>2010</v>
      </c>
      <c r="AC468" s="17">
        <f>IF(MONTH(Table1[[#This Row],[Reporting date]])&lt;Pol_Inc_Month_Shifted,YEAR(Table1[[#This Row],[Reporting date]])-1,YEAR(Table1[[#This Row],[Reporting date]]))</f>
        <v>2011</v>
      </c>
      <c r="AD468" s="17">
        <f>Table1[[#This Row],[Reporting year (shifted)]]-Table1[[#This Row],[Policy Year (shifted)]]</f>
        <v>1</v>
      </c>
    </row>
    <row r="469" spans="1:30" ht="13.9">
      <c r="A469" s="8" t="s">
        <v>2239</v>
      </c>
      <c r="B469" s="8" t="s">
        <v>521</v>
      </c>
      <c r="C469" s="8" t="s">
        <v>123</v>
      </c>
      <c r="D469" s="9">
        <v>40669</v>
      </c>
      <c r="E469" s="9">
        <v>40787</v>
      </c>
      <c r="F469" s="17">
        <f>IF(MONTH(Table1[[#This Row],[Loss date]])&lt;Policy_Inception_Month,YEAR(Table1[[#This Row],[Loss date]])-1,YEAR(Table1[[#This Row],[Loss date]]))</f>
        <v>2011</v>
      </c>
      <c r="G469" s="10" t="s">
        <v>125</v>
      </c>
      <c r="H469" s="10" t="s">
        <v>2</v>
      </c>
      <c r="I469" s="11">
        <v>814.01817361493659</v>
      </c>
      <c r="J469" s="11">
        <v>0</v>
      </c>
      <c r="K469" s="11">
        <v>814.01817361493659</v>
      </c>
      <c r="L469" s="12">
        <v>0</v>
      </c>
      <c r="M469" s="12">
        <v>0</v>
      </c>
      <c r="N469" s="12">
        <v>814.01817361493659</v>
      </c>
      <c r="O469" s="70">
        <f>IF(Table1[[#This Row],[Overall amount]]=0,0,1)</f>
        <v>1</v>
      </c>
      <c r="P469" s="70">
        <f>Table1[[#This Row],[Overall amount]]*Exchange_Rate</f>
        <v>814.01817361493659</v>
      </c>
      <c r="Q469" s="70">
        <f>Table1[[#This Row],[Overall (destination currency)]]*(1+Claims_Inflation)^((Revalue_at_date-Table1[[#This Row],[Loss date]])/365.25)</f>
        <v>1009.1999999999998</v>
      </c>
      <c r="R469" s="70">
        <f>INT(Table1[[#This Row],[Reporting date]])-INT(Table1[[#This Row],[Loss date]])</f>
        <v>118</v>
      </c>
      <c r="S469" s="69" t="s">
        <v>9</v>
      </c>
      <c r="T469" s="70">
        <f>VLOOKUP(Table1[[#This Row],[Policy Year]],exposure_table,3,FALSE)</f>
        <v>870.52680000000009</v>
      </c>
      <c r="U469" s="17">
        <f>IF(MONTH(Table1[[#This Row],[Reporting date]])&lt;Policy_Inception_Month,YEAR(Table1[[#This Row],[Reporting date]])-1,YEAR(Table1[[#This Row],[Reporting date]]))</f>
        <v>2011</v>
      </c>
      <c r="V469" s="17">
        <f>Table1[[#This Row],[Reporting year]]-Table1[[#This Row],[Policy Year]]</f>
        <v>0</v>
      </c>
      <c r="W469" s="17">
        <f>INT(Table1[[#This Row],[Reporting date]])-INT(Table1[[#This Row],[Loss date]])</f>
        <v>118</v>
      </c>
      <c r="X469" s="17">
        <f>INT((YEAR(Table1[[#This Row],[Loss date]])*12+MONTH(Table1[[#This Row],[Loss date]])-Earliest_Month)/4)</f>
        <v>18</v>
      </c>
      <c r="Y469" s="17">
        <f>INT((YEAR(Table1[[#This Row],[Reporting date]])*12+MONTH(Table1[[#This Row],[Reporting date]])-Earliest_Month)/4)</f>
        <v>19</v>
      </c>
      <c r="Z469" s="17">
        <f>Table1[[#This Row],[Reporting third]]-Table1[[#This Row],[Policy third]]</f>
        <v>1</v>
      </c>
      <c r="AA469" s="71">
        <f>IF(Table1[[#This Row],[Overall amount]]=0,"N/A",Table1[[#This Row],[Outstanding]]/Table1[[#This Row],[Overall amount]])</f>
        <v>0</v>
      </c>
      <c r="AB469" s="17">
        <f>IF(MONTH(Table1[[#This Row],[Loss date]])&lt;Pol_Inc_Month_Shifted,YEAR(Table1[[#This Row],[Loss date]])-1,YEAR(Table1[[#This Row],[Loss date]]))</f>
        <v>2010</v>
      </c>
      <c r="AC469" s="17">
        <f>IF(MONTH(Table1[[#This Row],[Reporting date]])&lt;Pol_Inc_Month_Shifted,YEAR(Table1[[#This Row],[Reporting date]])-1,YEAR(Table1[[#This Row],[Reporting date]]))</f>
        <v>2010</v>
      </c>
      <c r="AD469" s="17">
        <f>Table1[[#This Row],[Reporting year (shifted)]]-Table1[[#This Row],[Policy Year (shifted)]]</f>
        <v>0</v>
      </c>
    </row>
    <row r="470" spans="1:30" ht="13.9">
      <c r="A470" s="8" t="s">
        <v>2240</v>
      </c>
      <c r="B470" s="8" t="s">
        <v>522</v>
      </c>
      <c r="C470" s="8" t="s">
        <v>123</v>
      </c>
      <c r="D470" s="9">
        <v>40488</v>
      </c>
      <c r="E470" s="9">
        <v>40595</v>
      </c>
      <c r="F470" s="17">
        <f>IF(MONTH(Table1[[#This Row],[Loss date]])&lt;Policy_Inception_Month,YEAR(Table1[[#This Row],[Loss date]])-1,YEAR(Table1[[#This Row],[Loss date]]))</f>
        <v>2010</v>
      </c>
      <c r="G470" s="10" t="s">
        <v>125</v>
      </c>
      <c r="H470" s="10" t="s">
        <v>2</v>
      </c>
      <c r="I470" s="11">
        <v>301.38970266530674</v>
      </c>
      <c r="J470" s="11">
        <v>0</v>
      </c>
      <c r="K470" s="11">
        <v>301.38970266530674</v>
      </c>
      <c r="L470" s="12">
        <v>0</v>
      </c>
      <c r="M470" s="12">
        <v>0</v>
      </c>
      <c r="N470" s="12">
        <v>301.38970266530674</v>
      </c>
      <c r="O470" s="70">
        <f>IF(Table1[[#This Row],[Overall amount]]=0,0,1)</f>
        <v>1</v>
      </c>
      <c r="P470" s="70">
        <f>Table1[[#This Row],[Overall amount]]*Exchange_Rate</f>
        <v>301.38970266530674</v>
      </c>
      <c r="Q470" s="70">
        <f>Table1[[#This Row],[Overall (destination currency)]]*(1+Claims_Inflation)^((Revalue_at_date-Table1[[#This Row],[Loss date]])/365.25)</f>
        <v>382.80000000000007</v>
      </c>
      <c r="R470" s="70">
        <f>INT(Table1[[#This Row],[Reporting date]])-INT(Table1[[#This Row],[Loss date]])</f>
        <v>107</v>
      </c>
      <c r="S470" s="69" t="s">
        <v>9</v>
      </c>
      <c r="T470" s="70">
        <f>VLOOKUP(Table1[[#This Row],[Policy Year]],exposure_table,3,FALSE)</f>
        <v>837.11513600000012</v>
      </c>
      <c r="U470" s="17">
        <f>IF(MONTH(Table1[[#This Row],[Reporting date]])&lt;Policy_Inception_Month,YEAR(Table1[[#This Row],[Reporting date]])-1,YEAR(Table1[[#This Row],[Reporting date]]))</f>
        <v>2010</v>
      </c>
      <c r="V470" s="17">
        <f>Table1[[#This Row],[Reporting year]]-Table1[[#This Row],[Policy Year]]</f>
        <v>0</v>
      </c>
      <c r="W470" s="17">
        <f>INT(Table1[[#This Row],[Reporting date]])-INT(Table1[[#This Row],[Loss date]])</f>
        <v>107</v>
      </c>
      <c r="X470" s="17">
        <f>INT((YEAR(Table1[[#This Row],[Loss date]])*12+MONTH(Table1[[#This Row],[Loss date]])-Earliest_Month)/4)</f>
        <v>16</v>
      </c>
      <c r="Y470" s="17">
        <f>INT((YEAR(Table1[[#This Row],[Reporting date]])*12+MONTH(Table1[[#This Row],[Reporting date]])-Earliest_Month)/4)</f>
        <v>17</v>
      </c>
      <c r="Z470" s="17">
        <f>Table1[[#This Row],[Reporting third]]-Table1[[#This Row],[Policy third]]</f>
        <v>1</v>
      </c>
      <c r="AA470" s="71">
        <f>IF(Table1[[#This Row],[Overall amount]]=0,"N/A",Table1[[#This Row],[Outstanding]]/Table1[[#This Row],[Overall amount]])</f>
        <v>0</v>
      </c>
      <c r="AB470" s="17">
        <f>IF(MONTH(Table1[[#This Row],[Loss date]])&lt;Pol_Inc_Month_Shifted,YEAR(Table1[[#This Row],[Loss date]])-1,YEAR(Table1[[#This Row],[Loss date]]))</f>
        <v>2009</v>
      </c>
      <c r="AC470" s="17">
        <f>IF(MONTH(Table1[[#This Row],[Reporting date]])&lt;Pol_Inc_Month_Shifted,YEAR(Table1[[#This Row],[Reporting date]])-1,YEAR(Table1[[#This Row],[Reporting date]]))</f>
        <v>2010</v>
      </c>
      <c r="AD470" s="17">
        <f>Table1[[#This Row],[Reporting year (shifted)]]-Table1[[#This Row],[Policy Year (shifted)]]</f>
        <v>1</v>
      </c>
    </row>
    <row r="471" spans="1:30" ht="13.9">
      <c r="A471" s="8" t="s">
        <v>2241</v>
      </c>
      <c r="B471" s="8" t="s">
        <v>523</v>
      </c>
      <c r="C471" s="8" t="s">
        <v>123</v>
      </c>
      <c r="D471" s="9">
        <v>40442</v>
      </c>
      <c r="E471" s="9">
        <v>40564</v>
      </c>
      <c r="F471" s="17">
        <f>IF(MONTH(Table1[[#This Row],[Loss date]])&lt;Policy_Inception_Month,YEAR(Table1[[#This Row],[Loss date]])-1,YEAR(Table1[[#This Row],[Loss date]]))</f>
        <v>2010</v>
      </c>
      <c r="G471" s="10" t="s">
        <v>125</v>
      </c>
      <c r="H471" s="10" t="s">
        <v>2</v>
      </c>
      <c r="I471" s="11">
        <v>1075.6332436518458</v>
      </c>
      <c r="J471" s="11">
        <v>0</v>
      </c>
      <c r="K471" s="11">
        <v>1075.6332436518458</v>
      </c>
      <c r="L471" s="12">
        <v>0</v>
      </c>
      <c r="M471" s="12">
        <v>0</v>
      </c>
      <c r="N471" s="12">
        <v>1075.6332436518458</v>
      </c>
      <c r="O471" s="70">
        <f>IF(Table1[[#This Row],[Overall amount]]=0,0,1)</f>
        <v>1</v>
      </c>
      <c r="P471" s="70">
        <f>Table1[[#This Row],[Overall amount]]*Exchange_Rate</f>
        <v>1075.6332436518458</v>
      </c>
      <c r="Q471" s="70">
        <f>Table1[[#This Row],[Overall (destination currency)]]*(1+Claims_Inflation)^((Revalue_at_date-Table1[[#This Row],[Loss date]])/365.25)</f>
        <v>1374.6</v>
      </c>
      <c r="R471" s="70">
        <f>INT(Table1[[#This Row],[Reporting date]])-INT(Table1[[#This Row],[Loss date]])</f>
        <v>122</v>
      </c>
      <c r="S471" s="69" t="s">
        <v>9</v>
      </c>
      <c r="T471" s="70">
        <f>VLOOKUP(Table1[[#This Row],[Policy Year]],exposure_table,3,FALSE)</f>
        <v>837.11513600000012</v>
      </c>
      <c r="U471" s="17">
        <f>IF(MONTH(Table1[[#This Row],[Reporting date]])&lt;Policy_Inception_Month,YEAR(Table1[[#This Row],[Reporting date]])-1,YEAR(Table1[[#This Row],[Reporting date]]))</f>
        <v>2010</v>
      </c>
      <c r="V471" s="17">
        <f>Table1[[#This Row],[Reporting year]]-Table1[[#This Row],[Policy Year]]</f>
        <v>0</v>
      </c>
      <c r="W471" s="17">
        <f>INT(Table1[[#This Row],[Reporting date]])-INT(Table1[[#This Row],[Loss date]])</f>
        <v>122</v>
      </c>
      <c r="X471" s="17">
        <f>INT((YEAR(Table1[[#This Row],[Loss date]])*12+MONTH(Table1[[#This Row],[Loss date]])-Earliest_Month)/4)</f>
        <v>16</v>
      </c>
      <c r="Y471" s="17">
        <f>INT((YEAR(Table1[[#This Row],[Reporting date]])*12+MONTH(Table1[[#This Row],[Reporting date]])-Earliest_Month)/4)</f>
        <v>17</v>
      </c>
      <c r="Z471" s="17">
        <f>Table1[[#This Row],[Reporting third]]-Table1[[#This Row],[Policy third]]</f>
        <v>1</v>
      </c>
      <c r="AA471" s="71">
        <f>IF(Table1[[#This Row],[Overall amount]]=0,"N/A",Table1[[#This Row],[Outstanding]]/Table1[[#This Row],[Overall amount]])</f>
        <v>0</v>
      </c>
      <c r="AB471" s="17">
        <f>IF(MONTH(Table1[[#This Row],[Loss date]])&lt;Pol_Inc_Month_Shifted,YEAR(Table1[[#This Row],[Loss date]])-1,YEAR(Table1[[#This Row],[Loss date]]))</f>
        <v>2009</v>
      </c>
      <c r="AC471" s="17">
        <f>IF(MONTH(Table1[[#This Row],[Reporting date]])&lt;Pol_Inc_Month_Shifted,YEAR(Table1[[#This Row],[Reporting date]])-1,YEAR(Table1[[#This Row],[Reporting date]]))</f>
        <v>2010</v>
      </c>
      <c r="AD471" s="17">
        <f>Table1[[#This Row],[Reporting year (shifted)]]-Table1[[#This Row],[Policy Year (shifted)]]</f>
        <v>1</v>
      </c>
    </row>
    <row r="472" spans="1:30" ht="13.9">
      <c r="A472" s="8" t="s">
        <v>2242</v>
      </c>
      <c r="B472" s="8" t="s">
        <v>524</v>
      </c>
      <c r="C472" s="8" t="s">
        <v>123</v>
      </c>
      <c r="D472" s="9">
        <v>40825</v>
      </c>
      <c r="E472" s="9">
        <v>40934</v>
      </c>
      <c r="F472" s="17">
        <f>IF(MONTH(Table1[[#This Row],[Loss date]])&lt;Policy_Inception_Month,YEAR(Table1[[#This Row],[Loss date]])-1,YEAR(Table1[[#This Row],[Loss date]]))</f>
        <v>2011</v>
      </c>
      <c r="G472" s="10" t="s">
        <v>125</v>
      </c>
      <c r="H472" s="10" t="s">
        <v>2</v>
      </c>
      <c r="I472" s="11">
        <v>17217.643057939</v>
      </c>
      <c r="J472" s="11">
        <v>0</v>
      </c>
      <c r="K472" s="11">
        <v>17217.643057939</v>
      </c>
      <c r="L472" s="12">
        <v>0</v>
      </c>
      <c r="M472" s="12">
        <v>0</v>
      </c>
      <c r="N472" s="12">
        <v>17217.643057939</v>
      </c>
      <c r="O472" s="70">
        <f>IF(Table1[[#This Row],[Overall amount]]=0,0,1)</f>
        <v>1</v>
      </c>
      <c r="P472" s="70">
        <f>Table1[[#This Row],[Overall amount]]*Exchange_Rate</f>
        <v>17217.643057939</v>
      </c>
      <c r="Q472" s="70">
        <f>Table1[[#This Row],[Overall (destination currency)]]*(1+Claims_Inflation)^((Revalue_at_date-Table1[[#This Row],[Loss date]])/365.25)</f>
        <v>20905.8</v>
      </c>
      <c r="R472" s="70">
        <f>INT(Table1[[#This Row],[Reporting date]])-INT(Table1[[#This Row],[Loss date]])</f>
        <v>109</v>
      </c>
      <c r="S472" s="69" t="s">
        <v>9</v>
      </c>
      <c r="T472" s="70">
        <f>VLOOKUP(Table1[[#This Row],[Policy Year]],exposure_table,3,FALSE)</f>
        <v>870.52680000000009</v>
      </c>
      <c r="U472" s="17">
        <f>IF(MONTH(Table1[[#This Row],[Reporting date]])&lt;Policy_Inception_Month,YEAR(Table1[[#This Row],[Reporting date]])-1,YEAR(Table1[[#This Row],[Reporting date]]))</f>
        <v>2011</v>
      </c>
      <c r="V472" s="17">
        <f>Table1[[#This Row],[Reporting year]]-Table1[[#This Row],[Policy Year]]</f>
        <v>0</v>
      </c>
      <c r="W472" s="17">
        <f>INT(Table1[[#This Row],[Reporting date]])-INT(Table1[[#This Row],[Loss date]])</f>
        <v>109</v>
      </c>
      <c r="X472" s="17">
        <f>INT((YEAR(Table1[[#This Row],[Loss date]])*12+MONTH(Table1[[#This Row],[Loss date]])-Earliest_Month)/4)</f>
        <v>19</v>
      </c>
      <c r="Y472" s="17">
        <f>INT((YEAR(Table1[[#This Row],[Reporting date]])*12+MONTH(Table1[[#This Row],[Reporting date]])-Earliest_Month)/4)</f>
        <v>20</v>
      </c>
      <c r="Z472" s="17">
        <f>Table1[[#This Row],[Reporting third]]-Table1[[#This Row],[Policy third]]</f>
        <v>1</v>
      </c>
      <c r="AA472" s="71">
        <f>IF(Table1[[#This Row],[Overall amount]]=0,"N/A",Table1[[#This Row],[Outstanding]]/Table1[[#This Row],[Overall amount]])</f>
        <v>0</v>
      </c>
      <c r="AB472" s="17">
        <f>IF(MONTH(Table1[[#This Row],[Loss date]])&lt;Pol_Inc_Month_Shifted,YEAR(Table1[[#This Row],[Loss date]])-1,YEAR(Table1[[#This Row],[Loss date]]))</f>
        <v>2010</v>
      </c>
      <c r="AC472" s="17">
        <f>IF(MONTH(Table1[[#This Row],[Reporting date]])&lt;Pol_Inc_Month_Shifted,YEAR(Table1[[#This Row],[Reporting date]])-1,YEAR(Table1[[#This Row],[Reporting date]]))</f>
        <v>2011</v>
      </c>
      <c r="AD472" s="17">
        <f>Table1[[#This Row],[Reporting year (shifted)]]-Table1[[#This Row],[Policy Year (shifted)]]</f>
        <v>1</v>
      </c>
    </row>
    <row r="473" spans="1:30" ht="13.9">
      <c r="A473" s="8" t="s">
        <v>2243</v>
      </c>
      <c r="B473" s="8" t="s">
        <v>525</v>
      </c>
      <c r="C473" s="8" t="s">
        <v>123</v>
      </c>
      <c r="D473" s="9">
        <v>40773</v>
      </c>
      <c r="E473" s="9">
        <v>40824</v>
      </c>
      <c r="F473" s="17">
        <f>IF(MONTH(Table1[[#This Row],[Loss date]])&lt;Policy_Inception_Month,YEAR(Table1[[#This Row],[Loss date]])-1,YEAR(Table1[[#This Row],[Loss date]]))</f>
        <v>2011</v>
      </c>
      <c r="G473" s="10" t="s">
        <v>125</v>
      </c>
      <c r="H473" s="10" t="s">
        <v>2</v>
      </c>
      <c r="I473" s="11">
        <v>7937.0463187896476</v>
      </c>
      <c r="J473" s="11">
        <v>0</v>
      </c>
      <c r="K473" s="11">
        <v>7937.0463187896476</v>
      </c>
      <c r="L473" s="12">
        <v>0</v>
      </c>
      <c r="M473" s="12">
        <v>282.94927271861769</v>
      </c>
      <c r="N473" s="12">
        <v>7654.0970460710296</v>
      </c>
      <c r="O473" s="70">
        <f>IF(Table1[[#This Row],[Overall amount]]=0,0,1)</f>
        <v>1</v>
      </c>
      <c r="P473" s="70">
        <f>Table1[[#This Row],[Overall amount]]*Exchange_Rate</f>
        <v>7654.0970460710296</v>
      </c>
      <c r="Q473" s="70">
        <f>Table1[[#This Row],[Overall (destination currency)]]*(1+Claims_Inflation)^((Revalue_at_date-Table1[[#This Row],[Loss date]])/365.25)</f>
        <v>9358.4459999999999</v>
      </c>
      <c r="R473" s="70">
        <f>INT(Table1[[#This Row],[Reporting date]])-INT(Table1[[#This Row],[Loss date]])</f>
        <v>51</v>
      </c>
      <c r="S473" s="69" t="s">
        <v>9</v>
      </c>
      <c r="T473" s="70">
        <f>VLOOKUP(Table1[[#This Row],[Policy Year]],exposure_table,3,FALSE)</f>
        <v>870.52680000000009</v>
      </c>
      <c r="U473" s="17">
        <f>IF(MONTH(Table1[[#This Row],[Reporting date]])&lt;Policy_Inception_Month,YEAR(Table1[[#This Row],[Reporting date]])-1,YEAR(Table1[[#This Row],[Reporting date]]))</f>
        <v>2011</v>
      </c>
      <c r="V473" s="17">
        <f>Table1[[#This Row],[Reporting year]]-Table1[[#This Row],[Policy Year]]</f>
        <v>0</v>
      </c>
      <c r="W473" s="17">
        <f>INT(Table1[[#This Row],[Reporting date]])-INT(Table1[[#This Row],[Loss date]])</f>
        <v>51</v>
      </c>
      <c r="X473" s="17">
        <f>INT((YEAR(Table1[[#This Row],[Loss date]])*12+MONTH(Table1[[#This Row],[Loss date]])-Earliest_Month)/4)</f>
        <v>19</v>
      </c>
      <c r="Y473" s="17">
        <f>INT((YEAR(Table1[[#This Row],[Reporting date]])*12+MONTH(Table1[[#This Row],[Reporting date]])-Earliest_Month)/4)</f>
        <v>19</v>
      </c>
      <c r="Z473" s="17">
        <f>Table1[[#This Row],[Reporting third]]-Table1[[#This Row],[Policy third]]</f>
        <v>0</v>
      </c>
      <c r="AA473" s="71">
        <f>IF(Table1[[#This Row],[Overall amount]]=0,"N/A",Table1[[#This Row],[Outstanding]]/Table1[[#This Row],[Overall amount]])</f>
        <v>0</v>
      </c>
      <c r="AB473" s="17">
        <f>IF(MONTH(Table1[[#This Row],[Loss date]])&lt;Pol_Inc_Month_Shifted,YEAR(Table1[[#This Row],[Loss date]])-1,YEAR(Table1[[#This Row],[Loss date]]))</f>
        <v>2010</v>
      </c>
      <c r="AC473" s="17">
        <f>IF(MONTH(Table1[[#This Row],[Reporting date]])&lt;Pol_Inc_Month_Shifted,YEAR(Table1[[#This Row],[Reporting date]])-1,YEAR(Table1[[#This Row],[Reporting date]]))</f>
        <v>2010</v>
      </c>
      <c r="AD473" s="17">
        <f>Table1[[#This Row],[Reporting year (shifted)]]-Table1[[#This Row],[Policy Year (shifted)]]</f>
        <v>0</v>
      </c>
    </row>
    <row r="474" spans="1:30" ht="13.9">
      <c r="A474" s="8" t="s">
        <v>2244</v>
      </c>
      <c r="B474" s="8" t="s">
        <v>526</v>
      </c>
      <c r="C474" s="8" t="s">
        <v>123</v>
      </c>
      <c r="D474" s="9">
        <v>40490</v>
      </c>
      <c r="E474" s="9">
        <v>40657</v>
      </c>
      <c r="F474" s="17">
        <f>IF(MONTH(Table1[[#This Row],[Loss date]])&lt;Policy_Inception_Month,YEAR(Table1[[#This Row],[Loss date]])-1,YEAR(Table1[[#This Row],[Loss date]]))</f>
        <v>2010</v>
      </c>
      <c r="G474" s="10" t="s">
        <v>125</v>
      </c>
      <c r="H474" s="10" t="s">
        <v>2</v>
      </c>
      <c r="I474" s="11">
        <v>11516.351902860848</v>
      </c>
      <c r="J474" s="11">
        <v>0</v>
      </c>
      <c r="K474" s="11">
        <v>11516.351902860848</v>
      </c>
      <c r="L474" s="12">
        <v>0</v>
      </c>
      <c r="M474" s="12">
        <v>0</v>
      </c>
      <c r="N474" s="12">
        <v>11516.351902860848</v>
      </c>
      <c r="O474" s="70">
        <f>IF(Table1[[#This Row],[Overall amount]]=0,0,1)</f>
        <v>1</v>
      </c>
      <c r="P474" s="70">
        <f>Table1[[#This Row],[Overall amount]]*Exchange_Rate</f>
        <v>11516.351902860848</v>
      </c>
      <c r="Q474" s="70">
        <f>Table1[[#This Row],[Overall (destination currency)]]*(1+Claims_Inflation)^((Revalue_at_date-Table1[[#This Row],[Loss date]])/365.25)</f>
        <v>14623.2</v>
      </c>
      <c r="R474" s="70">
        <f>INT(Table1[[#This Row],[Reporting date]])-INT(Table1[[#This Row],[Loss date]])</f>
        <v>167</v>
      </c>
      <c r="S474" s="69" t="s">
        <v>9</v>
      </c>
      <c r="T474" s="70">
        <f>VLOOKUP(Table1[[#This Row],[Policy Year]],exposure_table,3,FALSE)</f>
        <v>837.11513600000012</v>
      </c>
      <c r="U474" s="17">
        <f>IF(MONTH(Table1[[#This Row],[Reporting date]])&lt;Policy_Inception_Month,YEAR(Table1[[#This Row],[Reporting date]])-1,YEAR(Table1[[#This Row],[Reporting date]]))</f>
        <v>2011</v>
      </c>
      <c r="V474" s="17">
        <f>Table1[[#This Row],[Reporting year]]-Table1[[#This Row],[Policy Year]]</f>
        <v>1</v>
      </c>
      <c r="W474" s="17">
        <f>INT(Table1[[#This Row],[Reporting date]])-INT(Table1[[#This Row],[Loss date]])</f>
        <v>167</v>
      </c>
      <c r="X474" s="17">
        <f>INT((YEAR(Table1[[#This Row],[Loss date]])*12+MONTH(Table1[[#This Row],[Loss date]])-Earliest_Month)/4)</f>
        <v>16</v>
      </c>
      <c r="Y474" s="17">
        <f>INT((YEAR(Table1[[#This Row],[Reporting date]])*12+MONTH(Table1[[#This Row],[Reporting date]])-Earliest_Month)/4)</f>
        <v>18</v>
      </c>
      <c r="Z474" s="17">
        <f>Table1[[#This Row],[Reporting third]]-Table1[[#This Row],[Policy third]]</f>
        <v>2</v>
      </c>
      <c r="AA474" s="71">
        <f>IF(Table1[[#This Row],[Overall amount]]=0,"N/A",Table1[[#This Row],[Outstanding]]/Table1[[#This Row],[Overall amount]])</f>
        <v>0</v>
      </c>
      <c r="AB474" s="17">
        <f>IF(MONTH(Table1[[#This Row],[Loss date]])&lt;Pol_Inc_Month_Shifted,YEAR(Table1[[#This Row],[Loss date]])-1,YEAR(Table1[[#This Row],[Loss date]]))</f>
        <v>2009</v>
      </c>
      <c r="AC474" s="17">
        <f>IF(MONTH(Table1[[#This Row],[Reporting date]])&lt;Pol_Inc_Month_Shifted,YEAR(Table1[[#This Row],[Reporting date]])-1,YEAR(Table1[[#This Row],[Reporting date]]))</f>
        <v>2010</v>
      </c>
      <c r="AD474" s="17">
        <f>Table1[[#This Row],[Reporting year (shifted)]]-Table1[[#This Row],[Policy Year (shifted)]]</f>
        <v>1</v>
      </c>
    </row>
    <row r="475" spans="1:30" ht="13.9">
      <c r="A475" s="8" t="s">
        <v>2245</v>
      </c>
      <c r="B475" s="8" t="s">
        <v>527</v>
      </c>
      <c r="C475" s="8" t="s">
        <v>123</v>
      </c>
      <c r="D475" s="9">
        <v>40567</v>
      </c>
      <c r="E475" s="9">
        <v>41019</v>
      </c>
      <c r="F475" s="17">
        <f>IF(MONTH(Table1[[#This Row],[Loss date]])&lt;Policy_Inception_Month,YEAR(Table1[[#This Row],[Loss date]])-1,YEAR(Table1[[#This Row],[Loss date]]))</f>
        <v>2010</v>
      </c>
      <c r="G475" s="10" t="s">
        <v>125</v>
      </c>
      <c r="H475" s="10" t="s">
        <v>2</v>
      </c>
      <c r="I475" s="11">
        <v>304.58705937316881</v>
      </c>
      <c r="J475" s="11">
        <v>0</v>
      </c>
      <c r="K475" s="11">
        <v>304.58705937316881</v>
      </c>
      <c r="L475" s="12">
        <v>0</v>
      </c>
      <c r="M475" s="12">
        <v>0</v>
      </c>
      <c r="N475" s="12">
        <v>304.58705937316881</v>
      </c>
      <c r="O475" s="70">
        <f>IF(Table1[[#This Row],[Overall amount]]=0,0,1)</f>
        <v>1</v>
      </c>
      <c r="P475" s="70">
        <f>Table1[[#This Row],[Overall amount]]*Exchange_Rate</f>
        <v>304.58705937316881</v>
      </c>
      <c r="Q475" s="70">
        <f>Table1[[#This Row],[Overall (destination currency)]]*(1+Claims_Inflation)^((Revalue_at_date-Table1[[#This Row],[Loss date]])/365.25)</f>
        <v>382.8</v>
      </c>
      <c r="R475" s="70">
        <f>INT(Table1[[#This Row],[Reporting date]])-INT(Table1[[#This Row],[Loss date]])</f>
        <v>452</v>
      </c>
      <c r="S475" s="69" t="s">
        <v>9</v>
      </c>
      <c r="T475" s="70">
        <f>VLOOKUP(Table1[[#This Row],[Policy Year]],exposure_table,3,FALSE)</f>
        <v>837.11513600000012</v>
      </c>
      <c r="U475" s="17">
        <f>IF(MONTH(Table1[[#This Row],[Reporting date]])&lt;Policy_Inception_Month,YEAR(Table1[[#This Row],[Reporting date]])-1,YEAR(Table1[[#This Row],[Reporting date]]))</f>
        <v>2012</v>
      </c>
      <c r="V475" s="17">
        <f>Table1[[#This Row],[Reporting year]]-Table1[[#This Row],[Policy Year]]</f>
        <v>2</v>
      </c>
      <c r="W475" s="17">
        <f>INT(Table1[[#This Row],[Reporting date]])-INT(Table1[[#This Row],[Loss date]])</f>
        <v>452</v>
      </c>
      <c r="X475" s="17">
        <f>INT((YEAR(Table1[[#This Row],[Loss date]])*12+MONTH(Table1[[#This Row],[Loss date]])-Earliest_Month)/4)</f>
        <v>17</v>
      </c>
      <c r="Y475" s="17">
        <f>INT((YEAR(Table1[[#This Row],[Reporting date]])*12+MONTH(Table1[[#This Row],[Reporting date]])-Earliest_Month)/4)</f>
        <v>21</v>
      </c>
      <c r="Z475" s="17">
        <f>Table1[[#This Row],[Reporting third]]-Table1[[#This Row],[Policy third]]</f>
        <v>4</v>
      </c>
      <c r="AA475" s="71">
        <f>IF(Table1[[#This Row],[Overall amount]]=0,"N/A",Table1[[#This Row],[Outstanding]]/Table1[[#This Row],[Overall amount]])</f>
        <v>0</v>
      </c>
      <c r="AB475" s="17">
        <f>IF(MONTH(Table1[[#This Row],[Loss date]])&lt;Pol_Inc_Month_Shifted,YEAR(Table1[[#This Row],[Loss date]])-1,YEAR(Table1[[#This Row],[Loss date]]))</f>
        <v>2010</v>
      </c>
      <c r="AC475" s="17">
        <f>IF(MONTH(Table1[[#This Row],[Reporting date]])&lt;Pol_Inc_Month_Shifted,YEAR(Table1[[#This Row],[Reporting date]])-1,YEAR(Table1[[#This Row],[Reporting date]]))</f>
        <v>2011</v>
      </c>
      <c r="AD475" s="17">
        <f>Table1[[#This Row],[Reporting year (shifted)]]-Table1[[#This Row],[Policy Year (shifted)]]</f>
        <v>1</v>
      </c>
    </row>
    <row r="476" spans="1:30" ht="13.9">
      <c r="A476" s="8" t="s">
        <v>2246</v>
      </c>
      <c r="B476" s="8" t="s">
        <v>528</v>
      </c>
      <c r="C476" s="8" t="s">
        <v>123</v>
      </c>
      <c r="D476" s="9">
        <v>40644</v>
      </c>
      <c r="E476" s="9">
        <v>40972</v>
      </c>
      <c r="F476" s="17">
        <f>IF(MONTH(Table1[[#This Row],[Loss date]])&lt;Policy_Inception_Month,YEAR(Table1[[#This Row],[Loss date]])-1,YEAR(Table1[[#This Row],[Loss date]]))</f>
        <v>2011</v>
      </c>
      <c r="G476" s="10" t="s">
        <v>125</v>
      </c>
      <c r="H476" s="10" t="s">
        <v>2</v>
      </c>
      <c r="I476" s="11">
        <v>769.34027510037686</v>
      </c>
      <c r="J476" s="11">
        <v>0</v>
      </c>
      <c r="K476" s="11">
        <v>769.34027510037686</v>
      </c>
      <c r="L476" s="12">
        <v>0</v>
      </c>
      <c r="M476" s="12">
        <v>0</v>
      </c>
      <c r="N476" s="12">
        <v>769.34027510037686</v>
      </c>
      <c r="O476" s="70">
        <f>IF(Table1[[#This Row],[Overall amount]]=0,0,1)</f>
        <v>1</v>
      </c>
      <c r="P476" s="70">
        <f>Table1[[#This Row],[Overall amount]]*Exchange_Rate</f>
        <v>769.34027510037686</v>
      </c>
      <c r="Q476" s="70">
        <f>Table1[[#This Row],[Overall (destination currency)]]*(1+Claims_Inflation)^((Revalue_at_date-Table1[[#This Row],[Loss date]])/365.25)</f>
        <v>957</v>
      </c>
      <c r="R476" s="70">
        <f>INT(Table1[[#This Row],[Reporting date]])-INT(Table1[[#This Row],[Loss date]])</f>
        <v>328</v>
      </c>
      <c r="S476" s="69" t="s">
        <v>9</v>
      </c>
      <c r="T476" s="70">
        <f>VLOOKUP(Table1[[#This Row],[Policy Year]],exposure_table,3,FALSE)</f>
        <v>870.52680000000009</v>
      </c>
      <c r="U476" s="17">
        <f>IF(MONTH(Table1[[#This Row],[Reporting date]])&lt;Policy_Inception_Month,YEAR(Table1[[#This Row],[Reporting date]])-1,YEAR(Table1[[#This Row],[Reporting date]]))</f>
        <v>2011</v>
      </c>
      <c r="V476" s="17">
        <f>Table1[[#This Row],[Reporting year]]-Table1[[#This Row],[Policy Year]]</f>
        <v>0</v>
      </c>
      <c r="W476" s="17">
        <f>INT(Table1[[#This Row],[Reporting date]])-INT(Table1[[#This Row],[Loss date]])</f>
        <v>328</v>
      </c>
      <c r="X476" s="17">
        <f>INT((YEAR(Table1[[#This Row],[Loss date]])*12+MONTH(Table1[[#This Row],[Loss date]])-Earliest_Month)/4)</f>
        <v>18</v>
      </c>
      <c r="Y476" s="17">
        <f>INT((YEAR(Table1[[#This Row],[Reporting date]])*12+MONTH(Table1[[#This Row],[Reporting date]])-Earliest_Month)/4)</f>
        <v>20</v>
      </c>
      <c r="Z476" s="17">
        <f>Table1[[#This Row],[Reporting third]]-Table1[[#This Row],[Policy third]]</f>
        <v>2</v>
      </c>
      <c r="AA476" s="71">
        <f>IF(Table1[[#This Row],[Overall amount]]=0,"N/A",Table1[[#This Row],[Outstanding]]/Table1[[#This Row],[Overall amount]])</f>
        <v>0</v>
      </c>
      <c r="AB476" s="17">
        <f>IF(MONTH(Table1[[#This Row],[Loss date]])&lt;Pol_Inc_Month_Shifted,YEAR(Table1[[#This Row],[Loss date]])-1,YEAR(Table1[[#This Row],[Loss date]]))</f>
        <v>2010</v>
      </c>
      <c r="AC476" s="17">
        <f>IF(MONTH(Table1[[#This Row],[Reporting date]])&lt;Pol_Inc_Month_Shifted,YEAR(Table1[[#This Row],[Reporting date]])-1,YEAR(Table1[[#This Row],[Reporting date]]))</f>
        <v>2011</v>
      </c>
      <c r="AD476" s="17">
        <f>Table1[[#This Row],[Reporting year (shifted)]]-Table1[[#This Row],[Policy Year (shifted)]]</f>
        <v>1</v>
      </c>
    </row>
    <row r="477" spans="1:30" ht="13.9">
      <c r="A477" s="8" t="s">
        <v>2247</v>
      </c>
      <c r="B477" s="8" t="s">
        <v>529</v>
      </c>
      <c r="C477" s="8" t="s">
        <v>123</v>
      </c>
      <c r="D477" s="9">
        <v>40180</v>
      </c>
      <c r="E477" s="9">
        <v>40319</v>
      </c>
      <c r="F477" s="17">
        <f>IF(MONTH(Table1[[#This Row],[Loss date]])&lt;Policy_Inception_Month,YEAR(Table1[[#This Row],[Loss date]])-1,YEAR(Table1[[#This Row],[Loss date]]))</f>
        <v>2009</v>
      </c>
      <c r="G477" s="10" t="s">
        <v>125</v>
      </c>
      <c r="H477" s="10" t="s">
        <v>2</v>
      </c>
      <c r="I477" s="11">
        <v>1354.1753593209614</v>
      </c>
      <c r="J477" s="11">
        <v>0</v>
      </c>
      <c r="K477" s="11">
        <v>1354.1753593209614</v>
      </c>
      <c r="L477" s="12">
        <v>0</v>
      </c>
      <c r="M477" s="12">
        <v>0</v>
      </c>
      <c r="N477" s="12">
        <v>1354.1753593209614</v>
      </c>
      <c r="O477" s="70">
        <f>IF(Table1[[#This Row],[Overall amount]]=0,0,1)</f>
        <v>1</v>
      </c>
      <c r="P477" s="70">
        <f>Table1[[#This Row],[Overall amount]]*Exchange_Rate</f>
        <v>1354.1753593209614</v>
      </c>
      <c r="Q477" s="70">
        <f>Table1[[#This Row],[Overall (destination currency)]]*(1+Claims_Inflation)^((Revalue_at_date-Table1[[#This Row],[Loss date]])/365.25)</f>
        <v>1792.2000000000005</v>
      </c>
      <c r="R477" s="70">
        <f>INT(Table1[[#This Row],[Reporting date]])-INT(Table1[[#This Row],[Loss date]])</f>
        <v>139</v>
      </c>
      <c r="S477" s="69" t="s">
        <v>9</v>
      </c>
      <c r="T477" s="70">
        <f>VLOOKUP(Table1[[#This Row],[Policy Year]],exposure_table,3,FALSE)</f>
        <v>760.22808576000011</v>
      </c>
      <c r="U477" s="17">
        <f>IF(MONTH(Table1[[#This Row],[Reporting date]])&lt;Policy_Inception_Month,YEAR(Table1[[#This Row],[Reporting date]])-1,YEAR(Table1[[#This Row],[Reporting date]]))</f>
        <v>2010</v>
      </c>
      <c r="V477" s="17">
        <f>Table1[[#This Row],[Reporting year]]-Table1[[#This Row],[Policy Year]]</f>
        <v>1</v>
      </c>
      <c r="W477" s="17">
        <f>INT(Table1[[#This Row],[Reporting date]])-INT(Table1[[#This Row],[Loss date]])</f>
        <v>139</v>
      </c>
      <c r="X477" s="17">
        <f>INT((YEAR(Table1[[#This Row],[Loss date]])*12+MONTH(Table1[[#This Row],[Loss date]])-Earliest_Month)/4)</f>
        <v>14</v>
      </c>
      <c r="Y477" s="17">
        <f>INT((YEAR(Table1[[#This Row],[Reporting date]])*12+MONTH(Table1[[#This Row],[Reporting date]])-Earliest_Month)/4)</f>
        <v>15</v>
      </c>
      <c r="Z477" s="17">
        <f>Table1[[#This Row],[Reporting third]]-Table1[[#This Row],[Policy third]]</f>
        <v>1</v>
      </c>
      <c r="AA477" s="71">
        <f>IF(Table1[[#This Row],[Overall amount]]=0,"N/A",Table1[[#This Row],[Outstanding]]/Table1[[#This Row],[Overall amount]])</f>
        <v>0</v>
      </c>
      <c r="AB477" s="17">
        <f>IF(MONTH(Table1[[#This Row],[Loss date]])&lt;Pol_Inc_Month_Shifted,YEAR(Table1[[#This Row],[Loss date]])-1,YEAR(Table1[[#This Row],[Loss date]]))</f>
        <v>2009</v>
      </c>
      <c r="AC477" s="17">
        <f>IF(MONTH(Table1[[#This Row],[Reporting date]])&lt;Pol_Inc_Month_Shifted,YEAR(Table1[[#This Row],[Reporting date]])-1,YEAR(Table1[[#This Row],[Reporting date]]))</f>
        <v>2009</v>
      </c>
      <c r="AD477" s="17">
        <f>Table1[[#This Row],[Reporting year (shifted)]]-Table1[[#This Row],[Policy Year (shifted)]]</f>
        <v>0</v>
      </c>
    </row>
    <row r="478" spans="1:30" ht="13.9">
      <c r="A478" s="8" t="s">
        <v>2248</v>
      </c>
      <c r="B478" s="8" t="s">
        <v>530</v>
      </c>
      <c r="C478" s="8" t="s">
        <v>123</v>
      </c>
      <c r="D478" s="9">
        <v>40927</v>
      </c>
      <c r="E478" s="9">
        <v>41040</v>
      </c>
      <c r="F478" s="17">
        <f>IF(MONTH(Table1[[#This Row],[Loss date]])&lt;Policy_Inception_Month,YEAR(Table1[[#This Row],[Loss date]])-1,YEAR(Table1[[#This Row],[Loss date]]))</f>
        <v>2011</v>
      </c>
      <c r="G478" s="10" t="s">
        <v>131</v>
      </c>
      <c r="H478" s="10" t="s">
        <v>2</v>
      </c>
      <c r="I478" s="11">
        <v>9253.6470265911958</v>
      </c>
      <c r="J478" s="11">
        <v>0</v>
      </c>
      <c r="K478" s="11">
        <v>9253.6470265911958</v>
      </c>
      <c r="L478" s="12">
        <v>0</v>
      </c>
      <c r="M478" s="12">
        <v>0</v>
      </c>
      <c r="N478" s="12">
        <v>9253.6470265911958</v>
      </c>
      <c r="O478" s="70">
        <f>IF(Table1[[#This Row],[Overall amount]]=0,0,1)</f>
        <v>1</v>
      </c>
      <c r="P478" s="70">
        <f>Table1[[#This Row],[Overall amount]]*Exchange_Rate</f>
        <v>9253.6470265911958</v>
      </c>
      <c r="Q478" s="70">
        <f>Table1[[#This Row],[Overall (destination currency)]]*(1+Claims_Inflation)^((Revalue_at_date-Table1[[#This Row],[Loss date]])/365.25)</f>
        <v>11083.8</v>
      </c>
      <c r="R478" s="70">
        <f>INT(Table1[[#This Row],[Reporting date]])-INT(Table1[[#This Row],[Loss date]])</f>
        <v>113</v>
      </c>
      <c r="S478" s="69" t="s">
        <v>9</v>
      </c>
      <c r="T478" s="70">
        <f>VLOOKUP(Table1[[#This Row],[Policy Year]],exposure_table,3,FALSE)</f>
        <v>870.52680000000009</v>
      </c>
      <c r="U478" s="17">
        <f>IF(MONTH(Table1[[#This Row],[Reporting date]])&lt;Policy_Inception_Month,YEAR(Table1[[#This Row],[Reporting date]])-1,YEAR(Table1[[#This Row],[Reporting date]]))</f>
        <v>2012</v>
      </c>
      <c r="V478" s="17">
        <f>Table1[[#This Row],[Reporting year]]-Table1[[#This Row],[Policy Year]]</f>
        <v>1</v>
      </c>
      <c r="W478" s="17">
        <f>INT(Table1[[#This Row],[Reporting date]])-INT(Table1[[#This Row],[Loss date]])</f>
        <v>113</v>
      </c>
      <c r="X478" s="17">
        <f>INT((YEAR(Table1[[#This Row],[Loss date]])*12+MONTH(Table1[[#This Row],[Loss date]])-Earliest_Month)/4)</f>
        <v>20</v>
      </c>
      <c r="Y478" s="17">
        <f>INT((YEAR(Table1[[#This Row],[Reporting date]])*12+MONTH(Table1[[#This Row],[Reporting date]])-Earliest_Month)/4)</f>
        <v>21</v>
      </c>
      <c r="Z478" s="17">
        <f>Table1[[#This Row],[Reporting third]]-Table1[[#This Row],[Policy third]]</f>
        <v>1</v>
      </c>
      <c r="AA478" s="71">
        <f>IF(Table1[[#This Row],[Overall amount]]=0,"N/A",Table1[[#This Row],[Outstanding]]/Table1[[#This Row],[Overall amount]])</f>
        <v>0</v>
      </c>
      <c r="AB478" s="17">
        <f>IF(MONTH(Table1[[#This Row],[Loss date]])&lt;Pol_Inc_Month_Shifted,YEAR(Table1[[#This Row],[Loss date]])-1,YEAR(Table1[[#This Row],[Loss date]]))</f>
        <v>2011</v>
      </c>
      <c r="AC478" s="17">
        <f>IF(MONTH(Table1[[#This Row],[Reporting date]])&lt;Pol_Inc_Month_Shifted,YEAR(Table1[[#This Row],[Reporting date]])-1,YEAR(Table1[[#This Row],[Reporting date]]))</f>
        <v>2011</v>
      </c>
      <c r="AD478" s="17">
        <f>Table1[[#This Row],[Reporting year (shifted)]]-Table1[[#This Row],[Policy Year (shifted)]]</f>
        <v>0</v>
      </c>
    </row>
    <row r="479" spans="1:30" ht="13.9">
      <c r="A479" s="8" t="s">
        <v>2249</v>
      </c>
      <c r="B479" s="8" t="s">
        <v>531</v>
      </c>
      <c r="C479" s="8" t="s">
        <v>123</v>
      </c>
      <c r="D479" s="9">
        <v>40714</v>
      </c>
      <c r="E479" s="9">
        <v>40745</v>
      </c>
      <c r="F479" s="17">
        <f>IF(MONTH(Table1[[#This Row],[Loss date]])&lt;Policy_Inception_Month,YEAR(Table1[[#This Row],[Loss date]])-1,YEAR(Table1[[#This Row],[Loss date]]))</f>
        <v>2011</v>
      </c>
      <c r="G479" s="10" t="s">
        <v>125</v>
      </c>
      <c r="H479" s="10" t="s">
        <v>2</v>
      </c>
      <c r="I479" s="11">
        <v>3310.5938063323315</v>
      </c>
      <c r="J479" s="11">
        <v>0</v>
      </c>
      <c r="K479" s="11">
        <v>3310.5938063323315</v>
      </c>
      <c r="L479" s="12">
        <v>0</v>
      </c>
      <c r="M479" s="12">
        <v>0</v>
      </c>
      <c r="N479" s="12">
        <v>3310.5938063323315</v>
      </c>
      <c r="O479" s="70">
        <f>IF(Table1[[#This Row],[Overall amount]]=0,0,1)</f>
        <v>1</v>
      </c>
      <c r="P479" s="70">
        <f>Table1[[#This Row],[Overall amount]]*Exchange_Rate</f>
        <v>3310.5938063323315</v>
      </c>
      <c r="Q479" s="70">
        <f>Table1[[#This Row],[Overall (destination currency)]]*(1+Claims_Inflation)^((Revalue_at_date-Table1[[#This Row],[Loss date]])/365.25)</f>
        <v>4079.7959999999998</v>
      </c>
      <c r="R479" s="70">
        <f>INT(Table1[[#This Row],[Reporting date]])-INT(Table1[[#This Row],[Loss date]])</f>
        <v>31</v>
      </c>
      <c r="S479" s="69" t="s">
        <v>9</v>
      </c>
      <c r="T479" s="70">
        <f>VLOOKUP(Table1[[#This Row],[Policy Year]],exposure_table,3,FALSE)</f>
        <v>870.52680000000009</v>
      </c>
      <c r="U479" s="17">
        <f>IF(MONTH(Table1[[#This Row],[Reporting date]])&lt;Policy_Inception_Month,YEAR(Table1[[#This Row],[Reporting date]])-1,YEAR(Table1[[#This Row],[Reporting date]]))</f>
        <v>2011</v>
      </c>
      <c r="V479" s="17">
        <f>Table1[[#This Row],[Reporting year]]-Table1[[#This Row],[Policy Year]]</f>
        <v>0</v>
      </c>
      <c r="W479" s="17">
        <f>INT(Table1[[#This Row],[Reporting date]])-INT(Table1[[#This Row],[Loss date]])</f>
        <v>31</v>
      </c>
      <c r="X479" s="17">
        <f>INT((YEAR(Table1[[#This Row],[Loss date]])*12+MONTH(Table1[[#This Row],[Loss date]])-Earliest_Month)/4)</f>
        <v>18</v>
      </c>
      <c r="Y479" s="17">
        <f>INT((YEAR(Table1[[#This Row],[Reporting date]])*12+MONTH(Table1[[#This Row],[Reporting date]])-Earliest_Month)/4)</f>
        <v>18</v>
      </c>
      <c r="Z479" s="17">
        <f>Table1[[#This Row],[Reporting third]]-Table1[[#This Row],[Policy third]]</f>
        <v>0</v>
      </c>
      <c r="AA479" s="71">
        <f>IF(Table1[[#This Row],[Overall amount]]=0,"N/A",Table1[[#This Row],[Outstanding]]/Table1[[#This Row],[Overall amount]])</f>
        <v>0</v>
      </c>
      <c r="AB479" s="17">
        <f>IF(MONTH(Table1[[#This Row],[Loss date]])&lt;Pol_Inc_Month_Shifted,YEAR(Table1[[#This Row],[Loss date]])-1,YEAR(Table1[[#This Row],[Loss date]]))</f>
        <v>2010</v>
      </c>
      <c r="AC479" s="17">
        <f>IF(MONTH(Table1[[#This Row],[Reporting date]])&lt;Pol_Inc_Month_Shifted,YEAR(Table1[[#This Row],[Reporting date]])-1,YEAR(Table1[[#This Row],[Reporting date]]))</f>
        <v>2010</v>
      </c>
      <c r="AD479" s="17">
        <f>Table1[[#This Row],[Reporting year (shifted)]]-Table1[[#This Row],[Policy Year (shifted)]]</f>
        <v>0</v>
      </c>
    </row>
    <row r="480" spans="1:30" ht="13.9">
      <c r="A480" s="8" t="s">
        <v>2250</v>
      </c>
      <c r="B480" s="8" t="s">
        <v>532</v>
      </c>
      <c r="C480" s="8" t="s">
        <v>123</v>
      </c>
      <c r="D480" s="9">
        <v>40693</v>
      </c>
      <c r="E480" s="9">
        <v>40760</v>
      </c>
      <c r="F480" s="17">
        <f>IF(MONTH(Table1[[#This Row],[Loss date]])&lt;Policy_Inception_Month,YEAR(Table1[[#This Row],[Loss date]])-1,YEAR(Table1[[#This Row],[Loss date]]))</f>
        <v>2011</v>
      </c>
      <c r="G480" s="10" t="s">
        <v>125</v>
      </c>
      <c r="H480" s="10" t="s">
        <v>2</v>
      </c>
      <c r="I480" s="11">
        <v>605.43410021591433</v>
      </c>
      <c r="J480" s="11">
        <v>0</v>
      </c>
      <c r="K480" s="11">
        <v>605.43410021591433</v>
      </c>
      <c r="L480" s="12">
        <v>0</v>
      </c>
      <c r="M480" s="12">
        <v>35.301129103928567</v>
      </c>
      <c r="N480" s="12">
        <v>570.13297111198574</v>
      </c>
      <c r="O480" s="70">
        <f>IF(Table1[[#This Row],[Overall amount]]=0,0,1)</f>
        <v>1</v>
      </c>
      <c r="P480" s="70">
        <f>Table1[[#This Row],[Overall amount]]*Exchange_Rate</f>
        <v>570.13297111198574</v>
      </c>
      <c r="Q480" s="70">
        <f>Table1[[#This Row],[Overall (destination currency)]]*(1+Claims_Inflation)^((Revalue_at_date-Table1[[#This Row],[Loss date]])/365.25)</f>
        <v>704.57459999999992</v>
      </c>
      <c r="R480" s="70">
        <f>INT(Table1[[#This Row],[Reporting date]])-INT(Table1[[#This Row],[Loss date]])</f>
        <v>67</v>
      </c>
      <c r="S480" s="69" t="s">
        <v>9</v>
      </c>
      <c r="T480" s="70">
        <f>VLOOKUP(Table1[[#This Row],[Policy Year]],exposure_table,3,FALSE)</f>
        <v>870.52680000000009</v>
      </c>
      <c r="U480" s="17">
        <f>IF(MONTH(Table1[[#This Row],[Reporting date]])&lt;Policy_Inception_Month,YEAR(Table1[[#This Row],[Reporting date]])-1,YEAR(Table1[[#This Row],[Reporting date]]))</f>
        <v>2011</v>
      </c>
      <c r="V480" s="17">
        <f>Table1[[#This Row],[Reporting year]]-Table1[[#This Row],[Policy Year]]</f>
        <v>0</v>
      </c>
      <c r="W480" s="17">
        <f>INT(Table1[[#This Row],[Reporting date]])-INT(Table1[[#This Row],[Loss date]])</f>
        <v>67</v>
      </c>
      <c r="X480" s="17">
        <f>INT((YEAR(Table1[[#This Row],[Loss date]])*12+MONTH(Table1[[#This Row],[Loss date]])-Earliest_Month)/4)</f>
        <v>18</v>
      </c>
      <c r="Y480" s="17">
        <f>INT((YEAR(Table1[[#This Row],[Reporting date]])*12+MONTH(Table1[[#This Row],[Reporting date]])-Earliest_Month)/4)</f>
        <v>19</v>
      </c>
      <c r="Z480" s="17">
        <f>Table1[[#This Row],[Reporting third]]-Table1[[#This Row],[Policy third]]</f>
        <v>1</v>
      </c>
      <c r="AA480" s="71">
        <f>IF(Table1[[#This Row],[Overall amount]]=0,"N/A",Table1[[#This Row],[Outstanding]]/Table1[[#This Row],[Overall amount]])</f>
        <v>0</v>
      </c>
      <c r="AB480" s="17">
        <f>IF(MONTH(Table1[[#This Row],[Loss date]])&lt;Pol_Inc_Month_Shifted,YEAR(Table1[[#This Row],[Loss date]])-1,YEAR(Table1[[#This Row],[Loss date]]))</f>
        <v>2010</v>
      </c>
      <c r="AC480" s="17">
        <f>IF(MONTH(Table1[[#This Row],[Reporting date]])&lt;Pol_Inc_Month_Shifted,YEAR(Table1[[#This Row],[Reporting date]])-1,YEAR(Table1[[#This Row],[Reporting date]]))</f>
        <v>2010</v>
      </c>
      <c r="AD480" s="17">
        <f>Table1[[#This Row],[Reporting year (shifted)]]-Table1[[#This Row],[Policy Year (shifted)]]</f>
        <v>0</v>
      </c>
    </row>
    <row r="481" spans="1:30" ht="13.9">
      <c r="A481" s="8" t="s">
        <v>2251</v>
      </c>
      <c r="B481" s="8" t="s">
        <v>533</v>
      </c>
      <c r="C481" s="8" t="s">
        <v>123</v>
      </c>
      <c r="D481" s="9">
        <v>40855</v>
      </c>
      <c r="E481" s="9">
        <v>40914</v>
      </c>
      <c r="F481" s="17">
        <f>IF(MONTH(Table1[[#This Row],[Loss date]])&lt;Policy_Inception_Month,YEAR(Table1[[#This Row],[Loss date]])-1,YEAR(Table1[[#This Row],[Loss date]]))</f>
        <v>2011</v>
      </c>
      <c r="G481" s="10" t="s">
        <v>125</v>
      </c>
      <c r="H481" s="10" t="s">
        <v>2</v>
      </c>
      <c r="I481" s="11">
        <v>7889.9912209335735</v>
      </c>
      <c r="J481" s="11">
        <v>0</v>
      </c>
      <c r="K481" s="11">
        <v>7889.9912209335735</v>
      </c>
      <c r="L481" s="12">
        <v>0</v>
      </c>
      <c r="M481" s="12">
        <v>0</v>
      </c>
      <c r="N481" s="12">
        <v>7889.9912209335735</v>
      </c>
      <c r="O481" s="70">
        <f>IF(Table1[[#This Row],[Overall amount]]=0,0,1)</f>
        <v>1</v>
      </c>
      <c r="P481" s="70">
        <f>Table1[[#This Row],[Overall amount]]*Exchange_Rate</f>
        <v>7889.9912209335735</v>
      </c>
      <c r="Q481" s="70">
        <f>Table1[[#This Row],[Overall (destination currency)]]*(1+Claims_Inflation)^((Revalue_at_date-Table1[[#This Row],[Loss date]])/365.25)</f>
        <v>9541.7759999999998</v>
      </c>
      <c r="R481" s="70">
        <f>INT(Table1[[#This Row],[Reporting date]])-INT(Table1[[#This Row],[Loss date]])</f>
        <v>59</v>
      </c>
      <c r="S481" s="69" t="s">
        <v>9</v>
      </c>
      <c r="T481" s="70">
        <f>VLOOKUP(Table1[[#This Row],[Policy Year]],exposure_table,3,FALSE)</f>
        <v>870.52680000000009</v>
      </c>
      <c r="U481" s="17">
        <f>IF(MONTH(Table1[[#This Row],[Reporting date]])&lt;Policy_Inception_Month,YEAR(Table1[[#This Row],[Reporting date]])-1,YEAR(Table1[[#This Row],[Reporting date]]))</f>
        <v>2011</v>
      </c>
      <c r="V481" s="17">
        <f>Table1[[#This Row],[Reporting year]]-Table1[[#This Row],[Policy Year]]</f>
        <v>0</v>
      </c>
      <c r="W481" s="17">
        <f>INT(Table1[[#This Row],[Reporting date]])-INT(Table1[[#This Row],[Loss date]])</f>
        <v>59</v>
      </c>
      <c r="X481" s="17">
        <f>INT((YEAR(Table1[[#This Row],[Loss date]])*12+MONTH(Table1[[#This Row],[Loss date]])-Earliest_Month)/4)</f>
        <v>19</v>
      </c>
      <c r="Y481" s="17">
        <f>INT((YEAR(Table1[[#This Row],[Reporting date]])*12+MONTH(Table1[[#This Row],[Reporting date]])-Earliest_Month)/4)</f>
        <v>20</v>
      </c>
      <c r="Z481" s="17">
        <f>Table1[[#This Row],[Reporting third]]-Table1[[#This Row],[Policy third]]</f>
        <v>1</v>
      </c>
      <c r="AA481" s="71">
        <f>IF(Table1[[#This Row],[Overall amount]]=0,"N/A",Table1[[#This Row],[Outstanding]]/Table1[[#This Row],[Overall amount]])</f>
        <v>0</v>
      </c>
      <c r="AB481" s="17">
        <f>IF(MONTH(Table1[[#This Row],[Loss date]])&lt;Pol_Inc_Month_Shifted,YEAR(Table1[[#This Row],[Loss date]])-1,YEAR(Table1[[#This Row],[Loss date]]))</f>
        <v>2010</v>
      </c>
      <c r="AC481" s="17">
        <f>IF(MONTH(Table1[[#This Row],[Reporting date]])&lt;Pol_Inc_Month_Shifted,YEAR(Table1[[#This Row],[Reporting date]])-1,YEAR(Table1[[#This Row],[Reporting date]]))</f>
        <v>2011</v>
      </c>
      <c r="AD481" s="17">
        <f>Table1[[#This Row],[Reporting year (shifted)]]-Table1[[#This Row],[Policy Year (shifted)]]</f>
        <v>1</v>
      </c>
    </row>
    <row r="482" spans="1:30" ht="13.9">
      <c r="A482" s="8" t="s">
        <v>2252</v>
      </c>
      <c r="B482" s="8" t="s">
        <v>534</v>
      </c>
      <c r="C482" s="8" t="s">
        <v>123</v>
      </c>
      <c r="D482" s="9">
        <v>40823</v>
      </c>
      <c r="E482" s="9">
        <v>40853</v>
      </c>
      <c r="F482" s="17">
        <f>IF(MONTH(Table1[[#This Row],[Loss date]])&lt;Policy_Inception_Month,YEAR(Table1[[#This Row],[Loss date]])-1,YEAR(Table1[[#This Row],[Loss date]]))</f>
        <v>2011</v>
      </c>
      <c r="G482" s="10" t="s">
        <v>125</v>
      </c>
      <c r="H482" s="10" t="s">
        <v>2</v>
      </c>
      <c r="I482" s="11">
        <v>845.2635519991278</v>
      </c>
      <c r="J482" s="11">
        <v>0</v>
      </c>
      <c r="K482" s="11">
        <v>845.2635519991278</v>
      </c>
      <c r="L482" s="12">
        <v>0</v>
      </c>
      <c r="M482" s="12">
        <v>0</v>
      </c>
      <c r="N482" s="12">
        <v>845.2635519991278</v>
      </c>
      <c r="O482" s="70">
        <f>IF(Table1[[#This Row],[Overall amount]]=0,0,1)</f>
        <v>1</v>
      </c>
      <c r="P482" s="70">
        <f>Table1[[#This Row],[Overall amount]]*Exchange_Rate</f>
        <v>845.2635519991278</v>
      </c>
      <c r="Q482" s="70">
        <f>Table1[[#This Row],[Overall (destination currency)]]*(1+Claims_Inflation)^((Revalue_at_date-Table1[[#This Row],[Loss date]])/365.25)</f>
        <v>1026.6000000000001</v>
      </c>
      <c r="R482" s="70">
        <f>INT(Table1[[#This Row],[Reporting date]])-INT(Table1[[#This Row],[Loss date]])</f>
        <v>30</v>
      </c>
      <c r="S482" s="69" t="s">
        <v>9</v>
      </c>
      <c r="T482" s="70">
        <f>VLOOKUP(Table1[[#This Row],[Policy Year]],exposure_table,3,FALSE)</f>
        <v>870.52680000000009</v>
      </c>
      <c r="U482" s="17">
        <f>IF(MONTH(Table1[[#This Row],[Reporting date]])&lt;Policy_Inception_Month,YEAR(Table1[[#This Row],[Reporting date]])-1,YEAR(Table1[[#This Row],[Reporting date]]))</f>
        <v>2011</v>
      </c>
      <c r="V482" s="17">
        <f>Table1[[#This Row],[Reporting year]]-Table1[[#This Row],[Policy Year]]</f>
        <v>0</v>
      </c>
      <c r="W482" s="17">
        <f>INT(Table1[[#This Row],[Reporting date]])-INT(Table1[[#This Row],[Loss date]])</f>
        <v>30</v>
      </c>
      <c r="X482" s="17">
        <f>INT((YEAR(Table1[[#This Row],[Loss date]])*12+MONTH(Table1[[#This Row],[Loss date]])-Earliest_Month)/4)</f>
        <v>19</v>
      </c>
      <c r="Y482" s="17">
        <f>INT((YEAR(Table1[[#This Row],[Reporting date]])*12+MONTH(Table1[[#This Row],[Reporting date]])-Earliest_Month)/4)</f>
        <v>19</v>
      </c>
      <c r="Z482" s="17">
        <f>Table1[[#This Row],[Reporting third]]-Table1[[#This Row],[Policy third]]</f>
        <v>0</v>
      </c>
      <c r="AA482" s="71">
        <f>IF(Table1[[#This Row],[Overall amount]]=0,"N/A",Table1[[#This Row],[Outstanding]]/Table1[[#This Row],[Overall amount]])</f>
        <v>0</v>
      </c>
      <c r="AB482" s="17">
        <f>IF(MONTH(Table1[[#This Row],[Loss date]])&lt;Pol_Inc_Month_Shifted,YEAR(Table1[[#This Row],[Loss date]])-1,YEAR(Table1[[#This Row],[Loss date]]))</f>
        <v>2010</v>
      </c>
      <c r="AC482" s="17">
        <f>IF(MONTH(Table1[[#This Row],[Reporting date]])&lt;Pol_Inc_Month_Shifted,YEAR(Table1[[#This Row],[Reporting date]])-1,YEAR(Table1[[#This Row],[Reporting date]]))</f>
        <v>2010</v>
      </c>
      <c r="AD482" s="17">
        <f>Table1[[#This Row],[Reporting year (shifted)]]-Table1[[#This Row],[Policy Year (shifted)]]</f>
        <v>0</v>
      </c>
    </row>
    <row r="483" spans="1:30" ht="13.9">
      <c r="A483" s="8" t="s">
        <v>2253</v>
      </c>
      <c r="B483" s="8" t="s">
        <v>535</v>
      </c>
      <c r="C483" s="8" t="s">
        <v>123</v>
      </c>
      <c r="D483" s="9">
        <v>40898</v>
      </c>
      <c r="E483" s="9">
        <v>40941</v>
      </c>
      <c r="F483" s="17">
        <f>IF(MONTH(Table1[[#This Row],[Loss date]])&lt;Policy_Inception_Month,YEAR(Table1[[#This Row],[Loss date]])-1,YEAR(Table1[[#This Row],[Loss date]]))</f>
        <v>2011</v>
      </c>
      <c r="G483" s="10" t="s">
        <v>125</v>
      </c>
      <c r="H483" s="10" t="s">
        <v>2</v>
      </c>
      <c r="I483" s="11">
        <v>4320.7671061548981</v>
      </c>
      <c r="J483" s="11">
        <v>0</v>
      </c>
      <c r="K483" s="11">
        <v>4320.7671061548981</v>
      </c>
      <c r="L483" s="12">
        <v>149.69743987140191</v>
      </c>
      <c r="M483" s="12">
        <v>0</v>
      </c>
      <c r="N483" s="12">
        <v>4470.4645460263</v>
      </c>
      <c r="O483" s="70">
        <f>IF(Table1[[#This Row],[Overall amount]]=0,0,1)</f>
        <v>1</v>
      </c>
      <c r="P483" s="70">
        <f>Table1[[#This Row],[Overall amount]]*Exchange_Rate</f>
        <v>4470.4645460263</v>
      </c>
      <c r="Q483" s="70">
        <f>Table1[[#This Row],[Overall (destination currency)]]*(1+Claims_Inflation)^((Revalue_at_date-Table1[[#This Row],[Loss date]])/365.25)</f>
        <v>5375.4</v>
      </c>
      <c r="R483" s="70">
        <f>INT(Table1[[#This Row],[Reporting date]])-INT(Table1[[#This Row],[Loss date]])</f>
        <v>43</v>
      </c>
      <c r="S483" s="69" t="s">
        <v>9</v>
      </c>
      <c r="T483" s="70">
        <f>VLOOKUP(Table1[[#This Row],[Policy Year]],exposure_table,3,FALSE)</f>
        <v>870.52680000000009</v>
      </c>
      <c r="U483" s="17">
        <f>IF(MONTH(Table1[[#This Row],[Reporting date]])&lt;Policy_Inception_Month,YEAR(Table1[[#This Row],[Reporting date]])-1,YEAR(Table1[[#This Row],[Reporting date]]))</f>
        <v>2011</v>
      </c>
      <c r="V483" s="17">
        <f>Table1[[#This Row],[Reporting year]]-Table1[[#This Row],[Policy Year]]</f>
        <v>0</v>
      </c>
      <c r="W483" s="17">
        <f>INT(Table1[[#This Row],[Reporting date]])-INT(Table1[[#This Row],[Loss date]])</f>
        <v>43</v>
      </c>
      <c r="X483" s="17">
        <f>INT((YEAR(Table1[[#This Row],[Loss date]])*12+MONTH(Table1[[#This Row],[Loss date]])-Earliest_Month)/4)</f>
        <v>20</v>
      </c>
      <c r="Y483" s="17">
        <f>INT((YEAR(Table1[[#This Row],[Reporting date]])*12+MONTH(Table1[[#This Row],[Reporting date]])-Earliest_Month)/4)</f>
        <v>20</v>
      </c>
      <c r="Z483" s="17">
        <f>Table1[[#This Row],[Reporting third]]-Table1[[#This Row],[Policy third]]</f>
        <v>0</v>
      </c>
      <c r="AA483" s="71">
        <f>IF(Table1[[#This Row],[Overall amount]]=0,"N/A",Table1[[#This Row],[Outstanding]]/Table1[[#This Row],[Overall amount]])</f>
        <v>0</v>
      </c>
      <c r="AB483" s="17">
        <f>IF(MONTH(Table1[[#This Row],[Loss date]])&lt;Pol_Inc_Month_Shifted,YEAR(Table1[[#This Row],[Loss date]])-1,YEAR(Table1[[#This Row],[Loss date]]))</f>
        <v>2011</v>
      </c>
      <c r="AC483" s="17">
        <f>IF(MONTH(Table1[[#This Row],[Reporting date]])&lt;Pol_Inc_Month_Shifted,YEAR(Table1[[#This Row],[Reporting date]])-1,YEAR(Table1[[#This Row],[Reporting date]]))</f>
        <v>2011</v>
      </c>
      <c r="AD483" s="17">
        <f>Table1[[#This Row],[Reporting year (shifted)]]-Table1[[#This Row],[Policy Year (shifted)]]</f>
        <v>0</v>
      </c>
    </row>
    <row r="484" spans="1:30" ht="13.9">
      <c r="A484" s="8" t="s">
        <v>2254</v>
      </c>
      <c r="B484" s="8" t="s">
        <v>536</v>
      </c>
      <c r="C484" s="8" t="s">
        <v>123</v>
      </c>
      <c r="D484" s="9">
        <v>40740</v>
      </c>
      <c r="E484" s="9">
        <v>40922</v>
      </c>
      <c r="F484" s="17">
        <f>IF(MONTH(Table1[[#This Row],[Loss date]])&lt;Policy_Inception_Month,YEAR(Table1[[#This Row],[Loss date]])-1,YEAR(Table1[[#This Row],[Loss date]]))</f>
        <v>2011</v>
      </c>
      <c r="G484" s="10" t="s">
        <v>125</v>
      </c>
      <c r="H484" s="10" t="s">
        <v>2</v>
      </c>
      <c r="I484" s="11">
        <v>935.12351015507272</v>
      </c>
      <c r="J484" s="11">
        <v>0</v>
      </c>
      <c r="K484" s="11">
        <v>935.12351015507272</v>
      </c>
      <c r="L484" s="12">
        <v>0</v>
      </c>
      <c r="M484" s="12">
        <v>96.270818799381658</v>
      </c>
      <c r="N484" s="12">
        <v>838.85269135569104</v>
      </c>
      <c r="O484" s="70">
        <f>IF(Table1[[#This Row],[Overall amount]]=0,0,1)</f>
        <v>1</v>
      </c>
      <c r="P484" s="70">
        <f>Table1[[#This Row],[Overall amount]]*Exchange_Rate</f>
        <v>838.85269135569104</v>
      </c>
      <c r="Q484" s="70">
        <f>Table1[[#This Row],[Overall (destination currency)]]*(1+Claims_Inflation)^((Revalue_at_date-Table1[[#This Row],[Loss date]])/365.25)</f>
        <v>1030.1723999999997</v>
      </c>
      <c r="R484" s="70">
        <f>INT(Table1[[#This Row],[Reporting date]])-INT(Table1[[#This Row],[Loss date]])</f>
        <v>182</v>
      </c>
      <c r="S484" s="69" t="s">
        <v>9</v>
      </c>
      <c r="T484" s="70">
        <f>VLOOKUP(Table1[[#This Row],[Policy Year]],exposure_table,3,FALSE)</f>
        <v>870.52680000000009</v>
      </c>
      <c r="U484" s="17">
        <f>IF(MONTH(Table1[[#This Row],[Reporting date]])&lt;Policy_Inception_Month,YEAR(Table1[[#This Row],[Reporting date]])-1,YEAR(Table1[[#This Row],[Reporting date]]))</f>
        <v>2011</v>
      </c>
      <c r="V484" s="17">
        <f>Table1[[#This Row],[Reporting year]]-Table1[[#This Row],[Policy Year]]</f>
        <v>0</v>
      </c>
      <c r="W484" s="17">
        <f>INT(Table1[[#This Row],[Reporting date]])-INT(Table1[[#This Row],[Loss date]])</f>
        <v>182</v>
      </c>
      <c r="X484" s="17">
        <f>INT((YEAR(Table1[[#This Row],[Loss date]])*12+MONTH(Table1[[#This Row],[Loss date]])-Earliest_Month)/4)</f>
        <v>18</v>
      </c>
      <c r="Y484" s="17">
        <f>INT((YEAR(Table1[[#This Row],[Reporting date]])*12+MONTH(Table1[[#This Row],[Reporting date]])-Earliest_Month)/4)</f>
        <v>20</v>
      </c>
      <c r="Z484" s="17">
        <f>Table1[[#This Row],[Reporting third]]-Table1[[#This Row],[Policy third]]</f>
        <v>2</v>
      </c>
      <c r="AA484" s="71">
        <f>IF(Table1[[#This Row],[Overall amount]]=0,"N/A",Table1[[#This Row],[Outstanding]]/Table1[[#This Row],[Overall amount]])</f>
        <v>0</v>
      </c>
      <c r="AB484" s="17">
        <f>IF(MONTH(Table1[[#This Row],[Loss date]])&lt;Pol_Inc_Month_Shifted,YEAR(Table1[[#This Row],[Loss date]])-1,YEAR(Table1[[#This Row],[Loss date]]))</f>
        <v>2010</v>
      </c>
      <c r="AC484" s="17">
        <f>IF(MONTH(Table1[[#This Row],[Reporting date]])&lt;Pol_Inc_Month_Shifted,YEAR(Table1[[#This Row],[Reporting date]])-1,YEAR(Table1[[#This Row],[Reporting date]]))</f>
        <v>2011</v>
      </c>
      <c r="AD484" s="17">
        <f>Table1[[#This Row],[Reporting year (shifted)]]-Table1[[#This Row],[Policy Year (shifted)]]</f>
        <v>1</v>
      </c>
    </row>
    <row r="485" spans="1:30" ht="13.9">
      <c r="A485" s="8" t="s">
        <v>2255</v>
      </c>
      <c r="B485" s="8" t="s">
        <v>537</v>
      </c>
      <c r="C485" s="8" t="s">
        <v>123</v>
      </c>
      <c r="D485" s="9">
        <v>40168</v>
      </c>
      <c r="E485" s="9">
        <v>40662</v>
      </c>
      <c r="F485" s="17">
        <f>IF(MONTH(Table1[[#This Row],[Loss date]])&lt;Policy_Inception_Month,YEAR(Table1[[#This Row],[Loss date]])-1,YEAR(Table1[[#This Row],[Loss date]]))</f>
        <v>2009</v>
      </c>
      <c r="G485" s="10" t="s">
        <v>125</v>
      </c>
      <c r="H485" s="10" t="s">
        <v>2</v>
      </c>
      <c r="I485" s="11">
        <v>5707.6668167191183</v>
      </c>
      <c r="J485" s="11">
        <v>0</v>
      </c>
      <c r="K485" s="11">
        <v>5707.6668167191183</v>
      </c>
      <c r="L485" s="12">
        <v>0</v>
      </c>
      <c r="M485" s="12">
        <v>0</v>
      </c>
      <c r="N485" s="12">
        <v>5707.6668167191183</v>
      </c>
      <c r="O485" s="70">
        <f>IF(Table1[[#This Row],[Overall amount]]=0,0,1)</f>
        <v>1</v>
      </c>
      <c r="P485" s="70">
        <f>Table1[[#This Row],[Overall amount]]*Exchange_Rate</f>
        <v>5707.6668167191183</v>
      </c>
      <c r="Q485" s="70">
        <f>Table1[[#This Row],[Overall (destination currency)]]*(1+Claims_Inflation)^((Revalue_at_date-Table1[[#This Row],[Loss date]])/365.25)</f>
        <v>7566</v>
      </c>
      <c r="R485" s="70">
        <f>INT(Table1[[#This Row],[Reporting date]])-INT(Table1[[#This Row],[Loss date]])</f>
        <v>494</v>
      </c>
      <c r="S485" s="69" t="s">
        <v>9</v>
      </c>
      <c r="T485" s="70">
        <f>VLOOKUP(Table1[[#This Row],[Policy Year]],exposure_table,3,FALSE)</f>
        <v>760.22808576000011</v>
      </c>
      <c r="U485" s="17">
        <f>IF(MONTH(Table1[[#This Row],[Reporting date]])&lt;Policy_Inception_Month,YEAR(Table1[[#This Row],[Reporting date]])-1,YEAR(Table1[[#This Row],[Reporting date]]))</f>
        <v>2011</v>
      </c>
      <c r="V485" s="17">
        <f>Table1[[#This Row],[Reporting year]]-Table1[[#This Row],[Policy Year]]</f>
        <v>2</v>
      </c>
      <c r="W485" s="17">
        <f>INT(Table1[[#This Row],[Reporting date]])-INT(Table1[[#This Row],[Loss date]])</f>
        <v>494</v>
      </c>
      <c r="X485" s="17">
        <f>INT((YEAR(Table1[[#This Row],[Loss date]])*12+MONTH(Table1[[#This Row],[Loss date]])-Earliest_Month)/4)</f>
        <v>14</v>
      </c>
      <c r="Y485" s="17">
        <f>INT((YEAR(Table1[[#This Row],[Reporting date]])*12+MONTH(Table1[[#This Row],[Reporting date]])-Earliest_Month)/4)</f>
        <v>18</v>
      </c>
      <c r="Z485" s="17">
        <f>Table1[[#This Row],[Reporting third]]-Table1[[#This Row],[Policy third]]</f>
        <v>4</v>
      </c>
      <c r="AA485" s="71">
        <f>IF(Table1[[#This Row],[Overall amount]]=0,"N/A",Table1[[#This Row],[Outstanding]]/Table1[[#This Row],[Overall amount]])</f>
        <v>0</v>
      </c>
      <c r="AB485" s="17">
        <f>IF(MONTH(Table1[[#This Row],[Loss date]])&lt;Pol_Inc_Month_Shifted,YEAR(Table1[[#This Row],[Loss date]])-1,YEAR(Table1[[#This Row],[Loss date]]))</f>
        <v>2009</v>
      </c>
      <c r="AC485" s="17">
        <f>IF(MONTH(Table1[[#This Row],[Reporting date]])&lt;Pol_Inc_Month_Shifted,YEAR(Table1[[#This Row],[Reporting date]])-1,YEAR(Table1[[#This Row],[Reporting date]]))</f>
        <v>2010</v>
      </c>
      <c r="AD485" s="17">
        <f>Table1[[#This Row],[Reporting year (shifted)]]-Table1[[#This Row],[Policy Year (shifted)]]</f>
        <v>1</v>
      </c>
    </row>
    <row r="486" spans="1:30" ht="13.9">
      <c r="A486" s="8" t="s">
        <v>2256</v>
      </c>
      <c r="B486" s="8" t="s">
        <v>538</v>
      </c>
      <c r="C486" s="8" t="s">
        <v>123</v>
      </c>
      <c r="D486" s="9">
        <v>40566</v>
      </c>
      <c r="E486" s="9">
        <v>40717</v>
      </c>
      <c r="F486" s="17">
        <f>IF(MONTH(Table1[[#This Row],[Loss date]])&lt;Policy_Inception_Month,YEAR(Table1[[#This Row],[Loss date]])-1,YEAR(Table1[[#This Row],[Loss date]]))</f>
        <v>2010</v>
      </c>
      <c r="G486" s="10" t="s">
        <v>125</v>
      </c>
      <c r="H486" s="10" t="s">
        <v>2</v>
      </c>
      <c r="I486" s="11">
        <v>7250.4758961634243</v>
      </c>
      <c r="J486" s="11">
        <v>0</v>
      </c>
      <c r="K486" s="11">
        <v>7250.4758961634243</v>
      </c>
      <c r="L486" s="12">
        <v>0</v>
      </c>
      <c r="M486" s="12">
        <v>0</v>
      </c>
      <c r="N486" s="12">
        <v>7250.4758961634243</v>
      </c>
      <c r="O486" s="70">
        <f>IF(Table1[[#This Row],[Overall amount]]=0,0,1)</f>
        <v>1</v>
      </c>
      <c r="P486" s="70">
        <f>Table1[[#This Row],[Overall amount]]*Exchange_Rate</f>
        <v>7250.4758961634243</v>
      </c>
      <c r="Q486" s="70">
        <f>Table1[[#This Row],[Overall (destination currency)]]*(1+Claims_Inflation)^((Revalue_at_date-Table1[[#This Row],[Loss date]])/365.25)</f>
        <v>9113.4959999999992</v>
      </c>
      <c r="R486" s="70">
        <f>INT(Table1[[#This Row],[Reporting date]])-INT(Table1[[#This Row],[Loss date]])</f>
        <v>151</v>
      </c>
      <c r="S486" s="69" t="s">
        <v>9</v>
      </c>
      <c r="T486" s="70">
        <f>VLOOKUP(Table1[[#This Row],[Policy Year]],exposure_table,3,FALSE)</f>
        <v>837.11513600000012</v>
      </c>
      <c r="U486" s="17">
        <f>IF(MONTH(Table1[[#This Row],[Reporting date]])&lt;Policy_Inception_Month,YEAR(Table1[[#This Row],[Reporting date]])-1,YEAR(Table1[[#This Row],[Reporting date]]))</f>
        <v>2011</v>
      </c>
      <c r="V486" s="17">
        <f>Table1[[#This Row],[Reporting year]]-Table1[[#This Row],[Policy Year]]</f>
        <v>1</v>
      </c>
      <c r="W486" s="17">
        <f>INT(Table1[[#This Row],[Reporting date]])-INT(Table1[[#This Row],[Loss date]])</f>
        <v>151</v>
      </c>
      <c r="X486" s="17">
        <f>INT((YEAR(Table1[[#This Row],[Loss date]])*12+MONTH(Table1[[#This Row],[Loss date]])-Earliest_Month)/4)</f>
        <v>17</v>
      </c>
      <c r="Y486" s="17">
        <f>INT((YEAR(Table1[[#This Row],[Reporting date]])*12+MONTH(Table1[[#This Row],[Reporting date]])-Earliest_Month)/4)</f>
        <v>18</v>
      </c>
      <c r="Z486" s="17">
        <f>Table1[[#This Row],[Reporting third]]-Table1[[#This Row],[Policy third]]</f>
        <v>1</v>
      </c>
      <c r="AA486" s="71">
        <f>IF(Table1[[#This Row],[Overall amount]]=0,"N/A",Table1[[#This Row],[Outstanding]]/Table1[[#This Row],[Overall amount]])</f>
        <v>0</v>
      </c>
      <c r="AB486" s="17">
        <f>IF(MONTH(Table1[[#This Row],[Loss date]])&lt;Pol_Inc_Month_Shifted,YEAR(Table1[[#This Row],[Loss date]])-1,YEAR(Table1[[#This Row],[Loss date]]))</f>
        <v>2010</v>
      </c>
      <c r="AC486" s="17">
        <f>IF(MONTH(Table1[[#This Row],[Reporting date]])&lt;Pol_Inc_Month_Shifted,YEAR(Table1[[#This Row],[Reporting date]])-1,YEAR(Table1[[#This Row],[Reporting date]]))</f>
        <v>2010</v>
      </c>
      <c r="AD486" s="17">
        <f>Table1[[#This Row],[Reporting year (shifted)]]-Table1[[#This Row],[Policy Year (shifted)]]</f>
        <v>0</v>
      </c>
    </row>
    <row r="487" spans="1:30" ht="13.9">
      <c r="A487" s="8" t="s">
        <v>2257</v>
      </c>
      <c r="B487" s="8" t="s">
        <v>539</v>
      </c>
      <c r="C487" s="8" t="s">
        <v>123</v>
      </c>
      <c r="D487" s="9">
        <v>40553</v>
      </c>
      <c r="E487" s="9">
        <v>40733</v>
      </c>
      <c r="F487" s="17">
        <f>IF(MONTH(Table1[[#This Row],[Loss date]])&lt;Policy_Inception_Month,YEAR(Table1[[#This Row],[Loss date]])-1,YEAR(Table1[[#This Row],[Loss date]]))</f>
        <v>2010</v>
      </c>
      <c r="G487" s="10" t="s">
        <v>125</v>
      </c>
      <c r="H487" s="10" t="s">
        <v>2</v>
      </c>
      <c r="I487" s="11">
        <v>8380.0315593400919</v>
      </c>
      <c r="J487" s="11">
        <v>0</v>
      </c>
      <c r="K487" s="11">
        <v>8380.0315593400919</v>
      </c>
      <c r="L487" s="12">
        <v>0</v>
      </c>
      <c r="M487" s="12">
        <v>0</v>
      </c>
      <c r="N487" s="12">
        <v>8380.0315593400919</v>
      </c>
      <c r="O487" s="70">
        <f>IF(Table1[[#This Row],[Overall amount]]=0,0,1)</f>
        <v>1</v>
      </c>
      <c r="P487" s="70">
        <f>Table1[[#This Row],[Overall amount]]*Exchange_Rate</f>
        <v>8380.0315593400919</v>
      </c>
      <c r="Q487" s="70">
        <f>Table1[[#This Row],[Overall (destination currency)]]*(1+Claims_Inflation)^((Revalue_at_date-Table1[[#This Row],[Loss date]])/365.25)</f>
        <v>10551.6</v>
      </c>
      <c r="R487" s="70">
        <f>INT(Table1[[#This Row],[Reporting date]])-INT(Table1[[#This Row],[Loss date]])</f>
        <v>180</v>
      </c>
      <c r="S487" s="69" t="s">
        <v>9</v>
      </c>
      <c r="T487" s="70">
        <f>VLOOKUP(Table1[[#This Row],[Policy Year]],exposure_table,3,FALSE)</f>
        <v>837.11513600000012</v>
      </c>
      <c r="U487" s="17">
        <f>IF(MONTH(Table1[[#This Row],[Reporting date]])&lt;Policy_Inception_Month,YEAR(Table1[[#This Row],[Reporting date]])-1,YEAR(Table1[[#This Row],[Reporting date]]))</f>
        <v>2011</v>
      </c>
      <c r="V487" s="17">
        <f>Table1[[#This Row],[Reporting year]]-Table1[[#This Row],[Policy Year]]</f>
        <v>1</v>
      </c>
      <c r="W487" s="17">
        <f>INT(Table1[[#This Row],[Reporting date]])-INT(Table1[[#This Row],[Loss date]])</f>
        <v>180</v>
      </c>
      <c r="X487" s="17">
        <f>INT((YEAR(Table1[[#This Row],[Loss date]])*12+MONTH(Table1[[#This Row],[Loss date]])-Earliest_Month)/4)</f>
        <v>17</v>
      </c>
      <c r="Y487" s="17">
        <f>INT((YEAR(Table1[[#This Row],[Reporting date]])*12+MONTH(Table1[[#This Row],[Reporting date]])-Earliest_Month)/4)</f>
        <v>18</v>
      </c>
      <c r="Z487" s="17">
        <f>Table1[[#This Row],[Reporting third]]-Table1[[#This Row],[Policy third]]</f>
        <v>1</v>
      </c>
      <c r="AA487" s="71">
        <f>IF(Table1[[#This Row],[Overall amount]]=0,"N/A",Table1[[#This Row],[Outstanding]]/Table1[[#This Row],[Overall amount]])</f>
        <v>0</v>
      </c>
      <c r="AB487" s="17">
        <f>IF(MONTH(Table1[[#This Row],[Loss date]])&lt;Pol_Inc_Month_Shifted,YEAR(Table1[[#This Row],[Loss date]])-1,YEAR(Table1[[#This Row],[Loss date]]))</f>
        <v>2010</v>
      </c>
      <c r="AC487" s="17">
        <f>IF(MONTH(Table1[[#This Row],[Reporting date]])&lt;Pol_Inc_Month_Shifted,YEAR(Table1[[#This Row],[Reporting date]])-1,YEAR(Table1[[#This Row],[Reporting date]]))</f>
        <v>2010</v>
      </c>
      <c r="AD487" s="17">
        <f>Table1[[#This Row],[Reporting year (shifted)]]-Table1[[#This Row],[Policy Year (shifted)]]</f>
        <v>0</v>
      </c>
    </row>
    <row r="488" spans="1:30" ht="13.9">
      <c r="A488" s="8" t="s">
        <v>2258</v>
      </c>
      <c r="B488" s="8" t="s">
        <v>540</v>
      </c>
      <c r="C488" s="8" t="s">
        <v>123</v>
      </c>
      <c r="D488" s="9">
        <v>40630</v>
      </c>
      <c r="E488" s="9">
        <v>40942</v>
      </c>
      <c r="F488" s="17">
        <f>IF(MONTH(Table1[[#This Row],[Loss date]])&lt;Policy_Inception_Month,YEAR(Table1[[#This Row],[Loss date]])-1,YEAR(Table1[[#This Row],[Loss date]]))</f>
        <v>2010</v>
      </c>
      <c r="G488" s="10" t="s">
        <v>125</v>
      </c>
      <c r="H488" s="10" t="s">
        <v>2</v>
      </c>
      <c r="I488" s="11">
        <v>670.16976778175888</v>
      </c>
      <c r="J488" s="11">
        <v>0</v>
      </c>
      <c r="K488" s="11">
        <v>670.16976778175888</v>
      </c>
      <c r="L488" s="12">
        <v>0</v>
      </c>
      <c r="M488" s="12">
        <v>66.797438405971519</v>
      </c>
      <c r="N488" s="12">
        <v>603.37232937578733</v>
      </c>
      <c r="O488" s="70">
        <f>IF(Table1[[#This Row],[Overall amount]]=0,0,1)</f>
        <v>1</v>
      </c>
      <c r="P488" s="70">
        <f>Table1[[#This Row],[Overall amount]]*Exchange_Rate</f>
        <v>603.37232937578733</v>
      </c>
      <c r="Q488" s="70">
        <f>Table1[[#This Row],[Overall (destination currency)]]*(1+Claims_Inflation)^((Revalue_at_date-Table1[[#This Row],[Loss date]])/365.25)</f>
        <v>751.95359999999994</v>
      </c>
      <c r="R488" s="70">
        <f>INT(Table1[[#This Row],[Reporting date]])-INT(Table1[[#This Row],[Loss date]])</f>
        <v>312</v>
      </c>
      <c r="S488" s="69" t="s">
        <v>9</v>
      </c>
      <c r="T488" s="70">
        <f>VLOOKUP(Table1[[#This Row],[Policy Year]],exposure_table,3,FALSE)</f>
        <v>837.11513600000012</v>
      </c>
      <c r="U488" s="17">
        <f>IF(MONTH(Table1[[#This Row],[Reporting date]])&lt;Policy_Inception_Month,YEAR(Table1[[#This Row],[Reporting date]])-1,YEAR(Table1[[#This Row],[Reporting date]]))</f>
        <v>2011</v>
      </c>
      <c r="V488" s="17">
        <f>Table1[[#This Row],[Reporting year]]-Table1[[#This Row],[Policy Year]]</f>
        <v>1</v>
      </c>
      <c r="W488" s="17">
        <f>INT(Table1[[#This Row],[Reporting date]])-INT(Table1[[#This Row],[Loss date]])</f>
        <v>312</v>
      </c>
      <c r="X488" s="17">
        <f>INT((YEAR(Table1[[#This Row],[Loss date]])*12+MONTH(Table1[[#This Row],[Loss date]])-Earliest_Month)/4)</f>
        <v>17</v>
      </c>
      <c r="Y488" s="17">
        <f>INT((YEAR(Table1[[#This Row],[Reporting date]])*12+MONTH(Table1[[#This Row],[Reporting date]])-Earliest_Month)/4)</f>
        <v>20</v>
      </c>
      <c r="Z488" s="17">
        <f>Table1[[#This Row],[Reporting third]]-Table1[[#This Row],[Policy third]]</f>
        <v>3</v>
      </c>
      <c r="AA488" s="71">
        <f>IF(Table1[[#This Row],[Overall amount]]=0,"N/A",Table1[[#This Row],[Outstanding]]/Table1[[#This Row],[Overall amount]])</f>
        <v>0</v>
      </c>
      <c r="AB488" s="17">
        <f>IF(MONTH(Table1[[#This Row],[Loss date]])&lt;Pol_Inc_Month_Shifted,YEAR(Table1[[#This Row],[Loss date]])-1,YEAR(Table1[[#This Row],[Loss date]]))</f>
        <v>2010</v>
      </c>
      <c r="AC488" s="17">
        <f>IF(MONTH(Table1[[#This Row],[Reporting date]])&lt;Pol_Inc_Month_Shifted,YEAR(Table1[[#This Row],[Reporting date]])-1,YEAR(Table1[[#This Row],[Reporting date]]))</f>
        <v>2011</v>
      </c>
      <c r="AD488" s="17">
        <f>Table1[[#This Row],[Reporting year (shifted)]]-Table1[[#This Row],[Policy Year (shifted)]]</f>
        <v>1</v>
      </c>
    </row>
    <row r="489" spans="1:30" ht="13.9">
      <c r="A489" s="8" t="s">
        <v>2259</v>
      </c>
      <c r="B489" s="8" t="s">
        <v>541</v>
      </c>
      <c r="C489" s="8" t="s">
        <v>123</v>
      </c>
      <c r="D489" s="9">
        <v>40769</v>
      </c>
      <c r="E489" s="9">
        <v>40867</v>
      </c>
      <c r="F489" s="17">
        <f>IF(MONTH(Table1[[#This Row],[Loss date]])&lt;Policy_Inception_Month,YEAR(Table1[[#This Row],[Loss date]])-1,YEAR(Table1[[#This Row],[Loss date]]))</f>
        <v>2011</v>
      </c>
      <c r="G489" s="10" t="s">
        <v>125</v>
      </c>
      <c r="H489" s="10" t="s">
        <v>2</v>
      </c>
      <c r="I489" s="11">
        <v>1265.8942522473733</v>
      </c>
      <c r="J489" s="11">
        <v>0</v>
      </c>
      <c r="K489" s="11">
        <v>1265.8942522473733</v>
      </c>
      <c r="L489" s="12">
        <v>0</v>
      </c>
      <c r="M489" s="12">
        <v>0</v>
      </c>
      <c r="N489" s="12">
        <v>1265.8942522473733</v>
      </c>
      <c r="O489" s="70">
        <f>IF(Table1[[#This Row],[Overall amount]]=0,0,1)</f>
        <v>1</v>
      </c>
      <c r="P489" s="70">
        <f>Table1[[#This Row],[Overall amount]]*Exchange_Rate</f>
        <v>1265.8942522473733</v>
      </c>
      <c r="Q489" s="70">
        <f>Table1[[#This Row],[Overall (destination currency)]]*(1+Claims_Inflation)^((Revalue_at_date-Table1[[#This Row],[Loss date]])/365.25)</f>
        <v>1548.6</v>
      </c>
      <c r="R489" s="70">
        <f>INT(Table1[[#This Row],[Reporting date]])-INT(Table1[[#This Row],[Loss date]])</f>
        <v>98</v>
      </c>
      <c r="S489" s="69" t="s">
        <v>9</v>
      </c>
      <c r="T489" s="70">
        <f>VLOOKUP(Table1[[#This Row],[Policy Year]],exposure_table,3,FALSE)</f>
        <v>870.52680000000009</v>
      </c>
      <c r="U489" s="17">
        <f>IF(MONTH(Table1[[#This Row],[Reporting date]])&lt;Policy_Inception_Month,YEAR(Table1[[#This Row],[Reporting date]])-1,YEAR(Table1[[#This Row],[Reporting date]]))</f>
        <v>2011</v>
      </c>
      <c r="V489" s="17">
        <f>Table1[[#This Row],[Reporting year]]-Table1[[#This Row],[Policy Year]]</f>
        <v>0</v>
      </c>
      <c r="W489" s="17">
        <f>INT(Table1[[#This Row],[Reporting date]])-INT(Table1[[#This Row],[Loss date]])</f>
        <v>98</v>
      </c>
      <c r="X489" s="17">
        <f>INT((YEAR(Table1[[#This Row],[Loss date]])*12+MONTH(Table1[[#This Row],[Loss date]])-Earliest_Month)/4)</f>
        <v>19</v>
      </c>
      <c r="Y489" s="17">
        <f>INT((YEAR(Table1[[#This Row],[Reporting date]])*12+MONTH(Table1[[#This Row],[Reporting date]])-Earliest_Month)/4)</f>
        <v>19</v>
      </c>
      <c r="Z489" s="17">
        <f>Table1[[#This Row],[Reporting third]]-Table1[[#This Row],[Policy third]]</f>
        <v>0</v>
      </c>
      <c r="AA489" s="71">
        <f>IF(Table1[[#This Row],[Overall amount]]=0,"N/A",Table1[[#This Row],[Outstanding]]/Table1[[#This Row],[Overall amount]])</f>
        <v>0</v>
      </c>
      <c r="AB489" s="17">
        <f>IF(MONTH(Table1[[#This Row],[Loss date]])&lt;Pol_Inc_Month_Shifted,YEAR(Table1[[#This Row],[Loss date]])-1,YEAR(Table1[[#This Row],[Loss date]]))</f>
        <v>2010</v>
      </c>
      <c r="AC489" s="17">
        <f>IF(MONTH(Table1[[#This Row],[Reporting date]])&lt;Pol_Inc_Month_Shifted,YEAR(Table1[[#This Row],[Reporting date]])-1,YEAR(Table1[[#This Row],[Reporting date]]))</f>
        <v>2010</v>
      </c>
      <c r="AD489" s="17">
        <f>Table1[[#This Row],[Reporting year (shifted)]]-Table1[[#This Row],[Policy Year (shifted)]]</f>
        <v>0</v>
      </c>
    </row>
    <row r="490" spans="1:30" ht="13.9">
      <c r="A490" s="8" t="s">
        <v>2260</v>
      </c>
      <c r="B490" s="8" t="s">
        <v>542</v>
      </c>
      <c r="C490" s="8" t="s">
        <v>123</v>
      </c>
      <c r="D490" s="9">
        <v>40802</v>
      </c>
      <c r="E490" s="9">
        <v>40852</v>
      </c>
      <c r="F490" s="17">
        <f>IF(MONTH(Table1[[#This Row],[Loss date]])&lt;Policy_Inception_Month,YEAR(Table1[[#This Row],[Loss date]])-1,YEAR(Table1[[#This Row],[Loss date]]))</f>
        <v>2011</v>
      </c>
      <c r="G490" s="10" t="s">
        <v>125</v>
      </c>
      <c r="H490" s="10" t="s">
        <v>2</v>
      </c>
      <c r="I490" s="11">
        <v>771.46391120294061</v>
      </c>
      <c r="J490" s="11">
        <v>0</v>
      </c>
      <c r="K490" s="11">
        <v>771.46391120294061</v>
      </c>
      <c r="L490" s="12">
        <v>147.79002130324534</v>
      </c>
      <c r="M490" s="12">
        <v>9.1925393250618601</v>
      </c>
      <c r="N490" s="12">
        <v>910.06139318112412</v>
      </c>
      <c r="O490" s="70">
        <f>IF(Table1[[#This Row],[Overall amount]]=0,0,1)</f>
        <v>1</v>
      </c>
      <c r="P490" s="70">
        <f>Table1[[#This Row],[Overall amount]]*Exchange_Rate</f>
        <v>910.06139318112412</v>
      </c>
      <c r="Q490" s="70">
        <f>Table1[[#This Row],[Overall (destination currency)]]*(1+Claims_Inflation)^((Revalue_at_date-Table1[[#This Row],[Loss date]])/365.25)</f>
        <v>1108.404</v>
      </c>
      <c r="R490" s="70">
        <f>INT(Table1[[#This Row],[Reporting date]])-INT(Table1[[#This Row],[Loss date]])</f>
        <v>50</v>
      </c>
      <c r="S490" s="69" t="s">
        <v>9</v>
      </c>
      <c r="T490" s="70">
        <f>VLOOKUP(Table1[[#This Row],[Policy Year]],exposure_table,3,FALSE)</f>
        <v>870.52680000000009</v>
      </c>
      <c r="U490" s="17">
        <f>IF(MONTH(Table1[[#This Row],[Reporting date]])&lt;Policy_Inception_Month,YEAR(Table1[[#This Row],[Reporting date]])-1,YEAR(Table1[[#This Row],[Reporting date]]))</f>
        <v>2011</v>
      </c>
      <c r="V490" s="17">
        <f>Table1[[#This Row],[Reporting year]]-Table1[[#This Row],[Policy Year]]</f>
        <v>0</v>
      </c>
      <c r="W490" s="17">
        <f>INT(Table1[[#This Row],[Reporting date]])-INT(Table1[[#This Row],[Loss date]])</f>
        <v>50</v>
      </c>
      <c r="X490" s="17">
        <f>INT((YEAR(Table1[[#This Row],[Loss date]])*12+MONTH(Table1[[#This Row],[Loss date]])-Earliest_Month)/4)</f>
        <v>19</v>
      </c>
      <c r="Y490" s="17">
        <f>INT((YEAR(Table1[[#This Row],[Reporting date]])*12+MONTH(Table1[[#This Row],[Reporting date]])-Earliest_Month)/4)</f>
        <v>19</v>
      </c>
      <c r="Z490" s="17">
        <f>Table1[[#This Row],[Reporting third]]-Table1[[#This Row],[Policy third]]</f>
        <v>0</v>
      </c>
      <c r="AA490" s="71">
        <f>IF(Table1[[#This Row],[Overall amount]]=0,"N/A",Table1[[#This Row],[Outstanding]]/Table1[[#This Row],[Overall amount]])</f>
        <v>0</v>
      </c>
      <c r="AB490" s="17">
        <f>IF(MONTH(Table1[[#This Row],[Loss date]])&lt;Pol_Inc_Month_Shifted,YEAR(Table1[[#This Row],[Loss date]])-1,YEAR(Table1[[#This Row],[Loss date]]))</f>
        <v>2010</v>
      </c>
      <c r="AC490" s="17">
        <f>IF(MONTH(Table1[[#This Row],[Reporting date]])&lt;Pol_Inc_Month_Shifted,YEAR(Table1[[#This Row],[Reporting date]])-1,YEAR(Table1[[#This Row],[Reporting date]]))</f>
        <v>2010</v>
      </c>
      <c r="AD490" s="17">
        <f>Table1[[#This Row],[Reporting year (shifted)]]-Table1[[#This Row],[Policy Year (shifted)]]</f>
        <v>0</v>
      </c>
    </row>
    <row r="491" spans="1:30" ht="13.9">
      <c r="A491" s="8" t="s">
        <v>2261</v>
      </c>
      <c r="B491" s="8" t="s">
        <v>543</v>
      </c>
      <c r="C491" s="8" t="s">
        <v>123</v>
      </c>
      <c r="D491" s="9">
        <v>40633</v>
      </c>
      <c r="E491" s="9">
        <v>40650</v>
      </c>
      <c r="F491" s="17">
        <f>IF(MONTH(Table1[[#This Row],[Loss date]])&lt;Policy_Inception_Month,YEAR(Table1[[#This Row],[Loss date]])-1,YEAR(Table1[[#This Row],[Loss date]]))</f>
        <v>2010</v>
      </c>
      <c r="G491" s="10" t="s">
        <v>126</v>
      </c>
      <c r="H491" s="10" t="s">
        <v>2</v>
      </c>
      <c r="I491" s="11">
        <v>558.69865484559818</v>
      </c>
      <c r="J491" s="11">
        <v>0</v>
      </c>
      <c r="K491" s="11">
        <v>558.69865484559818</v>
      </c>
      <c r="L491" s="12">
        <v>0</v>
      </c>
      <c r="M491" s="12">
        <v>13.360604039152495</v>
      </c>
      <c r="N491" s="12">
        <v>545.33805080644572</v>
      </c>
      <c r="O491" s="70">
        <f>IF(Table1[[#This Row],[Overall amount]]=0,0,1)</f>
        <v>1</v>
      </c>
      <c r="P491" s="70">
        <f>Table1[[#This Row],[Overall amount]]*Exchange_Rate</f>
        <v>545.33805080644572</v>
      </c>
      <c r="Q491" s="70">
        <f>Table1[[#This Row],[Overall (destination currency)]]*(1+Claims_Inflation)^((Revalue_at_date-Table1[[#This Row],[Loss date]])/365.25)</f>
        <v>679.35599999999999</v>
      </c>
      <c r="R491" s="70">
        <f>INT(Table1[[#This Row],[Reporting date]])-INT(Table1[[#This Row],[Loss date]])</f>
        <v>17</v>
      </c>
      <c r="S491" s="69" t="s">
        <v>9</v>
      </c>
      <c r="T491" s="70">
        <f>VLOOKUP(Table1[[#This Row],[Policy Year]],exposure_table,3,FALSE)</f>
        <v>837.11513600000012</v>
      </c>
      <c r="U491" s="17">
        <f>IF(MONTH(Table1[[#This Row],[Reporting date]])&lt;Policy_Inception_Month,YEAR(Table1[[#This Row],[Reporting date]])-1,YEAR(Table1[[#This Row],[Reporting date]]))</f>
        <v>2011</v>
      </c>
      <c r="V491" s="17">
        <f>Table1[[#This Row],[Reporting year]]-Table1[[#This Row],[Policy Year]]</f>
        <v>1</v>
      </c>
      <c r="W491" s="17">
        <f>INT(Table1[[#This Row],[Reporting date]])-INT(Table1[[#This Row],[Loss date]])</f>
        <v>17</v>
      </c>
      <c r="X491" s="17">
        <f>INT((YEAR(Table1[[#This Row],[Loss date]])*12+MONTH(Table1[[#This Row],[Loss date]])-Earliest_Month)/4)</f>
        <v>17</v>
      </c>
      <c r="Y491" s="17">
        <f>INT((YEAR(Table1[[#This Row],[Reporting date]])*12+MONTH(Table1[[#This Row],[Reporting date]])-Earliest_Month)/4)</f>
        <v>18</v>
      </c>
      <c r="Z491" s="17">
        <f>Table1[[#This Row],[Reporting third]]-Table1[[#This Row],[Policy third]]</f>
        <v>1</v>
      </c>
      <c r="AA491" s="71">
        <f>IF(Table1[[#This Row],[Overall amount]]=0,"N/A",Table1[[#This Row],[Outstanding]]/Table1[[#This Row],[Overall amount]])</f>
        <v>0</v>
      </c>
      <c r="AB491" s="17">
        <f>IF(MONTH(Table1[[#This Row],[Loss date]])&lt;Pol_Inc_Month_Shifted,YEAR(Table1[[#This Row],[Loss date]])-1,YEAR(Table1[[#This Row],[Loss date]]))</f>
        <v>2010</v>
      </c>
      <c r="AC491" s="17">
        <f>IF(MONTH(Table1[[#This Row],[Reporting date]])&lt;Pol_Inc_Month_Shifted,YEAR(Table1[[#This Row],[Reporting date]])-1,YEAR(Table1[[#This Row],[Reporting date]]))</f>
        <v>2010</v>
      </c>
      <c r="AD491" s="17">
        <f>Table1[[#This Row],[Reporting year (shifted)]]-Table1[[#This Row],[Policy Year (shifted)]]</f>
        <v>0</v>
      </c>
    </row>
    <row r="492" spans="1:30" ht="13.9">
      <c r="A492" s="8" t="s">
        <v>2262</v>
      </c>
      <c r="B492" s="8" t="s">
        <v>544</v>
      </c>
      <c r="C492" s="8" t="s">
        <v>123</v>
      </c>
      <c r="D492" s="9">
        <v>40536</v>
      </c>
      <c r="E492" s="9">
        <v>40705</v>
      </c>
      <c r="F492" s="17">
        <f>IF(MONTH(Table1[[#This Row],[Loss date]])&lt;Policy_Inception_Month,YEAR(Table1[[#This Row],[Loss date]])-1,YEAR(Table1[[#This Row],[Loss date]]))</f>
        <v>2010</v>
      </c>
      <c r="G492" s="10" t="s">
        <v>125</v>
      </c>
      <c r="H492" s="10" t="s">
        <v>2</v>
      </c>
      <c r="I492" s="11">
        <v>7064.9838175997493</v>
      </c>
      <c r="J492" s="11">
        <v>0</v>
      </c>
      <c r="K492" s="11">
        <v>7064.9838175997493</v>
      </c>
      <c r="L492" s="12">
        <v>0</v>
      </c>
      <c r="M492" s="12">
        <v>0</v>
      </c>
      <c r="N492" s="12">
        <v>7064.9838175997493</v>
      </c>
      <c r="O492" s="70">
        <f>IF(Table1[[#This Row],[Overall amount]]=0,0,1)</f>
        <v>1</v>
      </c>
      <c r="P492" s="70">
        <f>Table1[[#This Row],[Overall amount]]*Exchange_Rate</f>
        <v>7064.9838175997493</v>
      </c>
      <c r="Q492" s="70">
        <f>Table1[[#This Row],[Overall (destination currency)]]*(1+Claims_Inflation)^((Revalue_at_date-Table1[[#This Row],[Loss date]])/365.25)</f>
        <v>8916</v>
      </c>
      <c r="R492" s="70">
        <f>INT(Table1[[#This Row],[Reporting date]])-INT(Table1[[#This Row],[Loss date]])</f>
        <v>169</v>
      </c>
      <c r="S492" s="69" t="s">
        <v>9</v>
      </c>
      <c r="T492" s="70">
        <f>VLOOKUP(Table1[[#This Row],[Policy Year]],exposure_table,3,FALSE)</f>
        <v>837.11513600000012</v>
      </c>
      <c r="U492" s="17">
        <f>IF(MONTH(Table1[[#This Row],[Reporting date]])&lt;Policy_Inception_Month,YEAR(Table1[[#This Row],[Reporting date]])-1,YEAR(Table1[[#This Row],[Reporting date]]))</f>
        <v>2011</v>
      </c>
      <c r="V492" s="17">
        <f>Table1[[#This Row],[Reporting year]]-Table1[[#This Row],[Policy Year]]</f>
        <v>1</v>
      </c>
      <c r="W492" s="17">
        <f>INT(Table1[[#This Row],[Reporting date]])-INT(Table1[[#This Row],[Loss date]])</f>
        <v>169</v>
      </c>
      <c r="X492" s="17">
        <f>INT((YEAR(Table1[[#This Row],[Loss date]])*12+MONTH(Table1[[#This Row],[Loss date]])-Earliest_Month)/4)</f>
        <v>17</v>
      </c>
      <c r="Y492" s="17">
        <f>INT((YEAR(Table1[[#This Row],[Reporting date]])*12+MONTH(Table1[[#This Row],[Reporting date]])-Earliest_Month)/4)</f>
        <v>18</v>
      </c>
      <c r="Z492" s="17">
        <f>Table1[[#This Row],[Reporting third]]-Table1[[#This Row],[Policy third]]</f>
        <v>1</v>
      </c>
      <c r="AA492" s="71">
        <f>IF(Table1[[#This Row],[Overall amount]]=0,"N/A",Table1[[#This Row],[Outstanding]]/Table1[[#This Row],[Overall amount]])</f>
        <v>0</v>
      </c>
      <c r="AB492" s="17">
        <f>IF(MONTH(Table1[[#This Row],[Loss date]])&lt;Pol_Inc_Month_Shifted,YEAR(Table1[[#This Row],[Loss date]])-1,YEAR(Table1[[#This Row],[Loss date]]))</f>
        <v>2010</v>
      </c>
      <c r="AC492" s="17">
        <f>IF(MONTH(Table1[[#This Row],[Reporting date]])&lt;Pol_Inc_Month_Shifted,YEAR(Table1[[#This Row],[Reporting date]])-1,YEAR(Table1[[#This Row],[Reporting date]]))</f>
        <v>2010</v>
      </c>
      <c r="AD492" s="17">
        <f>Table1[[#This Row],[Reporting year (shifted)]]-Table1[[#This Row],[Policy Year (shifted)]]</f>
        <v>0</v>
      </c>
    </row>
    <row r="493" spans="1:30" ht="13.9">
      <c r="A493" s="8" t="s">
        <v>2263</v>
      </c>
      <c r="B493" s="8" t="s">
        <v>545</v>
      </c>
      <c r="C493" s="8" t="s">
        <v>123</v>
      </c>
      <c r="D493" s="9">
        <v>40400</v>
      </c>
      <c r="E493" s="9">
        <v>40684</v>
      </c>
      <c r="F493" s="17">
        <f>IF(MONTH(Table1[[#This Row],[Loss date]])&lt;Policy_Inception_Month,YEAR(Table1[[#This Row],[Loss date]])-1,YEAR(Table1[[#This Row],[Loss date]]))</f>
        <v>2010</v>
      </c>
      <c r="G493" s="10" t="s">
        <v>147</v>
      </c>
      <c r="H493" s="10" t="s">
        <v>2</v>
      </c>
      <c r="I493" s="11">
        <v>1259.1675458770862</v>
      </c>
      <c r="J493" s="11">
        <v>0</v>
      </c>
      <c r="K493" s="11">
        <v>1259.1675458770862</v>
      </c>
      <c r="L493" s="12">
        <v>0</v>
      </c>
      <c r="M493" s="12">
        <v>0</v>
      </c>
      <c r="N493" s="12">
        <v>1259.1675458770862</v>
      </c>
      <c r="O493" s="70">
        <f>IF(Table1[[#This Row],[Overall amount]]=0,0,1)</f>
        <v>1</v>
      </c>
      <c r="P493" s="70">
        <f>Table1[[#This Row],[Overall amount]]*Exchange_Rate</f>
        <v>1259.1675458770862</v>
      </c>
      <c r="Q493" s="70">
        <f>Table1[[#This Row],[Overall (destination currency)]]*(1+Claims_Inflation)^((Revalue_at_date-Table1[[#This Row],[Loss date]])/365.25)</f>
        <v>1618.2</v>
      </c>
      <c r="R493" s="70">
        <f>INT(Table1[[#This Row],[Reporting date]])-INT(Table1[[#This Row],[Loss date]])</f>
        <v>284</v>
      </c>
      <c r="S493" s="69" t="s">
        <v>9</v>
      </c>
      <c r="T493" s="70">
        <f>VLOOKUP(Table1[[#This Row],[Policy Year]],exposure_table,3,FALSE)</f>
        <v>837.11513600000012</v>
      </c>
      <c r="U493" s="17">
        <f>IF(MONTH(Table1[[#This Row],[Reporting date]])&lt;Policy_Inception_Month,YEAR(Table1[[#This Row],[Reporting date]])-1,YEAR(Table1[[#This Row],[Reporting date]]))</f>
        <v>2011</v>
      </c>
      <c r="V493" s="17">
        <f>Table1[[#This Row],[Reporting year]]-Table1[[#This Row],[Policy Year]]</f>
        <v>1</v>
      </c>
      <c r="W493" s="17">
        <f>INT(Table1[[#This Row],[Reporting date]])-INT(Table1[[#This Row],[Loss date]])</f>
        <v>284</v>
      </c>
      <c r="X493" s="17">
        <f>INT((YEAR(Table1[[#This Row],[Loss date]])*12+MONTH(Table1[[#This Row],[Loss date]])-Earliest_Month)/4)</f>
        <v>16</v>
      </c>
      <c r="Y493" s="17">
        <f>INT((YEAR(Table1[[#This Row],[Reporting date]])*12+MONTH(Table1[[#This Row],[Reporting date]])-Earliest_Month)/4)</f>
        <v>18</v>
      </c>
      <c r="Z493" s="17">
        <f>Table1[[#This Row],[Reporting third]]-Table1[[#This Row],[Policy third]]</f>
        <v>2</v>
      </c>
      <c r="AA493" s="71">
        <f>IF(Table1[[#This Row],[Overall amount]]=0,"N/A",Table1[[#This Row],[Outstanding]]/Table1[[#This Row],[Overall amount]])</f>
        <v>0</v>
      </c>
      <c r="AB493" s="17">
        <f>IF(MONTH(Table1[[#This Row],[Loss date]])&lt;Pol_Inc_Month_Shifted,YEAR(Table1[[#This Row],[Loss date]])-1,YEAR(Table1[[#This Row],[Loss date]]))</f>
        <v>2009</v>
      </c>
      <c r="AC493" s="17">
        <f>IF(MONTH(Table1[[#This Row],[Reporting date]])&lt;Pol_Inc_Month_Shifted,YEAR(Table1[[#This Row],[Reporting date]])-1,YEAR(Table1[[#This Row],[Reporting date]]))</f>
        <v>2010</v>
      </c>
      <c r="AD493" s="17">
        <f>Table1[[#This Row],[Reporting year (shifted)]]-Table1[[#This Row],[Policy Year (shifted)]]</f>
        <v>1</v>
      </c>
    </row>
    <row r="494" spans="1:30" ht="13.9">
      <c r="A494" s="8" t="s">
        <v>2264</v>
      </c>
      <c r="B494" s="8" t="s">
        <v>546</v>
      </c>
      <c r="C494" s="8" t="s">
        <v>123</v>
      </c>
      <c r="D494" s="9">
        <v>40315</v>
      </c>
      <c r="E494" s="9">
        <v>40747</v>
      </c>
      <c r="F494" s="17">
        <f>IF(MONTH(Table1[[#This Row],[Loss date]])&lt;Policy_Inception_Month,YEAR(Table1[[#This Row],[Loss date]])-1,YEAR(Table1[[#This Row],[Loss date]]))</f>
        <v>2010</v>
      </c>
      <c r="G494" s="10" t="s">
        <v>125</v>
      </c>
      <c r="H494" s="10" t="s">
        <v>2</v>
      </c>
      <c r="I494" s="11">
        <v>1151.2453986473793</v>
      </c>
      <c r="J494" s="11">
        <v>0</v>
      </c>
      <c r="K494" s="11">
        <v>1151.2453986473793</v>
      </c>
      <c r="L494" s="12">
        <v>0</v>
      </c>
      <c r="M494" s="12">
        <v>0</v>
      </c>
      <c r="N494" s="12">
        <v>1151.2453986473793</v>
      </c>
      <c r="O494" s="70">
        <f>IF(Table1[[#This Row],[Overall amount]]=0,0,1)</f>
        <v>1</v>
      </c>
      <c r="P494" s="70">
        <f>Table1[[#This Row],[Overall amount]]*Exchange_Rate</f>
        <v>1151.2453986473793</v>
      </c>
      <c r="Q494" s="70">
        <f>Table1[[#This Row],[Overall (destination currency)]]*(1+Claims_Inflation)^((Revalue_at_date-Table1[[#This Row],[Loss date]])/365.25)</f>
        <v>1496.3999999999999</v>
      </c>
      <c r="R494" s="70">
        <f>INT(Table1[[#This Row],[Reporting date]])-INT(Table1[[#This Row],[Loss date]])</f>
        <v>432</v>
      </c>
      <c r="S494" s="69" t="s">
        <v>9</v>
      </c>
      <c r="T494" s="70">
        <f>VLOOKUP(Table1[[#This Row],[Policy Year]],exposure_table,3,FALSE)</f>
        <v>837.11513600000012</v>
      </c>
      <c r="U494" s="17">
        <f>IF(MONTH(Table1[[#This Row],[Reporting date]])&lt;Policy_Inception_Month,YEAR(Table1[[#This Row],[Reporting date]])-1,YEAR(Table1[[#This Row],[Reporting date]]))</f>
        <v>2011</v>
      </c>
      <c r="V494" s="17">
        <f>Table1[[#This Row],[Reporting year]]-Table1[[#This Row],[Policy Year]]</f>
        <v>1</v>
      </c>
      <c r="W494" s="17">
        <f>INT(Table1[[#This Row],[Reporting date]])-INT(Table1[[#This Row],[Loss date]])</f>
        <v>432</v>
      </c>
      <c r="X494" s="17">
        <f>INT((YEAR(Table1[[#This Row],[Loss date]])*12+MONTH(Table1[[#This Row],[Loss date]])-Earliest_Month)/4)</f>
        <v>15</v>
      </c>
      <c r="Y494" s="17">
        <f>INT((YEAR(Table1[[#This Row],[Reporting date]])*12+MONTH(Table1[[#This Row],[Reporting date]])-Earliest_Month)/4)</f>
        <v>18</v>
      </c>
      <c r="Z494" s="17">
        <f>Table1[[#This Row],[Reporting third]]-Table1[[#This Row],[Policy third]]</f>
        <v>3</v>
      </c>
      <c r="AA494" s="71">
        <f>IF(Table1[[#This Row],[Overall amount]]=0,"N/A",Table1[[#This Row],[Outstanding]]/Table1[[#This Row],[Overall amount]])</f>
        <v>0</v>
      </c>
      <c r="AB494" s="17">
        <f>IF(MONTH(Table1[[#This Row],[Loss date]])&lt;Pol_Inc_Month_Shifted,YEAR(Table1[[#This Row],[Loss date]])-1,YEAR(Table1[[#This Row],[Loss date]]))</f>
        <v>2009</v>
      </c>
      <c r="AC494" s="17">
        <f>IF(MONTH(Table1[[#This Row],[Reporting date]])&lt;Pol_Inc_Month_Shifted,YEAR(Table1[[#This Row],[Reporting date]])-1,YEAR(Table1[[#This Row],[Reporting date]]))</f>
        <v>2010</v>
      </c>
      <c r="AD494" s="17">
        <f>Table1[[#This Row],[Reporting year (shifted)]]-Table1[[#This Row],[Policy Year (shifted)]]</f>
        <v>1</v>
      </c>
    </row>
    <row r="495" spans="1:30" ht="13.9">
      <c r="A495" s="8" t="s">
        <v>2265</v>
      </c>
      <c r="B495" s="8" t="s">
        <v>547</v>
      </c>
      <c r="C495" s="8" t="s">
        <v>123</v>
      </c>
      <c r="D495" s="9">
        <v>40753</v>
      </c>
      <c r="E495" s="9">
        <v>40795</v>
      </c>
      <c r="F495" s="17">
        <f>IF(MONTH(Table1[[#This Row],[Loss date]])&lt;Policy_Inception_Month,YEAR(Table1[[#This Row],[Loss date]])-1,YEAR(Table1[[#This Row],[Loss date]]))</f>
        <v>2011</v>
      </c>
      <c r="G495" s="10" t="s">
        <v>125</v>
      </c>
      <c r="H495" s="10" t="s">
        <v>2</v>
      </c>
      <c r="I495" s="11">
        <v>752.2376748342806</v>
      </c>
      <c r="J495" s="11">
        <v>0</v>
      </c>
      <c r="K495" s="11">
        <v>752.2376748342806</v>
      </c>
      <c r="L495" s="12">
        <v>0</v>
      </c>
      <c r="M495" s="12">
        <v>0</v>
      </c>
      <c r="N495" s="12">
        <v>752.2376748342806</v>
      </c>
      <c r="O495" s="70">
        <f>IF(Table1[[#This Row],[Overall amount]]=0,0,1)</f>
        <v>1</v>
      </c>
      <c r="P495" s="70">
        <f>Table1[[#This Row],[Overall amount]]*Exchange_Rate</f>
        <v>752.2376748342806</v>
      </c>
      <c r="Q495" s="70">
        <f>Table1[[#This Row],[Overall (destination currency)]]*(1+Claims_Inflation)^((Revalue_at_date-Table1[[#This Row],[Loss date]])/365.25)</f>
        <v>922.19999999999993</v>
      </c>
      <c r="R495" s="70">
        <f>INT(Table1[[#This Row],[Reporting date]])-INT(Table1[[#This Row],[Loss date]])</f>
        <v>42</v>
      </c>
      <c r="S495" s="69" t="s">
        <v>9</v>
      </c>
      <c r="T495" s="70">
        <f>VLOOKUP(Table1[[#This Row],[Policy Year]],exposure_table,3,FALSE)</f>
        <v>870.52680000000009</v>
      </c>
      <c r="U495" s="17">
        <f>IF(MONTH(Table1[[#This Row],[Reporting date]])&lt;Policy_Inception_Month,YEAR(Table1[[#This Row],[Reporting date]])-1,YEAR(Table1[[#This Row],[Reporting date]]))</f>
        <v>2011</v>
      </c>
      <c r="V495" s="17">
        <f>Table1[[#This Row],[Reporting year]]-Table1[[#This Row],[Policy Year]]</f>
        <v>0</v>
      </c>
      <c r="W495" s="17">
        <f>INT(Table1[[#This Row],[Reporting date]])-INT(Table1[[#This Row],[Loss date]])</f>
        <v>42</v>
      </c>
      <c r="X495" s="17">
        <f>INT((YEAR(Table1[[#This Row],[Loss date]])*12+MONTH(Table1[[#This Row],[Loss date]])-Earliest_Month)/4)</f>
        <v>18</v>
      </c>
      <c r="Y495" s="17">
        <f>INT((YEAR(Table1[[#This Row],[Reporting date]])*12+MONTH(Table1[[#This Row],[Reporting date]])-Earliest_Month)/4)</f>
        <v>19</v>
      </c>
      <c r="Z495" s="17">
        <f>Table1[[#This Row],[Reporting third]]-Table1[[#This Row],[Policy third]]</f>
        <v>1</v>
      </c>
      <c r="AA495" s="71">
        <f>IF(Table1[[#This Row],[Overall amount]]=0,"N/A",Table1[[#This Row],[Outstanding]]/Table1[[#This Row],[Overall amount]])</f>
        <v>0</v>
      </c>
      <c r="AB495" s="17">
        <f>IF(MONTH(Table1[[#This Row],[Loss date]])&lt;Pol_Inc_Month_Shifted,YEAR(Table1[[#This Row],[Loss date]])-1,YEAR(Table1[[#This Row],[Loss date]]))</f>
        <v>2010</v>
      </c>
      <c r="AC495" s="17">
        <f>IF(MONTH(Table1[[#This Row],[Reporting date]])&lt;Pol_Inc_Month_Shifted,YEAR(Table1[[#This Row],[Reporting date]])-1,YEAR(Table1[[#This Row],[Reporting date]]))</f>
        <v>2010</v>
      </c>
      <c r="AD495" s="17">
        <f>Table1[[#This Row],[Reporting year (shifted)]]-Table1[[#This Row],[Policy Year (shifted)]]</f>
        <v>0</v>
      </c>
    </row>
    <row r="496" spans="1:30" ht="13.9">
      <c r="A496" s="8" t="s">
        <v>2266</v>
      </c>
      <c r="B496" s="8" t="s">
        <v>548</v>
      </c>
      <c r="C496" s="8" t="s">
        <v>123</v>
      </c>
      <c r="D496" s="9">
        <v>40686</v>
      </c>
      <c r="E496" s="9">
        <v>40704</v>
      </c>
      <c r="F496" s="17">
        <f>IF(MONTH(Table1[[#This Row],[Loss date]])&lt;Policy_Inception_Month,YEAR(Table1[[#This Row],[Loss date]])-1,YEAR(Table1[[#This Row],[Loss date]]))</f>
        <v>2011</v>
      </c>
      <c r="G496" s="10" t="s">
        <v>125</v>
      </c>
      <c r="H496" s="10" t="s">
        <v>2</v>
      </c>
      <c r="I496" s="11">
        <v>12807.296905511233</v>
      </c>
      <c r="J496" s="11">
        <v>0</v>
      </c>
      <c r="K496" s="11">
        <v>12807.296905511233</v>
      </c>
      <c r="L496" s="12">
        <v>145.51762152332901</v>
      </c>
      <c r="M496" s="12">
        <v>0</v>
      </c>
      <c r="N496" s="12">
        <v>12952.814527034563</v>
      </c>
      <c r="O496" s="70">
        <f>IF(Table1[[#This Row],[Overall amount]]=0,0,1)</f>
        <v>1</v>
      </c>
      <c r="P496" s="70">
        <f>Table1[[#This Row],[Overall amount]]*Exchange_Rate</f>
        <v>12952.814527034563</v>
      </c>
      <c r="Q496" s="70">
        <f>Table1[[#This Row],[Overall (destination currency)]]*(1+Claims_Inflation)^((Revalue_at_date-Table1[[#This Row],[Loss date]])/365.25)</f>
        <v>16022.16</v>
      </c>
      <c r="R496" s="70">
        <f>INT(Table1[[#This Row],[Reporting date]])-INT(Table1[[#This Row],[Loss date]])</f>
        <v>18</v>
      </c>
      <c r="S496" s="69" t="s">
        <v>9</v>
      </c>
      <c r="T496" s="70">
        <f>VLOOKUP(Table1[[#This Row],[Policy Year]],exposure_table,3,FALSE)</f>
        <v>870.52680000000009</v>
      </c>
      <c r="U496" s="17">
        <f>IF(MONTH(Table1[[#This Row],[Reporting date]])&lt;Policy_Inception_Month,YEAR(Table1[[#This Row],[Reporting date]])-1,YEAR(Table1[[#This Row],[Reporting date]]))</f>
        <v>2011</v>
      </c>
      <c r="V496" s="17">
        <f>Table1[[#This Row],[Reporting year]]-Table1[[#This Row],[Policy Year]]</f>
        <v>0</v>
      </c>
      <c r="W496" s="17">
        <f>INT(Table1[[#This Row],[Reporting date]])-INT(Table1[[#This Row],[Loss date]])</f>
        <v>18</v>
      </c>
      <c r="X496" s="17">
        <f>INT((YEAR(Table1[[#This Row],[Loss date]])*12+MONTH(Table1[[#This Row],[Loss date]])-Earliest_Month)/4)</f>
        <v>18</v>
      </c>
      <c r="Y496" s="17">
        <f>INT((YEAR(Table1[[#This Row],[Reporting date]])*12+MONTH(Table1[[#This Row],[Reporting date]])-Earliest_Month)/4)</f>
        <v>18</v>
      </c>
      <c r="Z496" s="17">
        <f>Table1[[#This Row],[Reporting third]]-Table1[[#This Row],[Policy third]]</f>
        <v>0</v>
      </c>
      <c r="AA496" s="71">
        <f>IF(Table1[[#This Row],[Overall amount]]=0,"N/A",Table1[[#This Row],[Outstanding]]/Table1[[#This Row],[Overall amount]])</f>
        <v>0</v>
      </c>
      <c r="AB496" s="17">
        <f>IF(MONTH(Table1[[#This Row],[Loss date]])&lt;Pol_Inc_Month_Shifted,YEAR(Table1[[#This Row],[Loss date]])-1,YEAR(Table1[[#This Row],[Loss date]]))</f>
        <v>2010</v>
      </c>
      <c r="AC496" s="17">
        <f>IF(MONTH(Table1[[#This Row],[Reporting date]])&lt;Pol_Inc_Month_Shifted,YEAR(Table1[[#This Row],[Reporting date]])-1,YEAR(Table1[[#This Row],[Reporting date]]))</f>
        <v>2010</v>
      </c>
      <c r="AD496" s="17">
        <f>Table1[[#This Row],[Reporting year (shifted)]]-Table1[[#This Row],[Policy Year (shifted)]]</f>
        <v>0</v>
      </c>
    </row>
    <row r="497" spans="1:30" ht="13.9">
      <c r="A497" s="8" t="s">
        <v>2267</v>
      </c>
      <c r="B497" s="8" t="s">
        <v>549</v>
      </c>
      <c r="C497" s="8" t="s">
        <v>123</v>
      </c>
      <c r="D497" s="9">
        <v>40910</v>
      </c>
      <c r="E497" s="9">
        <v>40971</v>
      </c>
      <c r="F497" s="17">
        <f>IF(MONTH(Table1[[#This Row],[Loss date]])&lt;Policy_Inception_Month,YEAR(Table1[[#This Row],[Loss date]])-1,YEAR(Table1[[#This Row],[Loss date]]))</f>
        <v>2011</v>
      </c>
      <c r="G497" s="10" t="s">
        <v>125</v>
      </c>
      <c r="H497" s="10" t="s">
        <v>2</v>
      </c>
      <c r="I497" s="11">
        <v>463.8069501567503</v>
      </c>
      <c r="J497" s="11">
        <v>0</v>
      </c>
      <c r="K497" s="11">
        <v>463.8069501567503</v>
      </c>
      <c r="L497" s="12">
        <v>0</v>
      </c>
      <c r="M497" s="12">
        <v>0</v>
      </c>
      <c r="N497" s="12">
        <v>463.8069501567503</v>
      </c>
      <c r="O497" s="70">
        <f>IF(Table1[[#This Row],[Overall amount]]=0,0,1)</f>
        <v>1</v>
      </c>
      <c r="P497" s="70">
        <f>Table1[[#This Row],[Overall amount]]*Exchange_Rate</f>
        <v>463.8069501567503</v>
      </c>
      <c r="Q497" s="70">
        <f>Table1[[#This Row],[Overall (destination currency)]]*(1+Claims_Inflation)^((Revalue_at_date-Table1[[#This Row],[Loss date]])/365.25)</f>
        <v>556.79999999999995</v>
      </c>
      <c r="R497" s="70">
        <f>INT(Table1[[#This Row],[Reporting date]])-INT(Table1[[#This Row],[Loss date]])</f>
        <v>61</v>
      </c>
      <c r="S497" s="69" t="s">
        <v>9</v>
      </c>
      <c r="T497" s="70">
        <f>VLOOKUP(Table1[[#This Row],[Policy Year]],exposure_table,3,FALSE)</f>
        <v>870.52680000000009</v>
      </c>
      <c r="U497" s="17">
        <f>IF(MONTH(Table1[[#This Row],[Reporting date]])&lt;Policy_Inception_Month,YEAR(Table1[[#This Row],[Reporting date]])-1,YEAR(Table1[[#This Row],[Reporting date]]))</f>
        <v>2011</v>
      </c>
      <c r="V497" s="17">
        <f>Table1[[#This Row],[Reporting year]]-Table1[[#This Row],[Policy Year]]</f>
        <v>0</v>
      </c>
      <c r="W497" s="17">
        <f>INT(Table1[[#This Row],[Reporting date]])-INT(Table1[[#This Row],[Loss date]])</f>
        <v>61</v>
      </c>
      <c r="X497" s="17">
        <f>INT((YEAR(Table1[[#This Row],[Loss date]])*12+MONTH(Table1[[#This Row],[Loss date]])-Earliest_Month)/4)</f>
        <v>20</v>
      </c>
      <c r="Y497" s="17">
        <f>INT((YEAR(Table1[[#This Row],[Reporting date]])*12+MONTH(Table1[[#This Row],[Reporting date]])-Earliest_Month)/4)</f>
        <v>20</v>
      </c>
      <c r="Z497" s="17">
        <f>Table1[[#This Row],[Reporting third]]-Table1[[#This Row],[Policy third]]</f>
        <v>0</v>
      </c>
      <c r="AA497" s="71">
        <f>IF(Table1[[#This Row],[Overall amount]]=0,"N/A",Table1[[#This Row],[Outstanding]]/Table1[[#This Row],[Overall amount]])</f>
        <v>0</v>
      </c>
      <c r="AB497" s="17">
        <f>IF(MONTH(Table1[[#This Row],[Loss date]])&lt;Pol_Inc_Month_Shifted,YEAR(Table1[[#This Row],[Loss date]])-1,YEAR(Table1[[#This Row],[Loss date]]))</f>
        <v>2011</v>
      </c>
      <c r="AC497" s="17">
        <f>IF(MONTH(Table1[[#This Row],[Reporting date]])&lt;Pol_Inc_Month_Shifted,YEAR(Table1[[#This Row],[Reporting date]])-1,YEAR(Table1[[#This Row],[Reporting date]]))</f>
        <v>2011</v>
      </c>
      <c r="AD497" s="17">
        <f>Table1[[#This Row],[Reporting year (shifted)]]-Table1[[#This Row],[Policy Year (shifted)]]</f>
        <v>0</v>
      </c>
    </row>
    <row r="498" spans="1:30" ht="13.9">
      <c r="A498" s="8" t="s">
        <v>2268</v>
      </c>
      <c r="B498" s="8" t="s">
        <v>550</v>
      </c>
      <c r="C498" s="8" t="s">
        <v>123</v>
      </c>
      <c r="D498" s="9">
        <v>40830</v>
      </c>
      <c r="E498" s="9">
        <v>40837</v>
      </c>
      <c r="F498" s="17">
        <f>IF(MONTH(Table1[[#This Row],[Loss date]])&lt;Policy_Inception_Month,YEAR(Table1[[#This Row],[Loss date]])-1,YEAR(Table1[[#This Row],[Loss date]]))</f>
        <v>2011</v>
      </c>
      <c r="G498" s="10" t="s">
        <v>125</v>
      </c>
      <c r="H498" s="10" t="s">
        <v>2</v>
      </c>
      <c r="I498" s="11">
        <v>9166.1650873628932</v>
      </c>
      <c r="J498" s="11">
        <v>0</v>
      </c>
      <c r="K498" s="11">
        <v>9166.1650873628932</v>
      </c>
      <c r="L498" s="12">
        <v>148.34382727565776</v>
      </c>
      <c r="M498" s="12">
        <v>0</v>
      </c>
      <c r="N498" s="12">
        <v>9314.5089146385508</v>
      </c>
      <c r="O498" s="70">
        <f>IF(Table1[[#This Row],[Overall amount]]=0,0,1)</f>
        <v>1</v>
      </c>
      <c r="P498" s="70">
        <f>Table1[[#This Row],[Overall amount]]*Exchange_Rate</f>
        <v>9314.5089146385508</v>
      </c>
      <c r="Q498" s="70">
        <f>Table1[[#This Row],[Overall (destination currency)]]*(1+Claims_Inflation)^((Revalue_at_date-Table1[[#This Row],[Loss date]])/365.25)</f>
        <v>11302.199999999997</v>
      </c>
      <c r="R498" s="70">
        <f>INT(Table1[[#This Row],[Reporting date]])-INT(Table1[[#This Row],[Loss date]])</f>
        <v>7</v>
      </c>
      <c r="S498" s="69" t="s">
        <v>9</v>
      </c>
      <c r="T498" s="70">
        <f>VLOOKUP(Table1[[#This Row],[Policy Year]],exposure_table,3,FALSE)</f>
        <v>870.52680000000009</v>
      </c>
      <c r="U498" s="17">
        <f>IF(MONTH(Table1[[#This Row],[Reporting date]])&lt;Policy_Inception_Month,YEAR(Table1[[#This Row],[Reporting date]])-1,YEAR(Table1[[#This Row],[Reporting date]]))</f>
        <v>2011</v>
      </c>
      <c r="V498" s="17">
        <f>Table1[[#This Row],[Reporting year]]-Table1[[#This Row],[Policy Year]]</f>
        <v>0</v>
      </c>
      <c r="W498" s="17">
        <f>INT(Table1[[#This Row],[Reporting date]])-INT(Table1[[#This Row],[Loss date]])</f>
        <v>7</v>
      </c>
      <c r="X498" s="17">
        <f>INT((YEAR(Table1[[#This Row],[Loss date]])*12+MONTH(Table1[[#This Row],[Loss date]])-Earliest_Month)/4)</f>
        <v>19</v>
      </c>
      <c r="Y498" s="17">
        <f>INT((YEAR(Table1[[#This Row],[Reporting date]])*12+MONTH(Table1[[#This Row],[Reporting date]])-Earliest_Month)/4)</f>
        <v>19</v>
      </c>
      <c r="Z498" s="17">
        <f>Table1[[#This Row],[Reporting third]]-Table1[[#This Row],[Policy third]]</f>
        <v>0</v>
      </c>
      <c r="AA498" s="71">
        <f>IF(Table1[[#This Row],[Overall amount]]=0,"N/A",Table1[[#This Row],[Outstanding]]/Table1[[#This Row],[Overall amount]])</f>
        <v>0</v>
      </c>
      <c r="AB498" s="17">
        <f>IF(MONTH(Table1[[#This Row],[Loss date]])&lt;Pol_Inc_Month_Shifted,YEAR(Table1[[#This Row],[Loss date]])-1,YEAR(Table1[[#This Row],[Loss date]]))</f>
        <v>2010</v>
      </c>
      <c r="AC498" s="17">
        <f>IF(MONTH(Table1[[#This Row],[Reporting date]])&lt;Pol_Inc_Month_Shifted,YEAR(Table1[[#This Row],[Reporting date]])-1,YEAR(Table1[[#This Row],[Reporting date]]))</f>
        <v>2010</v>
      </c>
      <c r="AD498" s="17">
        <f>Table1[[#This Row],[Reporting year (shifted)]]-Table1[[#This Row],[Policy Year (shifted)]]</f>
        <v>0</v>
      </c>
    </row>
    <row r="499" spans="1:30" ht="13.9">
      <c r="A499" s="8" t="s">
        <v>2269</v>
      </c>
      <c r="B499" s="8" t="s">
        <v>551</v>
      </c>
      <c r="C499" s="8" t="s">
        <v>123</v>
      </c>
      <c r="D499" s="9">
        <v>40806</v>
      </c>
      <c r="E499" s="9">
        <v>40851</v>
      </c>
      <c r="F499" s="17">
        <f>IF(MONTH(Table1[[#This Row],[Loss date]])&lt;Policy_Inception_Month,YEAR(Table1[[#This Row],[Loss date]])-1,YEAR(Table1[[#This Row],[Loss date]]))</f>
        <v>2011</v>
      </c>
      <c r="G499" s="10" t="s">
        <v>125</v>
      </c>
      <c r="H499" s="10" t="s">
        <v>2</v>
      </c>
      <c r="I499" s="11">
        <v>2071.151928918774</v>
      </c>
      <c r="J499" s="11">
        <v>0</v>
      </c>
      <c r="K499" s="11">
        <v>2071.151928918774</v>
      </c>
      <c r="L499" s="12">
        <v>0</v>
      </c>
      <c r="M499" s="12">
        <v>0</v>
      </c>
      <c r="N499" s="12">
        <v>2071.151928918774</v>
      </c>
      <c r="O499" s="70">
        <f>IF(Table1[[#This Row],[Overall amount]]=0,0,1)</f>
        <v>1</v>
      </c>
      <c r="P499" s="70">
        <f>Table1[[#This Row],[Overall amount]]*Exchange_Rate</f>
        <v>2071.151928918774</v>
      </c>
      <c r="Q499" s="70">
        <f>Table1[[#This Row],[Overall (destination currency)]]*(1+Claims_Inflation)^((Revalue_at_date-Table1[[#This Row],[Loss date]])/365.25)</f>
        <v>2521.1999999999994</v>
      </c>
      <c r="R499" s="70">
        <f>INT(Table1[[#This Row],[Reporting date]])-INT(Table1[[#This Row],[Loss date]])</f>
        <v>45</v>
      </c>
      <c r="S499" s="69" t="s">
        <v>9</v>
      </c>
      <c r="T499" s="70">
        <f>VLOOKUP(Table1[[#This Row],[Policy Year]],exposure_table,3,FALSE)</f>
        <v>870.52680000000009</v>
      </c>
      <c r="U499" s="17">
        <f>IF(MONTH(Table1[[#This Row],[Reporting date]])&lt;Policy_Inception_Month,YEAR(Table1[[#This Row],[Reporting date]])-1,YEAR(Table1[[#This Row],[Reporting date]]))</f>
        <v>2011</v>
      </c>
      <c r="V499" s="17">
        <f>Table1[[#This Row],[Reporting year]]-Table1[[#This Row],[Policy Year]]</f>
        <v>0</v>
      </c>
      <c r="W499" s="17">
        <f>INT(Table1[[#This Row],[Reporting date]])-INT(Table1[[#This Row],[Loss date]])</f>
        <v>45</v>
      </c>
      <c r="X499" s="17">
        <f>INT((YEAR(Table1[[#This Row],[Loss date]])*12+MONTH(Table1[[#This Row],[Loss date]])-Earliest_Month)/4)</f>
        <v>19</v>
      </c>
      <c r="Y499" s="17">
        <f>INT((YEAR(Table1[[#This Row],[Reporting date]])*12+MONTH(Table1[[#This Row],[Reporting date]])-Earliest_Month)/4)</f>
        <v>19</v>
      </c>
      <c r="Z499" s="17">
        <f>Table1[[#This Row],[Reporting third]]-Table1[[#This Row],[Policy third]]</f>
        <v>0</v>
      </c>
      <c r="AA499" s="71">
        <f>IF(Table1[[#This Row],[Overall amount]]=0,"N/A",Table1[[#This Row],[Outstanding]]/Table1[[#This Row],[Overall amount]])</f>
        <v>0</v>
      </c>
      <c r="AB499" s="17">
        <f>IF(MONTH(Table1[[#This Row],[Loss date]])&lt;Pol_Inc_Month_Shifted,YEAR(Table1[[#This Row],[Loss date]])-1,YEAR(Table1[[#This Row],[Loss date]]))</f>
        <v>2010</v>
      </c>
      <c r="AC499" s="17">
        <f>IF(MONTH(Table1[[#This Row],[Reporting date]])&lt;Pol_Inc_Month_Shifted,YEAR(Table1[[#This Row],[Reporting date]])-1,YEAR(Table1[[#This Row],[Reporting date]]))</f>
        <v>2010</v>
      </c>
      <c r="AD499" s="17">
        <f>Table1[[#This Row],[Reporting year (shifted)]]-Table1[[#This Row],[Policy Year (shifted)]]</f>
        <v>0</v>
      </c>
    </row>
    <row r="500" spans="1:30" ht="13.9">
      <c r="A500" s="8" t="s">
        <v>2270</v>
      </c>
      <c r="B500" s="8" t="s">
        <v>552</v>
      </c>
      <c r="C500" s="8" t="s">
        <v>123</v>
      </c>
      <c r="D500" s="9">
        <v>40533</v>
      </c>
      <c r="E500" s="9">
        <v>41028</v>
      </c>
      <c r="F500" s="17">
        <f>IF(MONTH(Table1[[#This Row],[Loss date]])&lt;Policy_Inception_Month,YEAR(Table1[[#This Row],[Loss date]])-1,YEAR(Table1[[#This Row],[Loss date]]))</f>
        <v>2010</v>
      </c>
      <c r="G500" s="10" t="s">
        <v>125</v>
      </c>
      <c r="H500" s="10" t="s">
        <v>2</v>
      </c>
      <c r="I500" s="11">
        <v>289.42471560873832</v>
      </c>
      <c r="J500" s="11">
        <v>0</v>
      </c>
      <c r="K500" s="11">
        <v>289.42471560873832</v>
      </c>
      <c r="L500" s="12">
        <v>0</v>
      </c>
      <c r="M500" s="12">
        <v>0</v>
      </c>
      <c r="N500" s="12">
        <v>289.42471560873832</v>
      </c>
      <c r="O500" s="70">
        <f>IF(Table1[[#This Row],[Overall amount]]=0,0,1)</f>
        <v>1</v>
      </c>
      <c r="P500" s="70">
        <f>Table1[[#This Row],[Overall amount]]*Exchange_Rate</f>
        <v>289.42471560873832</v>
      </c>
      <c r="Q500" s="70">
        <f>Table1[[#This Row],[Overall (destination currency)]]*(1+Claims_Inflation)^((Revalue_at_date-Table1[[#This Row],[Loss date]])/365.25)</f>
        <v>365.4</v>
      </c>
      <c r="R500" s="70">
        <f>INT(Table1[[#This Row],[Reporting date]])-INT(Table1[[#This Row],[Loss date]])</f>
        <v>495</v>
      </c>
      <c r="S500" s="69" t="s">
        <v>9</v>
      </c>
      <c r="T500" s="70">
        <f>VLOOKUP(Table1[[#This Row],[Policy Year]],exposure_table,3,FALSE)</f>
        <v>837.11513600000012</v>
      </c>
      <c r="U500" s="17">
        <f>IF(MONTH(Table1[[#This Row],[Reporting date]])&lt;Policy_Inception_Month,YEAR(Table1[[#This Row],[Reporting date]])-1,YEAR(Table1[[#This Row],[Reporting date]]))</f>
        <v>2012</v>
      </c>
      <c r="V500" s="17">
        <f>Table1[[#This Row],[Reporting year]]-Table1[[#This Row],[Policy Year]]</f>
        <v>2</v>
      </c>
      <c r="W500" s="17">
        <f>INT(Table1[[#This Row],[Reporting date]])-INT(Table1[[#This Row],[Loss date]])</f>
        <v>495</v>
      </c>
      <c r="X500" s="17">
        <f>INT((YEAR(Table1[[#This Row],[Loss date]])*12+MONTH(Table1[[#This Row],[Loss date]])-Earliest_Month)/4)</f>
        <v>17</v>
      </c>
      <c r="Y500" s="17">
        <f>INT((YEAR(Table1[[#This Row],[Reporting date]])*12+MONTH(Table1[[#This Row],[Reporting date]])-Earliest_Month)/4)</f>
        <v>21</v>
      </c>
      <c r="Z500" s="17">
        <f>Table1[[#This Row],[Reporting third]]-Table1[[#This Row],[Policy third]]</f>
        <v>4</v>
      </c>
      <c r="AA500" s="71">
        <f>IF(Table1[[#This Row],[Overall amount]]=0,"N/A",Table1[[#This Row],[Outstanding]]/Table1[[#This Row],[Overall amount]])</f>
        <v>0</v>
      </c>
      <c r="AB500" s="17">
        <f>IF(MONTH(Table1[[#This Row],[Loss date]])&lt;Pol_Inc_Month_Shifted,YEAR(Table1[[#This Row],[Loss date]])-1,YEAR(Table1[[#This Row],[Loss date]]))</f>
        <v>2010</v>
      </c>
      <c r="AC500" s="17">
        <f>IF(MONTH(Table1[[#This Row],[Reporting date]])&lt;Pol_Inc_Month_Shifted,YEAR(Table1[[#This Row],[Reporting date]])-1,YEAR(Table1[[#This Row],[Reporting date]]))</f>
        <v>2011</v>
      </c>
      <c r="AD500" s="17">
        <f>Table1[[#This Row],[Reporting year (shifted)]]-Table1[[#This Row],[Policy Year (shifted)]]</f>
        <v>1</v>
      </c>
    </row>
    <row r="501" spans="1:30" ht="13.9">
      <c r="A501" s="8" t="s">
        <v>2271</v>
      </c>
      <c r="B501" s="8" t="s">
        <v>553</v>
      </c>
      <c r="C501" s="8" t="s">
        <v>123</v>
      </c>
      <c r="D501" s="9">
        <v>40623</v>
      </c>
      <c r="E501" s="9">
        <v>40840</v>
      </c>
      <c r="F501" s="17">
        <f>IF(MONTH(Table1[[#This Row],[Loss date]])&lt;Policy_Inception_Month,YEAR(Table1[[#This Row],[Loss date]])-1,YEAR(Table1[[#This Row],[Loss date]]))</f>
        <v>2010</v>
      </c>
      <c r="G501" s="10" t="s">
        <v>130</v>
      </c>
      <c r="H501" s="10" t="s">
        <v>2</v>
      </c>
      <c r="I501" s="11">
        <v>1478.5750322650754</v>
      </c>
      <c r="J501" s="11">
        <v>0</v>
      </c>
      <c r="K501" s="11">
        <v>1478.5750322650754</v>
      </c>
      <c r="L501" s="12">
        <v>144.29814888728777</v>
      </c>
      <c r="M501" s="12">
        <v>0</v>
      </c>
      <c r="N501" s="12">
        <v>1622.873181152363</v>
      </c>
      <c r="O501" s="70">
        <f>IF(Table1[[#This Row],[Overall amount]]=0,0,1)</f>
        <v>1</v>
      </c>
      <c r="P501" s="70">
        <f>Table1[[#This Row],[Overall amount]]*Exchange_Rate</f>
        <v>1622.873181152363</v>
      </c>
      <c r="Q501" s="70">
        <f>Table1[[#This Row],[Overall (destination currency)]]*(1+Claims_Inflation)^((Revalue_at_date-Table1[[#This Row],[Loss date]])/365.25)</f>
        <v>2024.3999999999999</v>
      </c>
      <c r="R501" s="70">
        <f>INT(Table1[[#This Row],[Reporting date]])-INT(Table1[[#This Row],[Loss date]])</f>
        <v>217</v>
      </c>
      <c r="S501" s="69" t="s">
        <v>9</v>
      </c>
      <c r="T501" s="70">
        <f>VLOOKUP(Table1[[#This Row],[Policy Year]],exposure_table,3,FALSE)</f>
        <v>837.11513600000012</v>
      </c>
      <c r="U501" s="17">
        <f>IF(MONTH(Table1[[#This Row],[Reporting date]])&lt;Policy_Inception_Month,YEAR(Table1[[#This Row],[Reporting date]])-1,YEAR(Table1[[#This Row],[Reporting date]]))</f>
        <v>2011</v>
      </c>
      <c r="V501" s="17">
        <f>Table1[[#This Row],[Reporting year]]-Table1[[#This Row],[Policy Year]]</f>
        <v>1</v>
      </c>
      <c r="W501" s="17">
        <f>INT(Table1[[#This Row],[Reporting date]])-INT(Table1[[#This Row],[Loss date]])</f>
        <v>217</v>
      </c>
      <c r="X501" s="17">
        <f>INT((YEAR(Table1[[#This Row],[Loss date]])*12+MONTH(Table1[[#This Row],[Loss date]])-Earliest_Month)/4)</f>
        <v>17</v>
      </c>
      <c r="Y501" s="17">
        <f>INT((YEAR(Table1[[#This Row],[Reporting date]])*12+MONTH(Table1[[#This Row],[Reporting date]])-Earliest_Month)/4)</f>
        <v>19</v>
      </c>
      <c r="Z501" s="17">
        <f>Table1[[#This Row],[Reporting third]]-Table1[[#This Row],[Policy third]]</f>
        <v>2</v>
      </c>
      <c r="AA501" s="71">
        <f>IF(Table1[[#This Row],[Overall amount]]=0,"N/A",Table1[[#This Row],[Outstanding]]/Table1[[#This Row],[Overall amount]])</f>
        <v>0</v>
      </c>
      <c r="AB501" s="17">
        <f>IF(MONTH(Table1[[#This Row],[Loss date]])&lt;Pol_Inc_Month_Shifted,YEAR(Table1[[#This Row],[Loss date]])-1,YEAR(Table1[[#This Row],[Loss date]]))</f>
        <v>2010</v>
      </c>
      <c r="AC501" s="17">
        <f>IF(MONTH(Table1[[#This Row],[Reporting date]])&lt;Pol_Inc_Month_Shifted,YEAR(Table1[[#This Row],[Reporting date]])-1,YEAR(Table1[[#This Row],[Reporting date]]))</f>
        <v>2010</v>
      </c>
      <c r="AD501" s="17">
        <f>Table1[[#This Row],[Reporting year (shifted)]]-Table1[[#This Row],[Policy Year (shifted)]]</f>
        <v>0</v>
      </c>
    </row>
    <row r="502" spans="1:30" ht="13.9">
      <c r="A502" s="8" t="s">
        <v>2272</v>
      </c>
      <c r="B502" s="8" t="s">
        <v>554</v>
      </c>
      <c r="C502" s="8" t="s">
        <v>123</v>
      </c>
      <c r="D502" s="9">
        <v>40813</v>
      </c>
      <c r="E502" s="9">
        <v>40880</v>
      </c>
      <c r="F502" s="17">
        <f>IF(MONTH(Table1[[#This Row],[Loss date]])&lt;Policy_Inception_Month,YEAR(Table1[[#This Row],[Loss date]])-1,YEAR(Table1[[#This Row],[Loss date]]))</f>
        <v>2011</v>
      </c>
      <c r="G502" s="10" t="s">
        <v>125</v>
      </c>
      <c r="H502" s="10" t="s">
        <v>2</v>
      </c>
      <c r="I502" s="11">
        <v>12863.318000773881</v>
      </c>
      <c r="J502" s="11">
        <v>0</v>
      </c>
      <c r="K502" s="11">
        <v>12863.318000773881</v>
      </c>
      <c r="L502" s="12">
        <v>0</v>
      </c>
      <c r="M502" s="12">
        <v>0</v>
      </c>
      <c r="N502" s="12">
        <v>12863.318000773881</v>
      </c>
      <c r="O502" s="70">
        <f>IF(Table1[[#This Row],[Overall amount]]=0,0,1)</f>
        <v>1</v>
      </c>
      <c r="P502" s="70">
        <f>Table1[[#This Row],[Overall amount]]*Exchange_Rate</f>
        <v>12863.318000773881</v>
      </c>
      <c r="Q502" s="70">
        <f>Table1[[#This Row],[Overall (destination currency)]]*(1+Claims_Inflation)^((Revalue_at_date-Table1[[#This Row],[Loss date]])/365.25)</f>
        <v>15643.799999999997</v>
      </c>
      <c r="R502" s="70">
        <f>INT(Table1[[#This Row],[Reporting date]])-INT(Table1[[#This Row],[Loss date]])</f>
        <v>67</v>
      </c>
      <c r="S502" s="69" t="s">
        <v>9</v>
      </c>
      <c r="T502" s="70">
        <f>VLOOKUP(Table1[[#This Row],[Policy Year]],exposure_table,3,FALSE)</f>
        <v>870.52680000000009</v>
      </c>
      <c r="U502" s="17">
        <f>IF(MONTH(Table1[[#This Row],[Reporting date]])&lt;Policy_Inception_Month,YEAR(Table1[[#This Row],[Reporting date]])-1,YEAR(Table1[[#This Row],[Reporting date]]))</f>
        <v>2011</v>
      </c>
      <c r="V502" s="17">
        <f>Table1[[#This Row],[Reporting year]]-Table1[[#This Row],[Policy Year]]</f>
        <v>0</v>
      </c>
      <c r="W502" s="17">
        <f>INT(Table1[[#This Row],[Reporting date]])-INT(Table1[[#This Row],[Loss date]])</f>
        <v>67</v>
      </c>
      <c r="X502" s="17">
        <f>INT((YEAR(Table1[[#This Row],[Loss date]])*12+MONTH(Table1[[#This Row],[Loss date]])-Earliest_Month)/4)</f>
        <v>19</v>
      </c>
      <c r="Y502" s="17">
        <f>INT((YEAR(Table1[[#This Row],[Reporting date]])*12+MONTH(Table1[[#This Row],[Reporting date]])-Earliest_Month)/4)</f>
        <v>20</v>
      </c>
      <c r="Z502" s="17">
        <f>Table1[[#This Row],[Reporting third]]-Table1[[#This Row],[Policy third]]</f>
        <v>1</v>
      </c>
      <c r="AA502" s="71">
        <f>IF(Table1[[#This Row],[Overall amount]]=0,"N/A",Table1[[#This Row],[Outstanding]]/Table1[[#This Row],[Overall amount]])</f>
        <v>0</v>
      </c>
      <c r="AB502" s="17">
        <f>IF(MONTH(Table1[[#This Row],[Loss date]])&lt;Pol_Inc_Month_Shifted,YEAR(Table1[[#This Row],[Loss date]])-1,YEAR(Table1[[#This Row],[Loss date]]))</f>
        <v>2010</v>
      </c>
      <c r="AC502" s="17">
        <f>IF(MONTH(Table1[[#This Row],[Reporting date]])&lt;Pol_Inc_Month_Shifted,YEAR(Table1[[#This Row],[Reporting date]])-1,YEAR(Table1[[#This Row],[Reporting date]]))</f>
        <v>2011</v>
      </c>
      <c r="AD502" s="17">
        <f>Table1[[#This Row],[Reporting year (shifted)]]-Table1[[#This Row],[Policy Year (shifted)]]</f>
        <v>1</v>
      </c>
    </row>
    <row r="503" spans="1:30" ht="13.9">
      <c r="A503" s="8" t="s">
        <v>2273</v>
      </c>
      <c r="B503" s="8" t="s">
        <v>555</v>
      </c>
      <c r="C503" s="8" t="s">
        <v>123</v>
      </c>
      <c r="D503" s="9">
        <v>40517</v>
      </c>
      <c r="E503" s="9">
        <v>40914</v>
      </c>
      <c r="F503" s="17">
        <f>IF(MONTH(Table1[[#This Row],[Loss date]])&lt;Policy_Inception_Month,YEAR(Table1[[#This Row],[Loss date]])-1,YEAR(Table1[[#This Row],[Loss date]]))</f>
        <v>2010</v>
      </c>
      <c r="G503" s="10" t="s">
        <v>125</v>
      </c>
      <c r="H503" s="10" t="s">
        <v>2</v>
      </c>
      <c r="I503" s="11">
        <v>660.12981405230653</v>
      </c>
      <c r="J503" s="11">
        <v>0</v>
      </c>
      <c r="K503" s="11">
        <v>660.12981405230653</v>
      </c>
      <c r="L503" s="12">
        <v>0</v>
      </c>
      <c r="M503" s="12">
        <v>27.281571797989287</v>
      </c>
      <c r="N503" s="12">
        <v>632.84824225431726</v>
      </c>
      <c r="O503" s="70">
        <f>IF(Table1[[#This Row],[Overall amount]]=0,0,1)</f>
        <v>1</v>
      </c>
      <c r="P503" s="70">
        <f>Table1[[#This Row],[Overall amount]]*Exchange_Rate</f>
        <v>632.84824225431726</v>
      </c>
      <c r="Q503" s="70">
        <f>Table1[[#This Row],[Overall (destination currency)]]*(1+Claims_Inflation)^((Revalue_at_date-Table1[[#This Row],[Loss date]])/365.25)</f>
        <v>800.68320000000017</v>
      </c>
      <c r="R503" s="70">
        <f>INT(Table1[[#This Row],[Reporting date]])-INT(Table1[[#This Row],[Loss date]])</f>
        <v>397</v>
      </c>
      <c r="S503" s="69" t="s">
        <v>9</v>
      </c>
      <c r="T503" s="70">
        <f>VLOOKUP(Table1[[#This Row],[Policy Year]],exposure_table,3,FALSE)</f>
        <v>837.11513600000012</v>
      </c>
      <c r="U503" s="17">
        <f>IF(MONTH(Table1[[#This Row],[Reporting date]])&lt;Policy_Inception_Month,YEAR(Table1[[#This Row],[Reporting date]])-1,YEAR(Table1[[#This Row],[Reporting date]]))</f>
        <v>2011</v>
      </c>
      <c r="V503" s="17">
        <f>Table1[[#This Row],[Reporting year]]-Table1[[#This Row],[Policy Year]]</f>
        <v>1</v>
      </c>
      <c r="W503" s="17">
        <f>INT(Table1[[#This Row],[Reporting date]])-INT(Table1[[#This Row],[Loss date]])</f>
        <v>397</v>
      </c>
      <c r="X503" s="17">
        <f>INT((YEAR(Table1[[#This Row],[Loss date]])*12+MONTH(Table1[[#This Row],[Loss date]])-Earliest_Month)/4)</f>
        <v>17</v>
      </c>
      <c r="Y503" s="17">
        <f>INT((YEAR(Table1[[#This Row],[Reporting date]])*12+MONTH(Table1[[#This Row],[Reporting date]])-Earliest_Month)/4)</f>
        <v>20</v>
      </c>
      <c r="Z503" s="17">
        <f>Table1[[#This Row],[Reporting third]]-Table1[[#This Row],[Policy third]]</f>
        <v>3</v>
      </c>
      <c r="AA503" s="71">
        <f>IF(Table1[[#This Row],[Overall amount]]=0,"N/A",Table1[[#This Row],[Outstanding]]/Table1[[#This Row],[Overall amount]])</f>
        <v>0</v>
      </c>
      <c r="AB503" s="17">
        <f>IF(MONTH(Table1[[#This Row],[Loss date]])&lt;Pol_Inc_Month_Shifted,YEAR(Table1[[#This Row],[Loss date]])-1,YEAR(Table1[[#This Row],[Loss date]]))</f>
        <v>2010</v>
      </c>
      <c r="AC503" s="17">
        <f>IF(MONTH(Table1[[#This Row],[Reporting date]])&lt;Pol_Inc_Month_Shifted,YEAR(Table1[[#This Row],[Reporting date]])-1,YEAR(Table1[[#This Row],[Reporting date]]))</f>
        <v>2011</v>
      </c>
      <c r="AD503" s="17">
        <f>Table1[[#This Row],[Reporting year (shifted)]]-Table1[[#This Row],[Policy Year (shifted)]]</f>
        <v>1</v>
      </c>
    </row>
    <row r="504" spans="1:30" ht="13.9">
      <c r="A504" s="8" t="s">
        <v>2274</v>
      </c>
      <c r="B504" s="8" t="s">
        <v>556</v>
      </c>
      <c r="C504" s="8" t="s">
        <v>123</v>
      </c>
      <c r="D504" s="9">
        <v>40897</v>
      </c>
      <c r="E504" s="9">
        <v>41021</v>
      </c>
      <c r="F504" s="17">
        <f>IF(MONTH(Table1[[#This Row],[Loss date]])&lt;Policy_Inception_Month,YEAR(Table1[[#This Row],[Loss date]])-1,YEAR(Table1[[#This Row],[Loss date]]))</f>
        <v>2011</v>
      </c>
      <c r="G504" s="10" t="s">
        <v>131</v>
      </c>
      <c r="H504" s="10" t="s">
        <v>2</v>
      </c>
      <c r="I504" s="11">
        <v>11625.766433540581</v>
      </c>
      <c r="J504" s="11">
        <v>13970.074441758279</v>
      </c>
      <c r="K504" s="11">
        <v>25595.840875298865</v>
      </c>
      <c r="L504" s="12">
        <v>149.67744459455105</v>
      </c>
      <c r="M504" s="12">
        <v>0</v>
      </c>
      <c r="N504" s="12">
        <v>25745.518319893417</v>
      </c>
      <c r="O504" s="70">
        <f>IF(Table1[[#This Row],[Overall amount]]=0,0,1)</f>
        <v>1</v>
      </c>
      <c r="P504" s="70">
        <f>Table1[[#This Row],[Overall amount]]*Exchange_Rate</f>
        <v>25745.518319893417</v>
      </c>
      <c r="Q504" s="70">
        <f>Table1[[#This Row],[Overall (destination currency)]]*(1+Claims_Inflation)^((Revalue_at_date-Table1[[#This Row],[Loss date]])/365.25)</f>
        <v>30961.200000000008</v>
      </c>
      <c r="R504" s="70">
        <f>INT(Table1[[#This Row],[Reporting date]])-INT(Table1[[#This Row],[Loss date]])</f>
        <v>124</v>
      </c>
      <c r="S504" s="69" t="s">
        <v>16</v>
      </c>
      <c r="T504" s="70">
        <f>VLOOKUP(Table1[[#This Row],[Policy Year]],exposure_table,3,FALSE)</f>
        <v>870.52680000000009</v>
      </c>
      <c r="U504" s="17">
        <f>IF(MONTH(Table1[[#This Row],[Reporting date]])&lt;Policy_Inception_Month,YEAR(Table1[[#This Row],[Reporting date]])-1,YEAR(Table1[[#This Row],[Reporting date]]))</f>
        <v>2012</v>
      </c>
      <c r="V504" s="17">
        <f>Table1[[#This Row],[Reporting year]]-Table1[[#This Row],[Policy Year]]</f>
        <v>1</v>
      </c>
      <c r="W504" s="17">
        <f>INT(Table1[[#This Row],[Reporting date]])-INT(Table1[[#This Row],[Loss date]])</f>
        <v>124</v>
      </c>
      <c r="X504" s="17">
        <f>INT((YEAR(Table1[[#This Row],[Loss date]])*12+MONTH(Table1[[#This Row],[Loss date]])-Earliest_Month)/4)</f>
        <v>20</v>
      </c>
      <c r="Y504" s="17">
        <f>INT((YEAR(Table1[[#This Row],[Reporting date]])*12+MONTH(Table1[[#This Row],[Reporting date]])-Earliest_Month)/4)</f>
        <v>21</v>
      </c>
      <c r="Z504" s="17">
        <f>Table1[[#This Row],[Reporting third]]-Table1[[#This Row],[Policy third]]</f>
        <v>1</v>
      </c>
      <c r="AA504" s="71">
        <f>IF(Table1[[#This Row],[Overall amount]]=0,"N/A",Table1[[#This Row],[Outstanding]]/Table1[[#This Row],[Overall amount]])</f>
        <v>0.54262160381380553</v>
      </c>
      <c r="AB504" s="17">
        <f>IF(MONTH(Table1[[#This Row],[Loss date]])&lt;Pol_Inc_Month_Shifted,YEAR(Table1[[#This Row],[Loss date]])-1,YEAR(Table1[[#This Row],[Loss date]]))</f>
        <v>2011</v>
      </c>
      <c r="AC504" s="17">
        <f>IF(MONTH(Table1[[#This Row],[Reporting date]])&lt;Pol_Inc_Month_Shifted,YEAR(Table1[[#This Row],[Reporting date]])-1,YEAR(Table1[[#This Row],[Reporting date]]))</f>
        <v>2011</v>
      </c>
      <c r="AD504" s="17">
        <f>Table1[[#This Row],[Reporting year (shifted)]]-Table1[[#This Row],[Policy Year (shifted)]]</f>
        <v>0</v>
      </c>
    </row>
    <row r="505" spans="1:30" ht="13.9">
      <c r="A505" s="8" t="s">
        <v>2275</v>
      </c>
      <c r="B505" s="8" t="s">
        <v>557</v>
      </c>
      <c r="C505" s="8" t="s">
        <v>123</v>
      </c>
      <c r="D505" s="9">
        <v>40491</v>
      </c>
      <c r="E505" s="9">
        <v>40587</v>
      </c>
      <c r="F505" s="17">
        <f>IF(MONTH(Table1[[#This Row],[Loss date]])&lt;Policy_Inception_Month,YEAR(Table1[[#This Row],[Loss date]])-1,YEAR(Table1[[#This Row],[Loss date]]))</f>
        <v>2010</v>
      </c>
      <c r="G505" s="10" t="s">
        <v>125</v>
      </c>
      <c r="H505" s="10" t="s">
        <v>2</v>
      </c>
      <c r="I505" s="11">
        <v>21014.601739417838</v>
      </c>
      <c r="J505" s="11">
        <v>17519.197060160357</v>
      </c>
      <c r="K505" s="11">
        <v>38533.798799578195</v>
      </c>
      <c r="L505" s="12">
        <v>0</v>
      </c>
      <c r="M505" s="12">
        <v>0</v>
      </c>
      <c r="N505" s="12">
        <v>38533.798799578195</v>
      </c>
      <c r="O505" s="70">
        <f>IF(Table1[[#This Row],[Overall amount]]=0,0,1)</f>
        <v>1</v>
      </c>
      <c r="P505" s="70">
        <f>Table1[[#This Row],[Overall amount]]*Exchange_Rate</f>
        <v>38533.798799578195</v>
      </c>
      <c r="Q505" s="70">
        <f>Table1[[#This Row],[Overall (destination currency)]]*(1+Claims_Inflation)^((Revalue_at_date-Table1[[#This Row],[Loss date]])/365.25)</f>
        <v>48922.80000000001</v>
      </c>
      <c r="R505" s="70">
        <f>INT(Table1[[#This Row],[Reporting date]])-INT(Table1[[#This Row],[Loss date]])</f>
        <v>96</v>
      </c>
      <c r="S505" s="69" t="s">
        <v>16</v>
      </c>
      <c r="T505" s="70">
        <f>VLOOKUP(Table1[[#This Row],[Policy Year]],exposure_table,3,FALSE)</f>
        <v>837.11513600000012</v>
      </c>
      <c r="U505" s="17">
        <f>IF(MONTH(Table1[[#This Row],[Reporting date]])&lt;Policy_Inception_Month,YEAR(Table1[[#This Row],[Reporting date]])-1,YEAR(Table1[[#This Row],[Reporting date]]))</f>
        <v>2010</v>
      </c>
      <c r="V505" s="17">
        <f>Table1[[#This Row],[Reporting year]]-Table1[[#This Row],[Policy Year]]</f>
        <v>0</v>
      </c>
      <c r="W505" s="17">
        <f>INT(Table1[[#This Row],[Reporting date]])-INT(Table1[[#This Row],[Loss date]])</f>
        <v>96</v>
      </c>
      <c r="X505" s="17">
        <f>INT((YEAR(Table1[[#This Row],[Loss date]])*12+MONTH(Table1[[#This Row],[Loss date]])-Earliest_Month)/4)</f>
        <v>16</v>
      </c>
      <c r="Y505" s="17">
        <f>INT((YEAR(Table1[[#This Row],[Reporting date]])*12+MONTH(Table1[[#This Row],[Reporting date]])-Earliest_Month)/4)</f>
        <v>17</v>
      </c>
      <c r="Z505" s="17">
        <f>Table1[[#This Row],[Reporting third]]-Table1[[#This Row],[Policy third]]</f>
        <v>1</v>
      </c>
      <c r="AA505" s="71">
        <f>IF(Table1[[#This Row],[Overall amount]]=0,"N/A",Table1[[#This Row],[Outstanding]]/Table1[[#This Row],[Overall amount]])</f>
        <v>0.45464495082047629</v>
      </c>
      <c r="AB505" s="17">
        <f>IF(MONTH(Table1[[#This Row],[Loss date]])&lt;Pol_Inc_Month_Shifted,YEAR(Table1[[#This Row],[Loss date]])-1,YEAR(Table1[[#This Row],[Loss date]]))</f>
        <v>2009</v>
      </c>
      <c r="AC505" s="17">
        <f>IF(MONTH(Table1[[#This Row],[Reporting date]])&lt;Pol_Inc_Month_Shifted,YEAR(Table1[[#This Row],[Reporting date]])-1,YEAR(Table1[[#This Row],[Reporting date]]))</f>
        <v>2010</v>
      </c>
      <c r="AD505" s="17">
        <f>Table1[[#This Row],[Reporting year (shifted)]]-Table1[[#This Row],[Policy Year (shifted)]]</f>
        <v>1</v>
      </c>
    </row>
    <row r="506" spans="1:30" ht="13.9">
      <c r="A506" s="8" t="s">
        <v>2276</v>
      </c>
      <c r="B506" s="8" t="s">
        <v>558</v>
      </c>
      <c r="C506" s="8" t="s">
        <v>123</v>
      </c>
      <c r="D506" s="9">
        <v>40944</v>
      </c>
      <c r="E506" s="9">
        <v>40970</v>
      </c>
      <c r="F506" s="17">
        <f>IF(MONTH(Table1[[#This Row],[Loss date]])&lt;Policy_Inception_Month,YEAR(Table1[[#This Row],[Loss date]])-1,YEAR(Table1[[#This Row],[Loss date]]))</f>
        <v>2011</v>
      </c>
      <c r="G506" s="10" t="s">
        <v>125</v>
      </c>
      <c r="H506" s="10" t="s">
        <v>2</v>
      </c>
      <c r="I506" s="11">
        <v>422.23839161697504</v>
      </c>
      <c r="J506" s="11">
        <v>0</v>
      </c>
      <c r="K506" s="11">
        <v>422.23839161697504</v>
      </c>
      <c r="L506" s="12">
        <v>0</v>
      </c>
      <c r="M506" s="12">
        <v>0</v>
      </c>
      <c r="N506" s="12">
        <v>422.23839161697504</v>
      </c>
      <c r="O506" s="70">
        <f>IF(Table1[[#This Row],[Overall amount]]=0,0,1)</f>
        <v>1</v>
      </c>
      <c r="P506" s="70">
        <f>Table1[[#This Row],[Overall amount]]*Exchange_Rate</f>
        <v>422.23839161697504</v>
      </c>
      <c r="Q506" s="70">
        <f>Table1[[#This Row],[Overall (destination currency)]]*(1+Claims_Inflation)^((Revalue_at_date-Table1[[#This Row],[Loss date]])/365.25)</f>
        <v>504.59999999999985</v>
      </c>
      <c r="R506" s="70">
        <f>INT(Table1[[#This Row],[Reporting date]])-INT(Table1[[#This Row],[Loss date]])</f>
        <v>26</v>
      </c>
      <c r="S506" s="69" t="s">
        <v>9</v>
      </c>
      <c r="T506" s="70">
        <f>VLOOKUP(Table1[[#This Row],[Policy Year]],exposure_table,3,FALSE)</f>
        <v>870.52680000000009</v>
      </c>
      <c r="U506" s="17">
        <f>IF(MONTH(Table1[[#This Row],[Reporting date]])&lt;Policy_Inception_Month,YEAR(Table1[[#This Row],[Reporting date]])-1,YEAR(Table1[[#This Row],[Reporting date]]))</f>
        <v>2011</v>
      </c>
      <c r="V506" s="17">
        <f>Table1[[#This Row],[Reporting year]]-Table1[[#This Row],[Policy Year]]</f>
        <v>0</v>
      </c>
      <c r="W506" s="17">
        <f>INT(Table1[[#This Row],[Reporting date]])-INT(Table1[[#This Row],[Loss date]])</f>
        <v>26</v>
      </c>
      <c r="X506" s="17">
        <f>INT((YEAR(Table1[[#This Row],[Loss date]])*12+MONTH(Table1[[#This Row],[Loss date]])-Earliest_Month)/4)</f>
        <v>20</v>
      </c>
      <c r="Y506" s="17">
        <f>INT((YEAR(Table1[[#This Row],[Reporting date]])*12+MONTH(Table1[[#This Row],[Reporting date]])-Earliest_Month)/4)</f>
        <v>20</v>
      </c>
      <c r="Z506" s="17">
        <f>Table1[[#This Row],[Reporting third]]-Table1[[#This Row],[Policy third]]</f>
        <v>0</v>
      </c>
      <c r="AA506" s="71">
        <f>IF(Table1[[#This Row],[Overall amount]]=0,"N/A",Table1[[#This Row],[Outstanding]]/Table1[[#This Row],[Overall amount]])</f>
        <v>0</v>
      </c>
      <c r="AB506" s="17">
        <f>IF(MONTH(Table1[[#This Row],[Loss date]])&lt;Pol_Inc_Month_Shifted,YEAR(Table1[[#This Row],[Loss date]])-1,YEAR(Table1[[#This Row],[Loss date]]))</f>
        <v>2011</v>
      </c>
      <c r="AC506" s="17">
        <f>IF(MONTH(Table1[[#This Row],[Reporting date]])&lt;Pol_Inc_Month_Shifted,YEAR(Table1[[#This Row],[Reporting date]])-1,YEAR(Table1[[#This Row],[Reporting date]]))</f>
        <v>2011</v>
      </c>
      <c r="AD506" s="17">
        <f>Table1[[#This Row],[Reporting year (shifted)]]-Table1[[#This Row],[Policy Year (shifted)]]</f>
        <v>0</v>
      </c>
    </row>
    <row r="507" spans="1:30" ht="13.9">
      <c r="A507" s="8" t="s">
        <v>2277</v>
      </c>
      <c r="B507" s="8" t="s">
        <v>559</v>
      </c>
      <c r="C507" s="8" t="s">
        <v>123</v>
      </c>
      <c r="D507" s="9">
        <v>40769</v>
      </c>
      <c r="E507" s="9">
        <v>40804</v>
      </c>
      <c r="F507" s="17">
        <f>IF(MONTH(Table1[[#This Row],[Loss date]])&lt;Policy_Inception_Month,YEAR(Table1[[#This Row],[Loss date]])-1,YEAR(Table1[[#This Row],[Loss date]]))</f>
        <v>2011</v>
      </c>
      <c r="G507" s="10" t="s">
        <v>125</v>
      </c>
      <c r="H507" s="10" t="s">
        <v>2</v>
      </c>
      <c r="I507" s="11">
        <v>2187.4809628141361</v>
      </c>
      <c r="J507" s="11">
        <v>26651.954152313938</v>
      </c>
      <c r="K507" s="11">
        <v>28839.435115128068</v>
      </c>
      <c r="L507" s="12">
        <v>0</v>
      </c>
      <c r="M507" s="12">
        <v>0</v>
      </c>
      <c r="N507" s="12">
        <v>28839.435115128068</v>
      </c>
      <c r="O507" s="70">
        <f>IF(Table1[[#This Row],[Overall amount]]=0,0,1)</f>
        <v>1</v>
      </c>
      <c r="P507" s="70">
        <f>Table1[[#This Row],[Overall amount]]*Exchange_Rate</f>
        <v>28839.435115128068</v>
      </c>
      <c r="Q507" s="70">
        <f>Table1[[#This Row],[Overall (destination currency)]]*(1+Claims_Inflation)^((Revalue_at_date-Table1[[#This Row],[Loss date]])/365.25)</f>
        <v>35279.999999999993</v>
      </c>
      <c r="R507" s="70">
        <f>INT(Table1[[#This Row],[Reporting date]])-INT(Table1[[#This Row],[Loss date]])</f>
        <v>35</v>
      </c>
      <c r="S507" s="69" t="s">
        <v>16</v>
      </c>
      <c r="T507" s="70">
        <f>VLOOKUP(Table1[[#This Row],[Policy Year]],exposure_table,3,FALSE)</f>
        <v>870.52680000000009</v>
      </c>
      <c r="U507" s="17">
        <f>IF(MONTH(Table1[[#This Row],[Reporting date]])&lt;Policy_Inception_Month,YEAR(Table1[[#This Row],[Reporting date]])-1,YEAR(Table1[[#This Row],[Reporting date]]))</f>
        <v>2011</v>
      </c>
      <c r="V507" s="17">
        <f>Table1[[#This Row],[Reporting year]]-Table1[[#This Row],[Policy Year]]</f>
        <v>0</v>
      </c>
      <c r="W507" s="17">
        <f>INT(Table1[[#This Row],[Reporting date]])-INT(Table1[[#This Row],[Loss date]])</f>
        <v>35</v>
      </c>
      <c r="X507" s="17">
        <f>INT((YEAR(Table1[[#This Row],[Loss date]])*12+MONTH(Table1[[#This Row],[Loss date]])-Earliest_Month)/4)</f>
        <v>19</v>
      </c>
      <c r="Y507" s="17">
        <f>INT((YEAR(Table1[[#This Row],[Reporting date]])*12+MONTH(Table1[[#This Row],[Reporting date]])-Earliest_Month)/4)</f>
        <v>19</v>
      </c>
      <c r="Z507" s="17">
        <f>Table1[[#This Row],[Reporting third]]-Table1[[#This Row],[Policy third]]</f>
        <v>0</v>
      </c>
      <c r="AA507" s="71">
        <f>IF(Table1[[#This Row],[Overall amount]]=0,"N/A",Table1[[#This Row],[Outstanding]]/Table1[[#This Row],[Overall amount]])</f>
        <v>0.92414965986394582</v>
      </c>
      <c r="AB507" s="17">
        <f>IF(MONTH(Table1[[#This Row],[Loss date]])&lt;Pol_Inc_Month_Shifted,YEAR(Table1[[#This Row],[Loss date]])-1,YEAR(Table1[[#This Row],[Loss date]]))</f>
        <v>2010</v>
      </c>
      <c r="AC507" s="17">
        <f>IF(MONTH(Table1[[#This Row],[Reporting date]])&lt;Pol_Inc_Month_Shifted,YEAR(Table1[[#This Row],[Reporting date]])-1,YEAR(Table1[[#This Row],[Reporting date]]))</f>
        <v>2010</v>
      </c>
      <c r="AD507" s="17">
        <f>Table1[[#This Row],[Reporting year (shifted)]]-Table1[[#This Row],[Policy Year (shifted)]]</f>
        <v>0</v>
      </c>
    </row>
    <row r="508" spans="1:30" ht="13.9">
      <c r="A508" s="8" t="s">
        <v>2278</v>
      </c>
      <c r="B508" s="8" t="s">
        <v>560</v>
      </c>
      <c r="C508" s="8" t="s">
        <v>123</v>
      </c>
      <c r="D508" s="9">
        <v>40594</v>
      </c>
      <c r="E508" s="9">
        <v>41036</v>
      </c>
      <c r="F508" s="17">
        <f>IF(MONTH(Table1[[#This Row],[Loss date]])&lt;Policy_Inception_Month,YEAR(Table1[[#This Row],[Loss date]])-1,YEAR(Table1[[#This Row],[Loss date]]))</f>
        <v>2010</v>
      </c>
      <c r="G508" s="10" t="s">
        <v>125</v>
      </c>
      <c r="H508" s="10" t="s">
        <v>2</v>
      </c>
      <c r="I508" s="11">
        <v>1399.5508458191114</v>
      </c>
      <c r="J508" s="11">
        <v>0</v>
      </c>
      <c r="K508" s="11">
        <v>1399.5508458191114</v>
      </c>
      <c r="L508" s="12">
        <v>0</v>
      </c>
      <c r="M508" s="12">
        <v>0</v>
      </c>
      <c r="N508" s="12">
        <v>1399.5508458191114</v>
      </c>
      <c r="O508" s="70">
        <f>IF(Table1[[#This Row],[Overall amount]]=0,0,1)</f>
        <v>1</v>
      </c>
      <c r="P508" s="70">
        <f>Table1[[#This Row],[Overall amount]]*Exchange_Rate</f>
        <v>1399.5508458191114</v>
      </c>
      <c r="Q508" s="70">
        <f>Table1[[#This Row],[Overall (destination currency)]]*(1+Claims_Inflation)^((Revalue_at_date-Table1[[#This Row],[Loss date]])/365.25)</f>
        <v>1752.6000000000001</v>
      </c>
      <c r="R508" s="70">
        <f>INT(Table1[[#This Row],[Reporting date]])-INT(Table1[[#This Row],[Loss date]])</f>
        <v>442</v>
      </c>
      <c r="S508" s="69" t="s">
        <v>9</v>
      </c>
      <c r="T508" s="70">
        <f>VLOOKUP(Table1[[#This Row],[Policy Year]],exposure_table,3,FALSE)</f>
        <v>837.11513600000012</v>
      </c>
      <c r="U508" s="17">
        <f>IF(MONTH(Table1[[#This Row],[Reporting date]])&lt;Policy_Inception_Month,YEAR(Table1[[#This Row],[Reporting date]])-1,YEAR(Table1[[#This Row],[Reporting date]]))</f>
        <v>2012</v>
      </c>
      <c r="V508" s="17">
        <f>Table1[[#This Row],[Reporting year]]-Table1[[#This Row],[Policy Year]]</f>
        <v>2</v>
      </c>
      <c r="W508" s="17">
        <f>INT(Table1[[#This Row],[Reporting date]])-INT(Table1[[#This Row],[Loss date]])</f>
        <v>442</v>
      </c>
      <c r="X508" s="17">
        <f>INT((YEAR(Table1[[#This Row],[Loss date]])*12+MONTH(Table1[[#This Row],[Loss date]])-Earliest_Month)/4)</f>
        <v>17</v>
      </c>
      <c r="Y508" s="17">
        <f>INT((YEAR(Table1[[#This Row],[Reporting date]])*12+MONTH(Table1[[#This Row],[Reporting date]])-Earliest_Month)/4)</f>
        <v>21</v>
      </c>
      <c r="Z508" s="17">
        <f>Table1[[#This Row],[Reporting third]]-Table1[[#This Row],[Policy third]]</f>
        <v>4</v>
      </c>
      <c r="AA508" s="71">
        <f>IF(Table1[[#This Row],[Overall amount]]=0,"N/A",Table1[[#This Row],[Outstanding]]/Table1[[#This Row],[Overall amount]])</f>
        <v>0</v>
      </c>
      <c r="AB508" s="17">
        <f>IF(MONTH(Table1[[#This Row],[Loss date]])&lt;Pol_Inc_Month_Shifted,YEAR(Table1[[#This Row],[Loss date]])-1,YEAR(Table1[[#This Row],[Loss date]]))</f>
        <v>2010</v>
      </c>
      <c r="AC508" s="17">
        <f>IF(MONTH(Table1[[#This Row],[Reporting date]])&lt;Pol_Inc_Month_Shifted,YEAR(Table1[[#This Row],[Reporting date]])-1,YEAR(Table1[[#This Row],[Reporting date]]))</f>
        <v>2011</v>
      </c>
      <c r="AD508" s="17">
        <f>Table1[[#This Row],[Reporting year (shifted)]]-Table1[[#This Row],[Policy Year (shifted)]]</f>
        <v>1</v>
      </c>
    </row>
    <row r="509" spans="1:30" ht="13.9">
      <c r="A509" s="8" t="s">
        <v>2279</v>
      </c>
      <c r="B509" s="8" t="s">
        <v>561</v>
      </c>
      <c r="C509" s="8" t="s">
        <v>123</v>
      </c>
      <c r="D509" s="9">
        <v>40662</v>
      </c>
      <c r="E509" s="9">
        <v>40873</v>
      </c>
      <c r="F509" s="17">
        <f>IF(MONTH(Table1[[#This Row],[Loss date]])&lt;Policy_Inception_Month,YEAR(Table1[[#This Row],[Loss date]])-1,YEAR(Table1[[#This Row],[Loss date]]))</f>
        <v>2011</v>
      </c>
      <c r="G509" s="10" t="s">
        <v>125</v>
      </c>
      <c r="H509" s="10" t="s">
        <v>2</v>
      </c>
      <c r="I509" s="11">
        <v>12534.578258649864</v>
      </c>
      <c r="J509" s="11">
        <v>0</v>
      </c>
      <c r="K509" s="11">
        <v>12534.578258649864</v>
      </c>
      <c r="L509" s="12">
        <v>0</v>
      </c>
      <c r="M509" s="12">
        <v>0</v>
      </c>
      <c r="N509" s="12">
        <v>12534.578258649864</v>
      </c>
      <c r="O509" s="70">
        <f>IF(Table1[[#This Row],[Overall amount]]=0,0,1)</f>
        <v>1</v>
      </c>
      <c r="P509" s="70">
        <f>Table1[[#This Row],[Overall amount]]*Exchange_Rate</f>
        <v>12534.578258649864</v>
      </c>
      <c r="Q509" s="70">
        <f>Table1[[#This Row],[Overall (destination currency)]]*(1+Claims_Inflation)^((Revalue_at_date-Table1[[#This Row],[Loss date]])/365.25)</f>
        <v>15554.603999999999</v>
      </c>
      <c r="R509" s="70">
        <f>INT(Table1[[#This Row],[Reporting date]])-INT(Table1[[#This Row],[Loss date]])</f>
        <v>211</v>
      </c>
      <c r="S509" s="69" t="s">
        <v>9</v>
      </c>
      <c r="T509" s="70">
        <f>VLOOKUP(Table1[[#This Row],[Policy Year]],exposure_table,3,FALSE)</f>
        <v>870.52680000000009</v>
      </c>
      <c r="U509" s="17">
        <f>IF(MONTH(Table1[[#This Row],[Reporting date]])&lt;Policy_Inception_Month,YEAR(Table1[[#This Row],[Reporting date]])-1,YEAR(Table1[[#This Row],[Reporting date]]))</f>
        <v>2011</v>
      </c>
      <c r="V509" s="17">
        <f>Table1[[#This Row],[Reporting year]]-Table1[[#This Row],[Policy Year]]</f>
        <v>0</v>
      </c>
      <c r="W509" s="17">
        <f>INT(Table1[[#This Row],[Reporting date]])-INT(Table1[[#This Row],[Loss date]])</f>
        <v>211</v>
      </c>
      <c r="X509" s="17">
        <f>INT((YEAR(Table1[[#This Row],[Loss date]])*12+MONTH(Table1[[#This Row],[Loss date]])-Earliest_Month)/4)</f>
        <v>18</v>
      </c>
      <c r="Y509" s="17">
        <f>INT((YEAR(Table1[[#This Row],[Reporting date]])*12+MONTH(Table1[[#This Row],[Reporting date]])-Earliest_Month)/4)</f>
        <v>19</v>
      </c>
      <c r="Z509" s="17">
        <f>Table1[[#This Row],[Reporting third]]-Table1[[#This Row],[Policy third]]</f>
        <v>1</v>
      </c>
      <c r="AA509" s="71">
        <f>IF(Table1[[#This Row],[Overall amount]]=0,"N/A",Table1[[#This Row],[Outstanding]]/Table1[[#This Row],[Overall amount]])</f>
        <v>0</v>
      </c>
      <c r="AB509" s="17">
        <f>IF(MONTH(Table1[[#This Row],[Loss date]])&lt;Pol_Inc_Month_Shifted,YEAR(Table1[[#This Row],[Loss date]])-1,YEAR(Table1[[#This Row],[Loss date]]))</f>
        <v>2010</v>
      </c>
      <c r="AC509" s="17">
        <f>IF(MONTH(Table1[[#This Row],[Reporting date]])&lt;Pol_Inc_Month_Shifted,YEAR(Table1[[#This Row],[Reporting date]])-1,YEAR(Table1[[#This Row],[Reporting date]]))</f>
        <v>2010</v>
      </c>
      <c r="AD509" s="17">
        <f>Table1[[#This Row],[Reporting year (shifted)]]-Table1[[#This Row],[Policy Year (shifted)]]</f>
        <v>0</v>
      </c>
    </row>
    <row r="510" spans="1:30" ht="13.9">
      <c r="A510" s="8" t="s">
        <v>2280</v>
      </c>
      <c r="B510" s="8" t="s">
        <v>562</v>
      </c>
      <c r="C510" s="8" t="s">
        <v>123</v>
      </c>
      <c r="D510" s="9">
        <v>40472</v>
      </c>
      <c r="E510" s="9">
        <v>40803</v>
      </c>
      <c r="F510" s="17">
        <f>IF(MONTH(Table1[[#This Row],[Loss date]])&lt;Policy_Inception_Month,YEAR(Table1[[#This Row],[Loss date]])-1,YEAR(Table1[[#This Row],[Loss date]]))</f>
        <v>2010</v>
      </c>
      <c r="G510" s="10" t="s">
        <v>125</v>
      </c>
      <c r="H510" s="10" t="s">
        <v>2</v>
      </c>
      <c r="I510" s="11">
        <v>10848.076984937765</v>
      </c>
      <c r="J510" s="11">
        <v>1408.0391932389998</v>
      </c>
      <c r="K510" s="11">
        <v>12256.116178176764</v>
      </c>
      <c r="L510" s="12">
        <v>141.41672513280881</v>
      </c>
      <c r="M510" s="12">
        <v>1128.175494201171</v>
      </c>
      <c r="N510" s="12">
        <v>11269.357409108403</v>
      </c>
      <c r="O510" s="70">
        <f>IF(Table1[[#This Row],[Overall amount]]=0,0,1)</f>
        <v>1</v>
      </c>
      <c r="P510" s="70">
        <f>Table1[[#This Row],[Overall amount]]*Exchange_Rate</f>
        <v>11269.357409108403</v>
      </c>
      <c r="Q510" s="70">
        <f>Table1[[#This Row],[Overall (destination currency)]]*(1+Claims_Inflation)^((Revalue_at_date-Table1[[#This Row],[Loss date]])/365.25)</f>
        <v>14344.020000000002</v>
      </c>
      <c r="R510" s="70">
        <f>INT(Table1[[#This Row],[Reporting date]])-INT(Table1[[#This Row],[Loss date]])</f>
        <v>331</v>
      </c>
      <c r="S510" s="69" t="s">
        <v>16</v>
      </c>
      <c r="T510" s="70">
        <f>VLOOKUP(Table1[[#This Row],[Policy Year]],exposure_table,3,FALSE)</f>
        <v>837.11513600000012</v>
      </c>
      <c r="U510" s="17">
        <f>IF(MONTH(Table1[[#This Row],[Reporting date]])&lt;Policy_Inception_Month,YEAR(Table1[[#This Row],[Reporting date]])-1,YEAR(Table1[[#This Row],[Reporting date]]))</f>
        <v>2011</v>
      </c>
      <c r="V510" s="17">
        <f>Table1[[#This Row],[Reporting year]]-Table1[[#This Row],[Policy Year]]</f>
        <v>1</v>
      </c>
      <c r="W510" s="17">
        <f>INT(Table1[[#This Row],[Reporting date]])-INT(Table1[[#This Row],[Loss date]])</f>
        <v>331</v>
      </c>
      <c r="X510" s="17">
        <f>INT((YEAR(Table1[[#This Row],[Loss date]])*12+MONTH(Table1[[#This Row],[Loss date]])-Earliest_Month)/4)</f>
        <v>16</v>
      </c>
      <c r="Y510" s="17">
        <f>INT((YEAR(Table1[[#This Row],[Reporting date]])*12+MONTH(Table1[[#This Row],[Reporting date]])-Earliest_Month)/4)</f>
        <v>19</v>
      </c>
      <c r="Z510" s="17">
        <f>Table1[[#This Row],[Reporting third]]-Table1[[#This Row],[Policy third]]</f>
        <v>3</v>
      </c>
      <c r="AA510" s="71">
        <f>IF(Table1[[#This Row],[Overall amount]]=0,"N/A",Table1[[#This Row],[Outstanding]]/Table1[[#This Row],[Overall amount]])</f>
        <v>0.12494405334069528</v>
      </c>
      <c r="AB510" s="17">
        <f>IF(MONTH(Table1[[#This Row],[Loss date]])&lt;Pol_Inc_Month_Shifted,YEAR(Table1[[#This Row],[Loss date]])-1,YEAR(Table1[[#This Row],[Loss date]]))</f>
        <v>2009</v>
      </c>
      <c r="AC510" s="17">
        <f>IF(MONTH(Table1[[#This Row],[Reporting date]])&lt;Pol_Inc_Month_Shifted,YEAR(Table1[[#This Row],[Reporting date]])-1,YEAR(Table1[[#This Row],[Reporting date]]))</f>
        <v>2010</v>
      </c>
      <c r="AD510" s="17">
        <f>Table1[[#This Row],[Reporting year (shifted)]]-Table1[[#This Row],[Policy Year (shifted)]]</f>
        <v>1</v>
      </c>
    </row>
    <row r="511" spans="1:30" ht="13.9">
      <c r="A511" s="8" t="s">
        <v>2281</v>
      </c>
      <c r="B511" s="8" t="s">
        <v>563</v>
      </c>
      <c r="C511" s="8" t="s">
        <v>123</v>
      </c>
      <c r="D511" s="9">
        <v>40484</v>
      </c>
      <c r="E511" s="9">
        <v>40491</v>
      </c>
      <c r="F511" s="17">
        <f>IF(MONTH(Table1[[#This Row],[Loss date]])&lt;Policy_Inception_Month,YEAR(Table1[[#This Row],[Loss date]])-1,YEAR(Table1[[#This Row],[Loss date]]))</f>
        <v>2010</v>
      </c>
      <c r="G511" s="10" t="s">
        <v>125</v>
      </c>
      <c r="H511" s="10" t="s">
        <v>2</v>
      </c>
      <c r="I511" s="11">
        <v>30674.808556449003</v>
      </c>
      <c r="J511" s="11">
        <v>30704.081565584125</v>
      </c>
      <c r="K511" s="11">
        <v>61378.890122033132</v>
      </c>
      <c r="L511" s="12">
        <v>0</v>
      </c>
      <c r="M511" s="12">
        <v>0</v>
      </c>
      <c r="N511" s="12">
        <v>61378.890122033132</v>
      </c>
      <c r="O511" s="70">
        <f>IF(Table1[[#This Row],[Overall amount]]=0,0,1)</f>
        <v>1</v>
      </c>
      <c r="P511" s="70">
        <f>Table1[[#This Row],[Overall amount]]*Exchange_Rate</f>
        <v>61378.890122033132</v>
      </c>
      <c r="Q511" s="70">
        <f>Table1[[#This Row],[Overall (destination currency)]]*(1+Claims_Inflation)^((Revalue_at_date-Table1[[#This Row],[Loss date]])/365.25)</f>
        <v>78000</v>
      </c>
      <c r="R511" s="70">
        <f>INT(Table1[[#This Row],[Reporting date]])-INT(Table1[[#This Row],[Loss date]])</f>
        <v>7</v>
      </c>
      <c r="S511" s="69" t="s">
        <v>16</v>
      </c>
      <c r="T511" s="70">
        <f>VLOOKUP(Table1[[#This Row],[Policy Year]],exposure_table,3,FALSE)</f>
        <v>837.11513600000012</v>
      </c>
      <c r="U511" s="17">
        <f>IF(MONTH(Table1[[#This Row],[Reporting date]])&lt;Policy_Inception_Month,YEAR(Table1[[#This Row],[Reporting date]])-1,YEAR(Table1[[#This Row],[Reporting date]]))</f>
        <v>2010</v>
      </c>
      <c r="V511" s="17">
        <f>Table1[[#This Row],[Reporting year]]-Table1[[#This Row],[Policy Year]]</f>
        <v>0</v>
      </c>
      <c r="W511" s="17">
        <f>INT(Table1[[#This Row],[Reporting date]])-INT(Table1[[#This Row],[Loss date]])</f>
        <v>7</v>
      </c>
      <c r="X511" s="17">
        <f>INT((YEAR(Table1[[#This Row],[Loss date]])*12+MONTH(Table1[[#This Row],[Loss date]])-Earliest_Month)/4)</f>
        <v>16</v>
      </c>
      <c r="Y511" s="17">
        <f>INT((YEAR(Table1[[#This Row],[Reporting date]])*12+MONTH(Table1[[#This Row],[Reporting date]])-Earliest_Month)/4)</f>
        <v>16</v>
      </c>
      <c r="Z511" s="17">
        <f>Table1[[#This Row],[Reporting third]]-Table1[[#This Row],[Policy third]]</f>
        <v>0</v>
      </c>
      <c r="AA511" s="71">
        <f>IF(Table1[[#This Row],[Overall amount]]=0,"N/A",Table1[[#This Row],[Outstanding]]/Table1[[#This Row],[Overall amount]])</f>
        <v>0.50023846153846152</v>
      </c>
      <c r="AB511" s="17">
        <f>IF(MONTH(Table1[[#This Row],[Loss date]])&lt;Pol_Inc_Month_Shifted,YEAR(Table1[[#This Row],[Loss date]])-1,YEAR(Table1[[#This Row],[Loss date]]))</f>
        <v>2009</v>
      </c>
      <c r="AC511" s="17">
        <f>IF(MONTH(Table1[[#This Row],[Reporting date]])&lt;Pol_Inc_Month_Shifted,YEAR(Table1[[#This Row],[Reporting date]])-1,YEAR(Table1[[#This Row],[Reporting date]]))</f>
        <v>2009</v>
      </c>
      <c r="AD511" s="17">
        <f>Table1[[#This Row],[Reporting year (shifted)]]-Table1[[#This Row],[Policy Year (shifted)]]</f>
        <v>0</v>
      </c>
    </row>
    <row r="512" spans="1:30" ht="13.9">
      <c r="A512" s="8" t="s">
        <v>2282</v>
      </c>
      <c r="B512" s="8" t="s">
        <v>564</v>
      </c>
      <c r="C512" s="8" t="s">
        <v>123</v>
      </c>
      <c r="D512" s="9">
        <v>40720</v>
      </c>
      <c r="E512" s="9">
        <v>40977</v>
      </c>
      <c r="F512" s="17">
        <f>IF(MONTH(Table1[[#This Row],[Loss date]])&lt;Policy_Inception_Month,YEAR(Table1[[#This Row],[Loss date]])-1,YEAR(Table1[[#This Row],[Loss date]]))</f>
        <v>2011</v>
      </c>
      <c r="G512" s="10" t="s">
        <v>125</v>
      </c>
      <c r="H512" s="10" t="s">
        <v>2</v>
      </c>
      <c r="I512" s="11">
        <v>9054.1179313513221</v>
      </c>
      <c r="J512" s="11">
        <v>0</v>
      </c>
      <c r="K512" s="11">
        <v>9054.1179313513221</v>
      </c>
      <c r="L512" s="12">
        <v>0</v>
      </c>
      <c r="M512" s="12">
        <v>0</v>
      </c>
      <c r="N512" s="12">
        <v>9054.1179313513221</v>
      </c>
      <c r="O512" s="70">
        <f>IF(Table1[[#This Row],[Overall amount]]=0,0,1)</f>
        <v>1</v>
      </c>
      <c r="P512" s="70">
        <f>Table1[[#This Row],[Overall amount]]*Exchange_Rate</f>
        <v>9054.1179313513221</v>
      </c>
      <c r="Q512" s="70">
        <f>Table1[[#This Row],[Overall (destination currency)]]*(1+Claims_Inflation)^((Revalue_at_date-Table1[[#This Row],[Loss date]])/365.25)</f>
        <v>11148.864000000001</v>
      </c>
      <c r="R512" s="70">
        <f>INT(Table1[[#This Row],[Reporting date]])-INT(Table1[[#This Row],[Loss date]])</f>
        <v>257</v>
      </c>
      <c r="S512" s="69" t="s">
        <v>9</v>
      </c>
      <c r="T512" s="70">
        <f>VLOOKUP(Table1[[#This Row],[Policy Year]],exposure_table,3,FALSE)</f>
        <v>870.52680000000009</v>
      </c>
      <c r="U512" s="17">
        <f>IF(MONTH(Table1[[#This Row],[Reporting date]])&lt;Policy_Inception_Month,YEAR(Table1[[#This Row],[Reporting date]])-1,YEAR(Table1[[#This Row],[Reporting date]]))</f>
        <v>2011</v>
      </c>
      <c r="V512" s="17">
        <f>Table1[[#This Row],[Reporting year]]-Table1[[#This Row],[Policy Year]]</f>
        <v>0</v>
      </c>
      <c r="W512" s="17">
        <f>INT(Table1[[#This Row],[Reporting date]])-INT(Table1[[#This Row],[Loss date]])</f>
        <v>257</v>
      </c>
      <c r="X512" s="17">
        <f>INT((YEAR(Table1[[#This Row],[Loss date]])*12+MONTH(Table1[[#This Row],[Loss date]])-Earliest_Month)/4)</f>
        <v>18</v>
      </c>
      <c r="Y512" s="17">
        <f>INT((YEAR(Table1[[#This Row],[Reporting date]])*12+MONTH(Table1[[#This Row],[Reporting date]])-Earliest_Month)/4)</f>
        <v>20</v>
      </c>
      <c r="Z512" s="17">
        <f>Table1[[#This Row],[Reporting third]]-Table1[[#This Row],[Policy third]]</f>
        <v>2</v>
      </c>
      <c r="AA512" s="71">
        <f>IF(Table1[[#This Row],[Overall amount]]=0,"N/A",Table1[[#This Row],[Outstanding]]/Table1[[#This Row],[Overall amount]])</f>
        <v>0</v>
      </c>
      <c r="AB512" s="17">
        <f>IF(MONTH(Table1[[#This Row],[Loss date]])&lt;Pol_Inc_Month_Shifted,YEAR(Table1[[#This Row],[Loss date]])-1,YEAR(Table1[[#This Row],[Loss date]]))</f>
        <v>2010</v>
      </c>
      <c r="AC512" s="17">
        <f>IF(MONTH(Table1[[#This Row],[Reporting date]])&lt;Pol_Inc_Month_Shifted,YEAR(Table1[[#This Row],[Reporting date]])-1,YEAR(Table1[[#This Row],[Reporting date]]))</f>
        <v>2011</v>
      </c>
      <c r="AD512" s="17">
        <f>Table1[[#This Row],[Reporting year (shifted)]]-Table1[[#This Row],[Policy Year (shifted)]]</f>
        <v>1</v>
      </c>
    </row>
    <row r="513" spans="1:30" ht="13.9">
      <c r="A513" s="8" t="s">
        <v>2283</v>
      </c>
      <c r="B513" s="8" t="s">
        <v>565</v>
      </c>
      <c r="C513" s="8" t="s">
        <v>123</v>
      </c>
      <c r="D513" s="9">
        <v>40617</v>
      </c>
      <c r="E513" s="9">
        <v>40675</v>
      </c>
      <c r="F513" s="17">
        <f>IF(MONTH(Table1[[#This Row],[Loss date]])&lt;Policy_Inception_Month,YEAR(Table1[[#This Row],[Loss date]])-1,YEAR(Table1[[#This Row],[Loss date]]))</f>
        <v>2010</v>
      </c>
      <c r="G513" s="10" t="s">
        <v>131</v>
      </c>
      <c r="H513" s="10" t="s">
        <v>2</v>
      </c>
      <c r="I513" s="11">
        <v>7549.7151518768114</v>
      </c>
      <c r="J513" s="11">
        <v>0</v>
      </c>
      <c r="K513" s="11">
        <v>7549.7151518768114</v>
      </c>
      <c r="L513" s="12">
        <v>144.18254297712491</v>
      </c>
      <c r="M513" s="12">
        <v>46.163386169123619</v>
      </c>
      <c r="N513" s="12">
        <v>7647.7343086848132</v>
      </c>
      <c r="O513" s="70">
        <f>IF(Table1[[#This Row],[Overall amount]]=0,0,1)</f>
        <v>1</v>
      </c>
      <c r="P513" s="70">
        <f>Table1[[#This Row],[Overall amount]]*Exchange_Rate</f>
        <v>7647.7343086848132</v>
      </c>
      <c r="Q513" s="70">
        <f>Table1[[#This Row],[Overall (destination currency)]]*(1+Claims_Inflation)^((Revalue_at_date-Table1[[#This Row],[Loss date]])/365.25)</f>
        <v>9547.564824000001</v>
      </c>
      <c r="R513" s="70">
        <f>INT(Table1[[#This Row],[Reporting date]])-INT(Table1[[#This Row],[Loss date]])</f>
        <v>58</v>
      </c>
      <c r="S513" s="69" t="s">
        <v>9</v>
      </c>
      <c r="T513" s="70">
        <f>VLOOKUP(Table1[[#This Row],[Policy Year]],exposure_table,3,FALSE)</f>
        <v>837.11513600000012</v>
      </c>
      <c r="U513" s="17">
        <f>IF(MONTH(Table1[[#This Row],[Reporting date]])&lt;Policy_Inception_Month,YEAR(Table1[[#This Row],[Reporting date]])-1,YEAR(Table1[[#This Row],[Reporting date]]))</f>
        <v>2011</v>
      </c>
      <c r="V513" s="17">
        <f>Table1[[#This Row],[Reporting year]]-Table1[[#This Row],[Policy Year]]</f>
        <v>1</v>
      </c>
      <c r="W513" s="17">
        <f>INT(Table1[[#This Row],[Reporting date]])-INT(Table1[[#This Row],[Loss date]])</f>
        <v>58</v>
      </c>
      <c r="X513" s="17">
        <f>INT((YEAR(Table1[[#This Row],[Loss date]])*12+MONTH(Table1[[#This Row],[Loss date]])-Earliest_Month)/4)</f>
        <v>17</v>
      </c>
      <c r="Y513" s="17">
        <f>INT((YEAR(Table1[[#This Row],[Reporting date]])*12+MONTH(Table1[[#This Row],[Reporting date]])-Earliest_Month)/4)</f>
        <v>18</v>
      </c>
      <c r="Z513" s="17">
        <f>Table1[[#This Row],[Reporting third]]-Table1[[#This Row],[Policy third]]</f>
        <v>1</v>
      </c>
      <c r="AA513" s="71">
        <f>IF(Table1[[#This Row],[Overall amount]]=0,"N/A",Table1[[#This Row],[Outstanding]]/Table1[[#This Row],[Overall amount]])</f>
        <v>0</v>
      </c>
      <c r="AB513" s="17">
        <f>IF(MONTH(Table1[[#This Row],[Loss date]])&lt;Pol_Inc_Month_Shifted,YEAR(Table1[[#This Row],[Loss date]])-1,YEAR(Table1[[#This Row],[Loss date]]))</f>
        <v>2010</v>
      </c>
      <c r="AC513" s="17">
        <f>IF(MONTH(Table1[[#This Row],[Reporting date]])&lt;Pol_Inc_Month_Shifted,YEAR(Table1[[#This Row],[Reporting date]])-1,YEAR(Table1[[#This Row],[Reporting date]]))</f>
        <v>2010</v>
      </c>
      <c r="AD513" s="17">
        <f>Table1[[#This Row],[Reporting year (shifted)]]-Table1[[#This Row],[Policy Year (shifted)]]</f>
        <v>0</v>
      </c>
    </row>
    <row r="514" spans="1:30" ht="13.9">
      <c r="A514" s="8" t="s">
        <v>2284</v>
      </c>
      <c r="B514" s="8" t="s">
        <v>566</v>
      </c>
      <c r="C514" s="8" t="s">
        <v>123</v>
      </c>
      <c r="D514" s="9">
        <v>39736</v>
      </c>
      <c r="E514" s="9">
        <v>40259</v>
      </c>
      <c r="F514" s="17">
        <f>IF(MONTH(Table1[[#This Row],[Loss date]])&lt;Policy_Inception_Month,YEAR(Table1[[#This Row],[Loss date]])-1,YEAR(Table1[[#This Row],[Loss date]]))</f>
        <v>2008</v>
      </c>
      <c r="G514" s="10" t="s">
        <v>125</v>
      </c>
      <c r="H514" s="10" t="s">
        <v>2</v>
      </c>
      <c r="I514" s="11">
        <v>6858.7860295541223</v>
      </c>
      <c r="J514" s="11">
        <v>0</v>
      </c>
      <c r="K514" s="11">
        <v>6858.7860295541223</v>
      </c>
      <c r="L514" s="12">
        <v>0</v>
      </c>
      <c r="M514" s="12">
        <v>0</v>
      </c>
      <c r="N514" s="12">
        <v>6858.7860295541223</v>
      </c>
      <c r="O514" s="70">
        <f>IF(Table1[[#This Row],[Overall amount]]=0,0,1)</f>
        <v>1</v>
      </c>
      <c r="P514" s="70">
        <f>Table1[[#This Row],[Overall amount]]*Exchange_Rate</f>
        <v>6858.7860295541223</v>
      </c>
      <c r="Q514" s="70">
        <f>Table1[[#This Row],[Overall (destination currency)]]*(1+Claims_Inflation)^((Revalue_at_date-Table1[[#This Row],[Loss date]])/365.25)</f>
        <v>9632.0040000000008</v>
      </c>
      <c r="R514" s="70">
        <f>INT(Table1[[#This Row],[Reporting date]])-INT(Table1[[#This Row],[Loss date]])</f>
        <v>523</v>
      </c>
      <c r="S514" s="69" t="s">
        <v>9</v>
      </c>
      <c r="T514" s="70">
        <f>VLOOKUP(Table1[[#This Row],[Policy Year]],exposure_table,3,FALSE)</f>
        <v>601.98581780480015</v>
      </c>
      <c r="U514" s="17">
        <f>IF(MONTH(Table1[[#This Row],[Reporting date]])&lt;Policy_Inception_Month,YEAR(Table1[[#This Row],[Reporting date]])-1,YEAR(Table1[[#This Row],[Reporting date]]))</f>
        <v>2009</v>
      </c>
      <c r="V514" s="17">
        <f>Table1[[#This Row],[Reporting year]]-Table1[[#This Row],[Policy Year]]</f>
        <v>1</v>
      </c>
      <c r="W514" s="17">
        <f>INT(Table1[[#This Row],[Reporting date]])-INT(Table1[[#This Row],[Loss date]])</f>
        <v>523</v>
      </c>
      <c r="X514" s="17">
        <f>INT((YEAR(Table1[[#This Row],[Loss date]])*12+MONTH(Table1[[#This Row],[Loss date]])-Earliest_Month)/4)</f>
        <v>10</v>
      </c>
      <c r="Y514" s="17">
        <f>INT((YEAR(Table1[[#This Row],[Reporting date]])*12+MONTH(Table1[[#This Row],[Reporting date]])-Earliest_Month)/4)</f>
        <v>14</v>
      </c>
      <c r="Z514" s="17">
        <f>Table1[[#This Row],[Reporting third]]-Table1[[#This Row],[Policy third]]</f>
        <v>4</v>
      </c>
      <c r="AA514" s="71">
        <f>IF(Table1[[#This Row],[Overall amount]]=0,"N/A",Table1[[#This Row],[Outstanding]]/Table1[[#This Row],[Overall amount]])</f>
        <v>0</v>
      </c>
      <c r="AB514" s="17">
        <f>IF(MONTH(Table1[[#This Row],[Loss date]])&lt;Pol_Inc_Month_Shifted,YEAR(Table1[[#This Row],[Loss date]])-1,YEAR(Table1[[#This Row],[Loss date]]))</f>
        <v>2007</v>
      </c>
      <c r="AC514" s="17">
        <f>IF(MONTH(Table1[[#This Row],[Reporting date]])&lt;Pol_Inc_Month_Shifted,YEAR(Table1[[#This Row],[Reporting date]])-1,YEAR(Table1[[#This Row],[Reporting date]]))</f>
        <v>2009</v>
      </c>
      <c r="AD514" s="17">
        <f>Table1[[#This Row],[Reporting year (shifted)]]-Table1[[#This Row],[Policy Year (shifted)]]</f>
        <v>2</v>
      </c>
    </row>
    <row r="515" spans="1:30" ht="13.9">
      <c r="A515" s="8" t="s">
        <v>2285</v>
      </c>
      <c r="B515" s="8" t="s">
        <v>567</v>
      </c>
      <c r="C515" s="8" t="s">
        <v>123</v>
      </c>
      <c r="D515" s="9">
        <v>40496</v>
      </c>
      <c r="E515" s="9">
        <v>40783</v>
      </c>
      <c r="F515" s="17">
        <f>IF(MONTH(Table1[[#This Row],[Loss date]])&lt;Policy_Inception_Month,YEAR(Table1[[#This Row],[Loss date]])-1,YEAR(Table1[[#This Row],[Loss date]]))</f>
        <v>2010</v>
      </c>
      <c r="G515" s="10" t="s">
        <v>125</v>
      </c>
      <c r="H515" s="10" t="s">
        <v>2</v>
      </c>
      <c r="I515" s="11">
        <v>1371.4179653082165</v>
      </c>
      <c r="J515" s="11">
        <v>0</v>
      </c>
      <c r="K515" s="11">
        <v>1371.4179653082165</v>
      </c>
      <c r="L515" s="12">
        <v>0</v>
      </c>
      <c r="M515" s="12">
        <v>146.78901256264496</v>
      </c>
      <c r="N515" s="12">
        <v>1224.6289527455715</v>
      </c>
      <c r="O515" s="70">
        <f>IF(Table1[[#This Row],[Overall amount]]=0,0,1)</f>
        <v>1</v>
      </c>
      <c r="P515" s="70">
        <f>Table1[[#This Row],[Overall amount]]*Exchange_Rate</f>
        <v>1224.6289527455715</v>
      </c>
      <c r="Q515" s="70">
        <f>Table1[[#This Row],[Overall (destination currency)]]*(1+Claims_Inflation)^((Revalue_at_date-Table1[[#This Row],[Loss date]])/365.25)</f>
        <v>1553.7600000000002</v>
      </c>
      <c r="R515" s="70">
        <f>INT(Table1[[#This Row],[Reporting date]])-INT(Table1[[#This Row],[Loss date]])</f>
        <v>287</v>
      </c>
      <c r="S515" s="69" t="s">
        <v>9</v>
      </c>
      <c r="T515" s="70">
        <f>VLOOKUP(Table1[[#This Row],[Policy Year]],exposure_table,3,FALSE)</f>
        <v>837.11513600000012</v>
      </c>
      <c r="U515" s="17">
        <f>IF(MONTH(Table1[[#This Row],[Reporting date]])&lt;Policy_Inception_Month,YEAR(Table1[[#This Row],[Reporting date]])-1,YEAR(Table1[[#This Row],[Reporting date]]))</f>
        <v>2011</v>
      </c>
      <c r="V515" s="17">
        <f>Table1[[#This Row],[Reporting year]]-Table1[[#This Row],[Policy Year]]</f>
        <v>1</v>
      </c>
      <c r="W515" s="17">
        <f>INT(Table1[[#This Row],[Reporting date]])-INT(Table1[[#This Row],[Loss date]])</f>
        <v>287</v>
      </c>
      <c r="X515" s="17">
        <f>INT((YEAR(Table1[[#This Row],[Loss date]])*12+MONTH(Table1[[#This Row],[Loss date]])-Earliest_Month)/4)</f>
        <v>16</v>
      </c>
      <c r="Y515" s="17">
        <f>INT((YEAR(Table1[[#This Row],[Reporting date]])*12+MONTH(Table1[[#This Row],[Reporting date]])-Earliest_Month)/4)</f>
        <v>19</v>
      </c>
      <c r="Z515" s="17">
        <f>Table1[[#This Row],[Reporting third]]-Table1[[#This Row],[Policy third]]</f>
        <v>3</v>
      </c>
      <c r="AA515" s="71">
        <f>IF(Table1[[#This Row],[Overall amount]]=0,"N/A",Table1[[#This Row],[Outstanding]]/Table1[[#This Row],[Overall amount]])</f>
        <v>0</v>
      </c>
      <c r="AB515" s="17">
        <f>IF(MONTH(Table1[[#This Row],[Loss date]])&lt;Pol_Inc_Month_Shifted,YEAR(Table1[[#This Row],[Loss date]])-1,YEAR(Table1[[#This Row],[Loss date]]))</f>
        <v>2009</v>
      </c>
      <c r="AC515" s="17">
        <f>IF(MONTH(Table1[[#This Row],[Reporting date]])&lt;Pol_Inc_Month_Shifted,YEAR(Table1[[#This Row],[Reporting date]])-1,YEAR(Table1[[#This Row],[Reporting date]]))</f>
        <v>2010</v>
      </c>
      <c r="AD515" s="17">
        <f>Table1[[#This Row],[Reporting year (shifted)]]-Table1[[#This Row],[Policy Year (shifted)]]</f>
        <v>1</v>
      </c>
    </row>
    <row r="516" spans="1:30" ht="13.9">
      <c r="A516" s="8" t="s">
        <v>2286</v>
      </c>
      <c r="B516" s="8" t="s">
        <v>568</v>
      </c>
      <c r="C516" s="8" t="s">
        <v>123</v>
      </c>
      <c r="D516" s="9">
        <v>41060</v>
      </c>
      <c r="E516" s="9">
        <v>41079</v>
      </c>
      <c r="F516" s="17">
        <f>IF(MONTH(Table1[[#This Row],[Loss date]])&lt;Policy_Inception_Month,YEAR(Table1[[#This Row],[Loss date]])-1,YEAR(Table1[[#This Row],[Loss date]]))</f>
        <v>2012</v>
      </c>
      <c r="G516" s="10" t="s">
        <v>131</v>
      </c>
      <c r="H516" s="10" t="s">
        <v>2</v>
      </c>
      <c r="I516" s="11">
        <v>621.06711628330322</v>
      </c>
      <c r="J516" s="11">
        <v>0</v>
      </c>
      <c r="K516" s="11">
        <v>621.06711628330322</v>
      </c>
      <c r="L516" s="12">
        <v>152.97219612889245</v>
      </c>
      <c r="M516" s="12">
        <v>0</v>
      </c>
      <c r="N516" s="12">
        <v>774.03931241219561</v>
      </c>
      <c r="O516" s="70">
        <f>IF(Table1[[#This Row],[Overall amount]]=0,0,1)</f>
        <v>1</v>
      </c>
      <c r="P516" s="70">
        <f>Table1[[#This Row],[Overall amount]]*Exchange_Rate</f>
        <v>774.03931241219561</v>
      </c>
      <c r="Q516" s="70">
        <f>Table1[[#This Row],[Overall (destination currency)]]*(1+Claims_Inflation)^((Revalue_at_date-Table1[[#This Row],[Loss date]])/365.25)</f>
        <v>910.79999999999984</v>
      </c>
      <c r="R516" s="70">
        <f>INT(Table1[[#This Row],[Reporting date]])-INT(Table1[[#This Row],[Loss date]])</f>
        <v>19</v>
      </c>
      <c r="S516" s="69" t="s">
        <v>9</v>
      </c>
      <c r="T516" s="70">
        <f>VLOOKUP(Table1[[#This Row],[Policy Year]],exposure_table,3,FALSE)</f>
        <v>1057.54</v>
      </c>
      <c r="U516" s="17">
        <f>IF(MONTH(Table1[[#This Row],[Reporting date]])&lt;Policy_Inception_Month,YEAR(Table1[[#This Row],[Reporting date]])-1,YEAR(Table1[[#This Row],[Reporting date]]))</f>
        <v>2012</v>
      </c>
      <c r="V516" s="17">
        <f>Table1[[#This Row],[Reporting year]]-Table1[[#This Row],[Policy Year]]</f>
        <v>0</v>
      </c>
      <c r="W516" s="17">
        <f>INT(Table1[[#This Row],[Reporting date]])-INT(Table1[[#This Row],[Loss date]])</f>
        <v>19</v>
      </c>
      <c r="X516" s="17">
        <f>INT((YEAR(Table1[[#This Row],[Loss date]])*12+MONTH(Table1[[#This Row],[Loss date]])-Earliest_Month)/4)</f>
        <v>21</v>
      </c>
      <c r="Y516" s="17">
        <f>INT((YEAR(Table1[[#This Row],[Reporting date]])*12+MONTH(Table1[[#This Row],[Reporting date]])-Earliest_Month)/4)</f>
        <v>21</v>
      </c>
      <c r="Z516" s="17">
        <f>Table1[[#This Row],[Reporting third]]-Table1[[#This Row],[Policy third]]</f>
        <v>0</v>
      </c>
      <c r="AA516" s="71">
        <f>IF(Table1[[#This Row],[Overall amount]]=0,"N/A",Table1[[#This Row],[Outstanding]]/Table1[[#This Row],[Overall amount]])</f>
        <v>0</v>
      </c>
      <c r="AB516" s="17">
        <f>IF(MONTH(Table1[[#This Row],[Loss date]])&lt;Pol_Inc_Month_Shifted,YEAR(Table1[[#This Row],[Loss date]])-1,YEAR(Table1[[#This Row],[Loss date]]))</f>
        <v>2011</v>
      </c>
      <c r="AC516" s="17">
        <f>IF(MONTH(Table1[[#This Row],[Reporting date]])&lt;Pol_Inc_Month_Shifted,YEAR(Table1[[#This Row],[Reporting date]])-1,YEAR(Table1[[#This Row],[Reporting date]]))</f>
        <v>2011</v>
      </c>
      <c r="AD516" s="17">
        <f>Table1[[#This Row],[Reporting year (shifted)]]-Table1[[#This Row],[Policy Year (shifted)]]</f>
        <v>0</v>
      </c>
    </row>
    <row r="517" spans="1:30" ht="13.9">
      <c r="A517" s="8" t="s">
        <v>2287</v>
      </c>
      <c r="B517" s="8" t="s">
        <v>569</v>
      </c>
      <c r="C517" s="8" t="s">
        <v>123</v>
      </c>
      <c r="D517" s="9">
        <v>40461</v>
      </c>
      <c r="E517" s="9">
        <v>40573</v>
      </c>
      <c r="F517" s="17">
        <f>IF(MONTH(Table1[[#This Row],[Loss date]])&lt;Policy_Inception_Month,YEAR(Table1[[#This Row],[Loss date]])-1,YEAR(Table1[[#This Row],[Loss date]]))</f>
        <v>2010</v>
      </c>
      <c r="G517" s="10" t="s">
        <v>125</v>
      </c>
      <c r="H517" s="10" t="s">
        <v>2</v>
      </c>
      <c r="I517" s="11">
        <v>1228.5190179341785</v>
      </c>
      <c r="J517" s="11">
        <v>0</v>
      </c>
      <c r="K517" s="11">
        <v>1228.5190179341785</v>
      </c>
      <c r="L517" s="12">
        <v>0</v>
      </c>
      <c r="M517" s="12">
        <v>0</v>
      </c>
      <c r="N517" s="12">
        <v>1228.5190179341785</v>
      </c>
      <c r="O517" s="70">
        <f>IF(Table1[[#This Row],[Overall amount]]=0,0,1)</f>
        <v>1</v>
      </c>
      <c r="P517" s="70">
        <f>Table1[[#This Row],[Overall amount]]*Exchange_Rate</f>
        <v>1228.5190179341785</v>
      </c>
      <c r="Q517" s="70">
        <f>Table1[[#This Row],[Overall (destination currency)]]*(1+Claims_Inflation)^((Revalue_at_date-Table1[[#This Row],[Loss date]])/365.25)</f>
        <v>1565.9999999999998</v>
      </c>
      <c r="R517" s="70">
        <f>INT(Table1[[#This Row],[Reporting date]])-INT(Table1[[#This Row],[Loss date]])</f>
        <v>112</v>
      </c>
      <c r="S517" s="69" t="s">
        <v>9</v>
      </c>
      <c r="T517" s="70">
        <f>VLOOKUP(Table1[[#This Row],[Policy Year]],exposure_table,3,FALSE)</f>
        <v>837.11513600000012</v>
      </c>
      <c r="U517" s="17">
        <f>IF(MONTH(Table1[[#This Row],[Reporting date]])&lt;Policy_Inception_Month,YEAR(Table1[[#This Row],[Reporting date]])-1,YEAR(Table1[[#This Row],[Reporting date]]))</f>
        <v>2010</v>
      </c>
      <c r="V517" s="17">
        <f>Table1[[#This Row],[Reporting year]]-Table1[[#This Row],[Policy Year]]</f>
        <v>0</v>
      </c>
      <c r="W517" s="17">
        <f>INT(Table1[[#This Row],[Reporting date]])-INT(Table1[[#This Row],[Loss date]])</f>
        <v>112</v>
      </c>
      <c r="X517" s="17">
        <f>INT((YEAR(Table1[[#This Row],[Loss date]])*12+MONTH(Table1[[#This Row],[Loss date]])-Earliest_Month)/4)</f>
        <v>16</v>
      </c>
      <c r="Y517" s="17">
        <f>INT((YEAR(Table1[[#This Row],[Reporting date]])*12+MONTH(Table1[[#This Row],[Reporting date]])-Earliest_Month)/4)</f>
        <v>17</v>
      </c>
      <c r="Z517" s="17">
        <f>Table1[[#This Row],[Reporting third]]-Table1[[#This Row],[Policy third]]</f>
        <v>1</v>
      </c>
      <c r="AA517" s="71">
        <f>IF(Table1[[#This Row],[Overall amount]]=0,"N/A",Table1[[#This Row],[Outstanding]]/Table1[[#This Row],[Overall amount]])</f>
        <v>0</v>
      </c>
      <c r="AB517" s="17">
        <f>IF(MONTH(Table1[[#This Row],[Loss date]])&lt;Pol_Inc_Month_Shifted,YEAR(Table1[[#This Row],[Loss date]])-1,YEAR(Table1[[#This Row],[Loss date]]))</f>
        <v>2009</v>
      </c>
      <c r="AC517" s="17">
        <f>IF(MONTH(Table1[[#This Row],[Reporting date]])&lt;Pol_Inc_Month_Shifted,YEAR(Table1[[#This Row],[Reporting date]])-1,YEAR(Table1[[#This Row],[Reporting date]]))</f>
        <v>2010</v>
      </c>
      <c r="AD517" s="17">
        <f>Table1[[#This Row],[Reporting year (shifted)]]-Table1[[#This Row],[Policy Year (shifted)]]</f>
        <v>1</v>
      </c>
    </row>
    <row r="518" spans="1:30" ht="13.9">
      <c r="A518" s="8" t="s">
        <v>2288</v>
      </c>
      <c r="B518" s="8" t="s">
        <v>570</v>
      </c>
      <c r="C518" s="8" t="s">
        <v>123</v>
      </c>
      <c r="D518" s="9">
        <v>40503</v>
      </c>
      <c r="E518" s="9">
        <v>40796</v>
      </c>
      <c r="F518" s="17">
        <f>IF(MONTH(Table1[[#This Row],[Loss date]])&lt;Policy_Inception_Month,YEAR(Table1[[#This Row],[Loss date]])-1,YEAR(Table1[[#This Row],[Loss date]]))</f>
        <v>2010</v>
      </c>
      <c r="G518" s="10" t="s">
        <v>125</v>
      </c>
      <c r="H518" s="10" t="s">
        <v>2</v>
      </c>
      <c r="I518" s="11">
        <v>398.08326823211758</v>
      </c>
      <c r="J518" s="11">
        <v>0</v>
      </c>
      <c r="K518" s="11">
        <v>398.08326823211758</v>
      </c>
      <c r="L518" s="12">
        <v>0</v>
      </c>
      <c r="M518" s="12">
        <v>0</v>
      </c>
      <c r="N518" s="12">
        <v>398.08326823211758</v>
      </c>
      <c r="O518" s="70">
        <f>IF(Table1[[#This Row],[Overall amount]]=0,0,1)</f>
        <v>1</v>
      </c>
      <c r="P518" s="70">
        <f>Table1[[#This Row],[Overall amount]]*Exchange_Rate</f>
        <v>398.08326823211758</v>
      </c>
      <c r="Q518" s="70">
        <f>Table1[[#This Row],[Overall (destination currency)]]*(1+Claims_Inflation)^((Revalue_at_date-Table1[[#This Row],[Loss date]])/365.25)</f>
        <v>504.59999999999991</v>
      </c>
      <c r="R518" s="70">
        <f>INT(Table1[[#This Row],[Reporting date]])-INT(Table1[[#This Row],[Loss date]])</f>
        <v>293</v>
      </c>
      <c r="S518" s="69" t="s">
        <v>9</v>
      </c>
      <c r="T518" s="70">
        <f>VLOOKUP(Table1[[#This Row],[Policy Year]],exposure_table,3,FALSE)</f>
        <v>837.11513600000012</v>
      </c>
      <c r="U518" s="17">
        <f>IF(MONTH(Table1[[#This Row],[Reporting date]])&lt;Policy_Inception_Month,YEAR(Table1[[#This Row],[Reporting date]])-1,YEAR(Table1[[#This Row],[Reporting date]]))</f>
        <v>2011</v>
      </c>
      <c r="V518" s="17">
        <f>Table1[[#This Row],[Reporting year]]-Table1[[#This Row],[Policy Year]]</f>
        <v>1</v>
      </c>
      <c r="W518" s="17">
        <f>INT(Table1[[#This Row],[Reporting date]])-INT(Table1[[#This Row],[Loss date]])</f>
        <v>293</v>
      </c>
      <c r="X518" s="17">
        <f>INT((YEAR(Table1[[#This Row],[Loss date]])*12+MONTH(Table1[[#This Row],[Loss date]])-Earliest_Month)/4)</f>
        <v>16</v>
      </c>
      <c r="Y518" s="17">
        <f>INT((YEAR(Table1[[#This Row],[Reporting date]])*12+MONTH(Table1[[#This Row],[Reporting date]])-Earliest_Month)/4)</f>
        <v>19</v>
      </c>
      <c r="Z518" s="17">
        <f>Table1[[#This Row],[Reporting third]]-Table1[[#This Row],[Policy third]]</f>
        <v>3</v>
      </c>
      <c r="AA518" s="71">
        <f>IF(Table1[[#This Row],[Overall amount]]=0,"N/A",Table1[[#This Row],[Outstanding]]/Table1[[#This Row],[Overall amount]])</f>
        <v>0</v>
      </c>
      <c r="AB518" s="17">
        <f>IF(MONTH(Table1[[#This Row],[Loss date]])&lt;Pol_Inc_Month_Shifted,YEAR(Table1[[#This Row],[Loss date]])-1,YEAR(Table1[[#This Row],[Loss date]]))</f>
        <v>2009</v>
      </c>
      <c r="AC518" s="17">
        <f>IF(MONTH(Table1[[#This Row],[Reporting date]])&lt;Pol_Inc_Month_Shifted,YEAR(Table1[[#This Row],[Reporting date]])-1,YEAR(Table1[[#This Row],[Reporting date]]))</f>
        <v>2010</v>
      </c>
      <c r="AD518" s="17">
        <f>Table1[[#This Row],[Reporting year (shifted)]]-Table1[[#This Row],[Policy Year (shifted)]]</f>
        <v>1</v>
      </c>
    </row>
    <row r="519" spans="1:30" ht="13.9">
      <c r="A519" s="8" t="s">
        <v>2289</v>
      </c>
      <c r="B519" s="8" t="s">
        <v>571</v>
      </c>
      <c r="C519" s="8" t="s">
        <v>123</v>
      </c>
      <c r="D519" s="9">
        <v>40958</v>
      </c>
      <c r="E519" s="9">
        <v>41051</v>
      </c>
      <c r="F519" s="17">
        <f>IF(MONTH(Table1[[#This Row],[Loss date]])&lt;Policy_Inception_Month,YEAR(Table1[[#This Row],[Loss date]])-1,YEAR(Table1[[#This Row],[Loss date]]))</f>
        <v>2011</v>
      </c>
      <c r="G519" s="10" t="s">
        <v>124</v>
      </c>
      <c r="H519" s="10" t="s">
        <v>2</v>
      </c>
      <c r="I519" s="11">
        <v>306.33117684020152</v>
      </c>
      <c r="J519" s="11">
        <v>0</v>
      </c>
      <c r="K519" s="11">
        <v>306.33117684020152</v>
      </c>
      <c r="L519" s="12">
        <v>0</v>
      </c>
      <c r="M519" s="12">
        <v>0</v>
      </c>
      <c r="N519" s="12">
        <v>306.33117684020152</v>
      </c>
      <c r="O519" s="70">
        <f>IF(Table1[[#This Row],[Overall amount]]=0,0,1)</f>
        <v>1</v>
      </c>
      <c r="P519" s="70">
        <f>Table1[[#This Row],[Overall amount]]*Exchange_Rate</f>
        <v>306.33117684020152</v>
      </c>
      <c r="Q519" s="70">
        <f>Table1[[#This Row],[Overall (destination currency)]]*(1+Claims_Inflation)^((Revalue_at_date-Table1[[#This Row],[Loss date]])/365.25)</f>
        <v>365.4</v>
      </c>
      <c r="R519" s="70">
        <f>INT(Table1[[#This Row],[Reporting date]])-INT(Table1[[#This Row],[Loss date]])</f>
        <v>93</v>
      </c>
      <c r="S519" s="69" t="s">
        <v>9</v>
      </c>
      <c r="T519" s="70">
        <f>VLOOKUP(Table1[[#This Row],[Policy Year]],exposure_table,3,FALSE)</f>
        <v>870.52680000000009</v>
      </c>
      <c r="U519" s="17">
        <f>IF(MONTH(Table1[[#This Row],[Reporting date]])&lt;Policy_Inception_Month,YEAR(Table1[[#This Row],[Reporting date]])-1,YEAR(Table1[[#This Row],[Reporting date]]))</f>
        <v>2012</v>
      </c>
      <c r="V519" s="17">
        <f>Table1[[#This Row],[Reporting year]]-Table1[[#This Row],[Policy Year]]</f>
        <v>1</v>
      </c>
      <c r="W519" s="17">
        <f>INT(Table1[[#This Row],[Reporting date]])-INT(Table1[[#This Row],[Loss date]])</f>
        <v>93</v>
      </c>
      <c r="X519" s="17">
        <f>INT((YEAR(Table1[[#This Row],[Loss date]])*12+MONTH(Table1[[#This Row],[Loss date]])-Earliest_Month)/4)</f>
        <v>20</v>
      </c>
      <c r="Y519" s="17">
        <f>INT((YEAR(Table1[[#This Row],[Reporting date]])*12+MONTH(Table1[[#This Row],[Reporting date]])-Earliest_Month)/4)</f>
        <v>21</v>
      </c>
      <c r="Z519" s="17">
        <f>Table1[[#This Row],[Reporting third]]-Table1[[#This Row],[Policy third]]</f>
        <v>1</v>
      </c>
      <c r="AA519" s="71">
        <f>IF(Table1[[#This Row],[Overall amount]]=0,"N/A",Table1[[#This Row],[Outstanding]]/Table1[[#This Row],[Overall amount]])</f>
        <v>0</v>
      </c>
      <c r="AB519" s="17">
        <f>IF(MONTH(Table1[[#This Row],[Loss date]])&lt;Pol_Inc_Month_Shifted,YEAR(Table1[[#This Row],[Loss date]])-1,YEAR(Table1[[#This Row],[Loss date]]))</f>
        <v>2011</v>
      </c>
      <c r="AC519" s="17">
        <f>IF(MONTH(Table1[[#This Row],[Reporting date]])&lt;Pol_Inc_Month_Shifted,YEAR(Table1[[#This Row],[Reporting date]])-1,YEAR(Table1[[#This Row],[Reporting date]]))</f>
        <v>2011</v>
      </c>
      <c r="AD519" s="17">
        <f>Table1[[#This Row],[Reporting year (shifted)]]-Table1[[#This Row],[Policy Year (shifted)]]</f>
        <v>0</v>
      </c>
    </row>
    <row r="520" spans="1:30" ht="13.9">
      <c r="A520" s="8" t="s">
        <v>2290</v>
      </c>
      <c r="B520" s="8" t="s">
        <v>572</v>
      </c>
      <c r="C520" s="8" t="s">
        <v>123</v>
      </c>
      <c r="D520" s="9">
        <v>40365</v>
      </c>
      <c r="E520" s="9">
        <v>40815</v>
      </c>
      <c r="F520" s="17">
        <f>IF(MONTH(Table1[[#This Row],[Loss date]])&lt;Policy_Inception_Month,YEAR(Table1[[#This Row],[Loss date]])-1,YEAR(Table1[[#This Row],[Loss date]]))</f>
        <v>2010</v>
      </c>
      <c r="G520" s="10" t="s">
        <v>125</v>
      </c>
      <c r="H520" s="10" t="s">
        <v>2</v>
      </c>
      <c r="I520" s="11">
        <v>11507.816033733177</v>
      </c>
      <c r="J520" s="11">
        <v>0</v>
      </c>
      <c r="K520" s="11">
        <v>11507.816033733177</v>
      </c>
      <c r="L520" s="12">
        <v>139.40982111613442</v>
      </c>
      <c r="M520" s="12">
        <v>0</v>
      </c>
      <c r="N520" s="12">
        <v>11647.225854849312</v>
      </c>
      <c r="O520" s="70">
        <f>IF(Table1[[#This Row],[Overall amount]]=0,0,1)</f>
        <v>1</v>
      </c>
      <c r="P520" s="70">
        <f>Table1[[#This Row],[Overall amount]]*Exchange_Rate</f>
        <v>11647.225854849312</v>
      </c>
      <c r="Q520" s="70">
        <f>Table1[[#This Row],[Overall (destination currency)]]*(1+Claims_Inflation)^((Revalue_at_date-Table1[[#This Row],[Loss date]])/365.25)</f>
        <v>15038.4</v>
      </c>
      <c r="R520" s="70">
        <f>INT(Table1[[#This Row],[Reporting date]])-INT(Table1[[#This Row],[Loss date]])</f>
        <v>450</v>
      </c>
      <c r="S520" s="69" t="s">
        <v>9</v>
      </c>
      <c r="T520" s="70">
        <f>VLOOKUP(Table1[[#This Row],[Policy Year]],exposure_table,3,FALSE)</f>
        <v>837.11513600000012</v>
      </c>
      <c r="U520" s="17">
        <f>IF(MONTH(Table1[[#This Row],[Reporting date]])&lt;Policy_Inception_Month,YEAR(Table1[[#This Row],[Reporting date]])-1,YEAR(Table1[[#This Row],[Reporting date]]))</f>
        <v>2011</v>
      </c>
      <c r="V520" s="17">
        <f>Table1[[#This Row],[Reporting year]]-Table1[[#This Row],[Policy Year]]</f>
        <v>1</v>
      </c>
      <c r="W520" s="17">
        <f>INT(Table1[[#This Row],[Reporting date]])-INT(Table1[[#This Row],[Loss date]])</f>
        <v>450</v>
      </c>
      <c r="X520" s="17">
        <f>INT((YEAR(Table1[[#This Row],[Loss date]])*12+MONTH(Table1[[#This Row],[Loss date]])-Earliest_Month)/4)</f>
        <v>15</v>
      </c>
      <c r="Y520" s="17">
        <f>INT((YEAR(Table1[[#This Row],[Reporting date]])*12+MONTH(Table1[[#This Row],[Reporting date]])-Earliest_Month)/4)</f>
        <v>19</v>
      </c>
      <c r="Z520" s="17">
        <f>Table1[[#This Row],[Reporting third]]-Table1[[#This Row],[Policy third]]</f>
        <v>4</v>
      </c>
      <c r="AA520" s="71">
        <f>IF(Table1[[#This Row],[Overall amount]]=0,"N/A",Table1[[#This Row],[Outstanding]]/Table1[[#This Row],[Overall amount]])</f>
        <v>0</v>
      </c>
      <c r="AB520" s="17">
        <f>IF(MONTH(Table1[[#This Row],[Loss date]])&lt;Pol_Inc_Month_Shifted,YEAR(Table1[[#This Row],[Loss date]])-1,YEAR(Table1[[#This Row],[Loss date]]))</f>
        <v>2009</v>
      </c>
      <c r="AC520" s="17">
        <f>IF(MONTH(Table1[[#This Row],[Reporting date]])&lt;Pol_Inc_Month_Shifted,YEAR(Table1[[#This Row],[Reporting date]])-1,YEAR(Table1[[#This Row],[Reporting date]]))</f>
        <v>2010</v>
      </c>
      <c r="AD520" s="17">
        <f>Table1[[#This Row],[Reporting year (shifted)]]-Table1[[#This Row],[Policy Year (shifted)]]</f>
        <v>1</v>
      </c>
    </row>
    <row r="521" spans="1:30" ht="13.9">
      <c r="A521" s="8" t="s">
        <v>2291</v>
      </c>
      <c r="B521" s="8" t="s">
        <v>573</v>
      </c>
      <c r="C521" s="8" t="s">
        <v>123</v>
      </c>
      <c r="D521" s="9">
        <v>40760</v>
      </c>
      <c r="E521" s="9">
        <v>40981</v>
      </c>
      <c r="F521" s="17">
        <f>IF(MONTH(Table1[[#This Row],[Loss date]])&lt;Policy_Inception_Month,YEAR(Table1[[#This Row],[Loss date]])-1,YEAR(Table1[[#This Row],[Loss date]]))</f>
        <v>2011</v>
      </c>
      <c r="G521" s="10" t="s">
        <v>125</v>
      </c>
      <c r="H521" s="10" t="s">
        <v>2</v>
      </c>
      <c r="I521" s="11">
        <v>170.47729633581471</v>
      </c>
      <c r="J521" s="11">
        <v>0</v>
      </c>
      <c r="K521" s="11">
        <v>170.47729633581471</v>
      </c>
      <c r="L521" s="12">
        <v>0</v>
      </c>
      <c r="M521" s="12">
        <v>0</v>
      </c>
      <c r="N521" s="12">
        <v>170.47729633581471</v>
      </c>
      <c r="O521" s="70">
        <f>IF(Table1[[#This Row],[Overall amount]]=0,0,1)</f>
        <v>1</v>
      </c>
      <c r="P521" s="70">
        <f>Table1[[#This Row],[Overall amount]]*Exchange_Rate</f>
        <v>170.47729633581471</v>
      </c>
      <c r="Q521" s="70">
        <f>Table1[[#This Row],[Overall (destination currency)]]*(1+Claims_Inflation)^((Revalue_at_date-Table1[[#This Row],[Loss date]])/365.25)</f>
        <v>208.8</v>
      </c>
      <c r="R521" s="70">
        <f>INT(Table1[[#This Row],[Reporting date]])-INT(Table1[[#This Row],[Loss date]])</f>
        <v>221</v>
      </c>
      <c r="S521" s="69" t="s">
        <v>9</v>
      </c>
      <c r="T521" s="70">
        <f>VLOOKUP(Table1[[#This Row],[Policy Year]],exposure_table,3,FALSE)</f>
        <v>870.52680000000009</v>
      </c>
      <c r="U521" s="17">
        <f>IF(MONTH(Table1[[#This Row],[Reporting date]])&lt;Policy_Inception_Month,YEAR(Table1[[#This Row],[Reporting date]])-1,YEAR(Table1[[#This Row],[Reporting date]]))</f>
        <v>2011</v>
      </c>
      <c r="V521" s="17">
        <f>Table1[[#This Row],[Reporting year]]-Table1[[#This Row],[Policy Year]]</f>
        <v>0</v>
      </c>
      <c r="W521" s="17">
        <f>INT(Table1[[#This Row],[Reporting date]])-INT(Table1[[#This Row],[Loss date]])</f>
        <v>221</v>
      </c>
      <c r="X521" s="17">
        <f>INT((YEAR(Table1[[#This Row],[Loss date]])*12+MONTH(Table1[[#This Row],[Loss date]])-Earliest_Month)/4)</f>
        <v>19</v>
      </c>
      <c r="Y521" s="17">
        <f>INT((YEAR(Table1[[#This Row],[Reporting date]])*12+MONTH(Table1[[#This Row],[Reporting date]])-Earliest_Month)/4)</f>
        <v>20</v>
      </c>
      <c r="Z521" s="17">
        <f>Table1[[#This Row],[Reporting third]]-Table1[[#This Row],[Policy third]]</f>
        <v>1</v>
      </c>
      <c r="AA521" s="71">
        <f>IF(Table1[[#This Row],[Overall amount]]=0,"N/A",Table1[[#This Row],[Outstanding]]/Table1[[#This Row],[Overall amount]])</f>
        <v>0</v>
      </c>
      <c r="AB521" s="17">
        <f>IF(MONTH(Table1[[#This Row],[Loss date]])&lt;Pol_Inc_Month_Shifted,YEAR(Table1[[#This Row],[Loss date]])-1,YEAR(Table1[[#This Row],[Loss date]]))</f>
        <v>2010</v>
      </c>
      <c r="AC521" s="17">
        <f>IF(MONTH(Table1[[#This Row],[Reporting date]])&lt;Pol_Inc_Month_Shifted,YEAR(Table1[[#This Row],[Reporting date]])-1,YEAR(Table1[[#This Row],[Reporting date]]))</f>
        <v>2011</v>
      </c>
      <c r="AD521" s="17">
        <f>Table1[[#This Row],[Reporting year (shifted)]]-Table1[[#This Row],[Policy Year (shifted)]]</f>
        <v>1</v>
      </c>
    </row>
    <row r="522" spans="1:30" ht="13.9">
      <c r="A522" s="8" t="s">
        <v>2292</v>
      </c>
      <c r="B522" s="8" t="s">
        <v>574</v>
      </c>
      <c r="C522" s="8" t="s">
        <v>123</v>
      </c>
      <c r="D522" s="9">
        <v>40942</v>
      </c>
      <c r="E522" s="9">
        <v>41029</v>
      </c>
      <c r="F522" s="17">
        <f>IF(MONTH(Table1[[#This Row],[Loss date]])&lt;Policy_Inception_Month,YEAR(Table1[[#This Row],[Loss date]])-1,YEAR(Table1[[#This Row],[Loss date]]))</f>
        <v>2011</v>
      </c>
      <c r="G522" s="10" t="s">
        <v>125</v>
      </c>
      <c r="H522" s="10" t="s">
        <v>2</v>
      </c>
      <c r="I522" s="11">
        <v>713.24670567113253</v>
      </c>
      <c r="J522" s="11">
        <v>8321.5461881222418</v>
      </c>
      <c r="K522" s="11">
        <v>9034.7928937933739</v>
      </c>
      <c r="L522" s="12">
        <v>0</v>
      </c>
      <c r="M522" s="12">
        <v>55.112236652139579</v>
      </c>
      <c r="N522" s="12">
        <v>8979.6806571412344</v>
      </c>
      <c r="O522" s="70">
        <f>IF(Table1[[#This Row],[Overall amount]]=0,0,1)</f>
        <v>1</v>
      </c>
      <c r="P522" s="70">
        <f>Table1[[#This Row],[Overall amount]]*Exchange_Rate</f>
        <v>8979.6806571412344</v>
      </c>
      <c r="Q522" s="70">
        <f>Table1[[#This Row],[Overall (destination currency)]]*(1+Claims_Inflation)^((Revalue_at_date-Table1[[#This Row],[Loss date]])/365.25)</f>
        <v>10734.12</v>
      </c>
      <c r="R522" s="70">
        <f>INT(Table1[[#This Row],[Reporting date]])-INT(Table1[[#This Row],[Loss date]])</f>
        <v>87</v>
      </c>
      <c r="S522" s="69" t="s">
        <v>16</v>
      </c>
      <c r="T522" s="70">
        <f>VLOOKUP(Table1[[#This Row],[Policy Year]],exposure_table,3,FALSE)</f>
        <v>870.52680000000009</v>
      </c>
      <c r="U522" s="17">
        <f>IF(MONTH(Table1[[#This Row],[Reporting date]])&lt;Policy_Inception_Month,YEAR(Table1[[#This Row],[Reporting date]])-1,YEAR(Table1[[#This Row],[Reporting date]]))</f>
        <v>2012</v>
      </c>
      <c r="V522" s="17">
        <f>Table1[[#This Row],[Reporting year]]-Table1[[#This Row],[Policy Year]]</f>
        <v>1</v>
      </c>
      <c r="W522" s="17">
        <f>INT(Table1[[#This Row],[Reporting date]])-INT(Table1[[#This Row],[Loss date]])</f>
        <v>87</v>
      </c>
      <c r="X522" s="17">
        <f>INT((YEAR(Table1[[#This Row],[Loss date]])*12+MONTH(Table1[[#This Row],[Loss date]])-Earliest_Month)/4)</f>
        <v>20</v>
      </c>
      <c r="Y522" s="17">
        <f>INT((YEAR(Table1[[#This Row],[Reporting date]])*12+MONTH(Table1[[#This Row],[Reporting date]])-Earliest_Month)/4)</f>
        <v>21</v>
      </c>
      <c r="Z522" s="17">
        <f>Table1[[#This Row],[Reporting third]]-Table1[[#This Row],[Policy third]]</f>
        <v>1</v>
      </c>
      <c r="AA522" s="71">
        <f>IF(Table1[[#This Row],[Overall amount]]=0,"N/A",Table1[[#This Row],[Outstanding]]/Table1[[#This Row],[Overall amount]])</f>
        <v>0.92670847726688355</v>
      </c>
      <c r="AB522" s="17">
        <f>IF(MONTH(Table1[[#This Row],[Loss date]])&lt;Pol_Inc_Month_Shifted,YEAR(Table1[[#This Row],[Loss date]])-1,YEAR(Table1[[#This Row],[Loss date]]))</f>
        <v>2011</v>
      </c>
      <c r="AC522" s="17">
        <f>IF(MONTH(Table1[[#This Row],[Reporting date]])&lt;Pol_Inc_Month_Shifted,YEAR(Table1[[#This Row],[Reporting date]])-1,YEAR(Table1[[#This Row],[Reporting date]]))</f>
        <v>2011</v>
      </c>
      <c r="AD522" s="17">
        <f>Table1[[#This Row],[Reporting year (shifted)]]-Table1[[#This Row],[Policy Year (shifted)]]</f>
        <v>0</v>
      </c>
    </row>
    <row r="523" spans="1:30" ht="13.9">
      <c r="A523" s="8" t="s">
        <v>2293</v>
      </c>
      <c r="B523" s="8" t="s">
        <v>575</v>
      </c>
      <c r="C523" s="8" t="s">
        <v>123</v>
      </c>
      <c r="D523" s="9">
        <v>40978</v>
      </c>
      <c r="E523" s="9">
        <v>41015</v>
      </c>
      <c r="F523" s="17">
        <f>IF(MONTH(Table1[[#This Row],[Loss date]])&lt;Policy_Inception_Month,YEAR(Table1[[#This Row],[Loss date]])-1,YEAR(Table1[[#This Row],[Loss date]]))</f>
        <v>2011</v>
      </c>
      <c r="G523" s="10" t="s">
        <v>125</v>
      </c>
      <c r="H523" s="10" t="s">
        <v>2</v>
      </c>
      <c r="I523" s="11">
        <v>716.68488864228266</v>
      </c>
      <c r="J523" s="11">
        <v>14413.889818795073</v>
      </c>
      <c r="K523" s="11">
        <v>15130.574707437356</v>
      </c>
      <c r="L523" s="12">
        <v>0</v>
      </c>
      <c r="M523" s="12">
        <v>0</v>
      </c>
      <c r="N523" s="12">
        <v>15130.574707437356</v>
      </c>
      <c r="O523" s="70">
        <f>IF(Table1[[#This Row],[Overall amount]]=0,0,1)</f>
        <v>1</v>
      </c>
      <c r="P523" s="70">
        <f>Table1[[#This Row],[Overall amount]]*Exchange_Rate</f>
        <v>15130.574707437356</v>
      </c>
      <c r="Q523" s="70">
        <f>Table1[[#This Row],[Overall (destination currency)]]*(1+Claims_Inflation)^((Revalue_at_date-Table1[[#This Row],[Loss date]])/365.25)</f>
        <v>18000</v>
      </c>
      <c r="R523" s="70">
        <f>INT(Table1[[#This Row],[Reporting date]])-INT(Table1[[#This Row],[Loss date]])</f>
        <v>37</v>
      </c>
      <c r="S523" s="69" t="s">
        <v>16</v>
      </c>
      <c r="T523" s="70">
        <f>VLOOKUP(Table1[[#This Row],[Policy Year]],exposure_table,3,FALSE)</f>
        <v>870.52680000000009</v>
      </c>
      <c r="U523" s="17">
        <f>IF(MONTH(Table1[[#This Row],[Reporting date]])&lt;Policy_Inception_Month,YEAR(Table1[[#This Row],[Reporting date]])-1,YEAR(Table1[[#This Row],[Reporting date]]))</f>
        <v>2012</v>
      </c>
      <c r="V523" s="17">
        <f>Table1[[#This Row],[Reporting year]]-Table1[[#This Row],[Policy Year]]</f>
        <v>1</v>
      </c>
      <c r="W523" s="17">
        <f>INT(Table1[[#This Row],[Reporting date]])-INT(Table1[[#This Row],[Loss date]])</f>
        <v>37</v>
      </c>
      <c r="X523" s="17">
        <f>INT((YEAR(Table1[[#This Row],[Loss date]])*12+MONTH(Table1[[#This Row],[Loss date]])-Earliest_Month)/4)</f>
        <v>20</v>
      </c>
      <c r="Y523" s="17">
        <f>INT((YEAR(Table1[[#This Row],[Reporting date]])*12+MONTH(Table1[[#This Row],[Reporting date]])-Earliest_Month)/4)</f>
        <v>21</v>
      </c>
      <c r="Z523" s="17">
        <f>Table1[[#This Row],[Reporting third]]-Table1[[#This Row],[Policy third]]</f>
        <v>1</v>
      </c>
      <c r="AA523" s="71">
        <f>IF(Table1[[#This Row],[Overall amount]]=0,"N/A",Table1[[#This Row],[Outstanding]]/Table1[[#This Row],[Overall amount]])</f>
        <v>0.95263333333333333</v>
      </c>
      <c r="AB523" s="17">
        <f>IF(MONTH(Table1[[#This Row],[Loss date]])&lt;Pol_Inc_Month_Shifted,YEAR(Table1[[#This Row],[Loss date]])-1,YEAR(Table1[[#This Row],[Loss date]]))</f>
        <v>2011</v>
      </c>
      <c r="AC523" s="17">
        <f>IF(MONTH(Table1[[#This Row],[Reporting date]])&lt;Pol_Inc_Month_Shifted,YEAR(Table1[[#This Row],[Reporting date]])-1,YEAR(Table1[[#This Row],[Reporting date]]))</f>
        <v>2011</v>
      </c>
      <c r="AD523" s="17">
        <f>Table1[[#This Row],[Reporting year (shifted)]]-Table1[[#This Row],[Policy Year (shifted)]]</f>
        <v>0</v>
      </c>
    </row>
    <row r="524" spans="1:30" ht="13.9">
      <c r="A524" s="8" t="s">
        <v>2294</v>
      </c>
      <c r="B524" s="8" t="s">
        <v>576</v>
      </c>
      <c r="C524" s="8" t="s">
        <v>123</v>
      </c>
      <c r="D524" s="9">
        <v>40942</v>
      </c>
      <c r="E524" s="9">
        <v>40991</v>
      </c>
      <c r="F524" s="17">
        <f>IF(MONTH(Table1[[#This Row],[Loss date]])&lt;Policy_Inception_Month,YEAR(Table1[[#This Row],[Loss date]])-1,YEAR(Table1[[#This Row],[Loss date]]))</f>
        <v>2011</v>
      </c>
      <c r="G524" s="10" t="s">
        <v>125</v>
      </c>
      <c r="H524" s="10" t="s">
        <v>2</v>
      </c>
      <c r="I524" s="11">
        <v>1077.1480861155876</v>
      </c>
      <c r="J524" s="11">
        <v>11973.108316030395</v>
      </c>
      <c r="K524" s="11">
        <v>13050.256402145984</v>
      </c>
      <c r="L524" s="12">
        <v>150.57988156322287</v>
      </c>
      <c r="M524" s="12">
        <v>0</v>
      </c>
      <c r="N524" s="12">
        <v>13200.836283709206</v>
      </c>
      <c r="O524" s="70">
        <f>IF(Table1[[#This Row],[Overall amount]]=0,0,1)</f>
        <v>1</v>
      </c>
      <c r="P524" s="70">
        <f>Table1[[#This Row],[Overall amount]]*Exchange_Rate</f>
        <v>13200.836283709206</v>
      </c>
      <c r="Q524" s="70">
        <f>Table1[[#This Row],[Overall (destination currency)]]*(1+Claims_Inflation)^((Revalue_at_date-Table1[[#This Row],[Loss date]])/365.25)</f>
        <v>15780</v>
      </c>
      <c r="R524" s="70">
        <f>INT(Table1[[#This Row],[Reporting date]])-INT(Table1[[#This Row],[Loss date]])</f>
        <v>49</v>
      </c>
      <c r="S524" s="69" t="s">
        <v>16</v>
      </c>
      <c r="T524" s="70">
        <f>VLOOKUP(Table1[[#This Row],[Policy Year]],exposure_table,3,FALSE)</f>
        <v>870.52680000000009</v>
      </c>
      <c r="U524" s="17">
        <f>IF(MONTH(Table1[[#This Row],[Reporting date]])&lt;Policy_Inception_Month,YEAR(Table1[[#This Row],[Reporting date]])-1,YEAR(Table1[[#This Row],[Reporting date]]))</f>
        <v>2011</v>
      </c>
      <c r="V524" s="17">
        <f>Table1[[#This Row],[Reporting year]]-Table1[[#This Row],[Policy Year]]</f>
        <v>0</v>
      </c>
      <c r="W524" s="17">
        <f>INT(Table1[[#This Row],[Reporting date]])-INT(Table1[[#This Row],[Loss date]])</f>
        <v>49</v>
      </c>
      <c r="X524" s="17">
        <f>INT((YEAR(Table1[[#This Row],[Loss date]])*12+MONTH(Table1[[#This Row],[Loss date]])-Earliest_Month)/4)</f>
        <v>20</v>
      </c>
      <c r="Y524" s="17">
        <f>INT((YEAR(Table1[[#This Row],[Reporting date]])*12+MONTH(Table1[[#This Row],[Reporting date]])-Earliest_Month)/4)</f>
        <v>20</v>
      </c>
      <c r="Z524" s="17">
        <f>Table1[[#This Row],[Reporting third]]-Table1[[#This Row],[Policy third]]</f>
        <v>0</v>
      </c>
      <c r="AA524" s="71">
        <f>IF(Table1[[#This Row],[Overall amount]]=0,"N/A",Table1[[#This Row],[Outstanding]]/Table1[[#This Row],[Overall amount]])</f>
        <v>0.90699619771863116</v>
      </c>
      <c r="AB524" s="17">
        <f>IF(MONTH(Table1[[#This Row],[Loss date]])&lt;Pol_Inc_Month_Shifted,YEAR(Table1[[#This Row],[Loss date]])-1,YEAR(Table1[[#This Row],[Loss date]]))</f>
        <v>2011</v>
      </c>
      <c r="AC524" s="17">
        <f>IF(MONTH(Table1[[#This Row],[Reporting date]])&lt;Pol_Inc_Month_Shifted,YEAR(Table1[[#This Row],[Reporting date]])-1,YEAR(Table1[[#This Row],[Reporting date]]))</f>
        <v>2011</v>
      </c>
      <c r="AD524" s="17">
        <f>Table1[[#This Row],[Reporting year (shifted)]]-Table1[[#This Row],[Policy Year (shifted)]]</f>
        <v>0</v>
      </c>
    </row>
    <row r="525" spans="1:30" ht="13.9">
      <c r="A525" s="8" t="s">
        <v>2295</v>
      </c>
      <c r="B525" s="8" t="s">
        <v>577</v>
      </c>
      <c r="C525" s="8" t="s">
        <v>123</v>
      </c>
      <c r="D525" s="9">
        <v>40612</v>
      </c>
      <c r="E525" s="9">
        <v>40749</v>
      </c>
      <c r="F525" s="17">
        <f>IF(MONTH(Table1[[#This Row],[Loss date]])&lt;Policy_Inception_Month,YEAR(Table1[[#This Row],[Loss date]])-1,YEAR(Table1[[#This Row],[Loss date]]))</f>
        <v>2010</v>
      </c>
      <c r="G525" s="10" t="s">
        <v>126</v>
      </c>
      <c r="H525" s="10" t="s">
        <v>2</v>
      </c>
      <c r="I525" s="11">
        <v>1239.6222566467281</v>
      </c>
      <c r="J525" s="11">
        <v>0</v>
      </c>
      <c r="K525" s="11">
        <v>1239.6222566467281</v>
      </c>
      <c r="L525" s="12">
        <v>0</v>
      </c>
      <c r="M525" s="12">
        <v>0</v>
      </c>
      <c r="N525" s="12">
        <v>1239.6222566467281</v>
      </c>
      <c r="O525" s="70">
        <f>IF(Table1[[#This Row],[Overall amount]]=0,0,1)</f>
        <v>1</v>
      </c>
      <c r="P525" s="70">
        <f>Table1[[#This Row],[Overall amount]]*Exchange_Rate</f>
        <v>1239.6222566467281</v>
      </c>
      <c r="Q525" s="70">
        <f>Table1[[#This Row],[Overall (destination currency)]]*(1+Claims_Inflation)^((Revalue_at_date-Table1[[#This Row],[Loss date]])/365.25)</f>
        <v>1548.6</v>
      </c>
      <c r="R525" s="70">
        <f>INT(Table1[[#This Row],[Reporting date]])-INT(Table1[[#This Row],[Loss date]])</f>
        <v>137</v>
      </c>
      <c r="S525" s="69" t="s">
        <v>9</v>
      </c>
      <c r="T525" s="70">
        <f>VLOOKUP(Table1[[#This Row],[Policy Year]],exposure_table,3,FALSE)</f>
        <v>837.11513600000012</v>
      </c>
      <c r="U525" s="17">
        <f>IF(MONTH(Table1[[#This Row],[Reporting date]])&lt;Policy_Inception_Month,YEAR(Table1[[#This Row],[Reporting date]])-1,YEAR(Table1[[#This Row],[Reporting date]]))</f>
        <v>2011</v>
      </c>
      <c r="V525" s="17">
        <f>Table1[[#This Row],[Reporting year]]-Table1[[#This Row],[Policy Year]]</f>
        <v>1</v>
      </c>
      <c r="W525" s="17">
        <f>INT(Table1[[#This Row],[Reporting date]])-INT(Table1[[#This Row],[Loss date]])</f>
        <v>137</v>
      </c>
      <c r="X525" s="17">
        <f>INT((YEAR(Table1[[#This Row],[Loss date]])*12+MONTH(Table1[[#This Row],[Loss date]])-Earliest_Month)/4)</f>
        <v>17</v>
      </c>
      <c r="Y525" s="17">
        <f>INT((YEAR(Table1[[#This Row],[Reporting date]])*12+MONTH(Table1[[#This Row],[Reporting date]])-Earliest_Month)/4)</f>
        <v>18</v>
      </c>
      <c r="Z525" s="17">
        <f>Table1[[#This Row],[Reporting third]]-Table1[[#This Row],[Policy third]]</f>
        <v>1</v>
      </c>
      <c r="AA525" s="71">
        <f>IF(Table1[[#This Row],[Overall amount]]=0,"N/A",Table1[[#This Row],[Outstanding]]/Table1[[#This Row],[Overall amount]])</f>
        <v>0</v>
      </c>
      <c r="AB525" s="17">
        <f>IF(MONTH(Table1[[#This Row],[Loss date]])&lt;Pol_Inc_Month_Shifted,YEAR(Table1[[#This Row],[Loss date]])-1,YEAR(Table1[[#This Row],[Loss date]]))</f>
        <v>2010</v>
      </c>
      <c r="AC525" s="17">
        <f>IF(MONTH(Table1[[#This Row],[Reporting date]])&lt;Pol_Inc_Month_Shifted,YEAR(Table1[[#This Row],[Reporting date]])-1,YEAR(Table1[[#This Row],[Reporting date]]))</f>
        <v>2010</v>
      </c>
      <c r="AD525" s="17">
        <f>Table1[[#This Row],[Reporting year (shifted)]]-Table1[[#This Row],[Policy Year (shifted)]]</f>
        <v>0</v>
      </c>
    </row>
    <row r="526" spans="1:30" ht="13.9">
      <c r="A526" s="8" t="s">
        <v>2296</v>
      </c>
      <c r="B526" s="8" t="s">
        <v>578</v>
      </c>
      <c r="C526" s="8" t="s">
        <v>123</v>
      </c>
      <c r="D526" s="9">
        <v>40470</v>
      </c>
      <c r="E526" s="9">
        <v>40837</v>
      </c>
      <c r="F526" s="17">
        <f>IF(MONTH(Table1[[#This Row],[Loss date]])&lt;Policy_Inception_Month,YEAR(Table1[[#This Row],[Loss date]])-1,YEAR(Table1[[#This Row],[Loss date]]))</f>
        <v>2010</v>
      </c>
      <c r="G526" s="10" t="s">
        <v>131</v>
      </c>
      <c r="H526" s="10" t="s">
        <v>2</v>
      </c>
      <c r="I526" s="11">
        <v>13772.66597114369</v>
      </c>
      <c r="J526" s="11">
        <v>0</v>
      </c>
      <c r="K526" s="11">
        <v>13772.66597114369</v>
      </c>
      <c r="L526" s="12">
        <v>0</v>
      </c>
      <c r="M526" s="12">
        <v>0</v>
      </c>
      <c r="N526" s="12">
        <v>13772.66597114369</v>
      </c>
      <c r="O526" s="70">
        <f>IF(Table1[[#This Row],[Overall amount]]=0,0,1)</f>
        <v>1</v>
      </c>
      <c r="P526" s="70">
        <f>Table1[[#This Row],[Overall amount]]*Exchange_Rate</f>
        <v>13772.66597114369</v>
      </c>
      <c r="Q526" s="70">
        <f>Table1[[#This Row],[Overall (destination currency)]]*(1+Claims_Inflation)^((Revalue_at_date-Table1[[#This Row],[Loss date]])/365.25)</f>
        <v>17535</v>
      </c>
      <c r="R526" s="70">
        <f>INT(Table1[[#This Row],[Reporting date]])-INT(Table1[[#This Row],[Loss date]])</f>
        <v>367</v>
      </c>
      <c r="S526" s="69" t="s">
        <v>9</v>
      </c>
      <c r="T526" s="70">
        <f>VLOOKUP(Table1[[#This Row],[Policy Year]],exposure_table,3,FALSE)</f>
        <v>837.11513600000012</v>
      </c>
      <c r="U526" s="17">
        <f>IF(MONTH(Table1[[#This Row],[Reporting date]])&lt;Policy_Inception_Month,YEAR(Table1[[#This Row],[Reporting date]])-1,YEAR(Table1[[#This Row],[Reporting date]]))</f>
        <v>2011</v>
      </c>
      <c r="V526" s="17">
        <f>Table1[[#This Row],[Reporting year]]-Table1[[#This Row],[Policy Year]]</f>
        <v>1</v>
      </c>
      <c r="W526" s="17">
        <f>INT(Table1[[#This Row],[Reporting date]])-INT(Table1[[#This Row],[Loss date]])</f>
        <v>367</v>
      </c>
      <c r="X526" s="17">
        <f>INT((YEAR(Table1[[#This Row],[Loss date]])*12+MONTH(Table1[[#This Row],[Loss date]])-Earliest_Month)/4)</f>
        <v>16</v>
      </c>
      <c r="Y526" s="17">
        <f>INT((YEAR(Table1[[#This Row],[Reporting date]])*12+MONTH(Table1[[#This Row],[Reporting date]])-Earliest_Month)/4)</f>
        <v>19</v>
      </c>
      <c r="Z526" s="17">
        <f>Table1[[#This Row],[Reporting third]]-Table1[[#This Row],[Policy third]]</f>
        <v>3</v>
      </c>
      <c r="AA526" s="71">
        <f>IF(Table1[[#This Row],[Overall amount]]=0,"N/A",Table1[[#This Row],[Outstanding]]/Table1[[#This Row],[Overall amount]])</f>
        <v>0</v>
      </c>
      <c r="AB526" s="17">
        <f>IF(MONTH(Table1[[#This Row],[Loss date]])&lt;Pol_Inc_Month_Shifted,YEAR(Table1[[#This Row],[Loss date]])-1,YEAR(Table1[[#This Row],[Loss date]]))</f>
        <v>2009</v>
      </c>
      <c r="AC526" s="17">
        <f>IF(MONTH(Table1[[#This Row],[Reporting date]])&lt;Pol_Inc_Month_Shifted,YEAR(Table1[[#This Row],[Reporting date]])-1,YEAR(Table1[[#This Row],[Reporting date]]))</f>
        <v>2010</v>
      </c>
      <c r="AD526" s="17">
        <f>Table1[[#This Row],[Reporting year (shifted)]]-Table1[[#This Row],[Policy Year (shifted)]]</f>
        <v>1</v>
      </c>
    </row>
    <row r="527" spans="1:30" ht="13.9">
      <c r="A527" s="8" t="s">
        <v>2297</v>
      </c>
      <c r="B527" s="8" t="s">
        <v>579</v>
      </c>
      <c r="C527" s="8" t="s">
        <v>123</v>
      </c>
      <c r="D527" s="9">
        <v>40827</v>
      </c>
      <c r="E527" s="9">
        <v>41023</v>
      </c>
      <c r="F527" s="17">
        <f>IF(MONTH(Table1[[#This Row],[Loss date]])&lt;Policy_Inception_Month,YEAR(Table1[[#This Row],[Loss date]])-1,YEAR(Table1[[#This Row],[Loss date]]))</f>
        <v>2011</v>
      </c>
      <c r="G527" s="10" t="s">
        <v>125</v>
      </c>
      <c r="H527" s="10" t="s">
        <v>2</v>
      </c>
      <c r="I527" s="11">
        <v>5403.9280902193168</v>
      </c>
      <c r="J527" s="11">
        <v>0</v>
      </c>
      <c r="K527" s="11">
        <v>5403.9280902193168</v>
      </c>
      <c r="L527" s="12">
        <v>148.28439179593659</v>
      </c>
      <c r="M527" s="12">
        <v>0</v>
      </c>
      <c r="N527" s="12">
        <v>5552.212482015253</v>
      </c>
      <c r="O527" s="70">
        <f>IF(Table1[[#This Row],[Overall amount]]=0,0,1)</f>
        <v>1</v>
      </c>
      <c r="P527" s="70">
        <f>Table1[[#This Row],[Overall amount]]*Exchange_Rate</f>
        <v>5552.212482015253</v>
      </c>
      <c r="Q527" s="70">
        <f>Table1[[#This Row],[Overall (destination currency)]]*(1+Claims_Inflation)^((Revalue_at_date-Table1[[#This Row],[Loss date]])/365.25)</f>
        <v>6739.7399999999989</v>
      </c>
      <c r="R527" s="70">
        <f>INT(Table1[[#This Row],[Reporting date]])-INT(Table1[[#This Row],[Loss date]])</f>
        <v>196</v>
      </c>
      <c r="S527" s="69" t="s">
        <v>9</v>
      </c>
      <c r="T527" s="70">
        <f>VLOOKUP(Table1[[#This Row],[Policy Year]],exposure_table,3,FALSE)</f>
        <v>870.52680000000009</v>
      </c>
      <c r="U527" s="17">
        <f>IF(MONTH(Table1[[#This Row],[Reporting date]])&lt;Policy_Inception_Month,YEAR(Table1[[#This Row],[Reporting date]])-1,YEAR(Table1[[#This Row],[Reporting date]]))</f>
        <v>2012</v>
      </c>
      <c r="V527" s="17">
        <f>Table1[[#This Row],[Reporting year]]-Table1[[#This Row],[Policy Year]]</f>
        <v>1</v>
      </c>
      <c r="W527" s="17">
        <f>INT(Table1[[#This Row],[Reporting date]])-INT(Table1[[#This Row],[Loss date]])</f>
        <v>196</v>
      </c>
      <c r="X527" s="17">
        <f>INT((YEAR(Table1[[#This Row],[Loss date]])*12+MONTH(Table1[[#This Row],[Loss date]])-Earliest_Month)/4)</f>
        <v>19</v>
      </c>
      <c r="Y527" s="17">
        <f>INT((YEAR(Table1[[#This Row],[Reporting date]])*12+MONTH(Table1[[#This Row],[Reporting date]])-Earliest_Month)/4)</f>
        <v>21</v>
      </c>
      <c r="Z527" s="17">
        <f>Table1[[#This Row],[Reporting third]]-Table1[[#This Row],[Policy third]]</f>
        <v>2</v>
      </c>
      <c r="AA527" s="71">
        <f>IF(Table1[[#This Row],[Overall amount]]=0,"N/A",Table1[[#This Row],[Outstanding]]/Table1[[#This Row],[Overall amount]])</f>
        <v>0</v>
      </c>
      <c r="AB527" s="17">
        <f>IF(MONTH(Table1[[#This Row],[Loss date]])&lt;Pol_Inc_Month_Shifted,YEAR(Table1[[#This Row],[Loss date]])-1,YEAR(Table1[[#This Row],[Loss date]]))</f>
        <v>2010</v>
      </c>
      <c r="AC527" s="17">
        <f>IF(MONTH(Table1[[#This Row],[Reporting date]])&lt;Pol_Inc_Month_Shifted,YEAR(Table1[[#This Row],[Reporting date]])-1,YEAR(Table1[[#This Row],[Reporting date]]))</f>
        <v>2011</v>
      </c>
      <c r="AD527" s="17">
        <f>Table1[[#This Row],[Reporting year (shifted)]]-Table1[[#This Row],[Policy Year (shifted)]]</f>
        <v>1</v>
      </c>
    </row>
    <row r="528" spans="1:30" ht="13.9">
      <c r="A528" s="8" t="s">
        <v>2298</v>
      </c>
      <c r="B528" s="8" t="s">
        <v>580</v>
      </c>
      <c r="C528" s="8" t="s">
        <v>123</v>
      </c>
      <c r="D528" s="9">
        <v>40500</v>
      </c>
      <c r="E528" s="9">
        <v>40864</v>
      </c>
      <c r="F528" s="17">
        <f>IF(MONTH(Table1[[#This Row],[Loss date]])&lt;Policy_Inception_Month,YEAR(Table1[[#This Row],[Loss date]])-1,YEAR(Table1[[#This Row],[Loss date]]))</f>
        <v>2010</v>
      </c>
      <c r="G528" s="10" t="s">
        <v>125</v>
      </c>
      <c r="H528" s="10" t="s">
        <v>2</v>
      </c>
      <c r="I528" s="11">
        <v>782.1260347729559</v>
      </c>
      <c r="J528" s="11">
        <v>0</v>
      </c>
      <c r="K528" s="11">
        <v>782.1260347729559</v>
      </c>
      <c r="L528" s="12">
        <v>141.94664877912086</v>
      </c>
      <c r="M528" s="12">
        <v>0</v>
      </c>
      <c r="N528" s="12">
        <v>924.0726835520768</v>
      </c>
      <c r="O528" s="70">
        <f>IF(Table1[[#This Row],[Overall amount]]=0,0,1)</f>
        <v>1</v>
      </c>
      <c r="P528" s="70">
        <f>Table1[[#This Row],[Overall amount]]*Exchange_Rate</f>
        <v>924.0726835520768</v>
      </c>
      <c r="Q528" s="70">
        <f>Table1[[#This Row],[Overall (destination currency)]]*(1+Claims_Inflation)^((Revalue_at_date-Table1[[#This Row],[Loss date]])/365.25)</f>
        <v>1171.8</v>
      </c>
      <c r="R528" s="70">
        <f>INT(Table1[[#This Row],[Reporting date]])-INT(Table1[[#This Row],[Loss date]])</f>
        <v>364</v>
      </c>
      <c r="S528" s="69" t="s">
        <v>9</v>
      </c>
      <c r="T528" s="70">
        <f>VLOOKUP(Table1[[#This Row],[Policy Year]],exposure_table,3,FALSE)</f>
        <v>837.11513600000012</v>
      </c>
      <c r="U528" s="17">
        <f>IF(MONTH(Table1[[#This Row],[Reporting date]])&lt;Policy_Inception_Month,YEAR(Table1[[#This Row],[Reporting date]])-1,YEAR(Table1[[#This Row],[Reporting date]]))</f>
        <v>2011</v>
      </c>
      <c r="V528" s="17">
        <f>Table1[[#This Row],[Reporting year]]-Table1[[#This Row],[Policy Year]]</f>
        <v>1</v>
      </c>
      <c r="W528" s="17">
        <f>INT(Table1[[#This Row],[Reporting date]])-INT(Table1[[#This Row],[Loss date]])</f>
        <v>364</v>
      </c>
      <c r="X528" s="17">
        <f>INT((YEAR(Table1[[#This Row],[Loss date]])*12+MONTH(Table1[[#This Row],[Loss date]])-Earliest_Month)/4)</f>
        <v>16</v>
      </c>
      <c r="Y528" s="17">
        <f>INT((YEAR(Table1[[#This Row],[Reporting date]])*12+MONTH(Table1[[#This Row],[Reporting date]])-Earliest_Month)/4)</f>
        <v>19</v>
      </c>
      <c r="Z528" s="17">
        <f>Table1[[#This Row],[Reporting third]]-Table1[[#This Row],[Policy third]]</f>
        <v>3</v>
      </c>
      <c r="AA528" s="71">
        <f>IF(Table1[[#This Row],[Overall amount]]=0,"N/A",Table1[[#This Row],[Outstanding]]/Table1[[#This Row],[Overall amount]])</f>
        <v>0</v>
      </c>
      <c r="AB528" s="17">
        <f>IF(MONTH(Table1[[#This Row],[Loss date]])&lt;Pol_Inc_Month_Shifted,YEAR(Table1[[#This Row],[Loss date]])-1,YEAR(Table1[[#This Row],[Loss date]]))</f>
        <v>2009</v>
      </c>
      <c r="AC528" s="17">
        <f>IF(MONTH(Table1[[#This Row],[Reporting date]])&lt;Pol_Inc_Month_Shifted,YEAR(Table1[[#This Row],[Reporting date]])-1,YEAR(Table1[[#This Row],[Reporting date]]))</f>
        <v>2010</v>
      </c>
      <c r="AD528" s="17">
        <f>Table1[[#This Row],[Reporting year (shifted)]]-Table1[[#This Row],[Policy Year (shifted)]]</f>
        <v>1</v>
      </c>
    </row>
    <row r="529" spans="1:30" ht="13.9">
      <c r="A529" s="8" t="s">
        <v>2299</v>
      </c>
      <c r="B529" s="8" t="s">
        <v>581</v>
      </c>
      <c r="C529" s="8" t="s">
        <v>123</v>
      </c>
      <c r="D529" s="9">
        <v>40808</v>
      </c>
      <c r="E529" s="9">
        <v>40951</v>
      </c>
      <c r="F529" s="17">
        <f>IF(MONTH(Table1[[#This Row],[Loss date]])&lt;Policy_Inception_Month,YEAR(Table1[[#This Row],[Loss date]])-1,YEAR(Table1[[#This Row],[Loss date]]))</f>
        <v>2011</v>
      </c>
      <c r="G529" s="10" t="s">
        <v>131</v>
      </c>
      <c r="H529" s="10" t="s">
        <v>2</v>
      </c>
      <c r="I529" s="11">
        <v>14593.640610224094</v>
      </c>
      <c r="J529" s="11">
        <v>0</v>
      </c>
      <c r="K529" s="11">
        <v>14593.640610224094</v>
      </c>
      <c r="L529" s="12">
        <v>0</v>
      </c>
      <c r="M529" s="12">
        <v>0</v>
      </c>
      <c r="N529" s="12">
        <v>14593.640610224094</v>
      </c>
      <c r="O529" s="70">
        <f>IF(Table1[[#This Row],[Overall amount]]=0,0,1)</f>
        <v>1</v>
      </c>
      <c r="P529" s="70">
        <f>Table1[[#This Row],[Overall amount]]*Exchange_Rate</f>
        <v>14593.640610224094</v>
      </c>
      <c r="Q529" s="70">
        <f>Table1[[#This Row],[Overall (destination currency)]]*(1+Claims_Inflation)^((Revalue_at_date-Table1[[#This Row],[Loss date]])/365.25)</f>
        <v>17760</v>
      </c>
      <c r="R529" s="70">
        <f>INT(Table1[[#This Row],[Reporting date]])-INT(Table1[[#This Row],[Loss date]])</f>
        <v>143</v>
      </c>
      <c r="S529" s="69" t="s">
        <v>9</v>
      </c>
      <c r="T529" s="70">
        <f>VLOOKUP(Table1[[#This Row],[Policy Year]],exposure_table,3,FALSE)</f>
        <v>870.52680000000009</v>
      </c>
      <c r="U529" s="17">
        <f>IF(MONTH(Table1[[#This Row],[Reporting date]])&lt;Policy_Inception_Month,YEAR(Table1[[#This Row],[Reporting date]])-1,YEAR(Table1[[#This Row],[Reporting date]]))</f>
        <v>2011</v>
      </c>
      <c r="V529" s="17">
        <f>Table1[[#This Row],[Reporting year]]-Table1[[#This Row],[Policy Year]]</f>
        <v>0</v>
      </c>
      <c r="W529" s="17">
        <f>INT(Table1[[#This Row],[Reporting date]])-INT(Table1[[#This Row],[Loss date]])</f>
        <v>143</v>
      </c>
      <c r="X529" s="17">
        <f>INT((YEAR(Table1[[#This Row],[Loss date]])*12+MONTH(Table1[[#This Row],[Loss date]])-Earliest_Month)/4)</f>
        <v>19</v>
      </c>
      <c r="Y529" s="17">
        <f>INT((YEAR(Table1[[#This Row],[Reporting date]])*12+MONTH(Table1[[#This Row],[Reporting date]])-Earliest_Month)/4)</f>
        <v>20</v>
      </c>
      <c r="Z529" s="17">
        <f>Table1[[#This Row],[Reporting third]]-Table1[[#This Row],[Policy third]]</f>
        <v>1</v>
      </c>
      <c r="AA529" s="71">
        <f>IF(Table1[[#This Row],[Overall amount]]=0,"N/A",Table1[[#This Row],[Outstanding]]/Table1[[#This Row],[Overall amount]])</f>
        <v>0</v>
      </c>
      <c r="AB529" s="17">
        <f>IF(MONTH(Table1[[#This Row],[Loss date]])&lt;Pol_Inc_Month_Shifted,YEAR(Table1[[#This Row],[Loss date]])-1,YEAR(Table1[[#This Row],[Loss date]]))</f>
        <v>2010</v>
      </c>
      <c r="AC529" s="17">
        <f>IF(MONTH(Table1[[#This Row],[Reporting date]])&lt;Pol_Inc_Month_Shifted,YEAR(Table1[[#This Row],[Reporting date]])-1,YEAR(Table1[[#This Row],[Reporting date]]))</f>
        <v>2011</v>
      </c>
      <c r="AD529" s="17">
        <f>Table1[[#This Row],[Reporting year (shifted)]]-Table1[[#This Row],[Policy Year (shifted)]]</f>
        <v>1</v>
      </c>
    </row>
    <row r="530" spans="1:30" ht="13.9">
      <c r="A530" s="8" t="s">
        <v>2300</v>
      </c>
      <c r="B530" s="8" t="s">
        <v>582</v>
      </c>
      <c r="C530" s="8" t="s">
        <v>123</v>
      </c>
      <c r="D530" s="9">
        <v>40463</v>
      </c>
      <c r="E530" s="9">
        <v>40642</v>
      </c>
      <c r="F530" s="17">
        <f>IF(MONTH(Table1[[#This Row],[Loss date]])&lt;Policy_Inception_Month,YEAR(Table1[[#This Row],[Loss date]])-1,YEAR(Table1[[#This Row],[Loss date]]))</f>
        <v>2010</v>
      </c>
      <c r="G530" s="10" t="s">
        <v>125</v>
      </c>
      <c r="H530" s="10" t="s">
        <v>2</v>
      </c>
      <c r="I530" s="11">
        <v>4472.815746043857</v>
      </c>
      <c r="J530" s="11">
        <v>0</v>
      </c>
      <c r="K530" s="11">
        <v>4472.815746043857</v>
      </c>
      <c r="L530" s="12">
        <v>0</v>
      </c>
      <c r="M530" s="12">
        <v>0</v>
      </c>
      <c r="N530" s="12">
        <v>4472.815746043857</v>
      </c>
      <c r="O530" s="70">
        <f>IF(Table1[[#This Row],[Overall amount]]=0,0,1)</f>
        <v>1</v>
      </c>
      <c r="P530" s="70">
        <f>Table1[[#This Row],[Overall amount]]*Exchange_Rate</f>
        <v>4472.815746043857</v>
      </c>
      <c r="Q530" s="70">
        <f>Table1[[#This Row],[Overall (destination currency)]]*(1+Claims_Inflation)^((Revalue_at_date-Table1[[#This Row],[Loss date]])/365.25)</f>
        <v>5699.9999999999991</v>
      </c>
      <c r="R530" s="70">
        <f>INT(Table1[[#This Row],[Reporting date]])-INT(Table1[[#This Row],[Loss date]])</f>
        <v>179</v>
      </c>
      <c r="S530" s="69" t="s">
        <v>9</v>
      </c>
      <c r="T530" s="70">
        <f>VLOOKUP(Table1[[#This Row],[Policy Year]],exposure_table,3,FALSE)</f>
        <v>837.11513600000012</v>
      </c>
      <c r="U530" s="17">
        <f>IF(MONTH(Table1[[#This Row],[Reporting date]])&lt;Policy_Inception_Month,YEAR(Table1[[#This Row],[Reporting date]])-1,YEAR(Table1[[#This Row],[Reporting date]]))</f>
        <v>2011</v>
      </c>
      <c r="V530" s="17">
        <f>Table1[[#This Row],[Reporting year]]-Table1[[#This Row],[Policy Year]]</f>
        <v>1</v>
      </c>
      <c r="W530" s="17">
        <f>INT(Table1[[#This Row],[Reporting date]])-INT(Table1[[#This Row],[Loss date]])</f>
        <v>179</v>
      </c>
      <c r="X530" s="17">
        <f>INT((YEAR(Table1[[#This Row],[Loss date]])*12+MONTH(Table1[[#This Row],[Loss date]])-Earliest_Month)/4)</f>
        <v>16</v>
      </c>
      <c r="Y530" s="17">
        <f>INT((YEAR(Table1[[#This Row],[Reporting date]])*12+MONTH(Table1[[#This Row],[Reporting date]])-Earliest_Month)/4)</f>
        <v>18</v>
      </c>
      <c r="Z530" s="17">
        <f>Table1[[#This Row],[Reporting third]]-Table1[[#This Row],[Policy third]]</f>
        <v>2</v>
      </c>
      <c r="AA530" s="71">
        <f>IF(Table1[[#This Row],[Overall amount]]=0,"N/A",Table1[[#This Row],[Outstanding]]/Table1[[#This Row],[Overall amount]])</f>
        <v>0</v>
      </c>
      <c r="AB530" s="17">
        <f>IF(MONTH(Table1[[#This Row],[Loss date]])&lt;Pol_Inc_Month_Shifted,YEAR(Table1[[#This Row],[Loss date]])-1,YEAR(Table1[[#This Row],[Loss date]]))</f>
        <v>2009</v>
      </c>
      <c r="AC530" s="17">
        <f>IF(MONTH(Table1[[#This Row],[Reporting date]])&lt;Pol_Inc_Month_Shifted,YEAR(Table1[[#This Row],[Reporting date]])-1,YEAR(Table1[[#This Row],[Reporting date]]))</f>
        <v>2010</v>
      </c>
      <c r="AD530" s="17">
        <f>Table1[[#This Row],[Reporting year (shifted)]]-Table1[[#This Row],[Policy Year (shifted)]]</f>
        <v>1</v>
      </c>
    </row>
    <row r="531" spans="1:30" ht="13.9">
      <c r="A531" s="8" t="s">
        <v>2301</v>
      </c>
      <c r="B531" s="8" t="s">
        <v>583</v>
      </c>
      <c r="C531" s="8" t="s">
        <v>123</v>
      </c>
      <c r="D531" s="9">
        <v>40781</v>
      </c>
      <c r="E531" s="9">
        <v>40881</v>
      </c>
      <c r="F531" s="17">
        <f>IF(MONTH(Table1[[#This Row],[Loss date]])&lt;Policy_Inception_Month,YEAR(Table1[[#This Row],[Loss date]])-1,YEAR(Table1[[#This Row],[Loss date]]))</f>
        <v>2011</v>
      </c>
      <c r="G531" s="10" t="s">
        <v>147</v>
      </c>
      <c r="H531" s="10" t="s">
        <v>2</v>
      </c>
      <c r="I531" s="11">
        <v>740.81014752915189</v>
      </c>
      <c r="J531" s="11">
        <v>0</v>
      </c>
      <c r="K531" s="11">
        <v>740.81014752915189</v>
      </c>
      <c r="L531" s="12">
        <v>0</v>
      </c>
      <c r="M531" s="12">
        <v>0</v>
      </c>
      <c r="N531" s="12">
        <v>740.81014752915189</v>
      </c>
      <c r="O531" s="70">
        <f>IF(Table1[[#This Row],[Overall amount]]=0,0,1)</f>
        <v>1</v>
      </c>
      <c r="P531" s="70">
        <f>Table1[[#This Row],[Overall amount]]*Exchange_Rate</f>
        <v>740.81014752915189</v>
      </c>
      <c r="Q531" s="70">
        <f>Table1[[#This Row],[Overall (destination currency)]]*(1+Claims_Inflation)^((Revalue_at_date-Table1[[#This Row],[Loss date]])/365.25)</f>
        <v>904.8</v>
      </c>
      <c r="R531" s="70">
        <f>INT(Table1[[#This Row],[Reporting date]])-INT(Table1[[#This Row],[Loss date]])</f>
        <v>100</v>
      </c>
      <c r="S531" s="69" t="s">
        <v>9</v>
      </c>
      <c r="T531" s="70">
        <f>VLOOKUP(Table1[[#This Row],[Policy Year]],exposure_table,3,FALSE)</f>
        <v>870.52680000000009</v>
      </c>
      <c r="U531" s="17">
        <f>IF(MONTH(Table1[[#This Row],[Reporting date]])&lt;Policy_Inception_Month,YEAR(Table1[[#This Row],[Reporting date]])-1,YEAR(Table1[[#This Row],[Reporting date]]))</f>
        <v>2011</v>
      </c>
      <c r="V531" s="17">
        <f>Table1[[#This Row],[Reporting year]]-Table1[[#This Row],[Policy Year]]</f>
        <v>0</v>
      </c>
      <c r="W531" s="17">
        <f>INT(Table1[[#This Row],[Reporting date]])-INT(Table1[[#This Row],[Loss date]])</f>
        <v>100</v>
      </c>
      <c r="X531" s="17">
        <f>INT((YEAR(Table1[[#This Row],[Loss date]])*12+MONTH(Table1[[#This Row],[Loss date]])-Earliest_Month)/4)</f>
        <v>19</v>
      </c>
      <c r="Y531" s="17">
        <f>INT((YEAR(Table1[[#This Row],[Reporting date]])*12+MONTH(Table1[[#This Row],[Reporting date]])-Earliest_Month)/4)</f>
        <v>20</v>
      </c>
      <c r="Z531" s="17">
        <f>Table1[[#This Row],[Reporting third]]-Table1[[#This Row],[Policy third]]</f>
        <v>1</v>
      </c>
      <c r="AA531" s="71">
        <f>IF(Table1[[#This Row],[Overall amount]]=0,"N/A",Table1[[#This Row],[Outstanding]]/Table1[[#This Row],[Overall amount]])</f>
        <v>0</v>
      </c>
      <c r="AB531" s="17">
        <f>IF(MONTH(Table1[[#This Row],[Loss date]])&lt;Pol_Inc_Month_Shifted,YEAR(Table1[[#This Row],[Loss date]])-1,YEAR(Table1[[#This Row],[Loss date]]))</f>
        <v>2010</v>
      </c>
      <c r="AC531" s="17">
        <f>IF(MONTH(Table1[[#This Row],[Reporting date]])&lt;Pol_Inc_Month_Shifted,YEAR(Table1[[#This Row],[Reporting date]])-1,YEAR(Table1[[#This Row],[Reporting date]]))</f>
        <v>2011</v>
      </c>
      <c r="AD531" s="17">
        <f>Table1[[#This Row],[Reporting year (shifted)]]-Table1[[#This Row],[Policy Year (shifted)]]</f>
        <v>1</v>
      </c>
    </row>
    <row r="532" spans="1:30" ht="13.9">
      <c r="A532" s="8" t="s">
        <v>2302</v>
      </c>
      <c r="B532" s="8" t="s">
        <v>584</v>
      </c>
      <c r="C532" s="8" t="s">
        <v>123</v>
      </c>
      <c r="D532" s="9">
        <v>40582</v>
      </c>
      <c r="E532" s="9">
        <v>40587</v>
      </c>
      <c r="F532" s="17">
        <f>IF(MONTH(Table1[[#This Row],[Loss date]])&lt;Policy_Inception_Month,YEAR(Table1[[#This Row],[Loss date]])-1,YEAR(Table1[[#This Row],[Loss date]]))</f>
        <v>2010</v>
      </c>
      <c r="G532" s="10" t="s">
        <v>131</v>
      </c>
      <c r="H532" s="10" t="s">
        <v>2</v>
      </c>
      <c r="I532" s="11">
        <v>762.99493292429293</v>
      </c>
      <c r="J532" s="11">
        <v>0</v>
      </c>
      <c r="K532" s="11">
        <v>762.99493292429293</v>
      </c>
      <c r="L532" s="12">
        <v>0</v>
      </c>
      <c r="M532" s="12">
        <v>0</v>
      </c>
      <c r="N532" s="12">
        <v>762.99493292429293</v>
      </c>
      <c r="O532" s="70">
        <f>IF(Table1[[#This Row],[Overall amount]]=0,0,1)</f>
        <v>1</v>
      </c>
      <c r="P532" s="70">
        <f>Table1[[#This Row],[Overall amount]]*Exchange_Rate</f>
        <v>762.99493292429293</v>
      </c>
      <c r="Q532" s="70">
        <f>Table1[[#This Row],[Overall (destination currency)]]*(1+Claims_Inflation)^((Revalue_at_date-Table1[[#This Row],[Loss date]])/365.25)</f>
        <v>957</v>
      </c>
      <c r="R532" s="70">
        <f>INT(Table1[[#This Row],[Reporting date]])-INT(Table1[[#This Row],[Loss date]])</f>
        <v>5</v>
      </c>
      <c r="S532" s="69" t="s">
        <v>9</v>
      </c>
      <c r="T532" s="70">
        <f>VLOOKUP(Table1[[#This Row],[Policy Year]],exposure_table,3,FALSE)</f>
        <v>837.11513600000012</v>
      </c>
      <c r="U532" s="17">
        <f>IF(MONTH(Table1[[#This Row],[Reporting date]])&lt;Policy_Inception_Month,YEAR(Table1[[#This Row],[Reporting date]])-1,YEAR(Table1[[#This Row],[Reporting date]]))</f>
        <v>2010</v>
      </c>
      <c r="V532" s="17">
        <f>Table1[[#This Row],[Reporting year]]-Table1[[#This Row],[Policy Year]]</f>
        <v>0</v>
      </c>
      <c r="W532" s="17">
        <f>INT(Table1[[#This Row],[Reporting date]])-INT(Table1[[#This Row],[Loss date]])</f>
        <v>5</v>
      </c>
      <c r="X532" s="17">
        <f>INT((YEAR(Table1[[#This Row],[Loss date]])*12+MONTH(Table1[[#This Row],[Loss date]])-Earliest_Month)/4)</f>
        <v>17</v>
      </c>
      <c r="Y532" s="17">
        <f>INT((YEAR(Table1[[#This Row],[Reporting date]])*12+MONTH(Table1[[#This Row],[Reporting date]])-Earliest_Month)/4)</f>
        <v>17</v>
      </c>
      <c r="Z532" s="17">
        <f>Table1[[#This Row],[Reporting third]]-Table1[[#This Row],[Policy third]]</f>
        <v>0</v>
      </c>
      <c r="AA532" s="71">
        <f>IF(Table1[[#This Row],[Overall amount]]=0,"N/A",Table1[[#This Row],[Outstanding]]/Table1[[#This Row],[Overall amount]])</f>
        <v>0</v>
      </c>
      <c r="AB532" s="17">
        <f>IF(MONTH(Table1[[#This Row],[Loss date]])&lt;Pol_Inc_Month_Shifted,YEAR(Table1[[#This Row],[Loss date]])-1,YEAR(Table1[[#This Row],[Loss date]]))</f>
        <v>2010</v>
      </c>
      <c r="AC532" s="17">
        <f>IF(MONTH(Table1[[#This Row],[Reporting date]])&lt;Pol_Inc_Month_Shifted,YEAR(Table1[[#This Row],[Reporting date]])-1,YEAR(Table1[[#This Row],[Reporting date]]))</f>
        <v>2010</v>
      </c>
      <c r="AD532" s="17">
        <f>Table1[[#This Row],[Reporting year (shifted)]]-Table1[[#This Row],[Policy Year (shifted)]]</f>
        <v>0</v>
      </c>
    </row>
    <row r="533" spans="1:30" ht="13.9">
      <c r="A533" s="8" t="s">
        <v>2303</v>
      </c>
      <c r="B533" s="8" t="s">
        <v>585</v>
      </c>
      <c r="C533" s="8" t="s">
        <v>123</v>
      </c>
      <c r="D533" s="9">
        <v>40746</v>
      </c>
      <c r="E533" s="9">
        <v>40847</v>
      </c>
      <c r="F533" s="17">
        <f>IF(MONTH(Table1[[#This Row],[Loss date]])&lt;Policy_Inception_Month,YEAR(Table1[[#This Row],[Loss date]])-1,YEAR(Table1[[#This Row],[Loss date]]))</f>
        <v>2011</v>
      </c>
      <c r="G533" s="10" t="s">
        <v>125</v>
      </c>
      <c r="H533" s="10" t="s">
        <v>2</v>
      </c>
      <c r="I533" s="11">
        <v>680.63512322717952</v>
      </c>
      <c r="J533" s="11">
        <v>0</v>
      </c>
      <c r="K533" s="11">
        <v>680.63512322717952</v>
      </c>
      <c r="L533" s="12">
        <v>0</v>
      </c>
      <c r="M533" s="12">
        <v>0</v>
      </c>
      <c r="N533" s="12">
        <v>680.63512322717952</v>
      </c>
      <c r="O533" s="70">
        <f>IF(Table1[[#This Row],[Overall amount]]=0,0,1)</f>
        <v>1</v>
      </c>
      <c r="P533" s="70">
        <f>Table1[[#This Row],[Overall amount]]*Exchange_Rate</f>
        <v>680.63512322717952</v>
      </c>
      <c r="Q533" s="70">
        <f>Table1[[#This Row],[Overall (destination currency)]]*(1+Claims_Inflation)^((Revalue_at_date-Table1[[#This Row],[Loss date]])/365.25)</f>
        <v>835.19999999999993</v>
      </c>
      <c r="R533" s="70">
        <f>INT(Table1[[#This Row],[Reporting date]])-INT(Table1[[#This Row],[Loss date]])</f>
        <v>101</v>
      </c>
      <c r="S533" s="69" t="s">
        <v>9</v>
      </c>
      <c r="T533" s="70">
        <f>VLOOKUP(Table1[[#This Row],[Policy Year]],exposure_table,3,FALSE)</f>
        <v>870.52680000000009</v>
      </c>
      <c r="U533" s="17">
        <f>IF(MONTH(Table1[[#This Row],[Reporting date]])&lt;Policy_Inception_Month,YEAR(Table1[[#This Row],[Reporting date]])-1,YEAR(Table1[[#This Row],[Reporting date]]))</f>
        <v>2011</v>
      </c>
      <c r="V533" s="17">
        <f>Table1[[#This Row],[Reporting year]]-Table1[[#This Row],[Policy Year]]</f>
        <v>0</v>
      </c>
      <c r="W533" s="17">
        <f>INT(Table1[[#This Row],[Reporting date]])-INT(Table1[[#This Row],[Loss date]])</f>
        <v>101</v>
      </c>
      <c r="X533" s="17">
        <f>INT((YEAR(Table1[[#This Row],[Loss date]])*12+MONTH(Table1[[#This Row],[Loss date]])-Earliest_Month)/4)</f>
        <v>18</v>
      </c>
      <c r="Y533" s="17">
        <f>INT((YEAR(Table1[[#This Row],[Reporting date]])*12+MONTH(Table1[[#This Row],[Reporting date]])-Earliest_Month)/4)</f>
        <v>19</v>
      </c>
      <c r="Z533" s="17">
        <f>Table1[[#This Row],[Reporting third]]-Table1[[#This Row],[Policy third]]</f>
        <v>1</v>
      </c>
      <c r="AA533" s="71">
        <f>IF(Table1[[#This Row],[Overall amount]]=0,"N/A",Table1[[#This Row],[Outstanding]]/Table1[[#This Row],[Overall amount]])</f>
        <v>0</v>
      </c>
      <c r="AB533" s="17">
        <f>IF(MONTH(Table1[[#This Row],[Loss date]])&lt;Pol_Inc_Month_Shifted,YEAR(Table1[[#This Row],[Loss date]])-1,YEAR(Table1[[#This Row],[Loss date]]))</f>
        <v>2010</v>
      </c>
      <c r="AC533" s="17">
        <f>IF(MONTH(Table1[[#This Row],[Reporting date]])&lt;Pol_Inc_Month_Shifted,YEAR(Table1[[#This Row],[Reporting date]])-1,YEAR(Table1[[#This Row],[Reporting date]]))</f>
        <v>2010</v>
      </c>
      <c r="AD533" s="17">
        <f>Table1[[#This Row],[Reporting year (shifted)]]-Table1[[#This Row],[Policy Year (shifted)]]</f>
        <v>0</v>
      </c>
    </row>
    <row r="534" spans="1:30" ht="13.9">
      <c r="A534" s="8" t="s">
        <v>2304</v>
      </c>
      <c r="B534" s="8" t="s">
        <v>586</v>
      </c>
      <c r="C534" s="8" t="s">
        <v>123</v>
      </c>
      <c r="D534" s="9">
        <v>40534</v>
      </c>
      <c r="E534" s="9">
        <v>40705</v>
      </c>
      <c r="F534" s="17">
        <f>IF(MONTH(Table1[[#This Row],[Loss date]])&lt;Policy_Inception_Month,YEAR(Table1[[#This Row],[Loss date]])-1,YEAR(Table1[[#This Row],[Loss date]]))</f>
        <v>2010</v>
      </c>
      <c r="G534" s="10" t="s">
        <v>125</v>
      </c>
      <c r="H534" s="10" t="s">
        <v>2</v>
      </c>
      <c r="I534" s="11">
        <v>9315.1121730517571</v>
      </c>
      <c r="J534" s="11">
        <v>0</v>
      </c>
      <c r="K534" s="11">
        <v>9315.1121730517571</v>
      </c>
      <c r="L534" s="12">
        <v>0</v>
      </c>
      <c r="M534" s="12">
        <v>0</v>
      </c>
      <c r="N534" s="12">
        <v>9315.1121730517571</v>
      </c>
      <c r="O534" s="70">
        <f>IF(Table1[[#This Row],[Overall amount]]=0,0,1)</f>
        <v>1</v>
      </c>
      <c r="P534" s="70">
        <f>Table1[[#This Row],[Overall amount]]*Exchange_Rate</f>
        <v>9315.1121730517571</v>
      </c>
      <c r="Q534" s="70">
        <f>Table1[[#This Row],[Overall (destination currency)]]*(1+Claims_Inflation)^((Revalue_at_date-Table1[[#This Row],[Loss date]])/365.25)</f>
        <v>11758.8</v>
      </c>
      <c r="R534" s="70">
        <f>INT(Table1[[#This Row],[Reporting date]])-INT(Table1[[#This Row],[Loss date]])</f>
        <v>171</v>
      </c>
      <c r="S534" s="69" t="s">
        <v>9</v>
      </c>
      <c r="T534" s="70">
        <f>VLOOKUP(Table1[[#This Row],[Policy Year]],exposure_table,3,FALSE)</f>
        <v>837.11513600000012</v>
      </c>
      <c r="U534" s="17">
        <f>IF(MONTH(Table1[[#This Row],[Reporting date]])&lt;Policy_Inception_Month,YEAR(Table1[[#This Row],[Reporting date]])-1,YEAR(Table1[[#This Row],[Reporting date]]))</f>
        <v>2011</v>
      </c>
      <c r="V534" s="17">
        <f>Table1[[#This Row],[Reporting year]]-Table1[[#This Row],[Policy Year]]</f>
        <v>1</v>
      </c>
      <c r="W534" s="17">
        <f>INT(Table1[[#This Row],[Reporting date]])-INT(Table1[[#This Row],[Loss date]])</f>
        <v>171</v>
      </c>
      <c r="X534" s="17">
        <f>INT((YEAR(Table1[[#This Row],[Loss date]])*12+MONTH(Table1[[#This Row],[Loss date]])-Earliest_Month)/4)</f>
        <v>17</v>
      </c>
      <c r="Y534" s="17">
        <f>INT((YEAR(Table1[[#This Row],[Reporting date]])*12+MONTH(Table1[[#This Row],[Reporting date]])-Earliest_Month)/4)</f>
        <v>18</v>
      </c>
      <c r="Z534" s="17">
        <f>Table1[[#This Row],[Reporting third]]-Table1[[#This Row],[Policy third]]</f>
        <v>1</v>
      </c>
      <c r="AA534" s="71">
        <f>IF(Table1[[#This Row],[Overall amount]]=0,"N/A",Table1[[#This Row],[Outstanding]]/Table1[[#This Row],[Overall amount]])</f>
        <v>0</v>
      </c>
      <c r="AB534" s="17">
        <f>IF(MONTH(Table1[[#This Row],[Loss date]])&lt;Pol_Inc_Month_Shifted,YEAR(Table1[[#This Row],[Loss date]])-1,YEAR(Table1[[#This Row],[Loss date]]))</f>
        <v>2010</v>
      </c>
      <c r="AC534" s="17">
        <f>IF(MONTH(Table1[[#This Row],[Reporting date]])&lt;Pol_Inc_Month_Shifted,YEAR(Table1[[#This Row],[Reporting date]])-1,YEAR(Table1[[#This Row],[Reporting date]]))</f>
        <v>2010</v>
      </c>
      <c r="AD534" s="17">
        <f>Table1[[#This Row],[Reporting year (shifted)]]-Table1[[#This Row],[Policy Year (shifted)]]</f>
        <v>0</v>
      </c>
    </row>
    <row r="535" spans="1:30" ht="13.9">
      <c r="A535" s="8" t="s">
        <v>2305</v>
      </c>
      <c r="B535" s="8" t="s">
        <v>587</v>
      </c>
      <c r="C535" s="8" t="s">
        <v>123</v>
      </c>
      <c r="D535" s="9">
        <v>40755</v>
      </c>
      <c r="E535" s="9">
        <v>40913</v>
      </c>
      <c r="F535" s="17">
        <f>IF(MONTH(Table1[[#This Row],[Loss date]])&lt;Policy_Inception_Month,YEAR(Table1[[#This Row],[Loss date]])-1,YEAR(Table1[[#This Row],[Loss date]]))</f>
        <v>2011</v>
      </c>
      <c r="G535" s="10" t="s">
        <v>125</v>
      </c>
      <c r="H535" s="10" t="s">
        <v>2</v>
      </c>
      <c r="I535" s="11">
        <v>269.74216463960028</v>
      </c>
      <c r="J535" s="11">
        <v>0</v>
      </c>
      <c r="K535" s="11">
        <v>269.74216463960028</v>
      </c>
      <c r="L535" s="12">
        <v>0</v>
      </c>
      <c r="M535" s="12">
        <v>0</v>
      </c>
      <c r="N535" s="12">
        <v>269.74216463960028</v>
      </c>
      <c r="O535" s="70">
        <f>IF(Table1[[#This Row],[Overall amount]]=0,0,1)</f>
        <v>1</v>
      </c>
      <c r="P535" s="70">
        <f>Table1[[#This Row],[Overall amount]]*Exchange_Rate</f>
        <v>269.74216463960028</v>
      </c>
      <c r="Q535" s="70">
        <f>Table1[[#This Row],[Overall (destination currency)]]*(1+Claims_Inflation)^((Revalue_at_date-Table1[[#This Row],[Loss date]])/365.25)</f>
        <v>330.59999999999997</v>
      </c>
      <c r="R535" s="70">
        <f>INT(Table1[[#This Row],[Reporting date]])-INT(Table1[[#This Row],[Loss date]])</f>
        <v>158</v>
      </c>
      <c r="S535" s="69" t="s">
        <v>9</v>
      </c>
      <c r="T535" s="70">
        <f>VLOOKUP(Table1[[#This Row],[Policy Year]],exposure_table,3,FALSE)</f>
        <v>870.52680000000009</v>
      </c>
      <c r="U535" s="17">
        <f>IF(MONTH(Table1[[#This Row],[Reporting date]])&lt;Policy_Inception_Month,YEAR(Table1[[#This Row],[Reporting date]])-1,YEAR(Table1[[#This Row],[Reporting date]]))</f>
        <v>2011</v>
      </c>
      <c r="V535" s="17">
        <f>Table1[[#This Row],[Reporting year]]-Table1[[#This Row],[Policy Year]]</f>
        <v>0</v>
      </c>
      <c r="W535" s="17">
        <f>INT(Table1[[#This Row],[Reporting date]])-INT(Table1[[#This Row],[Loss date]])</f>
        <v>158</v>
      </c>
      <c r="X535" s="17">
        <f>INT((YEAR(Table1[[#This Row],[Loss date]])*12+MONTH(Table1[[#This Row],[Loss date]])-Earliest_Month)/4)</f>
        <v>18</v>
      </c>
      <c r="Y535" s="17">
        <f>INT((YEAR(Table1[[#This Row],[Reporting date]])*12+MONTH(Table1[[#This Row],[Reporting date]])-Earliest_Month)/4)</f>
        <v>20</v>
      </c>
      <c r="Z535" s="17">
        <f>Table1[[#This Row],[Reporting third]]-Table1[[#This Row],[Policy third]]</f>
        <v>2</v>
      </c>
      <c r="AA535" s="71">
        <f>IF(Table1[[#This Row],[Overall amount]]=0,"N/A",Table1[[#This Row],[Outstanding]]/Table1[[#This Row],[Overall amount]])</f>
        <v>0</v>
      </c>
      <c r="AB535" s="17">
        <f>IF(MONTH(Table1[[#This Row],[Loss date]])&lt;Pol_Inc_Month_Shifted,YEAR(Table1[[#This Row],[Loss date]])-1,YEAR(Table1[[#This Row],[Loss date]]))</f>
        <v>2010</v>
      </c>
      <c r="AC535" s="17">
        <f>IF(MONTH(Table1[[#This Row],[Reporting date]])&lt;Pol_Inc_Month_Shifted,YEAR(Table1[[#This Row],[Reporting date]])-1,YEAR(Table1[[#This Row],[Reporting date]]))</f>
        <v>2011</v>
      </c>
      <c r="AD535" s="17">
        <f>Table1[[#This Row],[Reporting year (shifted)]]-Table1[[#This Row],[Policy Year (shifted)]]</f>
        <v>1</v>
      </c>
    </row>
    <row r="536" spans="1:30" ht="13.9">
      <c r="A536" s="8" t="s">
        <v>2306</v>
      </c>
      <c r="B536" s="8" t="s">
        <v>588</v>
      </c>
      <c r="C536" s="8" t="s">
        <v>123</v>
      </c>
      <c r="D536" s="9">
        <v>40792</v>
      </c>
      <c r="E536" s="9">
        <v>40829</v>
      </c>
      <c r="F536" s="17">
        <f>IF(MONTH(Table1[[#This Row],[Loss date]])&lt;Policy_Inception_Month,YEAR(Table1[[#This Row],[Loss date]])-1,YEAR(Table1[[#This Row],[Loss date]]))</f>
        <v>2011</v>
      </c>
      <c r="G536" s="10" t="s">
        <v>125</v>
      </c>
      <c r="H536" s="10" t="s">
        <v>2</v>
      </c>
      <c r="I536" s="11">
        <v>64680.587529244585</v>
      </c>
      <c r="J536" s="11">
        <v>0</v>
      </c>
      <c r="K536" s="11">
        <v>64680.587529244585</v>
      </c>
      <c r="L536" s="12">
        <v>0</v>
      </c>
      <c r="M536" s="12">
        <v>0</v>
      </c>
      <c r="N536" s="12">
        <v>64680.587529244585</v>
      </c>
      <c r="O536" s="70">
        <f>IF(Table1[[#This Row],[Overall amount]]=0,0,1)</f>
        <v>1</v>
      </c>
      <c r="P536" s="70">
        <f>Table1[[#This Row],[Overall amount]]*Exchange_Rate</f>
        <v>64680.587529244585</v>
      </c>
      <c r="Q536" s="70">
        <f>Table1[[#This Row],[Overall (destination currency)]]*(1+Claims_Inflation)^((Revalue_at_date-Table1[[#This Row],[Loss date]])/365.25)</f>
        <v>78882.647999999986</v>
      </c>
      <c r="R536" s="70">
        <f>INT(Table1[[#This Row],[Reporting date]])-INT(Table1[[#This Row],[Loss date]])</f>
        <v>37</v>
      </c>
      <c r="S536" s="69" t="s">
        <v>9</v>
      </c>
      <c r="T536" s="70">
        <f>VLOOKUP(Table1[[#This Row],[Policy Year]],exposure_table,3,FALSE)</f>
        <v>870.52680000000009</v>
      </c>
      <c r="U536" s="17">
        <f>IF(MONTH(Table1[[#This Row],[Reporting date]])&lt;Policy_Inception_Month,YEAR(Table1[[#This Row],[Reporting date]])-1,YEAR(Table1[[#This Row],[Reporting date]]))</f>
        <v>2011</v>
      </c>
      <c r="V536" s="17">
        <f>Table1[[#This Row],[Reporting year]]-Table1[[#This Row],[Policy Year]]</f>
        <v>0</v>
      </c>
      <c r="W536" s="17">
        <f>INT(Table1[[#This Row],[Reporting date]])-INT(Table1[[#This Row],[Loss date]])</f>
        <v>37</v>
      </c>
      <c r="X536" s="17">
        <f>INT((YEAR(Table1[[#This Row],[Loss date]])*12+MONTH(Table1[[#This Row],[Loss date]])-Earliest_Month)/4)</f>
        <v>19</v>
      </c>
      <c r="Y536" s="17">
        <f>INT((YEAR(Table1[[#This Row],[Reporting date]])*12+MONTH(Table1[[#This Row],[Reporting date]])-Earliest_Month)/4)</f>
        <v>19</v>
      </c>
      <c r="Z536" s="17">
        <f>Table1[[#This Row],[Reporting third]]-Table1[[#This Row],[Policy third]]</f>
        <v>0</v>
      </c>
      <c r="AA536" s="71">
        <f>IF(Table1[[#This Row],[Overall amount]]=0,"N/A",Table1[[#This Row],[Outstanding]]/Table1[[#This Row],[Overall amount]])</f>
        <v>0</v>
      </c>
      <c r="AB536" s="17">
        <f>IF(MONTH(Table1[[#This Row],[Loss date]])&lt;Pol_Inc_Month_Shifted,YEAR(Table1[[#This Row],[Loss date]])-1,YEAR(Table1[[#This Row],[Loss date]]))</f>
        <v>2010</v>
      </c>
      <c r="AC536" s="17">
        <f>IF(MONTH(Table1[[#This Row],[Reporting date]])&lt;Pol_Inc_Month_Shifted,YEAR(Table1[[#This Row],[Reporting date]])-1,YEAR(Table1[[#This Row],[Reporting date]]))</f>
        <v>2010</v>
      </c>
      <c r="AD536" s="17">
        <f>Table1[[#This Row],[Reporting year (shifted)]]-Table1[[#This Row],[Policy Year (shifted)]]</f>
        <v>0</v>
      </c>
    </row>
    <row r="537" spans="1:30" ht="13.9">
      <c r="A537" s="8" t="s">
        <v>2307</v>
      </c>
      <c r="B537" s="8" t="s">
        <v>589</v>
      </c>
      <c r="C537" s="8" t="s">
        <v>123</v>
      </c>
      <c r="D537" s="9">
        <v>40820</v>
      </c>
      <c r="E537" s="9">
        <v>41034</v>
      </c>
      <c r="F537" s="17">
        <f>IF(MONTH(Table1[[#This Row],[Loss date]])&lt;Policy_Inception_Month,YEAR(Table1[[#This Row],[Loss date]])-1,YEAR(Table1[[#This Row],[Loss date]]))</f>
        <v>2011</v>
      </c>
      <c r="G537" s="10" t="s">
        <v>125</v>
      </c>
      <c r="H537" s="10" t="s">
        <v>2</v>
      </c>
      <c r="I537" s="11">
        <v>9344.0495263287066</v>
      </c>
      <c r="J537" s="11">
        <v>0</v>
      </c>
      <c r="K537" s="11">
        <v>9344.0495263287066</v>
      </c>
      <c r="L537" s="12">
        <v>0</v>
      </c>
      <c r="M537" s="12">
        <v>0</v>
      </c>
      <c r="N537" s="12">
        <v>9344.0495263287066</v>
      </c>
      <c r="O537" s="70">
        <f>IF(Table1[[#This Row],[Overall amount]]=0,0,1)</f>
        <v>1</v>
      </c>
      <c r="P537" s="70">
        <f>Table1[[#This Row],[Overall amount]]*Exchange_Rate</f>
        <v>9344.0495263287066</v>
      </c>
      <c r="Q537" s="70">
        <f>Table1[[#This Row],[Overall (destination currency)]]*(1+Claims_Inflation)^((Revalue_at_date-Table1[[#This Row],[Loss date]])/365.25)</f>
        <v>11353.199999999999</v>
      </c>
      <c r="R537" s="70">
        <f>INT(Table1[[#This Row],[Reporting date]])-INT(Table1[[#This Row],[Loss date]])</f>
        <v>214</v>
      </c>
      <c r="S537" s="69" t="s">
        <v>9</v>
      </c>
      <c r="T537" s="70">
        <f>VLOOKUP(Table1[[#This Row],[Policy Year]],exposure_table,3,FALSE)</f>
        <v>870.52680000000009</v>
      </c>
      <c r="U537" s="17">
        <f>IF(MONTH(Table1[[#This Row],[Reporting date]])&lt;Policy_Inception_Month,YEAR(Table1[[#This Row],[Reporting date]])-1,YEAR(Table1[[#This Row],[Reporting date]]))</f>
        <v>2012</v>
      </c>
      <c r="V537" s="17">
        <f>Table1[[#This Row],[Reporting year]]-Table1[[#This Row],[Policy Year]]</f>
        <v>1</v>
      </c>
      <c r="W537" s="17">
        <f>INT(Table1[[#This Row],[Reporting date]])-INT(Table1[[#This Row],[Loss date]])</f>
        <v>214</v>
      </c>
      <c r="X537" s="17">
        <f>INT((YEAR(Table1[[#This Row],[Loss date]])*12+MONTH(Table1[[#This Row],[Loss date]])-Earliest_Month)/4)</f>
        <v>19</v>
      </c>
      <c r="Y537" s="17">
        <f>INT((YEAR(Table1[[#This Row],[Reporting date]])*12+MONTH(Table1[[#This Row],[Reporting date]])-Earliest_Month)/4)</f>
        <v>21</v>
      </c>
      <c r="Z537" s="17">
        <f>Table1[[#This Row],[Reporting third]]-Table1[[#This Row],[Policy third]]</f>
        <v>2</v>
      </c>
      <c r="AA537" s="71">
        <f>IF(Table1[[#This Row],[Overall amount]]=0,"N/A",Table1[[#This Row],[Outstanding]]/Table1[[#This Row],[Overall amount]])</f>
        <v>0</v>
      </c>
      <c r="AB537" s="17">
        <f>IF(MONTH(Table1[[#This Row],[Loss date]])&lt;Pol_Inc_Month_Shifted,YEAR(Table1[[#This Row],[Loss date]])-1,YEAR(Table1[[#This Row],[Loss date]]))</f>
        <v>2010</v>
      </c>
      <c r="AC537" s="17">
        <f>IF(MONTH(Table1[[#This Row],[Reporting date]])&lt;Pol_Inc_Month_Shifted,YEAR(Table1[[#This Row],[Reporting date]])-1,YEAR(Table1[[#This Row],[Reporting date]]))</f>
        <v>2011</v>
      </c>
      <c r="AD537" s="17">
        <f>Table1[[#This Row],[Reporting year (shifted)]]-Table1[[#This Row],[Policy Year (shifted)]]</f>
        <v>1</v>
      </c>
    </row>
    <row r="538" spans="1:30" ht="13.9">
      <c r="A538" s="8" t="s">
        <v>2308</v>
      </c>
      <c r="B538" s="8" t="s">
        <v>590</v>
      </c>
      <c r="C538" s="8" t="s">
        <v>123</v>
      </c>
      <c r="D538" s="9">
        <v>40671</v>
      </c>
      <c r="E538" s="9">
        <v>40686</v>
      </c>
      <c r="F538" s="17">
        <f>IF(MONTH(Table1[[#This Row],[Loss date]])&lt;Policy_Inception_Month,YEAR(Table1[[#This Row],[Loss date]])-1,YEAR(Table1[[#This Row],[Loss date]]))</f>
        <v>2011</v>
      </c>
      <c r="G538" s="10" t="s">
        <v>125</v>
      </c>
      <c r="H538" s="10" t="s">
        <v>2</v>
      </c>
      <c r="I538" s="11">
        <v>1516.1629830291974</v>
      </c>
      <c r="J538" s="11">
        <v>0</v>
      </c>
      <c r="K538" s="11">
        <v>1516.1629830291974</v>
      </c>
      <c r="L538" s="12">
        <v>0</v>
      </c>
      <c r="M538" s="12">
        <v>0</v>
      </c>
      <c r="N538" s="12">
        <v>1516.1629830291974</v>
      </c>
      <c r="O538" s="70">
        <f>IF(Table1[[#This Row],[Overall amount]]=0,0,1)</f>
        <v>1</v>
      </c>
      <c r="P538" s="70">
        <f>Table1[[#This Row],[Overall amount]]*Exchange_Rate</f>
        <v>1516.1629830291974</v>
      </c>
      <c r="Q538" s="70">
        <f>Table1[[#This Row],[Overall (destination currency)]]*(1+Claims_Inflation)^((Revalue_at_date-Table1[[#This Row],[Loss date]])/365.25)</f>
        <v>1879.1999999999998</v>
      </c>
      <c r="R538" s="70">
        <f>INT(Table1[[#This Row],[Reporting date]])-INT(Table1[[#This Row],[Loss date]])</f>
        <v>15</v>
      </c>
      <c r="S538" s="69" t="s">
        <v>9</v>
      </c>
      <c r="T538" s="70">
        <f>VLOOKUP(Table1[[#This Row],[Policy Year]],exposure_table,3,FALSE)</f>
        <v>870.52680000000009</v>
      </c>
      <c r="U538" s="17">
        <f>IF(MONTH(Table1[[#This Row],[Reporting date]])&lt;Policy_Inception_Month,YEAR(Table1[[#This Row],[Reporting date]])-1,YEAR(Table1[[#This Row],[Reporting date]]))</f>
        <v>2011</v>
      </c>
      <c r="V538" s="17">
        <f>Table1[[#This Row],[Reporting year]]-Table1[[#This Row],[Policy Year]]</f>
        <v>0</v>
      </c>
      <c r="W538" s="17">
        <f>INT(Table1[[#This Row],[Reporting date]])-INT(Table1[[#This Row],[Loss date]])</f>
        <v>15</v>
      </c>
      <c r="X538" s="17">
        <f>INT((YEAR(Table1[[#This Row],[Loss date]])*12+MONTH(Table1[[#This Row],[Loss date]])-Earliest_Month)/4)</f>
        <v>18</v>
      </c>
      <c r="Y538" s="17">
        <f>INT((YEAR(Table1[[#This Row],[Reporting date]])*12+MONTH(Table1[[#This Row],[Reporting date]])-Earliest_Month)/4)</f>
        <v>18</v>
      </c>
      <c r="Z538" s="17">
        <f>Table1[[#This Row],[Reporting third]]-Table1[[#This Row],[Policy third]]</f>
        <v>0</v>
      </c>
      <c r="AA538" s="71">
        <f>IF(Table1[[#This Row],[Overall amount]]=0,"N/A",Table1[[#This Row],[Outstanding]]/Table1[[#This Row],[Overall amount]])</f>
        <v>0</v>
      </c>
      <c r="AB538" s="17">
        <f>IF(MONTH(Table1[[#This Row],[Loss date]])&lt;Pol_Inc_Month_Shifted,YEAR(Table1[[#This Row],[Loss date]])-1,YEAR(Table1[[#This Row],[Loss date]]))</f>
        <v>2010</v>
      </c>
      <c r="AC538" s="17">
        <f>IF(MONTH(Table1[[#This Row],[Reporting date]])&lt;Pol_Inc_Month_Shifted,YEAR(Table1[[#This Row],[Reporting date]])-1,YEAR(Table1[[#This Row],[Reporting date]]))</f>
        <v>2010</v>
      </c>
      <c r="AD538" s="17">
        <f>Table1[[#This Row],[Reporting year (shifted)]]-Table1[[#This Row],[Policy Year (shifted)]]</f>
        <v>0</v>
      </c>
    </row>
    <row r="539" spans="1:30" ht="13.9">
      <c r="A539" s="8" t="s">
        <v>2309</v>
      </c>
      <c r="B539" s="8" t="s">
        <v>591</v>
      </c>
      <c r="C539" s="8" t="s">
        <v>123</v>
      </c>
      <c r="D539" s="9">
        <v>40733</v>
      </c>
      <c r="E539" s="9">
        <v>40901</v>
      </c>
      <c r="F539" s="17">
        <f>IF(MONTH(Table1[[#This Row],[Loss date]])&lt;Policy_Inception_Month,YEAR(Table1[[#This Row],[Loss date]])-1,YEAR(Table1[[#This Row],[Loss date]]))</f>
        <v>2011</v>
      </c>
      <c r="G539" s="10" t="s">
        <v>125</v>
      </c>
      <c r="H539" s="10" t="s">
        <v>2</v>
      </c>
      <c r="I539" s="11">
        <v>6773.2406913861114</v>
      </c>
      <c r="J539" s="11">
        <v>0</v>
      </c>
      <c r="K539" s="11">
        <v>6773.2406913861114</v>
      </c>
      <c r="L539" s="12">
        <v>0</v>
      </c>
      <c r="M539" s="12">
        <v>0</v>
      </c>
      <c r="N539" s="12">
        <v>6773.2406913861114</v>
      </c>
      <c r="O539" s="70">
        <f>IF(Table1[[#This Row],[Overall amount]]=0,0,1)</f>
        <v>1</v>
      </c>
      <c r="P539" s="70">
        <f>Table1[[#This Row],[Overall amount]]*Exchange_Rate</f>
        <v>6773.2406913861114</v>
      </c>
      <c r="Q539" s="70">
        <f>Table1[[#This Row],[Overall (destination currency)]]*(1+Claims_Inflation)^((Revalue_at_date-Table1[[#This Row],[Loss date]])/365.25)</f>
        <v>8325.8160000000007</v>
      </c>
      <c r="R539" s="70">
        <f>INT(Table1[[#This Row],[Reporting date]])-INT(Table1[[#This Row],[Loss date]])</f>
        <v>168</v>
      </c>
      <c r="S539" s="69" t="s">
        <v>9</v>
      </c>
      <c r="T539" s="70">
        <f>VLOOKUP(Table1[[#This Row],[Policy Year]],exposure_table,3,FALSE)</f>
        <v>870.52680000000009</v>
      </c>
      <c r="U539" s="17">
        <f>IF(MONTH(Table1[[#This Row],[Reporting date]])&lt;Policy_Inception_Month,YEAR(Table1[[#This Row],[Reporting date]])-1,YEAR(Table1[[#This Row],[Reporting date]]))</f>
        <v>2011</v>
      </c>
      <c r="V539" s="17">
        <f>Table1[[#This Row],[Reporting year]]-Table1[[#This Row],[Policy Year]]</f>
        <v>0</v>
      </c>
      <c r="W539" s="17">
        <f>INT(Table1[[#This Row],[Reporting date]])-INT(Table1[[#This Row],[Loss date]])</f>
        <v>168</v>
      </c>
      <c r="X539" s="17">
        <f>INT((YEAR(Table1[[#This Row],[Loss date]])*12+MONTH(Table1[[#This Row],[Loss date]])-Earliest_Month)/4)</f>
        <v>18</v>
      </c>
      <c r="Y539" s="17">
        <f>INT((YEAR(Table1[[#This Row],[Reporting date]])*12+MONTH(Table1[[#This Row],[Reporting date]])-Earliest_Month)/4)</f>
        <v>20</v>
      </c>
      <c r="Z539" s="17">
        <f>Table1[[#This Row],[Reporting third]]-Table1[[#This Row],[Policy third]]</f>
        <v>2</v>
      </c>
      <c r="AA539" s="71">
        <f>IF(Table1[[#This Row],[Overall amount]]=0,"N/A",Table1[[#This Row],[Outstanding]]/Table1[[#This Row],[Overall amount]])</f>
        <v>0</v>
      </c>
      <c r="AB539" s="17">
        <f>IF(MONTH(Table1[[#This Row],[Loss date]])&lt;Pol_Inc_Month_Shifted,YEAR(Table1[[#This Row],[Loss date]])-1,YEAR(Table1[[#This Row],[Loss date]]))</f>
        <v>2010</v>
      </c>
      <c r="AC539" s="17">
        <f>IF(MONTH(Table1[[#This Row],[Reporting date]])&lt;Pol_Inc_Month_Shifted,YEAR(Table1[[#This Row],[Reporting date]])-1,YEAR(Table1[[#This Row],[Reporting date]]))</f>
        <v>2011</v>
      </c>
      <c r="AD539" s="17">
        <f>Table1[[#This Row],[Reporting year (shifted)]]-Table1[[#This Row],[Policy Year (shifted)]]</f>
        <v>1</v>
      </c>
    </row>
    <row r="540" spans="1:30" ht="13.9">
      <c r="A540" s="8" t="s">
        <v>2310</v>
      </c>
      <c r="B540" s="8" t="s">
        <v>592</v>
      </c>
      <c r="C540" s="8" t="s">
        <v>123</v>
      </c>
      <c r="D540" s="9">
        <v>40602</v>
      </c>
      <c r="E540" s="9">
        <v>40852</v>
      </c>
      <c r="F540" s="17">
        <f>IF(MONTH(Table1[[#This Row],[Loss date]])&lt;Policy_Inception_Month,YEAR(Table1[[#This Row],[Loss date]])-1,YEAR(Table1[[#This Row],[Loss date]]))</f>
        <v>2010</v>
      </c>
      <c r="G540" s="10" t="s">
        <v>125</v>
      </c>
      <c r="H540" s="10" t="s">
        <v>2</v>
      </c>
      <c r="I540" s="11">
        <v>667.66785026524428</v>
      </c>
      <c r="J540" s="11">
        <v>0</v>
      </c>
      <c r="K540" s="11">
        <v>667.66785026524428</v>
      </c>
      <c r="L540" s="12">
        <v>0</v>
      </c>
      <c r="M540" s="12">
        <v>0</v>
      </c>
      <c r="N540" s="12">
        <v>667.66785026524428</v>
      </c>
      <c r="O540" s="70">
        <f>IF(Table1[[#This Row],[Overall amount]]=0,0,1)</f>
        <v>1</v>
      </c>
      <c r="P540" s="70">
        <f>Table1[[#This Row],[Overall amount]]*Exchange_Rate</f>
        <v>667.66785026524428</v>
      </c>
      <c r="Q540" s="70">
        <f>Table1[[#This Row],[Overall (destination currency)]]*(1+Claims_Inflation)^((Revalue_at_date-Table1[[#This Row],[Loss date]])/365.25)</f>
        <v>835.19999999999993</v>
      </c>
      <c r="R540" s="70">
        <f>INT(Table1[[#This Row],[Reporting date]])-INT(Table1[[#This Row],[Loss date]])</f>
        <v>250</v>
      </c>
      <c r="S540" s="69" t="s">
        <v>9</v>
      </c>
      <c r="T540" s="70">
        <f>VLOOKUP(Table1[[#This Row],[Policy Year]],exposure_table,3,FALSE)</f>
        <v>837.11513600000012</v>
      </c>
      <c r="U540" s="17">
        <f>IF(MONTH(Table1[[#This Row],[Reporting date]])&lt;Policy_Inception_Month,YEAR(Table1[[#This Row],[Reporting date]])-1,YEAR(Table1[[#This Row],[Reporting date]]))</f>
        <v>2011</v>
      </c>
      <c r="V540" s="17">
        <f>Table1[[#This Row],[Reporting year]]-Table1[[#This Row],[Policy Year]]</f>
        <v>1</v>
      </c>
      <c r="W540" s="17">
        <f>INT(Table1[[#This Row],[Reporting date]])-INT(Table1[[#This Row],[Loss date]])</f>
        <v>250</v>
      </c>
      <c r="X540" s="17">
        <f>INT((YEAR(Table1[[#This Row],[Loss date]])*12+MONTH(Table1[[#This Row],[Loss date]])-Earliest_Month)/4)</f>
        <v>17</v>
      </c>
      <c r="Y540" s="17">
        <f>INT((YEAR(Table1[[#This Row],[Reporting date]])*12+MONTH(Table1[[#This Row],[Reporting date]])-Earliest_Month)/4)</f>
        <v>19</v>
      </c>
      <c r="Z540" s="17">
        <f>Table1[[#This Row],[Reporting third]]-Table1[[#This Row],[Policy third]]</f>
        <v>2</v>
      </c>
      <c r="AA540" s="71">
        <f>IF(Table1[[#This Row],[Overall amount]]=0,"N/A",Table1[[#This Row],[Outstanding]]/Table1[[#This Row],[Overall amount]])</f>
        <v>0</v>
      </c>
      <c r="AB540" s="17">
        <f>IF(MONTH(Table1[[#This Row],[Loss date]])&lt;Pol_Inc_Month_Shifted,YEAR(Table1[[#This Row],[Loss date]])-1,YEAR(Table1[[#This Row],[Loss date]]))</f>
        <v>2010</v>
      </c>
      <c r="AC540" s="17">
        <f>IF(MONTH(Table1[[#This Row],[Reporting date]])&lt;Pol_Inc_Month_Shifted,YEAR(Table1[[#This Row],[Reporting date]])-1,YEAR(Table1[[#This Row],[Reporting date]]))</f>
        <v>2010</v>
      </c>
      <c r="AD540" s="17">
        <f>Table1[[#This Row],[Reporting year (shifted)]]-Table1[[#This Row],[Policy Year (shifted)]]</f>
        <v>0</v>
      </c>
    </row>
    <row r="541" spans="1:30" ht="13.9">
      <c r="A541" s="8" t="s">
        <v>2311</v>
      </c>
      <c r="B541" s="8" t="s">
        <v>593</v>
      </c>
      <c r="C541" s="8" t="s">
        <v>123</v>
      </c>
      <c r="D541" s="9">
        <v>40283</v>
      </c>
      <c r="E541" s="9">
        <v>40713</v>
      </c>
      <c r="F541" s="17">
        <f>IF(MONTH(Table1[[#This Row],[Loss date]])&lt;Policy_Inception_Month,YEAR(Table1[[#This Row],[Loss date]])-1,YEAR(Table1[[#This Row],[Loss date]]))</f>
        <v>2010</v>
      </c>
      <c r="G541" s="10" t="s">
        <v>125</v>
      </c>
      <c r="H541" s="10" t="s">
        <v>2</v>
      </c>
      <c r="I541" s="11">
        <v>35839.004673957439</v>
      </c>
      <c r="J541" s="11">
        <v>0</v>
      </c>
      <c r="K541" s="11">
        <v>35839.004673957439</v>
      </c>
      <c r="L541" s="12">
        <v>0</v>
      </c>
      <c r="M541" s="12">
        <v>0</v>
      </c>
      <c r="N541" s="12">
        <v>35839.004673957439</v>
      </c>
      <c r="O541" s="70">
        <f>IF(Table1[[#This Row],[Overall amount]]=0,0,1)</f>
        <v>1</v>
      </c>
      <c r="P541" s="70">
        <f>Table1[[#This Row],[Overall amount]]*Exchange_Rate</f>
        <v>35839.004673957439</v>
      </c>
      <c r="Q541" s="70">
        <f>Table1[[#This Row],[Overall (destination currency)]]*(1+Claims_Inflation)^((Revalue_at_date-Table1[[#This Row],[Loss date]])/365.25)</f>
        <v>46783.439999999995</v>
      </c>
      <c r="R541" s="70">
        <f>INT(Table1[[#This Row],[Reporting date]])-INT(Table1[[#This Row],[Loss date]])</f>
        <v>430</v>
      </c>
      <c r="S541" s="69" t="s">
        <v>9</v>
      </c>
      <c r="T541" s="70">
        <f>VLOOKUP(Table1[[#This Row],[Policy Year]],exposure_table,3,FALSE)</f>
        <v>837.11513600000012</v>
      </c>
      <c r="U541" s="17">
        <f>IF(MONTH(Table1[[#This Row],[Reporting date]])&lt;Policy_Inception_Month,YEAR(Table1[[#This Row],[Reporting date]])-1,YEAR(Table1[[#This Row],[Reporting date]]))</f>
        <v>2011</v>
      </c>
      <c r="V541" s="17">
        <f>Table1[[#This Row],[Reporting year]]-Table1[[#This Row],[Policy Year]]</f>
        <v>1</v>
      </c>
      <c r="W541" s="17">
        <f>INT(Table1[[#This Row],[Reporting date]])-INT(Table1[[#This Row],[Loss date]])</f>
        <v>430</v>
      </c>
      <c r="X541" s="17">
        <f>INT((YEAR(Table1[[#This Row],[Loss date]])*12+MONTH(Table1[[#This Row],[Loss date]])-Earliest_Month)/4)</f>
        <v>15</v>
      </c>
      <c r="Y541" s="17">
        <f>INT((YEAR(Table1[[#This Row],[Reporting date]])*12+MONTH(Table1[[#This Row],[Reporting date]])-Earliest_Month)/4)</f>
        <v>18</v>
      </c>
      <c r="Z541" s="17">
        <f>Table1[[#This Row],[Reporting third]]-Table1[[#This Row],[Policy third]]</f>
        <v>3</v>
      </c>
      <c r="AA541" s="71">
        <f>IF(Table1[[#This Row],[Overall amount]]=0,"N/A",Table1[[#This Row],[Outstanding]]/Table1[[#This Row],[Overall amount]])</f>
        <v>0</v>
      </c>
      <c r="AB541" s="17">
        <f>IF(MONTH(Table1[[#This Row],[Loss date]])&lt;Pol_Inc_Month_Shifted,YEAR(Table1[[#This Row],[Loss date]])-1,YEAR(Table1[[#This Row],[Loss date]]))</f>
        <v>2009</v>
      </c>
      <c r="AC541" s="17">
        <f>IF(MONTH(Table1[[#This Row],[Reporting date]])&lt;Pol_Inc_Month_Shifted,YEAR(Table1[[#This Row],[Reporting date]])-1,YEAR(Table1[[#This Row],[Reporting date]]))</f>
        <v>2010</v>
      </c>
      <c r="AD541" s="17">
        <f>Table1[[#This Row],[Reporting year (shifted)]]-Table1[[#This Row],[Policy Year (shifted)]]</f>
        <v>1</v>
      </c>
    </row>
    <row r="542" spans="1:30" ht="13.9">
      <c r="A542" s="8" t="s">
        <v>2312</v>
      </c>
      <c r="B542" s="8" t="s">
        <v>594</v>
      </c>
      <c r="C542" s="8" t="s">
        <v>123</v>
      </c>
      <c r="D542" s="9">
        <v>40476</v>
      </c>
      <c r="E542" s="9">
        <v>40705</v>
      </c>
      <c r="F542" s="17">
        <f>IF(MONTH(Table1[[#This Row],[Loss date]])&lt;Policy_Inception_Month,YEAR(Table1[[#This Row],[Loss date]])-1,YEAR(Table1[[#This Row],[Loss date]]))</f>
        <v>2010</v>
      </c>
      <c r="G542" s="10" t="s">
        <v>125</v>
      </c>
      <c r="H542" s="10" t="s">
        <v>2</v>
      </c>
      <c r="I542" s="11">
        <v>4903.3687424419031</v>
      </c>
      <c r="J542" s="11">
        <v>0</v>
      </c>
      <c r="K542" s="11">
        <v>4903.3687424419031</v>
      </c>
      <c r="L542" s="12">
        <v>0</v>
      </c>
      <c r="M542" s="12">
        <v>0</v>
      </c>
      <c r="N542" s="12">
        <v>4903.3687424419031</v>
      </c>
      <c r="O542" s="70">
        <f>IF(Table1[[#This Row],[Overall amount]]=0,0,1)</f>
        <v>1</v>
      </c>
      <c r="P542" s="70">
        <f>Table1[[#This Row],[Overall amount]]*Exchange_Rate</f>
        <v>4903.3687424419031</v>
      </c>
      <c r="Q542" s="70">
        <f>Table1[[#This Row],[Overall (destination currency)]]*(1+Claims_Inflation)^((Revalue_at_date-Table1[[#This Row],[Loss date]])/365.25)</f>
        <v>6237.8399999999992</v>
      </c>
      <c r="R542" s="70">
        <f>INT(Table1[[#This Row],[Reporting date]])-INT(Table1[[#This Row],[Loss date]])</f>
        <v>229</v>
      </c>
      <c r="S542" s="69" t="s">
        <v>9</v>
      </c>
      <c r="T542" s="70">
        <f>VLOOKUP(Table1[[#This Row],[Policy Year]],exposure_table,3,FALSE)</f>
        <v>837.11513600000012</v>
      </c>
      <c r="U542" s="17">
        <f>IF(MONTH(Table1[[#This Row],[Reporting date]])&lt;Policy_Inception_Month,YEAR(Table1[[#This Row],[Reporting date]])-1,YEAR(Table1[[#This Row],[Reporting date]]))</f>
        <v>2011</v>
      </c>
      <c r="V542" s="17">
        <f>Table1[[#This Row],[Reporting year]]-Table1[[#This Row],[Policy Year]]</f>
        <v>1</v>
      </c>
      <c r="W542" s="17">
        <f>INT(Table1[[#This Row],[Reporting date]])-INT(Table1[[#This Row],[Loss date]])</f>
        <v>229</v>
      </c>
      <c r="X542" s="17">
        <f>INT((YEAR(Table1[[#This Row],[Loss date]])*12+MONTH(Table1[[#This Row],[Loss date]])-Earliest_Month)/4)</f>
        <v>16</v>
      </c>
      <c r="Y542" s="17">
        <f>INT((YEAR(Table1[[#This Row],[Reporting date]])*12+MONTH(Table1[[#This Row],[Reporting date]])-Earliest_Month)/4)</f>
        <v>18</v>
      </c>
      <c r="Z542" s="17">
        <f>Table1[[#This Row],[Reporting third]]-Table1[[#This Row],[Policy third]]</f>
        <v>2</v>
      </c>
      <c r="AA542" s="71">
        <f>IF(Table1[[#This Row],[Overall amount]]=0,"N/A",Table1[[#This Row],[Outstanding]]/Table1[[#This Row],[Overall amount]])</f>
        <v>0</v>
      </c>
      <c r="AB542" s="17">
        <f>IF(MONTH(Table1[[#This Row],[Loss date]])&lt;Pol_Inc_Month_Shifted,YEAR(Table1[[#This Row],[Loss date]])-1,YEAR(Table1[[#This Row],[Loss date]]))</f>
        <v>2009</v>
      </c>
      <c r="AC542" s="17">
        <f>IF(MONTH(Table1[[#This Row],[Reporting date]])&lt;Pol_Inc_Month_Shifted,YEAR(Table1[[#This Row],[Reporting date]])-1,YEAR(Table1[[#This Row],[Reporting date]]))</f>
        <v>2010</v>
      </c>
      <c r="AD542" s="17">
        <f>Table1[[#This Row],[Reporting year (shifted)]]-Table1[[#This Row],[Policy Year (shifted)]]</f>
        <v>1</v>
      </c>
    </row>
    <row r="543" spans="1:30" ht="13.9">
      <c r="A543" s="8" t="s">
        <v>2313</v>
      </c>
      <c r="B543" s="8" t="s">
        <v>595</v>
      </c>
      <c r="C543" s="8" t="s">
        <v>123</v>
      </c>
      <c r="D543" s="9">
        <v>40483</v>
      </c>
      <c r="E543" s="9">
        <v>40981</v>
      </c>
      <c r="F543" s="17">
        <f>IF(MONTH(Table1[[#This Row],[Loss date]])&lt;Policy_Inception_Month,YEAR(Table1[[#This Row],[Loss date]])-1,YEAR(Table1[[#This Row],[Loss date]]))</f>
        <v>2010</v>
      </c>
      <c r="G543" s="10" t="s">
        <v>147</v>
      </c>
      <c r="H543" s="10" t="s">
        <v>2</v>
      </c>
      <c r="I543" s="11">
        <v>711.90002332391578</v>
      </c>
      <c r="J543" s="11">
        <v>0</v>
      </c>
      <c r="K543" s="11">
        <v>711.90002332391578</v>
      </c>
      <c r="L543" s="12">
        <v>0</v>
      </c>
      <c r="M543" s="12">
        <v>52.918531176735854</v>
      </c>
      <c r="N543" s="12">
        <v>658.98149214717989</v>
      </c>
      <c r="O543" s="70">
        <f>IF(Table1[[#This Row],[Overall amount]]=0,0,1)</f>
        <v>1</v>
      </c>
      <c r="P543" s="70">
        <f>Table1[[#This Row],[Overall amount]]*Exchange_Rate</f>
        <v>658.98149214717989</v>
      </c>
      <c r="Q543" s="70">
        <f>Table1[[#This Row],[Overall (destination currency)]]*(1+Claims_Inflation)^((Revalue_at_date-Table1[[#This Row],[Loss date]])/365.25)</f>
        <v>837.54239999999982</v>
      </c>
      <c r="R543" s="70">
        <f>INT(Table1[[#This Row],[Reporting date]])-INT(Table1[[#This Row],[Loss date]])</f>
        <v>498</v>
      </c>
      <c r="S543" s="69" t="s">
        <v>9</v>
      </c>
      <c r="T543" s="70">
        <f>VLOOKUP(Table1[[#This Row],[Policy Year]],exposure_table,3,FALSE)</f>
        <v>837.11513600000012</v>
      </c>
      <c r="U543" s="17">
        <f>IF(MONTH(Table1[[#This Row],[Reporting date]])&lt;Policy_Inception_Month,YEAR(Table1[[#This Row],[Reporting date]])-1,YEAR(Table1[[#This Row],[Reporting date]]))</f>
        <v>2011</v>
      </c>
      <c r="V543" s="17">
        <f>Table1[[#This Row],[Reporting year]]-Table1[[#This Row],[Policy Year]]</f>
        <v>1</v>
      </c>
      <c r="W543" s="17">
        <f>INT(Table1[[#This Row],[Reporting date]])-INT(Table1[[#This Row],[Loss date]])</f>
        <v>498</v>
      </c>
      <c r="X543" s="17">
        <f>INT((YEAR(Table1[[#This Row],[Loss date]])*12+MONTH(Table1[[#This Row],[Loss date]])-Earliest_Month)/4)</f>
        <v>16</v>
      </c>
      <c r="Y543" s="17">
        <f>INT((YEAR(Table1[[#This Row],[Reporting date]])*12+MONTH(Table1[[#This Row],[Reporting date]])-Earliest_Month)/4)</f>
        <v>20</v>
      </c>
      <c r="Z543" s="17">
        <f>Table1[[#This Row],[Reporting third]]-Table1[[#This Row],[Policy third]]</f>
        <v>4</v>
      </c>
      <c r="AA543" s="71">
        <f>IF(Table1[[#This Row],[Overall amount]]=0,"N/A",Table1[[#This Row],[Outstanding]]/Table1[[#This Row],[Overall amount]])</f>
        <v>0</v>
      </c>
      <c r="AB543" s="17">
        <f>IF(MONTH(Table1[[#This Row],[Loss date]])&lt;Pol_Inc_Month_Shifted,YEAR(Table1[[#This Row],[Loss date]])-1,YEAR(Table1[[#This Row],[Loss date]]))</f>
        <v>2009</v>
      </c>
      <c r="AC543" s="17">
        <f>IF(MONTH(Table1[[#This Row],[Reporting date]])&lt;Pol_Inc_Month_Shifted,YEAR(Table1[[#This Row],[Reporting date]])-1,YEAR(Table1[[#This Row],[Reporting date]]))</f>
        <v>2011</v>
      </c>
      <c r="AD543" s="17">
        <f>Table1[[#This Row],[Reporting year (shifted)]]-Table1[[#This Row],[Policy Year (shifted)]]</f>
        <v>2</v>
      </c>
    </row>
    <row r="544" spans="1:30" ht="13.9">
      <c r="A544" s="8" t="s">
        <v>2314</v>
      </c>
      <c r="B544" s="8" t="s">
        <v>596</v>
      </c>
      <c r="C544" s="8" t="s">
        <v>123</v>
      </c>
      <c r="D544" s="9">
        <v>40574</v>
      </c>
      <c r="E544" s="9">
        <v>41021</v>
      </c>
      <c r="F544" s="17">
        <f>IF(MONTH(Table1[[#This Row],[Loss date]])&lt;Policy_Inception_Month,YEAR(Table1[[#This Row],[Loss date]])-1,YEAR(Table1[[#This Row],[Loss date]]))</f>
        <v>2010</v>
      </c>
      <c r="G544" s="10" t="s">
        <v>124</v>
      </c>
      <c r="H544" s="10" t="s">
        <v>2</v>
      </c>
      <c r="I544" s="11">
        <v>12096.44171129917</v>
      </c>
      <c r="J544" s="11">
        <v>1241.4693673838685</v>
      </c>
      <c r="K544" s="11">
        <v>13337.911078683039</v>
      </c>
      <c r="L544" s="12">
        <v>0</v>
      </c>
      <c r="M544" s="12">
        <v>0</v>
      </c>
      <c r="N544" s="12">
        <v>13337.911078683039</v>
      </c>
      <c r="O544" s="70">
        <f>IF(Table1[[#This Row],[Overall amount]]=0,0,1)</f>
        <v>1</v>
      </c>
      <c r="P544" s="70">
        <f>Table1[[#This Row],[Overall amount]]*Exchange_Rate</f>
        <v>13337.911078683039</v>
      </c>
      <c r="Q544" s="70">
        <f>Table1[[#This Row],[Overall (destination currency)]]*(1+Claims_Inflation)^((Revalue_at_date-Table1[[#This Row],[Loss date]])/365.25)</f>
        <v>16747.2</v>
      </c>
      <c r="R544" s="70">
        <f>INT(Table1[[#This Row],[Reporting date]])-INT(Table1[[#This Row],[Loss date]])</f>
        <v>447</v>
      </c>
      <c r="S544" s="69" t="s">
        <v>16</v>
      </c>
      <c r="T544" s="70">
        <f>VLOOKUP(Table1[[#This Row],[Policy Year]],exposure_table,3,FALSE)</f>
        <v>837.11513600000012</v>
      </c>
      <c r="U544" s="17">
        <f>IF(MONTH(Table1[[#This Row],[Reporting date]])&lt;Policy_Inception_Month,YEAR(Table1[[#This Row],[Reporting date]])-1,YEAR(Table1[[#This Row],[Reporting date]]))</f>
        <v>2012</v>
      </c>
      <c r="V544" s="17">
        <f>Table1[[#This Row],[Reporting year]]-Table1[[#This Row],[Policy Year]]</f>
        <v>2</v>
      </c>
      <c r="W544" s="17">
        <f>INT(Table1[[#This Row],[Reporting date]])-INT(Table1[[#This Row],[Loss date]])</f>
        <v>447</v>
      </c>
      <c r="X544" s="17">
        <f>INT((YEAR(Table1[[#This Row],[Loss date]])*12+MONTH(Table1[[#This Row],[Loss date]])-Earliest_Month)/4)</f>
        <v>17</v>
      </c>
      <c r="Y544" s="17">
        <f>INT((YEAR(Table1[[#This Row],[Reporting date]])*12+MONTH(Table1[[#This Row],[Reporting date]])-Earliest_Month)/4)</f>
        <v>21</v>
      </c>
      <c r="Z544" s="17">
        <f>Table1[[#This Row],[Reporting third]]-Table1[[#This Row],[Policy third]]</f>
        <v>4</v>
      </c>
      <c r="AA544" s="71">
        <f>IF(Table1[[#This Row],[Overall amount]]=0,"N/A",Table1[[#This Row],[Outstanding]]/Table1[[#This Row],[Overall amount]])</f>
        <v>9.3078245915735172E-2</v>
      </c>
      <c r="AB544" s="17">
        <f>IF(MONTH(Table1[[#This Row],[Loss date]])&lt;Pol_Inc_Month_Shifted,YEAR(Table1[[#This Row],[Loss date]])-1,YEAR(Table1[[#This Row],[Loss date]]))</f>
        <v>2010</v>
      </c>
      <c r="AC544" s="17">
        <f>IF(MONTH(Table1[[#This Row],[Reporting date]])&lt;Pol_Inc_Month_Shifted,YEAR(Table1[[#This Row],[Reporting date]])-1,YEAR(Table1[[#This Row],[Reporting date]]))</f>
        <v>2011</v>
      </c>
      <c r="AD544" s="17">
        <f>Table1[[#This Row],[Reporting year (shifted)]]-Table1[[#This Row],[Policy Year (shifted)]]</f>
        <v>1</v>
      </c>
    </row>
    <row r="545" spans="1:30" ht="13.9">
      <c r="A545" s="8" t="s">
        <v>2315</v>
      </c>
      <c r="B545" s="8" t="s">
        <v>597</v>
      </c>
      <c r="C545" s="8" t="s">
        <v>123</v>
      </c>
      <c r="D545" s="9">
        <v>40669</v>
      </c>
      <c r="E545" s="9">
        <v>40789</v>
      </c>
      <c r="F545" s="17">
        <f>IF(MONTH(Table1[[#This Row],[Loss date]])&lt;Policy_Inception_Month,YEAR(Table1[[#This Row],[Loss date]])-1,YEAR(Table1[[#This Row],[Loss date]]))</f>
        <v>2011</v>
      </c>
      <c r="G545" s="10" t="s">
        <v>125</v>
      </c>
      <c r="H545" s="10" t="s">
        <v>2</v>
      </c>
      <c r="I545" s="11">
        <v>6084.3260872098599</v>
      </c>
      <c r="J545" s="11">
        <v>0</v>
      </c>
      <c r="K545" s="11">
        <v>6084.3260872098599</v>
      </c>
      <c r="L545" s="12">
        <v>0</v>
      </c>
      <c r="M545" s="12">
        <v>0</v>
      </c>
      <c r="N545" s="12">
        <v>6084.3260872098599</v>
      </c>
      <c r="O545" s="70">
        <f>IF(Table1[[#This Row],[Overall amount]]=0,0,1)</f>
        <v>1</v>
      </c>
      <c r="P545" s="70">
        <f>Table1[[#This Row],[Overall amount]]*Exchange_Rate</f>
        <v>6084.3260872098599</v>
      </c>
      <c r="Q545" s="70">
        <f>Table1[[#This Row],[Overall (destination currency)]]*(1+Claims_Inflation)^((Revalue_at_date-Table1[[#This Row],[Loss date]])/365.25)</f>
        <v>7543.2</v>
      </c>
      <c r="R545" s="70">
        <f>INT(Table1[[#This Row],[Reporting date]])-INT(Table1[[#This Row],[Loss date]])</f>
        <v>120</v>
      </c>
      <c r="S545" s="69" t="s">
        <v>9</v>
      </c>
      <c r="T545" s="70">
        <f>VLOOKUP(Table1[[#This Row],[Policy Year]],exposure_table,3,FALSE)</f>
        <v>870.52680000000009</v>
      </c>
      <c r="U545" s="17">
        <f>IF(MONTH(Table1[[#This Row],[Reporting date]])&lt;Policy_Inception_Month,YEAR(Table1[[#This Row],[Reporting date]])-1,YEAR(Table1[[#This Row],[Reporting date]]))</f>
        <v>2011</v>
      </c>
      <c r="V545" s="17">
        <f>Table1[[#This Row],[Reporting year]]-Table1[[#This Row],[Policy Year]]</f>
        <v>0</v>
      </c>
      <c r="W545" s="17">
        <f>INT(Table1[[#This Row],[Reporting date]])-INT(Table1[[#This Row],[Loss date]])</f>
        <v>120</v>
      </c>
      <c r="X545" s="17">
        <f>INT((YEAR(Table1[[#This Row],[Loss date]])*12+MONTH(Table1[[#This Row],[Loss date]])-Earliest_Month)/4)</f>
        <v>18</v>
      </c>
      <c r="Y545" s="17">
        <f>INT((YEAR(Table1[[#This Row],[Reporting date]])*12+MONTH(Table1[[#This Row],[Reporting date]])-Earliest_Month)/4)</f>
        <v>19</v>
      </c>
      <c r="Z545" s="17">
        <f>Table1[[#This Row],[Reporting third]]-Table1[[#This Row],[Policy third]]</f>
        <v>1</v>
      </c>
      <c r="AA545" s="71">
        <f>IF(Table1[[#This Row],[Overall amount]]=0,"N/A",Table1[[#This Row],[Outstanding]]/Table1[[#This Row],[Overall amount]])</f>
        <v>0</v>
      </c>
      <c r="AB545" s="17">
        <f>IF(MONTH(Table1[[#This Row],[Loss date]])&lt;Pol_Inc_Month_Shifted,YEAR(Table1[[#This Row],[Loss date]])-1,YEAR(Table1[[#This Row],[Loss date]]))</f>
        <v>2010</v>
      </c>
      <c r="AC545" s="17">
        <f>IF(MONTH(Table1[[#This Row],[Reporting date]])&lt;Pol_Inc_Month_Shifted,YEAR(Table1[[#This Row],[Reporting date]])-1,YEAR(Table1[[#This Row],[Reporting date]]))</f>
        <v>2010</v>
      </c>
      <c r="AD545" s="17">
        <f>Table1[[#This Row],[Reporting year (shifted)]]-Table1[[#This Row],[Policy Year (shifted)]]</f>
        <v>0</v>
      </c>
    </row>
    <row r="546" spans="1:30" ht="13.9">
      <c r="A546" s="8" t="s">
        <v>2316</v>
      </c>
      <c r="B546" s="8" t="s">
        <v>598</v>
      </c>
      <c r="C546" s="8" t="s">
        <v>123</v>
      </c>
      <c r="D546" s="9">
        <v>40948</v>
      </c>
      <c r="E546" s="9">
        <v>41090</v>
      </c>
      <c r="F546" s="17">
        <f>IF(MONTH(Table1[[#This Row],[Loss date]])&lt;Policy_Inception_Month,YEAR(Table1[[#This Row],[Loss date]])-1,YEAR(Table1[[#This Row],[Loss date]]))</f>
        <v>2011</v>
      </c>
      <c r="G546" s="10" t="s">
        <v>125</v>
      </c>
      <c r="H546" s="10" t="s">
        <v>2</v>
      </c>
      <c r="I546" s="11">
        <v>11648.655349037821</v>
      </c>
      <c r="J546" s="11">
        <v>0</v>
      </c>
      <c r="K546" s="11">
        <v>11648.655349037821</v>
      </c>
      <c r="L546" s="12">
        <v>0</v>
      </c>
      <c r="M546" s="12">
        <v>0</v>
      </c>
      <c r="N546" s="12">
        <v>11648.655349037821</v>
      </c>
      <c r="O546" s="70">
        <f>IF(Table1[[#This Row],[Overall amount]]=0,0,1)</f>
        <v>1</v>
      </c>
      <c r="P546" s="70">
        <f>Table1[[#This Row],[Overall amount]]*Exchange_Rate</f>
        <v>11648.655349037821</v>
      </c>
      <c r="Q546" s="70">
        <f>Table1[[#This Row],[Overall (destination currency)]]*(1+Claims_Inflation)^((Revalue_at_date-Table1[[#This Row],[Loss date]])/365.25)</f>
        <v>13913.399999999998</v>
      </c>
      <c r="R546" s="70">
        <f>INT(Table1[[#This Row],[Reporting date]])-INT(Table1[[#This Row],[Loss date]])</f>
        <v>142</v>
      </c>
      <c r="S546" s="69" t="s">
        <v>9</v>
      </c>
      <c r="T546" s="70">
        <f>VLOOKUP(Table1[[#This Row],[Policy Year]],exposure_table,3,FALSE)</f>
        <v>870.52680000000009</v>
      </c>
      <c r="U546" s="17">
        <f>IF(MONTH(Table1[[#This Row],[Reporting date]])&lt;Policy_Inception_Month,YEAR(Table1[[#This Row],[Reporting date]])-1,YEAR(Table1[[#This Row],[Reporting date]]))</f>
        <v>2012</v>
      </c>
      <c r="V546" s="17">
        <f>Table1[[#This Row],[Reporting year]]-Table1[[#This Row],[Policy Year]]</f>
        <v>1</v>
      </c>
      <c r="W546" s="17">
        <f>INT(Table1[[#This Row],[Reporting date]])-INT(Table1[[#This Row],[Loss date]])</f>
        <v>142</v>
      </c>
      <c r="X546" s="17">
        <f>INT((YEAR(Table1[[#This Row],[Loss date]])*12+MONTH(Table1[[#This Row],[Loss date]])-Earliest_Month)/4)</f>
        <v>20</v>
      </c>
      <c r="Y546" s="17">
        <f>INT((YEAR(Table1[[#This Row],[Reporting date]])*12+MONTH(Table1[[#This Row],[Reporting date]])-Earliest_Month)/4)</f>
        <v>21</v>
      </c>
      <c r="Z546" s="17">
        <f>Table1[[#This Row],[Reporting third]]-Table1[[#This Row],[Policy third]]</f>
        <v>1</v>
      </c>
      <c r="AA546" s="71">
        <f>IF(Table1[[#This Row],[Overall amount]]=0,"N/A",Table1[[#This Row],[Outstanding]]/Table1[[#This Row],[Overall amount]])</f>
        <v>0</v>
      </c>
      <c r="AB546" s="17">
        <f>IF(MONTH(Table1[[#This Row],[Loss date]])&lt;Pol_Inc_Month_Shifted,YEAR(Table1[[#This Row],[Loss date]])-1,YEAR(Table1[[#This Row],[Loss date]]))</f>
        <v>2011</v>
      </c>
      <c r="AC546" s="17">
        <f>IF(MONTH(Table1[[#This Row],[Reporting date]])&lt;Pol_Inc_Month_Shifted,YEAR(Table1[[#This Row],[Reporting date]])-1,YEAR(Table1[[#This Row],[Reporting date]]))</f>
        <v>2011</v>
      </c>
      <c r="AD546" s="17">
        <f>Table1[[#This Row],[Reporting year (shifted)]]-Table1[[#This Row],[Policy Year (shifted)]]</f>
        <v>0</v>
      </c>
    </row>
    <row r="547" spans="1:30" ht="13.9">
      <c r="A547" s="8" t="s">
        <v>2317</v>
      </c>
      <c r="B547" s="8" t="s">
        <v>599</v>
      </c>
      <c r="C547" s="8" t="s">
        <v>123</v>
      </c>
      <c r="D547" s="9">
        <v>40756</v>
      </c>
      <c r="E547" s="9">
        <v>40966</v>
      </c>
      <c r="F547" s="17">
        <f>IF(MONTH(Table1[[#This Row],[Loss date]])&lt;Policy_Inception_Month,YEAR(Table1[[#This Row],[Loss date]])-1,YEAR(Table1[[#This Row],[Loss date]]))</f>
        <v>2011</v>
      </c>
      <c r="G547" s="10" t="s">
        <v>125</v>
      </c>
      <c r="H547" s="10" t="s">
        <v>2</v>
      </c>
      <c r="I547" s="11">
        <v>7580.3267450402473</v>
      </c>
      <c r="J547" s="11">
        <v>0</v>
      </c>
      <c r="K547" s="11">
        <v>7580.3267450402473</v>
      </c>
      <c r="L547" s="12">
        <v>0</v>
      </c>
      <c r="M547" s="12">
        <v>0</v>
      </c>
      <c r="N547" s="12">
        <v>7580.3267450402473</v>
      </c>
      <c r="O547" s="70">
        <f>IF(Table1[[#This Row],[Overall amount]]=0,0,1)</f>
        <v>1</v>
      </c>
      <c r="P547" s="70">
        <f>Table1[[#This Row],[Overall amount]]*Exchange_Rate</f>
        <v>7580.3267450402473</v>
      </c>
      <c r="Q547" s="70">
        <f>Table1[[#This Row],[Overall (destination currency)]]*(1+Claims_Inflation)^((Revalue_at_date-Table1[[#This Row],[Loss date]])/365.25)</f>
        <v>9289.32</v>
      </c>
      <c r="R547" s="70">
        <f>INT(Table1[[#This Row],[Reporting date]])-INT(Table1[[#This Row],[Loss date]])</f>
        <v>210</v>
      </c>
      <c r="S547" s="69" t="s">
        <v>9</v>
      </c>
      <c r="T547" s="70">
        <f>VLOOKUP(Table1[[#This Row],[Policy Year]],exposure_table,3,FALSE)</f>
        <v>870.52680000000009</v>
      </c>
      <c r="U547" s="17">
        <f>IF(MONTH(Table1[[#This Row],[Reporting date]])&lt;Policy_Inception_Month,YEAR(Table1[[#This Row],[Reporting date]])-1,YEAR(Table1[[#This Row],[Reporting date]]))</f>
        <v>2011</v>
      </c>
      <c r="V547" s="17">
        <f>Table1[[#This Row],[Reporting year]]-Table1[[#This Row],[Policy Year]]</f>
        <v>0</v>
      </c>
      <c r="W547" s="17">
        <f>INT(Table1[[#This Row],[Reporting date]])-INT(Table1[[#This Row],[Loss date]])</f>
        <v>210</v>
      </c>
      <c r="X547" s="17">
        <f>INT((YEAR(Table1[[#This Row],[Loss date]])*12+MONTH(Table1[[#This Row],[Loss date]])-Earliest_Month)/4)</f>
        <v>19</v>
      </c>
      <c r="Y547" s="17">
        <f>INT((YEAR(Table1[[#This Row],[Reporting date]])*12+MONTH(Table1[[#This Row],[Reporting date]])-Earliest_Month)/4)</f>
        <v>20</v>
      </c>
      <c r="Z547" s="17">
        <f>Table1[[#This Row],[Reporting third]]-Table1[[#This Row],[Policy third]]</f>
        <v>1</v>
      </c>
      <c r="AA547" s="71">
        <f>IF(Table1[[#This Row],[Overall amount]]=0,"N/A",Table1[[#This Row],[Outstanding]]/Table1[[#This Row],[Overall amount]])</f>
        <v>0</v>
      </c>
      <c r="AB547" s="17">
        <f>IF(MONTH(Table1[[#This Row],[Loss date]])&lt;Pol_Inc_Month_Shifted,YEAR(Table1[[#This Row],[Loss date]])-1,YEAR(Table1[[#This Row],[Loss date]]))</f>
        <v>2010</v>
      </c>
      <c r="AC547" s="17">
        <f>IF(MONTH(Table1[[#This Row],[Reporting date]])&lt;Pol_Inc_Month_Shifted,YEAR(Table1[[#This Row],[Reporting date]])-1,YEAR(Table1[[#This Row],[Reporting date]]))</f>
        <v>2011</v>
      </c>
      <c r="AD547" s="17">
        <f>Table1[[#This Row],[Reporting year (shifted)]]-Table1[[#This Row],[Policy Year (shifted)]]</f>
        <v>1</v>
      </c>
    </row>
    <row r="548" spans="1:30" ht="13.9">
      <c r="A548" s="8" t="s">
        <v>2318</v>
      </c>
      <c r="B548" s="8" t="s">
        <v>600</v>
      </c>
      <c r="C548" s="8" t="s">
        <v>123</v>
      </c>
      <c r="D548" s="9">
        <v>40873</v>
      </c>
      <c r="E548" s="9">
        <v>40943</v>
      </c>
      <c r="F548" s="17">
        <f>IF(MONTH(Table1[[#This Row],[Loss date]])&lt;Policy_Inception_Month,YEAR(Table1[[#This Row],[Loss date]])-1,YEAR(Table1[[#This Row],[Loss date]]))</f>
        <v>2011</v>
      </c>
      <c r="G548" s="10" t="s">
        <v>140</v>
      </c>
      <c r="H548" s="10" t="s">
        <v>2</v>
      </c>
      <c r="I548" s="11">
        <v>288.45015951257119</v>
      </c>
      <c r="J548" s="11">
        <v>0</v>
      </c>
      <c r="K548" s="11">
        <v>288.45015951257119</v>
      </c>
      <c r="L548" s="12">
        <v>0</v>
      </c>
      <c r="M548" s="12">
        <v>0</v>
      </c>
      <c r="N548" s="12">
        <v>288.45015951257119</v>
      </c>
      <c r="O548" s="70">
        <f>IF(Table1[[#This Row],[Overall amount]]=0,0,1)</f>
        <v>1</v>
      </c>
      <c r="P548" s="70">
        <f>Table1[[#This Row],[Overall amount]]*Exchange_Rate</f>
        <v>288.45015951257119</v>
      </c>
      <c r="Q548" s="70">
        <f>Table1[[#This Row],[Overall (destination currency)]]*(1+Claims_Inflation)^((Revalue_at_date-Table1[[#This Row],[Loss date]])/365.25)</f>
        <v>348.00000000000006</v>
      </c>
      <c r="R548" s="70">
        <f>INT(Table1[[#This Row],[Reporting date]])-INT(Table1[[#This Row],[Loss date]])</f>
        <v>70</v>
      </c>
      <c r="S548" s="69" t="s">
        <v>9</v>
      </c>
      <c r="T548" s="70">
        <f>VLOOKUP(Table1[[#This Row],[Policy Year]],exposure_table,3,FALSE)</f>
        <v>870.52680000000009</v>
      </c>
      <c r="U548" s="17">
        <f>IF(MONTH(Table1[[#This Row],[Reporting date]])&lt;Policy_Inception_Month,YEAR(Table1[[#This Row],[Reporting date]])-1,YEAR(Table1[[#This Row],[Reporting date]]))</f>
        <v>2011</v>
      </c>
      <c r="V548" s="17">
        <f>Table1[[#This Row],[Reporting year]]-Table1[[#This Row],[Policy Year]]</f>
        <v>0</v>
      </c>
      <c r="W548" s="17">
        <f>INT(Table1[[#This Row],[Reporting date]])-INT(Table1[[#This Row],[Loss date]])</f>
        <v>70</v>
      </c>
      <c r="X548" s="17">
        <f>INT((YEAR(Table1[[#This Row],[Loss date]])*12+MONTH(Table1[[#This Row],[Loss date]])-Earliest_Month)/4)</f>
        <v>19</v>
      </c>
      <c r="Y548" s="17">
        <f>INT((YEAR(Table1[[#This Row],[Reporting date]])*12+MONTH(Table1[[#This Row],[Reporting date]])-Earliest_Month)/4)</f>
        <v>20</v>
      </c>
      <c r="Z548" s="17">
        <f>Table1[[#This Row],[Reporting third]]-Table1[[#This Row],[Policy third]]</f>
        <v>1</v>
      </c>
      <c r="AA548" s="71">
        <f>IF(Table1[[#This Row],[Overall amount]]=0,"N/A",Table1[[#This Row],[Outstanding]]/Table1[[#This Row],[Overall amount]])</f>
        <v>0</v>
      </c>
      <c r="AB548" s="17">
        <f>IF(MONTH(Table1[[#This Row],[Loss date]])&lt;Pol_Inc_Month_Shifted,YEAR(Table1[[#This Row],[Loss date]])-1,YEAR(Table1[[#This Row],[Loss date]]))</f>
        <v>2010</v>
      </c>
      <c r="AC548" s="17">
        <f>IF(MONTH(Table1[[#This Row],[Reporting date]])&lt;Pol_Inc_Month_Shifted,YEAR(Table1[[#This Row],[Reporting date]])-1,YEAR(Table1[[#This Row],[Reporting date]]))</f>
        <v>2011</v>
      </c>
      <c r="AD548" s="17">
        <f>Table1[[#This Row],[Reporting year (shifted)]]-Table1[[#This Row],[Policy Year (shifted)]]</f>
        <v>1</v>
      </c>
    </row>
    <row r="549" spans="1:30" ht="13.9">
      <c r="A549" s="8" t="s">
        <v>2319</v>
      </c>
      <c r="B549" s="8" t="s">
        <v>601</v>
      </c>
      <c r="C549" s="8" t="s">
        <v>123</v>
      </c>
      <c r="D549" s="9">
        <v>40729</v>
      </c>
      <c r="E549" s="9">
        <v>40920</v>
      </c>
      <c r="F549" s="17">
        <f>IF(MONTH(Table1[[#This Row],[Loss date]])&lt;Policy_Inception_Month,YEAR(Table1[[#This Row],[Loss date]])-1,YEAR(Table1[[#This Row],[Loss date]]))</f>
        <v>2011</v>
      </c>
      <c r="G549" s="10" t="s">
        <v>125</v>
      </c>
      <c r="H549" s="10" t="s">
        <v>2</v>
      </c>
      <c r="I549" s="11">
        <v>594.20484164009508</v>
      </c>
      <c r="J549" s="11">
        <v>0</v>
      </c>
      <c r="K549" s="11">
        <v>594.20484164009508</v>
      </c>
      <c r="L549" s="12">
        <v>146.35587232514658</v>
      </c>
      <c r="M549" s="12">
        <v>0</v>
      </c>
      <c r="N549" s="12">
        <v>740.56071396524169</v>
      </c>
      <c r="O549" s="70">
        <f>IF(Table1[[#This Row],[Overall amount]]=0,0,1)</f>
        <v>1</v>
      </c>
      <c r="P549" s="70">
        <f>Table1[[#This Row],[Overall amount]]*Exchange_Rate</f>
        <v>740.56071396524169</v>
      </c>
      <c r="Q549" s="70">
        <f>Table1[[#This Row],[Overall (destination currency)]]*(1+Claims_Inflation)^((Revalue_at_date-Table1[[#This Row],[Loss date]])/365.25)</f>
        <v>910.8</v>
      </c>
      <c r="R549" s="70">
        <f>INT(Table1[[#This Row],[Reporting date]])-INT(Table1[[#This Row],[Loss date]])</f>
        <v>191</v>
      </c>
      <c r="S549" s="69" t="s">
        <v>9</v>
      </c>
      <c r="T549" s="70">
        <f>VLOOKUP(Table1[[#This Row],[Policy Year]],exposure_table,3,FALSE)</f>
        <v>870.52680000000009</v>
      </c>
      <c r="U549" s="17">
        <f>IF(MONTH(Table1[[#This Row],[Reporting date]])&lt;Policy_Inception_Month,YEAR(Table1[[#This Row],[Reporting date]])-1,YEAR(Table1[[#This Row],[Reporting date]]))</f>
        <v>2011</v>
      </c>
      <c r="V549" s="17">
        <f>Table1[[#This Row],[Reporting year]]-Table1[[#This Row],[Policy Year]]</f>
        <v>0</v>
      </c>
      <c r="W549" s="17">
        <f>INT(Table1[[#This Row],[Reporting date]])-INT(Table1[[#This Row],[Loss date]])</f>
        <v>191</v>
      </c>
      <c r="X549" s="17">
        <f>INT((YEAR(Table1[[#This Row],[Loss date]])*12+MONTH(Table1[[#This Row],[Loss date]])-Earliest_Month)/4)</f>
        <v>18</v>
      </c>
      <c r="Y549" s="17">
        <f>INT((YEAR(Table1[[#This Row],[Reporting date]])*12+MONTH(Table1[[#This Row],[Reporting date]])-Earliest_Month)/4)</f>
        <v>20</v>
      </c>
      <c r="Z549" s="17">
        <f>Table1[[#This Row],[Reporting third]]-Table1[[#This Row],[Policy third]]</f>
        <v>2</v>
      </c>
      <c r="AA549" s="71">
        <f>IF(Table1[[#This Row],[Overall amount]]=0,"N/A",Table1[[#This Row],[Outstanding]]/Table1[[#This Row],[Overall amount]])</f>
        <v>0</v>
      </c>
      <c r="AB549" s="17">
        <f>IF(MONTH(Table1[[#This Row],[Loss date]])&lt;Pol_Inc_Month_Shifted,YEAR(Table1[[#This Row],[Loss date]])-1,YEAR(Table1[[#This Row],[Loss date]]))</f>
        <v>2010</v>
      </c>
      <c r="AC549" s="17">
        <f>IF(MONTH(Table1[[#This Row],[Reporting date]])&lt;Pol_Inc_Month_Shifted,YEAR(Table1[[#This Row],[Reporting date]])-1,YEAR(Table1[[#This Row],[Reporting date]]))</f>
        <v>2011</v>
      </c>
      <c r="AD549" s="17">
        <f>Table1[[#This Row],[Reporting year (shifted)]]-Table1[[#This Row],[Policy Year (shifted)]]</f>
        <v>1</v>
      </c>
    </row>
    <row r="550" spans="1:30" ht="13.9">
      <c r="A550" s="8" t="s">
        <v>2320</v>
      </c>
      <c r="B550" s="8" t="s">
        <v>602</v>
      </c>
      <c r="C550" s="8" t="s">
        <v>123</v>
      </c>
      <c r="D550" s="9">
        <v>40653</v>
      </c>
      <c r="E550" s="9">
        <v>40985</v>
      </c>
      <c r="F550" s="17">
        <f>IF(MONTH(Table1[[#This Row],[Loss date]])&lt;Policy_Inception_Month,YEAR(Table1[[#This Row],[Loss date]])-1,YEAR(Table1[[#This Row],[Loss date]]))</f>
        <v>2011</v>
      </c>
      <c r="G550" s="10" t="s">
        <v>125</v>
      </c>
      <c r="H550" s="10" t="s">
        <v>2</v>
      </c>
      <c r="I550" s="11">
        <v>308.10629955120771</v>
      </c>
      <c r="J550" s="11">
        <v>0</v>
      </c>
      <c r="K550" s="11">
        <v>308.10629955120771</v>
      </c>
      <c r="L550" s="12">
        <v>0</v>
      </c>
      <c r="M550" s="12">
        <v>0</v>
      </c>
      <c r="N550" s="12">
        <v>308.10629955120771</v>
      </c>
      <c r="O550" s="70">
        <f>IF(Table1[[#This Row],[Overall amount]]=0,0,1)</f>
        <v>1</v>
      </c>
      <c r="P550" s="70">
        <f>Table1[[#This Row],[Overall amount]]*Exchange_Rate</f>
        <v>308.10629955120771</v>
      </c>
      <c r="Q550" s="70">
        <f>Table1[[#This Row],[Overall (destination currency)]]*(1+Claims_Inflation)^((Revalue_at_date-Table1[[#This Row],[Loss date]])/365.25)</f>
        <v>382.80000000000007</v>
      </c>
      <c r="R550" s="70">
        <f>INT(Table1[[#This Row],[Reporting date]])-INT(Table1[[#This Row],[Loss date]])</f>
        <v>332</v>
      </c>
      <c r="S550" s="69" t="s">
        <v>9</v>
      </c>
      <c r="T550" s="70">
        <f>VLOOKUP(Table1[[#This Row],[Policy Year]],exposure_table,3,FALSE)</f>
        <v>870.52680000000009</v>
      </c>
      <c r="U550" s="17">
        <f>IF(MONTH(Table1[[#This Row],[Reporting date]])&lt;Policy_Inception_Month,YEAR(Table1[[#This Row],[Reporting date]])-1,YEAR(Table1[[#This Row],[Reporting date]]))</f>
        <v>2011</v>
      </c>
      <c r="V550" s="17">
        <f>Table1[[#This Row],[Reporting year]]-Table1[[#This Row],[Policy Year]]</f>
        <v>0</v>
      </c>
      <c r="W550" s="17">
        <f>INT(Table1[[#This Row],[Reporting date]])-INT(Table1[[#This Row],[Loss date]])</f>
        <v>332</v>
      </c>
      <c r="X550" s="17">
        <f>INT((YEAR(Table1[[#This Row],[Loss date]])*12+MONTH(Table1[[#This Row],[Loss date]])-Earliest_Month)/4)</f>
        <v>18</v>
      </c>
      <c r="Y550" s="17">
        <f>INT((YEAR(Table1[[#This Row],[Reporting date]])*12+MONTH(Table1[[#This Row],[Reporting date]])-Earliest_Month)/4)</f>
        <v>20</v>
      </c>
      <c r="Z550" s="17">
        <f>Table1[[#This Row],[Reporting third]]-Table1[[#This Row],[Policy third]]</f>
        <v>2</v>
      </c>
      <c r="AA550" s="71">
        <f>IF(Table1[[#This Row],[Overall amount]]=0,"N/A",Table1[[#This Row],[Outstanding]]/Table1[[#This Row],[Overall amount]])</f>
        <v>0</v>
      </c>
      <c r="AB550" s="17">
        <f>IF(MONTH(Table1[[#This Row],[Loss date]])&lt;Pol_Inc_Month_Shifted,YEAR(Table1[[#This Row],[Loss date]])-1,YEAR(Table1[[#This Row],[Loss date]]))</f>
        <v>2010</v>
      </c>
      <c r="AC550" s="17">
        <f>IF(MONTH(Table1[[#This Row],[Reporting date]])&lt;Pol_Inc_Month_Shifted,YEAR(Table1[[#This Row],[Reporting date]])-1,YEAR(Table1[[#This Row],[Reporting date]]))</f>
        <v>2011</v>
      </c>
      <c r="AD550" s="17">
        <f>Table1[[#This Row],[Reporting year (shifted)]]-Table1[[#This Row],[Policy Year (shifted)]]</f>
        <v>1</v>
      </c>
    </row>
    <row r="551" spans="1:30" ht="13.9">
      <c r="A551" s="8" t="s">
        <v>2321</v>
      </c>
      <c r="B551" s="8" t="s">
        <v>603</v>
      </c>
      <c r="C551" s="8" t="s">
        <v>123</v>
      </c>
      <c r="D551" s="9">
        <v>40567</v>
      </c>
      <c r="E551" s="9">
        <v>41068</v>
      </c>
      <c r="F551" s="17">
        <f>IF(MONTH(Table1[[#This Row],[Loss date]])&lt;Policy_Inception_Month,YEAR(Table1[[#This Row],[Loss date]])-1,YEAR(Table1[[#This Row],[Loss date]]))</f>
        <v>2010</v>
      </c>
      <c r="G551" s="10" t="s">
        <v>125</v>
      </c>
      <c r="H551" s="10" t="s">
        <v>2</v>
      </c>
      <c r="I551" s="11">
        <v>1663.9619698107247</v>
      </c>
      <c r="J551" s="11">
        <v>0</v>
      </c>
      <c r="K551" s="11">
        <v>1663.9619698107247</v>
      </c>
      <c r="L551" s="12">
        <v>143.22275519114518</v>
      </c>
      <c r="M551" s="12">
        <v>0</v>
      </c>
      <c r="N551" s="12">
        <v>1807.1847250018698</v>
      </c>
      <c r="O551" s="70">
        <f>IF(Table1[[#This Row],[Overall amount]]=0,0,1)</f>
        <v>1</v>
      </c>
      <c r="P551" s="70">
        <f>Table1[[#This Row],[Overall amount]]*Exchange_Rate</f>
        <v>1807.1847250018698</v>
      </c>
      <c r="Q551" s="70">
        <f>Table1[[#This Row],[Overall (destination currency)]]*(1+Claims_Inflation)^((Revalue_at_date-Table1[[#This Row],[Loss date]])/365.25)</f>
        <v>2271.2399999999998</v>
      </c>
      <c r="R551" s="70">
        <f>INT(Table1[[#This Row],[Reporting date]])-INT(Table1[[#This Row],[Loss date]])</f>
        <v>501</v>
      </c>
      <c r="S551" s="69" t="s">
        <v>9</v>
      </c>
      <c r="T551" s="70">
        <f>VLOOKUP(Table1[[#This Row],[Policy Year]],exposure_table,3,FALSE)</f>
        <v>837.11513600000012</v>
      </c>
      <c r="U551" s="17">
        <f>IF(MONTH(Table1[[#This Row],[Reporting date]])&lt;Policy_Inception_Month,YEAR(Table1[[#This Row],[Reporting date]])-1,YEAR(Table1[[#This Row],[Reporting date]]))</f>
        <v>2012</v>
      </c>
      <c r="V551" s="17">
        <f>Table1[[#This Row],[Reporting year]]-Table1[[#This Row],[Policy Year]]</f>
        <v>2</v>
      </c>
      <c r="W551" s="17">
        <f>INT(Table1[[#This Row],[Reporting date]])-INT(Table1[[#This Row],[Loss date]])</f>
        <v>501</v>
      </c>
      <c r="X551" s="17">
        <f>INT((YEAR(Table1[[#This Row],[Loss date]])*12+MONTH(Table1[[#This Row],[Loss date]])-Earliest_Month)/4)</f>
        <v>17</v>
      </c>
      <c r="Y551" s="17">
        <f>INT((YEAR(Table1[[#This Row],[Reporting date]])*12+MONTH(Table1[[#This Row],[Reporting date]])-Earliest_Month)/4)</f>
        <v>21</v>
      </c>
      <c r="Z551" s="17">
        <f>Table1[[#This Row],[Reporting third]]-Table1[[#This Row],[Policy third]]</f>
        <v>4</v>
      </c>
      <c r="AA551" s="71">
        <f>IF(Table1[[#This Row],[Overall amount]]=0,"N/A",Table1[[#This Row],[Outstanding]]/Table1[[#This Row],[Overall amount]])</f>
        <v>0</v>
      </c>
      <c r="AB551" s="17">
        <f>IF(MONTH(Table1[[#This Row],[Loss date]])&lt;Pol_Inc_Month_Shifted,YEAR(Table1[[#This Row],[Loss date]])-1,YEAR(Table1[[#This Row],[Loss date]]))</f>
        <v>2010</v>
      </c>
      <c r="AC551" s="17">
        <f>IF(MONTH(Table1[[#This Row],[Reporting date]])&lt;Pol_Inc_Month_Shifted,YEAR(Table1[[#This Row],[Reporting date]])-1,YEAR(Table1[[#This Row],[Reporting date]]))</f>
        <v>2011</v>
      </c>
      <c r="AD551" s="17">
        <f>Table1[[#This Row],[Reporting year (shifted)]]-Table1[[#This Row],[Policy Year (shifted)]]</f>
        <v>1</v>
      </c>
    </row>
    <row r="552" spans="1:30" ht="13.9">
      <c r="A552" s="8" t="s">
        <v>2322</v>
      </c>
      <c r="B552" s="8" t="s">
        <v>604</v>
      </c>
      <c r="C552" s="8" t="s">
        <v>123</v>
      </c>
      <c r="D552" s="9">
        <v>40944</v>
      </c>
      <c r="E552" s="9">
        <v>40993</v>
      </c>
      <c r="F552" s="17">
        <f>IF(MONTH(Table1[[#This Row],[Loss date]])&lt;Policy_Inception_Month,YEAR(Table1[[#This Row],[Loss date]])-1,YEAR(Table1[[#This Row],[Loss date]]))</f>
        <v>2011</v>
      </c>
      <c r="G552" s="10" t="s">
        <v>125</v>
      </c>
      <c r="H552" s="10" t="s">
        <v>2</v>
      </c>
      <c r="I552" s="11">
        <v>1396.7505415914682</v>
      </c>
      <c r="J552" s="11">
        <v>0</v>
      </c>
      <c r="K552" s="11">
        <v>1396.7505415914682</v>
      </c>
      <c r="L552" s="12">
        <v>150.62011591568671</v>
      </c>
      <c r="M552" s="12">
        <v>0</v>
      </c>
      <c r="N552" s="12">
        <v>1547.3706575071549</v>
      </c>
      <c r="O552" s="70">
        <f>IF(Table1[[#This Row],[Overall amount]]=0,0,1)</f>
        <v>1</v>
      </c>
      <c r="P552" s="70">
        <f>Table1[[#This Row],[Overall amount]]*Exchange_Rate</f>
        <v>1547.3706575071549</v>
      </c>
      <c r="Q552" s="70">
        <f>Table1[[#This Row],[Overall (destination currency)]]*(1+Claims_Inflation)^((Revalue_at_date-Table1[[#This Row],[Loss date]])/365.25)</f>
        <v>1849.1999999999998</v>
      </c>
      <c r="R552" s="70">
        <f>INT(Table1[[#This Row],[Reporting date]])-INT(Table1[[#This Row],[Loss date]])</f>
        <v>49</v>
      </c>
      <c r="S552" s="69" t="s">
        <v>9</v>
      </c>
      <c r="T552" s="70">
        <f>VLOOKUP(Table1[[#This Row],[Policy Year]],exposure_table,3,FALSE)</f>
        <v>870.52680000000009</v>
      </c>
      <c r="U552" s="17">
        <f>IF(MONTH(Table1[[#This Row],[Reporting date]])&lt;Policy_Inception_Month,YEAR(Table1[[#This Row],[Reporting date]])-1,YEAR(Table1[[#This Row],[Reporting date]]))</f>
        <v>2011</v>
      </c>
      <c r="V552" s="17">
        <f>Table1[[#This Row],[Reporting year]]-Table1[[#This Row],[Policy Year]]</f>
        <v>0</v>
      </c>
      <c r="W552" s="17">
        <f>INT(Table1[[#This Row],[Reporting date]])-INT(Table1[[#This Row],[Loss date]])</f>
        <v>49</v>
      </c>
      <c r="X552" s="17">
        <f>INT((YEAR(Table1[[#This Row],[Loss date]])*12+MONTH(Table1[[#This Row],[Loss date]])-Earliest_Month)/4)</f>
        <v>20</v>
      </c>
      <c r="Y552" s="17">
        <f>INT((YEAR(Table1[[#This Row],[Reporting date]])*12+MONTH(Table1[[#This Row],[Reporting date]])-Earliest_Month)/4)</f>
        <v>20</v>
      </c>
      <c r="Z552" s="17">
        <f>Table1[[#This Row],[Reporting third]]-Table1[[#This Row],[Policy third]]</f>
        <v>0</v>
      </c>
      <c r="AA552" s="71">
        <f>IF(Table1[[#This Row],[Overall amount]]=0,"N/A",Table1[[#This Row],[Outstanding]]/Table1[[#This Row],[Overall amount]])</f>
        <v>0</v>
      </c>
      <c r="AB552" s="17">
        <f>IF(MONTH(Table1[[#This Row],[Loss date]])&lt;Pol_Inc_Month_Shifted,YEAR(Table1[[#This Row],[Loss date]])-1,YEAR(Table1[[#This Row],[Loss date]]))</f>
        <v>2011</v>
      </c>
      <c r="AC552" s="17">
        <f>IF(MONTH(Table1[[#This Row],[Reporting date]])&lt;Pol_Inc_Month_Shifted,YEAR(Table1[[#This Row],[Reporting date]])-1,YEAR(Table1[[#This Row],[Reporting date]]))</f>
        <v>2011</v>
      </c>
      <c r="AD552" s="17">
        <f>Table1[[#This Row],[Reporting year (shifted)]]-Table1[[#This Row],[Policy Year (shifted)]]</f>
        <v>0</v>
      </c>
    </row>
    <row r="553" spans="1:30" ht="13.9">
      <c r="A553" s="8" t="s">
        <v>2323</v>
      </c>
      <c r="B553" s="8" t="s">
        <v>605</v>
      </c>
      <c r="C553" s="8" t="s">
        <v>123</v>
      </c>
      <c r="D553" s="9">
        <v>40340</v>
      </c>
      <c r="E553" s="9">
        <v>40461</v>
      </c>
      <c r="F553" s="17">
        <f>IF(MONTH(Table1[[#This Row],[Loss date]])&lt;Policy_Inception_Month,YEAR(Table1[[#This Row],[Loss date]])-1,YEAR(Table1[[#This Row],[Loss date]]))</f>
        <v>2010</v>
      </c>
      <c r="G553" s="10" t="s">
        <v>125</v>
      </c>
      <c r="H553" s="10" t="s">
        <v>2</v>
      </c>
      <c r="I553" s="11">
        <v>11530.122392029736</v>
      </c>
      <c r="J553" s="11">
        <v>0</v>
      </c>
      <c r="K553" s="11">
        <v>11530.122392029736</v>
      </c>
      <c r="L553" s="12">
        <v>0</v>
      </c>
      <c r="M553" s="12">
        <v>0</v>
      </c>
      <c r="N553" s="12">
        <v>11530.122392029736</v>
      </c>
      <c r="O553" s="70">
        <f>IF(Table1[[#This Row],[Overall amount]]=0,0,1)</f>
        <v>1</v>
      </c>
      <c r="P553" s="70">
        <f>Table1[[#This Row],[Overall amount]]*Exchange_Rate</f>
        <v>11530.122392029736</v>
      </c>
      <c r="Q553" s="70">
        <f>Table1[[#This Row],[Overall (destination currency)]]*(1+Claims_Inflation)^((Revalue_at_date-Table1[[#This Row],[Loss date]])/365.25)</f>
        <v>14937.000000000002</v>
      </c>
      <c r="R553" s="70">
        <f>INT(Table1[[#This Row],[Reporting date]])-INT(Table1[[#This Row],[Loss date]])</f>
        <v>121</v>
      </c>
      <c r="S553" s="69" t="s">
        <v>9</v>
      </c>
      <c r="T553" s="70">
        <f>VLOOKUP(Table1[[#This Row],[Policy Year]],exposure_table,3,FALSE)</f>
        <v>837.11513600000012</v>
      </c>
      <c r="U553" s="17">
        <f>IF(MONTH(Table1[[#This Row],[Reporting date]])&lt;Policy_Inception_Month,YEAR(Table1[[#This Row],[Reporting date]])-1,YEAR(Table1[[#This Row],[Reporting date]]))</f>
        <v>2010</v>
      </c>
      <c r="V553" s="17">
        <f>Table1[[#This Row],[Reporting year]]-Table1[[#This Row],[Policy Year]]</f>
        <v>0</v>
      </c>
      <c r="W553" s="17">
        <f>INT(Table1[[#This Row],[Reporting date]])-INT(Table1[[#This Row],[Loss date]])</f>
        <v>121</v>
      </c>
      <c r="X553" s="17">
        <f>INT((YEAR(Table1[[#This Row],[Loss date]])*12+MONTH(Table1[[#This Row],[Loss date]])-Earliest_Month)/4)</f>
        <v>15</v>
      </c>
      <c r="Y553" s="17">
        <f>INT((YEAR(Table1[[#This Row],[Reporting date]])*12+MONTH(Table1[[#This Row],[Reporting date]])-Earliest_Month)/4)</f>
        <v>16</v>
      </c>
      <c r="Z553" s="17">
        <f>Table1[[#This Row],[Reporting third]]-Table1[[#This Row],[Policy third]]</f>
        <v>1</v>
      </c>
      <c r="AA553" s="71">
        <f>IF(Table1[[#This Row],[Overall amount]]=0,"N/A",Table1[[#This Row],[Outstanding]]/Table1[[#This Row],[Overall amount]])</f>
        <v>0</v>
      </c>
      <c r="AB553" s="17">
        <f>IF(MONTH(Table1[[#This Row],[Loss date]])&lt;Pol_Inc_Month_Shifted,YEAR(Table1[[#This Row],[Loss date]])-1,YEAR(Table1[[#This Row],[Loss date]]))</f>
        <v>2009</v>
      </c>
      <c r="AC553" s="17">
        <f>IF(MONTH(Table1[[#This Row],[Reporting date]])&lt;Pol_Inc_Month_Shifted,YEAR(Table1[[#This Row],[Reporting date]])-1,YEAR(Table1[[#This Row],[Reporting date]]))</f>
        <v>2009</v>
      </c>
      <c r="AD553" s="17">
        <f>Table1[[#This Row],[Reporting year (shifted)]]-Table1[[#This Row],[Policy Year (shifted)]]</f>
        <v>0</v>
      </c>
    </row>
    <row r="554" spans="1:30" ht="13.9">
      <c r="A554" s="8" t="s">
        <v>2324</v>
      </c>
      <c r="B554" s="8" t="s">
        <v>606</v>
      </c>
      <c r="C554" s="8" t="s">
        <v>123</v>
      </c>
      <c r="D554" s="9">
        <v>40372</v>
      </c>
      <c r="E554" s="9">
        <v>40943</v>
      </c>
      <c r="F554" s="17">
        <f>IF(MONTH(Table1[[#This Row],[Loss date]])&lt;Policy_Inception_Month,YEAR(Table1[[#This Row],[Loss date]])-1,YEAR(Table1[[#This Row],[Loss date]]))</f>
        <v>2010</v>
      </c>
      <c r="G554" s="10" t="s">
        <v>125</v>
      </c>
      <c r="H554" s="10" t="s">
        <v>2</v>
      </c>
      <c r="I554" s="11">
        <v>822.82227486757586</v>
      </c>
      <c r="J554" s="11">
        <v>0</v>
      </c>
      <c r="K554" s="11">
        <v>822.82227486757586</v>
      </c>
      <c r="L554" s="12">
        <v>0</v>
      </c>
      <c r="M554" s="12">
        <v>0</v>
      </c>
      <c r="N554" s="12">
        <v>822.82227486757586</v>
      </c>
      <c r="O554" s="70">
        <f>IF(Table1[[#This Row],[Overall amount]]=0,0,1)</f>
        <v>1</v>
      </c>
      <c r="P554" s="70">
        <f>Table1[[#This Row],[Overall amount]]*Exchange_Rate</f>
        <v>822.82227486757586</v>
      </c>
      <c r="Q554" s="70">
        <f>Table1[[#This Row],[Overall (destination currency)]]*(1+Claims_Inflation)^((Revalue_at_date-Table1[[#This Row],[Loss date]])/365.25)</f>
        <v>1061.3999999999999</v>
      </c>
      <c r="R554" s="70">
        <f>INT(Table1[[#This Row],[Reporting date]])-INT(Table1[[#This Row],[Loss date]])</f>
        <v>571</v>
      </c>
      <c r="S554" s="69" t="s">
        <v>9</v>
      </c>
      <c r="T554" s="70">
        <f>VLOOKUP(Table1[[#This Row],[Policy Year]],exposure_table,3,FALSE)</f>
        <v>837.11513600000012</v>
      </c>
      <c r="U554" s="17">
        <f>IF(MONTH(Table1[[#This Row],[Reporting date]])&lt;Policy_Inception_Month,YEAR(Table1[[#This Row],[Reporting date]])-1,YEAR(Table1[[#This Row],[Reporting date]]))</f>
        <v>2011</v>
      </c>
      <c r="V554" s="17">
        <f>Table1[[#This Row],[Reporting year]]-Table1[[#This Row],[Policy Year]]</f>
        <v>1</v>
      </c>
      <c r="W554" s="17">
        <f>INT(Table1[[#This Row],[Reporting date]])-INT(Table1[[#This Row],[Loss date]])</f>
        <v>571</v>
      </c>
      <c r="X554" s="17">
        <f>INT((YEAR(Table1[[#This Row],[Loss date]])*12+MONTH(Table1[[#This Row],[Loss date]])-Earliest_Month)/4)</f>
        <v>15</v>
      </c>
      <c r="Y554" s="17">
        <f>INT((YEAR(Table1[[#This Row],[Reporting date]])*12+MONTH(Table1[[#This Row],[Reporting date]])-Earliest_Month)/4)</f>
        <v>20</v>
      </c>
      <c r="Z554" s="17">
        <f>Table1[[#This Row],[Reporting third]]-Table1[[#This Row],[Policy third]]</f>
        <v>5</v>
      </c>
      <c r="AA554" s="71">
        <f>IF(Table1[[#This Row],[Overall amount]]=0,"N/A",Table1[[#This Row],[Outstanding]]/Table1[[#This Row],[Overall amount]])</f>
        <v>0</v>
      </c>
      <c r="AB554" s="17">
        <f>IF(MONTH(Table1[[#This Row],[Loss date]])&lt;Pol_Inc_Month_Shifted,YEAR(Table1[[#This Row],[Loss date]])-1,YEAR(Table1[[#This Row],[Loss date]]))</f>
        <v>2009</v>
      </c>
      <c r="AC554" s="17">
        <f>IF(MONTH(Table1[[#This Row],[Reporting date]])&lt;Pol_Inc_Month_Shifted,YEAR(Table1[[#This Row],[Reporting date]])-1,YEAR(Table1[[#This Row],[Reporting date]]))</f>
        <v>2011</v>
      </c>
      <c r="AD554" s="17">
        <f>Table1[[#This Row],[Reporting year (shifted)]]-Table1[[#This Row],[Policy Year (shifted)]]</f>
        <v>2</v>
      </c>
    </row>
    <row r="555" spans="1:30" ht="13.9">
      <c r="A555" s="8" t="s">
        <v>2325</v>
      </c>
      <c r="B555" s="8" t="s">
        <v>607</v>
      </c>
      <c r="C555" s="8" t="s">
        <v>123</v>
      </c>
      <c r="D555" s="9">
        <v>40493</v>
      </c>
      <c r="E555" s="9">
        <v>40629</v>
      </c>
      <c r="F555" s="17">
        <f>IF(MONTH(Table1[[#This Row],[Loss date]])&lt;Policy_Inception_Month,YEAR(Table1[[#This Row],[Loss date]])-1,YEAR(Table1[[#This Row],[Loss date]]))</f>
        <v>2010</v>
      </c>
      <c r="G555" s="10" t="s">
        <v>125</v>
      </c>
      <c r="H555" s="10" t="s">
        <v>2</v>
      </c>
      <c r="I555" s="11">
        <v>726.56030107747847</v>
      </c>
      <c r="J555" s="11">
        <v>0</v>
      </c>
      <c r="K555" s="11">
        <v>726.56030107747847</v>
      </c>
      <c r="L555" s="12">
        <v>0</v>
      </c>
      <c r="M555" s="12">
        <v>11.28886567991624</v>
      </c>
      <c r="N555" s="12">
        <v>715.27143539756219</v>
      </c>
      <c r="O555" s="70">
        <f>IF(Table1[[#This Row],[Overall amount]]=0,0,1)</f>
        <v>1</v>
      </c>
      <c r="P555" s="70">
        <f>Table1[[#This Row],[Overall amount]]*Exchange_Rate</f>
        <v>715.27143539756219</v>
      </c>
      <c r="Q555" s="70">
        <f>Table1[[#This Row],[Overall (destination currency)]]*(1+Claims_Inflation)^((Revalue_at_date-Table1[[#This Row],[Loss date]])/365.25)</f>
        <v>907.87140000000011</v>
      </c>
      <c r="R555" s="70">
        <f>INT(Table1[[#This Row],[Reporting date]])-INT(Table1[[#This Row],[Loss date]])</f>
        <v>136</v>
      </c>
      <c r="S555" s="69" t="s">
        <v>9</v>
      </c>
      <c r="T555" s="70">
        <f>VLOOKUP(Table1[[#This Row],[Policy Year]],exposure_table,3,FALSE)</f>
        <v>837.11513600000012</v>
      </c>
      <c r="U555" s="17">
        <f>IF(MONTH(Table1[[#This Row],[Reporting date]])&lt;Policy_Inception_Month,YEAR(Table1[[#This Row],[Reporting date]])-1,YEAR(Table1[[#This Row],[Reporting date]]))</f>
        <v>2010</v>
      </c>
      <c r="V555" s="17">
        <f>Table1[[#This Row],[Reporting year]]-Table1[[#This Row],[Policy Year]]</f>
        <v>0</v>
      </c>
      <c r="W555" s="17">
        <f>INT(Table1[[#This Row],[Reporting date]])-INT(Table1[[#This Row],[Loss date]])</f>
        <v>136</v>
      </c>
      <c r="X555" s="17">
        <f>INT((YEAR(Table1[[#This Row],[Loss date]])*12+MONTH(Table1[[#This Row],[Loss date]])-Earliest_Month)/4)</f>
        <v>16</v>
      </c>
      <c r="Y555" s="17">
        <f>INT((YEAR(Table1[[#This Row],[Reporting date]])*12+MONTH(Table1[[#This Row],[Reporting date]])-Earliest_Month)/4)</f>
        <v>17</v>
      </c>
      <c r="Z555" s="17">
        <f>Table1[[#This Row],[Reporting third]]-Table1[[#This Row],[Policy third]]</f>
        <v>1</v>
      </c>
      <c r="AA555" s="71">
        <f>IF(Table1[[#This Row],[Overall amount]]=0,"N/A",Table1[[#This Row],[Outstanding]]/Table1[[#This Row],[Overall amount]])</f>
        <v>0</v>
      </c>
      <c r="AB555" s="17">
        <f>IF(MONTH(Table1[[#This Row],[Loss date]])&lt;Pol_Inc_Month_Shifted,YEAR(Table1[[#This Row],[Loss date]])-1,YEAR(Table1[[#This Row],[Loss date]]))</f>
        <v>2009</v>
      </c>
      <c r="AC555" s="17">
        <f>IF(MONTH(Table1[[#This Row],[Reporting date]])&lt;Pol_Inc_Month_Shifted,YEAR(Table1[[#This Row],[Reporting date]])-1,YEAR(Table1[[#This Row],[Reporting date]]))</f>
        <v>2010</v>
      </c>
      <c r="AD555" s="17">
        <f>Table1[[#This Row],[Reporting year (shifted)]]-Table1[[#This Row],[Policy Year (shifted)]]</f>
        <v>1</v>
      </c>
    </row>
    <row r="556" spans="1:30" ht="13.9">
      <c r="A556" s="8" t="s">
        <v>2326</v>
      </c>
      <c r="B556" s="8" t="s">
        <v>608</v>
      </c>
      <c r="C556" s="8" t="s">
        <v>123</v>
      </c>
      <c r="D556" s="9">
        <v>40828</v>
      </c>
      <c r="E556" s="9">
        <v>41021</v>
      </c>
      <c r="F556" s="17">
        <f>IF(MONTH(Table1[[#This Row],[Loss date]])&lt;Policy_Inception_Month,YEAR(Table1[[#This Row],[Loss date]])-1,YEAR(Table1[[#This Row],[Loss date]]))</f>
        <v>2011</v>
      </c>
      <c r="G556" s="10" t="s">
        <v>135</v>
      </c>
      <c r="H556" s="10" t="s">
        <v>2</v>
      </c>
      <c r="I556" s="11">
        <v>301.05752798148649</v>
      </c>
      <c r="J556" s="11">
        <v>0</v>
      </c>
      <c r="K556" s="11">
        <v>301.05752798148649</v>
      </c>
      <c r="L556" s="12">
        <v>0</v>
      </c>
      <c r="M556" s="12">
        <v>0</v>
      </c>
      <c r="N556" s="12">
        <v>301.05752798148649</v>
      </c>
      <c r="O556" s="70">
        <f>IF(Table1[[#This Row],[Overall amount]]=0,0,1)</f>
        <v>1</v>
      </c>
      <c r="P556" s="70">
        <f>Table1[[#This Row],[Overall amount]]*Exchange_Rate</f>
        <v>301.05752798148649</v>
      </c>
      <c r="Q556" s="70">
        <f>Table1[[#This Row],[Overall (destination currency)]]*(1+Claims_Inflation)^((Revalue_at_date-Table1[[#This Row],[Loss date]])/365.25)</f>
        <v>365.4</v>
      </c>
      <c r="R556" s="70">
        <f>INT(Table1[[#This Row],[Reporting date]])-INT(Table1[[#This Row],[Loss date]])</f>
        <v>193</v>
      </c>
      <c r="S556" s="69" t="s">
        <v>9</v>
      </c>
      <c r="T556" s="70">
        <f>VLOOKUP(Table1[[#This Row],[Policy Year]],exposure_table,3,FALSE)</f>
        <v>870.52680000000009</v>
      </c>
      <c r="U556" s="17">
        <f>IF(MONTH(Table1[[#This Row],[Reporting date]])&lt;Policy_Inception_Month,YEAR(Table1[[#This Row],[Reporting date]])-1,YEAR(Table1[[#This Row],[Reporting date]]))</f>
        <v>2012</v>
      </c>
      <c r="V556" s="17">
        <f>Table1[[#This Row],[Reporting year]]-Table1[[#This Row],[Policy Year]]</f>
        <v>1</v>
      </c>
      <c r="W556" s="17">
        <f>INT(Table1[[#This Row],[Reporting date]])-INT(Table1[[#This Row],[Loss date]])</f>
        <v>193</v>
      </c>
      <c r="X556" s="17">
        <f>INT((YEAR(Table1[[#This Row],[Loss date]])*12+MONTH(Table1[[#This Row],[Loss date]])-Earliest_Month)/4)</f>
        <v>19</v>
      </c>
      <c r="Y556" s="17">
        <f>INT((YEAR(Table1[[#This Row],[Reporting date]])*12+MONTH(Table1[[#This Row],[Reporting date]])-Earliest_Month)/4)</f>
        <v>21</v>
      </c>
      <c r="Z556" s="17">
        <f>Table1[[#This Row],[Reporting third]]-Table1[[#This Row],[Policy third]]</f>
        <v>2</v>
      </c>
      <c r="AA556" s="71">
        <f>IF(Table1[[#This Row],[Overall amount]]=0,"N/A",Table1[[#This Row],[Outstanding]]/Table1[[#This Row],[Overall amount]])</f>
        <v>0</v>
      </c>
      <c r="AB556" s="17">
        <f>IF(MONTH(Table1[[#This Row],[Loss date]])&lt;Pol_Inc_Month_Shifted,YEAR(Table1[[#This Row],[Loss date]])-1,YEAR(Table1[[#This Row],[Loss date]]))</f>
        <v>2010</v>
      </c>
      <c r="AC556" s="17">
        <f>IF(MONTH(Table1[[#This Row],[Reporting date]])&lt;Pol_Inc_Month_Shifted,YEAR(Table1[[#This Row],[Reporting date]])-1,YEAR(Table1[[#This Row],[Reporting date]]))</f>
        <v>2011</v>
      </c>
      <c r="AD556" s="17">
        <f>Table1[[#This Row],[Reporting year (shifted)]]-Table1[[#This Row],[Policy Year (shifted)]]</f>
        <v>1</v>
      </c>
    </row>
    <row r="557" spans="1:30" ht="13.9">
      <c r="A557" s="8" t="s">
        <v>2327</v>
      </c>
      <c r="B557" s="8" t="s">
        <v>609</v>
      </c>
      <c r="C557" s="8" t="s">
        <v>123</v>
      </c>
      <c r="D557" s="9">
        <v>40981</v>
      </c>
      <c r="E557" s="9">
        <v>41058</v>
      </c>
      <c r="F557" s="17">
        <f>IF(MONTH(Table1[[#This Row],[Loss date]])&lt;Policy_Inception_Month,YEAR(Table1[[#This Row],[Loss date]])-1,YEAR(Table1[[#This Row],[Loss date]]))</f>
        <v>2011</v>
      </c>
      <c r="G557" s="10" t="s">
        <v>125</v>
      </c>
      <c r="H557" s="10" t="s">
        <v>2</v>
      </c>
      <c r="I557" s="11">
        <v>6635.3981397424641</v>
      </c>
      <c r="J557" s="11">
        <v>0</v>
      </c>
      <c r="K557" s="11">
        <v>6635.3981397424641</v>
      </c>
      <c r="L557" s="12">
        <v>0</v>
      </c>
      <c r="M557" s="12">
        <v>0</v>
      </c>
      <c r="N557" s="12">
        <v>6635.3981397424641</v>
      </c>
      <c r="O557" s="70">
        <f>IF(Table1[[#This Row],[Overall amount]]=0,0,1)</f>
        <v>1</v>
      </c>
      <c r="P557" s="70">
        <f>Table1[[#This Row],[Overall amount]]*Exchange_Rate</f>
        <v>6635.3981397424641</v>
      </c>
      <c r="Q557" s="70">
        <f>Table1[[#This Row],[Overall (destination currency)]]*(1+Claims_Inflation)^((Revalue_at_date-Table1[[#This Row],[Loss date]])/365.25)</f>
        <v>7890.6</v>
      </c>
      <c r="R557" s="70">
        <f>INT(Table1[[#This Row],[Reporting date]])-INT(Table1[[#This Row],[Loss date]])</f>
        <v>77</v>
      </c>
      <c r="S557" s="69" t="s">
        <v>9</v>
      </c>
      <c r="T557" s="70">
        <f>VLOOKUP(Table1[[#This Row],[Policy Year]],exposure_table,3,FALSE)</f>
        <v>870.52680000000009</v>
      </c>
      <c r="U557" s="17">
        <f>IF(MONTH(Table1[[#This Row],[Reporting date]])&lt;Policy_Inception_Month,YEAR(Table1[[#This Row],[Reporting date]])-1,YEAR(Table1[[#This Row],[Reporting date]]))</f>
        <v>2012</v>
      </c>
      <c r="V557" s="17">
        <f>Table1[[#This Row],[Reporting year]]-Table1[[#This Row],[Policy Year]]</f>
        <v>1</v>
      </c>
      <c r="W557" s="17">
        <f>INT(Table1[[#This Row],[Reporting date]])-INT(Table1[[#This Row],[Loss date]])</f>
        <v>77</v>
      </c>
      <c r="X557" s="17">
        <f>INT((YEAR(Table1[[#This Row],[Loss date]])*12+MONTH(Table1[[#This Row],[Loss date]])-Earliest_Month)/4)</f>
        <v>20</v>
      </c>
      <c r="Y557" s="17">
        <f>INT((YEAR(Table1[[#This Row],[Reporting date]])*12+MONTH(Table1[[#This Row],[Reporting date]])-Earliest_Month)/4)</f>
        <v>21</v>
      </c>
      <c r="Z557" s="17">
        <f>Table1[[#This Row],[Reporting third]]-Table1[[#This Row],[Policy third]]</f>
        <v>1</v>
      </c>
      <c r="AA557" s="71">
        <f>IF(Table1[[#This Row],[Overall amount]]=0,"N/A",Table1[[#This Row],[Outstanding]]/Table1[[#This Row],[Overall amount]])</f>
        <v>0</v>
      </c>
      <c r="AB557" s="17">
        <f>IF(MONTH(Table1[[#This Row],[Loss date]])&lt;Pol_Inc_Month_Shifted,YEAR(Table1[[#This Row],[Loss date]])-1,YEAR(Table1[[#This Row],[Loss date]]))</f>
        <v>2011</v>
      </c>
      <c r="AC557" s="17">
        <f>IF(MONTH(Table1[[#This Row],[Reporting date]])&lt;Pol_Inc_Month_Shifted,YEAR(Table1[[#This Row],[Reporting date]])-1,YEAR(Table1[[#This Row],[Reporting date]]))</f>
        <v>2011</v>
      </c>
      <c r="AD557" s="17">
        <f>Table1[[#This Row],[Reporting year (shifted)]]-Table1[[#This Row],[Policy Year (shifted)]]</f>
        <v>0</v>
      </c>
    </row>
    <row r="558" spans="1:30" ht="13.9">
      <c r="A558" s="8" t="s">
        <v>2328</v>
      </c>
      <c r="B558" s="8" t="s">
        <v>610</v>
      </c>
      <c r="C558" s="8" t="s">
        <v>123</v>
      </c>
      <c r="D558" s="9">
        <v>40509</v>
      </c>
      <c r="E558" s="9">
        <v>40811</v>
      </c>
      <c r="F558" s="17">
        <f>IF(MONTH(Table1[[#This Row],[Loss date]])&lt;Policy_Inception_Month,YEAR(Table1[[#This Row],[Loss date]])-1,YEAR(Table1[[#This Row],[Loss date]]))</f>
        <v>2010</v>
      </c>
      <c r="G558" s="10" t="s">
        <v>125</v>
      </c>
      <c r="H558" s="10" t="s">
        <v>2</v>
      </c>
      <c r="I558" s="11">
        <v>6480.5535650644442</v>
      </c>
      <c r="J558" s="11">
        <v>0</v>
      </c>
      <c r="K558" s="11">
        <v>6480.5535650644442</v>
      </c>
      <c r="L558" s="12">
        <v>0</v>
      </c>
      <c r="M558" s="12">
        <v>0</v>
      </c>
      <c r="N558" s="12">
        <v>6480.5535650644442</v>
      </c>
      <c r="O558" s="70">
        <f>IF(Table1[[#This Row],[Overall amount]]=0,0,1)</f>
        <v>1</v>
      </c>
      <c r="P558" s="70">
        <f>Table1[[#This Row],[Overall amount]]*Exchange_Rate</f>
        <v>6480.5535650644442</v>
      </c>
      <c r="Q558" s="70">
        <f>Table1[[#This Row],[Overall (destination currency)]]*(1+Claims_Inflation)^((Revalue_at_date-Table1[[#This Row],[Loss date]])/365.25)</f>
        <v>8208.0000000000018</v>
      </c>
      <c r="R558" s="70">
        <f>INT(Table1[[#This Row],[Reporting date]])-INT(Table1[[#This Row],[Loss date]])</f>
        <v>302</v>
      </c>
      <c r="S558" s="69" t="s">
        <v>9</v>
      </c>
      <c r="T558" s="70">
        <f>VLOOKUP(Table1[[#This Row],[Policy Year]],exposure_table,3,FALSE)</f>
        <v>837.11513600000012</v>
      </c>
      <c r="U558" s="17">
        <f>IF(MONTH(Table1[[#This Row],[Reporting date]])&lt;Policy_Inception_Month,YEAR(Table1[[#This Row],[Reporting date]])-1,YEAR(Table1[[#This Row],[Reporting date]]))</f>
        <v>2011</v>
      </c>
      <c r="V558" s="17">
        <f>Table1[[#This Row],[Reporting year]]-Table1[[#This Row],[Policy Year]]</f>
        <v>1</v>
      </c>
      <c r="W558" s="17">
        <f>INT(Table1[[#This Row],[Reporting date]])-INT(Table1[[#This Row],[Loss date]])</f>
        <v>302</v>
      </c>
      <c r="X558" s="17">
        <f>INT((YEAR(Table1[[#This Row],[Loss date]])*12+MONTH(Table1[[#This Row],[Loss date]])-Earliest_Month)/4)</f>
        <v>16</v>
      </c>
      <c r="Y558" s="17">
        <f>INT((YEAR(Table1[[#This Row],[Reporting date]])*12+MONTH(Table1[[#This Row],[Reporting date]])-Earliest_Month)/4)</f>
        <v>19</v>
      </c>
      <c r="Z558" s="17">
        <f>Table1[[#This Row],[Reporting third]]-Table1[[#This Row],[Policy third]]</f>
        <v>3</v>
      </c>
      <c r="AA558" s="71">
        <f>IF(Table1[[#This Row],[Overall amount]]=0,"N/A",Table1[[#This Row],[Outstanding]]/Table1[[#This Row],[Overall amount]])</f>
        <v>0</v>
      </c>
      <c r="AB558" s="17">
        <f>IF(MONTH(Table1[[#This Row],[Loss date]])&lt;Pol_Inc_Month_Shifted,YEAR(Table1[[#This Row],[Loss date]])-1,YEAR(Table1[[#This Row],[Loss date]]))</f>
        <v>2009</v>
      </c>
      <c r="AC558" s="17">
        <f>IF(MONTH(Table1[[#This Row],[Reporting date]])&lt;Pol_Inc_Month_Shifted,YEAR(Table1[[#This Row],[Reporting date]])-1,YEAR(Table1[[#This Row],[Reporting date]]))</f>
        <v>2010</v>
      </c>
      <c r="AD558" s="17">
        <f>Table1[[#This Row],[Reporting year (shifted)]]-Table1[[#This Row],[Policy Year (shifted)]]</f>
        <v>1</v>
      </c>
    </row>
    <row r="559" spans="1:30" ht="13.9">
      <c r="A559" s="8" t="s">
        <v>2329</v>
      </c>
      <c r="B559" s="8" t="s">
        <v>611</v>
      </c>
      <c r="C559" s="8" t="s">
        <v>123</v>
      </c>
      <c r="D559" s="9">
        <v>40195</v>
      </c>
      <c r="E559" s="9">
        <v>40217</v>
      </c>
      <c r="F559" s="17">
        <f>IF(MONTH(Table1[[#This Row],[Loss date]])&lt;Policy_Inception_Month,YEAR(Table1[[#This Row],[Loss date]])-1,YEAR(Table1[[#This Row],[Loss date]]))</f>
        <v>2009</v>
      </c>
      <c r="G559" s="10" t="s">
        <v>125</v>
      </c>
      <c r="H559" s="10" t="s">
        <v>2</v>
      </c>
      <c r="I559" s="11">
        <v>8109.55007296044</v>
      </c>
      <c r="J559" s="11">
        <v>0</v>
      </c>
      <c r="K559" s="11">
        <v>8109.55007296044</v>
      </c>
      <c r="L559" s="12">
        <v>0</v>
      </c>
      <c r="M559" s="12">
        <v>824.58297627368313</v>
      </c>
      <c r="N559" s="12">
        <v>7284.967096686757</v>
      </c>
      <c r="O559" s="70">
        <f>IF(Table1[[#This Row],[Overall amount]]=0,0,1)</f>
        <v>1</v>
      </c>
      <c r="P559" s="70">
        <f>Table1[[#This Row],[Overall amount]]*Exchange_Rate</f>
        <v>7284.967096686757</v>
      </c>
      <c r="Q559" s="70">
        <f>Table1[[#This Row],[Overall (destination currency)]]*(1+Claims_Inflation)^((Revalue_at_date-Table1[[#This Row],[Loss date]])/365.25)</f>
        <v>9622.08</v>
      </c>
      <c r="R559" s="70">
        <f>INT(Table1[[#This Row],[Reporting date]])-INT(Table1[[#This Row],[Loss date]])</f>
        <v>22</v>
      </c>
      <c r="S559" s="69" t="s">
        <v>9</v>
      </c>
      <c r="T559" s="70">
        <f>VLOOKUP(Table1[[#This Row],[Policy Year]],exposure_table,3,FALSE)</f>
        <v>760.22808576000011</v>
      </c>
      <c r="U559" s="17">
        <f>IF(MONTH(Table1[[#This Row],[Reporting date]])&lt;Policy_Inception_Month,YEAR(Table1[[#This Row],[Reporting date]])-1,YEAR(Table1[[#This Row],[Reporting date]]))</f>
        <v>2009</v>
      </c>
      <c r="V559" s="17">
        <f>Table1[[#This Row],[Reporting year]]-Table1[[#This Row],[Policy Year]]</f>
        <v>0</v>
      </c>
      <c r="W559" s="17">
        <f>INT(Table1[[#This Row],[Reporting date]])-INT(Table1[[#This Row],[Loss date]])</f>
        <v>22</v>
      </c>
      <c r="X559" s="17">
        <f>INT((YEAR(Table1[[#This Row],[Loss date]])*12+MONTH(Table1[[#This Row],[Loss date]])-Earliest_Month)/4)</f>
        <v>14</v>
      </c>
      <c r="Y559" s="17">
        <f>INT((YEAR(Table1[[#This Row],[Reporting date]])*12+MONTH(Table1[[#This Row],[Reporting date]])-Earliest_Month)/4)</f>
        <v>14</v>
      </c>
      <c r="Z559" s="17">
        <f>Table1[[#This Row],[Reporting third]]-Table1[[#This Row],[Policy third]]</f>
        <v>0</v>
      </c>
      <c r="AA559" s="71">
        <f>IF(Table1[[#This Row],[Overall amount]]=0,"N/A",Table1[[#This Row],[Outstanding]]/Table1[[#This Row],[Overall amount]])</f>
        <v>0</v>
      </c>
      <c r="AB559" s="17">
        <f>IF(MONTH(Table1[[#This Row],[Loss date]])&lt;Pol_Inc_Month_Shifted,YEAR(Table1[[#This Row],[Loss date]])-1,YEAR(Table1[[#This Row],[Loss date]]))</f>
        <v>2009</v>
      </c>
      <c r="AC559" s="17">
        <f>IF(MONTH(Table1[[#This Row],[Reporting date]])&lt;Pol_Inc_Month_Shifted,YEAR(Table1[[#This Row],[Reporting date]])-1,YEAR(Table1[[#This Row],[Reporting date]]))</f>
        <v>2009</v>
      </c>
      <c r="AD559" s="17">
        <f>Table1[[#This Row],[Reporting year (shifted)]]-Table1[[#This Row],[Policy Year (shifted)]]</f>
        <v>0</v>
      </c>
    </row>
    <row r="560" spans="1:30" ht="13.9">
      <c r="A560" s="8" t="s">
        <v>2330</v>
      </c>
      <c r="B560" s="8" t="s">
        <v>612</v>
      </c>
      <c r="C560" s="8" t="s">
        <v>123</v>
      </c>
      <c r="D560" s="9">
        <v>40006</v>
      </c>
      <c r="E560" s="9">
        <v>40026</v>
      </c>
      <c r="F560" s="17">
        <f>IF(MONTH(Table1[[#This Row],[Loss date]])&lt;Policy_Inception_Month,YEAR(Table1[[#This Row],[Loss date]])-1,YEAR(Table1[[#This Row],[Loss date]]))</f>
        <v>2009</v>
      </c>
      <c r="G560" s="10" t="s">
        <v>125</v>
      </c>
      <c r="H560" s="10" t="s">
        <v>2</v>
      </c>
      <c r="I560" s="11">
        <v>1451.5160409153239</v>
      </c>
      <c r="J560" s="11">
        <v>0</v>
      </c>
      <c r="K560" s="11">
        <v>1451.5160409153239</v>
      </c>
      <c r="L560" s="12">
        <v>0</v>
      </c>
      <c r="M560" s="12">
        <v>91.895095192108201</v>
      </c>
      <c r="N560" s="12">
        <v>1359.6209457232158</v>
      </c>
      <c r="O560" s="70">
        <f>IF(Table1[[#This Row],[Overall amount]]=0,0,1)</f>
        <v>1</v>
      </c>
      <c r="P560" s="70">
        <f>Table1[[#This Row],[Overall amount]]*Exchange_Rate</f>
        <v>1359.6209457232158</v>
      </c>
      <c r="Q560" s="70">
        <f>Table1[[#This Row],[Overall (destination currency)]]*(1+Claims_Inflation)^((Revalue_at_date-Table1[[#This Row],[Loss date]])/365.25)</f>
        <v>1841.7204000000002</v>
      </c>
      <c r="R560" s="70">
        <f>INT(Table1[[#This Row],[Reporting date]])-INT(Table1[[#This Row],[Loss date]])</f>
        <v>20</v>
      </c>
      <c r="S560" s="69" t="s">
        <v>9</v>
      </c>
      <c r="T560" s="70">
        <f>VLOOKUP(Table1[[#This Row],[Policy Year]],exposure_table,3,FALSE)</f>
        <v>760.22808576000011</v>
      </c>
      <c r="U560" s="17">
        <f>IF(MONTH(Table1[[#This Row],[Reporting date]])&lt;Policy_Inception_Month,YEAR(Table1[[#This Row],[Reporting date]])-1,YEAR(Table1[[#This Row],[Reporting date]]))</f>
        <v>2009</v>
      </c>
      <c r="V560" s="17">
        <f>Table1[[#This Row],[Reporting year]]-Table1[[#This Row],[Policy Year]]</f>
        <v>0</v>
      </c>
      <c r="W560" s="17">
        <f>INT(Table1[[#This Row],[Reporting date]])-INT(Table1[[#This Row],[Loss date]])</f>
        <v>20</v>
      </c>
      <c r="X560" s="17">
        <f>INT((YEAR(Table1[[#This Row],[Loss date]])*12+MONTH(Table1[[#This Row],[Loss date]])-Earliest_Month)/4)</f>
        <v>12</v>
      </c>
      <c r="Y560" s="17">
        <f>INT((YEAR(Table1[[#This Row],[Reporting date]])*12+MONTH(Table1[[#This Row],[Reporting date]])-Earliest_Month)/4)</f>
        <v>13</v>
      </c>
      <c r="Z560" s="17">
        <f>Table1[[#This Row],[Reporting third]]-Table1[[#This Row],[Policy third]]</f>
        <v>1</v>
      </c>
      <c r="AA560" s="71">
        <f>IF(Table1[[#This Row],[Overall amount]]=0,"N/A",Table1[[#This Row],[Outstanding]]/Table1[[#This Row],[Overall amount]])</f>
        <v>0</v>
      </c>
      <c r="AB560" s="17">
        <f>IF(MONTH(Table1[[#This Row],[Loss date]])&lt;Pol_Inc_Month_Shifted,YEAR(Table1[[#This Row],[Loss date]])-1,YEAR(Table1[[#This Row],[Loss date]]))</f>
        <v>2008</v>
      </c>
      <c r="AC560" s="17">
        <f>IF(MONTH(Table1[[#This Row],[Reporting date]])&lt;Pol_Inc_Month_Shifted,YEAR(Table1[[#This Row],[Reporting date]])-1,YEAR(Table1[[#This Row],[Reporting date]]))</f>
        <v>2008</v>
      </c>
      <c r="AD560" s="17">
        <f>Table1[[#This Row],[Reporting year (shifted)]]-Table1[[#This Row],[Policy Year (shifted)]]</f>
        <v>0</v>
      </c>
    </row>
    <row r="561" spans="1:30" ht="13.9">
      <c r="A561" s="8" t="s">
        <v>2331</v>
      </c>
      <c r="B561" s="8" t="s">
        <v>613</v>
      </c>
      <c r="C561" s="8" t="s">
        <v>123</v>
      </c>
      <c r="D561" s="9">
        <v>40817</v>
      </c>
      <c r="E561" s="9">
        <v>40836</v>
      </c>
      <c r="F561" s="17">
        <f>IF(MONTH(Table1[[#This Row],[Loss date]])&lt;Policy_Inception_Month,YEAR(Table1[[#This Row],[Loss date]])-1,YEAR(Table1[[#This Row],[Loss date]]))</f>
        <v>2011</v>
      </c>
      <c r="G561" s="10" t="s">
        <v>125</v>
      </c>
      <c r="H561" s="10" t="s">
        <v>2</v>
      </c>
      <c r="I561" s="11">
        <v>830.27133755996726</v>
      </c>
      <c r="J561" s="11">
        <v>0</v>
      </c>
      <c r="K561" s="11">
        <v>830.27133755996726</v>
      </c>
      <c r="L561" s="12">
        <v>0</v>
      </c>
      <c r="M561" s="12">
        <v>0</v>
      </c>
      <c r="N561" s="12">
        <v>830.27133755996726</v>
      </c>
      <c r="O561" s="70">
        <f>IF(Table1[[#This Row],[Overall amount]]=0,0,1)</f>
        <v>1</v>
      </c>
      <c r="P561" s="70">
        <f>Table1[[#This Row],[Overall amount]]*Exchange_Rate</f>
        <v>830.27133755996726</v>
      </c>
      <c r="Q561" s="70">
        <f>Table1[[#This Row],[Overall (destination currency)]]*(1+Claims_Inflation)^((Revalue_at_date-Table1[[#This Row],[Loss date]])/365.25)</f>
        <v>1009.1999999999999</v>
      </c>
      <c r="R561" s="70">
        <f>INT(Table1[[#This Row],[Reporting date]])-INT(Table1[[#This Row],[Loss date]])</f>
        <v>19</v>
      </c>
      <c r="S561" s="69" t="s">
        <v>9</v>
      </c>
      <c r="T561" s="70">
        <f>VLOOKUP(Table1[[#This Row],[Policy Year]],exposure_table,3,FALSE)</f>
        <v>870.52680000000009</v>
      </c>
      <c r="U561" s="17">
        <f>IF(MONTH(Table1[[#This Row],[Reporting date]])&lt;Policy_Inception_Month,YEAR(Table1[[#This Row],[Reporting date]])-1,YEAR(Table1[[#This Row],[Reporting date]]))</f>
        <v>2011</v>
      </c>
      <c r="V561" s="17">
        <f>Table1[[#This Row],[Reporting year]]-Table1[[#This Row],[Policy Year]]</f>
        <v>0</v>
      </c>
      <c r="W561" s="17">
        <f>INT(Table1[[#This Row],[Reporting date]])-INT(Table1[[#This Row],[Loss date]])</f>
        <v>19</v>
      </c>
      <c r="X561" s="17">
        <f>INT((YEAR(Table1[[#This Row],[Loss date]])*12+MONTH(Table1[[#This Row],[Loss date]])-Earliest_Month)/4)</f>
        <v>19</v>
      </c>
      <c r="Y561" s="17">
        <f>INT((YEAR(Table1[[#This Row],[Reporting date]])*12+MONTH(Table1[[#This Row],[Reporting date]])-Earliest_Month)/4)</f>
        <v>19</v>
      </c>
      <c r="Z561" s="17">
        <f>Table1[[#This Row],[Reporting third]]-Table1[[#This Row],[Policy third]]</f>
        <v>0</v>
      </c>
      <c r="AA561" s="71">
        <f>IF(Table1[[#This Row],[Overall amount]]=0,"N/A",Table1[[#This Row],[Outstanding]]/Table1[[#This Row],[Overall amount]])</f>
        <v>0</v>
      </c>
      <c r="AB561" s="17">
        <f>IF(MONTH(Table1[[#This Row],[Loss date]])&lt;Pol_Inc_Month_Shifted,YEAR(Table1[[#This Row],[Loss date]])-1,YEAR(Table1[[#This Row],[Loss date]]))</f>
        <v>2010</v>
      </c>
      <c r="AC561" s="17">
        <f>IF(MONTH(Table1[[#This Row],[Reporting date]])&lt;Pol_Inc_Month_Shifted,YEAR(Table1[[#This Row],[Reporting date]])-1,YEAR(Table1[[#This Row],[Reporting date]]))</f>
        <v>2010</v>
      </c>
      <c r="AD561" s="17">
        <f>Table1[[#This Row],[Reporting year (shifted)]]-Table1[[#This Row],[Policy Year (shifted)]]</f>
        <v>0</v>
      </c>
    </row>
    <row r="562" spans="1:30" ht="13.9">
      <c r="A562" s="8" t="s">
        <v>2332</v>
      </c>
      <c r="B562" s="8" t="s">
        <v>614</v>
      </c>
      <c r="C562" s="8" t="s">
        <v>123</v>
      </c>
      <c r="D562" s="9">
        <v>40596</v>
      </c>
      <c r="E562" s="9">
        <v>40713</v>
      </c>
      <c r="F562" s="17">
        <f>IF(MONTH(Table1[[#This Row],[Loss date]])&lt;Policy_Inception_Month,YEAR(Table1[[#This Row],[Loss date]])-1,YEAR(Table1[[#This Row],[Loss date]]))</f>
        <v>2010</v>
      </c>
      <c r="G562" s="10" t="s">
        <v>125</v>
      </c>
      <c r="H562" s="10" t="s">
        <v>2</v>
      </c>
      <c r="I562" s="11">
        <v>792.22036799118848</v>
      </c>
      <c r="J562" s="11">
        <v>0</v>
      </c>
      <c r="K562" s="11">
        <v>792.22036799118848</v>
      </c>
      <c r="L562" s="12">
        <v>143.77865117807414</v>
      </c>
      <c r="M562" s="12">
        <v>0</v>
      </c>
      <c r="N562" s="12">
        <v>935.99901916926262</v>
      </c>
      <c r="O562" s="70">
        <f>IF(Table1[[#This Row],[Overall amount]]=0,0,1)</f>
        <v>1</v>
      </c>
      <c r="P562" s="70">
        <f>Table1[[#This Row],[Overall amount]]*Exchange_Rate</f>
        <v>935.99901916926262</v>
      </c>
      <c r="Q562" s="70">
        <f>Table1[[#This Row],[Overall (destination currency)]]*(1+Claims_Inflation)^((Revalue_at_date-Table1[[#This Row],[Loss date]])/365.25)</f>
        <v>1171.8</v>
      </c>
      <c r="R562" s="70">
        <f>INT(Table1[[#This Row],[Reporting date]])-INT(Table1[[#This Row],[Loss date]])</f>
        <v>117</v>
      </c>
      <c r="S562" s="69" t="s">
        <v>9</v>
      </c>
      <c r="T562" s="70">
        <f>VLOOKUP(Table1[[#This Row],[Policy Year]],exposure_table,3,FALSE)</f>
        <v>837.11513600000012</v>
      </c>
      <c r="U562" s="17">
        <f>IF(MONTH(Table1[[#This Row],[Reporting date]])&lt;Policy_Inception_Month,YEAR(Table1[[#This Row],[Reporting date]])-1,YEAR(Table1[[#This Row],[Reporting date]]))</f>
        <v>2011</v>
      </c>
      <c r="V562" s="17">
        <f>Table1[[#This Row],[Reporting year]]-Table1[[#This Row],[Policy Year]]</f>
        <v>1</v>
      </c>
      <c r="W562" s="17">
        <f>INT(Table1[[#This Row],[Reporting date]])-INT(Table1[[#This Row],[Loss date]])</f>
        <v>117</v>
      </c>
      <c r="X562" s="17">
        <f>INT((YEAR(Table1[[#This Row],[Loss date]])*12+MONTH(Table1[[#This Row],[Loss date]])-Earliest_Month)/4)</f>
        <v>17</v>
      </c>
      <c r="Y562" s="17">
        <f>INT((YEAR(Table1[[#This Row],[Reporting date]])*12+MONTH(Table1[[#This Row],[Reporting date]])-Earliest_Month)/4)</f>
        <v>18</v>
      </c>
      <c r="Z562" s="17">
        <f>Table1[[#This Row],[Reporting third]]-Table1[[#This Row],[Policy third]]</f>
        <v>1</v>
      </c>
      <c r="AA562" s="71">
        <f>IF(Table1[[#This Row],[Overall amount]]=0,"N/A",Table1[[#This Row],[Outstanding]]/Table1[[#This Row],[Overall amount]])</f>
        <v>0</v>
      </c>
      <c r="AB562" s="17">
        <f>IF(MONTH(Table1[[#This Row],[Loss date]])&lt;Pol_Inc_Month_Shifted,YEAR(Table1[[#This Row],[Loss date]])-1,YEAR(Table1[[#This Row],[Loss date]]))</f>
        <v>2010</v>
      </c>
      <c r="AC562" s="17">
        <f>IF(MONTH(Table1[[#This Row],[Reporting date]])&lt;Pol_Inc_Month_Shifted,YEAR(Table1[[#This Row],[Reporting date]])-1,YEAR(Table1[[#This Row],[Reporting date]]))</f>
        <v>2010</v>
      </c>
      <c r="AD562" s="17">
        <f>Table1[[#This Row],[Reporting year (shifted)]]-Table1[[#This Row],[Policy Year (shifted)]]</f>
        <v>0</v>
      </c>
    </row>
    <row r="563" spans="1:30" ht="13.9">
      <c r="A563" s="8" t="s">
        <v>2333</v>
      </c>
      <c r="B563" s="8" t="s">
        <v>615</v>
      </c>
      <c r="C563" s="8" t="s">
        <v>123</v>
      </c>
      <c r="D563" s="9">
        <v>39612</v>
      </c>
      <c r="E563" s="9">
        <v>40748</v>
      </c>
      <c r="F563" s="17">
        <f>IF(MONTH(Table1[[#This Row],[Loss date]])&lt;Policy_Inception_Month,YEAR(Table1[[#This Row],[Loss date]])-1,YEAR(Table1[[#This Row],[Loss date]]))</f>
        <v>2008</v>
      </c>
      <c r="G563" s="10" t="s">
        <v>125</v>
      </c>
      <c r="H563" s="10" t="s">
        <v>2</v>
      </c>
      <c r="I563" s="11">
        <v>8564.3020325227226</v>
      </c>
      <c r="J563" s="11">
        <v>0</v>
      </c>
      <c r="K563" s="11">
        <v>8564.3020325227226</v>
      </c>
      <c r="L563" s="12">
        <v>126.06933911401372</v>
      </c>
      <c r="M563" s="12">
        <v>0</v>
      </c>
      <c r="N563" s="12">
        <v>8690.3713716367365</v>
      </c>
      <c r="O563" s="70">
        <f>IF(Table1[[#This Row],[Overall amount]]=0,0,1)</f>
        <v>1</v>
      </c>
      <c r="P563" s="70">
        <f>Table1[[#This Row],[Overall amount]]*Exchange_Rate</f>
        <v>8690.3713716367365</v>
      </c>
      <c r="Q563" s="70">
        <f>Table1[[#This Row],[Overall (destination currency)]]*(1+Claims_Inflation)^((Revalue_at_date-Table1[[#This Row],[Loss date]])/365.25)</f>
        <v>12407.987999999999</v>
      </c>
      <c r="R563" s="70">
        <f>INT(Table1[[#This Row],[Reporting date]])-INT(Table1[[#This Row],[Loss date]])</f>
        <v>1136</v>
      </c>
      <c r="S563" s="69" t="s">
        <v>9</v>
      </c>
      <c r="T563" s="70">
        <f>VLOOKUP(Table1[[#This Row],[Policy Year]],exposure_table,3,FALSE)</f>
        <v>601.98581780480015</v>
      </c>
      <c r="U563" s="17">
        <f>IF(MONTH(Table1[[#This Row],[Reporting date]])&lt;Policy_Inception_Month,YEAR(Table1[[#This Row],[Reporting date]])-1,YEAR(Table1[[#This Row],[Reporting date]]))</f>
        <v>2011</v>
      </c>
      <c r="V563" s="17">
        <f>Table1[[#This Row],[Reporting year]]-Table1[[#This Row],[Policy Year]]</f>
        <v>3</v>
      </c>
      <c r="W563" s="17">
        <f>INT(Table1[[#This Row],[Reporting date]])-INT(Table1[[#This Row],[Loss date]])</f>
        <v>1136</v>
      </c>
      <c r="X563" s="17">
        <f>INT((YEAR(Table1[[#This Row],[Loss date]])*12+MONTH(Table1[[#This Row],[Loss date]])-Earliest_Month)/4)</f>
        <v>9</v>
      </c>
      <c r="Y563" s="17">
        <f>INT((YEAR(Table1[[#This Row],[Reporting date]])*12+MONTH(Table1[[#This Row],[Reporting date]])-Earliest_Month)/4)</f>
        <v>18</v>
      </c>
      <c r="Z563" s="17">
        <f>Table1[[#This Row],[Reporting third]]-Table1[[#This Row],[Policy third]]</f>
        <v>9</v>
      </c>
      <c r="AA563" s="71">
        <f>IF(Table1[[#This Row],[Overall amount]]=0,"N/A",Table1[[#This Row],[Outstanding]]/Table1[[#This Row],[Overall amount]])</f>
        <v>0</v>
      </c>
      <c r="AB563" s="17">
        <f>IF(MONTH(Table1[[#This Row],[Loss date]])&lt;Pol_Inc_Month_Shifted,YEAR(Table1[[#This Row],[Loss date]])-1,YEAR(Table1[[#This Row],[Loss date]]))</f>
        <v>2007</v>
      </c>
      <c r="AC563" s="17">
        <f>IF(MONTH(Table1[[#This Row],[Reporting date]])&lt;Pol_Inc_Month_Shifted,YEAR(Table1[[#This Row],[Reporting date]])-1,YEAR(Table1[[#This Row],[Reporting date]]))</f>
        <v>2010</v>
      </c>
      <c r="AD563" s="17">
        <f>Table1[[#This Row],[Reporting year (shifted)]]-Table1[[#This Row],[Policy Year (shifted)]]</f>
        <v>3</v>
      </c>
    </row>
    <row r="564" spans="1:30" ht="13.9">
      <c r="A564" s="8" t="s">
        <v>2334</v>
      </c>
      <c r="B564" s="8" t="s">
        <v>616</v>
      </c>
      <c r="C564" s="8" t="s">
        <v>123</v>
      </c>
      <c r="D564" s="9">
        <v>40565</v>
      </c>
      <c r="E564" s="9">
        <v>40707</v>
      </c>
      <c r="F564" s="17">
        <f>IF(MONTH(Table1[[#This Row],[Loss date]])&lt;Policy_Inception_Month,YEAR(Table1[[#This Row],[Loss date]])-1,YEAR(Table1[[#This Row],[Loss date]]))</f>
        <v>2010</v>
      </c>
      <c r="G564" s="10" t="s">
        <v>124</v>
      </c>
      <c r="H564" s="10" t="s">
        <v>2</v>
      </c>
      <c r="I564" s="11">
        <v>1079.6111062972991</v>
      </c>
      <c r="J564" s="11">
        <v>0</v>
      </c>
      <c r="K564" s="11">
        <v>1079.6111062972991</v>
      </c>
      <c r="L564" s="12">
        <v>0</v>
      </c>
      <c r="M564" s="12">
        <v>0</v>
      </c>
      <c r="N564" s="12">
        <v>1079.6111062972991</v>
      </c>
      <c r="O564" s="70">
        <f>IF(Table1[[#This Row],[Overall amount]]=0,0,1)</f>
        <v>1</v>
      </c>
      <c r="P564" s="70">
        <f>Table1[[#This Row],[Overall amount]]*Exchange_Rate</f>
        <v>1079.6111062972991</v>
      </c>
      <c r="Q564" s="70">
        <f>Table1[[#This Row],[Overall (destination currency)]]*(1+Claims_Inflation)^((Revalue_at_date-Table1[[#This Row],[Loss date]])/365.25)</f>
        <v>1357.2</v>
      </c>
      <c r="R564" s="70">
        <f>INT(Table1[[#This Row],[Reporting date]])-INT(Table1[[#This Row],[Loss date]])</f>
        <v>142</v>
      </c>
      <c r="S564" s="69" t="s">
        <v>9</v>
      </c>
      <c r="T564" s="70">
        <f>VLOOKUP(Table1[[#This Row],[Policy Year]],exposure_table,3,FALSE)</f>
        <v>837.11513600000012</v>
      </c>
      <c r="U564" s="17">
        <f>IF(MONTH(Table1[[#This Row],[Reporting date]])&lt;Policy_Inception_Month,YEAR(Table1[[#This Row],[Reporting date]])-1,YEAR(Table1[[#This Row],[Reporting date]]))</f>
        <v>2011</v>
      </c>
      <c r="V564" s="17">
        <f>Table1[[#This Row],[Reporting year]]-Table1[[#This Row],[Policy Year]]</f>
        <v>1</v>
      </c>
      <c r="W564" s="17">
        <f>INT(Table1[[#This Row],[Reporting date]])-INT(Table1[[#This Row],[Loss date]])</f>
        <v>142</v>
      </c>
      <c r="X564" s="17">
        <f>INT((YEAR(Table1[[#This Row],[Loss date]])*12+MONTH(Table1[[#This Row],[Loss date]])-Earliest_Month)/4)</f>
        <v>17</v>
      </c>
      <c r="Y564" s="17">
        <f>INT((YEAR(Table1[[#This Row],[Reporting date]])*12+MONTH(Table1[[#This Row],[Reporting date]])-Earliest_Month)/4)</f>
        <v>18</v>
      </c>
      <c r="Z564" s="17">
        <f>Table1[[#This Row],[Reporting third]]-Table1[[#This Row],[Policy third]]</f>
        <v>1</v>
      </c>
      <c r="AA564" s="71">
        <f>IF(Table1[[#This Row],[Overall amount]]=0,"N/A",Table1[[#This Row],[Outstanding]]/Table1[[#This Row],[Overall amount]])</f>
        <v>0</v>
      </c>
      <c r="AB564" s="17">
        <f>IF(MONTH(Table1[[#This Row],[Loss date]])&lt;Pol_Inc_Month_Shifted,YEAR(Table1[[#This Row],[Loss date]])-1,YEAR(Table1[[#This Row],[Loss date]]))</f>
        <v>2010</v>
      </c>
      <c r="AC564" s="17">
        <f>IF(MONTH(Table1[[#This Row],[Reporting date]])&lt;Pol_Inc_Month_Shifted,YEAR(Table1[[#This Row],[Reporting date]])-1,YEAR(Table1[[#This Row],[Reporting date]]))</f>
        <v>2010</v>
      </c>
      <c r="AD564" s="17">
        <f>Table1[[#This Row],[Reporting year (shifted)]]-Table1[[#This Row],[Policy Year (shifted)]]</f>
        <v>0</v>
      </c>
    </row>
    <row r="565" spans="1:30" ht="13.9">
      <c r="A565" s="8" t="s">
        <v>2335</v>
      </c>
      <c r="B565" s="8" t="s">
        <v>617</v>
      </c>
      <c r="C565" s="8" t="s">
        <v>123</v>
      </c>
      <c r="D565" s="9">
        <v>40726</v>
      </c>
      <c r="E565" s="9">
        <v>40740</v>
      </c>
      <c r="F565" s="17">
        <f>IF(MONTH(Table1[[#This Row],[Loss date]])&lt;Policy_Inception_Month,YEAR(Table1[[#This Row],[Loss date]])-1,YEAR(Table1[[#This Row],[Loss date]]))</f>
        <v>2011</v>
      </c>
      <c r="G565" s="10" t="s">
        <v>125</v>
      </c>
      <c r="H565" s="10" t="s">
        <v>2</v>
      </c>
      <c r="I565" s="11">
        <v>75538.138147895545</v>
      </c>
      <c r="J565" s="11">
        <v>0</v>
      </c>
      <c r="K565" s="11">
        <v>75538.138147895545</v>
      </c>
      <c r="L565" s="12">
        <v>0</v>
      </c>
      <c r="M565" s="12">
        <v>0</v>
      </c>
      <c r="N565" s="12">
        <v>75538.138147895545</v>
      </c>
      <c r="O565" s="70">
        <f>IF(Table1[[#This Row],[Overall amount]]=0,0,1)</f>
        <v>1</v>
      </c>
      <c r="P565" s="70">
        <f>Table1[[#This Row],[Overall amount]]*Exchange_Rate</f>
        <v>75538.138147895545</v>
      </c>
      <c r="Q565" s="70">
        <f>Table1[[#This Row],[Overall (destination currency)]]*(1+Claims_Inflation)^((Revalue_at_date-Table1[[#This Row],[Loss date]])/365.25)</f>
        <v>92940</v>
      </c>
      <c r="R565" s="70">
        <f>INT(Table1[[#This Row],[Reporting date]])-INT(Table1[[#This Row],[Loss date]])</f>
        <v>14</v>
      </c>
      <c r="S565" s="69" t="s">
        <v>9</v>
      </c>
      <c r="T565" s="70">
        <f>VLOOKUP(Table1[[#This Row],[Policy Year]],exposure_table,3,FALSE)</f>
        <v>870.52680000000009</v>
      </c>
      <c r="U565" s="17">
        <f>IF(MONTH(Table1[[#This Row],[Reporting date]])&lt;Policy_Inception_Month,YEAR(Table1[[#This Row],[Reporting date]])-1,YEAR(Table1[[#This Row],[Reporting date]]))</f>
        <v>2011</v>
      </c>
      <c r="V565" s="17">
        <f>Table1[[#This Row],[Reporting year]]-Table1[[#This Row],[Policy Year]]</f>
        <v>0</v>
      </c>
      <c r="W565" s="17">
        <f>INT(Table1[[#This Row],[Reporting date]])-INT(Table1[[#This Row],[Loss date]])</f>
        <v>14</v>
      </c>
      <c r="X565" s="17">
        <f>INT((YEAR(Table1[[#This Row],[Loss date]])*12+MONTH(Table1[[#This Row],[Loss date]])-Earliest_Month)/4)</f>
        <v>18</v>
      </c>
      <c r="Y565" s="17">
        <f>INT((YEAR(Table1[[#This Row],[Reporting date]])*12+MONTH(Table1[[#This Row],[Reporting date]])-Earliest_Month)/4)</f>
        <v>18</v>
      </c>
      <c r="Z565" s="17">
        <f>Table1[[#This Row],[Reporting third]]-Table1[[#This Row],[Policy third]]</f>
        <v>0</v>
      </c>
      <c r="AA565" s="71">
        <f>IF(Table1[[#This Row],[Overall amount]]=0,"N/A",Table1[[#This Row],[Outstanding]]/Table1[[#This Row],[Overall amount]])</f>
        <v>0</v>
      </c>
      <c r="AB565" s="17">
        <f>IF(MONTH(Table1[[#This Row],[Loss date]])&lt;Pol_Inc_Month_Shifted,YEAR(Table1[[#This Row],[Loss date]])-1,YEAR(Table1[[#This Row],[Loss date]]))</f>
        <v>2010</v>
      </c>
      <c r="AC565" s="17">
        <f>IF(MONTH(Table1[[#This Row],[Reporting date]])&lt;Pol_Inc_Month_Shifted,YEAR(Table1[[#This Row],[Reporting date]])-1,YEAR(Table1[[#This Row],[Reporting date]]))</f>
        <v>2010</v>
      </c>
      <c r="AD565" s="17">
        <f>Table1[[#This Row],[Reporting year (shifted)]]-Table1[[#This Row],[Policy Year (shifted)]]</f>
        <v>0</v>
      </c>
    </row>
    <row r="566" spans="1:30" ht="13.9">
      <c r="A566" s="8" t="s">
        <v>2336</v>
      </c>
      <c r="B566" s="8" t="s">
        <v>618</v>
      </c>
      <c r="C566" s="8" t="s">
        <v>123</v>
      </c>
      <c r="D566" s="9">
        <v>40768</v>
      </c>
      <c r="E566" s="9">
        <v>40913</v>
      </c>
      <c r="F566" s="17">
        <f>IF(MONTH(Table1[[#This Row],[Loss date]])&lt;Policy_Inception_Month,YEAR(Table1[[#This Row],[Loss date]])-1,YEAR(Table1[[#This Row],[Loss date]]))</f>
        <v>2011</v>
      </c>
      <c r="G566" s="10" t="s">
        <v>125</v>
      </c>
      <c r="H566" s="10" t="s">
        <v>2</v>
      </c>
      <c r="I566" s="11">
        <v>668.41666024618098</v>
      </c>
      <c r="J566" s="11">
        <v>0</v>
      </c>
      <c r="K566" s="11">
        <v>668.41666024618098</v>
      </c>
      <c r="L566" s="12">
        <v>0</v>
      </c>
      <c r="M566" s="12">
        <v>0</v>
      </c>
      <c r="N566" s="12">
        <v>668.41666024618098</v>
      </c>
      <c r="O566" s="70">
        <f>IF(Table1[[#This Row],[Overall amount]]=0,0,1)</f>
        <v>1</v>
      </c>
      <c r="P566" s="70">
        <f>Table1[[#This Row],[Overall amount]]*Exchange_Rate</f>
        <v>668.41666024618098</v>
      </c>
      <c r="Q566" s="70">
        <f>Table1[[#This Row],[Overall (destination currency)]]*(1+Claims_Inflation)^((Revalue_at_date-Table1[[#This Row],[Loss date]])/365.25)</f>
        <v>817.80000000000007</v>
      </c>
      <c r="R566" s="70">
        <f>INT(Table1[[#This Row],[Reporting date]])-INT(Table1[[#This Row],[Loss date]])</f>
        <v>145</v>
      </c>
      <c r="S566" s="69" t="s">
        <v>9</v>
      </c>
      <c r="T566" s="70">
        <f>VLOOKUP(Table1[[#This Row],[Policy Year]],exposure_table,3,FALSE)</f>
        <v>870.52680000000009</v>
      </c>
      <c r="U566" s="17">
        <f>IF(MONTH(Table1[[#This Row],[Reporting date]])&lt;Policy_Inception_Month,YEAR(Table1[[#This Row],[Reporting date]])-1,YEAR(Table1[[#This Row],[Reporting date]]))</f>
        <v>2011</v>
      </c>
      <c r="V566" s="17">
        <f>Table1[[#This Row],[Reporting year]]-Table1[[#This Row],[Policy Year]]</f>
        <v>0</v>
      </c>
      <c r="W566" s="17">
        <f>INT(Table1[[#This Row],[Reporting date]])-INT(Table1[[#This Row],[Loss date]])</f>
        <v>145</v>
      </c>
      <c r="X566" s="17">
        <f>INT((YEAR(Table1[[#This Row],[Loss date]])*12+MONTH(Table1[[#This Row],[Loss date]])-Earliest_Month)/4)</f>
        <v>19</v>
      </c>
      <c r="Y566" s="17">
        <f>INT((YEAR(Table1[[#This Row],[Reporting date]])*12+MONTH(Table1[[#This Row],[Reporting date]])-Earliest_Month)/4)</f>
        <v>20</v>
      </c>
      <c r="Z566" s="17">
        <f>Table1[[#This Row],[Reporting third]]-Table1[[#This Row],[Policy third]]</f>
        <v>1</v>
      </c>
      <c r="AA566" s="71">
        <f>IF(Table1[[#This Row],[Overall amount]]=0,"N/A",Table1[[#This Row],[Outstanding]]/Table1[[#This Row],[Overall amount]])</f>
        <v>0</v>
      </c>
      <c r="AB566" s="17">
        <f>IF(MONTH(Table1[[#This Row],[Loss date]])&lt;Pol_Inc_Month_Shifted,YEAR(Table1[[#This Row],[Loss date]])-1,YEAR(Table1[[#This Row],[Loss date]]))</f>
        <v>2010</v>
      </c>
      <c r="AC566" s="17">
        <f>IF(MONTH(Table1[[#This Row],[Reporting date]])&lt;Pol_Inc_Month_Shifted,YEAR(Table1[[#This Row],[Reporting date]])-1,YEAR(Table1[[#This Row],[Reporting date]]))</f>
        <v>2011</v>
      </c>
      <c r="AD566" s="17">
        <f>Table1[[#This Row],[Reporting year (shifted)]]-Table1[[#This Row],[Policy Year (shifted)]]</f>
        <v>1</v>
      </c>
    </row>
    <row r="567" spans="1:30" ht="13.9">
      <c r="A567" s="8" t="s">
        <v>2337</v>
      </c>
      <c r="B567" s="8" t="s">
        <v>619</v>
      </c>
      <c r="C567" s="8" t="s">
        <v>123</v>
      </c>
      <c r="D567" s="9">
        <v>40449</v>
      </c>
      <c r="E567" s="9">
        <v>40466</v>
      </c>
      <c r="F567" s="17">
        <f>IF(MONTH(Table1[[#This Row],[Loss date]])&lt;Policy_Inception_Month,YEAR(Table1[[#This Row],[Loss date]])-1,YEAR(Table1[[#This Row],[Loss date]]))</f>
        <v>2010</v>
      </c>
      <c r="G567" s="10" t="s">
        <v>125</v>
      </c>
      <c r="H567" s="10" t="s">
        <v>2</v>
      </c>
      <c r="I567" s="11">
        <v>30185.851076347179</v>
      </c>
      <c r="J567" s="11">
        <v>0</v>
      </c>
      <c r="K567" s="11">
        <v>30185.851076347179</v>
      </c>
      <c r="L567" s="12">
        <v>140.98291100998171</v>
      </c>
      <c r="M567" s="12">
        <v>0</v>
      </c>
      <c r="N567" s="12">
        <v>30326.83398735716</v>
      </c>
      <c r="O567" s="70">
        <f>IF(Table1[[#This Row],[Overall amount]]=0,0,1)</f>
        <v>1</v>
      </c>
      <c r="P567" s="70">
        <f>Table1[[#This Row],[Overall amount]]*Exchange_Rate</f>
        <v>30326.83398735716</v>
      </c>
      <c r="Q567" s="70">
        <f>Table1[[#This Row],[Overall (destination currency)]]*(1+Claims_Inflation)^((Revalue_at_date-Table1[[#This Row],[Loss date]])/365.25)</f>
        <v>38719.799999999988</v>
      </c>
      <c r="R567" s="70">
        <f>INT(Table1[[#This Row],[Reporting date]])-INT(Table1[[#This Row],[Loss date]])</f>
        <v>17</v>
      </c>
      <c r="S567" s="69" t="s">
        <v>9</v>
      </c>
      <c r="T567" s="70">
        <f>VLOOKUP(Table1[[#This Row],[Policy Year]],exposure_table,3,FALSE)</f>
        <v>837.11513600000012</v>
      </c>
      <c r="U567" s="17">
        <f>IF(MONTH(Table1[[#This Row],[Reporting date]])&lt;Policy_Inception_Month,YEAR(Table1[[#This Row],[Reporting date]])-1,YEAR(Table1[[#This Row],[Reporting date]]))</f>
        <v>2010</v>
      </c>
      <c r="V567" s="17">
        <f>Table1[[#This Row],[Reporting year]]-Table1[[#This Row],[Policy Year]]</f>
        <v>0</v>
      </c>
      <c r="W567" s="17">
        <f>INT(Table1[[#This Row],[Reporting date]])-INT(Table1[[#This Row],[Loss date]])</f>
        <v>17</v>
      </c>
      <c r="X567" s="17">
        <f>INT((YEAR(Table1[[#This Row],[Loss date]])*12+MONTH(Table1[[#This Row],[Loss date]])-Earliest_Month)/4)</f>
        <v>16</v>
      </c>
      <c r="Y567" s="17">
        <f>INT((YEAR(Table1[[#This Row],[Reporting date]])*12+MONTH(Table1[[#This Row],[Reporting date]])-Earliest_Month)/4)</f>
        <v>16</v>
      </c>
      <c r="Z567" s="17">
        <f>Table1[[#This Row],[Reporting third]]-Table1[[#This Row],[Policy third]]</f>
        <v>0</v>
      </c>
      <c r="AA567" s="71">
        <f>IF(Table1[[#This Row],[Overall amount]]=0,"N/A",Table1[[#This Row],[Outstanding]]/Table1[[#This Row],[Overall amount]])</f>
        <v>0</v>
      </c>
      <c r="AB567" s="17">
        <f>IF(MONTH(Table1[[#This Row],[Loss date]])&lt;Pol_Inc_Month_Shifted,YEAR(Table1[[#This Row],[Loss date]])-1,YEAR(Table1[[#This Row],[Loss date]]))</f>
        <v>2009</v>
      </c>
      <c r="AC567" s="17">
        <f>IF(MONTH(Table1[[#This Row],[Reporting date]])&lt;Pol_Inc_Month_Shifted,YEAR(Table1[[#This Row],[Reporting date]])-1,YEAR(Table1[[#This Row],[Reporting date]]))</f>
        <v>2009</v>
      </c>
      <c r="AD567" s="17">
        <f>Table1[[#This Row],[Reporting year (shifted)]]-Table1[[#This Row],[Policy Year (shifted)]]</f>
        <v>0</v>
      </c>
    </row>
    <row r="568" spans="1:30" ht="13.9">
      <c r="A568" s="8" t="s">
        <v>2338</v>
      </c>
      <c r="B568" s="8" t="s">
        <v>620</v>
      </c>
      <c r="C568" s="8" t="s">
        <v>123</v>
      </c>
      <c r="D568" s="9">
        <v>40202</v>
      </c>
      <c r="E568" s="9">
        <v>41111</v>
      </c>
      <c r="F568" s="17">
        <f>IF(MONTH(Table1[[#This Row],[Loss date]])&lt;Policy_Inception_Month,YEAR(Table1[[#This Row],[Loss date]])-1,YEAR(Table1[[#This Row],[Loss date]]))</f>
        <v>2009</v>
      </c>
      <c r="G568" s="10" t="s">
        <v>125</v>
      </c>
      <c r="H568" s="10" t="s">
        <v>2</v>
      </c>
      <c r="I568" s="11">
        <v>580.18520236624954</v>
      </c>
      <c r="J568" s="11">
        <v>0</v>
      </c>
      <c r="K568" s="11">
        <v>580.18520236624954</v>
      </c>
      <c r="L568" s="12">
        <v>0</v>
      </c>
      <c r="M568" s="12">
        <v>0</v>
      </c>
      <c r="N568" s="12">
        <v>580.18520236624954</v>
      </c>
      <c r="O568" s="70">
        <f>IF(Table1[[#This Row],[Overall amount]]=0,0,1)</f>
        <v>1</v>
      </c>
      <c r="P568" s="70">
        <f>Table1[[#This Row],[Overall amount]]*Exchange_Rate</f>
        <v>580.18520236624954</v>
      </c>
      <c r="Q568" s="70">
        <f>Table1[[#This Row],[Overall (destination currency)]]*(1+Claims_Inflation)^((Revalue_at_date-Table1[[#This Row],[Loss date]])/365.25)</f>
        <v>765.60000000000014</v>
      </c>
      <c r="R568" s="70">
        <f>INT(Table1[[#This Row],[Reporting date]])-INT(Table1[[#This Row],[Loss date]])</f>
        <v>909</v>
      </c>
      <c r="S568" s="69" t="s">
        <v>9</v>
      </c>
      <c r="T568" s="70">
        <f>VLOOKUP(Table1[[#This Row],[Policy Year]],exposure_table,3,FALSE)</f>
        <v>760.22808576000011</v>
      </c>
      <c r="U568" s="17">
        <f>IF(MONTH(Table1[[#This Row],[Reporting date]])&lt;Policy_Inception_Month,YEAR(Table1[[#This Row],[Reporting date]])-1,YEAR(Table1[[#This Row],[Reporting date]]))</f>
        <v>2012</v>
      </c>
      <c r="V568" s="17">
        <f>Table1[[#This Row],[Reporting year]]-Table1[[#This Row],[Policy Year]]</f>
        <v>3</v>
      </c>
      <c r="W568" s="17">
        <f>INT(Table1[[#This Row],[Reporting date]])-INT(Table1[[#This Row],[Loss date]])</f>
        <v>909</v>
      </c>
      <c r="X568" s="17">
        <f>INT((YEAR(Table1[[#This Row],[Loss date]])*12+MONTH(Table1[[#This Row],[Loss date]])-Earliest_Month)/4)</f>
        <v>14</v>
      </c>
      <c r="Y568" s="17">
        <f>INT((YEAR(Table1[[#This Row],[Reporting date]])*12+MONTH(Table1[[#This Row],[Reporting date]])-Earliest_Month)/4)</f>
        <v>21</v>
      </c>
      <c r="Z568" s="17">
        <f>Table1[[#This Row],[Reporting third]]-Table1[[#This Row],[Policy third]]</f>
        <v>7</v>
      </c>
      <c r="AA568" s="71">
        <f>IF(Table1[[#This Row],[Overall amount]]=0,"N/A",Table1[[#This Row],[Outstanding]]/Table1[[#This Row],[Overall amount]])</f>
        <v>0</v>
      </c>
      <c r="AB568" s="17">
        <f>IF(MONTH(Table1[[#This Row],[Loss date]])&lt;Pol_Inc_Month_Shifted,YEAR(Table1[[#This Row],[Loss date]])-1,YEAR(Table1[[#This Row],[Loss date]]))</f>
        <v>2009</v>
      </c>
      <c r="AC568" s="17">
        <f>IF(MONTH(Table1[[#This Row],[Reporting date]])&lt;Pol_Inc_Month_Shifted,YEAR(Table1[[#This Row],[Reporting date]])-1,YEAR(Table1[[#This Row],[Reporting date]]))</f>
        <v>2011</v>
      </c>
      <c r="AD568" s="17">
        <f>Table1[[#This Row],[Reporting year (shifted)]]-Table1[[#This Row],[Policy Year (shifted)]]</f>
        <v>2</v>
      </c>
    </row>
    <row r="569" spans="1:30" ht="13.9">
      <c r="A569" s="8" t="s">
        <v>2339</v>
      </c>
      <c r="B569" s="8" t="s">
        <v>621</v>
      </c>
      <c r="C569" s="8" t="s">
        <v>123</v>
      </c>
      <c r="D569" s="9">
        <v>40792</v>
      </c>
      <c r="E569" s="9">
        <v>41035</v>
      </c>
      <c r="F569" s="17">
        <f>IF(MONTH(Table1[[#This Row],[Loss date]])&lt;Policy_Inception_Month,YEAR(Table1[[#This Row],[Loss date]])-1,YEAR(Table1[[#This Row],[Loss date]]))</f>
        <v>2011</v>
      </c>
      <c r="G569" s="10" t="s">
        <v>125</v>
      </c>
      <c r="H569" s="10" t="s">
        <v>2</v>
      </c>
      <c r="I569" s="11">
        <v>656.29569456653337</v>
      </c>
      <c r="J569" s="11">
        <v>0</v>
      </c>
      <c r="K569" s="11">
        <v>656.29569456653337</v>
      </c>
      <c r="L569" s="12">
        <v>0</v>
      </c>
      <c r="M569" s="12">
        <v>30.547760320108839</v>
      </c>
      <c r="N569" s="12">
        <v>625.74793424642451</v>
      </c>
      <c r="O569" s="70">
        <f>IF(Table1[[#This Row],[Overall amount]]=0,0,1)</f>
        <v>1</v>
      </c>
      <c r="P569" s="70">
        <f>Table1[[#This Row],[Overall amount]]*Exchange_Rate</f>
        <v>625.74793424642451</v>
      </c>
      <c r="Q569" s="70">
        <f>Table1[[#This Row],[Overall (destination currency)]]*(1+Claims_Inflation)^((Revalue_at_date-Table1[[#This Row],[Loss date]])/365.25)</f>
        <v>763.1447999999998</v>
      </c>
      <c r="R569" s="70">
        <f>INT(Table1[[#This Row],[Reporting date]])-INT(Table1[[#This Row],[Loss date]])</f>
        <v>243</v>
      </c>
      <c r="S569" s="69" t="s">
        <v>9</v>
      </c>
      <c r="T569" s="70">
        <f>VLOOKUP(Table1[[#This Row],[Policy Year]],exposure_table,3,FALSE)</f>
        <v>870.52680000000009</v>
      </c>
      <c r="U569" s="17">
        <f>IF(MONTH(Table1[[#This Row],[Reporting date]])&lt;Policy_Inception_Month,YEAR(Table1[[#This Row],[Reporting date]])-1,YEAR(Table1[[#This Row],[Reporting date]]))</f>
        <v>2012</v>
      </c>
      <c r="V569" s="17">
        <f>Table1[[#This Row],[Reporting year]]-Table1[[#This Row],[Policy Year]]</f>
        <v>1</v>
      </c>
      <c r="W569" s="17">
        <f>INT(Table1[[#This Row],[Reporting date]])-INT(Table1[[#This Row],[Loss date]])</f>
        <v>243</v>
      </c>
      <c r="X569" s="17">
        <f>INT((YEAR(Table1[[#This Row],[Loss date]])*12+MONTH(Table1[[#This Row],[Loss date]])-Earliest_Month)/4)</f>
        <v>19</v>
      </c>
      <c r="Y569" s="17">
        <f>INT((YEAR(Table1[[#This Row],[Reporting date]])*12+MONTH(Table1[[#This Row],[Reporting date]])-Earliest_Month)/4)</f>
        <v>21</v>
      </c>
      <c r="Z569" s="17">
        <f>Table1[[#This Row],[Reporting third]]-Table1[[#This Row],[Policy third]]</f>
        <v>2</v>
      </c>
      <c r="AA569" s="71">
        <f>IF(Table1[[#This Row],[Overall amount]]=0,"N/A",Table1[[#This Row],[Outstanding]]/Table1[[#This Row],[Overall amount]])</f>
        <v>0</v>
      </c>
      <c r="AB569" s="17">
        <f>IF(MONTH(Table1[[#This Row],[Loss date]])&lt;Pol_Inc_Month_Shifted,YEAR(Table1[[#This Row],[Loss date]])-1,YEAR(Table1[[#This Row],[Loss date]]))</f>
        <v>2010</v>
      </c>
      <c r="AC569" s="17">
        <f>IF(MONTH(Table1[[#This Row],[Reporting date]])&lt;Pol_Inc_Month_Shifted,YEAR(Table1[[#This Row],[Reporting date]])-1,YEAR(Table1[[#This Row],[Reporting date]]))</f>
        <v>2011</v>
      </c>
      <c r="AD569" s="17">
        <f>Table1[[#This Row],[Reporting year (shifted)]]-Table1[[#This Row],[Policy Year (shifted)]]</f>
        <v>1</v>
      </c>
    </row>
    <row r="570" spans="1:30" ht="13.9">
      <c r="A570" s="8" t="s">
        <v>2340</v>
      </c>
      <c r="B570" s="8" t="s">
        <v>622</v>
      </c>
      <c r="C570" s="8" t="s">
        <v>123</v>
      </c>
      <c r="D570" s="9">
        <v>40878</v>
      </c>
      <c r="E570" s="9">
        <v>41019</v>
      </c>
      <c r="F570" s="17">
        <f>IF(MONTH(Table1[[#This Row],[Loss date]])&lt;Policy_Inception_Month,YEAR(Table1[[#This Row],[Loss date]])-1,YEAR(Table1[[#This Row],[Loss date]]))</f>
        <v>2011</v>
      </c>
      <c r="G570" s="10" t="s">
        <v>125</v>
      </c>
      <c r="H570" s="10" t="s">
        <v>2</v>
      </c>
      <c r="I570" s="11">
        <v>678.31076799804998</v>
      </c>
      <c r="J570" s="11">
        <v>0</v>
      </c>
      <c r="K570" s="11">
        <v>678.31076799804998</v>
      </c>
      <c r="L570" s="12">
        <v>0</v>
      </c>
      <c r="M570" s="12">
        <v>0</v>
      </c>
      <c r="N570" s="12">
        <v>678.31076799804998</v>
      </c>
      <c r="O570" s="70">
        <f>IF(Table1[[#This Row],[Overall amount]]=0,0,1)</f>
        <v>1</v>
      </c>
      <c r="P570" s="70">
        <f>Table1[[#This Row],[Overall amount]]*Exchange_Rate</f>
        <v>678.31076799804998</v>
      </c>
      <c r="Q570" s="70">
        <f>Table1[[#This Row],[Overall (destination currency)]]*(1+Claims_Inflation)^((Revalue_at_date-Table1[[#This Row],[Loss date]])/365.25)</f>
        <v>817.80000000000007</v>
      </c>
      <c r="R570" s="70">
        <f>INT(Table1[[#This Row],[Reporting date]])-INT(Table1[[#This Row],[Loss date]])</f>
        <v>141</v>
      </c>
      <c r="S570" s="69" t="s">
        <v>9</v>
      </c>
      <c r="T570" s="70">
        <f>VLOOKUP(Table1[[#This Row],[Policy Year]],exposure_table,3,FALSE)</f>
        <v>870.52680000000009</v>
      </c>
      <c r="U570" s="17">
        <f>IF(MONTH(Table1[[#This Row],[Reporting date]])&lt;Policy_Inception_Month,YEAR(Table1[[#This Row],[Reporting date]])-1,YEAR(Table1[[#This Row],[Reporting date]]))</f>
        <v>2012</v>
      </c>
      <c r="V570" s="17">
        <f>Table1[[#This Row],[Reporting year]]-Table1[[#This Row],[Policy Year]]</f>
        <v>1</v>
      </c>
      <c r="W570" s="17">
        <f>INT(Table1[[#This Row],[Reporting date]])-INT(Table1[[#This Row],[Loss date]])</f>
        <v>141</v>
      </c>
      <c r="X570" s="17">
        <f>INT((YEAR(Table1[[#This Row],[Loss date]])*12+MONTH(Table1[[#This Row],[Loss date]])-Earliest_Month)/4)</f>
        <v>20</v>
      </c>
      <c r="Y570" s="17">
        <f>INT((YEAR(Table1[[#This Row],[Reporting date]])*12+MONTH(Table1[[#This Row],[Reporting date]])-Earliest_Month)/4)</f>
        <v>21</v>
      </c>
      <c r="Z570" s="17">
        <f>Table1[[#This Row],[Reporting third]]-Table1[[#This Row],[Policy third]]</f>
        <v>1</v>
      </c>
      <c r="AA570" s="71">
        <f>IF(Table1[[#This Row],[Overall amount]]=0,"N/A",Table1[[#This Row],[Outstanding]]/Table1[[#This Row],[Overall amount]])</f>
        <v>0</v>
      </c>
      <c r="AB570" s="17">
        <f>IF(MONTH(Table1[[#This Row],[Loss date]])&lt;Pol_Inc_Month_Shifted,YEAR(Table1[[#This Row],[Loss date]])-1,YEAR(Table1[[#This Row],[Loss date]]))</f>
        <v>2011</v>
      </c>
      <c r="AC570" s="17">
        <f>IF(MONTH(Table1[[#This Row],[Reporting date]])&lt;Pol_Inc_Month_Shifted,YEAR(Table1[[#This Row],[Reporting date]])-1,YEAR(Table1[[#This Row],[Reporting date]]))</f>
        <v>2011</v>
      </c>
      <c r="AD570" s="17">
        <f>Table1[[#This Row],[Reporting year (shifted)]]-Table1[[#This Row],[Policy Year (shifted)]]</f>
        <v>0</v>
      </c>
    </row>
    <row r="571" spans="1:30" ht="13.9">
      <c r="A571" s="8" t="s">
        <v>2341</v>
      </c>
      <c r="B571" s="8" t="s">
        <v>623</v>
      </c>
      <c r="C571" s="8" t="s">
        <v>123</v>
      </c>
      <c r="D571" s="9">
        <v>40260</v>
      </c>
      <c r="E571" s="9">
        <v>40665</v>
      </c>
      <c r="F571" s="17">
        <f>IF(MONTH(Table1[[#This Row],[Loss date]])&lt;Policy_Inception_Month,YEAR(Table1[[#This Row],[Loss date]])-1,YEAR(Table1[[#This Row],[Loss date]]))</f>
        <v>2009</v>
      </c>
      <c r="G571" s="10" t="s">
        <v>125</v>
      </c>
      <c r="H571" s="10" t="s">
        <v>2</v>
      </c>
      <c r="I571" s="11">
        <v>571.40914816291445</v>
      </c>
      <c r="J571" s="11">
        <v>0</v>
      </c>
      <c r="K571" s="11">
        <v>571.40914816291445</v>
      </c>
      <c r="L571" s="12">
        <v>0</v>
      </c>
      <c r="M571" s="12">
        <v>0</v>
      </c>
      <c r="N571" s="12">
        <v>571.40914816291445</v>
      </c>
      <c r="O571" s="70">
        <f>IF(Table1[[#This Row],[Overall amount]]=0,0,1)</f>
        <v>1</v>
      </c>
      <c r="P571" s="70">
        <f>Table1[[#This Row],[Overall amount]]*Exchange_Rate</f>
        <v>571.40914816291445</v>
      </c>
      <c r="Q571" s="70">
        <f>Table1[[#This Row],[Overall (destination currency)]]*(1+Claims_Inflation)^((Revalue_at_date-Table1[[#This Row],[Loss date]])/365.25)</f>
        <v>748.19999999999993</v>
      </c>
      <c r="R571" s="70">
        <f>INT(Table1[[#This Row],[Reporting date]])-INT(Table1[[#This Row],[Loss date]])</f>
        <v>405</v>
      </c>
      <c r="S571" s="69" t="s">
        <v>9</v>
      </c>
      <c r="T571" s="70">
        <f>VLOOKUP(Table1[[#This Row],[Policy Year]],exposure_table,3,FALSE)</f>
        <v>760.22808576000011</v>
      </c>
      <c r="U571" s="17">
        <f>IF(MONTH(Table1[[#This Row],[Reporting date]])&lt;Policy_Inception_Month,YEAR(Table1[[#This Row],[Reporting date]])-1,YEAR(Table1[[#This Row],[Reporting date]]))</f>
        <v>2011</v>
      </c>
      <c r="V571" s="17">
        <f>Table1[[#This Row],[Reporting year]]-Table1[[#This Row],[Policy Year]]</f>
        <v>2</v>
      </c>
      <c r="W571" s="17">
        <f>INT(Table1[[#This Row],[Reporting date]])-INT(Table1[[#This Row],[Loss date]])</f>
        <v>405</v>
      </c>
      <c r="X571" s="17">
        <f>INT((YEAR(Table1[[#This Row],[Loss date]])*12+MONTH(Table1[[#This Row],[Loss date]])-Earliest_Month)/4)</f>
        <v>14</v>
      </c>
      <c r="Y571" s="17">
        <f>INT((YEAR(Table1[[#This Row],[Reporting date]])*12+MONTH(Table1[[#This Row],[Reporting date]])-Earliest_Month)/4)</f>
        <v>18</v>
      </c>
      <c r="Z571" s="17">
        <f>Table1[[#This Row],[Reporting third]]-Table1[[#This Row],[Policy third]]</f>
        <v>4</v>
      </c>
      <c r="AA571" s="71">
        <f>IF(Table1[[#This Row],[Overall amount]]=0,"N/A",Table1[[#This Row],[Outstanding]]/Table1[[#This Row],[Overall amount]])</f>
        <v>0</v>
      </c>
      <c r="AB571" s="17">
        <f>IF(MONTH(Table1[[#This Row],[Loss date]])&lt;Pol_Inc_Month_Shifted,YEAR(Table1[[#This Row],[Loss date]])-1,YEAR(Table1[[#This Row],[Loss date]]))</f>
        <v>2009</v>
      </c>
      <c r="AC571" s="17">
        <f>IF(MONTH(Table1[[#This Row],[Reporting date]])&lt;Pol_Inc_Month_Shifted,YEAR(Table1[[#This Row],[Reporting date]])-1,YEAR(Table1[[#This Row],[Reporting date]]))</f>
        <v>2010</v>
      </c>
      <c r="AD571" s="17">
        <f>Table1[[#This Row],[Reporting year (shifted)]]-Table1[[#This Row],[Policy Year (shifted)]]</f>
        <v>1</v>
      </c>
    </row>
    <row r="572" spans="1:30" ht="13.9">
      <c r="A572" s="8" t="s">
        <v>2342</v>
      </c>
      <c r="B572" s="8" t="s">
        <v>624</v>
      </c>
      <c r="C572" s="8" t="s">
        <v>123</v>
      </c>
      <c r="D572" s="9">
        <v>40824</v>
      </c>
      <c r="E572" s="9">
        <v>40859</v>
      </c>
      <c r="F572" s="17">
        <f>IF(MONTH(Table1[[#This Row],[Loss date]])&lt;Policy_Inception_Month,YEAR(Table1[[#This Row],[Loss date]])-1,YEAR(Table1[[#This Row],[Loss date]]))</f>
        <v>2011</v>
      </c>
      <c r="G572" s="10" t="s">
        <v>125</v>
      </c>
      <c r="H572" s="10" t="s">
        <v>2</v>
      </c>
      <c r="I572" s="11">
        <v>487.16610135945467</v>
      </c>
      <c r="J572" s="11">
        <v>0</v>
      </c>
      <c r="K572" s="11">
        <v>487.16610135945467</v>
      </c>
      <c r="L572" s="12">
        <v>0</v>
      </c>
      <c r="M572" s="12">
        <v>0</v>
      </c>
      <c r="N572" s="12">
        <v>487.16610135945467</v>
      </c>
      <c r="O572" s="70">
        <f>IF(Table1[[#This Row],[Overall amount]]=0,0,1)</f>
        <v>1</v>
      </c>
      <c r="P572" s="70">
        <f>Table1[[#This Row],[Overall amount]]*Exchange_Rate</f>
        <v>487.16610135945467</v>
      </c>
      <c r="Q572" s="70">
        <f>Table1[[#This Row],[Overall (destination currency)]]*(1+Claims_Inflation)^((Revalue_at_date-Table1[[#This Row],[Loss date]])/365.25)</f>
        <v>591.6</v>
      </c>
      <c r="R572" s="70">
        <f>INT(Table1[[#This Row],[Reporting date]])-INT(Table1[[#This Row],[Loss date]])</f>
        <v>35</v>
      </c>
      <c r="S572" s="69" t="s">
        <v>9</v>
      </c>
      <c r="T572" s="70">
        <f>VLOOKUP(Table1[[#This Row],[Policy Year]],exposure_table,3,FALSE)</f>
        <v>870.52680000000009</v>
      </c>
      <c r="U572" s="17">
        <f>IF(MONTH(Table1[[#This Row],[Reporting date]])&lt;Policy_Inception_Month,YEAR(Table1[[#This Row],[Reporting date]])-1,YEAR(Table1[[#This Row],[Reporting date]]))</f>
        <v>2011</v>
      </c>
      <c r="V572" s="17">
        <f>Table1[[#This Row],[Reporting year]]-Table1[[#This Row],[Policy Year]]</f>
        <v>0</v>
      </c>
      <c r="W572" s="17">
        <f>INT(Table1[[#This Row],[Reporting date]])-INT(Table1[[#This Row],[Loss date]])</f>
        <v>35</v>
      </c>
      <c r="X572" s="17">
        <f>INT((YEAR(Table1[[#This Row],[Loss date]])*12+MONTH(Table1[[#This Row],[Loss date]])-Earliest_Month)/4)</f>
        <v>19</v>
      </c>
      <c r="Y572" s="17">
        <f>INT((YEAR(Table1[[#This Row],[Reporting date]])*12+MONTH(Table1[[#This Row],[Reporting date]])-Earliest_Month)/4)</f>
        <v>19</v>
      </c>
      <c r="Z572" s="17">
        <f>Table1[[#This Row],[Reporting third]]-Table1[[#This Row],[Policy third]]</f>
        <v>0</v>
      </c>
      <c r="AA572" s="71">
        <f>IF(Table1[[#This Row],[Overall amount]]=0,"N/A",Table1[[#This Row],[Outstanding]]/Table1[[#This Row],[Overall amount]])</f>
        <v>0</v>
      </c>
      <c r="AB572" s="17">
        <f>IF(MONTH(Table1[[#This Row],[Loss date]])&lt;Pol_Inc_Month_Shifted,YEAR(Table1[[#This Row],[Loss date]])-1,YEAR(Table1[[#This Row],[Loss date]]))</f>
        <v>2010</v>
      </c>
      <c r="AC572" s="17">
        <f>IF(MONTH(Table1[[#This Row],[Reporting date]])&lt;Pol_Inc_Month_Shifted,YEAR(Table1[[#This Row],[Reporting date]])-1,YEAR(Table1[[#This Row],[Reporting date]]))</f>
        <v>2010</v>
      </c>
      <c r="AD572" s="17">
        <f>Table1[[#This Row],[Reporting year (shifted)]]-Table1[[#This Row],[Policy Year (shifted)]]</f>
        <v>0</v>
      </c>
    </row>
    <row r="573" spans="1:30" ht="13.9">
      <c r="A573" s="8" t="s">
        <v>2343</v>
      </c>
      <c r="B573" s="8" t="s">
        <v>625</v>
      </c>
      <c r="C573" s="8" t="s">
        <v>123</v>
      </c>
      <c r="D573" s="9">
        <v>40738</v>
      </c>
      <c r="E573" s="9">
        <v>40970</v>
      </c>
      <c r="F573" s="17">
        <f>IF(MONTH(Table1[[#This Row],[Loss date]])&lt;Policy_Inception_Month,YEAR(Table1[[#This Row],[Loss date]])-1,YEAR(Table1[[#This Row],[Loss date]]))</f>
        <v>2011</v>
      </c>
      <c r="G573" s="10" t="s">
        <v>131</v>
      </c>
      <c r="H573" s="10" t="s">
        <v>2</v>
      </c>
      <c r="I573" s="11">
        <v>779.06142964417836</v>
      </c>
      <c r="J573" s="11">
        <v>0</v>
      </c>
      <c r="K573" s="11">
        <v>779.06142964417836</v>
      </c>
      <c r="L573" s="12">
        <v>0</v>
      </c>
      <c r="M573" s="12">
        <v>0</v>
      </c>
      <c r="N573" s="12">
        <v>779.06142964417836</v>
      </c>
      <c r="O573" s="70">
        <f>IF(Table1[[#This Row],[Overall amount]]=0,0,1)</f>
        <v>1</v>
      </c>
      <c r="P573" s="70">
        <f>Table1[[#This Row],[Overall amount]]*Exchange_Rate</f>
        <v>779.06142964417836</v>
      </c>
      <c r="Q573" s="70">
        <f>Table1[[#This Row],[Overall (destination currency)]]*(1+Claims_Inflation)^((Revalue_at_date-Table1[[#This Row],[Loss date]])/365.25)</f>
        <v>957</v>
      </c>
      <c r="R573" s="70">
        <f>INT(Table1[[#This Row],[Reporting date]])-INT(Table1[[#This Row],[Loss date]])</f>
        <v>232</v>
      </c>
      <c r="S573" s="69" t="s">
        <v>9</v>
      </c>
      <c r="T573" s="70">
        <f>VLOOKUP(Table1[[#This Row],[Policy Year]],exposure_table,3,FALSE)</f>
        <v>870.52680000000009</v>
      </c>
      <c r="U573" s="17">
        <f>IF(MONTH(Table1[[#This Row],[Reporting date]])&lt;Policy_Inception_Month,YEAR(Table1[[#This Row],[Reporting date]])-1,YEAR(Table1[[#This Row],[Reporting date]]))</f>
        <v>2011</v>
      </c>
      <c r="V573" s="17">
        <f>Table1[[#This Row],[Reporting year]]-Table1[[#This Row],[Policy Year]]</f>
        <v>0</v>
      </c>
      <c r="W573" s="17">
        <f>INT(Table1[[#This Row],[Reporting date]])-INT(Table1[[#This Row],[Loss date]])</f>
        <v>232</v>
      </c>
      <c r="X573" s="17">
        <f>INT((YEAR(Table1[[#This Row],[Loss date]])*12+MONTH(Table1[[#This Row],[Loss date]])-Earliest_Month)/4)</f>
        <v>18</v>
      </c>
      <c r="Y573" s="17">
        <f>INT((YEAR(Table1[[#This Row],[Reporting date]])*12+MONTH(Table1[[#This Row],[Reporting date]])-Earliest_Month)/4)</f>
        <v>20</v>
      </c>
      <c r="Z573" s="17">
        <f>Table1[[#This Row],[Reporting third]]-Table1[[#This Row],[Policy third]]</f>
        <v>2</v>
      </c>
      <c r="AA573" s="71">
        <f>IF(Table1[[#This Row],[Overall amount]]=0,"N/A",Table1[[#This Row],[Outstanding]]/Table1[[#This Row],[Overall amount]])</f>
        <v>0</v>
      </c>
      <c r="AB573" s="17">
        <f>IF(MONTH(Table1[[#This Row],[Loss date]])&lt;Pol_Inc_Month_Shifted,YEAR(Table1[[#This Row],[Loss date]])-1,YEAR(Table1[[#This Row],[Loss date]]))</f>
        <v>2010</v>
      </c>
      <c r="AC573" s="17">
        <f>IF(MONTH(Table1[[#This Row],[Reporting date]])&lt;Pol_Inc_Month_Shifted,YEAR(Table1[[#This Row],[Reporting date]])-1,YEAR(Table1[[#This Row],[Reporting date]]))</f>
        <v>2011</v>
      </c>
      <c r="AD573" s="17">
        <f>Table1[[#This Row],[Reporting year (shifted)]]-Table1[[#This Row],[Policy Year (shifted)]]</f>
        <v>1</v>
      </c>
    </row>
    <row r="574" spans="1:30" ht="13.9">
      <c r="A574" s="8" t="s">
        <v>2344</v>
      </c>
      <c r="B574" s="8" t="s">
        <v>626</v>
      </c>
      <c r="C574" s="8" t="s">
        <v>123</v>
      </c>
      <c r="D574" s="9">
        <v>40809</v>
      </c>
      <c r="E574" s="9">
        <v>40865</v>
      </c>
      <c r="F574" s="17">
        <f>IF(MONTH(Table1[[#This Row],[Loss date]])&lt;Policy_Inception_Month,YEAR(Table1[[#This Row],[Loss date]])-1,YEAR(Table1[[#This Row],[Loss date]]))</f>
        <v>2011</v>
      </c>
      <c r="G574" s="10" t="s">
        <v>125</v>
      </c>
      <c r="H574" s="10" t="s">
        <v>2</v>
      </c>
      <c r="I574" s="11">
        <v>12572.227166115283</v>
      </c>
      <c r="J574" s="11">
        <v>0</v>
      </c>
      <c r="K574" s="11">
        <v>12572.227166115283</v>
      </c>
      <c r="L574" s="12">
        <v>0</v>
      </c>
      <c r="M574" s="12">
        <v>0</v>
      </c>
      <c r="N574" s="12">
        <v>12572.227166115283</v>
      </c>
      <c r="O574" s="70">
        <f>IF(Table1[[#This Row],[Overall amount]]=0,0,1)</f>
        <v>1</v>
      </c>
      <c r="P574" s="70">
        <f>Table1[[#This Row],[Overall amount]]*Exchange_Rate</f>
        <v>12572.227166115283</v>
      </c>
      <c r="Q574" s="70">
        <f>Table1[[#This Row],[Overall (destination currency)]]*(1+Claims_Inflation)^((Revalue_at_date-Table1[[#This Row],[Loss date]])/365.25)</f>
        <v>15297.960000000003</v>
      </c>
      <c r="R574" s="70">
        <f>INT(Table1[[#This Row],[Reporting date]])-INT(Table1[[#This Row],[Loss date]])</f>
        <v>56</v>
      </c>
      <c r="S574" s="69" t="s">
        <v>9</v>
      </c>
      <c r="T574" s="70">
        <f>VLOOKUP(Table1[[#This Row],[Policy Year]],exposure_table,3,FALSE)</f>
        <v>870.52680000000009</v>
      </c>
      <c r="U574" s="17">
        <f>IF(MONTH(Table1[[#This Row],[Reporting date]])&lt;Policy_Inception_Month,YEAR(Table1[[#This Row],[Reporting date]])-1,YEAR(Table1[[#This Row],[Reporting date]]))</f>
        <v>2011</v>
      </c>
      <c r="V574" s="17">
        <f>Table1[[#This Row],[Reporting year]]-Table1[[#This Row],[Policy Year]]</f>
        <v>0</v>
      </c>
      <c r="W574" s="17">
        <f>INT(Table1[[#This Row],[Reporting date]])-INT(Table1[[#This Row],[Loss date]])</f>
        <v>56</v>
      </c>
      <c r="X574" s="17">
        <f>INT((YEAR(Table1[[#This Row],[Loss date]])*12+MONTH(Table1[[#This Row],[Loss date]])-Earliest_Month)/4)</f>
        <v>19</v>
      </c>
      <c r="Y574" s="17">
        <f>INT((YEAR(Table1[[#This Row],[Reporting date]])*12+MONTH(Table1[[#This Row],[Reporting date]])-Earliest_Month)/4)</f>
        <v>19</v>
      </c>
      <c r="Z574" s="17">
        <f>Table1[[#This Row],[Reporting third]]-Table1[[#This Row],[Policy third]]</f>
        <v>0</v>
      </c>
      <c r="AA574" s="71">
        <f>IF(Table1[[#This Row],[Overall amount]]=0,"N/A",Table1[[#This Row],[Outstanding]]/Table1[[#This Row],[Overall amount]])</f>
        <v>0</v>
      </c>
      <c r="AB574" s="17">
        <f>IF(MONTH(Table1[[#This Row],[Loss date]])&lt;Pol_Inc_Month_Shifted,YEAR(Table1[[#This Row],[Loss date]])-1,YEAR(Table1[[#This Row],[Loss date]]))</f>
        <v>2010</v>
      </c>
      <c r="AC574" s="17">
        <f>IF(MONTH(Table1[[#This Row],[Reporting date]])&lt;Pol_Inc_Month_Shifted,YEAR(Table1[[#This Row],[Reporting date]])-1,YEAR(Table1[[#This Row],[Reporting date]]))</f>
        <v>2010</v>
      </c>
      <c r="AD574" s="17">
        <f>Table1[[#This Row],[Reporting year (shifted)]]-Table1[[#This Row],[Policy Year (shifted)]]</f>
        <v>0</v>
      </c>
    </row>
    <row r="575" spans="1:30" ht="13.9">
      <c r="A575" s="8" t="s">
        <v>2345</v>
      </c>
      <c r="B575" s="8" t="s">
        <v>627</v>
      </c>
      <c r="C575" s="8" t="s">
        <v>123</v>
      </c>
      <c r="D575" s="9">
        <v>40986</v>
      </c>
      <c r="E575" s="9">
        <v>41030</v>
      </c>
      <c r="F575" s="17">
        <f>IF(MONTH(Table1[[#This Row],[Loss date]])&lt;Policy_Inception_Month,YEAR(Table1[[#This Row],[Loss date]])-1,YEAR(Table1[[#This Row],[Loss date]]))</f>
        <v>2011</v>
      </c>
      <c r="G575" s="10" t="s">
        <v>131</v>
      </c>
      <c r="H575" s="10" t="s">
        <v>2</v>
      </c>
      <c r="I575" s="11">
        <v>409.97210127910904</v>
      </c>
      <c r="J575" s="11">
        <v>0</v>
      </c>
      <c r="K575" s="11">
        <v>409.97210127910904</v>
      </c>
      <c r="L575" s="12">
        <v>0</v>
      </c>
      <c r="M575" s="12">
        <v>0</v>
      </c>
      <c r="N575" s="12">
        <v>409.97210127910904</v>
      </c>
      <c r="O575" s="70">
        <f>IF(Table1[[#This Row],[Overall amount]]=0,0,1)</f>
        <v>1</v>
      </c>
      <c r="P575" s="70">
        <f>Table1[[#This Row],[Overall amount]]*Exchange_Rate</f>
        <v>409.97210127910904</v>
      </c>
      <c r="Q575" s="70">
        <f>Table1[[#This Row],[Overall (destination currency)]]*(1+Claims_Inflation)^((Revalue_at_date-Table1[[#This Row],[Loss date]])/365.25)</f>
        <v>487.20000000000005</v>
      </c>
      <c r="R575" s="70">
        <f>INT(Table1[[#This Row],[Reporting date]])-INT(Table1[[#This Row],[Loss date]])</f>
        <v>44</v>
      </c>
      <c r="S575" s="69" t="s">
        <v>9</v>
      </c>
      <c r="T575" s="70">
        <f>VLOOKUP(Table1[[#This Row],[Policy Year]],exposure_table,3,FALSE)</f>
        <v>870.52680000000009</v>
      </c>
      <c r="U575" s="17">
        <f>IF(MONTH(Table1[[#This Row],[Reporting date]])&lt;Policy_Inception_Month,YEAR(Table1[[#This Row],[Reporting date]])-1,YEAR(Table1[[#This Row],[Reporting date]]))</f>
        <v>2012</v>
      </c>
      <c r="V575" s="17">
        <f>Table1[[#This Row],[Reporting year]]-Table1[[#This Row],[Policy Year]]</f>
        <v>1</v>
      </c>
      <c r="W575" s="17">
        <f>INT(Table1[[#This Row],[Reporting date]])-INT(Table1[[#This Row],[Loss date]])</f>
        <v>44</v>
      </c>
      <c r="X575" s="17">
        <f>INT((YEAR(Table1[[#This Row],[Loss date]])*12+MONTH(Table1[[#This Row],[Loss date]])-Earliest_Month)/4)</f>
        <v>20</v>
      </c>
      <c r="Y575" s="17">
        <f>INT((YEAR(Table1[[#This Row],[Reporting date]])*12+MONTH(Table1[[#This Row],[Reporting date]])-Earliest_Month)/4)</f>
        <v>21</v>
      </c>
      <c r="Z575" s="17">
        <f>Table1[[#This Row],[Reporting third]]-Table1[[#This Row],[Policy third]]</f>
        <v>1</v>
      </c>
      <c r="AA575" s="71">
        <f>IF(Table1[[#This Row],[Overall amount]]=0,"N/A",Table1[[#This Row],[Outstanding]]/Table1[[#This Row],[Overall amount]])</f>
        <v>0</v>
      </c>
      <c r="AB575" s="17">
        <f>IF(MONTH(Table1[[#This Row],[Loss date]])&lt;Pol_Inc_Month_Shifted,YEAR(Table1[[#This Row],[Loss date]])-1,YEAR(Table1[[#This Row],[Loss date]]))</f>
        <v>2011</v>
      </c>
      <c r="AC575" s="17">
        <f>IF(MONTH(Table1[[#This Row],[Reporting date]])&lt;Pol_Inc_Month_Shifted,YEAR(Table1[[#This Row],[Reporting date]])-1,YEAR(Table1[[#This Row],[Reporting date]]))</f>
        <v>2011</v>
      </c>
      <c r="AD575" s="17">
        <f>Table1[[#This Row],[Reporting year (shifted)]]-Table1[[#This Row],[Policy Year (shifted)]]</f>
        <v>0</v>
      </c>
    </row>
    <row r="576" spans="1:30" ht="13.9">
      <c r="A576" s="8" t="s">
        <v>2346</v>
      </c>
      <c r="B576" s="8" t="s">
        <v>628</v>
      </c>
      <c r="C576" s="8" t="s">
        <v>123</v>
      </c>
      <c r="D576" s="9">
        <v>40260</v>
      </c>
      <c r="E576" s="9">
        <v>40292</v>
      </c>
      <c r="F576" s="17">
        <f>IF(MONTH(Table1[[#This Row],[Loss date]])&lt;Policy_Inception_Month,YEAR(Table1[[#This Row],[Loss date]])-1,YEAR(Table1[[#This Row],[Loss date]]))</f>
        <v>2009</v>
      </c>
      <c r="G576" s="10" t="s">
        <v>126</v>
      </c>
      <c r="H576" s="10" t="s">
        <v>2</v>
      </c>
      <c r="I576" s="11">
        <v>2434.5603882835321</v>
      </c>
      <c r="J576" s="11">
        <v>0</v>
      </c>
      <c r="K576" s="11">
        <v>2434.5603882835321</v>
      </c>
      <c r="L576" s="12">
        <v>0</v>
      </c>
      <c r="M576" s="12">
        <v>0</v>
      </c>
      <c r="N576" s="12">
        <v>2434.5603882835321</v>
      </c>
      <c r="O576" s="70">
        <f>IF(Table1[[#This Row],[Overall amount]]=0,0,1)</f>
        <v>1</v>
      </c>
      <c r="P576" s="70">
        <f>Table1[[#This Row],[Overall amount]]*Exchange_Rate</f>
        <v>2434.5603882835321</v>
      </c>
      <c r="Q576" s="70">
        <f>Table1[[#This Row],[Overall (destination currency)]]*(1+Claims_Inflation)^((Revalue_at_date-Table1[[#This Row],[Loss date]])/365.25)</f>
        <v>3187.7999999999997</v>
      </c>
      <c r="R576" s="70">
        <f>INT(Table1[[#This Row],[Reporting date]])-INT(Table1[[#This Row],[Loss date]])</f>
        <v>32</v>
      </c>
      <c r="S576" s="69" t="s">
        <v>9</v>
      </c>
      <c r="T576" s="70">
        <f>VLOOKUP(Table1[[#This Row],[Policy Year]],exposure_table,3,FALSE)</f>
        <v>760.22808576000011</v>
      </c>
      <c r="U576" s="17">
        <f>IF(MONTH(Table1[[#This Row],[Reporting date]])&lt;Policy_Inception_Month,YEAR(Table1[[#This Row],[Reporting date]])-1,YEAR(Table1[[#This Row],[Reporting date]]))</f>
        <v>2010</v>
      </c>
      <c r="V576" s="17">
        <f>Table1[[#This Row],[Reporting year]]-Table1[[#This Row],[Policy Year]]</f>
        <v>1</v>
      </c>
      <c r="W576" s="17">
        <f>INT(Table1[[#This Row],[Reporting date]])-INT(Table1[[#This Row],[Loss date]])</f>
        <v>32</v>
      </c>
      <c r="X576" s="17">
        <f>INT((YEAR(Table1[[#This Row],[Loss date]])*12+MONTH(Table1[[#This Row],[Loss date]])-Earliest_Month)/4)</f>
        <v>14</v>
      </c>
      <c r="Y576" s="17">
        <f>INT((YEAR(Table1[[#This Row],[Reporting date]])*12+MONTH(Table1[[#This Row],[Reporting date]])-Earliest_Month)/4)</f>
        <v>15</v>
      </c>
      <c r="Z576" s="17">
        <f>Table1[[#This Row],[Reporting third]]-Table1[[#This Row],[Policy third]]</f>
        <v>1</v>
      </c>
      <c r="AA576" s="71">
        <f>IF(Table1[[#This Row],[Overall amount]]=0,"N/A",Table1[[#This Row],[Outstanding]]/Table1[[#This Row],[Overall amount]])</f>
        <v>0</v>
      </c>
      <c r="AB576" s="17">
        <f>IF(MONTH(Table1[[#This Row],[Loss date]])&lt;Pol_Inc_Month_Shifted,YEAR(Table1[[#This Row],[Loss date]])-1,YEAR(Table1[[#This Row],[Loss date]]))</f>
        <v>2009</v>
      </c>
      <c r="AC576" s="17">
        <f>IF(MONTH(Table1[[#This Row],[Reporting date]])&lt;Pol_Inc_Month_Shifted,YEAR(Table1[[#This Row],[Reporting date]])-1,YEAR(Table1[[#This Row],[Reporting date]]))</f>
        <v>2009</v>
      </c>
      <c r="AD576" s="17">
        <f>Table1[[#This Row],[Reporting year (shifted)]]-Table1[[#This Row],[Policy Year (shifted)]]</f>
        <v>0</v>
      </c>
    </row>
    <row r="577" spans="1:30" ht="13.9">
      <c r="A577" s="8" t="s">
        <v>2347</v>
      </c>
      <c r="B577" s="8" t="s">
        <v>629</v>
      </c>
      <c r="C577" s="8" t="s">
        <v>123</v>
      </c>
      <c r="D577" s="9">
        <v>40506</v>
      </c>
      <c r="E577" s="9">
        <v>40916</v>
      </c>
      <c r="F577" s="17">
        <f>IF(MONTH(Table1[[#This Row],[Loss date]])&lt;Policy_Inception_Month,YEAR(Table1[[#This Row],[Loss date]])-1,YEAR(Table1[[#This Row],[Loss date]]))</f>
        <v>2010</v>
      </c>
      <c r="G577" s="10" t="s">
        <v>125</v>
      </c>
      <c r="H577" s="10" t="s">
        <v>2</v>
      </c>
      <c r="I577" s="11">
        <v>151.05762453371389</v>
      </c>
      <c r="J577" s="11">
        <v>0</v>
      </c>
      <c r="K577" s="11">
        <v>151.05762453371389</v>
      </c>
      <c r="L577" s="12">
        <v>0</v>
      </c>
      <c r="M577" s="12">
        <v>0</v>
      </c>
      <c r="N577" s="12">
        <v>151.05762453371389</v>
      </c>
      <c r="O577" s="70">
        <f>IF(Table1[[#This Row],[Overall amount]]=0,0,1)</f>
        <v>1</v>
      </c>
      <c r="P577" s="70">
        <f>Table1[[#This Row],[Overall amount]]*Exchange_Rate</f>
        <v>151.05762453371389</v>
      </c>
      <c r="Q577" s="70">
        <f>Table1[[#This Row],[Overall (destination currency)]]*(1+Claims_Inflation)^((Revalue_at_date-Table1[[#This Row],[Loss date]])/365.25)</f>
        <v>191.40000000000003</v>
      </c>
      <c r="R577" s="70">
        <f>INT(Table1[[#This Row],[Reporting date]])-INT(Table1[[#This Row],[Loss date]])</f>
        <v>410</v>
      </c>
      <c r="S577" s="69" t="s">
        <v>9</v>
      </c>
      <c r="T577" s="70">
        <f>VLOOKUP(Table1[[#This Row],[Policy Year]],exposure_table,3,FALSE)</f>
        <v>837.11513600000012</v>
      </c>
      <c r="U577" s="17">
        <f>IF(MONTH(Table1[[#This Row],[Reporting date]])&lt;Policy_Inception_Month,YEAR(Table1[[#This Row],[Reporting date]])-1,YEAR(Table1[[#This Row],[Reporting date]]))</f>
        <v>2011</v>
      </c>
      <c r="V577" s="17">
        <f>Table1[[#This Row],[Reporting year]]-Table1[[#This Row],[Policy Year]]</f>
        <v>1</v>
      </c>
      <c r="W577" s="17">
        <f>INT(Table1[[#This Row],[Reporting date]])-INT(Table1[[#This Row],[Loss date]])</f>
        <v>410</v>
      </c>
      <c r="X577" s="17">
        <f>INT((YEAR(Table1[[#This Row],[Loss date]])*12+MONTH(Table1[[#This Row],[Loss date]])-Earliest_Month)/4)</f>
        <v>16</v>
      </c>
      <c r="Y577" s="17">
        <f>INT((YEAR(Table1[[#This Row],[Reporting date]])*12+MONTH(Table1[[#This Row],[Reporting date]])-Earliest_Month)/4)</f>
        <v>20</v>
      </c>
      <c r="Z577" s="17">
        <f>Table1[[#This Row],[Reporting third]]-Table1[[#This Row],[Policy third]]</f>
        <v>4</v>
      </c>
      <c r="AA577" s="71">
        <f>IF(Table1[[#This Row],[Overall amount]]=0,"N/A",Table1[[#This Row],[Outstanding]]/Table1[[#This Row],[Overall amount]])</f>
        <v>0</v>
      </c>
      <c r="AB577" s="17">
        <f>IF(MONTH(Table1[[#This Row],[Loss date]])&lt;Pol_Inc_Month_Shifted,YEAR(Table1[[#This Row],[Loss date]])-1,YEAR(Table1[[#This Row],[Loss date]]))</f>
        <v>2009</v>
      </c>
      <c r="AC577" s="17">
        <f>IF(MONTH(Table1[[#This Row],[Reporting date]])&lt;Pol_Inc_Month_Shifted,YEAR(Table1[[#This Row],[Reporting date]])-1,YEAR(Table1[[#This Row],[Reporting date]]))</f>
        <v>2011</v>
      </c>
      <c r="AD577" s="17">
        <f>Table1[[#This Row],[Reporting year (shifted)]]-Table1[[#This Row],[Policy Year (shifted)]]</f>
        <v>2</v>
      </c>
    </row>
    <row r="578" spans="1:30" ht="13.9">
      <c r="A578" s="8" t="s">
        <v>2348</v>
      </c>
      <c r="B578" s="8" t="s">
        <v>630</v>
      </c>
      <c r="C578" s="8" t="s">
        <v>123</v>
      </c>
      <c r="D578" s="9">
        <v>40613</v>
      </c>
      <c r="E578" s="9">
        <v>40794</v>
      </c>
      <c r="F578" s="17">
        <f>IF(MONTH(Table1[[#This Row],[Loss date]])&lt;Policy_Inception_Month,YEAR(Table1[[#This Row],[Loss date]])-1,YEAR(Table1[[#This Row],[Loss date]]))</f>
        <v>2010</v>
      </c>
      <c r="G578" s="10" t="s">
        <v>125</v>
      </c>
      <c r="H578" s="10" t="s">
        <v>2</v>
      </c>
      <c r="I578" s="11">
        <v>10433.105426791491</v>
      </c>
      <c r="J578" s="11">
        <v>0</v>
      </c>
      <c r="K578" s="11">
        <v>10433.105426791491</v>
      </c>
      <c r="L578" s="12">
        <v>0</v>
      </c>
      <c r="M578" s="12">
        <v>0</v>
      </c>
      <c r="N578" s="12">
        <v>10433.105426791491</v>
      </c>
      <c r="O578" s="70">
        <f>IF(Table1[[#This Row],[Overall amount]]=0,0,1)</f>
        <v>1</v>
      </c>
      <c r="P578" s="70">
        <f>Table1[[#This Row],[Overall amount]]*Exchange_Rate</f>
        <v>10433.105426791491</v>
      </c>
      <c r="Q578" s="70">
        <f>Table1[[#This Row],[Overall (destination currency)]]*(1+Claims_Inflation)^((Revalue_at_date-Table1[[#This Row],[Loss date]])/365.25)</f>
        <v>13031.832000000004</v>
      </c>
      <c r="R578" s="70">
        <f>INT(Table1[[#This Row],[Reporting date]])-INT(Table1[[#This Row],[Loss date]])</f>
        <v>181</v>
      </c>
      <c r="S578" s="69" t="s">
        <v>9</v>
      </c>
      <c r="T578" s="70">
        <f>VLOOKUP(Table1[[#This Row],[Policy Year]],exposure_table,3,FALSE)</f>
        <v>837.11513600000012</v>
      </c>
      <c r="U578" s="17">
        <f>IF(MONTH(Table1[[#This Row],[Reporting date]])&lt;Policy_Inception_Month,YEAR(Table1[[#This Row],[Reporting date]])-1,YEAR(Table1[[#This Row],[Reporting date]]))</f>
        <v>2011</v>
      </c>
      <c r="V578" s="17">
        <f>Table1[[#This Row],[Reporting year]]-Table1[[#This Row],[Policy Year]]</f>
        <v>1</v>
      </c>
      <c r="W578" s="17">
        <f>INT(Table1[[#This Row],[Reporting date]])-INT(Table1[[#This Row],[Loss date]])</f>
        <v>181</v>
      </c>
      <c r="X578" s="17">
        <f>INT((YEAR(Table1[[#This Row],[Loss date]])*12+MONTH(Table1[[#This Row],[Loss date]])-Earliest_Month)/4)</f>
        <v>17</v>
      </c>
      <c r="Y578" s="17">
        <f>INT((YEAR(Table1[[#This Row],[Reporting date]])*12+MONTH(Table1[[#This Row],[Reporting date]])-Earliest_Month)/4)</f>
        <v>19</v>
      </c>
      <c r="Z578" s="17">
        <f>Table1[[#This Row],[Reporting third]]-Table1[[#This Row],[Policy third]]</f>
        <v>2</v>
      </c>
      <c r="AA578" s="71">
        <f>IF(Table1[[#This Row],[Overall amount]]=0,"N/A",Table1[[#This Row],[Outstanding]]/Table1[[#This Row],[Overall amount]])</f>
        <v>0</v>
      </c>
      <c r="AB578" s="17">
        <f>IF(MONTH(Table1[[#This Row],[Loss date]])&lt;Pol_Inc_Month_Shifted,YEAR(Table1[[#This Row],[Loss date]])-1,YEAR(Table1[[#This Row],[Loss date]]))</f>
        <v>2010</v>
      </c>
      <c r="AC578" s="17">
        <f>IF(MONTH(Table1[[#This Row],[Reporting date]])&lt;Pol_Inc_Month_Shifted,YEAR(Table1[[#This Row],[Reporting date]])-1,YEAR(Table1[[#This Row],[Reporting date]]))</f>
        <v>2010</v>
      </c>
      <c r="AD578" s="17">
        <f>Table1[[#This Row],[Reporting year (shifted)]]-Table1[[#This Row],[Policy Year (shifted)]]</f>
        <v>0</v>
      </c>
    </row>
    <row r="579" spans="1:30" ht="13.9">
      <c r="A579" s="8" t="s">
        <v>2349</v>
      </c>
      <c r="B579" s="8" t="s">
        <v>631</v>
      </c>
      <c r="C579" s="8" t="s">
        <v>123</v>
      </c>
      <c r="D579" s="9">
        <v>40411</v>
      </c>
      <c r="E579" s="9">
        <v>40582</v>
      </c>
      <c r="F579" s="17">
        <f>IF(MONTH(Table1[[#This Row],[Loss date]])&lt;Policy_Inception_Month,YEAR(Table1[[#This Row],[Loss date]])-1,YEAR(Table1[[#This Row],[Loss date]]))</f>
        <v>2010</v>
      </c>
      <c r="G579" s="10" t="s">
        <v>125</v>
      </c>
      <c r="H579" s="10" t="s">
        <v>2</v>
      </c>
      <c r="I579" s="11">
        <v>9196.5931560835033</v>
      </c>
      <c r="J579" s="11">
        <v>0</v>
      </c>
      <c r="K579" s="11">
        <v>9196.5931560835033</v>
      </c>
      <c r="L579" s="12">
        <v>0</v>
      </c>
      <c r="M579" s="12">
        <v>0</v>
      </c>
      <c r="N579" s="12">
        <v>9196.5931560835033</v>
      </c>
      <c r="O579" s="70">
        <f>IF(Table1[[#This Row],[Overall amount]]=0,0,1)</f>
        <v>1</v>
      </c>
      <c r="P579" s="70">
        <f>Table1[[#This Row],[Overall amount]]*Exchange_Rate</f>
        <v>9196.5931560835033</v>
      </c>
      <c r="Q579" s="70">
        <f>Table1[[#This Row],[Overall (destination currency)]]*(1+Claims_Inflation)^((Revalue_at_date-Table1[[#This Row],[Loss date]])/365.25)</f>
        <v>11801.508</v>
      </c>
      <c r="R579" s="70">
        <f>INT(Table1[[#This Row],[Reporting date]])-INT(Table1[[#This Row],[Loss date]])</f>
        <v>171</v>
      </c>
      <c r="S579" s="69" t="s">
        <v>9</v>
      </c>
      <c r="T579" s="70">
        <f>VLOOKUP(Table1[[#This Row],[Policy Year]],exposure_table,3,FALSE)</f>
        <v>837.11513600000012</v>
      </c>
      <c r="U579" s="17">
        <f>IF(MONTH(Table1[[#This Row],[Reporting date]])&lt;Policy_Inception_Month,YEAR(Table1[[#This Row],[Reporting date]])-1,YEAR(Table1[[#This Row],[Reporting date]]))</f>
        <v>2010</v>
      </c>
      <c r="V579" s="17">
        <f>Table1[[#This Row],[Reporting year]]-Table1[[#This Row],[Policy Year]]</f>
        <v>0</v>
      </c>
      <c r="W579" s="17">
        <f>INT(Table1[[#This Row],[Reporting date]])-INT(Table1[[#This Row],[Loss date]])</f>
        <v>171</v>
      </c>
      <c r="X579" s="17">
        <f>INT((YEAR(Table1[[#This Row],[Loss date]])*12+MONTH(Table1[[#This Row],[Loss date]])-Earliest_Month)/4)</f>
        <v>16</v>
      </c>
      <c r="Y579" s="17">
        <f>INT((YEAR(Table1[[#This Row],[Reporting date]])*12+MONTH(Table1[[#This Row],[Reporting date]])-Earliest_Month)/4)</f>
        <v>17</v>
      </c>
      <c r="Z579" s="17">
        <f>Table1[[#This Row],[Reporting third]]-Table1[[#This Row],[Policy third]]</f>
        <v>1</v>
      </c>
      <c r="AA579" s="71">
        <f>IF(Table1[[#This Row],[Overall amount]]=0,"N/A",Table1[[#This Row],[Outstanding]]/Table1[[#This Row],[Overall amount]])</f>
        <v>0</v>
      </c>
      <c r="AB579" s="17">
        <f>IF(MONTH(Table1[[#This Row],[Loss date]])&lt;Pol_Inc_Month_Shifted,YEAR(Table1[[#This Row],[Loss date]])-1,YEAR(Table1[[#This Row],[Loss date]]))</f>
        <v>2009</v>
      </c>
      <c r="AC579" s="17">
        <f>IF(MONTH(Table1[[#This Row],[Reporting date]])&lt;Pol_Inc_Month_Shifted,YEAR(Table1[[#This Row],[Reporting date]])-1,YEAR(Table1[[#This Row],[Reporting date]]))</f>
        <v>2010</v>
      </c>
      <c r="AD579" s="17">
        <f>Table1[[#This Row],[Reporting year (shifted)]]-Table1[[#This Row],[Policy Year (shifted)]]</f>
        <v>1</v>
      </c>
    </row>
    <row r="580" spans="1:30" ht="13.9">
      <c r="A580" s="8" t="s">
        <v>2350</v>
      </c>
      <c r="B580" s="8" t="s">
        <v>632</v>
      </c>
      <c r="C580" s="8" t="s">
        <v>123</v>
      </c>
      <c r="D580" s="9">
        <v>40669</v>
      </c>
      <c r="E580" s="9">
        <v>40676</v>
      </c>
      <c r="F580" s="17">
        <f>IF(MONTH(Table1[[#This Row],[Loss date]])&lt;Policy_Inception_Month,YEAR(Table1[[#This Row],[Loss date]])-1,YEAR(Table1[[#This Row],[Loss date]]))</f>
        <v>2011</v>
      </c>
      <c r="G580" s="10" t="s">
        <v>125</v>
      </c>
      <c r="H580" s="10" t="s">
        <v>2</v>
      </c>
      <c r="I580" s="11">
        <v>4268.9978058604966</v>
      </c>
      <c r="J580" s="11">
        <v>0</v>
      </c>
      <c r="K580" s="11">
        <v>4268.9978058604966</v>
      </c>
      <c r="L580" s="12">
        <v>0</v>
      </c>
      <c r="M580" s="12">
        <v>0</v>
      </c>
      <c r="N580" s="12">
        <v>4268.9978058604966</v>
      </c>
      <c r="O580" s="70">
        <f>IF(Table1[[#This Row],[Overall amount]]=0,0,1)</f>
        <v>1</v>
      </c>
      <c r="P580" s="70">
        <f>Table1[[#This Row],[Overall amount]]*Exchange_Rate</f>
        <v>4268.9978058604966</v>
      </c>
      <c r="Q580" s="70">
        <f>Table1[[#This Row],[Overall (destination currency)]]*(1+Claims_Inflation)^((Revalue_at_date-Table1[[#This Row],[Loss date]])/365.25)</f>
        <v>5292.5999999999985</v>
      </c>
      <c r="R580" s="70">
        <f>INT(Table1[[#This Row],[Reporting date]])-INT(Table1[[#This Row],[Loss date]])</f>
        <v>7</v>
      </c>
      <c r="S580" s="69" t="s">
        <v>9</v>
      </c>
      <c r="T580" s="70">
        <f>VLOOKUP(Table1[[#This Row],[Policy Year]],exposure_table,3,FALSE)</f>
        <v>870.52680000000009</v>
      </c>
      <c r="U580" s="17">
        <f>IF(MONTH(Table1[[#This Row],[Reporting date]])&lt;Policy_Inception_Month,YEAR(Table1[[#This Row],[Reporting date]])-1,YEAR(Table1[[#This Row],[Reporting date]]))</f>
        <v>2011</v>
      </c>
      <c r="V580" s="17">
        <f>Table1[[#This Row],[Reporting year]]-Table1[[#This Row],[Policy Year]]</f>
        <v>0</v>
      </c>
      <c r="W580" s="17">
        <f>INT(Table1[[#This Row],[Reporting date]])-INT(Table1[[#This Row],[Loss date]])</f>
        <v>7</v>
      </c>
      <c r="X580" s="17">
        <f>INT((YEAR(Table1[[#This Row],[Loss date]])*12+MONTH(Table1[[#This Row],[Loss date]])-Earliest_Month)/4)</f>
        <v>18</v>
      </c>
      <c r="Y580" s="17">
        <f>INT((YEAR(Table1[[#This Row],[Reporting date]])*12+MONTH(Table1[[#This Row],[Reporting date]])-Earliest_Month)/4)</f>
        <v>18</v>
      </c>
      <c r="Z580" s="17">
        <f>Table1[[#This Row],[Reporting third]]-Table1[[#This Row],[Policy third]]</f>
        <v>0</v>
      </c>
      <c r="AA580" s="71">
        <f>IF(Table1[[#This Row],[Overall amount]]=0,"N/A",Table1[[#This Row],[Outstanding]]/Table1[[#This Row],[Overall amount]])</f>
        <v>0</v>
      </c>
      <c r="AB580" s="17">
        <f>IF(MONTH(Table1[[#This Row],[Loss date]])&lt;Pol_Inc_Month_Shifted,YEAR(Table1[[#This Row],[Loss date]])-1,YEAR(Table1[[#This Row],[Loss date]]))</f>
        <v>2010</v>
      </c>
      <c r="AC580" s="17">
        <f>IF(MONTH(Table1[[#This Row],[Reporting date]])&lt;Pol_Inc_Month_Shifted,YEAR(Table1[[#This Row],[Reporting date]])-1,YEAR(Table1[[#This Row],[Reporting date]]))</f>
        <v>2010</v>
      </c>
      <c r="AD580" s="17">
        <f>Table1[[#This Row],[Reporting year (shifted)]]-Table1[[#This Row],[Policy Year (shifted)]]</f>
        <v>0</v>
      </c>
    </row>
    <row r="581" spans="1:30" ht="13.9">
      <c r="A581" s="8" t="s">
        <v>2351</v>
      </c>
      <c r="B581" s="8" t="s">
        <v>633</v>
      </c>
      <c r="C581" s="8" t="s">
        <v>123</v>
      </c>
      <c r="D581" s="9">
        <v>39259</v>
      </c>
      <c r="E581" s="9">
        <v>39355</v>
      </c>
      <c r="F581" s="17">
        <f>IF(MONTH(Table1[[#This Row],[Loss date]])&lt;Policy_Inception_Month,YEAR(Table1[[#This Row],[Loss date]])-1,YEAR(Table1[[#This Row],[Loss date]]))</f>
        <v>2007</v>
      </c>
      <c r="G581" s="10" t="s">
        <v>125</v>
      </c>
      <c r="H581" s="10" t="s">
        <v>2</v>
      </c>
      <c r="I581" s="11">
        <v>14951.439853904109</v>
      </c>
      <c r="J581" s="11">
        <v>0</v>
      </c>
      <c r="K581" s="11">
        <v>14951.439853904109</v>
      </c>
      <c r="L581" s="12">
        <v>0</v>
      </c>
      <c r="M581" s="12">
        <v>0</v>
      </c>
      <c r="N581" s="12">
        <v>14951.439853904109</v>
      </c>
      <c r="O581" s="70">
        <f>IF(Table1[[#This Row],[Overall amount]]=0,0,1)</f>
        <v>1</v>
      </c>
      <c r="P581" s="70">
        <f>Table1[[#This Row],[Overall amount]]*Exchange_Rate</f>
        <v>14951.439853904109</v>
      </c>
      <c r="Q581" s="70">
        <f>Table1[[#This Row],[Overall (destination currency)]]*(1+Claims_Inflation)^((Revalue_at_date-Table1[[#This Row],[Loss date]])/365.25)</f>
        <v>22378.175999999999</v>
      </c>
      <c r="R581" s="70">
        <f>INT(Table1[[#This Row],[Reporting date]])-INT(Table1[[#This Row],[Loss date]])</f>
        <v>96</v>
      </c>
      <c r="S581" s="69" t="s">
        <v>9</v>
      </c>
      <c r="T581" s="70">
        <f>VLOOKUP(Table1[[#This Row],[Policy Year]],exposure_table,3,FALSE)</f>
        <v>547.7736362475523</v>
      </c>
      <c r="U581" s="17">
        <f>IF(MONTH(Table1[[#This Row],[Reporting date]])&lt;Policy_Inception_Month,YEAR(Table1[[#This Row],[Reporting date]])-1,YEAR(Table1[[#This Row],[Reporting date]]))</f>
        <v>2007</v>
      </c>
      <c r="V581" s="17">
        <f>Table1[[#This Row],[Reporting year]]-Table1[[#This Row],[Policy Year]]</f>
        <v>0</v>
      </c>
      <c r="W581" s="17">
        <f>INT(Table1[[#This Row],[Reporting date]])-INT(Table1[[#This Row],[Loss date]])</f>
        <v>96</v>
      </c>
      <c r="X581" s="17">
        <f>INT((YEAR(Table1[[#This Row],[Loss date]])*12+MONTH(Table1[[#This Row],[Loss date]])-Earliest_Month)/4)</f>
        <v>6</v>
      </c>
      <c r="Y581" s="17">
        <f>INT((YEAR(Table1[[#This Row],[Reporting date]])*12+MONTH(Table1[[#This Row],[Reporting date]])-Earliest_Month)/4)</f>
        <v>7</v>
      </c>
      <c r="Z581" s="17">
        <f>Table1[[#This Row],[Reporting third]]-Table1[[#This Row],[Policy third]]</f>
        <v>1</v>
      </c>
      <c r="AA581" s="71">
        <f>IF(Table1[[#This Row],[Overall amount]]=0,"N/A",Table1[[#This Row],[Outstanding]]/Table1[[#This Row],[Overall amount]])</f>
        <v>0</v>
      </c>
      <c r="AB581" s="17">
        <f>IF(MONTH(Table1[[#This Row],[Loss date]])&lt;Pol_Inc_Month_Shifted,YEAR(Table1[[#This Row],[Loss date]])-1,YEAR(Table1[[#This Row],[Loss date]]))</f>
        <v>2006</v>
      </c>
      <c r="AC581" s="17">
        <f>IF(MONTH(Table1[[#This Row],[Reporting date]])&lt;Pol_Inc_Month_Shifted,YEAR(Table1[[#This Row],[Reporting date]])-1,YEAR(Table1[[#This Row],[Reporting date]]))</f>
        <v>2006</v>
      </c>
      <c r="AD581" s="17">
        <f>Table1[[#This Row],[Reporting year (shifted)]]-Table1[[#This Row],[Policy Year (shifted)]]</f>
        <v>0</v>
      </c>
    </row>
    <row r="582" spans="1:30" ht="13.9">
      <c r="A582" s="8" t="s">
        <v>2352</v>
      </c>
      <c r="B582" s="8" t="s">
        <v>634</v>
      </c>
      <c r="C582" s="8" t="s">
        <v>123</v>
      </c>
      <c r="D582" s="9">
        <v>40084</v>
      </c>
      <c r="E582" s="9">
        <v>41168</v>
      </c>
      <c r="F582" s="17">
        <f>IF(MONTH(Table1[[#This Row],[Loss date]])&lt;Policy_Inception_Month,YEAR(Table1[[#This Row],[Loss date]])-1,YEAR(Table1[[#This Row],[Loss date]]))</f>
        <v>2009</v>
      </c>
      <c r="G582" s="10" t="s">
        <v>125</v>
      </c>
      <c r="H582" s="10" t="s">
        <v>2</v>
      </c>
      <c r="I582" s="11">
        <v>6296.5160259415179</v>
      </c>
      <c r="J582" s="11">
        <v>0</v>
      </c>
      <c r="K582" s="11">
        <v>6296.5160259415179</v>
      </c>
      <c r="L582" s="12">
        <v>0</v>
      </c>
      <c r="M582" s="12">
        <v>0</v>
      </c>
      <c r="N582" s="12">
        <v>6296.5160259415179</v>
      </c>
      <c r="O582" s="70">
        <f>IF(Table1[[#This Row],[Overall amount]]=0,0,1)</f>
        <v>1</v>
      </c>
      <c r="P582" s="70">
        <f>Table1[[#This Row],[Overall amount]]*Exchange_Rate</f>
        <v>6296.5160259415179</v>
      </c>
      <c r="Q582" s="70">
        <f>Table1[[#This Row],[Overall (destination currency)]]*(1+Claims_Inflation)^((Revalue_at_date-Table1[[#This Row],[Loss date]])/365.25)</f>
        <v>8440.7520000000004</v>
      </c>
      <c r="R582" s="70">
        <f>INT(Table1[[#This Row],[Reporting date]])-INT(Table1[[#This Row],[Loss date]])</f>
        <v>1084</v>
      </c>
      <c r="S582" s="69" t="s">
        <v>9</v>
      </c>
      <c r="T582" s="70">
        <f>VLOOKUP(Table1[[#This Row],[Policy Year]],exposure_table,3,FALSE)</f>
        <v>760.22808576000011</v>
      </c>
      <c r="U582" s="17">
        <f>IF(MONTH(Table1[[#This Row],[Reporting date]])&lt;Policy_Inception_Month,YEAR(Table1[[#This Row],[Reporting date]])-1,YEAR(Table1[[#This Row],[Reporting date]]))</f>
        <v>2012</v>
      </c>
      <c r="V582" s="17">
        <f>Table1[[#This Row],[Reporting year]]-Table1[[#This Row],[Policy Year]]</f>
        <v>3</v>
      </c>
      <c r="W582" s="17">
        <f>INT(Table1[[#This Row],[Reporting date]])-INT(Table1[[#This Row],[Loss date]])</f>
        <v>1084</v>
      </c>
      <c r="X582" s="17">
        <f>INT((YEAR(Table1[[#This Row],[Loss date]])*12+MONTH(Table1[[#This Row],[Loss date]])-Earliest_Month)/4)</f>
        <v>13</v>
      </c>
      <c r="Y582" s="17">
        <f>INT((YEAR(Table1[[#This Row],[Reporting date]])*12+MONTH(Table1[[#This Row],[Reporting date]])-Earliest_Month)/4)</f>
        <v>22</v>
      </c>
      <c r="Z582" s="17">
        <f>Table1[[#This Row],[Reporting third]]-Table1[[#This Row],[Policy third]]</f>
        <v>9</v>
      </c>
      <c r="AA582" s="71">
        <f>IF(Table1[[#This Row],[Overall amount]]=0,"N/A",Table1[[#This Row],[Outstanding]]/Table1[[#This Row],[Overall amount]])</f>
        <v>0</v>
      </c>
      <c r="AB582" s="17">
        <f>IF(MONTH(Table1[[#This Row],[Loss date]])&lt;Pol_Inc_Month_Shifted,YEAR(Table1[[#This Row],[Loss date]])-1,YEAR(Table1[[#This Row],[Loss date]]))</f>
        <v>2008</v>
      </c>
      <c r="AC582" s="17">
        <f>IF(MONTH(Table1[[#This Row],[Reporting date]])&lt;Pol_Inc_Month_Shifted,YEAR(Table1[[#This Row],[Reporting date]])-1,YEAR(Table1[[#This Row],[Reporting date]]))</f>
        <v>2011</v>
      </c>
      <c r="AD582" s="17">
        <f>Table1[[#This Row],[Reporting year (shifted)]]-Table1[[#This Row],[Policy Year (shifted)]]</f>
        <v>3</v>
      </c>
    </row>
    <row r="583" spans="1:30" ht="13.9">
      <c r="A583" s="8" t="s">
        <v>2353</v>
      </c>
      <c r="B583" s="8" t="s">
        <v>635</v>
      </c>
      <c r="C583" s="8" t="s">
        <v>123</v>
      </c>
      <c r="D583" s="9">
        <v>38543</v>
      </c>
      <c r="E583" s="9">
        <v>38948</v>
      </c>
      <c r="F583" s="17">
        <f>IF(MONTH(Table1[[#This Row],[Loss date]])&lt;Policy_Inception_Month,YEAR(Table1[[#This Row],[Loss date]])-1,YEAR(Table1[[#This Row],[Loss date]]))</f>
        <v>2005</v>
      </c>
      <c r="G583" s="10" t="s">
        <v>125</v>
      </c>
      <c r="H583" s="10" t="s">
        <v>2</v>
      </c>
      <c r="I583" s="11">
        <v>1306.1784734708831</v>
      </c>
      <c r="J583" s="11">
        <v>0</v>
      </c>
      <c r="K583" s="11">
        <v>1306.1784734708831</v>
      </c>
      <c r="L583" s="12">
        <v>0</v>
      </c>
      <c r="M583" s="12">
        <v>0</v>
      </c>
      <c r="N583" s="12">
        <v>1306.1784734708831</v>
      </c>
      <c r="O583" s="70">
        <f>IF(Table1[[#This Row],[Overall amount]]=0,0,1)</f>
        <v>1</v>
      </c>
      <c r="P583" s="70">
        <f>Table1[[#This Row],[Overall amount]]*Exchange_Rate</f>
        <v>1306.1784734708831</v>
      </c>
      <c r="Q583" s="70">
        <f>Table1[[#This Row],[Overall (destination currency)]]*(1+Claims_Inflation)^((Revalue_at_date-Table1[[#This Row],[Loss date]])/365.25)</f>
        <v>2151.2040000000002</v>
      </c>
      <c r="R583" s="70">
        <f>INT(Table1[[#This Row],[Reporting date]])-INT(Table1[[#This Row],[Loss date]])</f>
        <v>405</v>
      </c>
      <c r="S583" s="69" t="s">
        <v>9</v>
      </c>
      <c r="T583" s="70">
        <f>VLOOKUP(Table1[[#This Row],[Policy Year]],exposure_table,3,FALSE)</f>
        <v>409.50481038040112</v>
      </c>
      <c r="U583" s="17">
        <f>IF(MONTH(Table1[[#This Row],[Reporting date]])&lt;Policy_Inception_Month,YEAR(Table1[[#This Row],[Reporting date]])-1,YEAR(Table1[[#This Row],[Reporting date]]))</f>
        <v>2006</v>
      </c>
      <c r="V583" s="17">
        <f>Table1[[#This Row],[Reporting year]]-Table1[[#This Row],[Policy Year]]</f>
        <v>1</v>
      </c>
      <c r="W583" s="17">
        <f>INT(Table1[[#This Row],[Reporting date]])-INT(Table1[[#This Row],[Loss date]])</f>
        <v>405</v>
      </c>
      <c r="X583" s="17">
        <f>INT((YEAR(Table1[[#This Row],[Loss date]])*12+MONTH(Table1[[#This Row],[Loss date]])-Earliest_Month)/4)</f>
        <v>0</v>
      </c>
      <c r="Y583" s="17">
        <f>INT((YEAR(Table1[[#This Row],[Reporting date]])*12+MONTH(Table1[[#This Row],[Reporting date]])-Earliest_Month)/4)</f>
        <v>4</v>
      </c>
      <c r="Z583" s="17">
        <f>Table1[[#This Row],[Reporting third]]-Table1[[#This Row],[Policy third]]</f>
        <v>4</v>
      </c>
      <c r="AA583" s="71">
        <f>IF(Table1[[#This Row],[Overall amount]]=0,"N/A",Table1[[#This Row],[Outstanding]]/Table1[[#This Row],[Overall amount]])</f>
        <v>0</v>
      </c>
      <c r="AB583" s="17">
        <f>IF(MONTH(Table1[[#This Row],[Loss date]])&lt;Pol_Inc_Month_Shifted,YEAR(Table1[[#This Row],[Loss date]])-1,YEAR(Table1[[#This Row],[Loss date]]))</f>
        <v>2004</v>
      </c>
      <c r="AC583" s="17">
        <f>IF(MONTH(Table1[[#This Row],[Reporting date]])&lt;Pol_Inc_Month_Shifted,YEAR(Table1[[#This Row],[Reporting date]])-1,YEAR(Table1[[#This Row],[Reporting date]]))</f>
        <v>2005</v>
      </c>
      <c r="AD583" s="17">
        <f>Table1[[#This Row],[Reporting year (shifted)]]-Table1[[#This Row],[Policy Year (shifted)]]</f>
        <v>1</v>
      </c>
    </row>
    <row r="584" spans="1:30" ht="13.9">
      <c r="A584" s="8" t="s">
        <v>2354</v>
      </c>
      <c r="B584" s="8" t="s">
        <v>636</v>
      </c>
      <c r="C584" s="8" t="s">
        <v>123</v>
      </c>
      <c r="D584" s="9">
        <v>39263</v>
      </c>
      <c r="E584" s="9">
        <v>39338</v>
      </c>
      <c r="F584" s="17">
        <f>IF(MONTH(Table1[[#This Row],[Loss date]])&lt;Policy_Inception_Month,YEAR(Table1[[#This Row],[Loss date]])-1,YEAR(Table1[[#This Row],[Loss date]]))</f>
        <v>2007</v>
      </c>
      <c r="G584" s="10" t="s">
        <v>125</v>
      </c>
      <c r="H584" s="10" t="s">
        <v>2</v>
      </c>
      <c r="I584" s="11">
        <v>6843.217974568488</v>
      </c>
      <c r="J584" s="11">
        <v>0</v>
      </c>
      <c r="K584" s="11">
        <v>6843.217974568488</v>
      </c>
      <c r="L584" s="12">
        <v>0</v>
      </c>
      <c r="M584" s="12">
        <v>0</v>
      </c>
      <c r="N584" s="12">
        <v>6843.217974568488</v>
      </c>
      <c r="O584" s="70">
        <f>IF(Table1[[#This Row],[Overall amount]]=0,0,1)</f>
        <v>1</v>
      </c>
      <c r="P584" s="70">
        <f>Table1[[#This Row],[Overall amount]]*Exchange_Rate</f>
        <v>6843.217974568488</v>
      </c>
      <c r="Q584" s="70">
        <f>Table1[[#This Row],[Overall (destination currency)]]*(1+Claims_Inflation)^((Revalue_at_date-Table1[[#This Row],[Loss date]])/365.25)</f>
        <v>10236.936</v>
      </c>
      <c r="R584" s="70">
        <f>INT(Table1[[#This Row],[Reporting date]])-INT(Table1[[#This Row],[Loss date]])</f>
        <v>75</v>
      </c>
      <c r="S584" s="69" t="s">
        <v>9</v>
      </c>
      <c r="T584" s="70">
        <f>VLOOKUP(Table1[[#This Row],[Policy Year]],exposure_table,3,FALSE)</f>
        <v>547.7736362475523</v>
      </c>
      <c r="U584" s="17">
        <f>IF(MONTH(Table1[[#This Row],[Reporting date]])&lt;Policy_Inception_Month,YEAR(Table1[[#This Row],[Reporting date]])-1,YEAR(Table1[[#This Row],[Reporting date]]))</f>
        <v>2007</v>
      </c>
      <c r="V584" s="17">
        <f>Table1[[#This Row],[Reporting year]]-Table1[[#This Row],[Policy Year]]</f>
        <v>0</v>
      </c>
      <c r="W584" s="17">
        <f>INT(Table1[[#This Row],[Reporting date]])-INT(Table1[[#This Row],[Loss date]])</f>
        <v>75</v>
      </c>
      <c r="X584" s="17">
        <f>INT((YEAR(Table1[[#This Row],[Loss date]])*12+MONTH(Table1[[#This Row],[Loss date]])-Earliest_Month)/4)</f>
        <v>6</v>
      </c>
      <c r="Y584" s="17">
        <f>INT((YEAR(Table1[[#This Row],[Reporting date]])*12+MONTH(Table1[[#This Row],[Reporting date]])-Earliest_Month)/4)</f>
        <v>7</v>
      </c>
      <c r="Z584" s="17">
        <f>Table1[[#This Row],[Reporting third]]-Table1[[#This Row],[Policy third]]</f>
        <v>1</v>
      </c>
      <c r="AA584" s="71">
        <f>IF(Table1[[#This Row],[Overall amount]]=0,"N/A",Table1[[#This Row],[Outstanding]]/Table1[[#This Row],[Overall amount]])</f>
        <v>0</v>
      </c>
      <c r="AB584" s="17">
        <f>IF(MONTH(Table1[[#This Row],[Loss date]])&lt;Pol_Inc_Month_Shifted,YEAR(Table1[[#This Row],[Loss date]])-1,YEAR(Table1[[#This Row],[Loss date]]))</f>
        <v>2006</v>
      </c>
      <c r="AC584" s="17">
        <f>IF(MONTH(Table1[[#This Row],[Reporting date]])&lt;Pol_Inc_Month_Shifted,YEAR(Table1[[#This Row],[Reporting date]])-1,YEAR(Table1[[#This Row],[Reporting date]]))</f>
        <v>2006</v>
      </c>
      <c r="AD584" s="17">
        <f>Table1[[#This Row],[Reporting year (shifted)]]-Table1[[#This Row],[Policy Year (shifted)]]</f>
        <v>0</v>
      </c>
    </row>
    <row r="585" spans="1:30" ht="13.9">
      <c r="A585" s="8" t="s">
        <v>2355</v>
      </c>
      <c r="B585" s="8" t="s">
        <v>637</v>
      </c>
      <c r="C585" s="8" t="s">
        <v>123</v>
      </c>
      <c r="D585" s="9">
        <v>39679</v>
      </c>
      <c r="E585" s="9">
        <v>39985</v>
      </c>
      <c r="F585" s="17">
        <f>IF(MONTH(Table1[[#This Row],[Loss date]])&lt;Policy_Inception_Month,YEAR(Table1[[#This Row],[Loss date]])-1,YEAR(Table1[[#This Row],[Loss date]]))</f>
        <v>2008</v>
      </c>
      <c r="G585" s="10" t="s">
        <v>125</v>
      </c>
      <c r="H585" s="10" t="s">
        <v>2</v>
      </c>
      <c r="I585" s="11">
        <v>696.7909929873606</v>
      </c>
      <c r="J585" s="11">
        <v>0</v>
      </c>
      <c r="K585" s="11">
        <v>696.7909929873606</v>
      </c>
      <c r="L585" s="12">
        <v>0</v>
      </c>
      <c r="M585" s="12">
        <v>0</v>
      </c>
      <c r="N585" s="12">
        <v>696.7909929873606</v>
      </c>
      <c r="O585" s="70">
        <f>IF(Table1[[#This Row],[Overall amount]]=0,0,1)</f>
        <v>1</v>
      </c>
      <c r="P585" s="70">
        <f>Table1[[#This Row],[Overall amount]]*Exchange_Rate</f>
        <v>696.7909929873606</v>
      </c>
      <c r="Q585" s="70">
        <f>Table1[[#This Row],[Overall (destination currency)]]*(1+Claims_Inflation)^((Revalue_at_date-Table1[[#This Row],[Loss date]])/365.25)</f>
        <v>986.00399999999979</v>
      </c>
      <c r="R585" s="70">
        <f>INT(Table1[[#This Row],[Reporting date]])-INT(Table1[[#This Row],[Loss date]])</f>
        <v>306</v>
      </c>
      <c r="S585" s="69" t="s">
        <v>9</v>
      </c>
      <c r="T585" s="70">
        <f>VLOOKUP(Table1[[#This Row],[Policy Year]],exposure_table,3,FALSE)</f>
        <v>601.98581780480015</v>
      </c>
      <c r="U585" s="17">
        <f>IF(MONTH(Table1[[#This Row],[Reporting date]])&lt;Policy_Inception_Month,YEAR(Table1[[#This Row],[Reporting date]])-1,YEAR(Table1[[#This Row],[Reporting date]]))</f>
        <v>2009</v>
      </c>
      <c r="V585" s="17">
        <f>Table1[[#This Row],[Reporting year]]-Table1[[#This Row],[Policy Year]]</f>
        <v>1</v>
      </c>
      <c r="W585" s="17">
        <f>INT(Table1[[#This Row],[Reporting date]])-INT(Table1[[#This Row],[Loss date]])</f>
        <v>306</v>
      </c>
      <c r="X585" s="17">
        <f>INT((YEAR(Table1[[#This Row],[Loss date]])*12+MONTH(Table1[[#This Row],[Loss date]])-Earliest_Month)/4)</f>
        <v>10</v>
      </c>
      <c r="Y585" s="17">
        <f>INT((YEAR(Table1[[#This Row],[Reporting date]])*12+MONTH(Table1[[#This Row],[Reporting date]])-Earliest_Month)/4)</f>
        <v>12</v>
      </c>
      <c r="Z585" s="17">
        <f>Table1[[#This Row],[Reporting third]]-Table1[[#This Row],[Policy third]]</f>
        <v>2</v>
      </c>
      <c r="AA585" s="71">
        <f>IF(Table1[[#This Row],[Overall amount]]=0,"N/A",Table1[[#This Row],[Outstanding]]/Table1[[#This Row],[Overall amount]])</f>
        <v>0</v>
      </c>
      <c r="AB585" s="17">
        <f>IF(MONTH(Table1[[#This Row],[Loss date]])&lt;Pol_Inc_Month_Shifted,YEAR(Table1[[#This Row],[Loss date]])-1,YEAR(Table1[[#This Row],[Loss date]]))</f>
        <v>2007</v>
      </c>
      <c r="AC585" s="17">
        <f>IF(MONTH(Table1[[#This Row],[Reporting date]])&lt;Pol_Inc_Month_Shifted,YEAR(Table1[[#This Row],[Reporting date]])-1,YEAR(Table1[[#This Row],[Reporting date]]))</f>
        <v>2008</v>
      </c>
      <c r="AD585" s="17">
        <f>Table1[[#This Row],[Reporting year (shifted)]]-Table1[[#This Row],[Policy Year (shifted)]]</f>
        <v>1</v>
      </c>
    </row>
    <row r="586" spans="1:30" ht="13.9">
      <c r="A586" s="8" t="s">
        <v>2356</v>
      </c>
      <c r="B586" s="8" t="s">
        <v>638</v>
      </c>
      <c r="C586" s="8" t="s">
        <v>123</v>
      </c>
      <c r="D586" s="9">
        <v>39744</v>
      </c>
      <c r="E586" s="9">
        <v>39916</v>
      </c>
      <c r="F586" s="17">
        <f>IF(MONTH(Table1[[#This Row],[Loss date]])&lt;Policy_Inception_Month,YEAR(Table1[[#This Row],[Loss date]])-1,YEAR(Table1[[#This Row],[Loss date]]))</f>
        <v>2008</v>
      </c>
      <c r="G586" s="10" t="s">
        <v>125</v>
      </c>
      <c r="H586" s="10" t="s">
        <v>2</v>
      </c>
      <c r="I586" s="11">
        <v>545.32591982476151</v>
      </c>
      <c r="J586" s="11">
        <v>0</v>
      </c>
      <c r="K586" s="11">
        <v>545.32591982476151</v>
      </c>
      <c r="L586" s="12">
        <v>0</v>
      </c>
      <c r="M586" s="12">
        <v>0</v>
      </c>
      <c r="N586" s="12">
        <v>545.32591982476151</v>
      </c>
      <c r="O586" s="70">
        <f>IF(Table1[[#This Row],[Overall amount]]=0,0,1)</f>
        <v>1</v>
      </c>
      <c r="P586" s="70">
        <f>Table1[[#This Row],[Overall amount]]*Exchange_Rate</f>
        <v>545.32591982476151</v>
      </c>
      <c r="Q586" s="70">
        <f>Table1[[#This Row],[Overall (destination currency)]]*(1+Claims_Inflation)^((Revalue_at_date-Table1[[#This Row],[Loss date]])/365.25)</f>
        <v>764.99999999999989</v>
      </c>
      <c r="R586" s="70">
        <f>INT(Table1[[#This Row],[Reporting date]])-INT(Table1[[#This Row],[Loss date]])</f>
        <v>172</v>
      </c>
      <c r="S586" s="69" t="s">
        <v>9</v>
      </c>
      <c r="T586" s="70">
        <f>VLOOKUP(Table1[[#This Row],[Policy Year]],exposure_table,3,FALSE)</f>
        <v>601.98581780480015</v>
      </c>
      <c r="U586" s="17">
        <f>IF(MONTH(Table1[[#This Row],[Reporting date]])&lt;Policy_Inception_Month,YEAR(Table1[[#This Row],[Reporting date]])-1,YEAR(Table1[[#This Row],[Reporting date]]))</f>
        <v>2009</v>
      </c>
      <c r="V586" s="17">
        <f>Table1[[#This Row],[Reporting year]]-Table1[[#This Row],[Policy Year]]</f>
        <v>1</v>
      </c>
      <c r="W586" s="17">
        <f>INT(Table1[[#This Row],[Reporting date]])-INT(Table1[[#This Row],[Loss date]])</f>
        <v>172</v>
      </c>
      <c r="X586" s="17">
        <f>INT((YEAR(Table1[[#This Row],[Loss date]])*12+MONTH(Table1[[#This Row],[Loss date]])-Earliest_Month)/4)</f>
        <v>10</v>
      </c>
      <c r="Y586" s="17">
        <f>INT((YEAR(Table1[[#This Row],[Reporting date]])*12+MONTH(Table1[[#This Row],[Reporting date]])-Earliest_Month)/4)</f>
        <v>12</v>
      </c>
      <c r="Z586" s="17">
        <f>Table1[[#This Row],[Reporting third]]-Table1[[#This Row],[Policy third]]</f>
        <v>2</v>
      </c>
      <c r="AA586" s="71">
        <f>IF(Table1[[#This Row],[Overall amount]]=0,"N/A",Table1[[#This Row],[Outstanding]]/Table1[[#This Row],[Overall amount]])</f>
        <v>0</v>
      </c>
      <c r="AB586" s="17">
        <f>IF(MONTH(Table1[[#This Row],[Loss date]])&lt;Pol_Inc_Month_Shifted,YEAR(Table1[[#This Row],[Loss date]])-1,YEAR(Table1[[#This Row],[Loss date]]))</f>
        <v>2007</v>
      </c>
      <c r="AC586" s="17">
        <f>IF(MONTH(Table1[[#This Row],[Reporting date]])&lt;Pol_Inc_Month_Shifted,YEAR(Table1[[#This Row],[Reporting date]])-1,YEAR(Table1[[#This Row],[Reporting date]]))</f>
        <v>2008</v>
      </c>
      <c r="AD586" s="17">
        <f>Table1[[#This Row],[Reporting year (shifted)]]-Table1[[#This Row],[Policy Year (shifted)]]</f>
        <v>1</v>
      </c>
    </row>
    <row r="587" spans="1:30" ht="13.9">
      <c r="A587" s="8" t="s">
        <v>2357</v>
      </c>
      <c r="B587" s="8" t="s">
        <v>639</v>
      </c>
      <c r="C587" s="8" t="s">
        <v>123</v>
      </c>
      <c r="D587" s="9">
        <v>38951</v>
      </c>
      <c r="E587" s="9">
        <v>40134</v>
      </c>
      <c r="F587" s="17">
        <f>IF(MONTH(Table1[[#This Row],[Loss date]])&lt;Policy_Inception_Month,YEAR(Table1[[#This Row],[Loss date]])-1,YEAR(Table1[[#This Row],[Loss date]]))</f>
        <v>2006</v>
      </c>
      <c r="G587" s="10" t="s">
        <v>125</v>
      </c>
      <c r="H587" s="10" t="s">
        <v>2</v>
      </c>
      <c r="I587" s="11">
        <v>806.62104052677375</v>
      </c>
      <c r="J587" s="11">
        <v>0</v>
      </c>
      <c r="K587" s="11">
        <v>806.62104052677375</v>
      </c>
      <c r="L587" s="12">
        <v>0</v>
      </c>
      <c r="M587" s="12">
        <v>0</v>
      </c>
      <c r="N587" s="12">
        <v>806.62104052677375</v>
      </c>
      <c r="O587" s="70">
        <f>IF(Table1[[#This Row],[Overall amount]]=0,0,1)</f>
        <v>1</v>
      </c>
      <c r="P587" s="70">
        <f>Table1[[#This Row],[Overall amount]]*Exchange_Rate</f>
        <v>806.62104052677375</v>
      </c>
      <c r="Q587" s="70">
        <f>Table1[[#This Row],[Overall (destination currency)]]*(1+Claims_Inflation)^((Revalue_at_date-Table1[[#This Row],[Loss date]])/365.25)</f>
        <v>1257.9959999999999</v>
      </c>
      <c r="R587" s="70">
        <f>INT(Table1[[#This Row],[Reporting date]])-INT(Table1[[#This Row],[Loss date]])</f>
        <v>1183</v>
      </c>
      <c r="S587" s="69" t="s">
        <v>9</v>
      </c>
      <c r="T587" s="70">
        <f>VLOOKUP(Table1[[#This Row],[Policy Year]],exposure_table,3,FALSE)</f>
        <v>483.32023209000977</v>
      </c>
      <c r="U587" s="17">
        <f>IF(MONTH(Table1[[#This Row],[Reporting date]])&lt;Policy_Inception_Month,YEAR(Table1[[#This Row],[Reporting date]])-1,YEAR(Table1[[#This Row],[Reporting date]]))</f>
        <v>2009</v>
      </c>
      <c r="V587" s="17">
        <f>Table1[[#This Row],[Reporting year]]-Table1[[#This Row],[Policy Year]]</f>
        <v>3</v>
      </c>
      <c r="W587" s="17">
        <f>INT(Table1[[#This Row],[Reporting date]])-INT(Table1[[#This Row],[Loss date]])</f>
        <v>1183</v>
      </c>
      <c r="X587" s="17">
        <f>INT((YEAR(Table1[[#This Row],[Loss date]])*12+MONTH(Table1[[#This Row],[Loss date]])-Earliest_Month)/4)</f>
        <v>4</v>
      </c>
      <c r="Y587" s="17">
        <f>INT((YEAR(Table1[[#This Row],[Reporting date]])*12+MONTH(Table1[[#This Row],[Reporting date]])-Earliest_Month)/4)</f>
        <v>13</v>
      </c>
      <c r="Z587" s="17">
        <f>Table1[[#This Row],[Reporting third]]-Table1[[#This Row],[Policy third]]</f>
        <v>9</v>
      </c>
      <c r="AA587" s="71">
        <f>IF(Table1[[#This Row],[Overall amount]]=0,"N/A",Table1[[#This Row],[Outstanding]]/Table1[[#This Row],[Overall amount]])</f>
        <v>0</v>
      </c>
      <c r="AB587" s="17">
        <f>IF(MONTH(Table1[[#This Row],[Loss date]])&lt;Pol_Inc_Month_Shifted,YEAR(Table1[[#This Row],[Loss date]])-1,YEAR(Table1[[#This Row],[Loss date]]))</f>
        <v>2005</v>
      </c>
      <c r="AC587" s="17">
        <f>IF(MONTH(Table1[[#This Row],[Reporting date]])&lt;Pol_Inc_Month_Shifted,YEAR(Table1[[#This Row],[Reporting date]])-1,YEAR(Table1[[#This Row],[Reporting date]]))</f>
        <v>2008</v>
      </c>
      <c r="AD587" s="17">
        <f>Table1[[#This Row],[Reporting year (shifted)]]-Table1[[#This Row],[Policy Year (shifted)]]</f>
        <v>3</v>
      </c>
    </row>
    <row r="588" spans="1:30" ht="13.9">
      <c r="A588" s="8" t="s">
        <v>2358</v>
      </c>
      <c r="B588" s="8" t="s">
        <v>640</v>
      </c>
      <c r="C588" s="8" t="s">
        <v>123</v>
      </c>
      <c r="D588" s="9">
        <v>39803</v>
      </c>
      <c r="E588" s="9">
        <v>40147</v>
      </c>
      <c r="F588" s="17">
        <f>IF(MONTH(Table1[[#This Row],[Loss date]])&lt;Policy_Inception_Month,YEAR(Table1[[#This Row],[Loss date]])-1,YEAR(Table1[[#This Row],[Loss date]]))</f>
        <v>2008</v>
      </c>
      <c r="G588" s="10" t="s">
        <v>132</v>
      </c>
      <c r="H588" s="10" t="s">
        <v>2</v>
      </c>
      <c r="I588" s="11">
        <v>451.9297047513823</v>
      </c>
      <c r="J588" s="11">
        <v>0</v>
      </c>
      <c r="K588" s="11">
        <v>451.9297047513823</v>
      </c>
      <c r="L588" s="12">
        <v>0</v>
      </c>
      <c r="M588" s="12">
        <v>0</v>
      </c>
      <c r="N588" s="12">
        <v>451.9297047513823</v>
      </c>
      <c r="O588" s="70">
        <f>IF(Table1[[#This Row],[Overall amount]]=0,0,1)</f>
        <v>1</v>
      </c>
      <c r="P588" s="70">
        <f>Table1[[#This Row],[Overall amount]]*Exchange_Rate</f>
        <v>451.9297047513823</v>
      </c>
      <c r="Q588" s="70">
        <f>Table1[[#This Row],[Overall (destination currency)]]*(1+Claims_Inflation)^((Revalue_at_date-Table1[[#This Row],[Loss date]])/365.25)</f>
        <v>629.00399999999991</v>
      </c>
      <c r="R588" s="70">
        <f>INT(Table1[[#This Row],[Reporting date]])-INT(Table1[[#This Row],[Loss date]])</f>
        <v>344</v>
      </c>
      <c r="S588" s="69" t="s">
        <v>9</v>
      </c>
      <c r="T588" s="70">
        <f>VLOOKUP(Table1[[#This Row],[Policy Year]],exposure_table,3,FALSE)</f>
        <v>601.98581780480015</v>
      </c>
      <c r="U588" s="17">
        <f>IF(MONTH(Table1[[#This Row],[Reporting date]])&lt;Policy_Inception_Month,YEAR(Table1[[#This Row],[Reporting date]])-1,YEAR(Table1[[#This Row],[Reporting date]]))</f>
        <v>2009</v>
      </c>
      <c r="V588" s="17">
        <f>Table1[[#This Row],[Reporting year]]-Table1[[#This Row],[Policy Year]]</f>
        <v>1</v>
      </c>
      <c r="W588" s="17">
        <f>INT(Table1[[#This Row],[Reporting date]])-INT(Table1[[#This Row],[Loss date]])</f>
        <v>344</v>
      </c>
      <c r="X588" s="17">
        <f>INT((YEAR(Table1[[#This Row],[Loss date]])*12+MONTH(Table1[[#This Row],[Loss date]])-Earliest_Month)/4)</f>
        <v>11</v>
      </c>
      <c r="Y588" s="17">
        <f>INT((YEAR(Table1[[#This Row],[Reporting date]])*12+MONTH(Table1[[#This Row],[Reporting date]])-Earliest_Month)/4)</f>
        <v>13</v>
      </c>
      <c r="Z588" s="17">
        <f>Table1[[#This Row],[Reporting third]]-Table1[[#This Row],[Policy third]]</f>
        <v>2</v>
      </c>
      <c r="AA588" s="71">
        <f>IF(Table1[[#This Row],[Overall amount]]=0,"N/A",Table1[[#This Row],[Outstanding]]/Table1[[#This Row],[Overall amount]])</f>
        <v>0</v>
      </c>
      <c r="AB588" s="17">
        <f>IF(MONTH(Table1[[#This Row],[Loss date]])&lt;Pol_Inc_Month_Shifted,YEAR(Table1[[#This Row],[Loss date]])-1,YEAR(Table1[[#This Row],[Loss date]]))</f>
        <v>2008</v>
      </c>
      <c r="AC588" s="17">
        <f>IF(MONTH(Table1[[#This Row],[Reporting date]])&lt;Pol_Inc_Month_Shifted,YEAR(Table1[[#This Row],[Reporting date]])-1,YEAR(Table1[[#This Row],[Reporting date]]))</f>
        <v>2008</v>
      </c>
      <c r="AD588" s="17">
        <f>Table1[[#This Row],[Reporting year (shifted)]]-Table1[[#This Row],[Policy Year (shifted)]]</f>
        <v>0</v>
      </c>
    </row>
    <row r="589" spans="1:30" ht="13.9">
      <c r="A589" s="8" t="s">
        <v>2359</v>
      </c>
      <c r="B589" s="8" t="s">
        <v>641</v>
      </c>
      <c r="C589" s="8" t="s">
        <v>123</v>
      </c>
      <c r="D589" s="9">
        <v>40195</v>
      </c>
      <c r="E589" s="9">
        <v>40197</v>
      </c>
      <c r="F589" s="17">
        <f>IF(MONTH(Table1[[#This Row],[Loss date]])&lt;Policy_Inception_Month,YEAR(Table1[[#This Row],[Loss date]])-1,YEAR(Table1[[#This Row],[Loss date]]))</f>
        <v>2009</v>
      </c>
      <c r="G589" s="10" t="s">
        <v>124</v>
      </c>
      <c r="H589" s="10" t="s">
        <v>2</v>
      </c>
      <c r="I589" s="11">
        <v>711.37998063276086</v>
      </c>
      <c r="J589" s="11">
        <v>0</v>
      </c>
      <c r="K589" s="11">
        <v>711.37998063276086</v>
      </c>
      <c r="L589" s="12">
        <v>0</v>
      </c>
      <c r="M589" s="12">
        <v>0</v>
      </c>
      <c r="N589" s="12">
        <v>711.37998063276086</v>
      </c>
      <c r="O589" s="70">
        <f>IF(Table1[[#This Row],[Overall amount]]=0,0,1)</f>
        <v>1</v>
      </c>
      <c r="P589" s="70">
        <f>Table1[[#This Row],[Overall amount]]*Exchange_Rate</f>
        <v>711.37998063276086</v>
      </c>
      <c r="Q589" s="70">
        <f>Table1[[#This Row],[Overall (destination currency)]]*(1+Claims_Inflation)^((Revalue_at_date-Table1[[#This Row],[Loss date]])/365.25)</f>
        <v>939.5999999999998</v>
      </c>
      <c r="R589" s="70">
        <f>INT(Table1[[#This Row],[Reporting date]])-INT(Table1[[#This Row],[Loss date]])</f>
        <v>2</v>
      </c>
      <c r="S589" s="69" t="s">
        <v>9</v>
      </c>
      <c r="T589" s="70">
        <f>VLOOKUP(Table1[[#This Row],[Policy Year]],exposure_table,3,FALSE)</f>
        <v>760.22808576000011</v>
      </c>
      <c r="U589" s="17">
        <f>IF(MONTH(Table1[[#This Row],[Reporting date]])&lt;Policy_Inception_Month,YEAR(Table1[[#This Row],[Reporting date]])-1,YEAR(Table1[[#This Row],[Reporting date]]))</f>
        <v>2009</v>
      </c>
      <c r="V589" s="17">
        <f>Table1[[#This Row],[Reporting year]]-Table1[[#This Row],[Policy Year]]</f>
        <v>0</v>
      </c>
      <c r="W589" s="17">
        <f>INT(Table1[[#This Row],[Reporting date]])-INT(Table1[[#This Row],[Loss date]])</f>
        <v>2</v>
      </c>
      <c r="X589" s="17">
        <f>INT((YEAR(Table1[[#This Row],[Loss date]])*12+MONTH(Table1[[#This Row],[Loss date]])-Earliest_Month)/4)</f>
        <v>14</v>
      </c>
      <c r="Y589" s="17">
        <f>INT((YEAR(Table1[[#This Row],[Reporting date]])*12+MONTH(Table1[[#This Row],[Reporting date]])-Earliest_Month)/4)</f>
        <v>14</v>
      </c>
      <c r="Z589" s="17">
        <f>Table1[[#This Row],[Reporting third]]-Table1[[#This Row],[Policy third]]</f>
        <v>0</v>
      </c>
      <c r="AA589" s="71">
        <f>IF(Table1[[#This Row],[Overall amount]]=0,"N/A",Table1[[#This Row],[Outstanding]]/Table1[[#This Row],[Overall amount]])</f>
        <v>0</v>
      </c>
      <c r="AB589" s="17">
        <f>IF(MONTH(Table1[[#This Row],[Loss date]])&lt;Pol_Inc_Month_Shifted,YEAR(Table1[[#This Row],[Loss date]])-1,YEAR(Table1[[#This Row],[Loss date]]))</f>
        <v>2009</v>
      </c>
      <c r="AC589" s="17">
        <f>IF(MONTH(Table1[[#This Row],[Reporting date]])&lt;Pol_Inc_Month_Shifted,YEAR(Table1[[#This Row],[Reporting date]])-1,YEAR(Table1[[#This Row],[Reporting date]]))</f>
        <v>2009</v>
      </c>
      <c r="AD589" s="17">
        <f>Table1[[#This Row],[Reporting year (shifted)]]-Table1[[#This Row],[Policy Year (shifted)]]</f>
        <v>0</v>
      </c>
    </row>
    <row r="590" spans="1:30" ht="13.9">
      <c r="A590" s="8" t="s">
        <v>2360</v>
      </c>
      <c r="B590" s="8" t="s">
        <v>642</v>
      </c>
      <c r="C590" s="8" t="s">
        <v>123</v>
      </c>
      <c r="D590" s="9">
        <v>40093</v>
      </c>
      <c r="E590" s="9">
        <v>40280</v>
      </c>
      <c r="F590" s="17">
        <f>IF(MONTH(Table1[[#This Row],[Loss date]])&lt;Policy_Inception_Month,YEAR(Table1[[#This Row],[Loss date]])-1,YEAR(Table1[[#This Row],[Loss date]]))</f>
        <v>2009</v>
      </c>
      <c r="G590" s="10" t="s">
        <v>125</v>
      </c>
      <c r="H590" s="10" t="s">
        <v>2</v>
      </c>
      <c r="I590" s="11">
        <v>7301.1891355500329</v>
      </c>
      <c r="J590" s="11">
        <v>0</v>
      </c>
      <c r="K590" s="11">
        <v>7301.1891355500329</v>
      </c>
      <c r="L590" s="12">
        <v>0</v>
      </c>
      <c r="M590" s="12">
        <v>0</v>
      </c>
      <c r="N590" s="12">
        <v>7301.1891355500329</v>
      </c>
      <c r="O590" s="70">
        <f>IF(Table1[[#This Row],[Overall amount]]=0,0,1)</f>
        <v>1</v>
      </c>
      <c r="P590" s="70">
        <f>Table1[[#This Row],[Overall amount]]*Exchange_Rate</f>
        <v>7301.1891355500329</v>
      </c>
      <c r="Q590" s="70">
        <f>Table1[[#This Row],[Overall (destination currency)]]*(1+Claims_Inflation)^((Revalue_at_date-Table1[[#This Row],[Loss date]])/365.25)</f>
        <v>9775.7999999999993</v>
      </c>
      <c r="R590" s="70">
        <f>INT(Table1[[#This Row],[Reporting date]])-INT(Table1[[#This Row],[Loss date]])</f>
        <v>187</v>
      </c>
      <c r="S590" s="69" t="s">
        <v>9</v>
      </c>
      <c r="T590" s="70">
        <f>VLOOKUP(Table1[[#This Row],[Policy Year]],exposure_table,3,FALSE)</f>
        <v>760.22808576000011</v>
      </c>
      <c r="U590" s="17">
        <f>IF(MONTH(Table1[[#This Row],[Reporting date]])&lt;Policy_Inception_Month,YEAR(Table1[[#This Row],[Reporting date]])-1,YEAR(Table1[[#This Row],[Reporting date]]))</f>
        <v>2010</v>
      </c>
      <c r="V590" s="17">
        <f>Table1[[#This Row],[Reporting year]]-Table1[[#This Row],[Policy Year]]</f>
        <v>1</v>
      </c>
      <c r="W590" s="17">
        <f>INT(Table1[[#This Row],[Reporting date]])-INT(Table1[[#This Row],[Loss date]])</f>
        <v>187</v>
      </c>
      <c r="X590" s="17">
        <f>INT((YEAR(Table1[[#This Row],[Loss date]])*12+MONTH(Table1[[#This Row],[Loss date]])-Earliest_Month)/4)</f>
        <v>13</v>
      </c>
      <c r="Y590" s="17">
        <f>INT((YEAR(Table1[[#This Row],[Reporting date]])*12+MONTH(Table1[[#This Row],[Reporting date]])-Earliest_Month)/4)</f>
        <v>15</v>
      </c>
      <c r="Z590" s="17">
        <f>Table1[[#This Row],[Reporting third]]-Table1[[#This Row],[Policy third]]</f>
        <v>2</v>
      </c>
      <c r="AA590" s="71">
        <f>IF(Table1[[#This Row],[Overall amount]]=0,"N/A",Table1[[#This Row],[Outstanding]]/Table1[[#This Row],[Overall amount]])</f>
        <v>0</v>
      </c>
      <c r="AB590" s="17">
        <f>IF(MONTH(Table1[[#This Row],[Loss date]])&lt;Pol_Inc_Month_Shifted,YEAR(Table1[[#This Row],[Loss date]])-1,YEAR(Table1[[#This Row],[Loss date]]))</f>
        <v>2008</v>
      </c>
      <c r="AC590" s="17">
        <f>IF(MONTH(Table1[[#This Row],[Reporting date]])&lt;Pol_Inc_Month_Shifted,YEAR(Table1[[#This Row],[Reporting date]])-1,YEAR(Table1[[#This Row],[Reporting date]]))</f>
        <v>2009</v>
      </c>
      <c r="AD590" s="17">
        <f>Table1[[#This Row],[Reporting year (shifted)]]-Table1[[#This Row],[Policy Year (shifted)]]</f>
        <v>1</v>
      </c>
    </row>
    <row r="591" spans="1:30" ht="13.9">
      <c r="A591" s="8" t="s">
        <v>2361</v>
      </c>
      <c r="B591" s="8" t="s">
        <v>643</v>
      </c>
      <c r="C591" s="8" t="s">
        <v>123</v>
      </c>
      <c r="D591" s="9">
        <v>40407</v>
      </c>
      <c r="E591" s="9">
        <v>40419</v>
      </c>
      <c r="F591" s="17">
        <f>IF(MONTH(Table1[[#This Row],[Loss date]])&lt;Policy_Inception_Month,YEAR(Table1[[#This Row],[Loss date]])-1,YEAR(Table1[[#This Row],[Loss date]]))</f>
        <v>2010</v>
      </c>
      <c r="G591" s="10" t="s">
        <v>131</v>
      </c>
      <c r="H591" s="10" t="s">
        <v>2</v>
      </c>
      <c r="I591" s="11">
        <v>6796.3605110991102</v>
      </c>
      <c r="J591" s="11">
        <v>0</v>
      </c>
      <c r="K591" s="11">
        <v>6796.3605110991102</v>
      </c>
      <c r="L591" s="12">
        <v>0</v>
      </c>
      <c r="M591" s="12">
        <v>489.3379567991359</v>
      </c>
      <c r="N591" s="12">
        <v>6307.0225542999742</v>
      </c>
      <c r="O591" s="70">
        <f>IF(Table1[[#This Row],[Overall amount]]=0,0,1)</f>
        <v>1</v>
      </c>
      <c r="P591" s="70">
        <f>Table1[[#This Row],[Overall amount]]*Exchange_Rate</f>
        <v>6307.0225542999742</v>
      </c>
      <c r="Q591" s="70">
        <f>Table1[[#This Row],[Overall (destination currency)]]*(1+Claims_Inflation)^((Revalue_at_date-Table1[[#This Row],[Loss date]])/365.25)</f>
        <v>8097.7985279999994</v>
      </c>
      <c r="R591" s="70">
        <f>INT(Table1[[#This Row],[Reporting date]])-INT(Table1[[#This Row],[Loss date]])</f>
        <v>12</v>
      </c>
      <c r="S591" s="69" t="s">
        <v>9</v>
      </c>
      <c r="T591" s="70">
        <f>VLOOKUP(Table1[[#This Row],[Policy Year]],exposure_table,3,FALSE)</f>
        <v>837.11513600000012</v>
      </c>
      <c r="U591" s="17">
        <f>IF(MONTH(Table1[[#This Row],[Reporting date]])&lt;Policy_Inception_Month,YEAR(Table1[[#This Row],[Reporting date]])-1,YEAR(Table1[[#This Row],[Reporting date]]))</f>
        <v>2010</v>
      </c>
      <c r="V591" s="17">
        <f>Table1[[#This Row],[Reporting year]]-Table1[[#This Row],[Policy Year]]</f>
        <v>0</v>
      </c>
      <c r="W591" s="17">
        <f>INT(Table1[[#This Row],[Reporting date]])-INT(Table1[[#This Row],[Loss date]])</f>
        <v>12</v>
      </c>
      <c r="X591" s="17">
        <f>INT((YEAR(Table1[[#This Row],[Loss date]])*12+MONTH(Table1[[#This Row],[Loss date]])-Earliest_Month)/4)</f>
        <v>16</v>
      </c>
      <c r="Y591" s="17">
        <f>INT((YEAR(Table1[[#This Row],[Reporting date]])*12+MONTH(Table1[[#This Row],[Reporting date]])-Earliest_Month)/4)</f>
        <v>16</v>
      </c>
      <c r="Z591" s="17">
        <f>Table1[[#This Row],[Reporting third]]-Table1[[#This Row],[Policy third]]</f>
        <v>0</v>
      </c>
      <c r="AA591" s="71">
        <f>IF(Table1[[#This Row],[Overall amount]]=0,"N/A",Table1[[#This Row],[Outstanding]]/Table1[[#This Row],[Overall amount]])</f>
        <v>0</v>
      </c>
      <c r="AB591" s="17">
        <f>IF(MONTH(Table1[[#This Row],[Loss date]])&lt;Pol_Inc_Month_Shifted,YEAR(Table1[[#This Row],[Loss date]])-1,YEAR(Table1[[#This Row],[Loss date]]))</f>
        <v>2009</v>
      </c>
      <c r="AC591" s="17">
        <f>IF(MONTH(Table1[[#This Row],[Reporting date]])&lt;Pol_Inc_Month_Shifted,YEAR(Table1[[#This Row],[Reporting date]])-1,YEAR(Table1[[#This Row],[Reporting date]]))</f>
        <v>2009</v>
      </c>
      <c r="AD591" s="17">
        <f>Table1[[#This Row],[Reporting year (shifted)]]-Table1[[#This Row],[Policy Year (shifted)]]</f>
        <v>0</v>
      </c>
    </row>
    <row r="592" spans="1:30" ht="13.9">
      <c r="A592" s="8" t="s">
        <v>2362</v>
      </c>
      <c r="B592" s="8" t="s">
        <v>644</v>
      </c>
      <c r="C592" s="8" t="s">
        <v>123</v>
      </c>
      <c r="D592" s="9">
        <v>40540</v>
      </c>
      <c r="E592" s="9">
        <v>40585</v>
      </c>
      <c r="F592" s="17">
        <f>IF(MONTH(Table1[[#This Row],[Loss date]])&lt;Policy_Inception_Month,YEAR(Table1[[#This Row],[Loss date]])-1,YEAR(Table1[[#This Row],[Loss date]]))</f>
        <v>2010</v>
      </c>
      <c r="G592" s="10" t="s">
        <v>124</v>
      </c>
      <c r="H592" s="10" t="s">
        <v>2</v>
      </c>
      <c r="I592" s="11">
        <v>689.75112389092521</v>
      </c>
      <c r="J592" s="11">
        <v>0</v>
      </c>
      <c r="K592" s="11">
        <v>689.75112389092521</v>
      </c>
      <c r="L592" s="12">
        <v>0</v>
      </c>
      <c r="M592" s="12">
        <v>0</v>
      </c>
      <c r="N592" s="12">
        <v>689.75112389092521</v>
      </c>
      <c r="O592" s="70">
        <f>IF(Table1[[#This Row],[Overall amount]]=0,0,1)</f>
        <v>1</v>
      </c>
      <c r="P592" s="70">
        <f>Table1[[#This Row],[Overall amount]]*Exchange_Rate</f>
        <v>689.75112389092521</v>
      </c>
      <c r="Q592" s="70">
        <f>Table1[[#This Row],[Overall (destination currency)]]*(1+Claims_Inflation)^((Revalue_at_date-Table1[[#This Row],[Loss date]])/365.25)</f>
        <v>870.00000000000011</v>
      </c>
      <c r="R592" s="70">
        <f>INT(Table1[[#This Row],[Reporting date]])-INT(Table1[[#This Row],[Loss date]])</f>
        <v>45</v>
      </c>
      <c r="S592" s="69" t="s">
        <v>9</v>
      </c>
      <c r="T592" s="70">
        <f>VLOOKUP(Table1[[#This Row],[Policy Year]],exposure_table,3,FALSE)</f>
        <v>837.11513600000012</v>
      </c>
      <c r="U592" s="17">
        <f>IF(MONTH(Table1[[#This Row],[Reporting date]])&lt;Policy_Inception_Month,YEAR(Table1[[#This Row],[Reporting date]])-1,YEAR(Table1[[#This Row],[Reporting date]]))</f>
        <v>2010</v>
      </c>
      <c r="V592" s="17">
        <f>Table1[[#This Row],[Reporting year]]-Table1[[#This Row],[Policy Year]]</f>
        <v>0</v>
      </c>
      <c r="W592" s="17">
        <f>INT(Table1[[#This Row],[Reporting date]])-INT(Table1[[#This Row],[Loss date]])</f>
        <v>45</v>
      </c>
      <c r="X592" s="17">
        <f>INT((YEAR(Table1[[#This Row],[Loss date]])*12+MONTH(Table1[[#This Row],[Loss date]])-Earliest_Month)/4)</f>
        <v>17</v>
      </c>
      <c r="Y592" s="17">
        <f>INT((YEAR(Table1[[#This Row],[Reporting date]])*12+MONTH(Table1[[#This Row],[Reporting date]])-Earliest_Month)/4)</f>
        <v>17</v>
      </c>
      <c r="Z592" s="17">
        <f>Table1[[#This Row],[Reporting third]]-Table1[[#This Row],[Policy third]]</f>
        <v>0</v>
      </c>
      <c r="AA592" s="71">
        <f>IF(Table1[[#This Row],[Overall amount]]=0,"N/A",Table1[[#This Row],[Outstanding]]/Table1[[#This Row],[Overall amount]])</f>
        <v>0</v>
      </c>
      <c r="AB592" s="17">
        <f>IF(MONTH(Table1[[#This Row],[Loss date]])&lt;Pol_Inc_Month_Shifted,YEAR(Table1[[#This Row],[Loss date]])-1,YEAR(Table1[[#This Row],[Loss date]]))</f>
        <v>2010</v>
      </c>
      <c r="AC592" s="17">
        <f>IF(MONTH(Table1[[#This Row],[Reporting date]])&lt;Pol_Inc_Month_Shifted,YEAR(Table1[[#This Row],[Reporting date]])-1,YEAR(Table1[[#This Row],[Reporting date]]))</f>
        <v>2010</v>
      </c>
      <c r="AD592" s="17">
        <f>Table1[[#This Row],[Reporting year (shifted)]]-Table1[[#This Row],[Policy Year (shifted)]]</f>
        <v>0</v>
      </c>
    </row>
    <row r="593" spans="1:30" ht="13.9">
      <c r="A593" s="8" t="s">
        <v>2363</v>
      </c>
      <c r="B593" s="8" t="s">
        <v>645</v>
      </c>
      <c r="C593" s="8" t="s">
        <v>123</v>
      </c>
      <c r="D593" s="9">
        <v>38775</v>
      </c>
      <c r="E593" s="9">
        <v>38815</v>
      </c>
      <c r="F593" s="17">
        <f>IF(MONTH(Table1[[#This Row],[Loss date]])&lt;Policy_Inception_Month,YEAR(Table1[[#This Row],[Loss date]])-1,YEAR(Table1[[#This Row],[Loss date]]))</f>
        <v>2005</v>
      </c>
      <c r="G593" s="10" t="s">
        <v>131</v>
      </c>
      <c r="H593" s="10" t="s">
        <v>2</v>
      </c>
      <c r="I593" s="11">
        <v>138.66204155855641</v>
      </c>
      <c r="J593" s="11">
        <v>0</v>
      </c>
      <c r="K593" s="11">
        <v>138.66204155855641</v>
      </c>
      <c r="L593" s="12">
        <v>0</v>
      </c>
      <c r="M593" s="12">
        <v>0</v>
      </c>
      <c r="N593" s="12">
        <v>138.66204155855641</v>
      </c>
      <c r="O593" s="70">
        <f>IF(Table1[[#This Row],[Overall amount]]=0,0,1)</f>
        <v>1</v>
      </c>
      <c r="P593" s="70">
        <f>Table1[[#This Row],[Overall amount]]*Exchange_Rate</f>
        <v>138.66204155855641</v>
      </c>
      <c r="Q593" s="70">
        <f>Table1[[#This Row],[Overall (destination currency)]]*(1+Claims_Inflation)^((Revalue_at_date-Table1[[#This Row],[Loss date]])/365.25)</f>
        <v>221.39999999999998</v>
      </c>
      <c r="R593" s="70">
        <f>INT(Table1[[#This Row],[Reporting date]])-INT(Table1[[#This Row],[Loss date]])</f>
        <v>40</v>
      </c>
      <c r="S593" s="69" t="s">
        <v>9</v>
      </c>
      <c r="T593" s="70">
        <f>VLOOKUP(Table1[[#This Row],[Policy Year]],exposure_table,3,FALSE)</f>
        <v>409.50481038040112</v>
      </c>
      <c r="U593" s="17">
        <f>IF(MONTH(Table1[[#This Row],[Reporting date]])&lt;Policy_Inception_Month,YEAR(Table1[[#This Row],[Reporting date]])-1,YEAR(Table1[[#This Row],[Reporting date]]))</f>
        <v>2006</v>
      </c>
      <c r="V593" s="17">
        <f>Table1[[#This Row],[Reporting year]]-Table1[[#This Row],[Policy Year]]</f>
        <v>1</v>
      </c>
      <c r="W593" s="17">
        <f>INT(Table1[[#This Row],[Reporting date]])-INT(Table1[[#This Row],[Loss date]])</f>
        <v>40</v>
      </c>
      <c r="X593" s="17">
        <f>INT((YEAR(Table1[[#This Row],[Loss date]])*12+MONTH(Table1[[#This Row],[Loss date]])-Earliest_Month)/4)</f>
        <v>2</v>
      </c>
      <c r="Y593" s="17">
        <f>INT((YEAR(Table1[[#This Row],[Reporting date]])*12+MONTH(Table1[[#This Row],[Reporting date]])-Earliest_Month)/4)</f>
        <v>3</v>
      </c>
      <c r="Z593" s="17">
        <f>Table1[[#This Row],[Reporting third]]-Table1[[#This Row],[Policy third]]</f>
        <v>1</v>
      </c>
      <c r="AA593" s="71">
        <f>IF(Table1[[#This Row],[Overall amount]]=0,"N/A",Table1[[#This Row],[Outstanding]]/Table1[[#This Row],[Overall amount]])</f>
        <v>0</v>
      </c>
      <c r="AB593" s="17">
        <f>IF(MONTH(Table1[[#This Row],[Loss date]])&lt;Pol_Inc_Month_Shifted,YEAR(Table1[[#This Row],[Loss date]])-1,YEAR(Table1[[#This Row],[Loss date]]))</f>
        <v>2005</v>
      </c>
      <c r="AC593" s="17">
        <f>IF(MONTH(Table1[[#This Row],[Reporting date]])&lt;Pol_Inc_Month_Shifted,YEAR(Table1[[#This Row],[Reporting date]])-1,YEAR(Table1[[#This Row],[Reporting date]]))</f>
        <v>2005</v>
      </c>
      <c r="AD593" s="17">
        <f>Table1[[#This Row],[Reporting year (shifted)]]-Table1[[#This Row],[Policy Year (shifted)]]</f>
        <v>0</v>
      </c>
    </row>
    <row r="594" spans="1:30" ht="13.9">
      <c r="A594" s="8" t="s">
        <v>2364</v>
      </c>
      <c r="B594" s="8" t="s">
        <v>646</v>
      </c>
      <c r="C594" s="8" t="s">
        <v>123</v>
      </c>
      <c r="D594" s="9">
        <v>38770</v>
      </c>
      <c r="E594" s="9">
        <v>38835</v>
      </c>
      <c r="F594" s="17">
        <f>IF(MONTH(Table1[[#This Row],[Loss date]])&lt;Policy_Inception_Month,YEAR(Table1[[#This Row],[Loss date]])-1,YEAR(Table1[[#This Row],[Loss date]]))</f>
        <v>2005</v>
      </c>
      <c r="G594" s="10" t="s">
        <v>124</v>
      </c>
      <c r="H594" s="10" t="s">
        <v>2</v>
      </c>
      <c r="I594" s="11">
        <v>277.13891994162026</v>
      </c>
      <c r="J594" s="11">
        <v>0</v>
      </c>
      <c r="K594" s="11">
        <v>277.13891994162026</v>
      </c>
      <c r="L594" s="12">
        <v>0</v>
      </c>
      <c r="M594" s="12">
        <v>0</v>
      </c>
      <c r="N594" s="12">
        <v>277.13891994162026</v>
      </c>
      <c r="O594" s="70">
        <f>IF(Table1[[#This Row],[Overall amount]]=0,0,1)</f>
        <v>1</v>
      </c>
      <c r="P594" s="70">
        <f>Table1[[#This Row],[Overall amount]]*Exchange_Rate</f>
        <v>277.13891994162026</v>
      </c>
      <c r="Q594" s="70">
        <f>Table1[[#This Row],[Overall (destination currency)]]*(1+Claims_Inflation)^((Revalue_at_date-Table1[[#This Row],[Loss date]])/365.25)</f>
        <v>442.8</v>
      </c>
      <c r="R594" s="70">
        <f>INT(Table1[[#This Row],[Reporting date]])-INT(Table1[[#This Row],[Loss date]])</f>
        <v>65</v>
      </c>
      <c r="S594" s="69" t="s">
        <v>9</v>
      </c>
      <c r="T594" s="70">
        <f>VLOOKUP(Table1[[#This Row],[Policy Year]],exposure_table,3,FALSE)</f>
        <v>409.50481038040112</v>
      </c>
      <c r="U594" s="17">
        <f>IF(MONTH(Table1[[#This Row],[Reporting date]])&lt;Policy_Inception_Month,YEAR(Table1[[#This Row],[Reporting date]])-1,YEAR(Table1[[#This Row],[Reporting date]]))</f>
        <v>2006</v>
      </c>
      <c r="V594" s="17">
        <f>Table1[[#This Row],[Reporting year]]-Table1[[#This Row],[Policy Year]]</f>
        <v>1</v>
      </c>
      <c r="W594" s="17">
        <f>INT(Table1[[#This Row],[Reporting date]])-INT(Table1[[#This Row],[Loss date]])</f>
        <v>65</v>
      </c>
      <c r="X594" s="17">
        <f>INT((YEAR(Table1[[#This Row],[Loss date]])*12+MONTH(Table1[[#This Row],[Loss date]])-Earliest_Month)/4)</f>
        <v>2</v>
      </c>
      <c r="Y594" s="17">
        <f>INT((YEAR(Table1[[#This Row],[Reporting date]])*12+MONTH(Table1[[#This Row],[Reporting date]])-Earliest_Month)/4)</f>
        <v>3</v>
      </c>
      <c r="Z594" s="17">
        <f>Table1[[#This Row],[Reporting third]]-Table1[[#This Row],[Policy third]]</f>
        <v>1</v>
      </c>
      <c r="AA594" s="71">
        <f>IF(Table1[[#This Row],[Overall amount]]=0,"N/A",Table1[[#This Row],[Outstanding]]/Table1[[#This Row],[Overall amount]])</f>
        <v>0</v>
      </c>
      <c r="AB594" s="17">
        <f>IF(MONTH(Table1[[#This Row],[Loss date]])&lt;Pol_Inc_Month_Shifted,YEAR(Table1[[#This Row],[Loss date]])-1,YEAR(Table1[[#This Row],[Loss date]]))</f>
        <v>2005</v>
      </c>
      <c r="AC594" s="17">
        <f>IF(MONTH(Table1[[#This Row],[Reporting date]])&lt;Pol_Inc_Month_Shifted,YEAR(Table1[[#This Row],[Reporting date]])-1,YEAR(Table1[[#This Row],[Reporting date]]))</f>
        <v>2005</v>
      </c>
      <c r="AD594" s="17">
        <f>Table1[[#This Row],[Reporting year (shifted)]]-Table1[[#This Row],[Policy Year (shifted)]]</f>
        <v>0</v>
      </c>
    </row>
    <row r="595" spans="1:30" ht="13.9">
      <c r="A595" s="8" t="s">
        <v>2365</v>
      </c>
      <c r="B595" s="8" t="s">
        <v>647</v>
      </c>
      <c r="C595" s="8" t="s">
        <v>123</v>
      </c>
      <c r="D595" s="9">
        <v>39157</v>
      </c>
      <c r="E595" s="9">
        <v>39359</v>
      </c>
      <c r="F595" s="17">
        <f>IF(MONTH(Table1[[#This Row],[Loss date]])&lt;Policy_Inception_Month,YEAR(Table1[[#This Row],[Loss date]])-1,YEAR(Table1[[#This Row],[Loss date]]))</f>
        <v>2006</v>
      </c>
      <c r="G595" s="10" t="s">
        <v>125</v>
      </c>
      <c r="H595" s="10" t="s">
        <v>2</v>
      </c>
      <c r="I595" s="11">
        <v>969.17824913712093</v>
      </c>
      <c r="J595" s="11">
        <v>0</v>
      </c>
      <c r="K595" s="11">
        <v>969.17824913712093</v>
      </c>
      <c r="L595" s="12">
        <v>0</v>
      </c>
      <c r="M595" s="12">
        <v>0</v>
      </c>
      <c r="N595" s="12">
        <v>969.17824913712093</v>
      </c>
      <c r="O595" s="70">
        <f>IF(Table1[[#This Row],[Overall amount]]=0,0,1)</f>
        <v>1</v>
      </c>
      <c r="P595" s="70">
        <f>Table1[[#This Row],[Overall amount]]*Exchange_Rate</f>
        <v>969.17824913712093</v>
      </c>
      <c r="Q595" s="70">
        <f>Table1[[#This Row],[Overall (destination currency)]]*(1+Claims_Inflation)^((Revalue_at_date-Table1[[#This Row],[Loss date]])/365.25)</f>
        <v>1470.492</v>
      </c>
      <c r="R595" s="70">
        <f>INT(Table1[[#This Row],[Reporting date]])-INT(Table1[[#This Row],[Loss date]])</f>
        <v>202</v>
      </c>
      <c r="S595" s="69" t="s">
        <v>9</v>
      </c>
      <c r="T595" s="70">
        <f>VLOOKUP(Table1[[#This Row],[Policy Year]],exposure_table,3,FALSE)</f>
        <v>483.32023209000977</v>
      </c>
      <c r="U595" s="17">
        <f>IF(MONTH(Table1[[#This Row],[Reporting date]])&lt;Policy_Inception_Month,YEAR(Table1[[#This Row],[Reporting date]])-1,YEAR(Table1[[#This Row],[Reporting date]]))</f>
        <v>2007</v>
      </c>
      <c r="V595" s="17">
        <f>Table1[[#This Row],[Reporting year]]-Table1[[#This Row],[Policy Year]]</f>
        <v>1</v>
      </c>
      <c r="W595" s="17">
        <f>INT(Table1[[#This Row],[Reporting date]])-INT(Table1[[#This Row],[Loss date]])</f>
        <v>202</v>
      </c>
      <c r="X595" s="17">
        <f>INT((YEAR(Table1[[#This Row],[Loss date]])*12+MONTH(Table1[[#This Row],[Loss date]])-Earliest_Month)/4)</f>
        <v>5</v>
      </c>
      <c r="Y595" s="17">
        <f>INT((YEAR(Table1[[#This Row],[Reporting date]])*12+MONTH(Table1[[#This Row],[Reporting date]])-Earliest_Month)/4)</f>
        <v>7</v>
      </c>
      <c r="Z595" s="17">
        <f>Table1[[#This Row],[Reporting third]]-Table1[[#This Row],[Policy third]]</f>
        <v>2</v>
      </c>
      <c r="AA595" s="71">
        <f>IF(Table1[[#This Row],[Overall amount]]=0,"N/A",Table1[[#This Row],[Outstanding]]/Table1[[#This Row],[Overall amount]])</f>
        <v>0</v>
      </c>
      <c r="AB595" s="17">
        <f>IF(MONTH(Table1[[#This Row],[Loss date]])&lt;Pol_Inc_Month_Shifted,YEAR(Table1[[#This Row],[Loss date]])-1,YEAR(Table1[[#This Row],[Loss date]]))</f>
        <v>2006</v>
      </c>
      <c r="AC595" s="17">
        <f>IF(MONTH(Table1[[#This Row],[Reporting date]])&lt;Pol_Inc_Month_Shifted,YEAR(Table1[[#This Row],[Reporting date]])-1,YEAR(Table1[[#This Row],[Reporting date]]))</f>
        <v>2006</v>
      </c>
      <c r="AD595" s="17">
        <f>Table1[[#This Row],[Reporting year (shifted)]]-Table1[[#This Row],[Policy Year (shifted)]]</f>
        <v>0</v>
      </c>
    </row>
    <row r="596" spans="1:30" ht="13.9">
      <c r="A596" s="8" t="s">
        <v>2366</v>
      </c>
      <c r="B596" s="8" t="s">
        <v>648</v>
      </c>
      <c r="C596" s="8" t="s">
        <v>123</v>
      </c>
      <c r="D596" s="9">
        <v>39091</v>
      </c>
      <c r="E596" s="9">
        <v>39425</v>
      </c>
      <c r="F596" s="17">
        <f>IF(MONTH(Table1[[#This Row],[Loss date]])&lt;Policy_Inception_Month,YEAR(Table1[[#This Row],[Loss date]])-1,YEAR(Table1[[#This Row],[Loss date]]))</f>
        <v>2006</v>
      </c>
      <c r="G596" s="10" t="s">
        <v>125</v>
      </c>
      <c r="H596" s="10" t="s">
        <v>2</v>
      </c>
      <c r="I596" s="11">
        <v>19495.281701683085</v>
      </c>
      <c r="J596" s="11">
        <v>0</v>
      </c>
      <c r="K596" s="11">
        <v>19495.281701683085</v>
      </c>
      <c r="L596" s="12">
        <v>0</v>
      </c>
      <c r="M596" s="12">
        <v>0</v>
      </c>
      <c r="N596" s="12">
        <v>19495.281701683085</v>
      </c>
      <c r="O596" s="70">
        <f>IF(Table1[[#This Row],[Overall amount]]=0,0,1)</f>
        <v>1</v>
      </c>
      <c r="P596" s="70">
        <f>Table1[[#This Row],[Overall amount]]*Exchange_Rate</f>
        <v>19495.281701683085</v>
      </c>
      <c r="Q596" s="70">
        <f>Table1[[#This Row],[Overall (destination currency)]]*(1+Claims_Inflation)^((Revalue_at_date-Table1[[#This Row],[Loss date]])/365.25)</f>
        <v>29841.276000000002</v>
      </c>
      <c r="R596" s="70">
        <f>INT(Table1[[#This Row],[Reporting date]])-INT(Table1[[#This Row],[Loss date]])</f>
        <v>334</v>
      </c>
      <c r="S596" s="69" t="s">
        <v>9</v>
      </c>
      <c r="T596" s="70">
        <f>VLOOKUP(Table1[[#This Row],[Policy Year]],exposure_table,3,FALSE)</f>
        <v>483.32023209000977</v>
      </c>
      <c r="U596" s="17">
        <f>IF(MONTH(Table1[[#This Row],[Reporting date]])&lt;Policy_Inception_Month,YEAR(Table1[[#This Row],[Reporting date]])-1,YEAR(Table1[[#This Row],[Reporting date]]))</f>
        <v>2007</v>
      </c>
      <c r="V596" s="17">
        <f>Table1[[#This Row],[Reporting year]]-Table1[[#This Row],[Policy Year]]</f>
        <v>1</v>
      </c>
      <c r="W596" s="17">
        <f>INT(Table1[[#This Row],[Reporting date]])-INT(Table1[[#This Row],[Loss date]])</f>
        <v>334</v>
      </c>
      <c r="X596" s="17">
        <f>INT((YEAR(Table1[[#This Row],[Loss date]])*12+MONTH(Table1[[#This Row],[Loss date]])-Earliest_Month)/4)</f>
        <v>5</v>
      </c>
      <c r="Y596" s="17">
        <f>INT((YEAR(Table1[[#This Row],[Reporting date]])*12+MONTH(Table1[[#This Row],[Reporting date]])-Earliest_Month)/4)</f>
        <v>8</v>
      </c>
      <c r="Z596" s="17">
        <f>Table1[[#This Row],[Reporting third]]-Table1[[#This Row],[Policy third]]</f>
        <v>3</v>
      </c>
      <c r="AA596" s="71">
        <f>IF(Table1[[#This Row],[Overall amount]]=0,"N/A",Table1[[#This Row],[Outstanding]]/Table1[[#This Row],[Overall amount]])</f>
        <v>0</v>
      </c>
      <c r="AB596" s="17">
        <f>IF(MONTH(Table1[[#This Row],[Loss date]])&lt;Pol_Inc_Month_Shifted,YEAR(Table1[[#This Row],[Loss date]])-1,YEAR(Table1[[#This Row],[Loss date]]))</f>
        <v>2006</v>
      </c>
      <c r="AC596" s="17">
        <f>IF(MONTH(Table1[[#This Row],[Reporting date]])&lt;Pol_Inc_Month_Shifted,YEAR(Table1[[#This Row],[Reporting date]])-1,YEAR(Table1[[#This Row],[Reporting date]]))</f>
        <v>2007</v>
      </c>
      <c r="AD596" s="17">
        <f>Table1[[#This Row],[Reporting year (shifted)]]-Table1[[#This Row],[Policy Year (shifted)]]</f>
        <v>1</v>
      </c>
    </row>
    <row r="597" spans="1:30" ht="13.9">
      <c r="A597" s="8" t="s">
        <v>2367</v>
      </c>
      <c r="B597" s="8" t="s">
        <v>649</v>
      </c>
      <c r="C597" s="8" t="s">
        <v>123</v>
      </c>
      <c r="D597" s="9">
        <v>39227</v>
      </c>
      <c r="E597" s="9">
        <v>39485</v>
      </c>
      <c r="F597" s="17">
        <f>IF(MONTH(Table1[[#This Row],[Loss date]])&lt;Policy_Inception_Month,YEAR(Table1[[#This Row],[Loss date]])-1,YEAR(Table1[[#This Row],[Loss date]]))</f>
        <v>2007</v>
      </c>
      <c r="G597" s="10" t="s">
        <v>125</v>
      </c>
      <c r="H597" s="10" t="s">
        <v>2</v>
      </c>
      <c r="I597" s="11">
        <v>814.29792908650074</v>
      </c>
      <c r="J597" s="11">
        <v>0</v>
      </c>
      <c r="K597" s="11">
        <v>814.29792908650074</v>
      </c>
      <c r="L597" s="12">
        <v>0</v>
      </c>
      <c r="M597" s="12">
        <v>0</v>
      </c>
      <c r="N597" s="12">
        <v>814.29792908650074</v>
      </c>
      <c r="O597" s="70">
        <f>IF(Table1[[#This Row],[Overall amount]]=0,0,1)</f>
        <v>1</v>
      </c>
      <c r="P597" s="70">
        <f>Table1[[#This Row],[Overall amount]]*Exchange_Rate</f>
        <v>814.29792908650074</v>
      </c>
      <c r="Q597" s="70">
        <f>Table1[[#This Row],[Overall (destination currency)]]*(1+Claims_Inflation)^((Revalue_at_date-Table1[[#This Row],[Loss date]])/365.25)</f>
        <v>1224</v>
      </c>
      <c r="R597" s="70">
        <f>INT(Table1[[#This Row],[Reporting date]])-INT(Table1[[#This Row],[Loss date]])</f>
        <v>258</v>
      </c>
      <c r="S597" s="69" t="s">
        <v>9</v>
      </c>
      <c r="T597" s="70">
        <f>VLOOKUP(Table1[[#This Row],[Policy Year]],exposure_table,3,FALSE)</f>
        <v>547.7736362475523</v>
      </c>
      <c r="U597" s="17">
        <f>IF(MONTH(Table1[[#This Row],[Reporting date]])&lt;Policy_Inception_Month,YEAR(Table1[[#This Row],[Reporting date]])-1,YEAR(Table1[[#This Row],[Reporting date]]))</f>
        <v>2007</v>
      </c>
      <c r="V597" s="17">
        <f>Table1[[#This Row],[Reporting year]]-Table1[[#This Row],[Policy Year]]</f>
        <v>0</v>
      </c>
      <c r="W597" s="17">
        <f>INT(Table1[[#This Row],[Reporting date]])-INT(Table1[[#This Row],[Loss date]])</f>
        <v>258</v>
      </c>
      <c r="X597" s="17">
        <f>INT((YEAR(Table1[[#This Row],[Loss date]])*12+MONTH(Table1[[#This Row],[Loss date]])-Earliest_Month)/4)</f>
        <v>6</v>
      </c>
      <c r="Y597" s="17">
        <f>INT((YEAR(Table1[[#This Row],[Reporting date]])*12+MONTH(Table1[[#This Row],[Reporting date]])-Earliest_Month)/4)</f>
        <v>8</v>
      </c>
      <c r="Z597" s="17">
        <f>Table1[[#This Row],[Reporting third]]-Table1[[#This Row],[Policy third]]</f>
        <v>2</v>
      </c>
      <c r="AA597" s="71">
        <f>IF(Table1[[#This Row],[Overall amount]]=0,"N/A",Table1[[#This Row],[Outstanding]]/Table1[[#This Row],[Overall amount]])</f>
        <v>0</v>
      </c>
      <c r="AB597" s="17">
        <f>IF(MONTH(Table1[[#This Row],[Loss date]])&lt;Pol_Inc_Month_Shifted,YEAR(Table1[[#This Row],[Loss date]])-1,YEAR(Table1[[#This Row],[Loss date]]))</f>
        <v>2006</v>
      </c>
      <c r="AC597" s="17">
        <f>IF(MONTH(Table1[[#This Row],[Reporting date]])&lt;Pol_Inc_Month_Shifted,YEAR(Table1[[#This Row],[Reporting date]])-1,YEAR(Table1[[#This Row],[Reporting date]]))</f>
        <v>2007</v>
      </c>
      <c r="AD597" s="17">
        <f>Table1[[#This Row],[Reporting year (shifted)]]-Table1[[#This Row],[Policy Year (shifted)]]</f>
        <v>1</v>
      </c>
    </row>
    <row r="598" spans="1:30" ht="13.9">
      <c r="A598" s="8" t="s">
        <v>2368</v>
      </c>
      <c r="B598" s="8" t="s">
        <v>650</v>
      </c>
      <c r="C598" s="8" t="s">
        <v>123</v>
      </c>
      <c r="D598" s="9">
        <v>39428</v>
      </c>
      <c r="E598" s="9">
        <v>39464</v>
      </c>
      <c r="F598" s="17">
        <f>IF(MONTH(Table1[[#This Row],[Loss date]])&lt;Policy_Inception_Month,YEAR(Table1[[#This Row],[Loss date]])-1,YEAR(Table1[[#This Row],[Loss date]]))</f>
        <v>2007</v>
      </c>
      <c r="G598" s="10" t="s">
        <v>126</v>
      </c>
      <c r="H598" s="10" t="s">
        <v>2</v>
      </c>
      <c r="I598" s="11">
        <v>819.03147502127581</v>
      </c>
      <c r="J598" s="11">
        <v>0</v>
      </c>
      <c r="K598" s="11">
        <v>819.03147502127581</v>
      </c>
      <c r="L598" s="12">
        <v>0</v>
      </c>
      <c r="M598" s="12">
        <v>0</v>
      </c>
      <c r="N598" s="12">
        <v>819.03147502127581</v>
      </c>
      <c r="O598" s="70">
        <f>IF(Table1[[#This Row],[Overall amount]]=0,0,1)</f>
        <v>1</v>
      </c>
      <c r="P598" s="70">
        <f>Table1[[#This Row],[Overall amount]]*Exchange_Rate</f>
        <v>819.03147502127581</v>
      </c>
      <c r="Q598" s="70">
        <f>Table1[[#This Row],[Overall (destination currency)]]*(1+Claims_Inflation)^((Revalue_at_date-Table1[[#This Row],[Loss date]])/365.25)</f>
        <v>1198.5</v>
      </c>
      <c r="R598" s="70">
        <f>INT(Table1[[#This Row],[Reporting date]])-INT(Table1[[#This Row],[Loss date]])</f>
        <v>36</v>
      </c>
      <c r="S598" s="69" t="s">
        <v>9</v>
      </c>
      <c r="T598" s="70">
        <f>VLOOKUP(Table1[[#This Row],[Policy Year]],exposure_table,3,FALSE)</f>
        <v>547.7736362475523</v>
      </c>
      <c r="U598" s="17">
        <f>IF(MONTH(Table1[[#This Row],[Reporting date]])&lt;Policy_Inception_Month,YEAR(Table1[[#This Row],[Reporting date]])-1,YEAR(Table1[[#This Row],[Reporting date]]))</f>
        <v>2007</v>
      </c>
      <c r="V598" s="17">
        <f>Table1[[#This Row],[Reporting year]]-Table1[[#This Row],[Policy Year]]</f>
        <v>0</v>
      </c>
      <c r="W598" s="17">
        <f>INT(Table1[[#This Row],[Reporting date]])-INT(Table1[[#This Row],[Loss date]])</f>
        <v>36</v>
      </c>
      <c r="X598" s="17">
        <f>INT((YEAR(Table1[[#This Row],[Loss date]])*12+MONTH(Table1[[#This Row],[Loss date]])-Earliest_Month)/4)</f>
        <v>8</v>
      </c>
      <c r="Y598" s="17">
        <f>INT((YEAR(Table1[[#This Row],[Reporting date]])*12+MONTH(Table1[[#This Row],[Reporting date]])-Earliest_Month)/4)</f>
        <v>8</v>
      </c>
      <c r="Z598" s="17">
        <f>Table1[[#This Row],[Reporting third]]-Table1[[#This Row],[Policy third]]</f>
        <v>0</v>
      </c>
      <c r="AA598" s="71">
        <f>IF(Table1[[#This Row],[Overall amount]]=0,"N/A",Table1[[#This Row],[Outstanding]]/Table1[[#This Row],[Overall amount]])</f>
        <v>0</v>
      </c>
      <c r="AB598" s="17">
        <f>IF(MONTH(Table1[[#This Row],[Loss date]])&lt;Pol_Inc_Month_Shifted,YEAR(Table1[[#This Row],[Loss date]])-1,YEAR(Table1[[#This Row],[Loss date]]))</f>
        <v>2007</v>
      </c>
      <c r="AC598" s="17">
        <f>IF(MONTH(Table1[[#This Row],[Reporting date]])&lt;Pol_Inc_Month_Shifted,YEAR(Table1[[#This Row],[Reporting date]])-1,YEAR(Table1[[#This Row],[Reporting date]]))</f>
        <v>2007</v>
      </c>
      <c r="AD598" s="17">
        <f>Table1[[#This Row],[Reporting year (shifted)]]-Table1[[#This Row],[Policy Year (shifted)]]</f>
        <v>0</v>
      </c>
    </row>
    <row r="599" spans="1:30" ht="13.9">
      <c r="A599" s="8" t="s">
        <v>2369</v>
      </c>
      <c r="B599" s="8" t="s">
        <v>651</v>
      </c>
      <c r="C599" s="8" t="s">
        <v>123</v>
      </c>
      <c r="D599" s="9">
        <v>39257</v>
      </c>
      <c r="E599" s="9">
        <v>39294</v>
      </c>
      <c r="F599" s="17">
        <f>IF(MONTH(Table1[[#This Row],[Loss date]])&lt;Policy_Inception_Month,YEAR(Table1[[#This Row],[Loss date]])-1,YEAR(Table1[[#This Row],[Loss date]]))</f>
        <v>2007</v>
      </c>
      <c r="G599" s="10" t="s">
        <v>126</v>
      </c>
      <c r="H599" s="10" t="s">
        <v>2</v>
      </c>
      <c r="I599" s="11">
        <v>828.92547721772075</v>
      </c>
      <c r="J599" s="11">
        <v>0</v>
      </c>
      <c r="K599" s="11">
        <v>828.92547721772075</v>
      </c>
      <c r="L599" s="12">
        <v>0</v>
      </c>
      <c r="M599" s="12">
        <v>45.590901246974646</v>
      </c>
      <c r="N599" s="12">
        <v>783.33457597074607</v>
      </c>
      <c r="O599" s="70">
        <f>IF(Table1[[#This Row],[Overall amount]]=0,0,1)</f>
        <v>1</v>
      </c>
      <c r="P599" s="70">
        <f>Table1[[#This Row],[Overall amount]]*Exchange_Rate</f>
        <v>783.33457597074607</v>
      </c>
      <c r="Q599" s="70">
        <f>Table1[[#This Row],[Overall (destination currency)]]*(1+Claims_Inflation)^((Revalue_at_date-Table1[[#This Row],[Loss date]])/365.25)</f>
        <v>1172.7487799999997</v>
      </c>
      <c r="R599" s="70">
        <f>INT(Table1[[#This Row],[Reporting date]])-INT(Table1[[#This Row],[Loss date]])</f>
        <v>37</v>
      </c>
      <c r="S599" s="69" t="s">
        <v>9</v>
      </c>
      <c r="T599" s="70">
        <f>VLOOKUP(Table1[[#This Row],[Policy Year]],exposure_table,3,FALSE)</f>
        <v>547.7736362475523</v>
      </c>
      <c r="U599" s="17">
        <f>IF(MONTH(Table1[[#This Row],[Reporting date]])&lt;Policy_Inception_Month,YEAR(Table1[[#This Row],[Reporting date]])-1,YEAR(Table1[[#This Row],[Reporting date]]))</f>
        <v>2007</v>
      </c>
      <c r="V599" s="17">
        <f>Table1[[#This Row],[Reporting year]]-Table1[[#This Row],[Policy Year]]</f>
        <v>0</v>
      </c>
      <c r="W599" s="17">
        <f>INT(Table1[[#This Row],[Reporting date]])-INT(Table1[[#This Row],[Loss date]])</f>
        <v>37</v>
      </c>
      <c r="X599" s="17">
        <f>INT((YEAR(Table1[[#This Row],[Loss date]])*12+MONTH(Table1[[#This Row],[Loss date]])-Earliest_Month)/4)</f>
        <v>6</v>
      </c>
      <c r="Y599" s="17">
        <f>INT((YEAR(Table1[[#This Row],[Reporting date]])*12+MONTH(Table1[[#This Row],[Reporting date]])-Earliest_Month)/4)</f>
        <v>6</v>
      </c>
      <c r="Z599" s="17">
        <f>Table1[[#This Row],[Reporting third]]-Table1[[#This Row],[Policy third]]</f>
        <v>0</v>
      </c>
      <c r="AA599" s="71">
        <f>IF(Table1[[#This Row],[Overall amount]]=0,"N/A",Table1[[#This Row],[Outstanding]]/Table1[[#This Row],[Overall amount]])</f>
        <v>0</v>
      </c>
      <c r="AB599" s="17">
        <f>IF(MONTH(Table1[[#This Row],[Loss date]])&lt;Pol_Inc_Month_Shifted,YEAR(Table1[[#This Row],[Loss date]])-1,YEAR(Table1[[#This Row],[Loss date]]))</f>
        <v>2006</v>
      </c>
      <c r="AC599" s="17">
        <f>IF(MONTH(Table1[[#This Row],[Reporting date]])&lt;Pol_Inc_Month_Shifted,YEAR(Table1[[#This Row],[Reporting date]])-1,YEAR(Table1[[#This Row],[Reporting date]]))</f>
        <v>2006</v>
      </c>
      <c r="AD599" s="17">
        <f>Table1[[#This Row],[Reporting year (shifted)]]-Table1[[#This Row],[Policy Year (shifted)]]</f>
        <v>0</v>
      </c>
    </row>
    <row r="600" spans="1:30" ht="13.9">
      <c r="A600" s="8" t="s">
        <v>2370</v>
      </c>
      <c r="B600" s="8" t="s">
        <v>652</v>
      </c>
      <c r="C600" s="8" t="s">
        <v>123</v>
      </c>
      <c r="D600" s="9">
        <v>38734</v>
      </c>
      <c r="E600" s="9">
        <v>38802</v>
      </c>
      <c r="F600" s="17">
        <f>IF(MONTH(Table1[[#This Row],[Loss date]])&lt;Policy_Inception_Month,YEAR(Table1[[#This Row],[Loss date]])-1,YEAR(Table1[[#This Row],[Loss date]]))</f>
        <v>2005</v>
      </c>
      <c r="G600" s="10" t="s">
        <v>125</v>
      </c>
      <c r="H600" s="10" t="s">
        <v>2</v>
      </c>
      <c r="I600" s="11">
        <v>296.49135654986554</v>
      </c>
      <c r="J600" s="11">
        <v>0</v>
      </c>
      <c r="K600" s="11">
        <v>296.49135654986554</v>
      </c>
      <c r="L600" s="12">
        <v>0</v>
      </c>
      <c r="M600" s="12">
        <v>0</v>
      </c>
      <c r="N600" s="12">
        <v>296.49135654986554</v>
      </c>
      <c r="O600" s="70">
        <f>IF(Table1[[#This Row],[Overall amount]]=0,0,1)</f>
        <v>1</v>
      </c>
      <c r="P600" s="70">
        <f>Table1[[#This Row],[Overall amount]]*Exchange_Rate</f>
        <v>296.49135654986554</v>
      </c>
      <c r="Q600" s="70">
        <f>Table1[[#This Row],[Overall (destination currency)]]*(1+Claims_Inflation)^((Revalue_at_date-Table1[[#This Row],[Loss date]])/365.25)</f>
        <v>476.00400000000002</v>
      </c>
      <c r="R600" s="70">
        <f>INT(Table1[[#This Row],[Reporting date]])-INT(Table1[[#This Row],[Loss date]])</f>
        <v>68</v>
      </c>
      <c r="S600" s="69" t="s">
        <v>9</v>
      </c>
      <c r="T600" s="70">
        <f>VLOOKUP(Table1[[#This Row],[Policy Year]],exposure_table,3,FALSE)</f>
        <v>409.50481038040112</v>
      </c>
      <c r="U600" s="17">
        <f>IF(MONTH(Table1[[#This Row],[Reporting date]])&lt;Policy_Inception_Month,YEAR(Table1[[#This Row],[Reporting date]])-1,YEAR(Table1[[#This Row],[Reporting date]]))</f>
        <v>2005</v>
      </c>
      <c r="V600" s="17">
        <f>Table1[[#This Row],[Reporting year]]-Table1[[#This Row],[Policy Year]]</f>
        <v>0</v>
      </c>
      <c r="W600" s="17">
        <f>INT(Table1[[#This Row],[Reporting date]])-INT(Table1[[#This Row],[Loss date]])</f>
        <v>68</v>
      </c>
      <c r="X600" s="17">
        <f>INT((YEAR(Table1[[#This Row],[Loss date]])*12+MONTH(Table1[[#This Row],[Loss date]])-Earliest_Month)/4)</f>
        <v>2</v>
      </c>
      <c r="Y600" s="17">
        <f>INT((YEAR(Table1[[#This Row],[Reporting date]])*12+MONTH(Table1[[#This Row],[Reporting date]])-Earliest_Month)/4)</f>
        <v>2</v>
      </c>
      <c r="Z600" s="17">
        <f>Table1[[#This Row],[Reporting third]]-Table1[[#This Row],[Policy third]]</f>
        <v>0</v>
      </c>
      <c r="AA600" s="71">
        <f>IF(Table1[[#This Row],[Overall amount]]=0,"N/A",Table1[[#This Row],[Outstanding]]/Table1[[#This Row],[Overall amount]])</f>
        <v>0</v>
      </c>
      <c r="AB600" s="17">
        <f>IF(MONTH(Table1[[#This Row],[Loss date]])&lt;Pol_Inc_Month_Shifted,YEAR(Table1[[#This Row],[Loss date]])-1,YEAR(Table1[[#This Row],[Loss date]]))</f>
        <v>2005</v>
      </c>
      <c r="AC600" s="17">
        <f>IF(MONTH(Table1[[#This Row],[Reporting date]])&lt;Pol_Inc_Month_Shifted,YEAR(Table1[[#This Row],[Reporting date]])-1,YEAR(Table1[[#This Row],[Reporting date]]))</f>
        <v>2005</v>
      </c>
      <c r="AD600" s="17">
        <f>Table1[[#This Row],[Reporting year (shifted)]]-Table1[[#This Row],[Policy Year (shifted)]]</f>
        <v>0</v>
      </c>
    </row>
    <row r="601" spans="1:30" ht="13.9">
      <c r="A601" s="8" t="s">
        <v>2371</v>
      </c>
      <c r="B601" s="8" t="s">
        <v>653</v>
      </c>
      <c r="C601" s="8" t="s">
        <v>123</v>
      </c>
      <c r="D601" s="9">
        <v>39279</v>
      </c>
      <c r="E601" s="9">
        <v>39724</v>
      </c>
      <c r="F601" s="17">
        <f>IF(MONTH(Table1[[#This Row],[Loss date]])&lt;Policy_Inception_Month,YEAR(Table1[[#This Row],[Loss date]])-1,YEAR(Table1[[#This Row],[Loss date]]))</f>
        <v>2007</v>
      </c>
      <c r="G601" s="10" t="s">
        <v>125</v>
      </c>
      <c r="H601" s="10" t="s">
        <v>2</v>
      </c>
      <c r="I601" s="11">
        <v>9917.8492555919402</v>
      </c>
      <c r="J601" s="11">
        <v>0</v>
      </c>
      <c r="K601" s="11">
        <v>9917.8492555919402</v>
      </c>
      <c r="L601" s="12">
        <v>0</v>
      </c>
      <c r="M601" s="12">
        <v>0</v>
      </c>
      <c r="N601" s="12">
        <v>9917.8492555919402</v>
      </c>
      <c r="O601" s="70">
        <f>IF(Table1[[#This Row],[Overall amount]]=0,0,1)</f>
        <v>1</v>
      </c>
      <c r="P601" s="70">
        <f>Table1[[#This Row],[Overall amount]]*Exchange_Rate</f>
        <v>9917.8492555919402</v>
      </c>
      <c r="Q601" s="70">
        <f>Table1[[#This Row],[Overall (destination currency)]]*(1+Claims_Inflation)^((Revalue_at_date-Table1[[#This Row],[Loss date]])/365.25)</f>
        <v>14804.675999999999</v>
      </c>
      <c r="R601" s="70">
        <f>INT(Table1[[#This Row],[Reporting date]])-INT(Table1[[#This Row],[Loss date]])</f>
        <v>445</v>
      </c>
      <c r="S601" s="69" t="s">
        <v>9</v>
      </c>
      <c r="T601" s="70">
        <f>VLOOKUP(Table1[[#This Row],[Policy Year]],exposure_table,3,FALSE)</f>
        <v>547.7736362475523</v>
      </c>
      <c r="U601" s="17">
        <f>IF(MONTH(Table1[[#This Row],[Reporting date]])&lt;Policy_Inception_Month,YEAR(Table1[[#This Row],[Reporting date]])-1,YEAR(Table1[[#This Row],[Reporting date]]))</f>
        <v>2008</v>
      </c>
      <c r="V601" s="17">
        <f>Table1[[#This Row],[Reporting year]]-Table1[[#This Row],[Policy Year]]</f>
        <v>1</v>
      </c>
      <c r="W601" s="17">
        <f>INT(Table1[[#This Row],[Reporting date]])-INT(Table1[[#This Row],[Loss date]])</f>
        <v>445</v>
      </c>
      <c r="X601" s="17">
        <f>INT((YEAR(Table1[[#This Row],[Loss date]])*12+MONTH(Table1[[#This Row],[Loss date]])-Earliest_Month)/4)</f>
        <v>6</v>
      </c>
      <c r="Y601" s="17">
        <f>INT((YEAR(Table1[[#This Row],[Reporting date]])*12+MONTH(Table1[[#This Row],[Reporting date]])-Earliest_Month)/4)</f>
        <v>10</v>
      </c>
      <c r="Z601" s="17">
        <f>Table1[[#This Row],[Reporting third]]-Table1[[#This Row],[Policy third]]</f>
        <v>4</v>
      </c>
      <c r="AA601" s="71">
        <f>IF(Table1[[#This Row],[Overall amount]]=0,"N/A",Table1[[#This Row],[Outstanding]]/Table1[[#This Row],[Overall amount]])</f>
        <v>0</v>
      </c>
      <c r="AB601" s="17">
        <f>IF(MONTH(Table1[[#This Row],[Loss date]])&lt;Pol_Inc_Month_Shifted,YEAR(Table1[[#This Row],[Loss date]])-1,YEAR(Table1[[#This Row],[Loss date]]))</f>
        <v>2006</v>
      </c>
      <c r="AC601" s="17">
        <f>IF(MONTH(Table1[[#This Row],[Reporting date]])&lt;Pol_Inc_Month_Shifted,YEAR(Table1[[#This Row],[Reporting date]])-1,YEAR(Table1[[#This Row],[Reporting date]]))</f>
        <v>2007</v>
      </c>
      <c r="AD601" s="17">
        <f>Table1[[#This Row],[Reporting year (shifted)]]-Table1[[#This Row],[Policy Year (shifted)]]</f>
        <v>1</v>
      </c>
    </row>
    <row r="602" spans="1:30" ht="13.9">
      <c r="A602" s="8" t="s">
        <v>2372</v>
      </c>
      <c r="B602" s="8" t="s">
        <v>654</v>
      </c>
      <c r="C602" s="8" t="s">
        <v>123</v>
      </c>
      <c r="D602" s="9">
        <v>39678</v>
      </c>
      <c r="E602" s="9">
        <v>39745</v>
      </c>
      <c r="F602" s="17">
        <f>IF(MONTH(Table1[[#This Row],[Loss date]])&lt;Policy_Inception_Month,YEAR(Table1[[#This Row],[Loss date]])-1,YEAR(Table1[[#This Row],[Loss date]]))</f>
        <v>2008</v>
      </c>
      <c r="G602" s="10" t="s">
        <v>125</v>
      </c>
      <c r="H602" s="10" t="s">
        <v>2</v>
      </c>
      <c r="I602" s="11">
        <v>2368.477863021265</v>
      </c>
      <c r="J602" s="11">
        <v>0</v>
      </c>
      <c r="K602" s="11">
        <v>2368.477863021265</v>
      </c>
      <c r="L602" s="12">
        <v>0</v>
      </c>
      <c r="M602" s="12">
        <v>0</v>
      </c>
      <c r="N602" s="12">
        <v>2368.477863021265</v>
      </c>
      <c r="O602" s="70">
        <f>IF(Table1[[#This Row],[Overall amount]]=0,0,1)</f>
        <v>1</v>
      </c>
      <c r="P602" s="70">
        <f>Table1[[#This Row],[Overall amount]]*Exchange_Rate</f>
        <v>2368.477863021265</v>
      </c>
      <c r="Q602" s="70">
        <f>Table1[[#This Row],[Overall (destination currency)]]*(1+Claims_Inflation)^((Revalue_at_date-Table1[[#This Row],[Loss date]])/365.25)</f>
        <v>3351.9959999999996</v>
      </c>
      <c r="R602" s="70">
        <f>INT(Table1[[#This Row],[Reporting date]])-INT(Table1[[#This Row],[Loss date]])</f>
        <v>67</v>
      </c>
      <c r="S602" s="69" t="s">
        <v>9</v>
      </c>
      <c r="T602" s="70">
        <f>VLOOKUP(Table1[[#This Row],[Policy Year]],exposure_table,3,FALSE)</f>
        <v>601.98581780480015</v>
      </c>
      <c r="U602" s="17">
        <f>IF(MONTH(Table1[[#This Row],[Reporting date]])&lt;Policy_Inception_Month,YEAR(Table1[[#This Row],[Reporting date]])-1,YEAR(Table1[[#This Row],[Reporting date]]))</f>
        <v>2008</v>
      </c>
      <c r="V602" s="17">
        <f>Table1[[#This Row],[Reporting year]]-Table1[[#This Row],[Policy Year]]</f>
        <v>0</v>
      </c>
      <c r="W602" s="17">
        <f>INT(Table1[[#This Row],[Reporting date]])-INT(Table1[[#This Row],[Loss date]])</f>
        <v>67</v>
      </c>
      <c r="X602" s="17">
        <f>INT((YEAR(Table1[[#This Row],[Loss date]])*12+MONTH(Table1[[#This Row],[Loss date]])-Earliest_Month)/4)</f>
        <v>10</v>
      </c>
      <c r="Y602" s="17">
        <f>INT((YEAR(Table1[[#This Row],[Reporting date]])*12+MONTH(Table1[[#This Row],[Reporting date]])-Earliest_Month)/4)</f>
        <v>10</v>
      </c>
      <c r="Z602" s="17">
        <f>Table1[[#This Row],[Reporting third]]-Table1[[#This Row],[Policy third]]</f>
        <v>0</v>
      </c>
      <c r="AA602" s="71">
        <f>IF(Table1[[#This Row],[Overall amount]]=0,"N/A",Table1[[#This Row],[Outstanding]]/Table1[[#This Row],[Overall amount]])</f>
        <v>0</v>
      </c>
      <c r="AB602" s="17">
        <f>IF(MONTH(Table1[[#This Row],[Loss date]])&lt;Pol_Inc_Month_Shifted,YEAR(Table1[[#This Row],[Loss date]])-1,YEAR(Table1[[#This Row],[Loss date]]))</f>
        <v>2007</v>
      </c>
      <c r="AC602" s="17">
        <f>IF(MONTH(Table1[[#This Row],[Reporting date]])&lt;Pol_Inc_Month_Shifted,YEAR(Table1[[#This Row],[Reporting date]])-1,YEAR(Table1[[#This Row],[Reporting date]]))</f>
        <v>2007</v>
      </c>
      <c r="AD602" s="17">
        <f>Table1[[#This Row],[Reporting year (shifted)]]-Table1[[#This Row],[Policy Year (shifted)]]</f>
        <v>0</v>
      </c>
    </row>
    <row r="603" spans="1:30" ht="13.9">
      <c r="A603" s="8" t="s">
        <v>2373</v>
      </c>
      <c r="B603" s="8" t="s">
        <v>655</v>
      </c>
      <c r="C603" s="8" t="s">
        <v>123</v>
      </c>
      <c r="D603" s="9">
        <v>39680</v>
      </c>
      <c r="E603" s="9">
        <v>39746</v>
      </c>
      <c r="F603" s="17">
        <f>IF(MONTH(Table1[[#This Row],[Loss date]])&lt;Policy_Inception_Month,YEAR(Table1[[#This Row],[Loss date]])-1,YEAR(Table1[[#This Row],[Loss date]]))</f>
        <v>2008</v>
      </c>
      <c r="G603" s="10" t="s">
        <v>125</v>
      </c>
      <c r="H603" s="10" t="s">
        <v>2</v>
      </c>
      <c r="I603" s="11">
        <v>890.53790513337913</v>
      </c>
      <c r="J603" s="11">
        <v>0</v>
      </c>
      <c r="K603" s="11">
        <v>890.53790513337913</v>
      </c>
      <c r="L603" s="12">
        <v>0</v>
      </c>
      <c r="M603" s="12">
        <v>0</v>
      </c>
      <c r="N603" s="12">
        <v>890.53790513337913</v>
      </c>
      <c r="O603" s="70">
        <f>IF(Table1[[#This Row],[Overall amount]]=0,0,1)</f>
        <v>1</v>
      </c>
      <c r="P603" s="70">
        <f>Table1[[#This Row],[Overall amount]]*Exchange_Rate</f>
        <v>890.53790513337913</v>
      </c>
      <c r="Q603" s="70">
        <f>Table1[[#This Row],[Overall (destination currency)]]*(1+Claims_Inflation)^((Revalue_at_date-Table1[[#This Row],[Loss date]])/365.25)</f>
        <v>1260</v>
      </c>
      <c r="R603" s="70">
        <f>INT(Table1[[#This Row],[Reporting date]])-INT(Table1[[#This Row],[Loss date]])</f>
        <v>66</v>
      </c>
      <c r="S603" s="69" t="s">
        <v>9</v>
      </c>
      <c r="T603" s="70">
        <f>VLOOKUP(Table1[[#This Row],[Policy Year]],exposure_table,3,FALSE)</f>
        <v>601.98581780480015</v>
      </c>
      <c r="U603" s="17">
        <f>IF(MONTH(Table1[[#This Row],[Reporting date]])&lt;Policy_Inception_Month,YEAR(Table1[[#This Row],[Reporting date]])-1,YEAR(Table1[[#This Row],[Reporting date]]))</f>
        <v>2008</v>
      </c>
      <c r="V603" s="17">
        <f>Table1[[#This Row],[Reporting year]]-Table1[[#This Row],[Policy Year]]</f>
        <v>0</v>
      </c>
      <c r="W603" s="17">
        <f>INT(Table1[[#This Row],[Reporting date]])-INT(Table1[[#This Row],[Loss date]])</f>
        <v>66</v>
      </c>
      <c r="X603" s="17">
        <f>INT((YEAR(Table1[[#This Row],[Loss date]])*12+MONTH(Table1[[#This Row],[Loss date]])-Earliest_Month)/4)</f>
        <v>10</v>
      </c>
      <c r="Y603" s="17">
        <f>INT((YEAR(Table1[[#This Row],[Reporting date]])*12+MONTH(Table1[[#This Row],[Reporting date]])-Earliest_Month)/4)</f>
        <v>10</v>
      </c>
      <c r="Z603" s="17">
        <f>Table1[[#This Row],[Reporting third]]-Table1[[#This Row],[Policy third]]</f>
        <v>0</v>
      </c>
      <c r="AA603" s="71">
        <f>IF(Table1[[#This Row],[Overall amount]]=0,"N/A",Table1[[#This Row],[Outstanding]]/Table1[[#This Row],[Overall amount]])</f>
        <v>0</v>
      </c>
      <c r="AB603" s="17">
        <f>IF(MONTH(Table1[[#This Row],[Loss date]])&lt;Pol_Inc_Month_Shifted,YEAR(Table1[[#This Row],[Loss date]])-1,YEAR(Table1[[#This Row],[Loss date]]))</f>
        <v>2007</v>
      </c>
      <c r="AC603" s="17">
        <f>IF(MONTH(Table1[[#This Row],[Reporting date]])&lt;Pol_Inc_Month_Shifted,YEAR(Table1[[#This Row],[Reporting date]])-1,YEAR(Table1[[#This Row],[Reporting date]]))</f>
        <v>2007</v>
      </c>
      <c r="AD603" s="17">
        <f>Table1[[#This Row],[Reporting year (shifted)]]-Table1[[#This Row],[Policy Year (shifted)]]</f>
        <v>0</v>
      </c>
    </row>
    <row r="604" spans="1:30" ht="13.9">
      <c r="A604" s="8" t="s">
        <v>2374</v>
      </c>
      <c r="B604" s="8" t="s">
        <v>656</v>
      </c>
      <c r="C604" s="8" t="s">
        <v>123</v>
      </c>
      <c r="D604" s="9">
        <v>39157</v>
      </c>
      <c r="E604" s="9">
        <v>39767</v>
      </c>
      <c r="F604" s="17">
        <f>IF(MONTH(Table1[[#This Row],[Loss date]])&lt;Policy_Inception_Month,YEAR(Table1[[#This Row],[Loss date]])-1,YEAR(Table1[[#This Row],[Loss date]]))</f>
        <v>2006</v>
      </c>
      <c r="G604" s="10" t="s">
        <v>131</v>
      </c>
      <c r="H604" s="10" t="s">
        <v>2</v>
      </c>
      <c r="I604" s="11">
        <v>924.36578669915389</v>
      </c>
      <c r="J604" s="11">
        <v>0</v>
      </c>
      <c r="K604" s="11">
        <v>924.36578669915389</v>
      </c>
      <c r="L604" s="12">
        <v>0</v>
      </c>
      <c r="M604" s="12">
        <v>0</v>
      </c>
      <c r="N604" s="12">
        <v>924.36578669915389</v>
      </c>
      <c r="O604" s="70">
        <f>IF(Table1[[#This Row],[Overall amount]]=0,0,1)</f>
        <v>1</v>
      </c>
      <c r="P604" s="70">
        <f>Table1[[#This Row],[Overall amount]]*Exchange_Rate</f>
        <v>924.36578669915389</v>
      </c>
      <c r="Q604" s="70">
        <f>Table1[[#This Row],[Overall (destination currency)]]*(1+Claims_Inflation)^((Revalue_at_date-Table1[[#This Row],[Loss date]])/365.25)</f>
        <v>1402.5</v>
      </c>
      <c r="R604" s="70">
        <f>INT(Table1[[#This Row],[Reporting date]])-INT(Table1[[#This Row],[Loss date]])</f>
        <v>610</v>
      </c>
      <c r="S604" s="69" t="s">
        <v>9</v>
      </c>
      <c r="T604" s="70">
        <f>VLOOKUP(Table1[[#This Row],[Policy Year]],exposure_table,3,FALSE)</f>
        <v>483.32023209000977</v>
      </c>
      <c r="U604" s="17">
        <f>IF(MONTH(Table1[[#This Row],[Reporting date]])&lt;Policy_Inception_Month,YEAR(Table1[[#This Row],[Reporting date]])-1,YEAR(Table1[[#This Row],[Reporting date]]))</f>
        <v>2008</v>
      </c>
      <c r="V604" s="17">
        <f>Table1[[#This Row],[Reporting year]]-Table1[[#This Row],[Policy Year]]</f>
        <v>2</v>
      </c>
      <c r="W604" s="17">
        <f>INT(Table1[[#This Row],[Reporting date]])-INT(Table1[[#This Row],[Loss date]])</f>
        <v>610</v>
      </c>
      <c r="X604" s="17">
        <f>INT((YEAR(Table1[[#This Row],[Loss date]])*12+MONTH(Table1[[#This Row],[Loss date]])-Earliest_Month)/4)</f>
        <v>5</v>
      </c>
      <c r="Y604" s="17">
        <f>INT((YEAR(Table1[[#This Row],[Reporting date]])*12+MONTH(Table1[[#This Row],[Reporting date]])-Earliest_Month)/4)</f>
        <v>10</v>
      </c>
      <c r="Z604" s="17">
        <f>Table1[[#This Row],[Reporting third]]-Table1[[#This Row],[Policy third]]</f>
        <v>5</v>
      </c>
      <c r="AA604" s="71">
        <f>IF(Table1[[#This Row],[Overall amount]]=0,"N/A",Table1[[#This Row],[Outstanding]]/Table1[[#This Row],[Overall amount]])</f>
        <v>0</v>
      </c>
      <c r="AB604" s="17">
        <f>IF(MONTH(Table1[[#This Row],[Loss date]])&lt;Pol_Inc_Month_Shifted,YEAR(Table1[[#This Row],[Loss date]])-1,YEAR(Table1[[#This Row],[Loss date]]))</f>
        <v>2006</v>
      </c>
      <c r="AC604" s="17">
        <f>IF(MONTH(Table1[[#This Row],[Reporting date]])&lt;Pol_Inc_Month_Shifted,YEAR(Table1[[#This Row],[Reporting date]])-1,YEAR(Table1[[#This Row],[Reporting date]]))</f>
        <v>2007</v>
      </c>
      <c r="AD604" s="17">
        <f>Table1[[#This Row],[Reporting year (shifted)]]-Table1[[#This Row],[Policy Year (shifted)]]</f>
        <v>1</v>
      </c>
    </row>
    <row r="605" spans="1:30" ht="13.9">
      <c r="A605" s="8" t="s">
        <v>2375</v>
      </c>
      <c r="B605" s="8" t="s">
        <v>657</v>
      </c>
      <c r="C605" s="8" t="s">
        <v>123</v>
      </c>
      <c r="D605" s="9">
        <v>39319</v>
      </c>
      <c r="E605" s="9">
        <v>39822</v>
      </c>
      <c r="F605" s="17">
        <f>IF(MONTH(Table1[[#This Row],[Loss date]])&lt;Policy_Inception_Month,YEAR(Table1[[#This Row],[Loss date]])-1,YEAR(Table1[[#This Row],[Loss date]]))</f>
        <v>2007</v>
      </c>
      <c r="G605" s="10" t="s">
        <v>125</v>
      </c>
      <c r="H605" s="10" t="s">
        <v>2</v>
      </c>
      <c r="I605" s="11">
        <v>3722.8247001734744</v>
      </c>
      <c r="J605" s="11">
        <v>0</v>
      </c>
      <c r="K605" s="11">
        <v>3722.8247001734744</v>
      </c>
      <c r="L605" s="12">
        <v>0</v>
      </c>
      <c r="M605" s="12">
        <v>0</v>
      </c>
      <c r="N605" s="12">
        <v>3722.8247001734744</v>
      </c>
      <c r="O605" s="70">
        <f>IF(Table1[[#This Row],[Overall amount]]=0,0,1)</f>
        <v>1</v>
      </c>
      <c r="P605" s="70">
        <f>Table1[[#This Row],[Overall amount]]*Exchange_Rate</f>
        <v>3722.8247001734744</v>
      </c>
      <c r="Q605" s="70">
        <f>Table1[[#This Row],[Overall (destination currency)]]*(1+Claims_Inflation)^((Revalue_at_date-Table1[[#This Row],[Loss date]])/365.25)</f>
        <v>5527.56</v>
      </c>
      <c r="R605" s="70">
        <f>INT(Table1[[#This Row],[Reporting date]])-INT(Table1[[#This Row],[Loss date]])</f>
        <v>503</v>
      </c>
      <c r="S605" s="69" t="s">
        <v>9</v>
      </c>
      <c r="T605" s="70">
        <f>VLOOKUP(Table1[[#This Row],[Policy Year]],exposure_table,3,FALSE)</f>
        <v>547.7736362475523</v>
      </c>
      <c r="U605" s="17">
        <f>IF(MONTH(Table1[[#This Row],[Reporting date]])&lt;Policy_Inception_Month,YEAR(Table1[[#This Row],[Reporting date]])-1,YEAR(Table1[[#This Row],[Reporting date]]))</f>
        <v>2008</v>
      </c>
      <c r="V605" s="17">
        <f>Table1[[#This Row],[Reporting year]]-Table1[[#This Row],[Policy Year]]</f>
        <v>1</v>
      </c>
      <c r="W605" s="17">
        <f>INT(Table1[[#This Row],[Reporting date]])-INT(Table1[[#This Row],[Loss date]])</f>
        <v>503</v>
      </c>
      <c r="X605" s="17">
        <f>INT((YEAR(Table1[[#This Row],[Loss date]])*12+MONTH(Table1[[#This Row],[Loss date]])-Earliest_Month)/4)</f>
        <v>7</v>
      </c>
      <c r="Y605" s="17">
        <f>INT((YEAR(Table1[[#This Row],[Reporting date]])*12+MONTH(Table1[[#This Row],[Reporting date]])-Earliest_Month)/4)</f>
        <v>11</v>
      </c>
      <c r="Z605" s="17">
        <f>Table1[[#This Row],[Reporting third]]-Table1[[#This Row],[Policy third]]</f>
        <v>4</v>
      </c>
      <c r="AA605" s="71">
        <f>IF(Table1[[#This Row],[Overall amount]]=0,"N/A",Table1[[#This Row],[Outstanding]]/Table1[[#This Row],[Overall amount]])</f>
        <v>0</v>
      </c>
      <c r="AB605" s="17">
        <f>IF(MONTH(Table1[[#This Row],[Loss date]])&lt;Pol_Inc_Month_Shifted,YEAR(Table1[[#This Row],[Loss date]])-1,YEAR(Table1[[#This Row],[Loss date]]))</f>
        <v>2006</v>
      </c>
      <c r="AC605" s="17">
        <f>IF(MONTH(Table1[[#This Row],[Reporting date]])&lt;Pol_Inc_Month_Shifted,YEAR(Table1[[#This Row],[Reporting date]])-1,YEAR(Table1[[#This Row],[Reporting date]]))</f>
        <v>2008</v>
      </c>
      <c r="AD605" s="17">
        <f>Table1[[#This Row],[Reporting year (shifted)]]-Table1[[#This Row],[Policy Year (shifted)]]</f>
        <v>2</v>
      </c>
    </row>
    <row r="606" spans="1:30" ht="13.9">
      <c r="A606" s="8" t="s">
        <v>2376</v>
      </c>
      <c r="B606" s="8" t="s">
        <v>658</v>
      </c>
      <c r="C606" s="8" t="s">
        <v>123</v>
      </c>
      <c r="D606" s="9">
        <v>39217</v>
      </c>
      <c r="E606" s="9">
        <v>39819</v>
      </c>
      <c r="F606" s="17">
        <f>IF(MONTH(Table1[[#This Row],[Loss date]])&lt;Policy_Inception_Month,YEAR(Table1[[#This Row],[Loss date]])-1,YEAR(Table1[[#This Row],[Loss date]]))</f>
        <v>2007</v>
      </c>
      <c r="G606" s="10" t="s">
        <v>125</v>
      </c>
      <c r="H606" s="10" t="s">
        <v>2</v>
      </c>
      <c r="I606" s="11">
        <v>621.20543950024546</v>
      </c>
      <c r="J606" s="11">
        <v>0</v>
      </c>
      <c r="K606" s="11">
        <v>621.20543950024546</v>
      </c>
      <c r="L606" s="12">
        <v>0</v>
      </c>
      <c r="M606" s="12">
        <v>0</v>
      </c>
      <c r="N606" s="12">
        <v>621.20543950024546</v>
      </c>
      <c r="O606" s="70">
        <f>IF(Table1[[#This Row],[Overall amount]]=0,0,1)</f>
        <v>1</v>
      </c>
      <c r="P606" s="70">
        <f>Table1[[#This Row],[Overall amount]]*Exchange_Rate</f>
        <v>621.20543950024546</v>
      </c>
      <c r="Q606" s="70">
        <f>Table1[[#This Row],[Overall (destination currency)]]*(1+Claims_Inflation)^((Revalue_at_date-Table1[[#This Row],[Loss date]])/365.25)</f>
        <v>935.00399999999991</v>
      </c>
      <c r="R606" s="70">
        <f>INT(Table1[[#This Row],[Reporting date]])-INT(Table1[[#This Row],[Loss date]])</f>
        <v>602</v>
      </c>
      <c r="S606" s="69" t="s">
        <v>9</v>
      </c>
      <c r="T606" s="70">
        <f>VLOOKUP(Table1[[#This Row],[Policy Year]],exposure_table,3,FALSE)</f>
        <v>547.7736362475523</v>
      </c>
      <c r="U606" s="17">
        <f>IF(MONTH(Table1[[#This Row],[Reporting date]])&lt;Policy_Inception_Month,YEAR(Table1[[#This Row],[Reporting date]])-1,YEAR(Table1[[#This Row],[Reporting date]]))</f>
        <v>2008</v>
      </c>
      <c r="V606" s="17">
        <f>Table1[[#This Row],[Reporting year]]-Table1[[#This Row],[Policy Year]]</f>
        <v>1</v>
      </c>
      <c r="W606" s="17">
        <f>INT(Table1[[#This Row],[Reporting date]])-INT(Table1[[#This Row],[Loss date]])</f>
        <v>602</v>
      </c>
      <c r="X606" s="17">
        <f>INT((YEAR(Table1[[#This Row],[Loss date]])*12+MONTH(Table1[[#This Row],[Loss date]])-Earliest_Month)/4)</f>
        <v>6</v>
      </c>
      <c r="Y606" s="17">
        <f>INT((YEAR(Table1[[#This Row],[Reporting date]])*12+MONTH(Table1[[#This Row],[Reporting date]])-Earliest_Month)/4)</f>
        <v>11</v>
      </c>
      <c r="Z606" s="17">
        <f>Table1[[#This Row],[Reporting third]]-Table1[[#This Row],[Policy third]]</f>
        <v>5</v>
      </c>
      <c r="AA606" s="71">
        <f>IF(Table1[[#This Row],[Overall amount]]=0,"N/A",Table1[[#This Row],[Outstanding]]/Table1[[#This Row],[Overall amount]])</f>
        <v>0</v>
      </c>
      <c r="AB606" s="17">
        <f>IF(MONTH(Table1[[#This Row],[Loss date]])&lt;Pol_Inc_Month_Shifted,YEAR(Table1[[#This Row],[Loss date]])-1,YEAR(Table1[[#This Row],[Loss date]]))</f>
        <v>2006</v>
      </c>
      <c r="AC606" s="17">
        <f>IF(MONTH(Table1[[#This Row],[Reporting date]])&lt;Pol_Inc_Month_Shifted,YEAR(Table1[[#This Row],[Reporting date]])-1,YEAR(Table1[[#This Row],[Reporting date]]))</f>
        <v>2008</v>
      </c>
      <c r="AD606" s="17">
        <f>Table1[[#This Row],[Reporting year (shifted)]]-Table1[[#This Row],[Policy Year (shifted)]]</f>
        <v>2</v>
      </c>
    </row>
    <row r="607" spans="1:30" ht="13.9">
      <c r="A607" s="8" t="s">
        <v>2377</v>
      </c>
      <c r="B607" s="8" t="s">
        <v>659</v>
      </c>
      <c r="C607" s="8" t="s">
        <v>123</v>
      </c>
      <c r="D607" s="9">
        <v>39567</v>
      </c>
      <c r="E607" s="9">
        <v>39847</v>
      </c>
      <c r="F607" s="17">
        <f>IF(MONTH(Table1[[#This Row],[Loss date]])&lt;Policy_Inception_Month,YEAR(Table1[[#This Row],[Loss date]])-1,YEAR(Table1[[#This Row],[Loss date]]))</f>
        <v>2008</v>
      </c>
      <c r="G607" s="10" t="s">
        <v>119</v>
      </c>
      <c r="H607" s="10" t="s">
        <v>2</v>
      </c>
      <c r="I607" s="11">
        <v>650.93833482911782</v>
      </c>
      <c r="J607" s="11">
        <v>0</v>
      </c>
      <c r="K607" s="11">
        <v>650.93833482911782</v>
      </c>
      <c r="L607" s="12">
        <v>0</v>
      </c>
      <c r="M607" s="12">
        <v>0</v>
      </c>
      <c r="N607" s="12">
        <v>650.93833482911782</v>
      </c>
      <c r="O607" s="70">
        <f>IF(Table1[[#This Row],[Overall amount]]=0,0,1)</f>
        <v>1</v>
      </c>
      <c r="P607" s="70">
        <f>Table1[[#This Row],[Overall amount]]*Exchange_Rate</f>
        <v>650.93833482911782</v>
      </c>
      <c r="Q607" s="70">
        <f>Table1[[#This Row],[Overall (destination currency)]]*(1+Claims_Inflation)^((Revalue_at_date-Table1[[#This Row],[Loss date]])/365.25)</f>
        <v>935.00399999999979</v>
      </c>
      <c r="R607" s="70">
        <f>INT(Table1[[#This Row],[Reporting date]])-INT(Table1[[#This Row],[Loss date]])</f>
        <v>280</v>
      </c>
      <c r="S607" s="69" t="s">
        <v>9</v>
      </c>
      <c r="T607" s="70">
        <f>VLOOKUP(Table1[[#This Row],[Policy Year]],exposure_table,3,FALSE)</f>
        <v>601.98581780480015</v>
      </c>
      <c r="U607" s="17">
        <f>IF(MONTH(Table1[[#This Row],[Reporting date]])&lt;Policy_Inception_Month,YEAR(Table1[[#This Row],[Reporting date]])-1,YEAR(Table1[[#This Row],[Reporting date]]))</f>
        <v>2008</v>
      </c>
      <c r="V607" s="17">
        <f>Table1[[#This Row],[Reporting year]]-Table1[[#This Row],[Policy Year]]</f>
        <v>0</v>
      </c>
      <c r="W607" s="17">
        <f>INT(Table1[[#This Row],[Reporting date]])-INT(Table1[[#This Row],[Loss date]])</f>
        <v>280</v>
      </c>
      <c r="X607" s="17">
        <f>INT((YEAR(Table1[[#This Row],[Loss date]])*12+MONTH(Table1[[#This Row],[Loss date]])-Earliest_Month)/4)</f>
        <v>9</v>
      </c>
      <c r="Y607" s="17">
        <f>INT((YEAR(Table1[[#This Row],[Reporting date]])*12+MONTH(Table1[[#This Row],[Reporting date]])-Earliest_Month)/4)</f>
        <v>11</v>
      </c>
      <c r="Z607" s="17">
        <f>Table1[[#This Row],[Reporting third]]-Table1[[#This Row],[Policy third]]</f>
        <v>2</v>
      </c>
      <c r="AA607" s="71">
        <f>IF(Table1[[#This Row],[Overall amount]]=0,"N/A",Table1[[#This Row],[Outstanding]]/Table1[[#This Row],[Overall amount]])</f>
        <v>0</v>
      </c>
      <c r="AB607" s="17">
        <f>IF(MONTH(Table1[[#This Row],[Loss date]])&lt;Pol_Inc_Month_Shifted,YEAR(Table1[[#This Row],[Loss date]])-1,YEAR(Table1[[#This Row],[Loss date]]))</f>
        <v>2007</v>
      </c>
      <c r="AC607" s="17">
        <f>IF(MONTH(Table1[[#This Row],[Reporting date]])&lt;Pol_Inc_Month_Shifted,YEAR(Table1[[#This Row],[Reporting date]])-1,YEAR(Table1[[#This Row],[Reporting date]]))</f>
        <v>2008</v>
      </c>
      <c r="AD607" s="17">
        <f>Table1[[#This Row],[Reporting year (shifted)]]-Table1[[#This Row],[Policy Year (shifted)]]</f>
        <v>1</v>
      </c>
    </row>
    <row r="608" spans="1:30" ht="13.9">
      <c r="A608" s="8" t="s">
        <v>2378</v>
      </c>
      <c r="B608" s="8" t="s">
        <v>660</v>
      </c>
      <c r="C608" s="8" t="s">
        <v>123</v>
      </c>
      <c r="D608" s="9">
        <v>39373</v>
      </c>
      <c r="E608" s="9">
        <v>39866</v>
      </c>
      <c r="F608" s="17">
        <f>IF(MONTH(Table1[[#This Row],[Loss date]])&lt;Policy_Inception_Month,YEAR(Table1[[#This Row],[Loss date]])-1,YEAR(Table1[[#This Row],[Loss date]]))</f>
        <v>2007</v>
      </c>
      <c r="G608" s="10" t="s">
        <v>125</v>
      </c>
      <c r="H608" s="10" t="s">
        <v>2</v>
      </c>
      <c r="I608" s="11">
        <v>6000.593643940254</v>
      </c>
      <c r="J608" s="11">
        <v>0</v>
      </c>
      <c r="K608" s="11">
        <v>6000.593643940254</v>
      </c>
      <c r="L608" s="12">
        <v>0</v>
      </c>
      <c r="M608" s="12">
        <v>0</v>
      </c>
      <c r="N608" s="12">
        <v>6000.593643940254</v>
      </c>
      <c r="O608" s="70">
        <f>IF(Table1[[#This Row],[Overall amount]]=0,0,1)</f>
        <v>1</v>
      </c>
      <c r="P608" s="70">
        <f>Table1[[#This Row],[Overall amount]]*Exchange_Rate</f>
        <v>6000.593643940254</v>
      </c>
      <c r="Q608" s="70">
        <f>Table1[[#This Row],[Overall (destination currency)]]*(1+Claims_Inflation)^((Revalue_at_date-Table1[[#This Row],[Loss date]])/365.25)</f>
        <v>8845.5</v>
      </c>
      <c r="R608" s="70">
        <f>INT(Table1[[#This Row],[Reporting date]])-INT(Table1[[#This Row],[Loss date]])</f>
        <v>493</v>
      </c>
      <c r="S608" s="69" t="s">
        <v>9</v>
      </c>
      <c r="T608" s="70">
        <f>VLOOKUP(Table1[[#This Row],[Policy Year]],exposure_table,3,FALSE)</f>
        <v>547.7736362475523</v>
      </c>
      <c r="U608" s="17">
        <f>IF(MONTH(Table1[[#This Row],[Reporting date]])&lt;Policy_Inception_Month,YEAR(Table1[[#This Row],[Reporting date]])-1,YEAR(Table1[[#This Row],[Reporting date]]))</f>
        <v>2008</v>
      </c>
      <c r="V608" s="17">
        <f>Table1[[#This Row],[Reporting year]]-Table1[[#This Row],[Policy Year]]</f>
        <v>1</v>
      </c>
      <c r="W608" s="17">
        <f>INT(Table1[[#This Row],[Reporting date]])-INT(Table1[[#This Row],[Loss date]])</f>
        <v>493</v>
      </c>
      <c r="X608" s="17">
        <f>INT((YEAR(Table1[[#This Row],[Loss date]])*12+MONTH(Table1[[#This Row],[Loss date]])-Earliest_Month)/4)</f>
        <v>7</v>
      </c>
      <c r="Y608" s="17">
        <f>INT((YEAR(Table1[[#This Row],[Reporting date]])*12+MONTH(Table1[[#This Row],[Reporting date]])-Earliest_Month)/4)</f>
        <v>11</v>
      </c>
      <c r="Z608" s="17">
        <f>Table1[[#This Row],[Reporting third]]-Table1[[#This Row],[Policy third]]</f>
        <v>4</v>
      </c>
      <c r="AA608" s="71">
        <f>IF(Table1[[#This Row],[Overall amount]]=0,"N/A",Table1[[#This Row],[Outstanding]]/Table1[[#This Row],[Overall amount]])</f>
        <v>0</v>
      </c>
      <c r="AB608" s="17">
        <f>IF(MONTH(Table1[[#This Row],[Loss date]])&lt;Pol_Inc_Month_Shifted,YEAR(Table1[[#This Row],[Loss date]])-1,YEAR(Table1[[#This Row],[Loss date]]))</f>
        <v>2006</v>
      </c>
      <c r="AC608" s="17">
        <f>IF(MONTH(Table1[[#This Row],[Reporting date]])&lt;Pol_Inc_Month_Shifted,YEAR(Table1[[#This Row],[Reporting date]])-1,YEAR(Table1[[#This Row],[Reporting date]]))</f>
        <v>2008</v>
      </c>
      <c r="AD608" s="17">
        <f>Table1[[#This Row],[Reporting year (shifted)]]-Table1[[#This Row],[Policy Year (shifted)]]</f>
        <v>2</v>
      </c>
    </row>
    <row r="609" spans="1:30" ht="13.9">
      <c r="A609" s="8" t="s">
        <v>2379</v>
      </c>
      <c r="B609" s="8" t="s">
        <v>661</v>
      </c>
      <c r="C609" s="8" t="s">
        <v>123</v>
      </c>
      <c r="D609" s="9">
        <v>39839</v>
      </c>
      <c r="E609" s="9">
        <v>39868</v>
      </c>
      <c r="F609" s="17">
        <f>IF(MONTH(Table1[[#This Row],[Loss date]])&lt;Policy_Inception_Month,YEAR(Table1[[#This Row],[Loss date]])-1,YEAR(Table1[[#This Row],[Loss date]]))</f>
        <v>2008</v>
      </c>
      <c r="G609" s="10" t="s">
        <v>125</v>
      </c>
      <c r="H609" s="10" t="s">
        <v>2</v>
      </c>
      <c r="I609" s="11">
        <v>908.21643492658666</v>
      </c>
      <c r="J609" s="11">
        <v>0</v>
      </c>
      <c r="K609" s="11">
        <v>908.21643492658666</v>
      </c>
      <c r="L609" s="12">
        <v>0</v>
      </c>
      <c r="M609" s="12">
        <v>0</v>
      </c>
      <c r="N609" s="12">
        <v>908.21643492658666</v>
      </c>
      <c r="O609" s="70">
        <f>IF(Table1[[#This Row],[Overall amount]]=0,0,1)</f>
        <v>1</v>
      </c>
      <c r="P609" s="70">
        <f>Table1[[#This Row],[Overall amount]]*Exchange_Rate</f>
        <v>908.21643492658666</v>
      </c>
      <c r="Q609" s="70">
        <f>Table1[[#This Row],[Overall (destination currency)]]*(1+Claims_Inflation)^((Revalue_at_date-Table1[[#This Row],[Loss date]])/365.25)</f>
        <v>1258.0079999999998</v>
      </c>
      <c r="R609" s="70">
        <f>INT(Table1[[#This Row],[Reporting date]])-INT(Table1[[#This Row],[Loss date]])</f>
        <v>29</v>
      </c>
      <c r="S609" s="69" t="s">
        <v>9</v>
      </c>
      <c r="T609" s="70">
        <f>VLOOKUP(Table1[[#This Row],[Policy Year]],exposure_table,3,FALSE)</f>
        <v>601.98581780480015</v>
      </c>
      <c r="U609" s="17">
        <f>IF(MONTH(Table1[[#This Row],[Reporting date]])&lt;Policy_Inception_Month,YEAR(Table1[[#This Row],[Reporting date]])-1,YEAR(Table1[[#This Row],[Reporting date]]))</f>
        <v>2008</v>
      </c>
      <c r="V609" s="17">
        <f>Table1[[#This Row],[Reporting year]]-Table1[[#This Row],[Policy Year]]</f>
        <v>0</v>
      </c>
      <c r="W609" s="17">
        <f>INT(Table1[[#This Row],[Reporting date]])-INT(Table1[[#This Row],[Loss date]])</f>
        <v>29</v>
      </c>
      <c r="X609" s="17">
        <f>INT((YEAR(Table1[[#This Row],[Loss date]])*12+MONTH(Table1[[#This Row],[Loss date]])-Earliest_Month)/4)</f>
        <v>11</v>
      </c>
      <c r="Y609" s="17">
        <f>INT((YEAR(Table1[[#This Row],[Reporting date]])*12+MONTH(Table1[[#This Row],[Reporting date]])-Earliest_Month)/4)</f>
        <v>11</v>
      </c>
      <c r="Z609" s="17">
        <f>Table1[[#This Row],[Reporting third]]-Table1[[#This Row],[Policy third]]</f>
        <v>0</v>
      </c>
      <c r="AA609" s="71">
        <f>IF(Table1[[#This Row],[Overall amount]]=0,"N/A",Table1[[#This Row],[Outstanding]]/Table1[[#This Row],[Overall amount]])</f>
        <v>0</v>
      </c>
      <c r="AB609" s="17">
        <f>IF(MONTH(Table1[[#This Row],[Loss date]])&lt;Pol_Inc_Month_Shifted,YEAR(Table1[[#This Row],[Loss date]])-1,YEAR(Table1[[#This Row],[Loss date]]))</f>
        <v>2008</v>
      </c>
      <c r="AC609" s="17">
        <f>IF(MONTH(Table1[[#This Row],[Reporting date]])&lt;Pol_Inc_Month_Shifted,YEAR(Table1[[#This Row],[Reporting date]])-1,YEAR(Table1[[#This Row],[Reporting date]]))</f>
        <v>2008</v>
      </c>
      <c r="AD609" s="17">
        <f>Table1[[#This Row],[Reporting year (shifted)]]-Table1[[#This Row],[Policy Year (shifted)]]</f>
        <v>0</v>
      </c>
    </row>
    <row r="610" spans="1:30" ht="13.9">
      <c r="A610" s="8" t="s">
        <v>2380</v>
      </c>
      <c r="B610" s="8" t="s">
        <v>662</v>
      </c>
      <c r="C610" s="8" t="s">
        <v>123</v>
      </c>
      <c r="D610" s="9">
        <v>39948</v>
      </c>
      <c r="E610" s="9">
        <v>39957</v>
      </c>
      <c r="F610" s="17">
        <f>IF(MONTH(Table1[[#This Row],[Loss date]])&lt;Policy_Inception_Month,YEAR(Table1[[#This Row],[Loss date]])-1,YEAR(Table1[[#This Row],[Loss date]]))</f>
        <v>2009</v>
      </c>
      <c r="G610" s="10" t="s">
        <v>124</v>
      </c>
      <c r="H610" s="10" t="s">
        <v>2</v>
      </c>
      <c r="I610" s="11">
        <v>853.99128119792158</v>
      </c>
      <c r="J610" s="11">
        <v>0</v>
      </c>
      <c r="K610" s="11">
        <v>853.99128119792158</v>
      </c>
      <c r="L610" s="12">
        <v>0</v>
      </c>
      <c r="M610" s="12">
        <v>0</v>
      </c>
      <c r="N610" s="12">
        <v>853.99128119792158</v>
      </c>
      <c r="O610" s="70">
        <f>IF(Table1[[#This Row],[Overall amount]]=0,0,1)</f>
        <v>1</v>
      </c>
      <c r="P610" s="70">
        <f>Table1[[#This Row],[Overall amount]]*Exchange_Rate</f>
        <v>853.99128119792158</v>
      </c>
      <c r="Q610" s="70">
        <f>Table1[[#This Row],[Overall (destination currency)]]*(1+Claims_Inflation)^((Revalue_at_date-Table1[[#This Row],[Loss date]])/365.25)</f>
        <v>1165.8</v>
      </c>
      <c r="R610" s="70">
        <f>INT(Table1[[#This Row],[Reporting date]])-INT(Table1[[#This Row],[Loss date]])</f>
        <v>9</v>
      </c>
      <c r="S610" s="69" t="s">
        <v>9</v>
      </c>
      <c r="T610" s="70">
        <f>VLOOKUP(Table1[[#This Row],[Policy Year]],exposure_table,3,FALSE)</f>
        <v>760.22808576000011</v>
      </c>
      <c r="U610" s="17">
        <f>IF(MONTH(Table1[[#This Row],[Reporting date]])&lt;Policy_Inception_Month,YEAR(Table1[[#This Row],[Reporting date]])-1,YEAR(Table1[[#This Row],[Reporting date]]))</f>
        <v>2009</v>
      </c>
      <c r="V610" s="17">
        <f>Table1[[#This Row],[Reporting year]]-Table1[[#This Row],[Policy Year]]</f>
        <v>0</v>
      </c>
      <c r="W610" s="17">
        <f>INT(Table1[[#This Row],[Reporting date]])-INT(Table1[[#This Row],[Loss date]])</f>
        <v>9</v>
      </c>
      <c r="X610" s="17">
        <f>INT((YEAR(Table1[[#This Row],[Loss date]])*12+MONTH(Table1[[#This Row],[Loss date]])-Earliest_Month)/4)</f>
        <v>12</v>
      </c>
      <c r="Y610" s="17">
        <f>INT((YEAR(Table1[[#This Row],[Reporting date]])*12+MONTH(Table1[[#This Row],[Reporting date]])-Earliest_Month)/4)</f>
        <v>12</v>
      </c>
      <c r="Z610" s="17">
        <f>Table1[[#This Row],[Reporting third]]-Table1[[#This Row],[Policy third]]</f>
        <v>0</v>
      </c>
      <c r="AA610" s="71">
        <f>IF(Table1[[#This Row],[Overall amount]]=0,"N/A",Table1[[#This Row],[Outstanding]]/Table1[[#This Row],[Overall amount]])</f>
        <v>0</v>
      </c>
      <c r="AB610" s="17">
        <f>IF(MONTH(Table1[[#This Row],[Loss date]])&lt;Pol_Inc_Month_Shifted,YEAR(Table1[[#This Row],[Loss date]])-1,YEAR(Table1[[#This Row],[Loss date]]))</f>
        <v>2008</v>
      </c>
      <c r="AC610" s="17">
        <f>IF(MONTH(Table1[[#This Row],[Reporting date]])&lt;Pol_Inc_Month_Shifted,YEAR(Table1[[#This Row],[Reporting date]])-1,YEAR(Table1[[#This Row],[Reporting date]]))</f>
        <v>2008</v>
      </c>
      <c r="AD610" s="17">
        <f>Table1[[#This Row],[Reporting year (shifted)]]-Table1[[#This Row],[Policy Year (shifted)]]</f>
        <v>0</v>
      </c>
    </row>
    <row r="611" spans="1:30" ht="13.9">
      <c r="A611" s="8" t="s">
        <v>2381</v>
      </c>
      <c r="B611" s="8" t="s">
        <v>663</v>
      </c>
      <c r="C611" s="8" t="s">
        <v>123</v>
      </c>
      <c r="D611" s="9">
        <v>39869</v>
      </c>
      <c r="E611" s="9">
        <v>40039</v>
      </c>
      <c r="F611" s="17">
        <f>IF(MONTH(Table1[[#This Row],[Loss date]])&lt;Policy_Inception_Month,YEAR(Table1[[#This Row],[Loss date]])-1,YEAR(Table1[[#This Row],[Loss date]]))</f>
        <v>2008</v>
      </c>
      <c r="G611" s="10" t="s">
        <v>125</v>
      </c>
      <c r="H611" s="10" t="s">
        <v>2</v>
      </c>
      <c r="I611" s="11">
        <v>2871.4814039251773</v>
      </c>
      <c r="J611" s="11">
        <v>0</v>
      </c>
      <c r="K611" s="11">
        <v>2871.4814039251773</v>
      </c>
      <c r="L611" s="12">
        <v>0</v>
      </c>
      <c r="M611" s="12">
        <v>0</v>
      </c>
      <c r="N611" s="12">
        <v>2871.4814039251773</v>
      </c>
      <c r="O611" s="70">
        <f>IF(Table1[[#This Row],[Overall amount]]=0,0,1)</f>
        <v>1</v>
      </c>
      <c r="P611" s="70">
        <f>Table1[[#This Row],[Overall amount]]*Exchange_Rate</f>
        <v>2871.4814039251773</v>
      </c>
      <c r="Q611" s="70">
        <f>Table1[[#This Row],[Overall (destination currency)]]*(1+Claims_Inflation)^((Revalue_at_date-Table1[[#This Row],[Loss date]])/365.25)</f>
        <v>3961.5000000000005</v>
      </c>
      <c r="R611" s="70">
        <f>INT(Table1[[#This Row],[Reporting date]])-INT(Table1[[#This Row],[Loss date]])</f>
        <v>170</v>
      </c>
      <c r="S611" s="69" t="s">
        <v>9</v>
      </c>
      <c r="T611" s="70">
        <f>VLOOKUP(Table1[[#This Row],[Policy Year]],exposure_table,3,FALSE)</f>
        <v>601.98581780480015</v>
      </c>
      <c r="U611" s="17">
        <f>IF(MONTH(Table1[[#This Row],[Reporting date]])&lt;Policy_Inception_Month,YEAR(Table1[[#This Row],[Reporting date]])-1,YEAR(Table1[[#This Row],[Reporting date]]))</f>
        <v>2009</v>
      </c>
      <c r="V611" s="17">
        <f>Table1[[#This Row],[Reporting year]]-Table1[[#This Row],[Policy Year]]</f>
        <v>1</v>
      </c>
      <c r="W611" s="17">
        <f>INT(Table1[[#This Row],[Reporting date]])-INT(Table1[[#This Row],[Loss date]])</f>
        <v>170</v>
      </c>
      <c r="X611" s="17">
        <f>INT((YEAR(Table1[[#This Row],[Loss date]])*12+MONTH(Table1[[#This Row],[Loss date]])-Earliest_Month)/4)</f>
        <v>11</v>
      </c>
      <c r="Y611" s="17">
        <f>INT((YEAR(Table1[[#This Row],[Reporting date]])*12+MONTH(Table1[[#This Row],[Reporting date]])-Earliest_Month)/4)</f>
        <v>13</v>
      </c>
      <c r="Z611" s="17">
        <f>Table1[[#This Row],[Reporting third]]-Table1[[#This Row],[Policy third]]</f>
        <v>2</v>
      </c>
      <c r="AA611" s="71">
        <f>IF(Table1[[#This Row],[Overall amount]]=0,"N/A",Table1[[#This Row],[Outstanding]]/Table1[[#This Row],[Overall amount]])</f>
        <v>0</v>
      </c>
      <c r="AB611" s="17">
        <f>IF(MONTH(Table1[[#This Row],[Loss date]])&lt;Pol_Inc_Month_Shifted,YEAR(Table1[[#This Row],[Loss date]])-1,YEAR(Table1[[#This Row],[Loss date]]))</f>
        <v>2008</v>
      </c>
      <c r="AC611" s="17">
        <f>IF(MONTH(Table1[[#This Row],[Reporting date]])&lt;Pol_Inc_Month_Shifted,YEAR(Table1[[#This Row],[Reporting date]])-1,YEAR(Table1[[#This Row],[Reporting date]]))</f>
        <v>2008</v>
      </c>
      <c r="AD611" s="17">
        <f>Table1[[#This Row],[Reporting year (shifted)]]-Table1[[#This Row],[Policy Year (shifted)]]</f>
        <v>0</v>
      </c>
    </row>
    <row r="612" spans="1:30" ht="13.9">
      <c r="A612" s="8" t="s">
        <v>2382</v>
      </c>
      <c r="B612" s="8" t="s">
        <v>664</v>
      </c>
      <c r="C612" s="8" t="s">
        <v>123</v>
      </c>
      <c r="D612" s="9">
        <v>38981</v>
      </c>
      <c r="E612" s="9">
        <v>40062</v>
      </c>
      <c r="F612" s="17">
        <f>IF(MONTH(Table1[[#This Row],[Loss date]])&lt;Policy_Inception_Month,YEAR(Table1[[#This Row],[Loss date]])-1,YEAR(Table1[[#This Row],[Loss date]]))</f>
        <v>2006</v>
      </c>
      <c r="G612" s="10" t="s">
        <v>125</v>
      </c>
      <c r="H612" s="10" t="s">
        <v>2</v>
      </c>
      <c r="I612" s="11">
        <v>766.08877943712298</v>
      </c>
      <c r="J612" s="11">
        <v>0</v>
      </c>
      <c r="K612" s="11">
        <v>766.08877943712298</v>
      </c>
      <c r="L612" s="12">
        <v>0</v>
      </c>
      <c r="M612" s="12">
        <v>0</v>
      </c>
      <c r="N612" s="12">
        <v>766.08877943712298</v>
      </c>
      <c r="O612" s="70">
        <f>IF(Table1[[#This Row],[Overall amount]]=0,0,1)</f>
        <v>1</v>
      </c>
      <c r="P612" s="70">
        <f>Table1[[#This Row],[Overall amount]]*Exchange_Rate</f>
        <v>766.08877943712298</v>
      </c>
      <c r="Q612" s="70">
        <f>Table1[[#This Row],[Overall (destination currency)]]*(1+Claims_Inflation)^((Revalue_at_date-Table1[[#This Row],[Loss date]])/365.25)</f>
        <v>1190.0039999999999</v>
      </c>
      <c r="R612" s="70">
        <f>INT(Table1[[#This Row],[Reporting date]])-INT(Table1[[#This Row],[Loss date]])</f>
        <v>1081</v>
      </c>
      <c r="S612" s="69" t="s">
        <v>9</v>
      </c>
      <c r="T612" s="70">
        <f>VLOOKUP(Table1[[#This Row],[Policy Year]],exposure_table,3,FALSE)</f>
        <v>483.32023209000977</v>
      </c>
      <c r="U612" s="17">
        <f>IF(MONTH(Table1[[#This Row],[Reporting date]])&lt;Policy_Inception_Month,YEAR(Table1[[#This Row],[Reporting date]])-1,YEAR(Table1[[#This Row],[Reporting date]]))</f>
        <v>2009</v>
      </c>
      <c r="V612" s="17">
        <f>Table1[[#This Row],[Reporting year]]-Table1[[#This Row],[Policy Year]]</f>
        <v>3</v>
      </c>
      <c r="W612" s="17">
        <f>INT(Table1[[#This Row],[Reporting date]])-INT(Table1[[#This Row],[Loss date]])</f>
        <v>1081</v>
      </c>
      <c r="X612" s="17">
        <f>INT((YEAR(Table1[[#This Row],[Loss date]])*12+MONTH(Table1[[#This Row],[Loss date]])-Earliest_Month)/4)</f>
        <v>4</v>
      </c>
      <c r="Y612" s="17">
        <f>INT((YEAR(Table1[[#This Row],[Reporting date]])*12+MONTH(Table1[[#This Row],[Reporting date]])-Earliest_Month)/4)</f>
        <v>13</v>
      </c>
      <c r="Z612" s="17">
        <f>Table1[[#This Row],[Reporting third]]-Table1[[#This Row],[Policy third]]</f>
        <v>9</v>
      </c>
      <c r="AA612" s="71">
        <f>IF(Table1[[#This Row],[Overall amount]]=0,"N/A",Table1[[#This Row],[Outstanding]]/Table1[[#This Row],[Overall amount]])</f>
        <v>0</v>
      </c>
      <c r="AB612" s="17">
        <f>IF(MONTH(Table1[[#This Row],[Loss date]])&lt;Pol_Inc_Month_Shifted,YEAR(Table1[[#This Row],[Loss date]])-1,YEAR(Table1[[#This Row],[Loss date]]))</f>
        <v>2005</v>
      </c>
      <c r="AC612" s="17">
        <f>IF(MONTH(Table1[[#This Row],[Reporting date]])&lt;Pol_Inc_Month_Shifted,YEAR(Table1[[#This Row],[Reporting date]])-1,YEAR(Table1[[#This Row],[Reporting date]]))</f>
        <v>2008</v>
      </c>
      <c r="AD612" s="17">
        <f>Table1[[#This Row],[Reporting year (shifted)]]-Table1[[#This Row],[Policy Year (shifted)]]</f>
        <v>3</v>
      </c>
    </row>
    <row r="613" spans="1:30" ht="13.9">
      <c r="A613" s="8" t="s">
        <v>2383</v>
      </c>
      <c r="B613" s="8" t="s">
        <v>665</v>
      </c>
      <c r="C613" s="8" t="s">
        <v>123</v>
      </c>
      <c r="D613" s="9">
        <v>39383</v>
      </c>
      <c r="E613" s="9">
        <v>40088</v>
      </c>
      <c r="F613" s="17">
        <f>IF(MONTH(Table1[[#This Row],[Loss date]])&lt;Policy_Inception_Month,YEAR(Table1[[#This Row],[Loss date]])-1,YEAR(Table1[[#This Row],[Loss date]]))</f>
        <v>2007</v>
      </c>
      <c r="G613" s="10" t="s">
        <v>125</v>
      </c>
      <c r="H613" s="10" t="s">
        <v>2</v>
      </c>
      <c r="I613" s="11">
        <v>1004.6623706711056</v>
      </c>
      <c r="J613" s="11">
        <v>0</v>
      </c>
      <c r="K613" s="11">
        <v>1004.6623706711056</v>
      </c>
      <c r="L613" s="12">
        <v>0</v>
      </c>
      <c r="M613" s="12">
        <v>0</v>
      </c>
      <c r="N613" s="12">
        <v>1004.6623706711056</v>
      </c>
      <c r="O613" s="70">
        <f>IF(Table1[[#This Row],[Overall amount]]=0,0,1)</f>
        <v>1</v>
      </c>
      <c r="P613" s="70">
        <f>Table1[[#This Row],[Overall amount]]*Exchange_Rate</f>
        <v>1004.6623706711056</v>
      </c>
      <c r="Q613" s="70">
        <f>Table1[[#This Row],[Overall (destination currency)]]*(1+Claims_Inflation)^((Revalue_at_date-Table1[[#This Row],[Loss date]])/365.25)</f>
        <v>1479.0000000000002</v>
      </c>
      <c r="R613" s="70">
        <f>INT(Table1[[#This Row],[Reporting date]])-INT(Table1[[#This Row],[Loss date]])</f>
        <v>705</v>
      </c>
      <c r="S613" s="69" t="s">
        <v>9</v>
      </c>
      <c r="T613" s="70">
        <f>VLOOKUP(Table1[[#This Row],[Policy Year]],exposure_table,3,FALSE)</f>
        <v>547.7736362475523</v>
      </c>
      <c r="U613" s="17">
        <f>IF(MONTH(Table1[[#This Row],[Reporting date]])&lt;Policy_Inception_Month,YEAR(Table1[[#This Row],[Reporting date]])-1,YEAR(Table1[[#This Row],[Reporting date]]))</f>
        <v>2009</v>
      </c>
      <c r="V613" s="17">
        <f>Table1[[#This Row],[Reporting year]]-Table1[[#This Row],[Policy Year]]</f>
        <v>2</v>
      </c>
      <c r="W613" s="17">
        <f>INT(Table1[[#This Row],[Reporting date]])-INT(Table1[[#This Row],[Loss date]])</f>
        <v>705</v>
      </c>
      <c r="X613" s="17">
        <f>INT((YEAR(Table1[[#This Row],[Loss date]])*12+MONTH(Table1[[#This Row],[Loss date]])-Earliest_Month)/4)</f>
        <v>7</v>
      </c>
      <c r="Y613" s="17">
        <f>INT((YEAR(Table1[[#This Row],[Reporting date]])*12+MONTH(Table1[[#This Row],[Reporting date]])-Earliest_Month)/4)</f>
        <v>13</v>
      </c>
      <c r="Z613" s="17">
        <f>Table1[[#This Row],[Reporting third]]-Table1[[#This Row],[Policy third]]</f>
        <v>6</v>
      </c>
      <c r="AA613" s="71">
        <f>IF(Table1[[#This Row],[Overall amount]]=0,"N/A",Table1[[#This Row],[Outstanding]]/Table1[[#This Row],[Overall amount]])</f>
        <v>0</v>
      </c>
      <c r="AB613" s="17">
        <f>IF(MONTH(Table1[[#This Row],[Loss date]])&lt;Pol_Inc_Month_Shifted,YEAR(Table1[[#This Row],[Loss date]])-1,YEAR(Table1[[#This Row],[Loss date]]))</f>
        <v>2006</v>
      </c>
      <c r="AC613" s="17">
        <f>IF(MONTH(Table1[[#This Row],[Reporting date]])&lt;Pol_Inc_Month_Shifted,YEAR(Table1[[#This Row],[Reporting date]])-1,YEAR(Table1[[#This Row],[Reporting date]]))</f>
        <v>2008</v>
      </c>
      <c r="AD613" s="17">
        <f>Table1[[#This Row],[Reporting year (shifted)]]-Table1[[#This Row],[Policy Year (shifted)]]</f>
        <v>2</v>
      </c>
    </row>
    <row r="614" spans="1:30" ht="13.9">
      <c r="A614" s="8" t="s">
        <v>2384</v>
      </c>
      <c r="B614" s="8" t="s">
        <v>666</v>
      </c>
      <c r="C614" s="8" t="s">
        <v>123</v>
      </c>
      <c r="D614" s="9">
        <v>39409</v>
      </c>
      <c r="E614" s="9">
        <v>40126</v>
      </c>
      <c r="F614" s="17">
        <f>IF(MONTH(Table1[[#This Row],[Loss date]])&lt;Policy_Inception_Month,YEAR(Table1[[#This Row],[Loss date]])-1,YEAR(Table1[[#This Row],[Loss date]]))</f>
        <v>2007</v>
      </c>
      <c r="G614" s="10" t="s">
        <v>125</v>
      </c>
      <c r="H614" s="10" t="s">
        <v>2</v>
      </c>
      <c r="I614" s="11">
        <v>1378.971618806843</v>
      </c>
      <c r="J614" s="11">
        <v>0</v>
      </c>
      <c r="K614" s="11">
        <v>1378.971618806843</v>
      </c>
      <c r="L614" s="12">
        <v>0</v>
      </c>
      <c r="M614" s="12">
        <v>0</v>
      </c>
      <c r="N614" s="12">
        <v>1378.971618806843</v>
      </c>
      <c r="O614" s="70">
        <f>IF(Table1[[#This Row],[Overall amount]]=0,0,1)</f>
        <v>1</v>
      </c>
      <c r="P614" s="70">
        <f>Table1[[#This Row],[Overall amount]]*Exchange_Rate</f>
        <v>1378.971618806843</v>
      </c>
      <c r="Q614" s="70">
        <f>Table1[[#This Row],[Overall (destination currency)]]*(1+Claims_Inflation)^((Revalue_at_date-Table1[[#This Row],[Loss date]])/365.25)</f>
        <v>2022.9959999999999</v>
      </c>
      <c r="R614" s="70">
        <f>INT(Table1[[#This Row],[Reporting date]])-INT(Table1[[#This Row],[Loss date]])</f>
        <v>717</v>
      </c>
      <c r="S614" s="69" t="s">
        <v>9</v>
      </c>
      <c r="T614" s="70">
        <f>VLOOKUP(Table1[[#This Row],[Policy Year]],exposure_table,3,FALSE)</f>
        <v>547.7736362475523</v>
      </c>
      <c r="U614" s="17">
        <f>IF(MONTH(Table1[[#This Row],[Reporting date]])&lt;Policy_Inception_Month,YEAR(Table1[[#This Row],[Reporting date]])-1,YEAR(Table1[[#This Row],[Reporting date]]))</f>
        <v>2009</v>
      </c>
      <c r="V614" s="17">
        <f>Table1[[#This Row],[Reporting year]]-Table1[[#This Row],[Policy Year]]</f>
        <v>2</v>
      </c>
      <c r="W614" s="17">
        <f>INT(Table1[[#This Row],[Reporting date]])-INT(Table1[[#This Row],[Loss date]])</f>
        <v>717</v>
      </c>
      <c r="X614" s="17">
        <f>INT((YEAR(Table1[[#This Row],[Loss date]])*12+MONTH(Table1[[#This Row],[Loss date]])-Earliest_Month)/4)</f>
        <v>7</v>
      </c>
      <c r="Y614" s="17">
        <f>INT((YEAR(Table1[[#This Row],[Reporting date]])*12+MONTH(Table1[[#This Row],[Reporting date]])-Earliest_Month)/4)</f>
        <v>13</v>
      </c>
      <c r="Z614" s="17">
        <f>Table1[[#This Row],[Reporting third]]-Table1[[#This Row],[Policy third]]</f>
        <v>6</v>
      </c>
      <c r="AA614" s="71">
        <f>IF(Table1[[#This Row],[Overall amount]]=0,"N/A",Table1[[#This Row],[Outstanding]]/Table1[[#This Row],[Overall amount]])</f>
        <v>0</v>
      </c>
      <c r="AB614" s="17">
        <f>IF(MONTH(Table1[[#This Row],[Loss date]])&lt;Pol_Inc_Month_Shifted,YEAR(Table1[[#This Row],[Loss date]])-1,YEAR(Table1[[#This Row],[Loss date]]))</f>
        <v>2006</v>
      </c>
      <c r="AC614" s="17">
        <f>IF(MONTH(Table1[[#This Row],[Reporting date]])&lt;Pol_Inc_Month_Shifted,YEAR(Table1[[#This Row],[Reporting date]])-1,YEAR(Table1[[#This Row],[Reporting date]]))</f>
        <v>2008</v>
      </c>
      <c r="AD614" s="17">
        <f>Table1[[#This Row],[Reporting year (shifted)]]-Table1[[#This Row],[Policy Year (shifted)]]</f>
        <v>2</v>
      </c>
    </row>
    <row r="615" spans="1:30" ht="13.9">
      <c r="A615" s="8" t="s">
        <v>2385</v>
      </c>
      <c r="B615" s="8" t="s">
        <v>667</v>
      </c>
      <c r="C615" s="8" t="s">
        <v>123</v>
      </c>
      <c r="D615" s="9">
        <v>40084</v>
      </c>
      <c r="E615" s="9">
        <v>40188</v>
      </c>
      <c r="F615" s="17">
        <f>IF(MONTH(Table1[[#This Row],[Loss date]])&lt;Policy_Inception_Month,YEAR(Table1[[#This Row],[Loss date]])-1,YEAR(Table1[[#This Row],[Loss date]]))</f>
        <v>2009</v>
      </c>
      <c r="G615" s="10" t="s">
        <v>125</v>
      </c>
      <c r="H615" s="10" t="s">
        <v>2</v>
      </c>
      <c r="I615" s="11">
        <v>5649.7006353415481</v>
      </c>
      <c r="J615" s="11">
        <v>0</v>
      </c>
      <c r="K615" s="11">
        <v>5649.7006353415481</v>
      </c>
      <c r="L615" s="12">
        <v>0</v>
      </c>
      <c r="M615" s="12">
        <v>0</v>
      </c>
      <c r="N615" s="12">
        <v>5649.7006353415481</v>
      </c>
      <c r="O615" s="70">
        <f>IF(Table1[[#This Row],[Overall amount]]=0,0,1)</f>
        <v>1</v>
      </c>
      <c r="P615" s="70">
        <f>Table1[[#This Row],[Overall amount]]*Exchange_Rate</f>
        <v>5649.7006353415481</v>
      </c>
      <c r="Q615" s="70">
        <f>Table1[[#This Row],[Overall (destination currency)]]*(1+Claims_Inflation)^((Revalue_at_date-Table1[[#This Row],[Loss date]])/365.25)</f>
        <v>7573.6679999999997</v>
      </c>
      <c r="R615" s="70">
        <f>INT(Table1[[#This Row],[Reporting date]])-INT(Table1[[#This Row],[Loss date]])</f>
        <v>104</v>
      </c>
      <c r="S615" s="69" t="s">
        <v>9</v>
      </c>
      <c r="T615" s="70">
        <f>VLOOKUP(Table1[[#This Row],[Policy Year]],exposure_table,3,FALSE)</f>
        <v>760.22808576000011</v>
      </c>
      <c r="U615" s="17">
        <f>IF(MONTH(Table1[[#This Row],[Reporting date]])&lt;Policy_Inception_Month,YEAR(Table1[[#This Row],[Reporting date]])-1,YEAR(Table1[[#This Row],[Reporting date]]))</f>
        <v>2009</v>
      </c>
      <c r="V615" s="17">
        <f>Table1[[#This Row],[Reporting year]]-Table1[[#This Row],[Policy Year]]</f>
        <v>0</v>
      </c>
      <c r="W615" s="17">
        <f>INT(Table1[[#This Row],[Reporting date]])-INT(Table1[[#This Row],[Loss date]])</f>
        <v>104</v>
      </c>
      <c r="X615" s="17">
        <f>INT((YEAR(Table1[[#This Row],[Loss date]])*12+MONTH(Table1[[#This Row],[Loss date]])-Earliest_Month)/4)</f>
        <v>13</v>
      </c>
      <c r="Y615" s="17">
        <f>INT((YEAR(Table1[[#This Row],[Reporting date]])*12+MONTH(Table1[[#This Row],[Reporting date]])-Earliest_Month)/4)</f>
        <v>14</v>
      </c>
      <c r="Z615" s="17">
        <f>Table1[[#This Row],[Reporting third]]-Table1[[#This Row],[Policy third]]</f>
        <v>1</v>
      </c>
      <c r="AA615" s="71">
        <f>IF(Table1[[#This Row],[Overall amount]]=0,"N/A",Table1[[#This Row],[Outstanding]]/Table1[[#This Row],[Overall amount]])</f>
        <v>0</v>
      </c>
      <c r="AB615" s="17">
        <f>IF(MONTH(Table1[[#This Row],[Loss date]])&lt;Pol_Inc_Month_Shifted,YEAR(Table1[[#This Row],[Loss date]])-1,YEAR(Table1[[#This Row],[Loss date]]))</f>
        <v>2008</v>
      </c>
      <c r="AC615" s="17">
        <f>IF(MONTH(Table1[[#This Row],[Reporting date]])&lt;Pol_Inc_Month_Shifted,YEAR(Table1[[#This Row],[Reporting date]])-1,YEAR(Table1[[#This Row],[Reporting date]]))</f>
        <v>2009</v>
      </c>
      <c r="AD615" s="17">
        <f>Table1[[#This Row],[Reporting year (shifted)]]-Table1[[#This Row],[Policy Year (shifted)]]</f>
        <v>1</v>
      </c>
    </row>
    <row r="616" spans="1:30" ht="13.9">
      <c r="A616" s="8" t="s">
        <v>2386</v>
      </c>
      <c r="B616" s="8" t="s">
        <v>668</v>
      </c>
      <c r="C616" s="8" t="s">
        <v>123</v>
      </c>
      <c r="D616" s="9">
        <v>39577</v>
      </c>
      <c r="E616" s="9">
        <v>40231</v>
      </c>
      <c r="F616" s="17">
        <f>IF(MONTH(Table1[[#This Row],[Loss date]])&lt;Policy_Inception_Month,YEAR(Table1[[#This Row],[Loss date]])-1,YEAR(Table1[[#This Row],[Loss date]]))</f>
        <v>2008</v>
      </c>
      <c r="G616" s="10" t="s">
        <v>125</v>
      </c>
      <c r="H616" s="10" t="s">
        <v>2</v>
      </c>
      <c r="I616" s="11">
        <v>734.768311963683</v>
      </c>
      <c r="J616" s="11">
        <v>0</v>
      </c>
      <c r="K616" s="11">
        <v>734.768311963683</v>
      </c>
      <c r="L616" s="12">
        <v>0</v>
      </c>
      <c r="M616" s="12">
        <v>0</v>
      </c>
      <c r="N616" s="12">
        <v>734.768311963683</v>
      </c>
      <c r="O616" s="70">
        <f>IF(Table1[[#This Row],[Overall amount]]=0,0,1)</f>
        <v>1</v>
      </c>
      <c r="P616" s="70">
        <f>Table1[[#This Row],[Overall amount]]*Exchange_Rate</f>
        <v>734.768311963683</v>
      </c>
      <c r="Q616" s="70">
        <f>Table1[[#This Row],[Overall (destination currency)]]*(1+Claims_Inflation)^((Revalue_at_date-Table1[[#This Row],[Loss date]])/365.25)</f>
        <v>1054.008</v>
      </c>
      <c r="R616" s="70">
        <f>INT(Table1[[#This Row],[Reporting date]])-INT(Table1[[#This Row],[Loss date]])</f>
        <v>654</v>
      </c>
      <c r="S616" s="69" t="s">
        <v>9</v>
      </c>
      <c r="T616" s="70">
        <f>VLOOKUP(Table1[[#This Row],[Policy Year]],exposure_table,3,FALSE)</f>
        <v>601.98581780480015</v>
      </c>
      <c r="U616" s="17">
        <f>IF(MONTH(Table1[[#This Row],[Reporting date]])&lt;Policy_Inception_Month,YEAR(Table1[[#This Row],[Reporting date]])-1,YEAR(Table1[[#This Row],[Reporting date]]))</f>
        <v>2009</v>
      </c>
      <c r="V616" s="17">
        <f>Table1[[#This Row],[Reporting year]]-Table1[[#This Row],[Policy Year]]</f>
        <v>1</v>
      </c>
      <c r="W616" s="17">
        <f>INT(Table1[[#This Row],[Reporting date]])-INT(Table1[[#This Row],[Loss date]])</f>
        <v>654</v>
      </c>
      <c r="X616" s="17">
        <f>INT((YEAR(Table1[[#This Row],[Loss date]])*12+MONTH(Table1[[#This Row],[Loss date]])-Earliest_Month)/4)</f>
        <v>9</v>
      </c>
      <c r="Y616" s="17">
        <f>INT((YEAR(Table1[[#This Row],[Reporting date]])*12+MONTH(Table1[[#This Row],[Reporting date]])-Earliest_Month)/4)</f>
        <v>14</v>
      </c>
      <c r="Z616" s="17">
        <f>Table1[[#This Row],[Reporting third]]-Table1[[#This Row],[Policy third]]</f>
        <v>5</v>
      </c>
      <c r="AA616" s="71">
        <f>IF(Table1[[#This Row],[Overall amount]]=0,"N/A",Table1[[#This Row],[Outstanding]]/Table1[[#This Row],[Overall amount]])</f>
        <v>0</v>
      </c>
      <c r="AB616" s="17">
        <f>IF(MONTH(Table1[[#This Row],[Loss date]])&lt;Pol_Inc_Month_Shifted,YEAR(Table1[[#This Row],[Loss date]])-1,YEAR(Table1[[#This Row],[Loss date]]))</f>
        <v>2007</v>
      </c>
      <c r="AC616" s="17">
        <f>IF(MONTH(Table1[[#This Row],[Reporting date]])&lt;Pol_Inc_Month_Shifted,YEAR(Table1[[#This Row],[Reporting date]])-1,YEAR(Table1[[#This Row],[Reporting date]]))</f>
        <v>2009</v>
      </c>
      <c r="AD616" s="17">
        <f>Table1[[#This Row],[Reporting year (shifted)]]-Table1[[#This Row],[Policy Year (shifted)]]</f>
        <v>2</v>
      </c>
    </row>
    <row r="617" spans="1:30" ht="13.9">
      <c r="A617" s="8" t="s">
        <v>2387</v>
      </c>
      <c r="B617" s="8" t="s">
        <v>669</v>
      </c>
      <c r="C617" s="8" t="s">
        <v>123</v>
      </c>
      <c r="D617" s="9">
        <v>40261</v>
      </c>
      <c r="E617" s="9">
        <v>40273</v>
      </c>
      <c r="F617" s="17">
        <f>IF(MONTH(Table1[[#This Row],[Loss date]])&lt;Policy_Inception_Month,YEAR(Table1[[#This Row],[Loss date]])-1,YEAR(Table1[[#This Row],[Loss date]]))</f>
        <v>2009</v>
      </c>
      <c r="G617" s="10" t="s">
        <v>125</v>
      </c>
      <c r="H617" s="10" t="s">
        <v>2</v>
      </c>
      <c r="I617" s="11">
        <v>704.38908271579555</v>
      </c>
      <c r="J617" s="11">
        <v>0</v>
      </c>
      <c r="K617" s="11">
        <v>704.38908271579555</v>
      </c>
      <c r="L617" s="12">
        <v>0</v>
      </c>
      <c r="M617" s="12">
        <v>0</v>
      </c>
      <c r="N617" s="12">
        <v>704.38908271579555</v>
      </c>
      <c r="O617" s="70">
        <f>IF(Table1[[#This Row],[Overall amount]]=0,0,1)</f>
        <v>1</v>
      </c>
      <c r="P617" s="70">
        <f>Table1[[#This Row],[Overall amount]]*Exchange_Rate</f>
        <v>704.38908271579555</v>
      </c>
      <c r="Q617" s="70">
        <f>Table1[[#This Row],[Overall (destination currency)]]*(1+Claims_Inflation)^((Revalue_at_date-Table1[[#This Row],[Loss date]])/365.25)</f>
        <v>922.2</v>
      </c>
      <c r="R617" s="70">
        <f>INT(Table1[[#This Row],[Reporting date]])-INT(Table1[[#This Row],[Loss date]])</f>
        <v>12</v>
      </c>
      <c r="S617" s="69" t="s">
        <v>9</v>
      </c>
      <c r="T617" s="70">
        <f>VLOOKUP(Table1[[#This Row],[Policy Year]],exposure_table,3,FALSE)</f>
        <v>760.22808576000011</v>
      </c>
      <c r="U617" s="17">
        <f>IF(MONTH(Table1[[#This Row],[Reporting date]])&lt;Policy_Inception_Month,YEAR(Table1[[#This Row],[Reporting date]])-1,YEAR(Table1[[#This Row],[Reporting date]]))</f>
        <v>2010</v>
      </c>
      <c r="V617" s="17">
        <f>Table1[[#This Row],[Reporting year]]-Table1[[#This Row],[Policy Year]]</f>
        <v>1</v>
      </c>
      <c r="W617" s="17">
        <f>INT(Table1[[#This Row],[Reporting date]])-INT(Table1[[#This Row],[Loss date]])</f>
        <v>12</v>
      </c>
      <c r="X617" s="17">
        <f>INT((YEAR(Table1[[#This Row],[Loss date]])*12+MONTH(Table1[[#This Row],[Loss date]])-Earliest_Month)/4)</f>
        <v>14</v>
      </c>
      <c r="Y617" s="17">
        <f>INT((YEAR(Table1[[#This Row],[Reporting date]])*12+MONTH(Table1[[#This Row],[Reporting date]])-Earliest_Month)/4)</f>
        <v>15</v>
      </c>
      <c r="Z617" s="17">
        <f>Table1[[#This Row],[Reporting third]]-Table1[[#This Row],[Policy third]]</f>
        <v>1</v>
      </c>
      <c r="AA617" s="71">
        <f>IF(Table1[[#This Row],[Overall amount]]=0,"N/A",Table1[[#This Row],[Outstanding]]/Table1[[#This Row],[Overall amount]])</f>
        <v>0</v>
      </c>
      <c r="AB617" s="17">
        <f>IF(MONTH(Table1[[#This Row],[Loss date]])&lt;Pol_Inc_Month_Shifted,YEAR(Table1[[#This Row],[Loss date]])-1,YEAR(Table1[[#This Row],[Loss date]]))</f>
        <v>2009</v>
      </c>
      <c r="AC617" s="17">
        <f>IF(MONTH(Table1[[#This Row],[Reporting date]])&lt;Pol_Inc_Month_Shifted,YEAR(Table1[[#This Row],[Reporting date]])-1,YEAR(Table1[[#This Row],[Reporting date]]))</f>
        <v>2009</v>
      </c>
      <c r="AD617" s="17">
        <f>Table1[[#This Row],[Reporting year (shifted)]]-Table1[[#This Row],[Policy Year (shifted)]]</f>
        <v>0</v>
      </c>
    </row>
    <row r="618" spans="1:30" ht="13.9">
      <c r="A618" s="8" t="s">
        <v>2388</v>
      </c>
      <c r="B618" s="8" t="s">
        <v>670</v>
      </c>
      <c r="C618" s="8" t="s">
        <v>123</v>
      </c>
      <c r="D618" s="9">
        <v>40272</v>
      </c>
      <c r="E618" s="9">
        <v>40293</v>
      </c>
      <c r="F618" s="17">
        <f>IF(MONTH(Table1[[#This Row],[Loss date]])&lt;Policy_Inception_Month,YEAR(Table1[[#This Row],[Loss date]])-1,YEAR(Table1[[#This Row],[Loss date]]))</f>
        <v>2010</v>
      </c>
      <c r="G618" s="10" t="s">
        <v>125</v>
      </c>
      <c r="H618" s="10" t="s">
        <v>2</v>
      </c>
      <c r="I618" s="11">
        <v>692.11495718086303</v>
      </c>
      <c r="J618" s="11">
        <v>0</v>
      </c>
      <c r="K618" s="11">
        <v>692.11495718086303</v>
      </c>
      <c r="L618" s="12">
        <v>0</v>
      </c>
      <c r="M618" s="12">
        <v>0</v>
      </c>
      <c r="N618" s="12">
        <v>692.11495718086303</v>
      </c>
      <c r="O618" s="70">
        <f>IF(Table1[[#This Row],[Overall amount]]=0,0,1)</f>
        <v>1</v>
      </c>
      <c r="P618" s="70">
        <f>Table1[[#This Row],[Overall amount]]*Exchange_Rate</f>
        <v>692.11495718086303</v>
      </c>
      <c r="Q618" s="70">
        <f>Table1[[#This Row],[Overall (destination currency)]]*(1+Claims_Inflation)^((Revalue_at_date-Table1[[#This Row],[Loss date]])/365.25)</f>
        <v>904.79999999999984</v>
      </c>
      <c r="R618" s="70">
        <f>INT(Table1[[#This Row],[Reporting date]])-INT(Table1[[#This Row],[Loss date]])</f>
        <v>21</v>
      </c>
      <c r="S618" s="69" t="s">
        <v>9</v>
      </c>
      <c r="T618" s="70">
        <f>VLOOKUP(Table1[[#This Row],[Policy Year]],exposure_table,3,FALSE)</f>
        <v>837.11513600000012</v>
      </c>
      <c r="U618" s="17">
        <f>IF(MONTH(Table1[[#This Row],[Reporting date]])&lt;Policy_Inception_Month,YEAR(Table1[[#This Row],[Reporting date]])-1,YEAR(Table1[[#This Row],[Reporting date]]))</f>
        <v>2010</v>
      </c>
      <c r="V618" s="17">
        <f>Table1[[#This Row],[Reporting year]]-Table1[[#This Row],[Policy Year]]</f>
        <v>0</v>
      </c>
      <c r="W618" s="17">
        <f>INT(Table1[[#This Row],[Reporting date]])-INT(Table1[[#This Row],[Loss date]])</f>
        <v>21</v>
      </c>
      <c r="X618" s="17">
        <f>INT((YEAR(Table1[[#This Row],[Loss date]])*12+MONTH(Table1[[#This Row],[Loss date]])-Earliest_Month)/4)</f>
        <v>15</v>
      </c>
      <c r="Y618" s="17">
        <f>INT((YEAR(Table1[[#This Row],[Reporting date]])*12+MONTH(Table1[[#This Row],[Reporting date]])-Earliest_Month)/4)</f>
        <v>15</v>
      </c>
      <c r="Z618" s="17">
        <f>Table1[[#This Row],[Reporting third]]-Table1[[#This Row],[Policy third]]</f>
        <v>0</v>
      </c>
      <c r="AA618" s="71">
        <f>IF(Table1[[#This Row],[Overall amount]]=0,"N/A",Table1[[#This Row],[Outstanding]]/Table1[[#This Row],[Overall amount]])</f>
        <v>0</v>
      </c>
      <c r="AB618" s="17">
        <f>IF(MONTH(Table1[[#This Row],[Loss date]])&lt;Pol_Inc_Month_Shifted,YEAR(Table1[[#This Row],[Loss date]])-1,YEAR(Table1[[#This Row],[Loss date]]))</f>
        <v>2009</v>
      </c>
      <c r="AC618" s="17">
        <f>IF(MONTH(Table1[[#This Row],[Reporting date]])&lt;Pol_Inc_Month_Shifted,YEAR(Table1[[#This Row],[Reporting date]])-1,YEAR(Table1[[#This Row],[Reporting date]]))</f>
        <v>2009</v>
      </c>
      <c r="AD618" s="17">
        <f>Table1[[#This Row],[Reporting year (shifted)]]-Table1[[#This Row],[Policy Year (shifted)]]</f>
        <v>0</v>
      </c>
    </row>
    <row r="619" spans="1:30" ht="13.9">
      <c r="A619" s="8" t="s">
        <v>2389</v>
      </c>
      <c r="B619" s="8" t="s">
        <v>671</v>
      </c>
      <c r="C619" s="8" t="s">
        <v>123</v>
      </c>
      <c r="D619" s="9">
        <v>40372</v>
      </c>
      <c r="E619" s="9">
        <v>40425</v>
      </c>
      <c r="F619" s="17">
        <f>IF(MONTH(Table1[[#This Row],[Loss date]])&lt;Policy_Inception_Month,YEAR(Table1[[#This Row],[Loss date]])-1,YEAR(Table1[[#This Row],[Loss date]]))</f>
        <v>2010</v>
      </c>
      <c r="G619" s="10" t="s">
        <v>125</v>
      </c>
      <c r="H619" s="10" t="s">
        <v>2</v>
      </c>
      <c r="I619" s="11">
        <v>404.66669255782426</v>
      </c>
      <c r="J619" s="11">
        <v>0</v>
      </c>
      <c r="K619" s="11">
        <v>404.66669255782426</v>
      </c>
      <c r="L619" s="12">
        <v>0</v>
      </c>
      <c r="M619" s="12">
        <v>0</v>
      </c>
      <c r="N619" s="12">
        <v>404.66669255782426</v>
      </c>
      <c r="O619" s="70">
        <f>IF(Table1[[#This Row],[Overall amount]]=0,0,1)</f>
        <v>1</v>
      </c>
      <c r="P619" s="70">
        <f>Table1[[#This Row],[Overall amount]]*Exchange_Rate</f>
        <v>404.66669255782426</v>
      </c>
      <c r="Q619" s="70">
        <f>Table1[[#This Row],[Overall (destination currency)]]*(1+Claims_Inflation)^((Revalue_at_date-Table1[[#This Row],[Loss date]])/365.25)</f>
        <v>522</v>
      </c>
      <c r="R619" s="70">
        <f>INT(Table1[[#This Row],[Reporting date]])-INT(Table1[[#This Row],[Loss date]])</f>
        <v>53</v>
      </c>
      <c r="S619" s="69" t="s">
        <v>9</v>
      </c>
      <c r="T619" s="70">
        <f>VLOOKUP(Table1[[#This Row],[Policy Year]],exposure_table,3,FALSE)</f>
        <v>837.11513600000012</v>
      </c>
      <c r="U619" s="17">
        <f>IF(MONTH(Table1[[#This Row],[Reporting date]])&lt;Policy_Inception_Month,YEAR(Table1[[#This Row],[Reporting date]])-1,YEAR(Table1[[#This Row],[Reporting date]]))</f>
        <v>2010</v>
      </c>
      <c r="V619" s="17">
        <f>Table1[[#This Row],[Reporting year]]-Table1[[#This Row],[Policy Year]]</f>
        <v>0</v>
      </c>
      <c r="W619" s="17">
        <f>INT(Table1[[#This Row],[Reporting date]])-INT(Table1[[#This Row],[Loss date]])</f>
        <v>53</v>
      </c>
      <c r="X619" s="17">
        <f>INT((YEAR(Table1[[#This Row],[Loss date]])*12+MONTH(Table1[[#This Row],[Loss date]])-Earliest_Month)/4)</f>
        <v>15</v>
      </c>
      <c r="Y619" s="17">
        <f>INT((YEAR(Table1[[#This Row],[Reporting date]])*12+MONTH(Table1[[#This Row],[Reporting date]])-Earliest_Month)/4)</f>
        <v>16</v>
      </c>
      <c r="Z619" s="17">
        <f>Table1[[#This Row],[Reporting third]]-Table1[[#This Row],[Policy third]]</f>
        <v>1</v>
      </c>
      <c r="AA619" s="71">
        <f>IF(Table1[[#This Row],[Overall amount]]=0,"N/A",Table1[[#This Row],[Outstanding]]/Table1[[#This Row],[Overall amount]])</f>
        <v>0</v>
      </c>
      <c r="AB619" s="17">
        <f>IF(MONTH(Table1[[#This Row],[Loss date]])&lt;Pol_Inc_Month_Shifted,YEAR(Table1[[#This Row],[Loss date]])-1,YEAR(Table1[[#This Row],[Loss date]]))</f>
        <v>2009</v>
      </c>
      <c r="AC619" s="17">
        <f>IF(MONTH(Table1[[#This Row],[Reporting date]])&lt;Pol_Inc_Month_Shifted,YEAR(Table1[[#This Row],[Reporting date]])-1,YEAR(Table1[[#This Row],[Reporting date]]))</f>
        <v>2009</v>
      </c>
      <c r="AD619" s="17">
        <f>Table1[[#This Row],[Reporting year (shifted)]]-Table1[[#This Row],[Policy Year (shifted)]]</f>
        <v>0</v>
      </c>
    </row>
    <row r="620" spans="1:30" ht="13.9">
      <c r="A620" s="8" t="s">
        <v>2390</v>
      </c>
      <c r="B620" s="8" t="s">
        <v>672</v>
      </c>
      <c r="C620" s="8" t="s">
        <v>123</v>
      </c>
      <c r="D620" s="9">
        <v>40201</v>
      </c>
      <c r="E620" s="9">
        <v>40391</v>
      </c>
      <c r="F620" s="17">
        <f>IF(MONTH(Table1[[#This Row],[Loss date]])&lt;Policy_Inception_Month,YEAR(Table1[[#This Row],[Loss date]])-1,YEAR(Table1[[#This Row],[Loss date]]))</f>
        <v>2009</v>
      </c>
      <c r="G620" s="10" t="s">
        <v>126</v>
      </c>
      <c r="H620" s="10" t="s">
        <v>2</v>
      </c>
      <c r="I620" s="11">
        <v>804.24022917911157</v>
      </c>
      <c r="J620" s="11">
        <v>0</v>
      </c>
      <c r="K620" s="11">
        <v>804.24022917911157</v>
      </c>
      <c r="L620" s="12">
        <v>0</v>
      </c>
      <c r="M620" s="12">
        <v>0</v>
      </c>
      <c r="N620" s="12">
        <v>804.24022917911157</v>
      </c>
      <c r="O620" s="70">
        <f>IF(Table1[[#This Row],[Overall amount]]=0,0,1)</f>
        <v>1</v>
      </c>
      <c r="P620" s="70">
        <f>Table1[[#This Row],[Overall amount]]*Exchange_Rate</f>
        <v>804.24022917911157</v>
      </c>
      <c r="Q620" s="70">
        <f>Table1[[#This Row],[Overall (destination currency)]]*(1+Claims_Inflation)^((Revalue_at_date-Table1[[#This Row],[Loss date]])/365.25)</f>
        <v>1061.3999999999999</v>
      </c>
      <c r="R620" s="70">
        <f>INT(Table1[[#This Row],[Reporting date]])-INT(Table1[[#This Row],[Loss date]])</f>
        <v>190</v>
      </c>
      <c r="S620" s="69" t="s">
        <v>9</v>
      </c>
      <c r="T620" s="70">
        <f>VLOOKUP(Table1[[#This Row],[Policy Year]],exposure_table,3,FALSE)</f>
        <v>760.22808576000011</v>
      </c>
      <c r="U620" s="17">
        <f>IF(MONTH(Table1[[#This Row],[Reporting date]])&lt;Policy_Inception_Month,YEAR(Table1[[#This Row],[Reporting date]])-1,YEAR(Table1[[#This Row],[Reporting date]]))</f>
        <v>2010</v>
      </c>
      <c r="V620" s="17">
        <f>Table1[[#This Row],[Reporting year]]-Table1[[#This Row],[Policy Year]]</f>
        <v>1</v>
      </c>
      <c r="W620" s="17">
        <f>INT(Table1[[#This Row],[Reporting date]])-INT(Table1[[#This Row],[Loss date]])</f>
        <v>190</v>
      </c>
      <c r="X620" s="17">
        <f>INT((YEAR(Table1[[#This Row],[Loss date]])*12+MONTH(Table1[[#This Row],[Loss date]])-Earliest_Month)/4)</f>
        <v>14</v>
      </c>
      <c r="Y620" s="17">
        <f>INT((YEAR(Table1[[#This Row],[Reporting date]])*12+MONTH(Table1[[#This Row],[Reporting date]])-Earliest_Month)/4)</f>
        <v>16</v>
      </c>
      <c r="Z620" s="17">
        <f>Table1[[#This Row],[Reporting third]]-Table1[[#This Row],[Policy third]]</f>
        <v>2</v>
      </c>
      <c r="AA620" s="71">
        <f>IF(Table1[[#This Row],[Overall amount]]=0,"N/A",Table1[[#This Row],[Outstanding]]/Table1[[#This Row],[Overall amount]])</f>
        <v>0</v>
      </c>
      <c r="AB620" s="17">
        <f>IF(MONTH(Table1[[#This Row],[Loss date]])&lt;Pol_Inc_Month_Shifted,YEAR(Table1[[#This Row],[Loss date]])-1,YEAR(Table1[[#This Row],[Loss date]]))</f>
        <v>2009</v>
      </c>
      <c r="AC620" s="17">
        <f>IF(MONTH(Table1[[#This Row],[Reporting date]])&lt;Pol_Inc_Month_Shifted,YEAR(Table1[[#This Row],[Reporting date]])-1,YEAR(Table1[[#This Row],[Reporting date]]))</f>
        <v>2009</v>
      </c>
      <c r="AD620" s="17">
        <f>Table1[[#This Row],[Reporting year (shifted)]]-Table1[[#This Row],[Policy Year (shifted)]]</f>
        <v>0</v>
      </c>
    </row>
    <row r="621" spans="1:30" ht="13.9">
      <c r="A621" s="8" t="s">
        <v>2391</v>
      </c>
      <c r="B621" s="8" t="s">
        <v>673</v>
      </c>
      <c r="C621" s="8" t="s">
        <v>123</v>
      </c>
      <c r="D621" s="9">
        <v>40266</v>
      </c>
      <c r="E621" s="9">
        <v>40404</v>
      </c>
      <c r="F621" s="17">
        <f>IF(MONTH(Table1[[#This Row],[Loss date]])&lt;Policy_Inception_Month,YEAR(Table1[[#This Row],[Loss date]])-1,YEAR(Table1[[#This Row],[Loss date]]))</f>
        <v>2009</v>
      </c>
      <c r="G621" s="10" t="s">
        <v>125</v>
      </c>
      <c r="H621" s="10" t="s">
        <v>2</v>
      </c>
      <c r="I621" s="11">
        <v>5870.0092293841935</v>
      </c>
      <c r="J621" s="11">
        <v>0</v>
      </c>
      <c r="K621" s="11">
        <v>5870.0092293841935</v>
      </c>
      <c r="L621" s="12">
        <v>0</v>
      </c>
      <c r="M621" s="12">
        <v>0</v>
      </c>
      <c r="N621" s="12">
        <v>5870.0092293841935</v>
      </c>
      <c r="O621" s="70">
        <f>IF(Table1[[#This Row],[Overall amount]]=0,0,1)</f>
        <v>1</v>
      </c>
      <c r="P621" s="70">
        <f>Table1[[#This Row],[Overall amount]]*Exchange_Rate</f>
        <v>5870.0092293841935</v>
      </c>
      <c r="Q621" s="70">
        <f>Table1[[#This Row],[Overall (destination currency)]]*(1+Claims_Inflation)^((Revalue_at_date-Table1[[#This Row],[Loss date]])/365.25)</f>
        <v>7680.0000000000009</v>
      </c>
      <c r="R621" s="70">
        <f>INT(Table1[[#This Row],[Reporting date]])-INT(Table1[[#This Row],[Loss date]])</f>
        <v>138</v>
      </c>
      <c r="S621" s="69" t="s">
        <v>9</v>
      </c>
      <c r="T621" s="70">
        <f>VLOOKUP(Table1[[#This Row],[Policy Year]],exposure_table,3,FALSE)</f>
        <v>760.22808576000011</v>
      </c>
      <c r="U621" s="17">
        <f>IF(MONTH(Table1[[#This Row],[Reporting date]])&lt;Policy_Inception_Month,YEAR(Table1[[#This Row],[Reporting date]])-1,YEAR(Table1[[#This Row],[Reporting date]]))</f>
        <v>2010</v>
      </c>
      <c r="V621" s="17">
        <f>Table1[[#This Row],[Reporting year]]-Table1[[#This Row],[Policy Year]]</f>
        <v>1</v>
      </c>
      <c r="W621" s="17">
        <f>INT(Table1[[#This Row],[Reporting date]])-INT(Table1[[#This Row],[Loss date]])</f>
        <v>138</v>
      </c>
      <c r="X621" s="17">
        <f>INT((YEAR(Table1[[#This Row],[Loss date]])*12+MONTH(Table1[[#This Row],[Loss date]])-Earliest_Month)/4)</f>
        <v>14</v>
      </c>
      <c r="Y621" s="17">
        <f>INT((YEAR(Table1[[#This Row],[Reporting date]])*12+MONTH(Table1[[#This Row],[Reporting date]])-Earliest_Month)/4)</f>
        <v>16</v>
      </c>
      <c r="Z621" s="17">
        <f>Table1[[#This Row],[Reporting third]]-Table1[[#This Row],[Policy third]]</f>
        <v>2</v>
      </c>
      <c r="AA621" s="71">
        <f>IF(Table1[[#This Row],[Overall amount]]=0,"N/A",Table1[[#This Row],[Outstanding]]/Table1[[#This Row],[Overall amount]])</f>
        <v>0</v>
      </c>
      <c r="AB621" s="17">
        <f>IF(MONTH(Table1[[#This Row],[Loss date]])&lt;Pol_Inc_Month_Shifted,YEAR(Table1[[#This Row],[Loss date]])-1,YEAR(Table1[[#This Row],[Loss date]]))</f>
        <v>2009</v>
      </c>
      <c r="AC621" s="17">
        <f>IF(MONTH(Table1[[#This Row],[Reporting date]])&lt;Pol_Inc_Month_Shifted,YEAR(Table1[[#This Row],[Reporting date]])-1,YEAR(Table1[[#This Row],[Reporting date]]))</f>
        <v>2009</v>
      </c>
      <c r="AD621" s="17">
        <f>Table1[[#This Row],[Reporting year (shifted)]]-Table1[[#This Row],[Policy Year (shifted)]]</f>
        <v>0</v>
      </c>
    </row>
    <row r="622" spans="1:30" ht="13.9">
      <c r="A622" s="8" t="s">
        <v>2392</v>
      </c>
      <c r="B622" s="8" t="s">
        <v>674</v>
      </c>
      <c r="C622" s="8" t="s">
        <v>123</v>
      </c>
      <c r="D622" s="9">
        <v>40300</v>
      </c>
      <c r="E622" s="9">
        <v>40378</v>
      </c>
      <c r="F622" s="17">
        <f>IF(MONTH(Table1[[#This Row],[Loss date]])&lt;Policy_Inception_Month,YEAR(Table1[[#This Row],[Loss date]])-1,YEAR(Table1[[#This Row],[Loss date]]))</f>
        <v>2010</v>
      </c>
      <c r="G622" s="10" t="s">
        <v>131</v>
      </c>
      <c r="H622" s="10" t="s">
        <v>2</v>
      </c>
      <c r="I622" s="11">
        <v>4363.1193984079191</v>
      </c>
      <c r="J622" s="11">
        <v>0</v>
      </c>
      <c r="K622" s="11">
        <v>4363.1193984079191</v>
      </c>
      <c r="L622" s="12">
        <v>0</v>
      </c>
      <c r="M622" s="12">
        <v>0</v>
      </c>
      <c r="N622" s="12">
        <v>4363.1193984079191</v>
      </c>
      <c r="O622" s="70">
        <f>IF(Table1[[#This Row],[Overall amount]]=0,0,1)</f>
        <v>1</v>
      </c>
      <c r="P622" s="70">
        <f>Table1[[#This Row],[Overall amount]]*Exchange_Rate</f>
        <v>4363.1193984079191</v>
      </c>
      <c r="Q622" s="70">
        <f>Table1[[#This Row],[Overall (destination currency)]]*(1+Claims_Inflation)^((Revalue_at_date-Table1[[#This Row],[Loss date]])/365.25)</f>
        <v>5682.5999999999995</v>
      </c>
      <c r="R622" s="70">
        <f>INT(Table1[[#This Row],[Reporting date]])-INT(Table1[[#This Row],[Loss date]])</f>
        <v>78</v>
      </c>
      <c r="S622" s="69" t="s">
        <v>9</v>
      </c>
      <c r="T622" s="70">
        <f>VLOOKUP(Table1[[#This Row],[Policy Year]],exposure_table,3,FALSE)</f>
        <v>837.11513600000012</v>
      </c>
      <c r="U622" s="17">
        <f>IF(MONTH(Table1[[#This Row],[Reporting date]])&lt;Policy_Inception_Month,YEAR(Table1[[#This Row],[Reporting date]])-1,YEAR(Table1[[#This Row],[Reporting date]]))</f>
        <v>2010</v>
      </c>
      <c r="V622" s="17">
        <f>Table1[[#This Row],[Reporting year]]-Table1[[#This Row],[Policy Year]]</f>
        <v>0</v>
      </c>
      <c r="W622" s="17">
        <f>INT(Table1[[#This Row],[Reporting date]])-INT(Table1[[#This Row],[Loss date]])</f>
        <v>78</v>
      </c>
      <c r="X622" s="17">
        <f>INT((YEAR(Table1[[#This Row],[Loss date]])*12+MONTH(Table1[[#This Row],[Loss date]])-Earliest_Month)/4)</f>
        <v>15</v>
      </c>
      <c r="Y622" s="17">
        <f>INT((YEAR(Table1[[#This Row],[Reporting date]])*12+MONTH(Table1[[#This Row],[Reporting date]])-Earliest_Month)/4)</f>
        <v>15</v>
      </c>
      <c r="Z622" s="17">
        <f>Table1[[#This Row],[Reporting third]]-Table1[[#This Row],[Policy third]]</f>
        <v>0</v>
      </c>
      <c r="AA622" s="71">
        <f>IF(Table1[[#This Row],[Overall amount]]=0,"N/A",Table1[[#This Row],[Outstanding]]/Table1[[#This Row],[Overall amount]])</f>
        <v>0</v>
      </c>
      <c r="AB622" s="17">
        <f>IF(MONTH(Table1[[#This Row],[Loss date]])&lt;Pol_Inc_Month_Shifted,YEAR(Table1[[#This Row],[Loss date]])-1,YEAR(Table1[[#This Row],[Loss date]]))</f>
        <v>2009</v>
      </c>
      <c r="AC622" s="17">
        <f>IF(MONTH(Table1[[#This Row],[Reporting date]])&lt;Pol_Inc_Month_Shifted,YEAR(Table1[[#This Row],[Reporting date]])-1,YEAR(Table1[[#This Row],[Reporting date]]))</f>
        <v>2009</v>
      </c>
      <c r="AD622" s="17">
        <f>Table1[[#This Row],[Reporting year (shifted)]]-Table1[[#This Row],[Policy Year (shifted)]]</f>
        <v>0</v>
      </c>
    </row>
    <row r="623" spans="1:30" ht="13.9">
      <c r="A623" s="8" t="s">
        <v>2393</v>
      </c>
      <c r="B623" s="8" t="s">
        <v>675</v>
      </c>
      <c r="C623" s="8" t="s">
        <v>123</v>
      </c>
      <c r="D623" s="9">
        <v>40293</v>
      </c>
      <c r="E623" s="9">
        <v>40454</v>
      </c>
      <c r="F623" s="17">
        <f>IF(MONTH(Table1[[#This Row],[Loss date]])&lt;Policy_Inception_Month,YEAR(Table1[[#This Row],[Loss date]])-1,YEAR(Table1[[#This Row],[Loss date]]))</f>
        <v>2010</v>
      </c>
      <c r="G623" s="10" t="s">
        <v>125</v>
      </c>
      <c r="H623" s="10" t="s">
        <v>2</v>
      </c>
      <c r="I623" s="11">
        <v>974.35232816163193</v>
      </c>
      <c r="J623" s="11">
        <v>0</v>
      </c>
      <c r="K623" s="11">
        <v>974.35232816163193</v>
      </c>
      <c r="L623" s="12">
        <v>0</v>
      </c>
      <c r="M623" s="12">
        <v>0</v>
      </c>
      <c r="N623" s="12">
        <v>974.35232816163193</v>
      </c>
      <c r="O623" s="70">
        <f>IF(Table1[[#This Row],[Overall amount]]=0,0,1)</f>
        <v>1</v>
      </c>
      <c r="P623" s="70">
        <f>Table1[[#This Row],[Overall amount]]*Exchange_Rate</f>
        <v>974.35232816163193</v>
      </c>
      <c r="Q623" s="70">
        <f>Table1[[#This Row],[Overall (destination currency)]]*(1+Claims_Inflation)^((Revalue_at_date-Table1[[#This Row],[Loss date]])/365.25)</f>
        <v>1270.1999999999998</v>
      </c>
      <c r="R623" s="70">
        <f>INT(Table1[[#This Row],[Reporting date]])-INT(Table1[[#This Row],[Loss date]])</f>
        <v>161</v>
      </c>
      <c r="S623" s="69" t="s">
        <v>9</v>
      </c>
      <c r="T623" s="70">
        <f>VLOOKUP(Table1[[#This Row],[Policy Year]],exposure_table,3,FALSE)</f>
        <v>837.11513600000012</v>
      </c>
      <c r="U623" s="17">
        <f>IF(MONTH(Table1[[#This Row],[Reporting date]])&lt;Policy_Inception_Month,YEAR(Table1[[#This Row],[Reporting date]])-1,YEAR(Table1[[#This Row],[Reporting date]]))</f>
        <v>2010</v>
      </c>
      <c r="V623" s="17">
        <f>Table1[[#This Row],[Reporting year]]-Table1[[#This Row],[Policy Year]]</f>
        <v>0</v>
      </c>
      <c r="W623" s="17">
        <f>INT(Table1[[#This Row],[Reporting date]])-INT(Table1[[#This Row],[Loss date]])</f>
        <v>161</v>
      </c>
      <c r="X623" s="17">
        <f>INT((YEAR(Table1[[#This Row],[Loss date]])*12+MONTH(Table1[[#This Row],[Loss date]])-Earliest_Month)/4)</f>
        <v>15</v>
      </c>
      <c r="Y623" s="17">
        <f>INT((YEAR(Table1[[#This Row],[Reporting date]])*12+MONTH(Table1[[#This Row],[Reporting date]])-Earliest_Month)/4)</f>
        <v>16</v>
      </c>
      <c r="Z623" s="17">
        <f>Table1[[#This Row],[Reporting third]]-Table1[[#This Row],[Policy third]]</f>
        <v>1</v>
      </c>
      <c r="AA623" s="71">
        <f>IF(Table1[[#This Row],[Overall amount]]=0,"N/A",Table1[[#This Row],[Outstanding]]/Table1[[#This Row],[Overall amount]])</f>
        <v>0</v>
      </c>
      <c r="AB623" s="17">
        <f>IF(MONTH(Table1[[#This Row],[Loss date]])&lt;Pol_Inc_Month_Shifted,YEAR(Table1[[#This Row],[Loss date]])-1,YEAR(Table1[[#This Row],[Loss date]]))</f>
        <v>2009</v>
      </c>
      <c r="AC623" s="17">
        <f>IF(MONTH(Table1[[#This Row],[Reporting date]])&lt;Pol_Inc_Month_Shifted,YEAR(Table1[[#This Row],[Reporting date]])-1,YEAR(Table1[[#This Row],[Reporting date]]))</f>
        <v>2009</v>
      </c>
      <c r="AD623" s="17">
        <f>Table1[[#This Row],[Reporting year (shifted)]]-Table1[[#This Row],[Policy Year (shifted)]]</f>
        <v>0</v>
      </c>
    </row>
    <row r="624" spans="1:30" ht="13.9">
      <c r="A624" s="8" t="s">
        <v>2394</v>
      </c>
      <c r="B624" s="8" t="s">
        <v>676</v>
      </c>
      <c r="C624" s="8" t="s">
        <v>123</v>
      </c>
      <c r="D624" s="9">
        <v>40314</v>
      </c>
      <c r="E624" s="9">
        <v>40456</v>
      </c>
      <c r="F624" s="17">
        <f>IF(MONTH(Table1[[#This Row],[Loss date]])&lt;Policy_Inception_Month,YEAR(Table1[[#This Row],[Loss date]])-1,YEAR(Table1[[#This Row],[Loss date]]))</f>
        <v>2010</v>
      </c>
      <c r="G624" s="10" t="s">
        <v>125</v>
      </c>
      <c r="H624" s="10" t="s">
        <v>2</v>
      </c>
      <c r="I624" s="11">
        <v>843.24153949308925</v>
      </c>
      <c r="J624" s="11">
        <v>0</v>
      </c>
      <c r="K624" s="11">
        <v>843.24153949308925</v>
      </c>
      <c r="L624" s="12">
        <v>0</v>
      </c>
      <c r="M624" s="12">
        <v>47.221526211612996</v>
      </c>
      <c r="N624" s="12">
        <v>796.02001328147628</v>
      </c>
      <c r="O624" s="70">
        <f>IF(Table1[[#This Row],[Overall amount]]=0,0,1)</f>
        <v>1</v>
      </c>
      <c r="P624" s="70">
        <f>Table1[[#This Row],[Overall amount]]*Exchange_Rate</f>
        <v>796.02001328147628</v>
      </c>
      <c r="Q624" s="70">
        <f>Table1[[#This Row],[Overall (destination currency)]]*(1+Claims_Inflation)^((Revalue_at_date-Table1[[#This Row],[Loss date]])/365.25)</f>
        <v>1034.8128000000002</v>
      </c>
      <c r="R624" s="70">
        <f>INT(Table1[[#This Row],[Reporting date]])-INT(Table1[[#This Row],[Loss date]])</f>
        <v>142</v>
      </c>
      <c r="S624" s="69" t="s">
        <v>9</v>
      </c>
      <c r="T624" s="70">
        <f>VLOOKUP(Table1[[#This Row],[Policy Year]],exposure_table,3,FALSE)</f>
        <v>837.11513600000012</v>
      </c>
      <c r="U624" s="17">
        <f>IF(MONTH(Table1[[#This Row],[Reporting date]])&lt;Policy_Inception_Month,YEAR(Table1[[#This Row],[Reporting date]])-1,YEAR(Table1[[#This Row],[Reporting date]]))</f>
        <v>2010</v>
      </c>
      <c r="V624" s="17">
        <f>Table1[[#This Row],[Reporting year]]-Table1[[#This Row],[Policy Year]]</f>
        <v>0</v>
      </c>
      <c r="W624" s="17">
        <f>INT(Table1[[#This Row],[Reporting date]])-INT(Table1[[#This Row],[Loss date]])</f>
        <v>142</v>
      </c>
      <c r="X624" s="17">
        <f>INT((YEAR(Table1[[#This Row],[Loss date]])*12+MONTH(Table1[[#This Row],[Loss date]])-Earliest_Month)/4)</f>
        <v>15</v>
      </c>
      <c r="Y624" s="17">
        <f>INT((YEAR(Table1[[#This Row],[Reporting date]])*12+MONTH(Table1[[#This Row],[Reporting date]])-Earliest_Month)/4)</f>
        <v>16</v>
      </c>
      <c r="Z624" s="17">
        <f>Table1[[#This Row],[Reporting third]]-Table1[[#This Row],[Policy third]]</f>
        <v>1</v>
      </c>
      <c r="AA624" s="71">
        <f>IF(Table1[[#This Row],[Overall amount]]=0,"N/A",Table1[[#This Row],[Outstanding]]/Table1[[#This Row],[Overall amount]])</f>
        <v>0</v>
      </c>
      <c r="AB624" s="17">
        <f>IF(MONTH(Table1[[#This Row],[Loss date]])&lt;Pol_Inc_Month_Shifted,YEAR(Table1[[#This Row],[Loss date]])-1,YEAR(Table1[[#This Row],[Loss date]]))</f>
        <v>2009</v>
      </c>
      <c r="AC624" s="17">
        <f>IF(MONTH(Table1[[#This Row],[Reporting date]])&lt;Pol_Inc_Month_Shifted,YEAR(Table1[[#This Row],[Reporting date]])-1,YEAR(Table1[[#This Row],[Reporting date]]))</f>
        <v>2009</v>
      </c>
      <c r="AD624" s="17">
        <f>Table1[[#This Row],[Reporting year (shifted)]]-Table1[[#This Row],[Policy Year (shifted)]]</f>
        <v>0</v>
      </c>
    </row>
    <row r="625" spans="1:30" ht="13.9">
      <c r="A625" s="8" t="s">
        <v>2395</v>
      </c>
      <c r="B625" s="8" t="s">
        <v>677</v>
      </c>
      <c r="C625" s="8" t="s">
        <v>123</v>
      </c>
      <c r="D625" s="9">
        <v>40076</v>
      </c>
      <c r="E625" s="9">
        <v>40524</v>
      </c>
      <c r="F625" s="17">
        <f>IF(MONTH(Table1[[#This Row],[Loss date]])&lt;Policy_Inception_Month,YEAR(Table1[[#This Row],[Loss date]])-1,YEAR(Table1[[#This Row],[Loss date]]))</f>
        <v>2009</v>
      </c>
      <c r="G625" s="10" t="s">
        <v>125</v>
      </c>
      <c r="H625" s="10" t="s">
        <v>2</v>
      </c>
      <c r="I625" s="11">
        <v>246.35303490089245</v>
      </c>
      <c r="J625" s="11">
        <v>0</v>
      </c>
      <c r="K625" s="11">
        <v>246.35303490089245</v>
      </c>
      <c r="L625" s="12">
        <v>0</v>
      </c>
      <c r="M625" s="12">
        <v>0</v>
      </c>
      <c r="N625" s="12">
        <v>246.35303490089245</v>
      </c>
      <c r="O625" s="70">
        <f>IF(Table1[[#This Row],[Overall amount]]=0,0,1)</f>
        <v>1</v>
      </c>
      <c r="P625" s="70">
        <f>Table1[[#This Row],[Overall amount]]*Exchange_Rate</f>
        <v>246.35303490089245</v>
      </c>
      <c r="Q625" s="70">
        <f>Table1[[#This Row],[Overall (destination currency)]]*(1+Claims_Inflation)^((Revalue_at_date-Table1[[#This Row],[Loss date]])/365.25)</f>
        <v>330.59999999999997</v>
      </c>
      <c r="R625" s="70">
        <f>INT(Table1[[#This Row],[Reporting date]])-INT(Table1[[#This Row],[Loss date]])</f>
        <v>448</v>
      </c>
      <c r="S625" s="69" t="s">
        <v>9</v>
      </c>
      <c r="T625" s="70">
        <f>VLOOKUP(Table1[[#This Row],[Policy Year]],exposure_table,3,FALSE)</f>
        <v>760.22808576000011</v>
      </c>
      <c r="U625" s="17">
        <f>IF(MONTH(Table1[[#This Row],[Reporting date]])&lt;Policy_Inception_Month,YEAR(Table1[[#This Row],[Reporting date]])-1,YEAR(Table1[[#This Row],[Reporting date]]))</f>
        <v>2010</v>
      </c>
      <c r="V625" s="17">
        <f>Table1[[#This Row],[Reporting year]]-Table1[[#This Row],[Policy Year]]</f>
        <v>1</v>
      </c>
      <c r="W625" s="17">
        <f>INT(Table1[[#This Row],[Reporting date]])-INT(Table1[[#This Row],[Loss date]])</f>
        <v>448</v>
      </c>
      <c r="X625" s="17">
        <f>INT((YEAR(Table1[[#This Row],[Loss date]])*12+MONTH(Table1[[#This Row],[Loss date]])-Earliest_Month)/4)</f>
        <v>13</v>
      </c>
      <c r="Y625" s="17">
        <f>INT((YEAR(Table1[[#This Row],[Reporting date]])*12+MONTH(Table1[[#This Row],[Reporting date]])-Earliest_Month)/4)</f>
        <v>17</v>
      </c>
      <c r="Z625" s="17">
        <f>Table1[[#This Row],[Reporting third]]-Table1[[#This Row],[Policy third]]</f>
        <v>4</v>
      </c>
      <c r="AA625" s="71">
        <f>IF(Table1[[#This Row],[Overall amount]]=0,"N/A",Table1[[#This Row],[Outstanding]]/Table1[[#This Row],[Overall amount]])</f>
        <v>0</v>
      </c>
      <c r="AB625" s="17">
        <f>IF(MONTH(Table1[[#This Row],[Loss date]])&lt;Pol_Inc_Month_Shifted,YEAR(Table1[[#This Row],[Loss date]])-1,YEAR(Table1[[#This Row],[Loss date]]))</f>
        <v>2008</v>
      </c>
      <c r="AC625" s="17">
        <f>IF(MONTH(Table1[[#This Row],[Reporting date]])&lt;Pol_Inc_Month_Shifted,YEAR(Table1[[#This Row],[Reporting date]])-1,YEAR(Table1[[#This Row],[Reporting date]]))</f>
        <v>2010</v>
      </c>
      <c r="AD625" s="17">
        <f>Table1[[#This Row],[Reporting year (shifted)]]-Table1[[#This Row],[Policy Year (shifted)]]</f>
        <v>2</v>
      </c>
    </row>
    <row r="626" spans="1:30" ht="13.9">
      <c r="A626" s="8" t="s">
        <v>2396</v>
      </c>
      <c r="B626" s="8" t="s">
        <v>678</v>
      </c>
      <c r="C626" s="8" t="s">
        <v>123</v>
      </c>
      <c r="D626" s="9">
        <v>40107</v>
      </c>
      <c r="E626" s="9">
        <v>40176</v>
      </c>
      <c r="F626" s="17">
        <f>IF(MONTH(Table1[[#This Row],[Loss date]])&lt;Policy_Inception_Month,YEAR(Table1[[#This Row],[Loss date]])-1,YEAR(Table1[[#This Row],[Loss date]]))</f>
        <v>2009</v>
      </c>
      <c r="G626" s="10" t="s">
        <v>125</v>
      </c>
      <c r="H626" s="10" t="s">
        <v>2</v>
      </c>
      <c r="I626" s="11">
        <v>989.50117783203916</v>
      </c>
      <c r="J626" s="11">
        <v>0</v>
      </c>
      <c r="K626" s="11">
        <v>989.50117783203916</v>
      </c>
      <c r="L626" s="12">
        <v>0</v>
      </c>
      <c r="M626" s="12">
        <v>0</v>
      </c>
      <c r="N626" s="12">
        <v>989.50117783203916</v>
      </c>
      <c r="O626" s="70">
        <f>IF(Table1[[#This Row],[Overall amount]]=0,0,1)</f>
        <v>1</v>
      </c>
      <c r="P626" s="70">
        <f>Table1[[#This Row],[Overall amount]]*Exchange_Rate</f>
        <v>989.50117783203916</v>
      </c>
      <c r="Q626" s="70">
        <f>Table1[[#This Row],[Overall (destination currency)]]*(1+Claims_Inflation)^((Revalue_at_date-Table1[[#This Row],[Loss date]])/365.25)</f>
        <v>1322.3999999999999</v>
      </c>
      <c r="R626" s="70">
        <f>INT(Table1[[#This Row],[Reporting date]])-INT(Table1[[#This Row],[Loss date]])</f>
        <v>69</v>
      </c>
      <c r="S626" s="69" t="s">
        <v>9</v>
      </c>
      <c r="T626" s="70">
        <f>VLOOKUP(Table1[[#This Row],[Policy Year]],exposure_table,3,FALSE)</f>
        <v>760.22808576000011</v>
      </c>
      <c r="U626" s="17">
        <f>IF(MONTH(Table1[[#This Row],[Reporting date]])&lt;Policy_Inception_Month,YEAR(Table1[[#This Row],[Reporting date]])-1,YEAR(Table1[[#This Row],[Reporting date]]))</f>
        <v>2009</v>
      </c>
      <c r="V626" s="17">
        <f>Table1[[#This Row],[Reporting year]]-Table1[[#This Row],[Policy Year]]</f>
        <v>0</v>
      </c>
      <c r="W626" s="17">
        <f>INT(Table1[[#This Row],[Reporting date]])-INT(Table1[[#This Row],[Loss date]])</f>
        <v>69</v>
      </c>
      <c r="X626" s="17">
        <f>INT((YEAR(Table1[[#This Row],[Loss date]])*12+MONTH(Table1[[#This Row],[Loss date]])-Earliest_Month)/4)</f>
        <v>13</v>
      </c>
      <c r="Y626" s="17">
        <f>INT((YEAR(Table1[[#This Row],[Reporting date]])*12+MONTH(Table1[[#This Row],[Reporting date]])-Earliest_Month)/4)</f>
        <v>14</v>
      </c>
      <c r="Z626" s="17">
        <f>Table1[[#This Row],[Reporting third]]-Table1[[#This Row],[Policy third]]</f>
        <v>1</v>
      </c>
      <c r="AA626" s="71">
        <f>IF(Table1[[#This Row],[Overall amount]]=0,"N/A",Table1[[#This Row],[Outstanding]]/Table1[[#This Row],[Overall amount]])</f>
        <v>0</v>
      </c>
      <c r="AB626" s="17">
        <f>IF(MONTH(Table1[[#This Row],[Loss date]])&lt;Pol_Inc_Month_Shifted,YEAR(Table1[[#This Row],[Loss date]])-1,YEAR(Table1[[#This Row],[Loss date]]))</f>
        <v>2008</v>
      </c>
      <c r="AC626" s="17">
        <f>IF(MONTH(Table1[[#This Row],[Reporting date]])&lt;Pol_Inc_Month_Shifted,YEAR(Table1[[#This Row],[Reporting date]])-1,YEAR(Table1[[#This Row],[Reporting date]]))</f>
        <v>2009</v>
      </c>
      <c r="AD626" s="17">
        <f>Table1[[#This Row],[Reporting year (shifted)]]-Table1[[#This Row],[Policy Year (shifted)]]</f>
        <v>1</v>
      </c>
    </row>
    <row r="627" spans="1:30" ht="13.9">
      <c r="A627" s="8" t="s">
        <v>2397</v>
      </c>
      <c r="B627" s="8" t="s">
        <v>679</v>
      </c>
      <c r="C627" s="8" t="s">
        <v>123</v>
      </c>
      <c r="D627" s="9">
        <v>40193</v>
      </c>
      <c r="E627" s="9">
        <v>40462</v>
      </c>
      <c r="F627" s="17">
        <f>IF(MONTH(Table1[[#This Row],[Loss date]])&lt;Policy_Inception_Month,YEAR(Table1[[#This Row],[Loss date]])-1,YEAR(Table1[[#This Row],[Loss date]]))</f>
        <v>2009</v>
      </c>
      <c r="G627" s="10" t="s">
        <v>125</v>
      </c>
      <c r="H627" s="10" t="s">
        <v>2</v>
      </c>
      <c r="I627" s="11">
        <v>882.40234967908259</v>
      </c>
      <c r="J627" s="11">
        <v>0</v>
      </c>
      <c r="K627" s="11">
        <v>882.40234967908259</v>
      </c>
      <c r="L627" s="12">
        <v>0</v>
      </c>
      <c r="M627" s="12">
        <v>22.942461091656146</v>
      </c>
      <c r="N627" s="12">
        <v>859.45988858742646</v>
      </c>
      <c r="O627" s="70">
        <f>IF(Table1[[#This Row],[Overall amount]]=0,0,1)</f>
        <v>1</v>
      </c>
      <c r="P627" s="70">
        <f>Table1[[#This Row],[Overall amount]]*Exchange_Rate</f>
        <v>859.45988858742646</v>
      </c>
      <c r="Q627" s="70">
        <f>Table1[[#This Row],[Overall (destination currency)]]*(1+Claims_Inflation)^((Revalue_at_date-Table1[[#This Row],[Loss date]])/365.25)</f>
        <v>1135.4892000000002</v>
      </c>
      <c r="R627" s="70">
        <f>INT(Table1[[#This Row],[Reporting date]])-INT(Table1[[#This Row],[Loss date]])</f>
        <v>269</v>
      </c>
      <c r="S627" s="69" t="s">
        <v>9</v>
      </c>
      <c r="T627" s="70">
        <f>VLOOKUP(Table1[[#This Row],[Policy Year]],exposure_table,3,FALSE)</f>
        <v>760.22808576000011</v>
      </c>
      <c r="U627" s="17">
        <f>IF(MONTH(Table1[[#This Row],[Reporting date]])&lt;Policy_Inception_Month,YEAR(Table1[[#This Row],[Reporting date]])-1,YEAR(Table1[[#This Row],[Reporting date]]))</f>
        <v>2010</v>
      </c>
      <c r="V627" s="17">
        <f>Table1[[#This Row],[Reporting year]]-Table1[[#This Row],[Policy Year]]</f>
        <v>1</v>
      </c>
      <c r="W627" s="17">
        <f>INT(Table1[[#This Row],[Reporting date]])-INT(Table1[[#This Row],[Loss date]])</f>
        <v>269</v>
      </c>
      <c r="X627" s="17">
        <f>INT((YEAR(Table1[[#This Row],[Loss date]])*12+MONTH(Table1[[#This Row],[Loss date]])-Earliest_Month)/4)</f>
        <v>14</v>
      </c>
      <c r="Y627" s="17">
        <f>INT((YEAR(Table1[[#This Row],[Reporting date]])*12+MONTH(Table1[[#This Row],[Reporting date]])-Earliest_Month)/4)</f>
        <v>16</v>
      </c>
      <c r="Z627" s="17">
        <f>Table1[[#This Row],[Reporting third]]-Table1[[#This Row],[Policy third]]</f>
        <v>2</v>
      </c>
      <c r="AA627" s="71">
        <f>IF(Table1[[#This Row],[Overall amount]]=0,"N/A",Table1[[#This Row],[Outstanding]]/Table1[[#This Row],[Overall amount]])</f>
        <v>0</v>
      </c>
      <c r="AB627" s="17">
        <f>IF(MONTH(Table1[[#This Row],[Loss date]])&lt;Pol_Inc_Month_Shifted,YEAR(Table1[[#This Row],[Loss date]])-1,YEAR(Table1[[#This Row],[Loss date]]))</f>
        <v>2009</v>
      </c>
      <c r="AC627" s="17">
        <f>IF(MONTH(Table1[[#This Row],[Reporting date]])&lt;Pol_Inc_Month_Shifted,YEAR(Table1[[#This Row],[Reporting date]])-1,YEAR(Table1[[#This Row],[Reporting date]]))</f>
        <v>2009</v>
      </c>
      <c r="AD627" s="17">
        <f>Table1[[#This Row],[Reporting year (shifted)]]-Table1[[#This Row],[Policy Year (shifted)]]</f>
        <v>0</v>
      </c>
    </row>
    <row r="628" spans="1:30" ht="13.9">
      <c r="A628" s="8" t="s">
        <v>2398</v>
      </c>
      <c r="B628" s="8" t="s">
        <v>680</v>
      </c>
      <c r="C628" s="8" t="s">
        <v>123</v>
      </c>
      <c r="D628" s="9">
        <v>40612</v>
      </c>
      <c r="E628" s="9">
        <v>40621</v>
      </c>
      <c r="F628" s="17">
        <f>IF(MONTH(Table1[[#This Row],[Loss date]])&lt;Policy_Inception_Month,YEAR(Table1[[#This Row],[Loss date]])-1,YEAR(Table1[[#This Row],[Loss date]]))</f>
        <v>2010</v>
      </c>
      <c r="G628" s="10" t="s">
        <v>125</v>
      </c>
      <c r="H628" s="10" t="s">
        <v>2</v>
      </c>
      <c r="I628" s="11">
        <v>626.77529830452556</v>
      </c>
      <c r="J628" s="11">
        <v>0</v>
      </c>
      <c r="K628" s="11">
        <v>626.77529830452556</v>
      </c>
      <c r="L628" s="12">
        <v>0</v>
      </c>
      <c r="M628" s="12">
        <v>0</v>
      </c>
      <c r="N628" s="12">
        <v>626.77529830452556</v>
      </c>
      <c r="O628" s="70">
        <f>IF(Table1[[#This Row],[Overall amount]]=0,0,1)</f>
        <v>1</v>
      </c>
      <c r="P628" s="70">
        <f>Table1[[#This Row],[Overall amount]]*Exchange_Rate</f>
        <v>626.77529830452556</v>
      </c>
      <c r="Q628" s="70">
        <f>Table1[[#This Row],[Overall (destination currency)]]*(1+Claims_Inflation)^((Revalue_at_date-Table1[[#This Row],[Loss date]])/365.25)</f>
        <v>783</v>
      </c>
      <c r="R628" s="70">
        <f>INT(Table1[[#This Row],[Reporting date]])-INT(Table1[[#This Row],[Loss date]])</f>
        <v>9</v>
      </c>
      <c r="S628" s="69" t="s">
        <v>9</v>
      </c>
      <c r="T628" s="70">
        <f>VLOOKUP(Table1[[#This Row],[Policy Year]],exposure_table,3,FALSE)</f>
        <v>837.11513600000012</v>
      </c>
      <c r="U628" s="17">
        <f>IF(MONTH(Table1[[#This Row],[Reporting date]])&lt;Policy_Inception_Month,YEAR(Table1[[#This Row],[Reporting date]])-1,YEAR(Table1[[#This Row],[Reporting date]]))</f>
        <v>2010</v>
      </c>
      <c r="V628" s="17">
        <f>Table1[[#This Row],[Reporting year]]-Table1[[#This Row],[Policy Year]]</f>
        <v>0</v>
      </c>
      <c r="W628" s="17">
        <f>INT(Table1[[#This Row],[Reporting date]])-INT(Table1[[#This Row],[Loss date]])</f>
        <v>9</v>
      </c>
      <c r="X628" s="17">
        <f>INT((YEAR(Table1[[#This Row],[Loss date]])*12+MONTH(Table1[[#This Row],[Loss date]])-Earliest_Month)/4)</f>
        <v>17</v>
      </c>
      <c r="Y628" s="17">
        <f>INT((YEAR(Table1[[#This Row],[Reporting date]])*12+MONTH(Table1[[#This Row],[Reporting date]])-Earliest_Month)/4)</f>
        <v>17</v>
      </c>
      <c r="Z628" s="17">
        <f>Table1[[#This Row],[Reporting third]]-Table1[[#This Row],[Policy third]]</f>
        <v>0</v>
      </c>
      <c r="AA628" s="71">
        <f>IF(Table1[[#This Row],[Overall amount]]=0,"N/A",Table1[[#This Row],[Outstanding]]/Table1[[#This Row],[Overall amount]])</f>
        <v>0</v>
      </c>
      <c r="AB628" s="17">
        <f>IF(MONTH(Table1[[#This Row],[Loss date]])&lt;Pol_Inc_Month_Shifted,YEAR(Table1[[#This Row],[Loss date]])-1,YEAR(Table1[[#This Row],[Loss date]]))</f>
        <v>2010</v>
      </c>
      <c r="AC628" s="17">
        <f>IF(MONTH(Table1[[#This Row],[Reporting date]])&lt;Pol_Inc_Month_Shifted,YEAR(Table1[[#This Row],[Reporting date]])-1,YEAR(Table1[[#This Row],[Reporting date]]))</f>
        <v>2010</v>
      </c>
      <c r="AD628" s="17">
        <f>Table1[[#This Row],[Reporting year (shifted)]]-Table1[[#This Row],[Policy Year (shifted)]]</f>
        <v>0</v>
      </c>
    </row>
    <row r="629" spans="1:30" ht="13.9">
      <c r="A629" s="8" t="s">
        <v>2399</v>
      </c>
      <c r="B629" s="8" t="s">
        <v>681</v>
      </c>
      <c r="C629" s="8" t="s">
        <v>123</v>
      </c>
      <c r="D629" s="9">
        <v>40698</v>
      </c>
      <c r="E629" s="9">
        <v>40725</v>
      </c>
      <c r="F629" s="17">
        <f>IF(MONTH(Table1[[#This Row],[Loss date]])&lt;Policy_Inception_Month,YEAR(Table1[[#This Row],[Loss date]])-1,YEAR(Table1[[#This Row],[Loss date]]))</f>
        <v>2011</v>
      </c>
      <c r="G629" s="10" t="s">
        <v>125</v>
      </c>
      <c r="H629" s="10" t="s">
        <v>2</v>
      </c>
      <c r="I629" s="11">
        <v>7200.5885878648778</v>
      </c>
      <c r="J629" s="11">
        <v>0</v>
      </c>
      <c r="K629" s="11">
        <v>7200.5885878648778</v>
      </c>
      <c r="L629" s="12">
        <v>0</v>
      </c>
      <c r="M629" s="12">
        <v>0</v>
      </c>
      <c r="N629" s="12">
        <v>7200.5885878648778</v>
      </c>
      <c r="O629" s="70">
        <f>IF(Table1[[#This Row],[Overall amount]]=0,0,1)</f>
        <v>1</v>
      </c>
      <c r="P629" s="70">
        <f>Table1[[#This Row],[Overall amount]]*Exchange_Rate</f>
        <v>7200.5885878648778</v>
      </c>
      <c r="Q629" s="70">
        <f>Table1[[#This Row],[Overall (destination currency)]]*(1+Claims_Inflation)^((Revalue_at_date-Table1[[#This Row],[Loss date]])/365.25)</f>
        <v>8892.6</v>
      </c>
      <c r="R629" s="70">
        <f>INT(Table1[[#This Row],[Reporting date]])-INT(Table1[[#This Row],[Loss date]])</f>
        <v>27</v>
      </c>
      <c r="S629" s="69" t="s">
        <v>9</v>
      </c>
      <c r="T629" s="70">
        <f>VLOOKUP(Table1[[#This Row],[Policy Year]],exposure_table,3,FALSE)</f>
        <v>870.52680000000009</v>
      </c>
      <c r="U629" s="17">
        <f>IF(MONTH(Table1[[#This Row],[Reporting date]])&lt;Policy_Inception_Month,YEAR(Table1[[#This Row],[Reporting date]])-1,YEAR(Table1[[#This Row],[Reporting date]]))</f>
        <v>2011</v>
      </c>
      <c r="V629" s="17">
        <f>Table1[[#This Row],[Reporting year]]-Table1[[#This Row],[Policy Year]]</f>
        <v>0</v>
      </c>
      <c r="W629" s="17">
        <f>INT(Table1[[#This Row],[Reporting date]])-INT(Table1[[#This Row],[Loss date]])</f>
        <v>27</v>
      </c>
      <c r="X629" s="17">
        <f>INT((YEAR(Table1[[#This Row],[Loss date]])*12+MONTH(Table1[[#This Row],[Loss date]])-Earliest_Month)/4)</f>
        <v>18</v>
      </c>
      <c r="Y629" s="17">
        <f>INT((YEAR(Table1[[#This Row],[Reporting date]])*12+MONTH(Table1[[#This Row],[Reporting date]])-Earliest_Month)/4)</f>
        <v>18</v>
      </c>
      <c r="Z629" s="17">
        <f>Table1[[#This Row],[Reporting third]]-Table1[[#This Row],[Policy third]]</f>
        <v>0</v>
      </c>
      <c r="AA629" s="71">
        <f>IF(Table1[[#This Row],[Overall amount]]=0,"N/A",Table1[[#This Row],[Outstanding]]/Table1[[#This Row],[Overall amount]])</f>
        <v>0</v>
      </c>
      <c r="AB629" s="17">
        <f>IF(MONTH(Table1[[#This Row],[Loss date]])&lt;Pol_Inc_Month_Shifted,YEAR(Table1[[#This Row],[Loss date]])-1,YEAR(Table1[[#This Row],[Loss date]]))</f>
        <v>2010</v>
      </c>
      <c r="AC629" s="17">
        <f>IF(MONTH(Table1[[#This Row],[Reporting date]])&lt;Pol_Inc_Month_Shifted,YEAR(Table1[[#This Row],[Reporting date]])-1,YEAR(Table1[[#This Row],[Reporting date]]))</f>
        <v>2010</v>
      </c>
      <c r="AD629" s="17">
        <f>Table1[[#This Row],[Reporting year (shifted)]]-Table1[[#This Row],[Policy Year (shifted)]]</f>
        <v>0</v>
      </c>
    </row>
    <row r="630" spans="1:30" ht="13.9">
      <c r="A630" s="8" t="s">
        <v>2400</v>
      </c>
      <c r="B630" s="8" t="s">
        <v>682</v>
      </c>
      <c r="C630" s="8" t="s">
        <v>123</v>
      </c>
      <c r="D630" s="9">
        <v>40187</v>
      </c>
      <c r="E630" s="9">
        <v>40901</v>
      </c>
      <c r="F630" s="17">
        <f>IF(MONTH(Table1[[#This Row],[Loss date]])&lt;Policy_Inception_Month,YEAR(Table1[[#This Row],[Loss date]])-1,YEAR(Table1[[#This Row],[Loss date]]))</f>
        <v>2009</v>
      </c>
      <c r="G630" s="10" t="s">
        <v>125</v>
      </c>
      <c r="H630" s="10" t="s">
        <v>2</v>
      </c>
      <c r="I630" s="11">
        <v>598.89943100248956</v>
      </c>
      <c r="J630" s="11">
        <v>0</v>
      </c>
      <c r="K630" s="11">
        <v>598.89943100248956</v>
      </c>
      <c r="L630" s="12">
        <v>0</v>
      </c>
      <c r="M630" s="12">
        <v>0</v>
      </c>
      <c r="N630" s="12">
        <v>598.89943100248956</v>
      </c>
      <c r="O630" s="70">
        <f>IF(Table1[[#This Row],[Overall amount]]=0,0,1)</f>
        <v>1</v>
      </c>
      <c r="P630" s="70">
        <f>Table1[[#This Row],[Overall amount]]*Exchange_Rate</f>
        <v>598.89943100248956</v>
      </c>
      <c r="Q630" s="70">
        <f>Table1[[#This Row],[Overall (destination currency)]]*(1+Claims_Inflation)^((Revalue_at_date-Table1[[#This Row],[Loss date]])/365.25)</f>
        <v>791.88</v>
      </c>
      <c r="R630" s="70">
        <f>INT(Table1[[#This Row],[Reporting date]])-INT(Table1[[#This Row],[Loss date]])</f>
        <v>714</v>
      </c>
      <c r="S630" s="69" t="s">
        <v>9</v>
      </c>
      <c r="T630" s="70">
        <f>VLOOKUP(Table1[[#This Row],[Policy Year]],exposure_table,3,FALSE)</f>
        <v>760.22808576000011</v>
      </c>
      <c r="U630" s="17">
        <f>IF(MONTH(Table1[[#This Row],[Reporting date]])&lt;Policy_Inception_Month,YEAR(Table1[[#This Row],[Reporting date]])-1,YEAR(Table1[[#This Row],[Reporting date]]))</f>
        <v>2011</v>
      </c>
      <c r="V630" s="17">
        <f>Table1[[#This Row],[Reporting year]]-Table1[[#This Row],[Policy Year]]</f>
        <v>2</v>
      </c>
      <c r="W630" s="17">
        <f>INT(Table1[[#This Row],[Reporting date]])-INT(Table1[[#This Row],[Loss date]])</f>
        <v>714</v>
      </c>
      <c r="X630" s="17">
        <f>INT((YEAR(Table1[[#This Row],[Loss date]])*12+MONTH(Table1[[#This Row],[Loss date]])-Earliest_Month)/4)</f>
        <v>14</v>
      </c>
      <c r="Y630" s="17">
        <f>INT((YEAR(Table1[[#This Row],[Reporting date]])*12+MONTH(Table1[[#This Row],[Reporting date]])-Earliest_Month)/4)</f>
        <v>20</v>
      </c>
      <c r="Z630" s="17">
        <f>Table1[[#This Row],[Reporting third]]-Table1[[#This Row],[Policy third]]</f>
        <v>6</v>
      </c>
      <c r="AA630" s="71">
        <f>IF(Table1[[#This Row],[Overall amount]]=0,"N/A",Table1[[#This Row],[Outstanding]]/Table1[[#This Row],[Overall amount]])</f>
        <v>0</v>
      </c>
      <c r="AB630" s="17">
        <f>IF(MONTH(Table1[[#This Row],[Loss date]])&lt;Pol_Inc_Month_Shifted,YEAR(Table1[[#This Row],[Loss date]])-1,YEAR(Table1[[#This Row],[Loss date]]))</f>
        <v>2009</v>
      </c>
      <c r="AC630" s="17">
        <f>IF(MONTH(Table1[[#This Row],[Reporting date]])&lt;Pol_Inc_Month_Shifted,YEAR(Table1[[#This Row],[Reporting date]])-1,YEAR(Table1[[#This Row],[Reporting date]]))</f>
        <v>2011</v>
      </c>
      <c r="AD630" s="17">
        <f>Table1[[#This Row],[Reporting year (shifted)]]-Table1[[#This Row],[Policy Year (shifted)]]</f>
        <v>2</v>
      </c>
    </row>
    <row r="631" spans="1:30" ht="13.9">
      <c r="A631" s="8" t="s">
        <v>2401</v>
      </c>
      <c r="B631" s="8" t="s">
        <v>683</v>
      </c>
      <c r="C631" s="8" t="s">
        <v>123</v>
      </c>
      <c r="D631" s="9">
        <v>38731</v>
      </c>
      <c r="E631" s="9">
        <v>38740</v>
      </c>
      <c r="F631" s="17">
        <f>IF(MONTH(Table1[[#This Row],[Loss date]])&lt;Policy_Inception_Month,YEAR(Table1[[#This Row],[Loss date]])-1,YEAR(Table1[[#This Row],[Loss date]]))</f>
        <v>2005</v>
      </c>
      <c r="G631" s="10" t="s">
        <v>125</v>
      </c>
      <c r="H631" s="10" t="s">
        <v>2</v>
      </c>
      <c r="I631" s="11">
        <v>566.71437208626924</v>
      </c>
      <c r="J631" s="11">
        <v>0</v>
      </c>
      <c r="K631" s="11">
        <v>566.71437208626924</v>
      </c>
      <c r="L631" s="12">
        <v>0</v>
      </c>
      <c r="M631" s="12">
        <v>0</v>
      </c>
      <c r="N631" s="12">
        <v>566.71437208626924</v>
      </c>
      <c r="O631" s="70">
        <f>IF(Table1[[#This Row],[Overall amount]]=0,0,1)</f>
        <v>1</v>
      </c>
      <c r="P631" s="70">
        <f>Table1[[#This Row],[Overall amount]]*Exchange_Rate</f>
        <v>566.71437208626924</v>
      </c>
      <c r="Q631" s="70">
        <f>Table1[[#This Row],[Overall (destination currency)]]*(1+Claims_Inflation)^((Revalue_at_date-Table1[[#This Row],[Loss date]])/365.25)</f>
        <v>910.19999999999993</v>
      </c>
      <c r="R631" s="70">
        <f>INT(Table1[[#This Row],[Reporting date]])-INT(Table1[[#This Row],[Loss date]])</f>
        <v>9</v>
      </c>
      <c r="S631" s="69" t="s">
        <v>9</v>
      </c>
      <c r="T631" s="70">
        <f>VLOOKUP(Table1[[#This Row],[Policy Year]],exposure_table,3,FALSE)</f>
        <v>409.50481038040112</v>
      </c>
      <c r="U631" s="17">
        <f>IF(MONTH(Table1[[#This Row],[Reporting date]])&lt;Policy_Inception_Month,YEAR(Table1[[#This Row],[Reporting date]])-1,YEAR(Table1[[#This Row],[Reporting date]]))</f>
        <v>2005</v>
      </c>
      <c r="V631" s="17">
        <f>Table1[[#This Row],[Reporting year]]-Table1[[#This Row],[Policy Year]]</f>
        <v>0</v>
      </c>
      <c r="W631" s="17">
        <f>INT(Table1[[#This Row],[Reporting date]])-INT(Table1[[#This Row],[Loss date]])</f>
        <v>9</v>
      </c>
      <c r="X631" s="17">
        <f>INT((YEAR(Table1[[#This Row],[Loss date]])*12+MONTH(Table1[[#This Row],[Loss date]])-Earliest_Month)/4)</f>
        <v>2</v>
      </c>
      <c r="Y631" s="17">
        <f>INT((YEAR(Table1[[#This Row],[Reporting date]])*12+MONTH(Table1[[#This Row],[Reporting date]])-Earliest_Month)/4)</f>
        <v>2</v>
      </c>
      <c r="Z631" s="17">
        <f>Table1[[#This Row],[Reporting third]]-Table1[[#This Row],[Policy third]]</f>
        <v>0</v>
      </c>
      <c r="AA631" s="71">
        <f>IF(Table1[[#This Row],[Overall amount]]=0,"N/A",Table1[[#This Row],[Outstanding]]/Table1[[#This Row],[Overall amount]])</f>
        <v>0</v>
      </c>
      <c r="AB631" s="17">
        <f>IF(MONTH(Table1[[#This Row],[Loss date]])&lt;Pol_Inc_Month_Shifted,YEAR(Table1[[#This Row],[Loss date]])-1,YEAR(Table1[[#This Row],[Loss date]]))</f>
        <v>2005</v>
      </c>
      <c r="AC631" s="17">
        <f>IF(MONTH(Table1[[#This Row],[Reporting date]])&lt;Pol_Inc_Month_Shifted,YEAR(Table1[[#This Row],[Reporting date]])-1,YEAR(Table1[[#This Row],[Reporting date]]))</f>
        <v>2005</v>
      </c>
      <c r="AD631" s="17">
        <f>Table1[[#This Row],[Reporting year (shifted)]]-Table1[[#This Row],[Policy Year (shifted)]]</f>
        <v>0</v>
      </c>
    </row>
    <row r="632" spans="1:30" ht="13.9">
      <c r="A632" s="8" t="s">
        <v>2402</v>
      </c>
      <c r="B632" s="8" t="s">
        <v>684</v>
      </c>
      <c r="C632" s="8" t="s">
        <v>123</v>
      </c>
      <c r="D632" s="9">
        <v>38615</v>
      </c>
      <c r="E632" s="9">
        <v>38738</v>
      </c>
      <c r="F632" s="17">
        <f>IF(MONTH(Table1[[#This Row],[Loss date]])&lt;Policy_Inception_Month,YEAR(Table1[[#This Row],[Loss date]])-1,YEAR(Table1[[#This Row],[Loss date]]))</f>
        <v>2005</v>
      </c>
      <c r="G632" s="10" t="s">
        <v>125</v>
      </c>
      <c r="H632" s="10" t="s">
        <v>2</v>
      </c>
      <c r="I632" s="11">
        <v>8852.7887751836497</v>
      </c>
      <c r="J632" s="11">
        <v>0</v>
      </c>
      <c r="K632" s="11">
        <v>8852.7887751836497</v>
      </c>
      <c r="L632" s="12">
        <v>0</v>
      </c>
      <c r="M632" s="12">
        <v>0</v>
      </c>
      <c r="N632" s="12">
        <v>8852.7887751836497</v>
      </c>
      <c r="O632" s="70">
        <f>IF(Table1[[#This Row],[Overall amount]]=0,0,1)</f>
        <v>1</v>
      </c>
      <c r="P632" s="70">
        <f>Table1[[#This Row],[Overall amount]]*Exchange_Rate</f>
        <v>8852.7887751836497</v>
      </c>
      <c r="Q632" s="70">
        <f>Table1[[#This Row],[Overall (destination currency)]]*(1+Claims_Inflation)^((Revalue_at_date-Table1[[#This Row],[Loss date]])/365.25)</f>
        <v>14440.500000000002</v>
      </c>
      <c r="R632" s="70">
        <f>INT(Table1[[#This Row],[Reporting date]])-INT(Table1[[#This Row],[Loss date]])</f>
        <v>123</v>
      </c>
      <c r="S632" s="69" t="s">
        <v>9</v>
      </c>
      <c r="T632" s="70">
        <f>VLOOKUP(Table1[[#This Row],[Policy Year]],exposure_table,3,FALSE)</f>
        <v>409.50481038040112</v>
      </c>
      <c r="U632" s="17">
        <f>IF(MONTH(Table1[[#This Row],[Reporting date]])&lt;Policy_Inception_Month,YEAR(Table1[[#This Row],[Reporting date]])-1,YEAR(Table1[[#This Row],[Reporting date]]))</f>
        <v>2005</v>
      </c>
      <c r="V632" s="17">
        <f>Table1[[#This Row],[Reporting year]]-Table1[[#This Row],[Policy Year]]</f>
        <v>0</v>
      </c>
      <c r="W632" s="17">
        <f>INT(Table1[[#This Row],[Reporting date]])-INT(Table1[[#This Row],[Loss date]])</f>
        <v>123</v>
      </c>
      <c r="X632" s="17">
        <f>INT((YEAR(Table1[[#This Row],[Loss date]])*12+MONTH(Table1[[#This Row],[Loss date]])-Earliest_Month)/4)</f>
        <v>1</v>
      </c>
      <c r="Y632" s="17">
        <f>INT((YEAR(Table1[[#This Row],[Reporting date]])*12+MONTH(Table1[[#This Row],[Reporting date]])-Earliest_Month)/4)</f>
        <v>2</v>
      </c>
      <c r="Z632" s="17">
        <f>Table1[[#This Row],[Reporting third]]-Table1[[#This Row],[Policy third]]</f>
        <v>1</v>
      </c>
      <c r="AA632" s="71">
        <f>IF(Table1[[#This Row],[Overall amount]]=0,"N/A",Table1[[#This Row],[Outstanding]]/Table1[[#This Row],[Overall amount]])</f>
        <v>0</v>
      </c>
      <c r="AB632" s="17">
        <f>IF(MONTH(Table1[[#This Row],[Loss date]])&lt;Pol_Inc_Month_Shifted,YEAR(Table1[[#This Row],[Loss date]])-1,YEAR(Table1[[#This Row],[Loss date]]))</f>
        <v>2004</v>
      </c>
      <c r="AC632" s="17">
        <f>IF(MONTH(Table1[[#This Row],[Reporting date]])&lt;Pol_Inc_Month_Shifted,YEAR(Table1[[#This Row],[Reporting date]])-1,YEAR(Table1[[#This Row],[Reporting date]]))</f>
        <v>2005</v>
      </c>
      <c r="AD632" s="17">
        <f>Table1[[#This Row],[Reporting year (shifted)]]-Table1[[#This Row],[Policy Year (shifted)]]</f>
        <v>1</v>
      </c>
    </row>
    <row r="633" spans="1:30" ht="13.9">
      <c r="A633" s="8" t="s">
        <v>2403</v>
      </c>
      <c r="B633" s="8" t="s">
        <v>685</v>
      </c>
      <c r="C633" s="8" t="s">
        <v>123</v>
      </c>
      <c r="D633" s="9">
        <v>38912</v>
      </c>
      <c r="E633" s="9">
        <v>39025</v>
      </c>
      <c r="F633" s="17">
        <f>IF(MONTH(Table1[[#This Row],[Loss date]])&lt;Policy_Inception_Month,YEAR(Table1[[#This Row],[Loss date]])-1,YEAR(Table1[[#This Row],[Loss date]]))</f>
        <v>2006</v>
      </c>
      <c r="G633" s="10" t="s">
        <v>125</v>
      </c>
      <c r="H633" s="10" t="s">
        <v>2</v>
      </c>
      <c r="I633" s="11">
        <v>7359.6694378494758</v>
      </c>
      <c r="J633" s="11">
        <v>0</v>
      </c>
      <c r="K633" s="11">
        <v>7359.6694378494758</v>
      </c>
      <c r="L633" s="12">
        <v>0</v>
      </c>
      <c r="M633" s="12">
        <v>522.53653008731283</v>
      </c>
      <c r="N633" s="12">
        <v>6837.1329077621631</v>
      </c>
      <c r="O633" s="70">
        <f>IF(Table1[[#This Row],[Overall amount]]=0,0,1)</f>
        <v>1</v>
      </c>
      <c r="P633" s="70">
        <f>Table1[[#This Row],[Overall amount]]*Exchange_Rate</f>
        <v>6837.1329077621631</v>
      </c>
      <c r="Q633" s="70">
        <f>Table1[[#This Row],[Overall (destination currency)]]*(1+Claims_Inflation)^((Revalue_at_date-Table1[[#This Row],[Loss date]])/365.25)</f>
        <v>10718.801999999998</v>
      </c>
      <c r="R633" s="70">
        <f>INT(Table1[[#This Row],[Reporting date]])-INT(Table1[[#This Row],[Loss date]])</f>
        <v>113</v>
      </c>
      <c r="S633" s="69" t="s">
        <v>9</v>
      </c>
      <c r="T633" s="70">
        <f>VLOOKUP(Table1[[#This Row],[Policy Year]],exposure_table,3,FALSE)</f>
        <v>483.32023209000977</v>
      </c>
      <c r="U633" s="17">
        <f>IF(MONTH(Table1[[#This Row],[Reporting date]])&lt;Policy_Inception_Month,YEAR(Table1[[#This Row],[Reporting date]])-1,YEAR(Table1[[#This Row],[Reporting date]]))</f>
        <v>2006</v>
      </c>
      <c r="V633" s="17">
        <f>Table1[[#This Row],[Reporting year]]-Table1[[#This Row],[Policy Year]]</f>
        <v>0</v>
      </c>
      <c r="W633" s="17">
        <f>INT(Table1[[#This Row],[Reporting date]])-INT(Table1[[#This Row],[Loss date]])</f>
        <v>113</v>
      </c>
      <c r="X633" s="17">
        <f>INT((YEAR(Table1[[#This Row],[Loss date]])*12+MONTH(Table1[[#This Row],[Loss date]])-Earliest_Month)/4)</f>
        <v>3</v>
      </c>
      <c r="Y633" s="17">
        <f>INT((YEAR(Table1[[#This Row],[Reporting date]])*12+MONTH(Table1[[#This Row],[Reporting date]])-Earliest_Month)/4)</f>
        <v>4</v>
      </c>
      <c r="Z633" s="17">
        <f>Table1[[#This Row],[Reporting third]]-Table1[[#This Row],[Policy third]]</f>
        <v>1</v>
      </c>
      <c r="AA633" s="71">
        <f>IF(Table1[[#This Row],[Overall amount]]=0,"N/A",Table1[[#This Row],[Outstanding]]/Table1[[#This Row],[Overall amount]])</f>
        <v>0</v>
      </c>
      <c r="AB633" s="17">
        <f>IF(MONTH(Table1[[#This Row],[Loss date]])&lt;Pol_Inc_Month_Shifted,YEAR(Table1[[#This Row],[Loss date]])-1,YEAR(Table1[[#This Row],[Loss date]]))</f>
        <v>2005</v>
      </c>
      <c r="AC633" s="17">
        <f>IF(MONTH(Table1[[#This Row],[Reporting date]])&lt;Pol_Inc_Month_Shifted,YEAR(Table1[[#This Row],[Reporting date]])-1,YEAR(Table1[[#This Row],[Reporting date]]))</f>
        <v>2005</v>
      </c>
      <c r="AD633" s="17">
        <f>Table1[[#This Row],[Reporting year (shifted)]]-Table1[[#This Row],[Policy Year (shifted)]]</f>
        <v>0</v>
      </c>
    </row>
    <row r="634" spans="1:30" ht="13.9">
      <c r="A634" s="8" t="s">
        <v>2404</v>
      </c>
      <c r="B634" s="8" t="s">
        <v>686</v>
      </c>
      <c r="C634" s="8" t="s">
        <v>123</v>
      </c>
      <c r="D634" s="9">
        <v>39261</v>
      </c>
      <c r="E634" s="9">
        <v>39283</v>
      </c>
      <c r="F634" s="17">
        <f>IF(MONTH(Table1[[#This Row],[Loss date]])&lt;Policy_Inception_Month,YEAR(Table1[[#This Row],[Loss date]])-1,YEAR(Table1[[#This Row],[Loss date]]))</f>
        <v>2007</v>
      </c>
      <c r="G634" s="10" t="s">
        <v>126</v>
      </c>
      <c r="H634" s="10" t="s">
        <v>2</v>
      </c>
      <c r="I634" s="11">
        <v>246.60434561464751</v>
      </c>
      <c r="J634" s="11">
        <v>0</v>
      </c>
      <c r="K634" s="11">
        <v>246.60434561464751</v>
      </c>
      <c r="L634" s="12">
        <v>0</v>
      </c>
      <c r="M634" s="12">
        <v>4.4388782210636553</v>
      </c>
      <c r="N634" s="12">
        <v>242.16546739358387</v>
      </c>
      <c r="O634" s="70">
        <f>IF(Table1[[#This Row],[Overall amount]]=0,0,1)</f>
        <v>1</v>
      </c>
      <c r="P634" s="70">
        <f>Table1[[#This Row],[Overall amount]]*Exchange_Rate</f>
        <v>242.16546739358387</v>
      </c>
      <c r="Q634" s="70">
        <f>Table1[[#This Row],[Overall (destination currency)]]*(1+Claims_Inflation)^((Revalue_at_date-Table1[[#This Row],[Loss date]])/365.25)</f>
        <v>362.358</v>
      </c>
      <c r="R634" s="70">
        <f>INT(Table1[[#This Row],[Reporting date]])-INT(Table1[[#This Row],[Loss date]])</f>
        <v>22</v>
      </c>
      <c r="S634" s="69" t="s">
        <v>9</v>
      </c>
      <c r="T634" s="70">
        <f>VLOOKUP(Table1[[#This Row],[Policy Year]],exposure_table,3,FALSE)</f>
        <v>547.7736362475523</v>
      </c>
      <c r="U634" s="17">
        <f>IF(MONTH(Table1[[#This Row],[Reporting date]])&lt;Policy_Inception_Month,YEAR(Table1[[#This Row],[Reporting date]])-1,YEAR(Table1[[#This Row],[Reporting date]]))</f>
        <v>2007</v>
      </c>
      <c r="V634" s="17">
        <f>Table1[[#This Row],[Reporting year]]-Table1[[#This Row],[Policy Year]]</f>
        <v>0</v>
      </c>
      <c r="W634" s="17">
        <f>INT(Table1[[#This Row],[Reporting date]])-INT(Table1[[#This Row],[Loss date]])</f>
        <v>22</v>
      </c>
      <c r="X634" s="17">
        <f>INT((YEAR(Table1[[#This Row],[Loss date]])*12+MONTH(Table1[[#This Row],[Loss date]])-Earliest_Month)/4)</f>
        <v>6</v>
      </c>
      <c r="Y634" s="17">
        <f>INT((YEAR(Table1[[#This Row],[Reporting date]])*12+MONTH(Table1[[#This Row],[Reporting date]])-Earliest_Month)/4)</f>
        <v>6</v>
      </c>
      <c r="Z634" s="17">
        <f>Table1[[#This Row],[Reporting third]]-Table1[[#This Row],[Policy third]]</f>
        <v>0</v>
      </c>
      <c r="AA634" s="71">
        <f>IF(Table1[[#This Row],[Overall amount]]=0,"N/A",Table1[[#This Row],[Outstanding]]/Table1[[#This Row],[Overall amount]])</f>
        <v>0</v>
      </c>
      <c r="AB634" s="17">
        <f>IF(MONTH(Table1[[#This Row],[Loss date]])&lt;Pol_Inc_Month_Shifted,YEAR(Table1[[#This Row],[Loss date]])-1,YEAR(Table1[[#This Row],[Loss date]]))</f>
        <v>2006</v>
      </c>
      <c r="AC634" s="17">
        <f>IF(MONTH(Table1[[#This Row],[Reporting date]])&lt;Pol_Inc_Month_Shifted,YEAR(Table1[[#This Row],[Reporting date]])-1,YEAR(Table1[[#This Row],[Reporting date]]))</f>
        <v>2006</v>
      </c>
      <c r="AD634" s="17">
        <f>Table1[[#This Row],[Reporting year (shifted)]]-Table1[[#This Row],[Policy Year (shifted)]]</f>
        <v>0</v>
      </c>
    </row>
    <row r="635" spans="1:30" ht="13.9">
      <c r="A635" s="8" t="s">
        <v>2405</v>
      </c>
      <c r="B635" s="8" t="s">
        <v>687</v>
      </c>
      <c r="C635" s="8" t="s">
        <v>123</v>
      </c>
      <c r="D635" s="9">
        <v>39174</v>
      </c>
      <c r="E635" s="9">
        <v>39380</v>
      </c>
      <c r="F635" s="17">
        <f>IF(MONTH(Table1[[#This Row],[Loss date]])&lt;Policy_Inception_Month,YEAR(Table1[[#This Row],[Loss date]])-1,YEAR(Table1[[#This Row],[Loss date]]))</f>
        <v>2007</v>
      </c>
      <c r="G635" s="10" t="s">
        <v>125</v>
      </c>
      <c r="H635" s="10" t="s">
        <v>2</v>
      </c>
      <c r="I635" s="11">
        <v>999.45902960405817</v>
      </c>
      <c r="J635" s="11">
        <v>0</v>
      </c>
      <c r="K635" s="11">
        <v>999.45902960405817</v>
      </c>
      <c r="L635" s="12">
        <v>0</v>
      </c>
      <c r="M635" s="12">
        <v>0</v>
      </c>
      <c r="N635" s="12">
        <v>999.45902960405817</v>
      </c>
      <c r="O635" s="70">
        <f>IF(Table1[[#This Row],[Overall amount]]=0,0,1)</f>
        <v>1</v>
      </c>
      <c r="P635" s="70">
        <f>Table1[[#This Row],[Overall amount]]*Exchange_Rate</f>
        <v>999.45902960405817</v>
      </c>
      <c r="Q635" s="70">
        <f>Table1[[#This Row],[Overall (destination currency)]]*(1+Claims_Inflation)^((Revalue_at_date-Table1[[#This Row],[Loss date]])/365.25)</f>
        <v>1512.9959999999999</v>
      </c>
      <c r="R635" s="70">
        <f>INT(Table1[[#This Row],[Reporting date]])-INT(Table1[[#This Row],[Loss date]])</f>
        <v>206</v>
      </c>
      <c r="S635" s="69" t="s">
        <v>9</v>
      </c>
      <c r="T635" s="70">
        <f>VLOOKUP(Table1[[#This Row],[Policy Year]],exposure_table,3,FALSE)</f>
        <v>547.7736362475523</v>
      </c>
      <c r="U635" s="17">
        <f>IF(MONTH(Table1[[#This Row],[Reporting date]])&lt;Policy_Inception_Month,YEAR(Table1[[#This Row],[Reporting date]])-1,YEAR(Table1[[#This Row],[Reporting date]]))</f>
        <v>2007</v>
      </c>
      <c r="V635" s="17">
        <f>Table1[[#This Row],[Reporting year]]-Table1[[#This Row],[Policy Year]]</f>
        <v>0</v>
      </c>
      <c r="W635" s="17">
        <f>INT(Table1[[#This Row],[Reporting date]])-INT(Table1[[#This Row],[Loss date]])</f>
        <v>206</v>
      </c>
      <c r="X635" s="17">
        <f>INT((YEAR(Table1[[#This Row],[Loss date]])*12+MONTH(Table1[[#This Row],[Loss date]])-Earliest_Month)/4)</f>
        <v>6</v>
      </c>
      <c r="Y635" s="17">
        <f>INT((YEAR(Table1[[#This Row],[Reporting date]])*12+MONTH(Table1[[#This Row],[Reporting date]])-Earliest_Month)/4)</f>
        <v>7</v>
      </c>
      <c r="Z635" s="17">
        <f>Table1[[#This Row],[Reporting third]]-Table1[[#This Row],[Policy third]]</f>
        <v>1</v>
      </c>
      <c r="AA635" s="71">
        <f>IF(Table1[[#This Row],[Overall amount]]=0,"N/A",Table1[[#This Row],[Outstanding]]/Table1[[#This Row],[Overall amount]])</f>
        <v>0</v>
      </c>
      <c r="AB635" s="17">
        <f>IF(MONTH(Table1[[#This Row],[Loss date]])&lt;Pol_Inc_Month_Shifted,YEAR(Table1[[#This Row],[Loss date]])-1,YEAR(Table1[[#This Row],[Loss date]]))</f>
        <v>2006</v>
      </c>
      <c r="AC635" s="17">
        <f>IF(MONTH(Table1[[#This Row],[Reporting date]])&lt;Pol_Inc_Month_Shifted,YEAR(Table1[[#This Row],[Reporting date]])-1,YEAR(Table1[[#This Row],[Reporting date]]))</f>
        <v>2006</v>
      </c>
      <c r="AD635" s="17">
        <f>Table1[[#This Row],[Reporting year (shifted)]]-Table1[[#This Row],[Policy Year (shifted)]]</f>
        <v>0</v>
      </c>
    </row>
    <row r="636" spans="1:30" ht="13.9">
      <c r="A636" s="8" t="s">
        <v>2406</v>
      </c>
      <c r="B636" s="8" t="s">
        <v>688</v>
      </c>
      <c r="C636" s="8" t="s">
        <v>123</v>
      </c>
      <c r="D636" s="9">
        <v>38794</v>
      </c>
      <c r="E636" s="9">
        <v>39572</v>
      </c>
      <c r="F636" s="17">
        <f>IF(MONTH(Table1[[#This Row],[Loss date]])&lt;Policy_Inception_Month,YEAR(Table1[[#This Row],[Loss date]])-1,YEAR(Table1[[#This Row],[Loss date]]))</f>
        <v>2005</v>
      </c>
      <c r="G636" s="10" t="s">
        <v>125</v>
      </c>
      <c r="H636" s="10" t="s">
        <v>2</v>
      </c>
      <c r="I636" s="11">
        <v>1883.6641743964431</v>
      </c>
      <c r="J636" s="11">
        <v>0</v>
      </c>
      <c r="K636" s="11">
        <v>1883.6641743964431</v>
      </c>
      <c r="L636" s="12">
        <v>0</v>
      </c>
      <c r="M636" s="12">
        <v>0</v>
      </c>
      <c r="N636" s="12">
        <v>1883.6641743964431</v>
      </c>
      <c r="O636" s="70">
        <f>IF(Table1[[#This Row],[Overall amount]]=0,0,1)</f>
        <v>1</v>
      </c>
      <c r="P636" s="70">
        <f>Table1[[#This Row],[Overall amount]]*Exchange_Rate</f>
        <v>1883.6641743964431</v>
      </c>
      <c r="Q636" s="70">
        <f>Table1[[#This Row],[Overall (destination currency)]]*(1+Claims_Inflation)^((Revalue_at_date-Table1[[#This Row],[Loss date]])/365.25)</f>
        <v>3000</v>
      </c>
      <c r="R636" s="70">
        <f>INT(Table1[[#This Row],[Reporting date]])-INT(Table1[[#This Row],[Loss date]])</f>
        <v>778</v>
      </c>
      <c r="S636" s="69" t="s">
        <v>9</v>
      </c>
      <c r="T636" s="70">
        <f>VLOOKUP(Table1[[#This Row],[Policy Year]],exposure_table,3,FALSE)</f>
        <v>409.50481038040112</v>
      </c>
      <c r="U636" s="17">
        <f>IF(MONTH(Table1[[#This Row],[Reporting date]])&lt;Policy_Inception_Month,YEAR(Table1[[#This Row],[Reporting date]])-1,YEAR(Table1[[#This Row],[Reporting date]]))</f>
        <v>2008</v>
      </c>
      <c r="V636" s="17">
        <f>Table1[[#This Row],[Reporting year]]-Table1[[#This Row],[Policy Year]]</f>
        <v>3</v>
      </c>
      <c r="W636" s="17">
        <f>INT(Table1[[#This Row],[Reporting date]])-INT(Table1[[#This Row],[Loss date]])</f>
        <v>778</v>
      </c>
      <c r="X636" s="17">
        <f>INT((YEAR(Table1[[#This Row],[Loss date]])*12+MONTH(Table1[[#This Row],[Loss date]])-Earliest_Month)/4)</f>
        <v>2</v>
      </c>
      <c r="Y636" s="17">
        <f>INT((YEAR(Table1[[#This Row],[Reporting date]])*12+MONTH(Table1[[#This Row],[Reporting date]])-Earliest_Month)/4)</f>
        <v>9</v>
      </c>
      <c r="Z636" s="17">
        <f>Table1[[#This Row],[Reporting third]]-Table1[[#This Row],[Policy third]]</f>
        <v>7</v>
      </c>
      <c r="AA636" s="71">
        <f>IF(Table1[[#This Row],[Overall amount]]=0,"N/A",Table1[[#This Row],[Outstanding]]/Table1[[#This Row],[Overall amount]])</f>
        <v>0</v>
      </c>
      <c r="AB636" s="17">
        <f>IF(MONTH(Table1[[#This Row],[Loss date]])&lt;Pol_Inc_Month_Shifted,YEAR(Table1[[#This Row],[Loss date]])-1,YEAR(Table1[[#This Row],[Loss date]]))</f>
        <v>2005</v>
      </c>
      <c r="AC636" s="17">
        <f>IF(MONTH(Table1[[#This Row],[Reporting date]])&lt;Pol_Inc_Month_Shifted,YEAR(Table1[[#This Row],[Reporting date]])-1,YEAR(Table1[[#This Row],[Reporting date]]))</f>
        <v>2007</v>
      </c>
      <c r="AD636" s="17">
        <f>Table1[[#This Row],[Reporting year (shifted)]]-Table1[[#This Row],[Policy Year (shifted)]]</f>
        <v>2</v>
      </c>
    </row>
    <row r="637" spans="1:30" ht="13.9">
      <c r="A637" s="8" t="s">
        <v>2407</v>
      </c>
      <c r="B637" s="8" t="s">
        <v>689</v>
      </c>
      <c r="C637" s="8" t="s">
        <v>123</v>
      </c>
      <c r="D637" s="9">
        <v>38578</v>
      </c>
      <c r="E637" s="9">
        <v>39207</v>
      </c>
      <c r="F637" s="17">
        <f>IF(MONTH(Table1[[#This Row],[Loss date]])&lt;Policy_Inception_Month,YEAR(Table1[[#This Row],[Loss date]])-1,YEAR(Table1[[#This Row],[Loss date]]))</f>
        <v>2005</v>
      </c>
      <c r="G637" s="10" t="s">
        <v>125</v>
      </c>
      <c r="H637" s="10" t="s">
        <v>2</v>
      </c>
      <c r="I637" s="11">
        <v>33934.524707519318</v>
      </c>
      <c r="J637" s="11">
        <v>0</v>
      </c>
      <c r="K637" s="11">
        <v>33934.524707519318</v>
      </c>
      <c r="L637" s="12">
        <v>0</v>
      </c>
      <c r="M637" s="12">
        <v>0</v>
      </c>
      <c r="N637" s="12">
        <v>33934.524707519318</v>
      </c>
      <c r="O637" s="70">
        <f>IF(Table1[[#This Row],[Overall amount]]=0,0,1)</f>
        <v>1</v>
      </c>
      <c r="P637" s="70">
        <f>Table1[[#This Row],[Overall amount]]*Exchange_Rate</f>
        <v>33934.524707519318</v>
      </c>
      <c r="Q637" s="70">
        <f>Table1[[#This Row],[Overall (destination currency)]]*(1+Claims_Inflation)^((Revalue_at_date-Table1[[#This Row],[Loss date]])/365.25)</f>
        <v>55627.607999999986</v>
      </c>
      <c r="R637" s="70">
        <f>INT(Table1[[#This Row],[Reporting date]])-INT(Table1[[#This Row],[Loss date]])</f>
        <v>629</v>
      </c>
      <c r="S637" s="69" t="s">
        <v>9</v>
      </c>
      <c r="T637" s="70">
        <f>VLOOKUP(Table1[[#This Row],[Policy Year]],exposure_table,3,FALSE)</f>
        <v>409.50481038040112</v>
      </c>
      <c r="U637" s="17">
        <f>IF(MONTH(Table1[[#This Row],[Reporting date]])&lt;Policy_Inception_Month,YEAR(Table1[[#This Row],[Reporting date]])-1,YEAR(Table1[[#This Row],[Reporting date]]))</f>
        <v>2007</v>
      </c>
      <c r="V637" s="17">
        <f>Table1[[#This Row],[Reporting year]]-Table1[[#This Row],[Policy Year]]</f>
        <v>2</v>
      </c>
      <c r="W637" s="17">
        <f>INT(Table1[[#This Row],[Reporting date]])-INT(Table1[[#This Row],[Loss date]])</f>
        <v>629</v>
      </c>
      <c r="X637" s="17">
        <f>INT((YEAR(Table1[[#This Row],[Loss date]])*12+MONTH(Table1[[#This Row],[Loss date]])-Earliest_Month)/4)</f>
        <v>1</v>
      </c>
      <c r="Y637" s="17">
        <f>INT((YEAR(Table1[[#This Row],[Reporting date]])*12+MONTH(Table1[[#This Row],[Reporting date]])-Earliest_Month)/4)</f>
        <v>6</v>
      </c>
      <c r="Z637" s="17">
        <f>Table1[[#This Row],[Reporting third]]-Table1[[#This Row],[Policy third]]</f>
        <v>5</v>
      </c>
      <c r="AA637" s="71">
        <f>IF(Table1[[#This Row],[Overall amount]]=0,"N/A",Table1[[#This Row],[Outstanding]]/Table1[[#This Row],[Overall amount]])</f>
        <v>0</v>
      </c>
      <c r="AB637" s="17">
        <f>IF(MONTH(Table1[[#This Row],[Loss date]])&lt;Pol_Inc_Month_Shifted,YEAR(Table1[[#This Row],[Loss date]])-1,YEAR(Table1[[#This Row],[Loss date]]))</f>
        <v>2004</v>
      </c>
      <c r="AC637" s="17">
        <f>IF(MONTH(Table1[[#This Row],[Reporting date]])&lt;Pol_Inc_Month_Shifted,YEAR(Table1[[#This Row],[Reporting date]])-1,YEAR(Table1[[#This Row],[Reporting date]]))</f>
        <v>2006</v>
      </c>
      <c r="AD637" s="17">
        <f>Table1[[#This Row],[Reporting year (shifted)]]-Table1[[#This Row],[Policy Year (shifted)]]</f>
        <v>2</v>
      </c>
    </row>
    <row r="638" spans="1:30" ht="13.9">
      <c r="A638" s="8" t="s">
        <v>2408</v>
      </c>
      <c r="B638" s="8" t="s">
        <v>690</v>
      </c>
      <c r="C638" s="8" t="s">
        <v>123</v>
      </c>
      <c r="D638" s="9">
        <v>38817</v>
      </c>
      <c r="E638" s="9">
        <v>39845</v>
      </c>
      <c r="F638" s="17">
        <f>IF(MONTH(Table1[[#This Row],[Loss date]])&lt;Policy_Inception_Month,YEAR(Table1[[#This Row],[Loss date]])-1,YEAR(Table1[[#This Row],[Loss date]]))</f>
        <v>2006</v>
      </c>
      <c r="G638" s="10" t="s">
        <v>125</v>
      </c>
      <c r="H638" s="10" t="s">
        <v>2</v>
      </c>
      <c r="I638" s="11">
        <v>17107.241927502939</v>
      </c>
      <c r="J638" s="11">
        <v>0</v>
      </c>
      <c r="K638" s="11">
        <v>17107.241927502939</v>
      </c>
      <c r="L638" s="12">
        <v>0</v>
      </c>
      <c r="M638" s="12">
        <v>0</v>
      </c>
      <c r="N638" s="12">
        <v>17107.241927502939</v>
      </c>
      <c r="O638" s="70">
        <f>IF(Table1[[#This Row],[Overall amount]]=0,0,1)</f>
        <v>1</v>
      </c>
      <c r="P638" s="70">
        <f>Table1[[#This Row],[Overall amount]]*Exchange_Rate</f>
        <v>17107.241927502939</v>
      </c>
      <c r="Q638" s="70">
        <f>Table1[[#This Row],[Overall (destination currency)]]*(1+Claims_Inflation)^((Revalue_at_date-Table1[[#This Row],[Loss date]])/365.25)</f>
        <v>27162.108</v>
      </c>
      <c r="R638" s="70">
        <f>INT(Table1[[#This Row],[Reporting date]])-INT(Table1[[#This Row],[Loss date]])</f>
        <v>1028</v>
      </c>
      <c r="S638" s="69" t="s">
        <v>9</v>
      </c>
      <c r="T638" s="70">
        <f>VLOOKUP(Table1[[#This Row],[Policy Year]],exposure_table,3,FALSE)</f>
        <v>483.32023209000977</v>
      </c>
      <c r="U638" s="17">
        <f>IF(MONTH(Table1[[#This Row],[Reporting date]])&lt;Policy_Inception_Month,YEAR(Table1[[#This Row],[Reporting date]])-1,YEAR(Table1[[#This Row],[Reporting date]]))</f>
        <v>2008</v>
      </c>
      <c r="V638" s="17">
        <f>Table1[[#This Row],[Reporting year]]-Table1[[#This Row],[Policy Year]]</f>
        <v>2</v>
      </c>
      <c r="W638" s="17">
        <f>INT(Table1[[#This Row],[Reporting date]])-INT(Table1[[#This Row],[Loss date]])</f>
        <v>1028</v>
      </c>
      <c r="X638" s="17">
        <f>INT((YEAR(Table1[[#This Row],[Loss date]])*12+MONTH(Table1[[#This Row],[Loss date]])-Earliest_Month)/4)</f>
        <v>3</v>
      </c>
      <c r="Y638" s="17">
        <f>INT((YEAR(Table1[[#This Row],[Reporting date]])*12+MONTH(Table1[[#This Row],[Reporting date]])-Earliest_Month)/4)</f>
        <v>11</v>
      </c>
      <c r="Z638" s="17">
        <f>Table1[[#This Row],[Reporting third]]-Table1[[#This Row],[Policy third]]</f>
        <v>8</v>
      </c>
      <c r="AA638" s="71">
        <f>IF(Table1[[#This Row],[Overall amount]]=0,"N/A",Table1[[#This Row],[Outstanding]]/Table1[[#This Row],[Overall amount]])</f>
        <v>0</v>
      </c>
      <c r="AB638" s="17">
        <f>IF(MONTH(Table1[[#This Row],[Loss date]])&lt;Pol_Inc_Month_Shifted,YEAR(Table1[[#This Row],[Loss date]])-1,YEAR(Table1[[#This Row],[Loss date]]))</f>
        <v>2005</v>
      </c>
      <c r="AC638" s="17">
        <f>IF(MONTH(Table1[[#This Row],[Reporting date]])&lt;Pol_Inc_Month_Shifted,YEAR(Table1[[#This Row],[Reporting date]])-1,YEAR(Table1[[#This Row],[Reporting date]]))</f>
        <v>2008</v>
      </c>
      <c r="AD638" s="17">
        <f>Table1[[#This Row],[Reporting year (shifted)]]-Table1[[#This Row],[Policy Year (shifted)]]</f>
        <v>3</v>
      </c>
    </row>
    <row r="639" spans="1:30" ht="13.9">
      <c r="A639" s="8" t="s">
        <v>2409</v>
      </c>
      <c r="B639" s="8" t="s">
        <v>691</v>
      </c>
      <c r="C639" s="8" t="s">
        <v>123</v>
      </c>
      <c r="D639" s="9">
        <v>39648</v>
      </c>
      <c r="E639" s="9">
        <v>39997</v>
      </c>
      <c r="F639" s="17">
        <f>IF(MONTH(Table1[[#This Row],[Loss date]])&lt;Policy_Inception_Month,YEAR(Table1[[#This Row],[Loss date]])-1,YEAR(Table1[[#This Row],[Loss date]]))</f>
        <v>2008</v>
      </c>
      <c r="G639" s="10" t="s">
        <v>124</v>
      </c>
      <c r="H639" s="10" t="s">
        <v>2</v>
      </c>
      <c r="I639" s="11">
        <v>1447.6400187069939</v>
      </c>
      <c r="J639" s="11">
        <v>0</v>
      </c>
      <c r="K639" s="11">
        <v>1447.6400187069939</v>
      </c>
      <c r="L639" s="12">
        <v>0</v>
      </c>
      <c r="M639" s="12">
        <v>0</v>
      </c>
      <c r="N639" s="12">
        <v>1447.6400187069939</v>
      </c>
      <c r="O639" s="70">
        <f>IF(Table1[[#This Row],[Overall amount]]=0,0,1)</f>
        <v>1</v>
      </c>
      <c r="P639" s="70">
        <f>Table1[[#This Row],[Overall amount]]*Exchange_Rate</f>
        <v>1447.6400187069939</v>
      </c>
      <c r="Q639" s="70">
        <f>Table1[[#This Row],[Overall (destination currency)]]*(1+Claims_Inflation)^((Revalue_at_date-Table1[[#This Row],[Loss date]])/365.25)</f>
        <v>2057.0039999999999</v>
      </c>
      <c r="R639" s="70">
        <f>INT(Table1[[#This Row],[Reporting date]])-INT(Table1[[#This Row],[Loss date]])</f>
        <v>349</v>
      </c>
      <c r="S639" s="69" t="s">
        <v>9</v>
      </c>
      <c r="T639" s="70">
        <f>VLOOKUP(Table1[[#This Row],[Policy Year]],exposure_table,3,FALSE)</f>
        <v>601.98581780480015</v>
      </c>
      <c r="U639" s="17">
        <f>IF(MONTH(Table1[[#This Row],[Reporting date]])&lt;Policy_Inception_Month,YEAR(Table1[[#This Row],[Reporting date]])-1,YEAR(Table1[[#This Row],[Reporting date]]))</f>
        <v>2009</v>
      </c>
      <c r="V639" s="17">
        <f>Table1[[#This Row],[Reporting year]]-Table1[[#This Row],[Policy Year]]</f>
        <v>1</v>
      </c>
      <c r="W639" s="17">
        <f>INT(Table1[[#This Row],[Reporting date]])-INT(Table1[[#This Row],[Loss date]])</f>
        <v>349</v>
      </c>
      <c r="X639" s="17">
        <f>INT((YEAR(Table1[[#This Row],[Loss date]])*12+MONTH(Table1[[#This Row],[Loss date]])-Earliest_Month)/4)</f>
        <v>9</v>
      </c>
      <c r="Y639" s="17">
        <f>INT((YEAR(Table1[[#This Row],[Reporting date]])*12+MONTH(Table1[[#This Row],[Reporting date]])-Earliest_Month)/4)</f>
        <v>12</v>
      </c>
      <c r="Z639" s="17">
        <f>Table1[[#This Row],[Reporting third]]-Table1[[#This Row],[Policy third]]</f>
        <v>3</v>
      </c>
      <c r="AA639" s="71">
        <f>IF(Table1[[#This Row],[Overall amount]]=0,"N/A",Table1[[#This Row],[Outstanding]]/Table1[[#This Row],[Overall amount]])</f>
        <v>0</v>
      </c>
      <c r="AB639" s="17">
        <f>IF(MONTH(Table1[[#This Row],[Loss date]])&lt;Pol_Inc_Month_Shifted,YEAR(Table1[[#This Row],[Loss date]])-1,YEAR(Table1[[#This Row],[Loss date]]))</f>
        <v>2007</v>
      </c>
      <c r="AC639" s="17">
        <f>IF(MONTH(Table1[[#This Row],[Reporting date]])&lt;Pol_Inc_Month_Shifted,YEAR(Table1[[#This Row],[Reporting date]])-1,YEAR(Table1[[#This Row],[Reporting date]]))</f>
        <v>2008</v>
      </c>
      <c r="AD639" s="17">
        <f>Table1[[#This Row],[Reporting year (shifted)]]-Table1[[#This Row],[Policy Year (shifted)]]</f>
        <v>1</v>
      </c>
    </row>
    <row r="640" spans="1:30" ht="13.9">
      <c r="A640" s="8" t="s">
        <v>2410</v>
      </c>
      <c r="B640" s="8" t="s">
        <v>692</v>
      </c>
      <c r="C640" s="8" t="s">
        <v>123</v>
      </c>
      <c r="D640" s="9">
        <v>39191</v>
      </c>
      <c r="E640" s="9">
        <v>40238</v>
      </c>
      <c r="F640" s="17">
        <f>IF(MONTH(Table1[[#This Row],[Loss date]])&lt;Policy_Inception_Month,YEAR(Table1[[#This Row],[Loss date]])-1,YEAR(Table1[[#This Row],[Loss date]]))</f>
        <v>2007</v>
      </c>
      <c r="G640" s="10" t="s">
        <v>126</v>
      </c>
      <c r="H640" s="10" t="s">
        <v>2</v>
      </c>
      <c r="I640" s="11">
        <v>6054.6014647378879</v>
      </c>
      <c r="J640" s="11">
        <v>0</v>
      </c>
      <c r="K640" s="11">
        <v>6054.6014647378879</v>
      </c>
      <c r="L640" s="12">
        <v>0</v>
      </c>
      <c r="M640" s="12">
        <v>0</v>
      </c>
      <c r="N640" s="12">
        <v>6054.6014647378879</v>
      </c>
      <c r="O640" s="70">
        <f>IF(Table1[[#This Row],[Overall amount]]=0,0,1)</f>
        <v>1</v>
      </c>
      <c r="P640" s="70">
        <f>Table1[[#This Row],[Overall amount]]*Exchange_Rate</f>
        <v>6054.6014647378879</v>
      </c>
      <c r="Q640" s="70">
        <f>Table1[[#This Row],[Overall (destination currency)]]*(1+Claims_Inflation)^((Revalue_at_date-Table1[[#This Row],[Loss date]])/365.25)</f>
        <v>9144.7559999999994</v>
      </c>
      <c r="R640" s="70">
        <f>INT(Table1[[#This Row],[Reporting date]])-INT(Table1[[#This Row],[Loss date]])</f>
        <v>1047</v>
      </c>
      <c r="S640" s="69" t="s">
        <v>9</v>
      </c>
      <c r="T640" s="70">
        <f>VLOOKUP(Table1[[#This Row],[Policy Year]],exposure_table,3,FALSE)</f>
        <v>547.7736362475523</v>
      </c>
      <c r="U640" s="17">
        <f>IF(MONTH(Table1[[#This Row],[Reporting date]])&lt;Policy_Inception_Month,YEAR(Table1[[#This Row],[Reporting date]])-1,YEAR(Table1[[#This Row],[Reporting date]]))</f>
        <v>2009</v>
      </c>
      <c r="V640" s="17">
        <f>Table1[[#This Row],[Reporting year]]-Table1[[#This Row],[Policy Year]]</f>
        <v>2</v>
      </c>
      <c r="W640" s="17">
        <f>INT(Table1[[#This Row],[Reporting date]])-INT(Table1[[#This Row],[Loss date]])</f>
        <v>1047</v>
      </c>
      <c r="X640" s="17">
        <f>INT((YEAR(Table1[[#This Row],[Loss date]])*12+MONTH(Table1[[#This Row],[Loss date]])-Earliest_Month)/4)</f>
        <v>6</v>
      </c>
      <c r="Y640" s="17">
        <f>INT((YEAR(Table1[[#This Row],[Reporting date]])*12+MONTH(Table1[[#This Row],[Reporting date]])-Earliest_Month)/4)</f>
        <v>14</v>
      </c>
      <c r="Z640" s="17">
        <f>Table1[[#This Row],[Reporting third]]-Table1[[#This Row],[Policy third]]</f>
        <v>8</v>
      </c>
      <c r="AA640" s="71">
        <f>IF(Table1[[#This Row],[Overall amount]]=0,"N/A",Table1[[#This Row],[Outstanding]]/Table1[[#This Row],[Overall amount]])</f>
        <v>0</v>
      </c>
      <c r="AB640" s="17">
        <f>IF(MONTH(Table1[[#This Row],[Loss date]])&lt;Pol_Inc_Month_Shifted,YEAR(Table1[[#This Row],[Loss date]])-1,YEAR(Table1[[#This Row],[Loss date]]))</f>
        <v>2006</v>
      </c>
      <c r="AC640" s="17">
        <f>IF(MONTH(Table1[[#This Row],[Reporting date]])&lt;Pol_Inc_Month_Shifted,YEAR(Table1[[#This Row],[Reporting date]])-1,YEAR(Table1[[#This Row],[Reporting date]]))</f>
        <v>2009</v>
      </c>
      <c r="AD640" s="17">
        <f>Table1[[#This Row],[Reporting year (shifted)]]-Table1[[#This Row],[Policy Year (shifted)]]</f>
        <v>3</v>
      </c>
    </row>
    <row r="641" spans="1:30" ht="13.9">
      <c r="A641" s="8" t="s">
        <v>2411</v>
      </c>
      <c r="B641" s="8" t="s">
        <v>693</v>
      </c>
      <c r="C641" s="8" t="s">
        <v>123</v>
      </c>
      <c r="D641" s="9">
        <v>38677</v>
      </c>
      <c r="E641" s="9">
        <v>38794</v>
      </c>
      <c r="F641" s="17">
        <f>IF(MONTH(Table1[[#This Row],[Loss date]])&lt;Policy_Inception_Month,YEAR(Table1[[#This Row],[Loss date]])-1,YEAR(Table1[[#This Row],[Loss date]]))</f>
        <v>2005</v>
      </c>
      <c r="G641" s="10" t="s">
        <v>125</v>
      </c>
      <c r="H641" s="10" t="s">
        <v>2</v>
      </c>
      <c r="I641" s="11">
        <v>5692.4303681804022</v>
      </c>
      <c r="J641" s="11">
        <v>0</v>
      </c>
      <c r="K641" s="11">
        <v>5692.4303681804022</v>
      </c>
      <c r="L641" s="12">
        <v>0</v>
      </c>
      <c r="M641" s="12">
        <v>392.7776954044478</v>
      </c>
      <c r="N641" s="12">
        <v>5299.6526727759547</v>
      </c>
      <c r="O641" s="70">
        <f>IF(Table1[[#This Row],[Overall amount]]=0,0,1)</f>
        <v>1</v>
      </c>
      <c r="P641" s="70">
        <f>Table1[[#This Row],[Overall amount]]*Exchange_Rate</f>
        <v>5299.6526727759547</v>
      </c>
      <c r="Q641" s="70">
        <f>Table1[[#This Row],[Overall (destination currency)]]*(1+Claims_Inflation)^((Revalue_at_date-Table1[[#This Row],[Loss date]])/365.25)</f>
        <v>8573.3927999999996</v>
      </c>
      <c r="R641" s="70">
        <f>INT(Table1[[#This Row],[Reporting date]])-INT(Table1[[#This Row],[Loss date]])</f>
        <v>117</v>
      </c>
      <c r="S641" s="69" t="s">
        <v>9</v>
      </c>
      <c r="T641" s="70">
        <f>VLOOKUP(Table1[[#This Row],[Policy Year]],exposure_table,3,FALSE)</f>
        <v>409.50481038040112</v>
      </c>
      <c r="U641" s="17">
        <f>IF(MONTH(Table1[[#This Row],[Reporting date]])&lt;Policy_Inception_Month,YEAR(Table1[[#This Row],[Reporting date]])-1,YEAR(Table1[[#This Row],[Reporting date]]))</f>
        <v>2005</v>
      </c>
      <c r="V641" s="17">
        <f>Table1[[#This Row],[Reporting year]]-Table1[[#This Row],[Policy Year]]</f>
        <v>0</v>
      </c>
      <c r="W641" s="17">
        <f>INT(Table1[[#This Row],[Reporting date]])-INT(Table1[[#This Row],[Loss date]])</f>
        <v>117</v>
      </c>
      <c r="X641" s="17">
        <f>INT((YEAR(Table1[[#This Row],[Loss date]])*12+MONTH(Table1[[#This Row],[Loss date]])-Earliest_Month)/4)</f>
        <v>1</v>
      </c>
      <c r="Y641" s="17">
        <f>INT((YEAR(Table1[[#This Row],[Reporting date]])*12+MONTH(Table1[[#This Row],[Reporting date]])-Earliest_Month)/4)</f>
        <v>2</v>
      </c>
      <c r="Z641" s="17">
        <f>Table1[[#This Row],[Reporting third]]-Table1[[#This Row],[Policy third]]</f>
        <v>1</v>
      </c>
      <c r="AA641" s="71">
        <f>IF(Table1[[#This Row],[Overall amount]]=0,"N/A",Table1[[#This Row],[Outstanding]]/Table1[[#This Row],[Overall amount]])</f>
        <v>0</v>
      </c>
      <c r="AB641" s="17">
        <f>IF(MONTH(Table1[[#This Row],[Loss date]])&lt;Pol_Inc_Month_Shifted,YEAR(Table1[[#This Row],[Loss date]])-1,YEAR(Table1[[#This Row],[Loss date]]))</f>
        <v>2004</v>
      </c>
      <c r="AC641" s="17">
        <f>IF(MONTH(Table1[[#This Row],[Reporting date]])&lt;Pol_Inc_Month_Shifted,YEAR(Table1[[#This Row],[Reporting date]])-1,YEAR(Table1[[#This Row],[Reporting date]]))</f>
        <v>2005</v>
      </c>
      <c r="AD641" s="17">
        <f>Table1[[#This Row],[Reporting year (shifted)]]-Table1[[#This Row],[Policy Year (shifted)]]</f>
        <v>1</v>
      </c>
    </row>
    <row r="642" spans="1:30" ht="13.9">
      <c r="A642" s="8" t="s">
        <v>2412</v>
      </c>
      <c r="B642" s="8" t="s">
        <v>694</v>
      </c>
      <c r="C642" s="8" t="s">
        <v>123</v>
      </c>
      <c r="D642" s="9">
        <v>38707</v>
      </c>
      <c r="E642" s="9">
        <v>38923</v>
      </c>
      <c r="F642" s="17">
        <f>IF(MONTH(Table1[[#This Row],[Loss date]])&lt;Policy_Inception_Month,YEAR(Table1[[#This Row],[Loss date]])-1,YEAR(Table1[[#This Row],[Loss date]]))</f>
        <v>2005</v>
      </c>
      <c r="G642" s="10" t="s">
        <v>125</v>
      </c>
      <c r="H642" s="10" t="s">
        <v>2</v>
      </c>
      <c r="I642" s="11">
        <v>900.78718458828041</v>
      </c>
      <c r="J642" s="11">
        <v>0</v>
      </c>
      <c r="K642" s="11">
        <v>900.78718458828041</v>
      </c>
      <c r="L642" s="12">
        <v>0</v>
      </c>
      <c r="M642" s="12">
        <v>2.7023615537648409</v>
      </c>
      <c r="N642" s="12">
        <v>898.08482303451558</v>
      </c>
      <c r="O642" s="70">
        <f>IF(Table1[[#This Row],[Overall amount]]=0,0,1)</f>
        <v>1</v>
      </c>
      <c r="P642" s="70">
        <f>Table1[[#This Row],[Overall amount]]*Exchange_Rate</f>
        <v>898.08482303451558</v>
      </c>
      <c r="Q642" s="70">
        <f>Table1[[#This Row],[Overall (destination currency)]]*(1+Claims_Inflation)^((Revalue_at_date-Table1[[#This Row],[Loss date]])/365.25)</f>
        <v>1447.0458000000001</v>
      </c>
      <c r="R642" s="70">
        <f>INT(Table1[[#This Row],[Reporting date]])-INT(Table1[[#This Row],[Loss date]])</f>
        <v>216</v>
      </c>
      <c r="S642" s="69" t="s">
        <v>9</v>
      </c>
      <c r="T642" s="70">
        <f>VLOOKUP(Table1[[#This Row],[Policy Year]],exposure_table,3,FALSE)</f>
        <v>409.50481038040112</v>
      </c>
      <c r="U642" s="17">
        <f>IF(MONTH(Table1[[#This Row],[Reporting date]])&lt;Policy_Inception_Month,YEAR(Table1[[#This Row],[Reporting date]])-1,YEAR(Table1[[#This Row],[Reporting date]]))</f>
        <v>2006</v>
      </c>
      <c r="V642" s="17">
        <f>Table1[[#This Row],[Reporting year]]-Table1[[#This Row],[Policy Year]]</f>
        <v>1</v>
      </c>
      <c r="W642" s="17">
        <f>INT(Table1[[#This Row],[Reporting date]])-INT(Table1[[#This Row],[Loss date]])</f>
        <v>216</v>
      </c>
      <c r="X642" s="17">
        <f>INT((YEAR(Table1[[#This Row],[Loss date]])*12+MONTH(Table1[[#This Row],[Loss date]])-Earliest_Month)/4)</f>
        <v>2</v>
      </c>
      <c r="Y642" s="17">
        <f>INT((YEAR(Table1[[#This Row],[Reporting date]])*12+MONTH(Table1[[#This Row],[Reporting date]])-Earliest_Month)/4)</f>
        <v>3</v>
      </c>
      <c r="Z642" s="17">
        <f>Table1[[#This Row],[Reporting third]]-Table1[[#This Row],[Policy third]]</f>
        <v>1</v>
      </c>
      <c r="AA642" s="71">
        <f>IF(Table1[[#This Row],[Overall amount]]=0,"N/A",Table1[[#This Row],[Outstanding]]/Table1[[#This Row],[Overall amount]])</f>
        <v>0</v>
      </c>
      <c r="AB642" s="17">
        <f>IF(MONTH(Table1[[#This Row],[Loss date]])&lt;Pol_Inc_Month_Shifted,YEAR(Table1[[#This Row],[Loss date]])-1,YEAR(Table1[[#This Row],[Loss date]]))</f>
        <v>2005</v>
      </c>
      <c r="AC642" s="17">
        <f>IF(MONTH(Table1[[#This Row],[Reporting date]])&lt;Pol_Inc_Month_Shifted,YEAR(Table1[[#This Row],[Reporting date]])-1,YEAR(Table1[[#This Row],[Reporting date]]))</f>
        <v>2005</v>
      </c>
      <c r="AD642" s="17">
        <f>Table1[[#This Row],[Reporting year (shifted)]]-Table1[[#This Row],[Policy Year (shifted)]]</f>
        <v>0</v>
      </c>
    </row>
    <row r="643" spans="1:30" ht="13.9">
      <c r="A643" s="8" t="s">
        <v>2413</v>
      </c>
      <c r="B643" s="8" t="s">
        <v>695</v>
      </c>
      <c r="C643" s="8" t="s">
        <v>123</v>
      </c>
      <c r="D643" s="9">
        <v>38489</v>
      </c>
      <c r="E643" s="9">
        <v>39419</v>
      </c>
      <c r="F643" s="17">
        <f>IF(MONTH(Table1[[#This Row],[Loss date]])&lt;Policy_Inception_Month,YEAR(Table1[[#This Row],[Loss date]])-1,YEAR(Table1[[#This Row],[Loss date]]))</f>
        <v>2005</v>
      </c>
      <c r="G643" s="10" t="s">
        <v>124</v>
      </c>
      <c r="H643" s="10" t="s">
        <v>2</v>
      </c>
      <c r="I643" s="11">
        <v>415.0421081995994</v>
      </c>
      <c r="J643" s="11">
        <v>0</v>
      </c>
      <c r="K643" s="11">
        <v>415.0421081995994</v>
      </c>
      <c r="L643" s="12">
        <v>0</v>
      </c>
      <c r="M643" s="12">
        <v>0</v>
      </c>
      <c r="N643" s="12">
        <v>415.0421081995994</v>
      </c>
      <c r="O643" s="70">
        <f>IF(Table1[[#This Row],[Overall amount]]=0,0,1)</f>
        <v>1</v>
      </c>
      <c r="P643" s="70">
        <f>Table1[[#This Row],[Overall amount]]*Exchange_Rate</f>
        <v>415.0421081995994</v>
      </c>
      <c r="Q643" s="70">
        <f>Table1[[#This Row],[Overall (destination currency)]]*(1+Claims_Inflation)^((Revalue_at_date-Table1[[#This Row],[Loss date]])/365.25)</f>
        <v>688.5</v>
      </c>
      <c r="R643" s="70">
        <f>INT(Table1[[#This Row],[Reporting date]])-INT(Table1[[#This Row],[Loss date]])</f>
        <v>930</v>
      </c>
      <c r="S643" s="69" t="s">
        <v>9</v>
      </c>
      <c r="T643" s="70">
        <f>VLOOKUP(Table1[[#This Row],[Policy Year]],exposure_table,3,FALSE)</f>
        <v>409.50481038040112</v>
      </c>
      <c r="U643" s="17">
        <f>IF(MONTH(Table1[[#This Row],[Reporting date]])&lt;Policy_Inception_Month,YEAR(Table1[[#This Row],[Reporting date]])-1,YEAR(Table1[[#This Row],[Reporting date]]))</f>
        <v>2007</v>
      </c>
      <c r="V643" s="17">
        <f>Table1[[#This Row],[Reporting year]]-Table1[[#This Row],[Policy Year]]</f>
        <v>2</v>
      </c>
      <c r="W643" s="17">
        <f>INT(Table1[[#This Row],[Reporting date]])-INT(Table1[[#This Row],[Loss date]])</f>
        <v>930</v>
      </c>
      <c r="X643" s="17">
        <f>INT((YEAR(Table1[[#This Row],[Loss date]])*12+MONTH(Table1[[#This Row],[Loss date]])-Earliest_Month)/4)</f>
        <v>0</v>
      </c>
      <c r="Y643" s="17">
        <f>INT((YEAR(Table1[[#This Row],[Reporting date]])*12+MONTH(Table1[[#This Row],[Reporting date]])-Earliest_Month)/4)</f>
        <v>8</v>
      </c>
      <c r="Z643" s="17">
        <f>Table1[[#This Row],[Reporting third]]-Table1[[#This Row],[Policy third]]</f>
        <v>8</v>
      </c>
      <c r="AA643" s="71">
        <f>IF(Table1[[#This Row],[Overall amount]]=0,"N/A",Table1[[#This Row],[Outstanding]]/Table1[[#This Row],[Overall amount]])</f>
        <v>0</v>
      </c>
      <c r="AB643" s="17">
        <f>IF(MONTH(Table1[[#This Row],[Loss date]])&lt;Pol_Inc_Month_Shifted,YEAR(Table1[[#This Row],[Loss date]])-1,YEAR(Table1[[#This Row],[Loss date]]))</f>
        <v>2004</v>
      </c>
      <c r="AC643" s="17">
        <f>IF(MONTH(Table1[[#This Row],[Reporting date]])&lt;Pol_Inc_Month_Shifted,YEAR(Table1[[#This Row],[Reporting date]])-1,YEAR(Table1[[#This Row],[Reporting date]]))</f>
        <v>2007</v>
      </c>
      <c r="AD643" s="17">
        <f>Table1[[#This Row],[Reporting year (shifted)]]-Table1[[#This Row],[Policy Year (shifted)]]</f>
        <v>3</v>
      </c>
    </row>
    <row r="644" spans="1:30" ht="13.9">
      <c r="A644" s="8" t="s">
        <v>2414</v>
      </c>
      <c r="B644" s="8" t="s">
        <v>696</v>
      </c>
      <c r="C644" s="8" t="s">
        <v>123</v>
      </c>
      <c r="D644" s="9">
        <v>39712</v>
      </c>
      <c r="E644" s="9">
        <v>39780</v>
      </c>
      <c r="F644" s="17">
        <f>IF(MONTH(Table1[[#This Row],[Loss date]])&lt;Policy_Inception_Month,YEAR(Table1[[#This Row],[Loss date]])-1,YEAR(Table1[[#This Row],[Loss date]]))</f>
        <v>2008</v>
      </c>
      <c r="G644" s="10" t="s">
        <v>131</v>
      </c>
      <c r="H644" s="10" t="s">
        <v>2</v>
      </c>
      <c r="I644" s="11">
        <v>657.63032836509262</v>
      </c>
      <c r="J644" s="11">
        <v>0</v>
      </c>
      <c r="K644" s="11">
        <v>657.63032836509262</v>
      </c>
      <c r="L644" s="12">
        <v>0</v>
      </c>
      <c r="M644" s="12">
        <v>0</v>
      </c>
      <c r="N644" s="12">
        <v>657.63032836509262</v>
      </c>
      <c r="O644" s="70">
        <f>IF(Table1[[#This Row],[Overall amount]]=0,0,1)</f>
        <v>1</v>
      </c>
      <c r="P644" s="70">
        <f>Table1[[#This Row],[Overall amount]]*Exchange_Rate</f>
        <v>657.63032836509262</v>
      </c>
      <c r="Q644" s="70">
        <f>Table1[[#This Row],[Overall (destination currency)]]*(1+Claims_Inflation)^((Revalue_at_date-Table1[[#This Row],[Loss date]])/365.25)</f>
        <v>926.49599999999998</v>
      </c>
      <c r="R644" s="70">
        <f>INT(Table1[[#This Row],[Reporting date]])-INT(Table1[[#This Row],[Loss date]])</f>
        <v>68</v>
      </c>
      <c r="S644" s="69" t="s">
        <v>9</v>
      </c>
      <c r="T644" s="70">
        <f>VLOOKUP(Table1[[#This Row],[Policy Year]],exposure_table,3,FALSE)</f>
        <v>601.98581780480015</v>
      </c>
      <c r="U644" s="17">
        <f>IF(MONTH(Table1[[#This Row],[Reporting date]])&lt;Policy_Inception_Month,YEAR(Table1[[#This Row],[Reporting date]])-1,YEAR(Table1[[#This Row],[Reporting date]]))</f>
        <v>2008</v>
      </c>
      <c r="V644" s="17">
        <f>Table1[[#This Row],[Reporting year]]-Table1[[#This Row],[Policy Year]]</f>
        <v>0</v>
      </c>
      <c r="W644" s="17">
        <f>INT(Table1[[#This Row],[Reporting date]])-INT(Table1[[#This Row],[Loss date]])</f>
        <v>68</v>
      </c>
      <c r="X644" s="17">
        <f>INT((YEAR(Table1[[#This Row],[Loss date]])*12+MONTH(Table1[[#This Row],[Loss date]])-Earliest_Month)/4)</f>
        <v>10</v>
      </c>
      <c r="Y644" s="17">
        <f>INT((YEAR(Table1[[#This Row],[Reporting date]])*12+MONTH(Table1[[#This Row],[Reporting date]])-Earliest_Month)/4)</f>
        <v>10</v>
      </c>
      <c r="Z644" s="17">
        <f>Table1[[#This Row],[Reporting third]]-Table1[[#This Row],[Policy third]]</f>
        <v>0</v>
      </c>
      <c r="AA644" s="71">
        <f>IF(Table1[[#This Row],[Overall amount]]=0,"N/A",Table1[[#This Row],[Outstanding]]/Table1[[#This Row],[Overall amount]])</f>
        <v>0</v>
      </c>
      <c r="AB644" s="17">
        <f>IF(MONTH(Table1[[#This Row],[Loss date]])&lt;Pol_Inc_Month_Shifted,YEAR(Table1[[#This Row],[Loss date]])-1,YEAR(Table1[[#This Row],[Loss date]]))</f>
        <v>2007</v>
      </c>
      <c r="AC644" s="17">
        <f>IF(MONTH(Table1[[#This Row],[Reporting date]])&lt;Pol_Inc_Month_Shifted,YEAR(Table1[[#This Row],[Reporting date]])-1,YEAR(Table1[[#This Row],[Reporting date]]))</f>
        <v>2007</v>
      </c>
      <c r="AD644" s="17">
        <f>Table1[[#This Row],[Reporting year (shifted)]]-Table1[[#This Row],[Policy Year (shifted)]]</f>
        <v>0</v>
      </c>
    </row>
    <row r="645" spans="1:30" ht="13.9">
      <c r="A645" s="8" t="s">
        <v>2415</v>
      </c>
      <c r="B645" s="8" t="s">
        <v>697</v>
      </c>
      <c r="C645" s="8" t="s">
        <v>123</v>
      </c>
      <c r="D645" s="9">
        <v>39159</v>
      </c>
      <c r="E645" s="9">
        <v>39852</v>
      </c>
      <c r="F645" s="17">
        <f>IF(MONTH(Table1[[#This Row],[Loss date]])&lt;Policy_Inception_Month,YEAR(Table1[[#This Row],[Loss date]])-1,YEAR(Table1[[#This Row],[Loss date]]))</f>
        <v>2006</v>
      </c>
      <c r="G645" s="10" t="s">
        <v>125</v>
      </c>
      <c r="H645" s="10" t="s">
        <v>2</v>
      </c>
      <c r="I645" s="11">
        <v>4337.6700215360861</v>
      </c>
      <c r="J645" s="11">
        <v>0</v>
      </c>
      <c r="K645" s="11">
        <v>4337.6700215360861</v>
      </c>
      <c r="L645" s="12">
        <v>0</v>
      </c>
      <c r="M645" s="12">
        <v>0</v>
      </c>
      <c r="N645" s="12">
        <v>4337.6700215360861</v>
      </c>
      <c r="O645" s="70">
        <f>IF(Table1[[#This Row],[Overall amount]]=0,0,1)</f>
        <v>1</v>
      </c>
      <c r="P645" s="70">
        <f>Table1[[#This Row],[Overall amount]]*Exchange_Rate</f>
        <v>4337.6700215360861</v>
      </c>
      <c r="Q645" s="70">
        <f>Table1[[#This Row],[Overall (destination currency)]]*(1+Claims_Inflation)^((Revalue_at_date-Table1[[#This Row],[Loss date]])/365.25)</f>
        <v>6579.5999999999985</v>
      </c>
      <c r="R645" s="70">
        <f>INT(Table1[[#This Row],[Reporting date]])-INT(Table1[[#This Row],[Loss date]])</f>
        <v>693</v>
      </c>
      <c r="S645" s="69" t="s">
        <v>9</v>
      </c>
      <c r="T645" s="70">
        <f>VLOOKUP(Table1[[#This Row],[Policy Year]],exposure_table,3,FALSE)</f>
        <v>483.32023209000977</v>
      </c>
      <c r="U645" s="17">
        <f>IF(MONTH(Table1[[#This Row],[Reporting date]])&lt;Policy_Inception_Month,YEAR(Table1[[#This Row],[Reporting date]])-1,YEAR(Table1[[#This Row],[Reporting date]]))</f>
        <v>2008</v>
      </c>
      <c r="V645" s="17">
        <f>Table1[[#This Row],[Reporting year]]-Table1[[#This Row],[Policy Year]]</f>
        <v>2</v>
      </c>
      <c r="W645" s="17">
        <f>INT(Table1[[#This Row],[Reporting date]])-INT(Table1[[#This Row],[Loss date]])</f>
        <v>693</v>
      </c>
      <c r="X645" s="17">
        <f>INT((YEAR(Table1[[#This Row],[Loss date]])*12+MONTH(Table1[[#This Row],[Loss date]])-Earliest_Month)/4)</f>
        <v>5</v>
      </c>
      <c r="Y645" s="17">
        <f>INT((YEAR(Table1[[#This Row],[Reporting date]])*12+MONTH(Table1[[#This Row],[Reporting date]])-Earliest_Month)/4)</f>
        <v>11</v>
      </c>
      <c r="Z645" s="17">
        <f>Table1[[#This Row],[Reporting third]]-Table1[[#This Row],[Policy third]]</f>
        <v>6</v>
      </c>
      <c r="AA645" s="71">
        <f>IF(Table1[[#This Row],[Overall amount]]=0,"N/A",Table1[[#This Row],[Outstanding]]/Table1[[#This Row],[Overall amount]])</f>
        <v>0</v>
      </c>
      <c r="AB645" s="17">
        <f>IF(MONTH(Table1[[#This Row],[Loss date]])&lt;Pol_Inc_Month_Shifted,YEAR(Table1[[#This Row],[Loss date]])-1,YEAR(Table1[[#This Row],[Loss date]]))</f>
        <v>2006</v>
      </c>
      <c r="AC645" s="17">
        <f>IF(MONTH(Table1[[#This Row],[Reporting date]])&lt;Pol_Inc_Month_Shifted,YEAR(Table1[[#This Row],[Reporting date]])-1,YEAR(Table1[[#This Row],[Reporting date]]))</f>
        <v>2008</v>
      </c>
      <c r="AD645" s="17">
        <f>Table1[[#This Row],[Reporting year (shifted)]]-Table1[[#This Row],[Policy Year (shifted)]]</f>
        <v>2</v>
      </c>
    </row>
    <row r="646" spans="1:30" ht="13.9">
      <c r="A646" s="8" t="s">
        <v>2416</v>
      </c>
      <c r="B646" s="8" t="s">
        <v>698</v>
      </c>
      <c r="C646" s="8" t="s">
        <v>123</v>
      </c>
      <c r="D646" s="9">
        <v>39789</v>
      </c>
      <c r="E646" s="9">
        <v>39879</v>
      </c>
      <c r="F646" s="17">
        <f>IF(MONTH(Table1[[#This Row],[Loss date]])&lt;Policy_Inception_Month,YEAR(Table1[[#This Row],[Loss date]])-1,YEAR(Table1[[#This Row],[Loss date]]))</f>
        <v>2008</v>
      </c>
      <c r="G646" s="10" t="s">
        <v>125</v>
      </c>
      <c r="H646" s="10" t="s">
        <v>2</v>
      </c>
      <c r="I646" s="11">
        <v>6526.4647285015735</v>
      </c>
      <c r="J646" s="11">
        <v>0</v>
      </c>
      <c r="K646" s="11">
        <v>6526.4647285015735</v>
      </c>
      <c r="L646" s="12">
        <v>0</v>
      </c>
      <c r="M646" s="12">
        <v>0</v>
      </c>
      <c r="N646" s="12">
        <v>6526.4647285015735</v>
      </c>
      <c r="O646" s="70">
        <f>IF(Table1[[#This Row],[Overall amount]]=0,0,1)</f>
        <v>1</v>
      </c>
      <c r="P646" s="70">
        <f>Table1[[#This Row],[Overall amount]]*Exchange_Rate</f>
        <v>6526.4647285015735</v>
      </c>
      <c r="Q646" s="70">
        <f>Table1[[#This Row],[Overall (destination currency)]]*(1+Claims_Inflation)^((Revalue_at_date-Table1[[#This Row],[Loss date]])/365.25)</f>
        <v>9100.655999999999</v>
      </c>
      <c r="R646" s="70">
        <f>INT(Table1[[#This Row],[Reporting date]])-INT(Table1[[#This Row],[Loss date]])</f>
        <v>90</v>
      </c>
      <c r="S646" s="69" t="s">
        <v>9</v>
      </c>
      <c r="T646" s="70">
        <f>VLOOKUP(Table1[[#This Row],[Policy Year]],exposure_table,3,FALSE)</f>
        <v>601.98581780480015</v>
      </c>
      <c r="U646" s="17">
        <f>IF(MONTH(Table1[[#This Row],[Reporting date]])&lt;Policy_Inception_Month,YEAR(Table1[[#This Row],[Reporting date]])-1,YEAR(Table1[[#This Row],[Reporting date]]))</f>
        <v>2008</v>
      </c>
      <c r="V646" s="17">
        <f>Table1[[#This Row],[Reporting year]]-Table1[[#This Row],[Policy Year]]</f>
        <v>0</v>
      </c>
      <c r="W646" s="17">
        <f>INT(Table1[[#This Row],[Reporting date]])-INT(Table1[[#This Row],[Loss date]])</f>
        <v>90</v>
      </c>
      <c r="X646" s="17">
        <f>INT((YEAR(Table1[[#This Row],[Loss date]])*12+MONTH(Table1[[#This Row],[Loss date]])-Earliest_Month)/4)</f>
        <v>11</v>
      </c>
      <c r="Y646" s="17">
        <f>INT((YEAR(Table1[[#This Row],[Reporting date]])*12+MONTH(Table1[[#This Row],[Reporting date]])-Earliest_Month)/4)</f>
        <v>11</v>
      </c>
      <c r="Z646" s="17">
        <f>Table1[[#This Row],[Reporting third]]-Table1[[#This Row],[Policy third]]</f>
        <v>0</v>
      </c>
      <c r="AA646" s="71">
        <f>IF(Table1[[#This Row],[Overall amount]]=0,"N/A",Table1[[#This Row],[Outstanding]]/Table1[[#This Row],[Overall amount]])</f>
        <v>0</v>
      </c>
      <c r="AB646" s="17">
        <f>IF(MONTH(Table1[[#This Row],[Loss date]])&lt;Pol_Inc_Month_Shifted,YEAR(Table1[[#This Row],[Loss date]])-1,YEAR(Table1[[#This Row],[Loss date]]))</f>
        <v>2008</v>
      </c>
      <c r="AC646" s="17">
        <f>IF(MONTH(Table1[[#This Row],[Reporting date]])&lt;Pol_Inc_Month_Shifted,YEAR(Table1[[#This Row],[Reporting date]])-1,YEAR(Table1[[#This Row],[Reporting date]]))</f>
        <v>2008</v>
      </c>
      <c r="AD646" s="17">
        <f>Table1[[#This Row],[Reporting year (shifted)]]-Table1[[#This Row],[Policy Year (shifted)]]</f>
        <v>0</v>
      </c>
    </row>
    <row r="647" spans="1:30" ht="13.9">
      <c r="A647" s="8" t="s">
        <v>2417</v>
      </c>
      <c r="B647" s="8" t="s">
        <v>699</v>
      </c>
      <c r="C647" s="8" t="s">
        <v>123</v>
      </c>
      <c r="D647" s="9">
        <v>39832</v>
      </c>
      <c r="E647" s="9">
        <v>39832</v>
      </c>
      <c r="F647" s="17">
        <f>IF(MONTH(Table1[[#This Row],[Loss date]])&lt;Policy_Inception_Month,YEAR(Table1[[#This Row],[Loss date]])-1,YEAR(Table1[[#This Row],[Loss date]]))</f>
        <v>2008</v>
      </c>
      <c r="G647" s="10" t="s">
        <v>125</v>
      </c>
      <c r="H647" s="10" t="s">
        <v>2</v>
      </c>
      <c r="I647" s="11">
        <v>1005.4578788095187</v>
      </c>
      <c r="J647" s="11">
        <v>0</v>
      </c>
      <c r="K647" s="11">
        <v>1005.4578788095187</v>
      </c>
      <c r="L647" s="12">
        <v>0</v>
      </c>
      <c r="M647" s="12">
        <v>97.529414244523323</v>
      </c>
      <c r="N647" s="12">
        <v>907.92846456499535</v>
      </c>
      <c r="O647" s="70">
        <f>IF(Table1[[#This Row],[Overall amount]]=0,0,1)</f>
        <v>1</v>
      </c>
      <c r="P647" s="70">
        <f>Table1[[#This Row],[Overall amount]]*Exchange_Rate</f>
        <v>907.92846456499535</v>
      </c>
      <c r="Q647" s="70">
        <f>Table1[[#This Row],[Overall (destination currency)]]*(1+Claims_Inflation)^((Revalue_at_date-Table1[[#This Row],[Loss date]])/365.25)</f>
        <v>1258.7856119999999</v>
      </c>
      <c r="R647" s="70">
        <f>INT(Table1[[#This Row],[Reporting date]])-INT(Table1[[#This Row],[Loss date]])</f>
        <v>0</v>
      </c>
      <c r="S647" s="69" t="s">
        <v>9</v>
      </c>
      <c r="T647" s="70">
        <f>VLOOKUP(Table1[[#This Row],[Policy Year]],exposure_table,3,FALSE)</f>
        <v>601.98581780480015</v>
      </c>
      <c r="U647" s="17">
        <f>IF(MONTH(Table1[[#This Row],[Reporting date]])&lt;Policy_Inception_Month,YEAR(Table1[[#This Row],[Reporting date]])-1,YEAR(Table1[[#This Row],[Reporting date]]))</f>
        <v>2008</v>
      </c>
      <c r="V647" s="17">
        <f>Table1[[#This Row],[Reporting year]]-Table1[[#This Row],[Policy Year]]</f>
        <v>0</v>
      </c>
      <c r="W647" s="17">
        <f>INT(Table1[[#This Row],[Reporting date]])-INT(Table1[[#This Row],[Loss date]])</f>
        <v>0</v>
      </c>
      <c r="X647" s="17">
        <f>INT((YEAR(Table1[[#This Row],[Loss date]])*12+MONTH(Table1[[#This Row],[Loss date]])-Earliest_Month)/4)</f>
        <v>11</v>
      </c>
      <c r="Y647" s="17">
        <f>INT((YEAR(Table1[[#This Row],[Reporting date]])*12+MONTH(Table1[[#This Row],[Reporting date]])-Earliest_Month)/4)</f>
        <v>11</v>
      </c>
      <c r="Z647" s="17">
        <f>Table1[[#This Row],[Reporting third]]-Table1[[#This Row],[Policy third]]</f>
        <v>0</v>
      </c>
      <c r="AA647" s="71">
        <f>IF(Table1[[#This Row],[Overall amount]]=0,"N/A",Table1[[#This Row],[Outstanding]]/Table1[[#This Row],[Overall amount]])</f>
        <v>0</v>
      </c>
      <c r="AB647" s="17">
        <f>IF(MONTH(Table1[[#This Row],[Loss date]])&lt;Pol_Inc_Month_Shifted,YEAR(Table1[[#This Row],[Loss date]])-1,YEAR(Table1[[#This Row],[Loss date]]))</f>
        <v>2008</v>
      </c>
      <c r="AC647" s="17">
        <f>IF(MONTH(Table1[[#This Row],[Reporting date]])&lt;Pol_Inc_Month_Shifted,YEAR(Table1[[#This Row],[Reporting date]])-1,YEAR(Table1[[#This Row],[Reporting date]]))</f>
        <v>2008</v>
      </c>
      <c r="AD647" s="17">
        <f>Table1[[#This Row],[Reporting year (shifted)]]-Table1[[#This Row],[Policy Year (shifted)]]</f>
        <v>0</v>
      </c>
    </row>
    <row r="648" spans="1:30" ht="13.9">
      <c r="A648" s="8" t="s">
        <v>2418</v>
      </c>
      <c r="B648" s="8" t="s">
        <v>700</v>
      </c>
      <c r="C648" s="8" t="s">
        <v>123</v>
      </c>
      <c r="D648" s="9">
        <v>40056</v>
      </c>
      <c r="E648" s="9">
        <v>40281</v>
      </c>
      <c r="F648" s="17">
        <f>IF(MONTH(Table1[[#This Row],[Loss date]])&lt;Policy_Inception_Month,YEAR(Table1[[#This Row],[Loss date]])-1,YEAR(Table1[[#This Row],[Loss date]]))</f>
        <v>2009</v>
      </c>
      <c r="G648" s="10" t="s">
        <v>126</v>
      </c>
      <c r="H648" s="10" t="s">
        <v>2</v>
      </c>
      <c r="I648" s="11">
        <v>969.85166678558937</v>
      </c>
      <c r="J648" s="11">
        <v>0</v>
      </c>
      <c r="K648" s="11">
        <v>969.85166678558937</v>
      </c>
      <c r="L648" s="12">
        <v>0</v>
      </c>
      <c r="M648" s="12">
        <v>0</v>
      </c>
      <c r="N648" s="12">
        <v>969.85166678558937</v>
      </c>
      <c r="O648" s="70">
        <f>IF(Table1[[#This Row],[Overall amount]]=0,0,1)</f>
        <v>1</v>
      </c>
      <c r="P648" s="70">
        <f>Table1[[#This Row],[Overall amount]]*Exchange_Rate</f>
        <v>969.85166678558937</v>
      </c>
      <c r="Q648" s="70">
        <f>Table1[[#This Row],[Overall (destination currency)]]*(1+Claims_Inflation)^((Revalue_at_date-Table1[[#This Row],[Loss date]])/365.25)</f>
        <v>1305</v>
      </c>
      <c r="R648" s="70">
        <f>INT(Table1[[#This Row],[Reporting date]])-INT(Table1[[#This Row],[Loss date]])</f>
        <v>225</v>
      </c>
      <c r="S648" s="69" t="s">
        <v>9</v>
      </c>
      <c r="T648" s="70">
        <f>VLOOKUP(Table1[[#This Row],[Policy Year]],exposure_table,3,FALSE)</f>
        <v>760.22808576000011</v>
      </c>
      <c r="U648" s="17">
        <f>IF(MONTH(Table1[[#This Row],[Reporting date]])&lt;Policy_Inception_Month,YEAR(Table1[[#This Row],[Reporting date]])-1,YEAR(Table1[[#This Row],[Reporting date]]))</f>
        <v>2010</v>
      </c>
      <c r="V648" s="17">
        <f>Table1[[#This Row],[Reporting year]]-Table1[[#This Row],[Policy Year]]</f>
        <v>1</v>
      </c>
      <c r="W648" s="17">
        <f>INT(Table1[[#This Row],[Reporting date]])-INT(Table1[[#This Row],[Loss date]])</f>
        <v>225</v>
      </c>
      <c r="X648" s="17">
        <f>INT((YEAR(Table1[[#This Row],[Loss date]])*12+MONTH(Table1[[#This Row],[Loss date]])-Earliest_Month)/4)</f>
        <v>13</v>
      </c>
      <c r="Y648" s="17">
        <f>INT((YEAR(Table1[[#This Row],[Reporting date]])*12+MONTH(Table1[[#This Row],[Reporting date]])-Earliest_Month)/4)</f>
        <v>15</v>
      </c>
      <c r="Z648" s="17">
        <f>Table1[[#This Row],[Reporting third]]-Table1[[#This Row],[Policy third]]</f>
        <v>2</v>
      </c>
      <c r="AA648" s="71">
        <f>IF(Table1[[#This Row],[Overall amount]]=0,"N/A",Table1[[#This Row],[Outstanding]]/Table1[[#This Row],[Overall amount]])</f>
        <v>0</v>
      </c>
      <c r="AB648" s="17">
        <f>IF(MONTH(Table1[[#This Row],[Loss date]])&lt;Pol_Inc_Month_Shifted,YEAR(Table1[[#This Row],[Loss date]])-1,YEAR(Table1[[#This Row],[Loss date]]))</f>
        <v>2008</v>
      </c>
      <c r="AC648" s="17">
        <f>IF(MONTH(Table1[[#This Row],[Reporting date]])&lt;Pol_Inc_Month_Shifted,YEAR(Table1[[#This Row],[Reporting date]])-1,YEAR(Table1[[#This Row],[Reporting date]]))</f>
        <v>2009</v>
      </c>
      <c r="AD648" s="17">
        <f>Table1[[#This Row],[Reporting year (shifted)]]-Table1[[#This Row],[Policy Year (shifted)]]</f>
        <v>1</v>
      </c>
    </row>
    <row r="649" spans="1:30" ht="13.9">
      <c r="A649" s="8" t="s">
        <v>2419</v>
      </c>
      <c r="B649" s="8" t="s">
        <v>701</v>
      </c>
      <c r="C649" s="8" t="s">
        <v>123</v>
      </c>
      <c r="D649" s="9">
        <v>40394</v>
      </c>
      <c r="E649" s="9">
        <v>40424</v>
      </c>
      <c r="F649" s="17">
        <f>IF(MONTH(Table1[[#This Row],[Loss date]])&lt;Policy_Inception_Month,YEAR(Table1[[#This Row],[Loss date]])-1,YEAR(Table1[[#This Row],[Loss date]]))</f>
        <v>2010</v>
      </c>
      <c r="G649" s="10" t="s">
        <v>125</v>
      </c>
      <c r="H649" s="10" t="s">
        <v>2</v>
      </c>
      <c r="I649" s="11">
        <v>487.029193997672</v>
      </c>
      <c r="J649" s="11">
        <v>0</v>
      </c>
      <c r="K649" s="11">
        <v>487.029193997672</v>
      </c>
      <c r="L649" s="12">
        <v>0</v>
      </c>
      <c r="M649" s="12">
        <v>0</v>
      </c>
      <c r="N649" s="12">
        <v>487.029193997672</v>
      </c>
      <c r="O649" s="70">
        <f>IF(Table1[[#This Row],[Overall amount]]=0,0,1)</f>
        <v>1</v>
      </c>
      <c r="P649" s="70">
        <f>Table1[[#This Row],[Overall amount]]*Exchange_Rate</f>
        <v>487.029193997672</v>
      </c>
      <c r="Q649" s="70">
        <f>Table1[[#This Row],[Overall (destination currency)]]*(1+Claims_Inflation)^((Revalue_at_date-Table1[[#This Row],[Loss date]])/365.25)</f>
        <v>626.4</v>
      </c>
      <c r="R649" s="70">
        <f>INT(Table1[[#This Row],[Reporting date]])-INT(Table1[[#This Row],[Loss date]])</f>
        <v>30</v>
      </c>
      <c r="S649" s="69" t="s">
        <v>9</v>
      </c>
      <c r="T649" s="70">
        <f>VLOOKUP(Table1[[#This Row],[Policy Year]],exposure_table,3,FALSE)</f>
        <v>837.11513600000012</v>
      </c>
      <c r="U649" s="17">
        <f>IF(MONTH(Table1[[#This Row],[Reporting date]])&lt;Policy_Inception_Month,YEAR(Table1[[#This Row],[Reporting date]])-1,YEAR(Table1[[#This Row],[Reporting date]]))</f>
        <v>2010</v>
      </c>
      <c r="V649" s="17">
        <f>Table1[[#This Row],[Reporting year]]-Table1[[#This Row],[Policy Year]]</f>
        <v>0</v>
      </c>
      <c r="W649" s="17">
        <f>INT(Table1[[#This Row],[Reporting date]])-INT(Table1[[#This Row],[Loss date]])</f>
        <v>30</v>
      </c>
      <c r="X649" s="17">
        <f>INT((YEAR(Table1[[#This Row],[Loss date]])*12+MONTH(Table1[[#This Row],[Loss date]])-Earliest_Month)/4)</f>
        <v>16</v>
      </c>
      <c r="Y649" s="17">
        <f>INT((YEAR(Table1[[#This Row],[Reporting date]])*12+MONTH(Table1[[#This Row],[Reporting date]])-Earliest_Month)/4)</f>
        <v>16</v>
      </c>
      <c r="Z649" s="17">
        <f>Table1[[#This Row],[Reporting third]]-Table1[[#This Row],[Policy third]]</f>
        <v>0</v>
      </c>
      <c r="AA649" s="71">
        <f>IF(Table1[[#This Row],[Overall amount]]=0,"N/A",Table1[[#This Row],[Outstanding]]/Table1[[#This Row],[Overall amount]])</f>
        <v>0</v>
      </c>
      <c r="AB649" s="17">
        <f>IF(MONTH(Table1[[#This Row],[Loss date]])&lt;Pol_Inc_Month_Shifted,YEAR(Table1[[#This Row],[Loss date]])-1,YEAR(Table1[[#This Row],[Loss date]]))</f>
        <v>2009</v>
      </c>
      <c r="AC649" s="17">
        <f>IF(MONTH(Table1[[#This Row],[Reporting date]])&lt;Pol_Inc_Month_Shifted,YEAR(Table1[[#This Row],[Reporting date]])-1,YEAR(Table1[[#This Row],[Reporting date]]))</f>
        <v>2009</v>
      </c>
      <c r="AD649" s="17">
        <f>Table1[[#This Row],[Reporting year (shifted)]]-Table1[[#This Row],[Policy Year (shifted)]]</f>
        <v>0</v>
      </c>
    </row>
    <row r="650" spans="1:30" ht="13.9">
      <c r="A650" s="8" t="s">
        <v>2420</v>
      </c>
      <c r="B650" s="8" t="s">
        <v>702</v>
      </c>
      <c r="C650" s="8" t="s">
        <v>123</v>
      </c>
      <c r="D650" s="9">
        <v>40225</v>
      </c>
      <c r="E650" s="9">
        <v>40432</v>
      </c>
      <c r="F650" s="17">
        <f>IF(MONTH(Table1[[#This Row],[Loss date]])&lt;Policy_Inception_Month,YEAR(Table1[[#This Row],[Loss date]])-1,YEAR(Table1[[#This Row],[Loss date]]))</f>
        <v>2009</v>
      </c>
      <c r="G650" s="10" t="s">
        <v>125</v>
      </c>
      <c r="H650" s="10" t="s">
        <v>2</v>
      </c>
      <c r="I650" s="11">
        <v>35038.636014426411</v>
      </c>
      <c r="J650" s="11">
        <v>0</v>
      </c>
      <c r="K650" s="11">
        <v>35038.636014426411</v>
      </c>
      <c r="L650" s="12">
        <v>0</v>
      </c>
      <c r="M650" s="12">
        <v>0</v>
      </c>
      <c r="N650" s="12">
        <v>35038.636014426411</v>
      </c>
      <c r="O650" s="70">
        <f>IF(Table1[[#This Row],[Overall amount]]=0,0,1)</f>
        <v>1</v>
      </c>
      <c r="P650" s="70">
        <f>Table1[[#This Row],[Overall amount]]*Exchange_Rate</f>
        <v>35038.636014426411</v>
      </c>
      <c r="Q650" s="70">
        <f>Table1[[#This Row],[Overall (destination currency)]]*(1+Claims_Inflation)^((Revalue_at_date-Table1[[#This Row],[Loss date]])/365.25)</f>
        <v>46094.400000000001</v>
      </c>
      <c r="R650" s="70">
        <f>INT(Table1[[#This Row],[Reporting date]])-INT(Table1[[#This Row],[Loss date]])</f>
        <v>207</v>
      </c>
      <c r="S650" s="69" t="s">
        <v>9</v>
      </c>
      <c r="T650" s="70">
        <f>VLOOKUP(Table1[[#This Row],[Policy Year]],exposure_table,3,FALSE)</f>
        <v>760.22808576000011</v>
      </c>
      <c r="U650" s="17">
        <f>IF(MONTH(Table1[[#This Row],[Reporting date]])&lt;Policy_Inception_Month,YEAR(Table1[[#This Row],[Reporting date]])-1,YEAR(Table1[[#This Row],[Reporting date]]))</f>
        <v>2010</v>
      </c>
      <c r="V650" s="17">
        <f>Table1[[#This Row],[Reporting year]]-Table1[[#This Row],[Policy Year]]</f>
        <v>1</v>
      </c>
      <c r="W650" s="17">
        <f>INT(Table1[[#This Row],[Reporting date]])-INT(Table1[[#This Row],[Loss date]])</f>
        <v>207</v>
      </c>
      <c r="X650" s="17">
        <f>INT((YEAR(Table1[[#This Row],[Loss date]])*12+MONTH(Table1[[#This Row],[Loss date]])-Earliest_Month)/4)</f>
        <v>14</v>
      </c>
      <c r="Y650" s="17">
        <f>INT((YEAR(Table1[[#This Row],[Reporting date]])*12+MONTH(Table1[[#This Row],[Reporting date]])-Earliest_Month)/4)</f>
        <v>16</v>
      </c>
      <c r="Z650" s="17">
        <f>Table1[[#This Row],[Reporting third]]-Table1[[#This Row],[Policy third]]</f>
        <v>2</v>
      </c>
      <c r="AA650" s="71">
        <f>IF(Table1[[#This Row],[Overall amount]]=0,"N/A",Table1[[#This Row],[Outstanding]]/Table1[[#This Row],[Overall amount]])</f>
        <v>0</v>
      </c>
      <c r="AB650" s="17">
        <f>IF(MONTH(Table1[[#This Row],[Loss date]])&lt;Pol_Inc_Month_Shifted,YEAR(Table1[[#This Row],[Loss date]])-1,YEAR(Table1[[#This Row],[Loss date]]))</f>
        <v>2009</v>
      </c>
      <c r="AC650" s="17">
        <f>IF(MONTH(Table1[[#This Row],[Reporting date]])&lt;Pol_Inc_Month_Shifted,YEAR(Table1[[#This Row],[Reporting date]])-1,YEAR(Table1[[#This Row],[Reporting date]]))</f>
        <v>2009</v>
      </c>
      <c r="AD650" s="17">
        <f>Table1[[#This Row],[Reporting year (shifted)]]-Table1[[#This Row],[Policy Year (shifted)]]</f>
        <v>0</v>
      </c>
    </row>
    <row r="651" spans="1:30" ht="13.9">
      <c r="A651" s="8" t="s">
        <v>2421</v>
      </c>
      <c r="B651" s="8" t="s">
        <v>703</v>
      </c>
      <c r="C651" s="8" t="s">
        <v>123</v>
      </c>
      <c r="D651" s="9">
        <v>40438</v>
      </c>
      <c r="E651" s="9">
        <v>40487</v>
      </c>
      <c r="F651" s="17">
        <f>IF(MONTH(Table1[[#This Row],[Loss date]])&lt;Policy_Inception_Month,YEAR(Table1[[#This Row],[Loss date]])-1,YEAR(Table1[[#This Row],[Loss date]]))</f>
        <v>2010</v>
      </c>
      <c r="G651" s="10" t="s">
        <v>126</v>
      </c>
      <c r="H651" s="10" t="s">
        <v>2</v>
      </c>
      <c r="I651" s="11">
        <v>9136.3562584449301</v>
      </c>
      <c r="J651" s="11">
        <v>0</v>
      </c>
      <c r="K651" s="11">
        <v>9136.3562584449301</v>
      </c>
      <c r="L651" s="12">
        <v>0</v>
      </c>
      <c r="M651" s="12">
        <v>0</v>
      </c>
      <c r="N651" s="12">
        <v>9136.3562584449301</v>
      </c>
      <c r="O651" s="70">
        <f>IF(Table1[[#This Row],[Overall amount]]=0,0,1)</f>
        <v>1</v>
      </c>
      <c r="P651" s="70">
        <f>Table1[[#This Row],[Overall amount]]*Exchange_Rate</f>
        <v>9136.3562584449301</v>
      </c>
      <c r="Q651" s="70">
        <f>Table1[[#This Row],[Overall (destination currency)]]*(1+Claims_Inflation)^((Revalue_at_date-Table1[[#This Row],[Loss date]])/365.25)</f>
        <v>11682</v>
      </c>
      <c r="R651" s="70">
        <f>INT(Table1[[#This Row],[Reporting date]])-INT(Table1[[#This Row],[Loss date]])</f>
        <v>49</v>
      </c>
      <c r="S651" s="69" t="s">
        <v>9</v>
      </c>
      <c r="T651" s="70">
        <f>VLOOKUP(Table1[[#This Row],[Policy Year]],exposure_table,3,FALSE)</f>
        <v>837.11513600000012</v>
      </c>
      <c r="U651" s="17">
        <f>IF(MONTH(Table1[[#This Row],[Reporting date]])&lt;Policy_Inception_Month,YEAR(Table1[[#This Row],[Reporting date]])-1,YEAR(Table1[[#This Row],[Reporting date]]))</f>
        <v>2010</v>
      </c>
      <c r="V651" s="17">
        <f>Table1[[#This Row],[Reporting year]]-Table1[[#This Row],[Policy Year]]</f>
        <v>0</v>
      </c>
      <c r="W651" s="17">
        <f>INT(Table1[[#This Row],[Reporting date]])-INT(Table1[[#This Row],[Loss date]])</f>
        <v>49</v>
      </c>
      <c r="X651" s="17">
        <f>INT((YEAR(Table1[[#This Row],[Loss date]])*12+MONTH(Table1[[#This Row],[Loss date]])-Earliest_Month)/4)</f>
        <v>16</v>
      </c>
      <c r="Y651" s="17">
        <f>INT((YEAR(Table1[[#This Row],[Reporting date]])*12+MONTH(Table1[[#This Row],[Reporting date]])-Earliest_Month)/4)</f>
        <v>16</v>
      </c>
      <c r="Z651" s="17">
        <f>Table1[[#This Row],[Reporting third]]-Table1[[#This Row],[Policy third]]</f>
        <v>0</v>
      </c>
      <c r="AA651" s="71">
        <f>IF(Table1[[#This Row],[Overall amount]]=0,"N/A",Table1[[#This Row],[Outstanding]]/Table1[[#This Row],[Overall amount]])</f>
        <v>0</v>
      </c>
      <c r="AB651" s="17">
        <f>IF(MONTH(Table1[[#This Row],[Loss date]])&lt;Pol_Inc_Month_Shifted,YEAR(Table1[[#This Row],[Loss date]])-1,YEAR(Table1[[#This Row],[Loss date]]))</f>
        <v>2009</v>
      </c>
      <c r="AC651" s="17">
        <f>IF(MONTH(Table1[[#This Row],[Reporting date]])&lt;Pol_Inc_Month_Shifted,YEAR(Table1[[#This Row],[Reporting date]])-1,YEAR(Table1[[#This Row],[Reporting date]]))</f>
        <v>2009</v>
      </c>
      <c r="AD651" s="17">
        <f>Table1[[#This Row],[Reporting year (shifted)]]-Table1[[#This Row],[Policy Year (shifted)]]</f>
        <v>0</v>
      </c>
    </row>
    <row r="652" spans="1:30" ht="13.9">
      <c r="A652" s="8" t="s">
        <v>2422</v>
      </c>
      <c r="B652" s="8" t="s">
        <v>704</v>
      </c>
      <c r="C652" s="8" t="s">
        <v>123</v>
      </c>
      <c r="D652" s="9">
        <v>40453</v>
      </c>
      <c r="E652" s="9">
        <v>40524</v>
      </c>
      <c r="F652" s="17">
        <f>IF(MONTH(Table1[[#This Row],[Loss date]])&lt;Policy_Inception_Month,YEAR(Table1[[#This Row],[Loss date]])-1,YEAR(Table1[[#This Row],[Loss date]]))</f>
        <v>2010</v>
      </c>
      <c r="G652" s="10" t="s">
        <v>145</v>
      </c>
      <c r="H652" s="10" t="s">
        <v>2</v>
      </c>
      <c r="I652" s="11">
        <v>736.32412364455604</v>
      </c>
      <c r="J652" s="11">
        <v>0</v>
      </c>
      <c r="K652" s="11">
        <v>736.32412364455604</v>
      </c>
      <c r="L652" s="12">
        <v>0</v>
      </c>
      <c r="M652" s="12">
        <v>0</v>
      </c>
      <c r="N652" s="12">
        <v>736.32412364455604</v>
      </c>
      <c r="O652" s="70">
        <f>IF(Table1[[#This Row],[Overall amount]]=0,0,1)</f>
        <v>1</v>
      </c>
      <c r="P652" s="70">
        <f>Table1[[#This Row],[Overall amount]]*Exchange_Rate</f>
        <v>736.32412364455604</v>
      </c>
      <c r="Q652" s="70">
        <f>Table1[[#This Row],[Overall (destination currency)]]*(1+Claims_Inflation)^((Revalue_at_date-Table1[[#This Row],[Loss date]])/365.25)</f>
        <v>939.59999999999991</v>
      </c>
      <c r="R652" s="70">
        <f>INT(Table1[[#This Row],[Reporting date]])-INT(Table1[[#This Row],[Loss date]])</f>
        <v>71</v>
      </c>
      <c r="S652" s="69" t="s">
        <v>9</v>
      </c>
      <c r="T652" s="70">
        <f>VLOOKUP(Table1[[#This Row],[Policy Year]],exposure_table,3,FALSE)</f>
        <v>837.11513600000012</v>
      </c>
      <c r="U652" s="17">
        <f>IF(MONTH(Table1[[#This Row],[Reporting date]])&lt;Policy_Inception_Month,YEAR(Table1[[#This Row],[Reporting date]])-1,YEAR(Table1[[#This Row],[Reporting date]]))</f>
        <v>2010</v>
      </c>
      <c r="V652" s="17">
        <f>Table1[[#This Row],[Reporting year]]-Table1[[#This Row],[Policy Year]]</f>
        <v>0</v>
      </c>
      <c r="W652" s="17">
        <f>INT(Table1[[#This Row],[Reporting date]])-INT(Table1[[#This Row],[Loss date]])</f>
        <v>71</v>
      </c>
      <c r="X652" s="17">
        <f>INT((YEAR(Table1[[#This Row],[Loss date]])*12+MONTH(Table1[[#This Row],[Loss date]])-Earliest_Month)/4)</f>
        <v>16</v>
      </c>
      <c r="Y652" s="17">
        <f>INT((YEAR(Table1[[#This Row],[Reporting date]])*12+MONTH(Table1[[#This Row],[Reporting date]])-Earliest_Month)/4)</f>
        <v>17</v>
      </c>
      <c r="Z652" s="17">
        <f>Table1[[#This Row],[Reporting third]]-Table1[[#This Row],[Policy third]]</f>
        <v>1</v>
      </c>
      <c r="AA652" s="71">
        <f>IF(Table1[[#This Row],[Overall amount]]=0,"N/A",Table1[[#This Row],[Outstanding]]/Table1[[#This Row],[Overall amount]])</f>
        <v>0</v>
      </c>
      <c r="AB652" s="17">
        <f>IF(MONTH(Table1[[#This Row],[Loss date]])&lt;Pol_Inc_Month_Shifted,YEAR(Table1[[#This Row],[Loss date]])-1,YEAR(Table1[[#This Row],[Loss date]]))</f>
        <v>2009</v>
      </c>
      <c r="AC652" s="17">
        <f>IF(MONTH(Table1[[#This Row],[Reporting date]])&lt;Pol_Inc_Month_Shifted,YEAR(Table1[[#This Row],[Reporting date]])-1,YEAR(Table1[[#This Row],[Reporting date]]))</f>
        <v>2010</v>
      </c>
      <c r="AD652" s="17">
        <f>Table1[[#This Row],[Reporting year (shifted)]]-Table1[[#This Row],[Policy Year (shifted)]]</f>
        <v>1</v>
      </c>
    </row>
    <row r="653" spans="1:30" ht="13.9">
      <c r="A653" s="8" t="s">
        <v>2423</v>
      </c>
      <c r="B653" s="8" t="s">
        <v>705</v>
      </c>
      <c r="C653" s="8" t="s">
        <v>123</v>
      </c>
      <c r="D653" s="9">
        <v>40609</v>
      </c>
      <c r="E653" s="9">
        <v>40616</v>
      </c>
      <c r="F653" s="17">
        <f>IF(MONTH(Table1[[#This Row],[Loss date]])&lt;Policy_Inception_Month,YEAR(Table1[[#This Row],[Loss date]])-1,YEAR(Table1[[#This Row],[Loss date]]))</f>
        <v>2010</v>
      </c>
      <c r="G653" s="10" t="s">
        <v>125</v>
      </c>
      <c r="H653" s="10" t="s">
        <v>2</v>
      </c>
      <c r="I653" s="11">
        <v>487.29658003952864</v>
      </c>
      <c r="J653" s="11">
        <v>0</v>
      </c>
      <c r="K653" s="11">
        <v>487.29658003952864</v>
      </c>
      <c r="L653" s="12">
        <v>0</v>
      </c>
      <c r="M653" s="12">
        <v>0</v>
      </c>
      <c r="N653" s="12">
        <v>487.29658003952864</v>
      </c>
      <c r="O653" s="70">
        <f>IF(Table1[[#This Row],[Overall amount]]=0,0,1)</f>
        <v>1</v>
      </c>
      <c r="P653" s="70">
        <f>Table1[[#This Row],[Overall amount]]*Exchange_Rate</f>
        <v>487.29658003952864</v>
      </c>
      <c r="Q653" s="70">
        <f>Table1[[#This Row],[Overall (destination currency)]]*(1+Claims_Inflation)^((Revalue_at_date-Table1[[#This Row],[Loss date]])/365.25)</f>
        <v>609</v>
      </c>
      <c r="R653" s="70">
        <f>INT(Table1[[#This Row],[Reporting date]])-INT(Table1[[#This Row],[Loss date]])</f>
        <v>7</v>
      </c>
      <c r="S653" s="69" t="s">
        <v>9</v>
      </c>
      <c r="T653" s="70">
        <f>VLOOKUP(Table1[[#This Row],[Policy Year]],exposure_table,3,FALSE)</f>
        <v>837.11513600000012</v>
      </c>
      <c r="U653" s="17">
        <f>IF(MONTH(Table1[[#This Row],[Reporting date]])&lt;Policy_Inception_Month,YEAR(Table1[[#This Row],[Reporting date]])-1,YEAR(Table1[[#This Row],[Reporting date]]))</f>
        <v>2010</v>
      </c>
      <c r="V653" s="17">
        <f>Table1[[#This Row],[Reporting year]]-Table1[[#This Row],[Policy Year]]</f>
        <v>0</v>
      </c>
      <c r="W653" s="17">
        <f>INT(Table1[[#This Row],[Reporting date]])-INT(Table1[[#This Row],[Loss date]])</f>
        <v>7</v>
      </c>
      <c r="X653" s="17">
        <f>INT((YEAR(Table1[[#This Row],[Loss date]])*12+MONTH(Table1[[#This Row],[Loss date]])-Earliest_Month)/4)</f>
        <v>17</v>
      </c>
      <c r="Y653" s="17">
        <f>INT((YEAR(Table1[[#This Row],[Reporting date]])*12+MONTH(Table1[[#This Row],[Reporting date]])-Earliest_Month)/4)</f>
        <v>17</v>
      </c>
      <c r="Z653" s="17">
        <f>Table1[[#This Row],[Reporting third]]-Table1[[#This Row],[Policy third]]</f>
        <v>0</v>
      </c>
      <c r="AA653" s="71">
        <f>IF(Table1[[#This Row],[Overall amount]]=0,"N/A",Table1[[#This Row],[Outstanding]]/Table1[[#This Row],[Overall amount]])</f>
        <v>0</v>
      </c>
      <c r="AB653" s="17">
        <f>IF(MONTH(Table1[[#This Row],[Loss date]])&lt;Pol_Inc_Month_Shifted,YEAR(Table1[[#This Row],[Loss date]])-1,YEAR(Table1[[#This Row],[Loss date]]))</f>
        <v>2010</v>
      </c>
      <c r="AC653" s="17">
        <f>IF(MONTH(Table1[[#This Row],[Reporting date]])&lt;Pol_Inc_Month_Shifted,YEAR(Table1[[#This Row],[Reporting date]])-1,YEAR(Table1[[#This Row],[Reporting date]]))</f>
        <v>2010</v>
      </c>
      <c r="AD653" s="17">
        <f>Table1[[#This Row],[Reporting year (shifted)]]-Table1[[#This Row],[Policy Year (shifted)]]</f>
        <v>0</v>
      </c>
    </row>
    <row r="654" spans="1:30" ht="13.9">
      <c r="A654" s="8" t="s">
        <v>2424</v>
      </c>
      <c r="B654" s="8" t="s">
        <v>706</v>
      </c>
      <c r="C654" s="8" t="s">
        <v>123</v>
      </c>
      <c r="D654" s="9">
        <v>40619</v>
      </c>
      <c r="E654" s="9">
        <v>40669</v>
      </c>
      <c r="F654" s="17">
        <f>IF(MONTH(Table1[[#This Row],[Loss date]])&lt;Policy_Inception_Month,YEAR(Table1[[#This Row],[Loss date]])-1,YEAR(Table1[[#This Row],[Loss date]]))</f>
        <v>2010</v>
      </c>
      <c r="G654" s="10" t="s">
        <v>125</v>
      </c>
      <c r="H654" s="10" t="s">
        <v>2</v>
      </c>
      <c r="I654" s="11">
        <v>571.59616611731087</v>
      </c>
      <c r="J654" s="11">
        <v>0</v>
      </c>
      <c r="K654" s="11">
        <v>571.59616611731087</v>
      </c>
      <c r="L654" s="12">
        <v>0</v>
      </c>
      <c r="M654" s="12">
        <v>0</v>
      </c>
      <c r="N654" s="12">
        <v>571.59616611731087</v>
      </c>
      <c r="O654" s="70">
        <f>IF(Table1[[#This Row],[Overall amount]]=0,0,1)</f>
        <v>1</v>
      </c>
      <c r="P654" s="70">
        <f>Table1[[#This Row],[Overall amount]]*Exchange_Rate</f>
        <v>571.59616611731087</v>
      </c>
      <c r="Q654" s="70">
        <f>Table1[[#This Row],[Overall (destination currency)]]*(1+Claims_Inflation)^((Revalue_at_date-Table1[[#This Row],[Loss date]])/365.25)</f>
        <v>713.4</v>
      </c>
      <c r="R654" s="70">
        <f>INT(Table1[[#This Row],[Reporting date]])-INT(Table1[[#This Row],[Loss date]])</f>
        <v>50</v>
      </c>
      <c r="S654" s="69" t="s">
        <v>9</v>
      </c>
      <c r="T654" s="70">
        <f>VLOOKUP(Table1[[#This Row],[Policy Year]],exposure_table,3,FALSE)</f>
        <v>837.11513600000012</v>
      </c>
      <c r="U654" s="17">
        <f>IF(MONTH(Table1[[#This Row],[Reporting date]])&lt;Policy_Inception_Month,YEAR(Table1[[#This Row],[Reporting date]])-1,YEAR(Table1[[#This Row],[Reporting date]]))</f>
        <v>2011</v>
      </c>
      <c r="V654" s="17">
        <f>Table1[[#This Row],[Reporting year]]-Table1[[#This Row],[Policy Year]]</f>
        <v>1</v>
      </c>
      <c r="W654" s="17">
        <f>INT(Table1[[#This Row],[Reporting date]])-INT(Table1[[#This Row],[Loss date]])</f>
        <v>50</v>
      </c>
      <c r="X654" s="17">
        <f>INT((YEAR(Table1[[#This Row],[Loss date]])*12+MONTH(Table1[[#This Row],[Loss date]])-Earliest_Month)/4)</f>
        <v>17</v>
      </c>
      <c r="Y654" s="17">
        <f>INT((YEAR(Table1[[#This Row],[Reporting date]])*12+MONTH(Table1[[#This Row],[Reporting date]])-Earliest_Month)/4)</f>
        <v>18</v>
      </c>
      <c r="Z654" s="17">
        <f>Table1[[#This Row],[Reporting third]]-Table1[[#This Row],[Policy third]]</f>
        <v>1</v>
      </c>
      <c r="AA654" s="71">
        <f>IF(Table1[[#This Row],[Overall amount]]=0,"N/A",Table1[[#This Row],[Outstanding]]/Table1[[#This Row],[Overall amount]])</f>
        <v>0</v>
      </c>
      <c r="AB654" s="17">
        <f>IF(MONTH(Table1[[#This Row],[Loss date]])&lt;Pol_Inc_Month_Shifted,YEAR(Table1[[#This Row],[Loss date]])-1,YEAR(Table1[[#This Row],[Loss date]]))</f>
        <v>2010</v>
      </c>
      <c r="AC654" s="17">
        <f>IF(MONTH(Table1[[#This Row],[Reporting date]])&lt;Pol_Inc_Month_Shifted,YEAR(Table1[[#This Row],[Reporting date]])-1,YEAR(Table1[[#This Row],[Reporting date]]))</f>
        <v>2010</v>
      </c>
      <c r="AD654" s="17">
        <f>Table1[[#This Row],[Reporting year (shifted)]]-Table1[[#This Row],[Policy Year (shifted)]]</f>
        <v>0</v>
      </c>
    </row>
    <row r="655" spans="1:30" ht="13.9">
      <c r="A655" s="8" t="s">
        <v>2425</v>
      </c>
      <c r="B655" s="8" t="s">
        <v>707</v>
      </c>
      <c r="C655" s="8" t="s">
        <v>123</v>
      </c>
      <c r="D655" s="9">
        <v>40678</v>
      </c>
      <c r="E655" s="9">
        <v>40746</v>
      </c>
      <c r="F655" s="17">
        <f>IF(MONTH(Table1[[#This Row],[Loss date]])&lt;Policy_Inception_Month,YEAR(Table1[[#This Row],[Loss date]])-1,YEAR(Table1[[#This Row],[Loss date]]))</f>
        <v>2011</v>
      </c>
      <c r="G655" s="10" t="s">
        <v>125</v>
      </c>
      <c r="H655" s="10" t="s">
        <v>2</v>
      </c>
      <c r="I655" s="11">
        <v>519.91212965498096</v>
      </c>
      <c r="J655" s="11">
        <v>0</v>
      </c>
      <c r="K655" s="11">
        <v>519.91212965498096</v>
      </c>
      <c r="L655" s="12">
        <v>0</v>
      </c>
      <c r="M655" s="12">
        <v>0</v>
      </c>
      <c r="N655" s="12">
        <v>519.91212965498096</v>
      </c>
      <c r="O655" s="70">
        <f>IF(Table1[[#This Row],[Overall amount]]=0,0,1)</f>
        <v>1</v>
      </c>
      <c r="P655" s="70">
        <f>Table1[[#This Row],[Overall amount]]*Exchange_Rate</f>
        <v>519.91212965498096</v>
      </c>
      <c r="Q655" s="70">
        <f>Table1[[#This Row],[Overall (destination currency)]]*(1+Claims_Inflation)^((Revalue_at_date-Table1[[#This Row],[Loss date]])/365.25)</f>
        <v>643.79999999999984</v>
      </c>
      <c r="R655" s="70">
        <f>INT(Table1[[#This Row],[Reporting date]])-INT(Table1[[#This Row],[Loss date]])</f>
        <v>68</v>
      </c>
      <c r="S655" s="69" t="s">
        <v>9</v>
      </c>
      <c r="T655" s="70">
        <f>VLOOKUP(Table1[[#This Row],[Policy Year]],exposure_table,3,FALSE)</f>
        <v>870.52680000000009</v>
      </c>
      <c r="U655" s="17">
        <f>IF(MONTH(Table1[[#This Row],[Reporting date]])&lt;Policy_Inception_Month,YEAR(Table1[[#This Row],[Reporting date]])-1,YEAR(Table1[[#This Row],[Reporting date]]))</f>
        <v>2011</v>
      </c>
      <c r="V655" s="17">
        <f>Table1[[#This Row],[Reporting year]]-Table1[[#This Row],[Policy Year]]</f>
        <v>0</v>
      </c>
      <c r="W655" s="17">
        <f>INT(Table1[[#This Row],[Reporting date]])-INT(Table1[[#This Row],[Loss date]])</f>
        <v>68</v>
      </c>
      <c r="X655" s="17">
        <f>INT((YEAR(Table1[[#This Row],[Loss date]])*12+MONTH(Table1[[#This Row],[Loss date]])-Earliest_Month)/4)</f>
        <v>18</v>
      </c>
      <c r="Y655" s="17">
        <f>INT((YEAR(Table1[[#This Row],[Reporting date]])*12+MONTH(Table1[[#This Row],[Reporting date]])-Earliest_Month)/4)</f>
        <v>18</v>
      </c>
      <c r="Z655" s="17">
        <f>Table1[[#This Row],[Reporting third]]-Table1[[#This Row],[Policy third]]</f>
        <v>0</v>
      </c>
      <c r="AA655" s="71">
        <f>IF(Table1[[#This Row],[Overall amount]]=0,"N/A",Table1[[#This Row],[Outstanding]]/Table1[[#This Row],[Overall amount]])</f>
        <v>0</v>
      </c>
      <c r="AB655" s="17">
        <f>IF(MONTH(Table1[[#This Row],[Loss date]])&lt;Pol_Inc_Month_Shifted,YEAR(Table1[[#This Row],[Loss date]])-1,YEAR(Table1[[#This Row],[Loss date]]))</f>
        <v>2010</v>
      </c>
      <c r="AC655" s="17">
        <f>IF(MONTH(Table1[[#This Row],[Reporting date]])&lt;Pol_Inc_Month_Shifted,YEAR(Table1[[#This Row],[Reporting date]])-1,YEAR(Table1[[#This Row],[Reporting date]]))</f>
        <v>2010</v>
      </c>
      <c r="AD655" s="17">
        <f>Table1[[#This Row],[Reporting year (shifted)]]-Table1[[#This Row],[Policy Year (shifted)]]</f>
        <v>0</v>
      </c>
    </row>
    <row r="656" spans="1:30" ht="13.9">
      <c r="A656" s="8" t="s">
        <v>2426</v>
      </c>
      <c r="B656" s="8" t="s">
        <v>708</v>
      </c>
      <c r="C656" s="8" t="s">
        <v>123</v>
      </c>
      <c r="D656" s="9">
        <v>38685</v>
      </c>
      <c r="E656" s="9">
        <v>38895</v>
      </c>
      <c r="F656" s="17">
        <f>IF(MONTH(Table1[[#This Row],[Loss date]])&lt;Policy_Inception_Month,YEAR(Table1[[#This Row],[Loss date]])-1,YEAR(Table1[[#This Row],[Loss date]]))</f>
        <v>2005</v>
      </c>
      <c r="G656" s="10" t="s">
        <v>125</v>
      </c>
      <c r="H656" s="10" t="s">
        <v>2</v>
      </c>
      <c r="I656" s="11">
        <v>654.57943026334021</v>
      </c>
      <c r="J656" s="11">
        <v>0</v>
      </c>
      <c r="K656" s="11">
        <v>654.57943026334021</v>
      </c>
      <c r="L656" s="12">
        <v>0</v>
      </c>
      <c r="M656" s="12">
        <v>0</v>
      </c>
      <c r="N656" s="12">
        <v>654.57943026334021</v>
      </c>
      <c r="O656" s="70">
        <f>IF(Table1[[#This Row],[Overall amount]]=0,0,1)</f>
        <v>1</v>
      </c>
      <c r="P656" s="70">
        <f>Table1[[#This Row],[Overall amount]]*Exchange_Rate</f>
        <v>654.57943026334021</v>
      </c>
      <c r="Q656" s="70">
        <f>Table1[[#This Row],[Overall (destination currency)]]*(1+Claims_Inflation)^((Revalue_at_date-Table1[[#This Row],[Loss date]])/365.25)</f>
        <v>1057.8</v>
      </c>
      <c r="R656" s="70">
        <f>INT(Table1[[#This Row],[Reporting date]])-INT(Table1[[#This Row],[Loss date]])</f>
        <v>210</v>
      </c>
      <c r="S656" s="69" t="s">
        <v>9</v>
      </c>
      <c r="T656" s="70">
        <f>VLOOKUP(Table1[[#This Row],[Policy Year]],exposure_table,3,FALSE)</f>
        <v>409.50481038040112</v>
      </c>
      <c r="U656" s="17">
        <f>IF(MONTH(Table1[[#This Row],[Reporting date]])&lt;Policy_Inception_Month,YEAR(Table1[[#This Row],[Reporting date]])-1,YEAR(Table1[[#This Row],[Reporting date]]))</f>
        <v>2006</v>
      </c>
      <c r="V656" s="17">
        <f>Table1[[#This Row],[Reporting year]]-Table1[[#This Row],[Policy Year]]</f>
        <v>1</v>
      </c>
      <c r="W656" s="17">
        <f>INT(Table1[[#This Row],[Reporting date]])-INT(Table1[[#This Row],[Loss date]])</f>
        <v>210</v>
      </c>
      <c r="X656" s="17">
        <f>INT((YEAR(Table1[[#This Row],[Loss date]])*12+MONTH(Table1[[#This Row],[Loss date]])-Earliest_Month)/4)</f>
        <v>1</v>
      </c>
      <c r="Y656" s="17">
        <f>INT((YEAR(Table1[[#This Row],[Reporting date]])*12+MONTH(Table1[[#This Row],[Reporting date]])-Earliest_Month)/4)</f>
        <v>3</v>
      </c>
      <c r="Z656" s="17">
        <f>Table1[[#This Row],[Reporting third]]-Table1[[#This Row],[Policy third]]</f>
        <v>2</v>
      </c>
      <c r="AA656" s="71">
        <f>IF(Table1[[#This Row],[Overall amount]]=0,"N/A",Table1[[#This Row],[Outstanding]]/Table1[[#This Row],[Overall amount]])</f>
        <v>0</v>
      </c>
      <c r="AB656" s="17">
        <f>IF(MONTH(Table1[[#This Row],[Loss date]])&lt;Pol_Inc_Month_Shifted,YEAR(Table1[[#This Row],[Loss date]])-1,YEAR(Table1[[#This Row],[Loss date]]))</f>
        <v>2004</v>
      </c>
      <c r="AC656" s="17">
        <f>IF(MONTH(Table1[[#This Row],[Reporting date]])&lt;Pol_Inc_Month_Shifted,YEAR(Table1[[#This Row],[Reporting date]])-1,YEAR(Table1[[#This Row],[Reporting date]]))</f>
        <v>2005</v>
      </c>
      <c r="AD656" s="17">
        <f>Table1[[#This Row],[Reporting year (shifted)]]-Table1[[#This Row],[Policy Year (shifted)]]</f>
        <v>1</v>
      </c>
    </row>
    <row r="657" spans="1:30" ht="13.9">
      <c r="A657" s="8" t="s">
        <v>2427</v>
      </c>
      <c r="B657" s="8" t="s">
        <v>709</v>
      </c>
      <c r="C657" s="8" t="s">
        <v>123</v>
      </c>
      <c r="D657" s="9">
        <v>39011</v>
      </c>
      <c r="E657" s="9">
        <v>39024</v>
      </c>
      <c r="F657" s="17">
        <f>IF(MONTH(Table1[[#This Row],[Loss date]])&lt;Policy_Inception_Month,YEAR(Table1[[#This Row],[Loss date]])-1,YEAR(Table1[[#This Row],[Loss date]]))</f>
        <v>2006</v>
      </c>
      <c r="G657" s="10" t="s">
        <v>124</v>
      </c>
      <c r="H657" s="10" t="s">
        <v>2</v>
      </c>
      <c r="I657" s="11">
        <v>333.90696356449109</v>
      </c>
      <c r="J657" s="11">
        <v>0</v>
      </c>
      <c r="K657" s="11">
        <v>333.90696356449109</v>
      </c>
      <c r="L657" s="12">
        <v>0</v>
      </c>
      <c r="M657" s="12">
        <v>0</v>
      </c>
      <c r="N657" s="12">
        <v>333.90696356449109</v>
      </c>
      <c r="O657" s="70">
        <f>IF(Table1[[#This Row],[Overall amount]]=0,0,1)</f>
        <v>1</v>
      </c>
      <c r="P657" s="70">
        <f>Table1[[#This Row],[Overall amount]]*Exchange_Rate</f>
        <v>333.90696356449109</v>
      </c>
      <c r="Q657" s="70">
        <f>Table1[[#This Row],[Overall (destination currency)]]*(1+Claims_Inflation)^((Revalue_at_date-Table1[[#This Row],[Loss date]])/365.25)</f>
        <v>516.6</v>
      </c>
      <c r="R657" s="70">
        <f>INT(Table1[[#This Row],[Reporting date]])-INT(Table1[[#This Row],[Loss date]])</f>
        <v>13</v>
      </c>
      <c r="S657" s="69" t="s">
        <v>9</v>
      </c>
      <c r="T657" s="70">
        <f>VLOOKUP(Table1[[#This Row],[Policy Year]],exposure_table,3,FALSE)</f>
        <v>483.32023209000977</v>
      </c>
      <c r="U657" s="17">
        <f>IF(MONTH(Table1[[#This Row],[Reporting date]])&lt;Policy_Inception_Month,YEAR(Table1[[#This Row],[Reporting date]])-1,YEAR(Table1[[#This Row],[Reporting date]]))</f>
        <v>2006</v>
      </c>
      <c r="V657" s="17">
        <f>Table1[[#This Row],[Reporting year]]-Table1[[#This Row],[Policy Year]]</f>
        <v>0</v>
      </c>
      <c r="W657" s="17">
        <f>INT(Table1[[#This Row],[Reporting date]])-INT(Table1[[#This Row],[Loss date]])</f>
        <v>13</v>
      </c>
      <c r="X657" s="17">
        <f>INT((YEAR(Table1[[#This Row],[Loss date]])*12+MONTH(Table1[[#This Row],[Loss date]])-Earliest_Month)/4)</f>
        <v>4</v>
      </c>
      <c r="Y657" s="17">
        <f>INT((YEAR(Table1[[#This Row],[Reporting date]])*12+MONTH(Table1[[#This Row],[Reporting date]])-Earliest_Month)/4)</f>
        <v>4</v>
      </c>
      <c r="Z657" s="17">
        <f>Table1[[#This Row],[Reporting third]]-Table1[[#This Row],[Policy third]]</f>
        <v>0</v>
      </c>
      <c r="AA657" s="71">
        <f>IF(Table1[[#This Row],[Overall amount]]=0,"N/A",Table1[[#This Row],[Outstanding]]/Table1[[#This Row],[Overall amount]])</f>
        <v>0</v>
      </c>
      <c r="AB657" s="17">
        <f>IF(MONTH(Table1[[#This Row],[Loss date]])&lt;Pol_Inc_Month_Shifted,YEAR(Table1[[#This Row],[Loss date]])-1,YEAR(Table1[[#This Row],[Loss date]]))</f>
        <v>2005</v>
      </c>
      <c r="AC657" s="17">
        <f>IF(MONTH(Table1[[#This Row],[Reporting date]])&lt;Pol_Inc_Month_Shifted,YEAR(Table1[[#This Row],[Reporting date]])-1,YEAR(Table1[[#This Row],[Reporting date]]))</f>
        <v>2005</v>
      </c>
      <c r="AD657" s="17">
        <f>Table1[[#This Row],[Reporting year (shifted)]]-Table1[[#This Row],[Policy Year (shifted)]]</f>
        <v>0</v>
      </c>
    </row>
    <row r="658" spans="1:30" ht="13.9">
      <c r="A658" s="8" t="s">
        <v>2428</v>
      </c>
      <c r="B658" s="8" t="s">
        <v>710</v>
      </c>
      <c r="C658" s="8" t="s">
        <v>123</v>
      </c>
      <c r="D658" s="9">
        <v>38849</v>
      </c>
      <c r="E658" s="9">
        <v>39144</v>
      </c>
      <c r="F658" s="17">
        <f>IF(MONTH(Table1[[#This Row],[Loss date]])&lt;Policy_Inception_Month,YEAR(Table1[[#This Row],[Loss date]])-1,YEAR(Table1[[#This Row],[Loss date]]))</f>
        <v>2006</v>
      </c>
      <c r="G658" s="10" t="s">
        <v>125</v>
      </c>
      <c r="H658" s="10" t="s">
        <v>2</v>
      </c>
      <c r="I658" s="11">
        <v>388.99862092711106</v>
      </c>
      <c r="J658" s="11">
        <v>0</v>
      </c>
      <c r="K658" s="11">
        <v>388.99862092711106</v>
      </c>
      <c r="L658" s="12">
        <v>0</v>
      </c>
      <c r="M658" s="12">
        <v>0</v>
      </c>
      <c r="N658" s="12">
        <v>388.99862092711106</v>
      </c>
      <c r="O658" s="70">
        <f>IF(Table1[[#This Row],[Overall amount]]=0,0,1)</f>
        <v>1</v>
      </c>
      <c r="P658" s="70">
        <f>Table1[[#This Row],[Overall amount]]*Exchange_Rate</f>
        <v>388.99862092711106</v>
      </c>
      <c r="Q658" s="70">
        <f>Table1[[#This Row],[Overall (destination currency)]]*(1+Claims_Inflation)^((Revalue_at_date-Table1[[#This Row],[Loss date]])/365.25)</f>
        <v>615</v>
      </c>
      <c r="R658" s="70">
        <f>INT(Table1[[#This Row],[Reporting date]])-INT(Table1[[#This Row],[Loss date]])</f>
        <v>295</v>
      </c>
      <c r="S658" s="69" t="s">
        <v>9</v>
      </c>
      <c r="T658" s="70">
        <f>VLOOKUP(Table1[[#This Row],[Policy Year]],exposure_table,3,FALSE)</f>
        <v>483.32023209000977</v>
      </c>
      <c r="U658" s="17">
        <f>IF(MONTH(Table1[[#This Row],[Reporting date]])&lt;Policy_Inception_Month,YEAR(Table1[[#This Row],[Reporting date]])-1,YEAR(Table1[[#This Row],[Reporting date]]))</f>
        <v>2006</v>
      </c>
      <c r="V658" s="17">
        <f>Table1[[#This Row],[Reporting year]]-Table1[[#This Row],[Policy Year]]</f>
        <v>0</v>
      </c>
      <c r="W658" s="17">
        <f>INT(Table1[[#This Row],[Reporting date]])-INT(Table1[[#This Row],[Loss date]])</f>
        <v>295</v>
      </c>
      <c r="X658" s="17">
        <f>INT((YEAR(Table1[[#This Row],[Loss date]])*12+MONTH(Table1[[#This Row],[Loss date]])-Earliest_Month)/4)</f>
        <v>3</v>
      </c>
      <c r="Y658" s="17">
        <f>INT((YEAR(Table1[[#This Row],[Reporting date]])*12+MONTH(Table1[[#This Row],[Reporting date]])-Earliest_Month)/4)</f>
        <v>5</v>
      </c>
      <c r="Z658" s="17">
        <f>Table1[[#This Row],[Reporting third]]-Table1[[#This Row],[Policy third]]</f>
        <v>2</v>
      </c>
      <c r="AA658" s="71">
        <f>IF(Table1[[#This Row],[Overall amount]]=0,"N/A",Table1[[#This Row],[Outstanding]]/Table1[[#This Row],[Overall amount]])</f>
        <v>0</v>
      </c>
      <c r="AB658" s="17">
        <f>IF(MONTH(Table1[[#This Row],[Loss date]])&lt;Pol_Inc_Month_Shifted,YEAR(Table1[[#This Row],[Loss date]])-1,YEAR(Table1[[#This Row],[Loss date]]))</f>
        <v>2005</v>
      </c>
      <c r="AC658" s="17">
        <f>IF(MONTH(Table1[[#This Row],[Reporting date]])&lt;Pol_Inc_Month_Shifted,YEAR(Table1[[#This Row],[Reporting date]])-1,YEAR(Table1[[#This Row],[Reporting date]]))</f>
        <v>2006</v>
      </c>
      <c r="AD658" s="17">
        <f>Table1[[#This Row],[Reporting year (shifted)]]-Table1[[#This Row],[Policy Year (shifted)]]</f>
        <v>1</v>
      </c>
    </row>
    <row r="659" spans="1:30" ht="13.9">
      <c r="A659" s="8" t="s">
        <v>2429</v>
      </c>
      <c r="B659" s="8" t="s">
        <v>711</v>
      </c>
      <c r="C659" s="8" t="s">
        <v>123</v>
      </c>
      <c r="D659" s="9">
        <v>39059</v>
      </c>
      <c r="E659" s="9">
        <v>39186</v>
      </c>
      <c r="F659" s="17">
        <f>IF(MONTH(Table1[[#This Row],[Loss date]])&lt;Policy_Inception_Month,YEAR(Table1[[#This Row],[Loss date]])-1,YEAR(Table1[[#This Row],[Loss date]]))</f>
        <v>2006</v>
      </c>
      <c r="G659" s="10" t="s">
        <v>124</v>
      </c>
      <c r="H659" s="10" t="s">
        <v>2</v>
      </c>
      <c r="I659" s="11">
        <v>630.34669799170763</v>
      </c>
      <c r="J659" s="11">
        <v>0</v>
      </c>
      <c r="K659" s="11">
        <v>630.34669799170763</v>
      </c>
      <c r="L659" s="12">
        <v>0</v>
      </c>
      <c r="M659" s="12">
        <v>0</v>
      </c>
      <c r="N659" s="12">
        <v>630.34669799170763</v>
      </c>
      <c r="O659" s="70">
        <f>IF(Table1[[#This Row],[Overall amount]]=0,0,1)</f>
        <v>1</v>
      </c>
      <c r="P659" s="70">
        <f>Table1[[#This Row],[Overall amount]]*Exchange_Rate</f>
        <v>630.34669799170763</v>
      </c>
      <c r="Q659" s="70">
        <f>Table1[[#This Row],[Overall (destination currency)]]*(1+Claims_Inflation)^((Revalue_at_date-Table1[[#This Row],[Loss date]])/365.25)</f>
        <v>969.00000000000011</v>
      </c>
      <c r="R659" s="70">
        <f>INT(Table1[[#This Row],[Reporting date]])-INT(Table1[[#This Row],[Loss date]])</f>
        <v>127</v>
      </c>
      <c r="S659" s="69" t="s">
        <v>9</v>
      </c>
      <c r="T659" s="70">
        <f>VLOOKUP(Table1[[#This Row],[Policy Year]],exposure_table,3,FALSE)</f>
        <v>483.32023209000977</v>
      </c>
      <c r="U659" s="17">
        <f>IF(MONTH(Table1[[#This Row],[Reporting date]])&lt;Policy_Inception_Month,YEAR(Table1[[#This Row],[Reporting date]])-1,YEAR(Table1[[#This Row],[Reporting date]]))</f>
        <v>2007</v>
      </c>
      <c r="V659" s="17">
        <f>Table1[[#This Row],[Reporting year]]-Table1[[#This Row],[Policy Year]]</f>
        <v>1</v>
      </c>
      <c r="W659" s="17">
        <f>INT(Table1[[#This Row],[Reporting date]])-INT(Table1[[#This Row],[Loss date]])</f>
        <v>127</v>
      </c>
      <c r="X659" s="17">
        <f>INT((YEAR(Table1[[#This Row],[Loss date]])*12+MONTH(Table1[[#This Row],[Loss date]])-Earliest_Month)/4)</f>
        <v>5</v>
      </c>
      <c r="Y659" s="17">
        <f>INT((YEAR(Table1[[#This Row],[Reporting date]])*12+MONTH(Table1[[#This Row],[Reporting date]])-Earliest_Month)/4)</f>
        <v>6</v>
      </c>
      <c r="Z659" s="17">
        <f>Table1[[#This Row],[Reporting third]]-Table1[[#This Row],[Policy third]]</f>
        <v>1</v>
      </c>
      <c r="AA659" s="71">
        <f>IF(Table1[[#This Row],[Overall amount]]=0,"N/A",Table1[[#This Row],[Outstanding]]/Table1[[#This Row],[Overall amount]])</f>
        <v>0</v>
      </c>
      <c r="AB659" s="17">
        <f>IF(MONTH(Table1[[#This Row],[Loss date]])&lt;Pol_Inc_Month_Shifted,YEAR(Table1[[#This Row],[Loss date]])-1,YEAR(Table1[[#This Row],[Loss date]]))</f>
        <v>2006</v>
      </c>
      <c r="AC659" s="17">
        <f>IF(MONTH(Table1[[#This Row],[Reporting date]])&lt;Pol_Inc_Month_Shifted,YEAR(Table1[[#This Row],[Reporting date]])-1,YEAR(Table1[[#This Row],[Reporting date]]))</f>
        <v>2006</v>
      </c>
      <c r="AD659" s="17">
        <f>Table1[[#This Row],[Reporting year (shifted)]]-Table1[[#This Row],[Policy Year (shifted)]]</f>
        <v>0</v>
      </c>
    </row>
    <row r="660" spans="1:30" ht="13.9">
      <c r="A660" s="8" t="s">
        <v>2430</v>
      </c>
      <c r="B660" s="8" t="s">
        <v>712</v>
      </c>
      <c r="C660" s="8" t="s">
        <v>123</v>
      </c>
      <c r="D660" s="9">
        <v>39097</v>
      </c>
      <c r="E660" s="9">
        <v>39283</v>
      </c>
      <c r="F660" s="17">
        <f>IF(MONTH(Table1[[#This Row],[Loss date]])&lt;Policy_Inception_Month,YEAR(Table1[[#This Row],[Loss date]])-1,YEAR(Table1[[#This Row],[Loss date]]))</f>
        <v>2006</v>
      </c>
      <c r="G660" s="10" t="s">
        <v>124</v>
      </c>
      <c r="H660" s="10" t="s">
        <v>2</v>
      </c>
      <c r="I660" s="11">
        <v>80.420230926325928</v>
      </c>
      <c r="J660" s="11">
        <v>0</v>
      </c>
      <c r="K660" s="11">
        <v>80.420230926325928</v>
      </c>
      <c r="L660" s="12">
        <v>0</v>
      </c>
      <c r="M660" s="12">
        <v>0</v>
      </c>
      <c r="N660" s="12">
        <v>80.420230926325928</v>
      </c>
      <c r="O660" s="70">
        <f>IF(Table1[[#This Row],[Overall amount]]=0,0,1)</f>
        <v>1</v>
      </c>
      <c r="P660" s="70">
        <f>Table1[[#This Row],[Overall amount]]*Exchange_Rate</f>
        <v>80.420230926325928</v>
      </c>
      <c r="Q660" s="70">
        <f>Table1[[#This Row],[Overall (destination currency)]]*(1+Claims_Inflation)^((Revalue_at_date-Table1[[#This Row],[Loss date]])/365.25)</f>
        <v>123</v>
      </c>
      <c r="R660" s="70">
        <f>INT(Table1[[#This Row],[Reporting date]])-INT(Table1[[#This Row],[Loss date]])</f>
        <v>186</v>
      </c>
      <c r="S660" s="69" t="s">
        <v>9</v>
      </c>
      <c r="T660" s="70">
        <f>VLOOKUP(Table1[[#This Row],[Policy Year]],exposure_table,3,FALSE)</f>
        <v>483.32023209000977</v>
      </c>
      <c r="U660" s="17">
        <f>IF(MONTH(Table1[[#This Row],[Reporting date]])&lt;Policy_Inception_Month,YEAR(Table1[[#This Row],[Reporting date]])-1,YEAR(Table1[[#This Row],[Reporting date]]))</f>
        <v>2007</v>
      </c>
      <c r="V660" s="17">
        <f>Table1[[#This Row],[Reporting year]]-Table1[[#This Row],[Policy Year]]</f>
        <v>1</v>
      </c>
      <c r="W660" s="17">
        <f>INT(Table1[[#This Row],[Reporting date]])-INT(Table1[[#This Row],[Loss date]])</f>
        <v>186</v>
      </c>
      <c r="X660" s="17">
        <f>INT((YEAR(Table1[[#This Row],[Loss date]])*12+MONTH(Table1[[#This Row],[Loss date]])-Earliest_Month)/4)</f>
        <v>5</v>
      </c>
      <c r="Y660" s="17">
        <f>INT((YEAR(Table1[[#This Row],[Reporting date]])*12+MONTH(Table1[[#This Row],[Reporting date]])-Earliest_Month)/4)</f>
        <v>6</v>
      </c>
      <c r="Z660" s="17">
        <f>Table1[[#This Row],[Reporting third]]-Table1[[#This Row],[Policy third]]</f>
        <v>1</v>
      </c>
      <c r="AA660" s="71">
        <f>IF(Table1[[#This Row],[Overall amount]]=0,"N/A",Table1[[#This Row],[Outstanding]]/Table1[[#This Row],[Overall amount]])</f>
        <v>0</v>
      </c>
      <c r="AB660" s="17">
        <f>IF(MONTH(Table1[[#This Row],[Loss date]])&lt;Pol_Inc_Month_Shifted,YEAR(Table1[[#This Row],[Loss date]])-1,YEAR(Table1[[#This Row],[Loss date]]))</f>
        <v>2006</v>
      </c>
      <c r="AC660" s="17">
        <f>IF(MONTH(Table1[[#This Row],[Reporting date]])&lt;Pol_Inc_Month_Shifted,YEAR(Table1[[#This Row],[Reporting date]])-1,YEAR(Table1[[#This Row],[Reporting date]]))</f>
        <v>2006</v>
      </c>
      <c r="AD660" s="17">
        <f>Table1[[#This Row],[Reporting year (shifted)]]-Table1[[#This Row],[Policy Year (shifted)]]</f>
        <v>0</v>
      </c>
    </row>
    <row r="661" spans="1:30" ht="13.9">
      <c r="A661" s="8" t="s">
        <v>2431</v>
      </c>
      <c r="B661" s="8" t="s">
        <v>713</v>
      </c>
      <c r="C661" s="8" t="s">
        <v>123</v>
      </c>
      <c r="D661" s="9">
        <v>39459</v>
      </c>
      <c r="E661" s="9">
        <v>39494</v>
      </c>
      <c r="F661" s="17">
        <f>IF(MONTH(Table1[[#This Row],[Loss date]])&lt;Policy_Inception_Month,YEAR(Table1[[#This Row],[Loss date]])-1,YEAR(Table1[[#This Row],[Loss date]]))</f>
        <v>2007</v>
      </c>
      <c r="G661" s="10" t="s">
        <v>125</v>
      </c>
      <c r="H661" s="10" t="s">
        <v>2</v>
      </c>
      <c r="I661" s="11">
        <v>314.9732316137592</v>
      </c>
      <c r="J661" s="11">
        <v>0</v>
      </c>
      <c r="K661" s="11">
        <v>314.9732316137592</v>
      </c>
      <c r="L661" s="12">
        <v>0</v>
      </c>
      <c r="M661" s="12">
        <v>0</v>
      </c>
      <c r="N661" s="12">
        <v>314.9732316137592</v>
      </c>
      <c r="O661" s="70">
        <f>IF(Table1[[#This Row],[Overall amount]]=0,0,1)</f>
        <v>1</v>
      </c>
      <c r="P661" s="70">
        <f>Table1[[#This Row],[Overall amount]]*Exchange_Rate</f>
        <v>314.9732316137592</v>
      </c>
      <c r="Q661" s="70">
        <f>Table1[[#This Row],[Overall (destination currency)]]*(1+Claims_Inflation)^((Revalue_at_date-Table1[[#This Row],[Loss date]])/365.25)</f>
        <v>458.99999999999994</v>
      </c>
      <c r="R661" s="70">
        <f>INT(Table1[[#This Row],[Reporting date]])-INT(Table1[[#This Row],[Loss date]])</f>
        <v>35</v>
      </c>
      <c r="S661" s="69" t="s">
        <v>9</v>
      </c>
      <c r="T661" s="70">
        <f>VLOOKUP(Table1[[#This Row],[Policy Year]],exposure_table,3,FALSE)</f>
        <v>547.7736362475523</v>
      </c>
      <c r="U661" s="17">
        <f>IF(MONTH(Table1[[#This Row],[Reporting date]])&lt;Policy_Inception_Month,YEAR(Table1[[#This Row],[Reporting date]])-1,YEAR(Table1[[#This Row],[Reporting date]]))</f>
        <v>2007</v>
      </c>
      <c r="V661" s="17">
        <f>Table1[[#This Row],[Reporting year]]-Table1[[#This Row],[Policy Year]]</f>
        <v>0</v>
      </c>
      <c r="W661" s="17">
        <f>INT(Table1[[#This Row],[Reporting date]])-INT(Table1[[#This Row],[Loss date]])</f>
        <v>35</v>
      </c>
      <c r="X661" s="17">
        <f>INT((YEAR(Table1[[#This Row],[Loss date]])*12+MONTH(Table1[[#This Row],[Loss date]])-Earliest_Month)/4)</f>
        <v>8</v>
      </c>
      <c r="Y661" s="17">
        <f>INT((YEAR(Table1[[#This Row],[Reporting date]])*12+MONTH(Table1[[#This Row],[Reporting date]])-Earliest_Month)/4)</f>
        <v>8</v>
      </c>
      <c r="Z661" s="17">
        <f>Table1[[#This Row],[Reporting third]]-Table1[[#This Row],[Policy third]]</f>
        <v>0</v>
      </c>
      <c r="AA661" s="71">
        <f>IF(Table1[[#This Row],[Overall amount]]=0,"N/A",Table1[[#This Row],[Outstanding]]/Table1[[#This Row],[Overall amount]])</f>
        <v>0</v>
      </c>
      <c r="AB661" s="17">
        <f>IF(MONTH(Table1[[#This Row],[Loss date]])&lt;Pol_Inc_Month_Shifted,YEAR(Table1[[#This Row],[Loss date]])-1,YEAR(Table1[[#This Row],[Loss date]]))</f>
        <v>2007</v>
      </c>
      <c r="AC661" s="17">
        <f>IF(MONTH(Table1[[#This Row],[Reporting date]])&lt;Pol_Inc_Month_Shifted,YEAR(Table1[[#This Row],[Reporting date]])-1,YEAR(Table1[[#This Row],[Reporting date]]))</f>
        <v>2007</v>
      </c>
      <c r="AD661" s="17">
        <f>Table1[[#This Row],[Reporting year (shifted)]]-Table1[[#This Row],[Policy Year (shifted)]]</f>
        <v>0</v>
      </c>
    </row>
    <row r="662" spans="1:30" ht="13.9">
      <c r="A662" s="8" t="s">
        <v>2432</v>
      </c>
      <c r="B662" s="8" t="s">
        <v>714</v>
      </c>
      <c r="C662" s="8" t="s">
        <v>123</v>
      </c>
      <c r="D662" s="9">
        <v>39263</v>
      </c>
      <c r="E662" s="9">
        <v>39374</v>
      </c>
      <c r="F662" s="17">
        <f>IF(MONTH(Table1[[#This Row],[Loss date]])&lt;Policy_Inception_Month,YEAR(Table1[[#This Row],[Loss date]])-1,YEAR(Table1[[#This Row],[Loss date]]))</f>
        <v>2007</v>
      </c>
      <c r="G662" s="10" t="s">
        <v>125</v>
      </c>
      <c r="H662" s="10" t="s">
        <v>2</v>
      </c>
      <c r="I662" s="11">
        <v>15943.785481629346</v>
      </c>
      <c r="J662" s="11">
        <v>0</v>
      </c>
      <c r="K662" s="11">
        <v>15943.785481629346</v>
      </c>
      <c r="L662" s="12">
        <v>0</v>
      </c>
      <c r="M662" s="12">
        <v>0</v>
      </c>
      <c r="N662" s="12">
        <v>15943.785481629346</v>
      </c>
      <c r="O662" s="70">
        <f>IF(Table1[[#This Row],[Overall amount]]=0,0,1)</f>
        <v>1</v>
      </c>
      <c r="P662" s="70">
        <f>Table1[[#This Row],[Overall amount]]*Exchange_Rate</f>
        <v>15943.785481629346</v>
      </c>
      <c r="Q662" s="70">
        <f>Table1[[#This Row],[Overall (destination currency)]]*(1+Claims_Inflation)^((Revalue_at_date-Table1[[#This Row],[Loss date]])/365.25)</f>
        <v>23850.696000000007</v>
      </c>
      <c r="R662" s="70">
        <f>INT(Table1[[#This Row],[Reporting date]])-INT(Table1[[#This Row],[Loss date]])</f>
        <v>111</v>
      </c>
      <c r="S662" s="69" t="s">
        <v>9</v>
      </c>
      <c r="T662" s="70">
        <f>VLOOKUP(Table1[[#This Row],[Policy Year]],exposure_table,3,FALSE)</f>
        <v>547.7736362475523</v>
      </c>
      <c r="U662" s="17">
        <f>IF(MONTH(Table1[[#This Row],[Reporting date]])&lt;Policy_Inception_Month,YEAR(Table1[[#This Row],[Reporting date]])-1,YEAR(Table1[[#This Row],[Reporting date]]))</f>
        <v>2007</v>
      </c>
      <c r="V662" s="17">
        <f>Table1[[#This Row],[Reporting year]]-Table1[[#This Row],[Policy Year]]</f>
        <v>0</v>
      </c>
      <c r="W662" s="17">
        <f>INT(Table1[[#This Row],[Reporting date]])-INT(Table1[[#This Row],[Loss date]])</f>
        <v>111</v>
      </c>
      <c r="X662" s="17">
        <f>INT((YEAR(Table1[[#This Row],[Loss date]])*12+MONTH(Table1[[#This Row],[Loss date]])-Earliest_Month)/4)</f>
        <v>6</v>
      </c>
      <c r="Y662" s="17">
        <f>INT((YEAR(Table1[[#This Row],[Reporting date]])*12+MONTH(Table1[[#This Row],[Reporting date]])-Earliest_Month)/4)</f>
        <v>7</v>
      </c>
      <c r="Z662" s="17">
        <f>Table1[[#This Row],[Reporting third]]-Table1[[#This Row],[Policy third]]</f>
        <v>1</v>
      </c>
      <c r="AA662" s="71">
        <f>IF(Table1[[#This Row],[Overall amount]]=0,"N/A",Table1[[#This Row],[Outstanding]]/Table1[[#This Row],[Overall amount]])</f>
        <v>0</v>
      </c>
      <c r="AB662" s="17">
        <f>IF(MONTH(Table1[[#This Row],[Loss date]])&lt;Pol_Inc_Month_Shifted,YEAR(Table1[[#This Row],[Loss date]])-1,YEAR(Table1[[#This Row],[Loss date]]))</f>
        <v>2006</v>
      </c>
      <c r="AC662" s="17">
        <f>IF(MONTH(Table1[[#This Row],[Reporting date]])&lt;Pol_Inc_Month_Shifted,YEAR(Table1[[#This Row],[Reporting date]])-1,YEAR(Table1[[#This Row],[Reporting date]]))</f>
        <v>2006</v>
      </c>
      <c r="AD662" s="17">
        <f>Table1[[#This Row],[Reporting year (shifted)]]-Table1[[#This Row],[Policy Year (shifted)]]</f>
        <v>0</v>
      </c>
    </row>
    <row r="663" spans="1:30" ht="13.9">
      <c r="A663" s="8" t="s">
        <v>2433</v>
      </c>
      <c r="B663" s="8" t="s">
        <v>715</v>
      </c>
      <c r="C663" s="8" t="s">
        <v>123</v>
      </c>
      <c r="D663" s="9">
        <v>39318</v>
      </c>
      <c r="E663" s="9">
        <v>39518</v>
      </c>
      <c r="F663" s="17">
        <f>IF(MONTH(Table1[[#This Row],[Loss date]])&lt;Policy_Inception_Month,YEAR(Table1[[#This Row],[Loss date]])-1,YEAR(Table1[[#This Row],[Loss date]]))</f>
        <v>2007</v>
      </c>
      <c r="G663" s="10" t="s">
        <v>125</v>
      </c>
      <c r="H663" s="10" t="s">
        <v>2</v>
      </c>
      <c r="I663" s="11">
        <v>7956.0334763803776</v>
      </c>
      <c r="J663" s="11">
        <v>0</v>
      </c>
      <c r="K663" s="11">
        <v>7956.0334763803776</v>
      </c>
      <c r="L663" s="12">
        <v>0</v>
      </c>
      <c r="M663" s="12">
        <v>0</v>
      </c>
      <c r="N663" s="12">
        <v>7956.0334763803776</v>
      </c>
      <c r="O663" s="70">
        <f>IF(Table1[[#This Row],[Overall amount]]=0,0,1)</f>
        <v>1</v>
      </c>
      <c r="P663" s="70">
        <f>Table1[[#This Row],[Overall amount]]*Exchange_Rate</f>
        <v>7956.0334763803776</v>
      </c>
      <c r="Q663" s="70">
        <f>Table1[[#This Row],[Overall (destination currency)]]*(1+Claims_Inflation)^((Revalue_at_date-Table1[[#This Row],[Loss date]])/365.25)</f>
        <v>11814.503999999999</v>
      </c>
      <c r="R663" s="70">
        <f>INT(Table1[[#This Row],[Reporting date]])-INT(Table1[[#This Row],[Loss date]])</f>
        <v>200</v>
      </c>
      <c r="S663" s="69" t="s">
        <v>9</v>
      </c>
      <c r="T663" s="70">
        <f>VLOOKUP(Table1[[#This Row],[Policy Year]],exposure_table,3,FALSE)</f>
        <v>547.7736362475523</v>
      </c>
      <c r="U663" s="17">
        <f>IF(MONTH(Table1[[#This Row],[Reporting date]])&lt;Policy_Inception_Month,YEAR(Table1[[#This Row],[Reporting date]])-1,YEAR(Table1[[#This Row],[Reporting date]]))</f>
        <v>2007</v>
      </c>
      <c r="V663" s="17">
        <f>Table1[[#This Row],[Reporting year]]-Table1[[#This Row],[Policy Year]]</f>
        <v>0</v>
      </c>
      <c r="W663" s="17">
        <f>INT(Table1[[#This Row],[Reporting date]])-INT(Table1[[#This Row],[Loss date]])</f>
        <v>200</v>
      </c>
      <c r="X663" s="17">
        <f>INT((YEAR(Table1[[#This Row],[Loss date]])*12+MONTH(Table1[[#This Row],[Loss date]])-Earliest_Month)/4)</f>
        <v>7</v>
      </c>
      <c r="Y663" s="17">
        <f>INT((YEAR(Table1[[#This Row],[Reporting date]])*12+MONTH(Table1[[#This Row],[Reporting date]])-Earliest_Month)/4)</f>
        <v>8</v>
      </c>
      <c r="Z663" s="17">
        <f>Table1[[#This Row],[Reporting third]]-Table1[[#This Row],[Policy third]]</f>
        <v>1</v>
      </c>
      <c r="AA663" s="71">
        <f>IF(Table1[[#This Row],[Overall amount]]=0,"N/A",Table1[[#This Row],[Outstanding]]/Table1[[#This Row],[Overall amount]])</f>
        <v>0</v>
      </c>
      <c r="AB663" s="17">
        <f>IF(MONTH(Table1[[#This Row],[Loss date]])&lt;Pol_Inc_Month_Shifted,YEAR(Table1[[#This Row],[Loss date]])-1,YEAR(Table1[[#This Row],[Loss date]]))</f>
        <v>2006</v>
      </c>
      <c r="AC663" s="17">
        <f>IF(MONTH(Table1[[#This Row],[Reporting date]])&lt;Pol_Inc_Month_Shifted,YEAR(Table1[[#This Row],[Reporting date]])-1,YEAR(Table1[[#This Row],[Reporting date]]))</f>
        <v>2007</v>
      </c>
      <c r="AD663" s="17">
        <f>Table1[[#This Row],[Reporting year (shifted)]]-Table1[[#This Row],[Policy Year (shifted)]]</f>
        <v>1</v>
      </c>
    </row>
    <row r="664" spans="1:30" ht="13.9">
      <c r="A664" s="8" t="s">
        <v>2434</v>
      </c>
      <c r="B664" s="8" t="s">
        <v>716</v>
      </c>
      <c r="C664" s="8" t="s">
        <v>123</v>
      </c>
      <c r="D664" s="9">
        <v>39367</v>
      </c>
      <c r="E664" s="9">
        <v>39619</v>
      </c>
      <c r="F664" s="17">
        <f>IF(MONTH(Table1[[#This Row],[Loss date]])&lt;Policy_Inception_Month,YEAR(Table1[[#This Row],[Loss date]])-1,YEAR(Table1[[#This Row],[Loss date]]))</f>
        <v>2007</v>
      </c>
      <c r="G664" s="10" t="s">
        <v>125</v>
      </c>
      <c r="H664" s="10" t="s">
        <v>2</v>
      </c>
      <c r="I664" s="11">
        <v>5755.8327495622461</v>
      </c>
      <c r="J664" s="11">
        <v>0</v>
      </c>
      <c r="K664" s="11">
        <v>5755.8327495622461</v>
      </c>
      <c r="L664" s="12">
        <v>0</v>
      </c>
      <c r="M664" s="12">
        <v>97.849156742558193</v>
      </c>
      <c r="N664" s="12">
        <v>5657.9835928196881</v>
      </c>
      <c r="O664" s="70">
        <f>IF(Table1[[#This Row],[Overall amount]]=0,0,1)</f>
        <v>1</v>
      </c>
      <c r="P664" s="70">
        <f>Table1[[#This Row],[Overall amount]]*Exchange_Rate</f>
        <v>5657.9835928196881</v>
      </c>
      <c r="Q664" s="70">
        <f>Table1[[#This Row],[Overall (destination currency)]]*(1+Claims_Inflation)^((Revalue_at_date-Table1[[#This Row],[Loss date]])/365.25)</f>
        <v>8347.1444999999985</v>
      </c>
      <c r="R664" s="70">
        <f>INT(Table1[[#This Row],[Reporting date]])-INT(Table1[[#This Row],[Loss date]])</f>
        <v>252</v>
      </c>
      <c r="S664" s="69" t="s">
        <v>9</v>
      </c>
      <c r="T664" s="70">
        <f>VLOOKUP(Table1[[#This Row],[Policy Year]],exposure_table,3,FALSE)</f>
        <v>547.7736362475523</v>
      </c>
      <c r="U664" s="17">
        <f>IF(MONTH(Table1[[#This Row],[Reporting date]])&lt;Policy_Inception_Month,YEAR(Table1[[#This Row],[Reporting date]])-1,YEAR(Table1[[#This Row],[Reporting date]]))</f>
        <v>2008</v>
      </c>
      <c r="V664" s="17">
        <f>Table1[[#This Row],[Reporting year]]-Table1[[#This Row],[Policy Year]]</f>
        <v>1</v>
      </c>
      <c r="W664" s="17">
        <f>INT(Table1[[#This Row],[Reporting date]])-INT(Table1[[#This Row],[Loss date]])</f>
        <v>252</v>
      </c>
      <c r="X664" s="17">
        <f>INT((YEAR(Table1[[#This Row],[Loss date]])*12+MONTH(Table1[[#This Row],[Loss date]])-Earliest_Month)/4)</f>
        <v>7</v>
      </c>
      <c r="Y664" s="17">
        <f>INT((YEAR(Table1[[#This Row],[Reporting date]])*12+MONTH(Table1[[#This Row],[Reporting date]])-Earliest_Month)/4)</f>
        <v>9</v>
      </c>
      <c r="Z664" s="17">
        <f>Table1[[#This Row],[Reporting third]]-Table1[[#This Row],[Policy third]]</f>
        <v>2</v>
      </c>
      <c r="AA664" s="71">
        <f>IF(Table1[[#This Row],[Overall amount]]=0,"N/A",Table1[[#This Row],[Outstanding]]/Table1[[#This Row],[Overall amount]])</f>
        <v>0</v>
      </c>
      <c r="AB664" s="17">
        <f>IF(MONTH(Table1[[#This Row],[Loss date]])&lt;Pol_Inc_Month_Shifted,YEAR(Table1[[#This Row],[Loss date]])-1,YEAR(Table1[[#This Row],[Loss date]]))</f>
        <v>2006</v>
      </c>
      <c r="AC664" s="17">
        <f>IF(MONTH(Table1[[#This Row],[Reporting date]])&lt;Pol_Inc_Month_Shifted,YEAR(Table1[[#This Row],[Reporting date]])-1,YEAR(Table1[[#This Row],[Reporting date]]))</f>
        <v>2007</v>
      </c>
      <c r="AD664" s="17">
        <f>Table1[[#This Row],[Reporting year (shifted)]]-Table1[[#This Row],[Policy Year (shifted)]]</f>
        <v>1</v>
      </c>
    </row>
    <row r="665" spans="1:30" ht="13.9">
      <c r="A665" s="8" t="s">
        <v>2435</v>
      </c>
      <c r="B665" s="8" t="s">
        <v>717</v>
      </c>
      <c r="C665" s="8" t="s">
        <v>123</v>
      </c>
      <c r="D665" s="9">
        <v>39376</v>
      </c>
      <c r="E665" s="9">
        <v>39647</v>
      </c>
      <c r="F665" s="17">
        <f>IF(MONTH(Table1[[#This Row],[Loss date]])&lt;Policy_Inception_Month,YEAR(Table1[[#This Row],[Loss date]])-1,YEAR(Table1[[#This Row],[Loss date]]))</f>
        <v>2007</v>
      </c>
      <c r="G665" s="10" t="s">
        <v>125</v>
      </c>
      <c r="H665" s="10" t="s">
        <v>2</v>
      </c>
      <c r="I665" s="11">
        <v>16034.027119439315</v>
      </c>
      <c r="J665" s="11">
        <v>0</v>
      </c>
      <c r="K665" s="11">
        <v>16034.027119439315</v>
      </c>
      <c r="L665" s="12">
        <v>0</v>
      </c>
      <c r="M665" s="12">
        <v>0</v>
      </c>
      <c r="N665" s="12">
        <v>16034.027119439315</v>
      </c>
      <c r="O665" s="70">
        <f>IF(Table1[[#This Row],[Overall amount]]=0,0,1)</f>
        <v>1</v>
      </c>
      <c r="P665" s="70">
        <f>Table1[[#This Row],[Overall amount]]*Exchange_Rate</f>
        <v>16034.027119439315</v>
      </c>
      <c r="Q665" s="70">
        <f>Table1[[#This Row],[Overall (destination currency)]]*(1+Claims_Inflation)^((Revalue_at_date-Table1[[#This Row],[Loss date]])/365.25)</f>
        <v>23626.356</v>
      </c>
      <c r="R665" s="70">
        <f>INT(Table1[[#This Row],[Reporting date]])-INT(Table1[[#This Row],[Loss date]])</f>
        <v>271</v>
      </c>
      <c r="S665" s="69" t="s">
        <v>9</v>
      </c>
      <c r="T665" s="70">
        <f>VLOOKUP(Table1[[#This Row],[Policy Year]],exposure_table,3,FALSE)</f>
        <v>547.7736362475523</v>
      </c>
      <c r="U665" s="17">
        <f>IF(MONTH(Table1[[#This Row],[Reporting date]])&lt;Policy_Inception_Month,YEAR(Table1[[#This Row],[Reporting date]])-1,YEAR(Table1[[#This Row],[Reporting date]]))</f>
        <v>2008</v>
      </c>
      <c r="V665" s="17">
        <f>Table1[[#This Row],[Reporting year]]-Table1[[#This Row],[Policy Year]]</f>
        <v>1</v>
      </c>
      <c r="W665" s="17">
        <f>INT(Table1[[#This Row],[Reporting date]])-INT(Table1[[#This Row],[Loss date]])</f>
        <v>271</v>
      </c>
      <c r="X665" s="17">
        <f>INT((YEAR(Table1[[#This Row],[Loss date]])*12+MONTH(Table1[[#This Row],[Loss date]])-Earliest_Month)/4)</f>
        <v>7</v>
      </c>
      <c r="Y665" s="17">
        <f>INT((YEAR(Table1[[#This Row],[Reporting date]])*12+MONTH(Table1[[#This Row],[Reporting date]])-Earliest_Month)/4)</f>
        <v>9</v>
      </c>
      <c r="Z665" s="17">
        <f>Table1[[#This Row],[Reporting third]]-Table1[[#This Row],[Policy third]]</f>
        <v>2</v>
      </c>
      <c r="AA665" s="71">
        <f>IF(Table1[[#This Row],[Overall amount]]=0,"N/A",Table1[[#This Row],[Outstanding]]/Table1[[#This Row],[Overall amount]])</f>
        <v>0</v>
      </c>
      <c r="AB665" s="17">
        <f>IF(MONTH(Table1[[#This Row],[Loss date]])&lt;Pol_Inc_Month_Shifted,YEAR(Table1[[#This Row],[Loss date]])-1,YEAR(Table1[[#This Row],[Loss date]]))</f>
        <v>2006</v>
      </c>
      <c r="AC665" s="17">
        <f>IF(MONTH(Table1[[#This Row],[Reporting date]])&lt;Pol_Inc_Month_Shifted,YEAR(Table1[[#This Row],[Reporting date]])-1,YEAR(Table1[[#This Row],[Reporting date]]))</f>
        <v>2007</v>
      </c>
      <c r="AD665" s="17">
        <f>Table1[[#This Row],[Reporting year (shifted)]]-Table1[[#This Row],[Policy Year (shifted)]]</f>
        <v>1</v>
      </c>
    </row>
    <row r="666" spans="1:30" ht="13.9">
      <c r="A666" s="8" t="s">
        <v>2436</v>
      </c>
      <c r="B666" s="8" t="s">
        <v>718</v>
      </c>
      <c r="C666" s="8" t="s">
        <v>123</v>
      </c>
      <c r="D666" s="9">
        <v>39478</v>
      </c>
      <c r="E666" s="9">
        <v>39670</v>
      </c>
      <c r="F666" s="17">
        <f>IF(MONTH(Table1[[#This Row],[Loss date]])&lt;Policy_Inception_Month,YEAR(Table1[[#This Row],[Loss date]])-1,YEAR(Table1[[#This Row],[Loss date]]))</f>
        <v>2007</v>
      </c>
      <c r="G666" s="10" t="s">
        <v>125</v>
      </c>
      <c r="H666" s="10" t="s">
        <v>2</v>
      </c>
      <c r="I666" s="11">
        <v>4156.6545362383513</v>
      </c>
      <c r="J666" s="11">
        <v>0</v>
      </c>
      <c r="K666" s="11">
        <v>4156.6545362383513</v>
      </c>
      <c r="L666" s="12">
        <v>0</v>
      </c>
      <c r="M666" s="12">
        <v>0</v>
      </c>
      <c r="N666" s="12">
        <v>4156.6545362383513</v>
      </c>
      <c r="O666" s="70">
        <f>IF(Table1[[#This Row],[Overall amount]]=0,0,1)</f>
        <v>1</v>
      </c>
      <c r="P666" s="70">
        <f>Table1[[#This Row],[Overall amount]]*Exchange_Rate</f>
        <v>4156.6545362383513</v>
      </c>
      <c r="Q666" s="70">
        <f>Table1[[#This Row],[Overall (destination currency)]]*(1+Claims_Inflation)^((Revalue_at_date-Table1[[#This Row],[Loss date]])/365.25)</f>
        <v>6042.0000000000009</v>
      </c>
      <c r="R666" s="70">
        <f>INT(Table1[[#This Row],[Reporting date]])-INT(Table1[[#This Row],[Loss date]])</f>
        <v>192</v>
      </c>
      <c r="S666" s="69" t="s">
        <v>9</v>
      </c>
      <c r="T666" s="70">
        <f>VLOOKUP(Table1[[#This Row],[Policy Year]],exposure_table,3,FALSE)</f>
        <v>547.7736362475523</v>
      </c>
      <c r="U666" s="17">
        <f>IF(MONTH(Table1[[#This Row],[Reporting date]])&lt;Policy_Inception_Month,YEAR(Table1[[#This Row],[Reporting date]])-1,YEAR(Table1[[#This Row],[Reporting date]]))</f>
        <v>2008</v>
      </c>
      <c r="V666" s="17">
        <f>Table1[[#This Row],[Reporting year]]-Table1[[#This Row],[Policy Year]]</f>
        <v>1</v>
      </c>
      <c r="W666" s="17">
        <f>INT(Table1[[#This Row],[Reporting date]])-INT(Table1[[#This Row],[Loss date]])</f>
        <v>192</v>
      </c>
      <c r="X666" s="17">
        <f>INT((YEAR(Table1[[#This Row],[Loss date]])*12+MONTH(Table1[[#This Row],[Loss date]])-Earliest_Month)/4)</f>
        <v>8</v>
      </c>
      <c r="Y666" s="17">
        <f>INT((YEAR(Table1[[#This Row],[Reporting date]])*12+MONTH(Table1[[#This Row],[Reporting date]])-Earliest_Month)/4)</f>
        <v>10</v>
      </c>
      <c r="Z666" s="17">
        <f>Table1[[#This Row],[Reporting third]]-Table1[[#This Row],[Policy third]]</f>
        <v>2</v>
      </c>
      <c r="AA666" s="71">
        <f>IF(Table1[[#This Row],[Overall amount]]=0,"N/A",Table1[[#This Row],[Outstanding]]/Table1[[#This Row],[Overall amount]])</f>
        <v>0</v>
      </c>
      <c r="AB666" s="17">
        <f>IF(MONTH(Table1[[#This Row],[Loss date]])&lt;Pol_Inc_Month_Shifted,YEAR(Table1[[#This Row],[Loss date]])-1,YEAR(Table1[[#This Row],[Loss date]]))</f>
        <v>2007</v>
      </c>
      <c r="AC666" s="17">
        <f>IF(MONTH(Table1[[#This Row],[Reporting date]])&lt;Pol_Inc_Month_Shifted,YEAR(Table1[[#This Row],[Reporting date]])-1,YEAR(Table1[[#This Row],[Reporting date]]))</f>
        <v>2007</v>
      </c>
      <c r="AD666" s="17">
        <f>Table1[[#This Row],[Reporting year (shifted)]]-Table1[[#This Row],[Policy Year (shifted)]]</f>
        <v>0</v>
      </c>
    </row>
    <row r="667" spans="1:30" ht="13.9">
      <c r="A667" s="8" t="s">
        <v>2437</v>
      </c>
      <c r="B667" s="8" t="s">
        <v>719</v>
      </c>
      <c r="C667" s="8" t="s">
        <v>123</v>
      </c>
      <c r="D667" s="9">
        <v>39701</v>
      </c>
      <c r="E667" s="9">
        <v>39803</v>
      </c>
      <c r="F667" s="17">
        <f>IF(MONTH(Table1[[#This Row],[Loss date]])&lt;Policy_Inception_Month,YEAR(Table1[[#This Row],[Loss date]])-1,YEAR(Table1[[#This Row],[Loss date]]))</f>
        <v>2008</v>
      </c>
      <c r="G667" s="10" t="s">
        <v>125</v>
      </c>
      <c r="H667" s="10" t="s">
        <v>2</v>
      </c>
      <c r="I667" s="11">
        <v>807.28222415340269</v>
      </c>
      <c r="J667" s="11">
        <v>0</v>
      </c>
      <c r="K667" s="11">
        <v>807.28222415340269</v>
      </c>
      <c r="L667" s="12">
        <v>0</v>
      </c>
      <c r="M667" s="12">
        <v>0</v>
      </c>
      <c r="N667" s="12">
        <v>807.28222415340269</v>
      </c>
      <c r="O667" s="70">
        <f>IF(Table1[[#This Row],[Overall amount]]=0,0,1)</f>
        <v>1</v>
      </c>
      <c r="P667" s="70">
        <f>Table1[[#This Row],[Overall amount]]*Exchange_Rate</f>
        <v>807.28222415340269</v>
      </c>
      <c r="Q667" s="70">
        <f>Table1[[#This Row],[Overall (destination currency)]]*(1+Claims_Inflation)^((Revalue_at_date-Table1[[#This Row],[Loss date]])/365.25)</f>
        <v>1139.0040000000001</v>
      </c>
      <c r="R667" s="70">
        <f>INT(Table1[[#This Row],[Reporting date]])-INT(Table1[[#This Row],[Loss date]])</f>
        <v>102</v>
      </c>
      <c r="S667" s="69" t="s">
        <v>9</v>
      </c>
      <c r="T667" s="70">
        <f>VLOOKUP(Table1[[#This Row],[Policy Year]],exposure_table,3,FALSE)</f>
        <v>601.98581780480015</v>
      </c>
      <c r="U667" s="17">
        <f>IF(MONTH(Table1[[#This Row],[Reporting date]])&lt;Policy_Inception_Month,YEAR(Table1[[#This Row],[Reporting date]])-1,YEAR(Table1[[#This Row],[Reporting date]]))</f>
        <v>2008</v>
      </c>
      <c r="V667" s="17">
        <f>Table1[[#This Row],[Reporting year]]-Table1[[#This Row],[Policy Year]]</f>
        <v>0</v>
      </c>
      <c r="W667" s="17">
        <f>INT(Table1[[#This Row],[Reporting date]])-INT(Table1[[#This Row],[Loss date]])</f>
        <v>102</v>
      </c>
      <c r="X667" s="17">
        <f>INT((YEAR(Table1[[#This Row],[Loss date]])*12+MONTH(Table1[[#This Row],[Loss date]])-Earliest_Month)/4)</f>
        <v>10</v>
      </c>
      <c r="Y667" s="17">
        <f>INT((YEAR(Table1[[#This Row],[Reporting date]])*12+MONTH(Table1[[#This Row],[Reporting date]])-Earliest_Month)/4)</f>
        <v>11</v>
      </c>
      <c r="Z667" s="17">
        <f>Table1[[#This Row],[Reporting third]]-Table1[[#This Row],[Policy third]]</f>
        <v>1</v>
      </c>
      <c r="AA667" s="71">
        <f>IF(Table1[[#This Row],[Overall amount]]=0,"N/A",Table1[[#This Row],[Outstanding]]/Table1[[#This Row],[Overall amount]])</f>
        <v>0</v>
      </c>
      <c r="AB667" s="17">
        <f>IF(MONTH(Table1[[#This Row],[Loss date]])&lt;Pol_Inc_Month_Shifted,YEAR(Table1[[#This Row],[Loss date]])-1,YEAR(Table1[[#This Row],[Loss date]]))</f>
        <v>2007</v>
      </c>
      <c r="AC667" s="17">
        <f>IF(MONTH(Table1[[#This Row],[Reporting date]])&lt;Pol_Inc_Month_Shifted,YEAR(Table1[[#This Row],[Reporting date]])-1,YEAR(Table1[[#This Row],[Reporting date]]))</f>
        <v>2008</v>
      </c>
      <c r="AD667" s="17">
        <f>Table1[[#This Row],[Reporting year (shifted)]]-Table1[[#This Row],[Policy Year (shifted)]]</f>
        <v>1</v>
      </c>
    </row>
    <row r="668" spans="1:30" ht="13.9">
      <c r="A668" s="8" t="s">
        <v>2438</v>
      </c>
      <c r="B668" s="8" t="s">
        <v>720</v>
      </c>
      <c r="C668" s="8" t="s">
        <v>123</v>
      </c>
      <c r="D668" s="9">
        <v>39628</v>
      </c>
      <c r="E668" s="9">
        <v>39866</v>
      </c>
      <c r="F668" s="17">
        <f>IF(MONTH(Table1[[#This Row],[Loss date]])&lt;Policy_Inception_Month,YEAR(Table1[[#This Row],[Loss date]])-1,YEAR(Table1[[#This Row],[Loss date]]))</f>
        <v>2008</v>
      </c>
      <c r="G668" s="10" t="s">
        <v>125</v>
      </c>
      <c r="H668" s="10" t="s">
        <v>2</v>
      </c>
      <c r="I668" s="11">
        <v>572.73713147454293</v>
      </c>
      <c r="J668" s="11">
        <v>0</v>
      </c>
      <c r="K668" s="11">
        <v>572.73713147454293</v>
      </c>
      <c r="L668" s="12">
        <v>0</v>
      </c>
      <c r="M668" s="12">
        <v>0</v>
      </c>
      <c r="N668" s="12">
        <v>572.73713147454293</v>
      </c>
      <c r="O668" s="70">
        <f>IF(Table1[[#This Row],[Overall amount]]=0,0,1)</f>
        <v>1</v>
      </c>
      <c r="P668" s="70">
        <f>Table1[[#This Row],[Overall amount]]*Exchange_Rate</f>
        <v>572.73713147454293</v>
      </c>
      <c r="Q668" s="70">
        <f>Table1[[#This Row],[Overall (destination currency)]]*(1+Claims_Inflation)^((Revalue_at_date-Table1[[#This Row],[Loss date]])/365.25)</f>
        <v>816.00000000000011</v>
      </c>
      <c r="R668" s="70">
        <f>INT(Table1[[#This Row],[Reporting date]])-INT(Table1[[#This Row],[Loss date]])</f>
        <v>238</v>
      </c>
      <c r="S668" s="69" t="s">
        <v>9</v>
      </c>
      <c r="T668" s="70">
        <f>VLOOKUP(Table1[[#This Row],[Policy Year]],exposure_table,3,FALSE)</f>
        <v>601.98581780480015</v>
      </c>
      <c r="U668" s="17">
        <f>IF(MONTH(Table1[[#This Row],[Reporting date]])&lt;Policy_Inception_Month,YEAR(Table1[[#This Row],[Reporting date]])-1,YEAR(Table1[[#This Row],[Reporting date]]))</f>
        <v>2008</v>
      </c>
      <c r="V668" s="17">
        <f>Table1[[#This Row],[Reporting year]]-Table1[[#This Row],[Policy Year]]</f>
        <v>0</v>
      </c>
      <c r="W668" s="17">
        <f>INT(Table1[[#This Row],[Reporting date]])-INT(Table1[[#This Row],[Loss date]])</f>
        <v>238</v>
      </c>
      <c r="X668" s="17">
        <f>INT((YEAR(Table1[[#This Row],[Loss date]])*12+MONTH(Table1[[#This Row],[Loss date]])-Earliest_Month)/4)</f>
        <v>9</v>
      </c>
      <c r="Y668" s="17">
        <f>INT((YEAR(Table1[[#This Row],[Reporting date]])*12+MONTH(Table1[[#This Row],[Reporting date]])-Earliest_Month)/4)</f>
        <v>11</v>
      </c>
      <c r="Z668" s="17">
        <f>Table1[[#This Row],[Reporting third]]-Table1[[#This Row],[Policy third]]</f>
        <v>2</v>
      </c>
      <c r="AA668" s="71">
        <f>IF(Table1[[#This Row],[Overall amount]]=0,"N/A",Table1[[#This Row],[Outstanding]]/Table1[[#This Row],[Overall amount]])</f>
        <v>0</v>
      </c>
      <c r="AB668" s="17">
        <f>IF(MONTH(Table1[[#This Row],[Loss date]])&lt;Pol_Inc_Month_Shifted,YEAR(Table1[[#This Row],[Loss date]])-1,YEAR(Table1[[#This Row],[Loss date]]))</f>
        <v>2007</v>
      </c>
      <c r="AC668" s="17">
        <f>IF(MONTH(Table1[[#This Row],[Reporting date]])&lt;Pol_Inc_Month_Shifted,YEAR(Table1[[#This Row],[Reporting date]])-1,YEAR(Table1[[#This Row],[Reporting date]]))</f>
        <v>2008</v>
      </c>
      <c r="AD668" s="17">
        <f>Table1[[#This Row],[Reporting year (shifted)]]-Table1[[#This Row],[Policy Year (shifted)]]</f>
        <v>1</v>
      </c>
    </row>
    <row r="669" spans="1:30" ht="13.9">
      <c r="A669" s="8" t="s">
        <v>2439</v>
      </c>
      <c r="B669" s="8" t="s">
        <v>721</v>
      </c>
      <c r="C669" s="8" t="s">
        <v>123</v>
      </c>
      <c r="D669" s="9">
        <v>39741</v>
      </c>
      <c r="E669" s="9">
        <v>39861</v>
      </c>
      <c r="F669" s="17">
        <f>IF(MONTH(Table1[[#This Row],[Loss date]])&lt;Policy_Inception_Month,YEAR(Table1[[#This Row],[Loss date]])-1,YEAR(Table1[[#This Row],[Loss date]]))</f>
        <v>2008</v>
      </c>
      <c r="G669" s="10" t="s">
        <v>125</v>
      </c>
      <c r="H669" s="10" t="s">
        <v>2</v>
      </c>
      <c r="I669" s="11">
        <v>1162.8958493605371</v>
      </c>
      <c r="J669" s="11">
        <v>0</v>
      </c>
      <c r="K669" s="11">
        <v>1162.8958493605371</v>
      </c>
      <c r="L669" s="12">
        <v>0</v>
      </c>
      <c r="M669" s="12">
        <v>0</v>
      </c>
      <c r="N669" s="12">
        <v>1162.8958493605371</v>
      </c>
      <c r="O669" s="70">
        <f>IF(Table1[[#This Row],[Overall amount]]=0,0,1)</f>
        <v>1</v>
      </c>
      <c r="P669" s="70">
        <f>Table1[[#This Row],[Overall amount]]*Exchange_Rate</f>
        <v>1162.8958493605371</v>
      </c>
      <c r="Q669" s="70">
        <f>Table1[[#This Row],[Overall (destination currency)]]*(1+Claims_Inflation)^((Revalue_at_date-Table1[[#This Row],[Loss date]])/365.25)</f>
        <v>1632.0000000000002</v>
      </c>
      <c r="R669" s="70">
        <f>INT(Table1[[#This Row],[Reporting date]])-INT(Table1[[#This Row],[Loss date]])</f>
        <v>120</v>
      </c>
      <c r="S669" s="69" t="s">
        <v>9</v>
      </c>
      <c r="T669" s="70">
        <f>VLOOKUP(Table1[[#This Row],[Policy Year]],exposure_table,3,FALSE)</f>
        <v>601.98581780480015</v>
      </c>
      <c r="U669" s="17">
        <f>IF(MONTH(Table1[[#This Row],[Reporting date]])&lt;Policy_Inception_Month,YEAR(Table1[[#This Row],[Reporting date]])-1,YEAR(Table1[[#This Row],[Reporting date]]))</f>
        <v>2008</v>
      </c>
      <c r="V669" s="17">
        <f>Table1[[#This Row],[Reporting year]]-Table1[[#This Row],[Policy Year]]</f>
        <v>0</v>
      </c>
      <c r="W669" s="17">
        <f>INT(Table1[[#This Row],[Reporting date]])-INT(Table1[[#This Row],[Loss date]])</f>
        <v>120</v>
      </c>
      <c r="X669" s="17">
        <f>INT((YEAR(Table1[[#This Row],[Loss date]])*12+MONTH(Table1[[#This Row],[Loss date]])-Earliest_Month)/4)</f>
        <v>10</v>
      </c>
      <c r="Y669" s="17">
        <f>INT((YEAR(Table1[[#This Row],[Reporting date]])*12+MONTH(Table1[[#This Row],[Reporting date]])-Earliest_Month)/4)</f>
        <v>11</v>
      </c>
      <c r="Z669" s="17">
        <f>Table1[[#This Row],[Reporting third]]-Table1[[#This Row],[Policy third]]</f>
        <v>1</v>
      </c>
      <c r="AA669" s="71">
        <f>IF(Table1[[#This Row],[Overall amount]]=0,"N/A",Table1[[#This Row],[Outstanding]]/Table1[[#This Row],[Overall amount]])</f>
        <v>0</v>
      </c>
      <c r="AB669" s="17">
        <f>IF(MONTH(Table1[[#This Row],[Loss date]])&lt;Pol_Inc_Month_Shifted,YEAR(Table1[[#This Row],[Loss date]])-1,YEAR(Table1[[#This Row],[Loss date]]))</f>
        <v>2007</v>
      </c>
      <c r="AC669" s="17">
        <f>IF(MONTH(Table1[[#This Row],[Reporting date]])&lt;Pol_Inc_Month_Shifted,YEAR(Table1[[#This Row],[Reporting date]])-1,YEAR(Table1[[#This Row],[Reporting date]]))</f>
        <v>2008</v>
      </c>
      <c r="AD669" s="17">
        <f>Table1[[#This Row],[Reporting year (shifted)]]-Table1[[#This Row],[Policy Year (shifted)]]</f>
        <v>1</v>
      </c>
    </row>
    <row r="670" spans="1:30" ht="13.9">
      <c r="A670" s="8" t="s">
        <v>2440</v>
      </c>
      <c r="B670" s="8" t="s">
        <v>722</v>
      </c>
      <c r="C670" s="8" t="s">
        <v>123</v>
      </c>
      <c r="D670" s="9">
        <v>39728</v>
      </c>
      <c r="E670" s="9">
        <v>39889</v>
      </c>
      <c r="F670" s="17">
        <f>IF(MONTH(Table1[[#This Row],[Loss date]])&lt;Policy_Inception_Month,YEAR(Table1[[#This Row],[Loss date]])-1,YEAR(Table1[[#This Row],[Loss date]]))</f>
        <v>2008</v>
      </c>
      <c r="G670" s="10" t="s">
        <v>125</v>
      </c>
      <c r="H670" s="10" t="s">
        <v>2</v>
      </c>
      <c r="I670" s="11">
        <v>4661.5831695784937</v>
      </c>
      <c r="J670" s="11">
        <v>0</v>
      </c>
      <c r="K670" s="11">
        <v>4661.5831695784937</v>
      </c>
      <c r="L670" s="12">
        <v>0</v>
      </c>
      <c r="M670" s="12">
        <v>0</v>
      </c>
      <c r="N670" s="12">
        <v>4661.5831695784937</v>
      </c>
      <c r="O670" s="70">
        <f>IF(Table1[[#This Row],[Overall amount]]=0,0,1)</f>
        <v>1</v>
      </c>
      <c r="P670" s="70">
        <f>Table1[[#This Row],[Overall amount]]*Exchange_Rate</f>
        <v>4661.5831695784937</v>
      </c>
      <c r="Q670" s="70">
        <f>Table1[[#This Row],[Overall (destination currency)]]*(1+Claims_Inflation)^((Revalue_at_date-Table1[[#This Row],[Loss date]])/365.25)</f>
        <v>6553.4039999999995</v>
      </c>
      <c r="R670" s="70">
        <f>INT(Table1[[#This Row],[Reporting date]])-INT(Table1[[#This Row],[Loss date]])</f>
        <v>161</v>
      </c>
      <c r="S670" s="69" t="s">
        <v>9</v>
      </c>
      <c r="T670" s="70">
        <f>VLOOKUP(Table1[[#This Row],[Policy Year]],exposure_table,3,FALSE)</f>
        <v>601.98581780480015</v>
      </c>
      <c r="U670" s="17">
        <f>IF(MONTH(Table1[[#This Row],[Reporting date]])&lt;Policy_Inception_Month,YEAR(Table1[[#This Row],[Reporting date]])-1,YEAR(Table1[[#This Row],[Reporting date]]))</f>
        <v>2008</v>
      </c>
      <c r="V670" s="17">
        <f>Table1[[#This Row],[Reporting year]]-Table1[[#This Row],[Policy Year]]</f>
        <v>0</v>
      </c>
      <c r="W670" s="17">
        <f>INT(Table1[[#This Row],[Reporting date]])-INT(Table1[[#This Row],[Loss date]])</f>
        <v>161</v>
      </c>
      <c r="X670" s="17">
        <f>INT((YEAR(Table1[[#This Row],[Loss date]])*12+MONTH(Table1[[#This Row],[Loss date]])-Earliest_Month)/4)</f>
        <v>10</v>
      </c>
      <c r="Y670" s="17">
        <f>INT((YEAR(Table1[[#This Row],[Reporting date]])*12+MONTH(Table1[[#This Row],[Reporting date]])-Earliest_Month)/4)</f>
        <v>11</v>
      </c>
      <c r="Z670" s="17">
        <f>Table1[[#This Row],[Reporting third]]-Table1[[#This Row],[Policy third]]</f>
        <v>1</v>
      </c>
      <c r="AA670" s="71">
        <f>IF(Table1[[#This Row],[Overall amount]]=0,"N/A",Table1[[#This Row],[Outstanding]]/Table1[[#This Row],[Overall amount]])</f>
        <v>0</v>
      </c>
      <c r="AB670" s="17">
        <f>IF(MONTH(Table1[[#This Row],[Loss date]])&lt;Pol_Inc_Month_Shifted,YEAR(Table1[[#This Row],[Loss date]])-1,YEAR(Table1[[#This Row],[Loss date]]))</f>
        <v>2007</v>
      </c>
      <c r="AC670" s="17">
        <f>IF(MONTH(Table1[[#This Row],[Reporting date]])&lt;Pol_Inc_Month_Shifted,YEAR(Table1[[#This Row],[Reporting date]])-1,YEAR(Table1[[#This Row],[Reporting date]]))</f>
        <v>2008</v>
      </c>
      <c r="AD670" s="17">
        <f>Table1[[#This Row],[Reporting year (shifted)]]-Table1[[#This Row],[Policy Year (shifted)]]</f>
        <v>1</v>
      </c>
    </row>
    <row r="671" spans="1:30" ht="13.9">
      <c r="A671" s="8" t="s">
        <v>2441</v>
      </c>
      <c r="B671" s="8" t="s">
        <v>723</v>
      </c>
      <c r="C671" s="8" t="s">
        <v>123</v>
      </c>
      <c r="D671" s="9">
        <v>40090</v>
      </c>
      <c r="E671" s="9">
        <v>40124</v>
      </c>
      <c r="F671" s="17">
        <f>IF(MONTH(Table1[[#This Row],[Loss date]])&lt;Policy_Inception_Month,YEAR(Table1[[#This Row],[Loss date]])-1,YEAR(Table1[[#This Row],[Loss date]]))</f>
        <v>2009</v>
      </c>
      <c r="G671" s="10" t="s">
        <v>124</v>
      </c>
      <c r="H671" s="10" t="s">
        <v>2</v>
      </c>
      <c r="I671" s="11">
        <v>584.55989136190908</v>
      </c>
      <c r="J671" s="11">
        <v>0</v>
      </c>
      <c r="K671" s="11">
        <v>584.55989136190908</v>
      </c>
      <c r="L671" s="12">
        <v>0</v>
      </c>
      <c r="M671" s="12">
        <v>0</v>
      </c>
      <c r="N671" s="12">
        <v>584.55989136190908</v>
      </c>
      <c r="O671" s="70">
        <f>IF(Table1[[#This Row],[Overall amount]]=0,0,1)</f>
        <v>1</v>
      </c>
      <c r="P671" s="70">
        <f>Table1[[#This Row],[Overall amount]]*Exchange_Rate</f>
        <v>584.55989136190908</v>
      </c>
      <c r="Q671" s="70">
        <f>Table1[[#This Row],[Overall (destination currency)]]*(1+Claims_Inflation)^((Revalue_at_date-Table1[[#This Row],[Loss date]])/365.25)</f>
        <v>782.99999999999989</v>
      </c>
      <c r="R671" s="70">
        <f>INT(Table1[[#This Row],[Reporting date]])-INT(Table1[[#This Row],[Loss date]])</f>
        <v>34</v>
      </c>
      <c r="S671" s="69" t="s">
        <v>9</v>
      </c>
      <c r="T671" s="70">
        <f>VLOOKUP(Table1[[#This Row],[Policy Year]],exposure_table,3,FALSE)</f>
        <v>760.22808576000011</v>
      </c>
      <c r="U671" s="17">
        <f>IF(MONTH(Table1[[#This Row],[Reporting date]])&lt;Policy_Inception_Month,YEAR(Table1[[#This Row],[Reporting date]])-1,YEAR(Table1[[#This Row],[Reporting date]]))</f>
        <v>2009</v>
      </c>
      <c r="V671" s="17">
        <f>Table1[[#This Row],[Reporting year]]-Table1[[#This Row],[Policy Year]]</f>
        <v>0</v>
      </c>
      <c r="W671" s="17">
        <f>INT(Table1[[#This Row],[Reporting date]])-INT(Table1[[#This Row],[Loss date]])</f>
        <v>34</v>
      </c>
      <c r="X671" s="17">
        <f>INT((YEAR(Table1[[#This Row],[Loss date]])*12+MONTH(Table1[[#This Row],[Loss date]])-Earliest_Month)/4)</f>
        <v>13</v>
      </c>
      <c r="Y671" s="17">
        <f>INT((YEAR(Table1[[#This Row],[Reporting date]])*12+MONTH(Table1[[#This Row],[Reporting date]])-Earliest_Month)/4)</f>
        <v>13</v>
      </c>
      <c r="Z671" s="17">
        <f>Table1[[#This Row],[Reporting third]]-Table1[[#This Row],[Policy third]]</f>
        <v>0</v>
      </c>
      <c r="AA671" s="71">
        <f>IF(Table1[[#This Row],[Overall amount]]=0,"N/A",Table1[[#This Row],[Outstanding]]/Table1[[#This Row],[Overall amount]])</f>
        <v>0</v>
      </c>
      <c r="AB671" s="17">
        <f>IF(MONTH(Table1[[#This Row],[Loss date]])&lt;Pol_Inc_Month_Shifted,YEAR(Table1[[#This Row],[Loss date]])-1,YEAR(Table1[[#This Row],[Loss date]]))</f>
        <v>2008</v>
      </c>
      <c r="AC671" s="17">
        <f>IF(MONTH(Table1[[#This Row],[Reporting date]])&lt;Pol_Inc_Month_Shifted,YEAR(Table1[[#This Row],[Reporting date]])-1,YEAR(Table1[[#This Row],[Reporting date]]))</f>
        <v>2008</v>
      </c>
      <c r="AD671" s="17">
        <f>Table1[[#This Row],[Reporting year (shifted)]]-Table1[[#This Row],[Policy Year (shifted)]]</f>
        <v>0</v>
      </c>
    </row>
    <row r="672" spans="1:30" ht="13.9">
      <c r="A672" s="8" t="s">
        <v>2442</v>
      </c>
      <c r="B672" s="8" t="s">
        <v>724</v>
      </c>
      <c r="C672" s="8" t="s">
        <v>123</v>
      </c>
      <c r="D672" s="9">
        <v>39752</v>
      </c>
      <c r="E672" s="9">
        <v>40369</v>
      </c>
      <c r="F672" s="17">
        <f>IF(MONTH(Table1[[#This Row],[Loss date]])&lt;Policy_Inception_Month,YEAR(Table1[[#This Row],[Loss date]])-1,YEAR(Table1[[#This Row],[Loss date]]))</f>
        <v>2008</v>
      </c>
      <c r="G672" s="10" t="s">
        <v>125</v>
      </c>
      <c r="H672" s="10" t="s">
        <v>2</v>
      </c>
      <c r="I672" s="11">
        <v>12949.098237046946</v>
      </c>
      <c r="J672" s="11">
        <v>0</v>
      </c>
      <c r="K672" s="11">
        <v>12949.098237046946</v>
      </c>
      <c r="L672" s="12">
        <v>0</v>
      </c>
      <c r="M672" s="12">
        <v>349.6256524002676</v>
      </c>
      <c r="N672" s="12">
        <v>12599.472584646679</v>
      </c>
      <c r="O672" s="70">
        <f>IF(Table1[[#This Row],[Overall amount]]=0,0,1)</f>
        <v>1</v>
      </c>
      <c r="P672" s="70">
        <f>Table1[[#This Row],[Overall amount]]*Exchange_Rate</f>
        <v>12599.472584646679</v>
      </c>
      <c r="Q672" s="70">
        <f>Table1[[#This Row],[Overall (destination currency)]]*(1+Claims_Inflation)^((Revalue_at_date-Table1[[#This Row],[Loss date]])/365.25)</f>
        <v>17656.050216</v>
      </c>
      <c r="R672" s="70">
        <f>INT(Table1[[#This Row],[Reporting date]])-INT(Table1[[#This Row],[Loss date]])</f>
        <v>617</v>
      </c>
      <c r="S672" s="69" t="s">
        <v>9</v>
      </c>
      <c r="T672" s="70">
        <f>VLOOKUP(Table1[[#This Row],[Policy Year]],exposure_table,3,FALSE)</f>
        <v>601.98581780480015</v>
      </c>
      <c r="U672" s="17">
        <f>IF(MONTH(Table1[[#This Row],[Reporting date]])&lt;Policy_Inception_Month,YEAR(Table1[[#This Row],[Reporting date]])-1,YEAR(Table1[[#This Row],[Reporting date]]))</f>
        <v>2010</v>
      </c>
      <c r="V672" s="17">
        <f>Table1[[#This Row],[Reporting year]]-Table1[[#This Row],[Policy Year]]</f>
        <v>2</v>
      </c>
      <c r="W672" s="17">
        <f>INT(Table1[[#This Row],[Reporting date]])-INT(Table1[[#This Row],[Loss date]])</f>
        <v>617</v>
      </c>
      <c r="X672" s="17">
        <f>INT((YEAR(Table1[[#This Row],[Loss date]])*12+MONTH(Table1[[#This Row],[Loss date]])-Earliest_Month)/4)</f>
        <v>10</v>
      </c>
      <c r="Y672" s="17">
        <f>INT((YEAR(Table1[[#This Row],[Reporting date]])*12+MONTH(Table1[[#This Row],[Reporting date]])-Earliest_Month)/4)</f>
        <v>15</v>
      </c>
      <c r="Z672" s="17">
        <f>Table1[[#This Row],[Reporting third]]-Table1[[#This Row],[Policy third]]</f>
        <v>5</v>
      </c>
      <c r="AA672" s="71">
        <f>IF(Table1[[#This Row],[Overall amount]]=0,"N/A",Table1[[#This Row],[Outstanding]]/Table1[[#This Row],[Overall amount]])</f>
        <v>0</v>
      </c>
      <c r="AB672" s="17">
        <f>IF(MONTH(Table1[[#This Row],[Loss date]])&lt;Pol_Inc_Month_Shifted,YEAR(Table1[[#This Row],[Loss date]])-1,YEAR(Table1[[#This Row],[Loss date]]))</f>
        <v>2007</v>
      </c>
      <c r="AC672" s="17">
        <f>IF(MONTH(Table1[[#This Row],[Reporting date]])&lt;Pol_Inc_Month_Shifted,YEAR(Table1[[#This Row],[Reporting date]])-1,YEAR(Table1[[#This Row],[Reporting date]]))</f>
        <v>2009</v>
      </c>
      <c r="AD672" s="17">
        <f>Table1[[#This Row],[Reporting year (shifted)]]-Table1[[#This Row],[Policy Year (shifted)]]</f>
        <v>2</v>
      </c>
    </row>
    <row r="673" spans="1:30" ht="13.9">
      <c r="A673" s="8" t="s">
        <v>2443</v>
      </c>
      <c r="B673" s="8" t="s">
        <v>725</v>
      </c>
      <c r="C673" s="8" t="s">
        <v>123</v>
      </c>
      <c r="D673" s="9">
        <v>40391</v>
      </c>
      <c r="E673" s="9">
        <v>40412</v>
      </c>
      <c r="F673" s="17">
        <f>IF(MONTH(Table1[[#This Row],[Loss date]])&lt;Policy_Inception_Month,YEAR(Table1[[#This Row],[Loss date]])-1,YEAR(Table1[[#This Row],[Loss date]]))</f>
        <v>2010</v>
      </c>
      <c r="G673" s="10" t="s">
        <v>131</v>
      </c>
      <c r="H673" s="10" t="s">
        <v>2</v>
      </c>
      <c r="I673" s="11">
        <v>243.41703037164606</v>
      </c>
      <c r="J673" s="11">
        <v>0</v>
      </c>
      <c r="K673" s="11">
        <v>243.41703037164606</v>
      </c>
      <c r="L673" s="12">
        <v>0</v>
      </c>
      <c r="M673" s="12">
        <v>0</v>
      </c>
      <c r="N673" s="12">
        <v>243.41703037164606</v>
      </c>
      <c r="O673" s="70">
        <f>IF(Table1[[#This Row],[Overall amount]]=0,0,1)</f>
        <v>1</v>
      </c>
      <c r="P673" s="70">
        <f>Table1[[#This Row],[Overall amount]]*Exchange_Rate</f>
        <v>243.41703037164606</v>
      </c>
      <c r="Q673" s="70">
        <f>Table1[[#This Row],[Overall (destination currency)]]*(1+Claims_Inflation)^((Revalue_at_date-Table1[[#This Row],[Loss date]])/365.25)</f>
        <v>313.2</v>
      </c>
      <c r="R673" s="70">
        <f>INT(Table1[[#This Row],[Reporting date]])-INT(Table1[[#This Row],[Loss date]])</f>
        <v>21</v>
      </c>
      <c r="S673" s="69" t="s">
        <v>9</v>
      </c>
      <c r="T673" s="70">
        <f>VLOOKUP(Table1[[#This Row],[Policy Year]],exposure_table,3,FALSE)</f>
        <v>837.11513600000012</v>
      </c>
      <c r="U673" s="17">
        <f>IF(MONTH(Table1[[#This Row],[Reporting date]])&lt;Policy_Inception_Month,YEAR(Table1[[#This Row],[Reporting date]])-1,YEAR(Table1[[#This Row],[Reporting date]]))</f>
        <v>2010</v>
      </c>
      <c r="V673" s="17">
        <f>Table1[[#This Row],[Reporting year]]-Table1[[#This Row],[Policy Year]]</f>
        <v>0</v>
      </c>
      <c r="W673" s="17">
        <f>INT(Table1[[#This Row],[Reporting date]])-INT(Table1[[#This Row],[Loss date]])</f>
        <v>21</v>
      </c>
      <c r="X673" s="17">
        <f>INT((YEAR(Table1[[#This Row],[Loss date]])*12+MONTH(Table1[[#This Row],[Loss date]])-Earliest_Month)/4)</f>
        <v>16</v>
      </c>
      <c r="Y673" s="17">
        <f>INT((YEAR(Table1[[#This Row],[Reporting date]])*12+MONTH(Table1[[#This Row],[Reporting date]])-Earliest_Month)/4)</f>
        <v>16</v>
      </c>
      <c r="Z673" s="17">
        <f>Table1[[#This Row],[Reporting third]]-Table1[[#This Row],[Policy third]]</f>
        <v>0</v>
      </c>
      <c r="AA673" s="71">
        <f>IF(Table1[[#This Row],[Overall amount]]=0,"N/A",Table1[[#This Row],[Outstanding]]/Table1[[#This Row],[Overall amount]])</f>
        <v>0</v>
      </c>
      <c r="AB673" s="17">
        <f>IF(MONTH(Table1[[#This Row],[Loss date]])&lt;Pol_Inc_Month_Shifted,YEAR(Table1[[#This Row],[Loss date]])-1,YEAR(Table1[[#This Row],[Loss date]]))</f>
        <v>2009</v>
      </c>
      <c r="AC673" s="17">
        <f>IF(MONTH(Table1[[#This Row],[Reporting date]])&lt;Pol_Inc_Month_Shifted,YEAR(Table1[[#This Row],[Reporting date]])-1,YEAR(Table1[[#This Row],[Reporting date]]))</f>
        <v>2009</v>
      </c>
      <c r="AD673" s="17">
        <f>Table1[[#This Row],[Reporting year (shifted)]]-Table1[[#This Row],[Policy Year (shifted)]]</f>
        <v>0</v>
      </c>
    </row>
    <row r="674" spans="1:30" ht="13.9">
      <c r="A674" s="8" t="s">
        <v>2444</v>
      </c>
      <c r="B674" s="8" t="s">
        <v>726</v>
      </c>
      <c r="C674" s="8" t="s">
        <v>123</v>
      </c>
      <c r="D674" s="9">
        <v>40424</v>
      </c>
      <c r="E674" s="9">
        <v>40592</v>
      </c>
      <c r="F674" s="17">
        <f>IF(MONTH(Table1[[#This Row],[Loss date]])&lt;Policy_Inception_Month,YEAR(Table1[[#This Row],[Loss date]])-1,YEAR(Table1[[#This Row],[Loss date]]))</f>
        <v>2010</v>
      </c>
      <c r="G674" s="10" t="s">
        <v>124</v>
      </c>
      <c r="H674" s="10" t="s">
        <v>2</v>
      </c>
      <c r="I674" s="11">
        <v>7656.0786280976627</v>
      </c>
      <c r="J674" s="11">
        <v>0</v>
      </c>
      <c r="K674" s="11">
        <v>7656.0786280976627</v>
      </c>
      <c r="L674" s="12">
        <v>0</v>
      </c>
      <c r="M674" s="12">
        <v>0</v>
      </c>
      <c r="N674" s="12">
        <v>7656.0786280976627</v>
      </c>
      <c r="O674" s="70">
        <f>IF(Table1[[#This Row],[Overall amount]]=0,0,1)</f>
        <v>1</v>
      </c>
      <c r="P674" s="70">
        <f>Table1[[#This Row],[Overall amount]]*Exchange_Rate</f>
        <v>7656.0786280976627</v>
      </c>
      <c r="Q674" s="70">
        <f>Table1[[#This Row],[Overall (destination currency)]]*(1+Claims_Inflation)^((Revalue_at_date-Table1[[#This Row],[Loss date]])/365.25)</f>
        <v>9807.6</v>
      </c>
      <c r="R674" s="70">
        <f>INT(Table1[[#This Row],[Reporting date]])-INT(Table1[[#This Row],[Loss date]])</f>
        <v>168</v>
      </c>
      <c r="S674" s="69" t="s">
        <v>9</v>
      </c>
      <c r="T674" s="70">
        <f>VLOOKUP(Table1[[#This Row],[Policy Year]],exposure_table,3,FALSE)</f>
        <v>837.11513600000012</v>
      </c>
      <c r="U674" s="17">
        <f>IF(MONTH(Table1[[#This Row],[Reporting date]])&lt;Policy_Inception_Month,YEAR(Table1[[#This Row],[Reporting date]])-1,YEAR(Table1[[#This Row],[Reporting date]]))</f>
        <v>2010</v>
      </c>
      <c r="V674" s="17">
        <f>Table1[[#This Row],[Reporting year]]-Table1[[#This Row],[Policy Year]]</f>
        <v>0</v>
      </c>
      <c r="W674" s="17">
        <f>INT(Table1[[#This Row],[Reporting date]])-INT(Table1[[#This Row],[Loss date]])</f>
        <v>168</v>
      </c>
      <c r="X674" s="17">
        <f>INT((YEAR(Table1[[#This Row],[Loss date]])*12+MONTH(Table1[[#This Row],[Loss date]])-Earliest_Month)/4)</f>
        <v>16</v>
      </c>
      <c r="Y674" s="17">
        <f>INT((YEAR(Table1[[#This Row],[Reporting date]])*12+MONTH(Table1[[#This Row],[Reporting date]])-Earliest_Month)/4)</f>
        <v>17</v>
      </c>
      <c r="Z674" s="17">
        <f>Table1[[#This Row],[Reporting third]]-Table1[[#This Row],[Policy third]]</f>
        <v>1</v>
      </c>
      <c r="AA674" s="71">
        <f>IF(Table1[[#This Row],[Overall amount]]=0,"N/A",Table1[[#This Row],[Outstanding]]/Table1[[#This Row],[Overall amount]])</f>
        <v>0</v>
      </c>
      <c r="AB674" s="17">
        <f>IF(MONTH(Table1[[#This Row],[Loss date]])&lt;Pol_Inc_Month_Shifted,YEAR(Table1[[#This Row],[Loss date]])-1,YEAR(Table1[[#This Row],[Loss date]]))</f>
        <v>2009</v>
      </c>
      <c r="AC674" s="17">
        <f>IF(MONTH(Table1[[#This Row],[Reporting date]])&lt;Pol_Inc_Month_Shifted,YEAR(Table1[[#This Row],[Reporting date]])-1,YEAR(Table1[[#This Row],[Reporting date]]))</f>
        <v>2010</v>
      </c>
      <c r="AD674" s="17">
        <f>Table1[[#This Row],[Reporting year (shifted)]]-Table1[[#This Row],[Policy Year (shifted)]]</f>
        <v>1</v>
      </c>
    </row>
    <row r="675" spans="1:30" ht="13.9">
      <c r="A675" s="8" t="s">
        <v>2445</v>
      </c>
      <c r="B675" s="8" t="s">
        <v>727</v>
      </c>
      <c r="C675" s="8" t="s">
        <v>123</v>
      </c>
      <c r="D675" s="9">
        <v>39896</v>
      </c>
      <c r="E675" s="9">
        <v>40602</v>
      </c>
      <c r="F675" s="17">
        <f>IF(MONTH(Table1[[#This Row],[Loss date]])&lt;Policy_Inception_Month,YEAR(Table1[[#This Row],[Loss date]])-1,YEAR(Table1[[#This Row],[Loss date]]))</f>
        <v>2008</v>
      </c>
      <c r="G675" s="10" t="s">
        <v>125</v>
      </c>
      <c r="H675" s="10" t="s">
        <v>2</v>
      </c>
      <c r="I675" s="11">
        <v>10397.520280502949</v>
      </c>
      <c r="J675" s="11">
        <v>0</v>
      </c>
      <c r="K675" s="11">
        <v>10397.520280502949</v>
      </c>
      <c r="L675" s="12">
        <v>0</v>
      </c>
      <c r="M675" s="12">
        <v>0</v>
      </c>
      <c r="N675" s="12">
        <v>10397.520280502949</v>
      </c>
      <c r="O675" s="70">
        <f>IF(Table1[[#This Row],[Overall amount]]=0,0,1)</f>
        <v>1</v>
      </c>
      <c r="P675" s="70">
        <f>Table1[[#This Row],[Overall amount]]*Exchange_Rate</f>
        <v>10397.520280502949</v>
      </c>
      <c r="Q675" s="70">
        <f>Table1[[#This Row],[Overall (destination currency)]]*(1+Claims_Inflation)^((Revalue_at_date-Table1[[#This Row],[Loss date]])/365.25)</f>
        <v>14292.792000000001</v>
      </c>
      <c r="R675" s="70">
        <f>INT(Table1[[#This Row],[Reporting date]])-INT(Table1[[#This Row],[Loss date]])</f>
        <v>706</v>
      </c>
      <c r="S675" s="69" t="s">
        <v>9</v>
      </c>
      <c r="T675" s="70">
        <f>VLOOKUP(Table1[[#This Row],[Policy Year]],exposure_table,3,FALSE)</f>
        <v>601.98581780480015</v>
      </c>
      <c r="U675" s="17">
        <f>IF(MONTH(Table1[[#This Row],[Reporting date]])&lt;Policy_Inception_Month,YEAR(Table1[[#This Row],[Reporting date]])-1,YEAR(Table1[[#This Row],[Reporting date]]))</f>
        <v>2010</v>
      </c>
      <c r="V675" s="17">
        <f>Table1[[#This Row],[Reporting year]]-Table1[[#This Row],[Policy Year]]</f>
        <v>2</v>
      </c>
      <c r="W675" s="17">
        <f>INT(Table1[[#This Row],[Reporting date]])-INT(Table1[[#This Row],[Loss date]])</f>
        <v>706</v>
      </c>
      <c r="X675" s="17">
        <f>INT((YEAR(Table1[[#This Row],[Loss date]])*12+MONTH(Table1[[#This Row],[Loss date]])-Earliest_Month)/4)</f>
        <v>11</v>
      </c>
      <c r="Y675" s="17">
        <f>INT((YEAR(Table1[[#This Row],[Reporting date]])*12+MONTH(Table1[[#This Row],[Reporting date]])-Earliest_Month)/4)</f>
        <v>17</v>
      </c>
      <c r="Z675" s="17">
        <f>Table1[[#This Row],[Reporting third]]-Table1[[#This Row],[Policy third]]</f>
        <v>6</v>
      </c>
      <c r="AA675" s="71">
        <f>IF(Table1[[#This Row],[Overall amount]]=0,"N/A",Table1[[#This Row],[Outstanding]]/Table1[[#This Row],[Overall amount]])</f>
        <v>0</v>
      </c>
      <c r="AB675" s="17">
        <f>IF(MONTH(Table1[[#This Row],[Loss date]])&lt;Pol_Inc_Month_Shifted,YEAR(Table1[[#This Row],[Loss date]])-1,YEAR(Table1[[#This Row],[Loss date]]))</f>
        <v>2008</v>
      </c>
      <c r="AC675" s="17">
        <f>IF(MONTH(Table1[[#This Row],[Reporting date]])&lt;Pol_Inc_Month_Shifted,YEAR(Table1[[#This Row],[Reporting date]])-1,YEAR(Table1[[#This Row],[Reporting date]]))</f>
        <v>2010</v>
      </c>
      <c r="AD675" s="17">
        <f>Table1[[#This Row],[Reporting year (shifted)]]-Table1[[#This Row],[Policy Year (shifted)]]</f>
        <v>2</v>
      </c>
    </row>
    <row r="676" spans="1:30" ht="13.9">
      <c r="A676" s="8" t="s">
        <v>2446</v>
      </c>
      <c r="B676" s="8" t="s">
        <v>728</v>
      </c>
      <c r="C676" s="8" t="s">
        <v>123</v>
      </c>
      <c r="D676" s="9">
        <v>40381</v>
      </c>
      <c r="E676" s="9">
        <v>40593</v>
      </c>
      <c r="F676" s="17">
        <f>IF(MONTH(Table1[[#This Row],[Loss date]])&lt;Policy_Inception_Month,YEAR(Table1[[#This Row],[Loss date]])-1,YEAR(Table1[[#This Row],[Loss date]]))</f>
        <v>2010</v>
      </c>
      <c r="G676" s="10" t="s">
        <v>125</v>
      </c>
      <c r="H676" s="10" t="s">
        <v>2</v>
      </c>
      <c r="I676" s="11">
        <v>1396.1495926653956</v>
      </c>
      <c r="J676" s="11">
        <v>0</v>
      </c>
      <c r="K676" s="11">
        <v>1396.1495926653956</v>
      </c>
      <c r="L676" s="12">
        <v>0</v>
      </c>
      <c r="M676" s="12">
        <v>5.5845983706615829</v>
      </c>
      <c r="N676" s="12">
        <v>1390.5649942947341</v>
      </c>
      <c r="O676" s="70">
        <f>IF(Table1[[#This Row],[Overall amount]]=0,0,1)</f>
        <v>1</v>
      </c>
      <c r="P676" s="70">
        <f>Table1[[#This Row],[Overall amount]]*Exchange_Rate</f>
        <v>1390.5649942947341</v>
      </c>
      <c r="Q676" s="70">
        <f>Table1[[#This Row],[Overall (destination currency)]]*(1+Claims_Inflation)^((Revalue_at_date-Table1[[#This Row],[Loss date]])/365.25)</f>
        <v>1791.6048000000001</v>
      </c>
      <c r="R676" s="70">
        <f>INT(Table1[[#This Row],[Reporting date]])-INT(Table1[[#This Row],[Loss date]])</f>
        <v>212</v>
      </c>
      <c r="S676" s="69" t="s">
        <v>9</v>
      </c>
      <c r="T676" s="70">
        <f>VLOOKUP(Table1[[#This Row],[Policy Year]],exposure_table,3,FALSE)</f>
        <v>837.11513600000012</v>
      </c>
      <c r="U676" s="17">
        <f>IF(MONTH(Table1[[#This Row],[Reporting date]])&lt;Policy_Inception_Month,YEAR(Table1[[#This Row],[Reporting date]])-1,YEAR(Table1[[#This Row],[Reporting date]]))</f>
        <v>2010</v>
      </c>
      <c r="V676" s="17">
        <f>Table1[[#This Row],[Reporting year]]-Table1[[#This Row],[Policy Year]]</f>
        <v>0</v>
      </c>
      <c r="W676" s="17">
        <f>INT(Table1[[#This Row],[Reporting date]])-INT(Table1[[#This Row],[Loss date]])</f>
        <v>212</v>
      </c>
      <c r="X676" s="17">
        <f>INT((YEAR(Table1[[#This Row],[Loss date]])*12+MONTH(Table1[[#This Row],[Loss date]])-Earliest_Month)/4)</f>
        <v>15</v>
      </c>
      <c r="Y676" s="17">
        <f>INT((YEAR(Table1[[#This Row],[Reporting date]])*12+MONTH(Table1[[#This Row],[Reporting date]])-Earliest_Month)/4)</f>
        <v>17</v>
      </c>
      <c r="Z676" s="17">
        <f>Table1[[#This Row],[Reporting third]]-Table1[[#This Row],[Policy third]]</f>
        <v>2</v>
      </c>
      <c r="AA676" s="71">
        <f>IF(Table1[[#This Row],[Overall amount]]=0,"N/A",Table1[[#This Row],[Outstanding]]/Table1[[#This Row],[Overall amount]])</f>
        <v>0</v>
      </c>
      <c r="AB676" s="17">
        <f>IF(MONTH(Table1[[#This Row],[Loss date]])&lt;Pol_Inc_Month_Shifted,YEAR(Table1[[#This Row],[Loss date]])-1,YEAR(Table1[[#This Row],[Loss date]]))</f>
        <v>2009</v>
      </c>
      <c r="AC676" s="17">
        <f>IF(MONTH(Table1[[#This Row],[Reporting date]])&lt;Pol_Inc_Month_Shifted,YEAR(Table1[[#This Row],[Reporting date]])-1,YEAR(Table1[[#This Row],[Reporting date]]))</f>
        <v>2010</v>
      </c>
      <c r="AD676" s="17">
        <f>Table1[[#This Row],[Reporting year (shifted)]]-Table1[[#This Row],[Policy Year (shifted)]]</f>
        <v>1</v>
      </c>
    </row>
    <row r="677" spans="1:30" ht="13.9">
      <c r="A677" s="8" t="s">
        <v>2447</v>
      </c>
      <c r="B677" s="8" t="s">
        <v>729</v>
      </c>
      <c r="C677" s="8" t="s">
        <v>123</v>
      </c>
      <c r="D677" s="9">
        <v>40612</v>
      </c>
      <c r="E677" s="9">
        <v>40678</v>
      </c>
      <c r="F677" s="17">
        <f>IF(MONTH(Table1[[#This Row],[Loss date]])&lt;Policy_Inception_Month,YEAR(Table1[[#This Row],[Loss date]])-1,YEAR(Table1[[#This Row],[Loss date]]))</f>
        <v>2010</v>
      </c>
      <c r="G677" s="10" t="s">
        <v>125</v>
      </c>
      <c r="H677" s="10" t="s">
        <v>2</v>
      </c>
      <c r="I677" s="11">
        <v>403.9218589073609</v>
      </c>
      <c r="J677" s="11">
        <v>0</v>
      </c>
      <c r="K677" s="11">
        <v>403.9218589073609</v>
      </c>
      <c r="L677" s="12">
        <v>0</v>
      </c>
      <c r="M677" s="12">
        <v>0</v>
      </c>
      <c r="N677" s="12">
        <v>403.9218589073609</v>
      </c>
      <c r="O677" s="70">
        <f>IF(Table1[[#This Row],[Overall amount]]=0,0,1)</f>
        <v>1</v>
      </c>
      <c r="P677" s="70">
        <f>Table1[[#This Row],[Overall amount]]*Exchange_Rate</f>
        <v>403.9218589073609</v>
      </c>
      <c r="Q677" s="70">
        <f>Table1[[#This Row],[Overall (destination currency)]]*(1+Claims_Inflation)^((Revalue_at_date-Table1[[#This Row],[Loss date]])/365.25)</f>
        <v>504.59999999999997</v>
      </c>
      <c r="R677" s="70">
        <f>INT(Table1[[#This Row],[Reporting date]])-INT(Table1[[#This Row],[Loss date]])</f>
        <v>66</v>
      </c>
      <c r="S677" s="69" t="s">
        <v>9</v>
      </c>
      <c r="T677" s="70">
        <f>VLOOKUP(Table1[[#This Row],[Policy Year]],exposure_table,3,FALSE)</f>
        <v>837.11513600000012</v>
      </c>
      <c r="U677" s="17">
        <f>IF(MONTH(Table1[[#This Row],[Reporting date]])&lt;Policy_Inception_Month,YEAR(Table1[[#This Row],[Reporting date]])-1,YEAR(Table1[[#This Row],[Reporting date]]))</f>
        <v>2011</v>
      </c>
      <c r="V677" s="17">
        <f>Table1[[#This Row],[Reporting year]]-Table1[[#This Row],[Policy Year]]</f>
        <v>1</v>
      </c>
      <c r="W677" s="17">
        <f>INT(Table1[[#This Row],[Reporting date]])-INT(Table1[[#This Row],[Loss date]])</f>
        <v>66</v>
      </c>
      <c r="X677" s="17">
        <f>INT((YEAR(Table1[[#This Row],[Loss date]])*12+MONTH(Table1[[#This Row],[Loss date]])-Earliest_Month)/4)</f>
        <v>17</v>
      </c>
      <c r="Y677" s="17">
        <f>INT((YEAR(Table1[[#This Row],[Reporting date]])*12+MONTH(Table1[[#This Row],[Reporting date]])-Earliest_Month)/4)</f>
        <v>18</v>
      </c>
      <c r="Z677" s="17">
        <f>Table1[[#This Row],[Reporting third]]-Table1[[#This Row],[Policy third]]</f>
        <v>1</v>
      </c>
      <c r="AA677" s="71">
        <f>IF(Table1[[#This Row],[Overall amount]]=0,"N/A",Table1[[#This Row],[Outstanding]]/Table1[[#This Row],[Overall amount]])</f>
        <v>0</v>
      </c>
      <c r="AB677" s="17">
        <f>IF(MONTH(Table1[[#This Row],[Loss date]])&lt;Pol_Inc_Month_Shifted,YEAR(Table1[[#This Row],[Loss date]])-1,YEAR(Table1[[#This Row],[Loss date]]))</f>
        <v>2010</v>
      </c>
      <c r="AC677" s="17">
        <f>IF(MONTH(Table1[[#This Row],[Reporting date]])&lt;Pol_Inc_Month_Shifted,YEAR(Table1[[#This Row],[Reporting date]])-1,YEAR(Table1[[#This Row],[Reporting date]]))</f>
        <v>2010</v>
      </c>
      <c r="AD677" s="17">
        <f>Table1[[#This Row],[Reporting year (shifted)]]-Table1[[#This Row],[Policy Year (shifted)]]</f>
        <v>0</v>
      </c>
    </row>
    <row r="678" spans="1:30" ht="13.9">
      <c r="A678" s="8" t="s">
        <v>2448</v>
      </c>
      <c r="B678" s="8" t="s">
        <v>730</v>
      </c>
      <c r="C678" s="8" t="s">
        <v>123</v>
      </c>
      <c r="D678" s="9">
        <v>40438</v>
      </c>
      <c r="E678" s="9">
        <v>40696</v>
      </c>
      <c r="F678" s="17">
        <f>IF(MONTH(Table1[[#This Row],[Loss date]])&lt;Policy_Inception_Month,YEAR(Table1[[#This Row],[Loss date]])-1,YEAR(Table1[[#This Row],[Loss date]]))</f>
        <v>2010</v>
      </c>
      <c r="G678" s="10" t="s">
        <v>125</v>
      </c>
      <c r="H678" s="10" t="s">
        <v>2</v>
      </c>
      <c r="I678" s="11">
        <v>816.50025113991671</v>
      </c>
      <c r="J678" s="11">
        <v>0</v>
      </c>
      <c r="K678" s="11">
        <v>816.50025113991671</v>
      </c>
      <c r="L678" s="12">
        <v>140.77590536895116</v>
      </c>
      <c r="M678" s="12">
        <v>0</v>
      </c>
      <c r="N678" s="12">
        <v>957.27615650886787</v>
      </c>
      <c r="O678" s="70">
        <f>IF(Table1[[#This Row],[Overall amount]]=0,0,1)</f>
        <v>1</v>
      </c>
      <c r="P678" s="70">
        <f>Table1[[#This Row],[Overall amount]]*Exchange_Rate</f>
        <v>957.27615650886787</v>
      </c>
      <c r="Q678" s="70">
        <f>Table1[[#This Row],[Overall (destination currency)]]*(1+Claims_Inflation)^((Revalue_at_date-Table1[[#This Row],[Loss date]])/365.25)</f>
        <v>1224</v>
      </c>
      <c r="R678" s="70">
        <f>INT(Table1[[#This Row],[Reporting date]])-INT(Table1[[#This Row],[Loss date]])</f>
        <v>258</v>
      </c>
      <c r="S678" s="69" t="s">
        <v>9</v>
      </c>
      <c r="T678" s="70">
        <f>VLOOKUP(Table1[[#This Row],[Policy Year]],exposure_table,3,FALSE)</f>
        <v>837.11513600000012</v>
      </c>
      <c r="U678" s="17">
        <f>IF(MONTH(Table1[[#This Row],[Reporting date]])&lt;Policy_Inception_Month,YEAR(Table1[[#This Row],[Reporting date]])-1,YEAR(Table1[[#This Row],[Reporting date]]))</f>
        <v>2011</v>
      </c>
      <c r="V678" s="17">
        <f>Table1[[#This Row],[Reporting year]]-Table1[[#This Row],[Policy Year]]</f>
        <v>1</v>
      </c>
      <c r="W678" s="17">
        <f>INT(Table1[[#This Row],[Reporting date]])-INT(Table1[[#This Row],[Loss date]])</f>
        <v>258</v>
      </c>
      <c r="X678" s="17">
        <f>INT((YEAR(Table1[[#This Row],[Loss date]])*12+MONTH(Table1[[#This Row],[Loss date]])-Earliest_Month)/4)</f>
        <v>16</v>
      </c>
      <c r="Y678" s="17">
        <f>INT((YEAR(Table1[[#This Row],[Reporting date]])*12+MONTH(Table1[[#This Row],[Reporting date]])-Earliest_Month)/4)</f>
        <v>18</v>
      </c>
      <c r="Z678" s="17">
        <f>Table1[[#This Row],[Reporting third]]-Table1[[#This Row],[Policy third]]</f>
        <v>2</v>
      </c>
      <c r="AA678" s="71">
        <f>IF(Table1[[#This Row],[Overall amount]]=0,"N/A",Table1[[#This Row],[Outstanding]]/Table1[[#This Row],[Overall amount]])</f>
        <v>0</v>
      </c>
      <c r="AB678" s="17">
        <f>IF(MONTH(Table1[[#This Row],[Loss date]])&lt;Pol_Inc_Month_Shifted,YEAR(Table1[[#This Row],[Loss date]])-1,YEAR(Table1[[#This Row],[Loss date]]))</f>
        <v>2009</v>
      </c>
      <c r="AC678" s="17">
        <f>IF(MONTH(Table1[[#This Row],[Reporting date]])&lt;Pol_Inc_Month_Shifted,YEAR(Table1[[#This Row],[Reporting date]])-1,YEAR(Table1[[#This Row],[Reporting date]]))</f>
        <v>2010</v>
      </c>
      <c r="AD678" s="17">
        <f>Table1[[#This Row],[Reporting year (shifted)]]-Table1[[#This Row],[Policy Year (shifted)]]</f>
        <v>1</v>
      </c>
    </row>
    <row r="679" spans="1:30" ht="13.9">
      <c r="A679" s="8" t="s">
        <v>2449</v>
      </c>
      <c r="B679" s="8" t="s">
        <v>731</v>
      </c>
      <c r="C679" s="8" t="s">
        <v>123</v>
      </c>
      <c r="D679" s="9">
        <v>40524</v>
      </c>
      <c r="E679" s="9">
        <v>40721</v>
      </c>
      <c r="F679" s="17">
        <f>IF(MONTH(Table1[[#This Row],[Loss date]])&lt;Policy_Inception_Month,YEAR(Table1[[#This Row],[Loss date]])-1,YEAR(Table1[[#This Row],[Loss date]]))</f>
        <v>2010</v>
      </c>
      <c r="G679" s="10" t="s">
        <v>125</v>
      </c>
      <c r="H679" s="10" t="s">
        <v>2</v>
      </c>
      <c r="I679" s="11">
        <v>412.96710286883632</v>
      </c>
      <c r="J679" s="11">
        <v>0</v>
      </c>
      <c r="K679" s="11">
        <v>412.96710286883632</v>
      </c>
      <c r="L679" s="12">
        <v>0</v>
      </c>
      <c r="M679" s="12">
        <v>0</v>
      </c>
      <c r="N679" s="12">
        <v>412.96710286883632</v>
      </c>
      <c r="O679" s="70">
        <f>IF(Table1[[#This Row],[Overall amount]]=0,0,1)</f>
        <v>1</v>
      </c>
      <c r="P679" s="70">
        <f>Table1[[#This Row],[Overall amount]]*Exchange_Rate</f>
        <v>412.96710286883632</v>
      </c>
      <c r="Q679" s="70">
        <f>Table1[[#This Row],[Overall (destination currency)]]*(1+Claims_Inflation)^((Revalue_at_date-Table1[[#This Row],[Loss date]])/365.25)</f>
        <v>522</v>
      </c>
      <c r="R679" s="70">
        <f>INT(Table1[[#This Row],[Reporting date]])-INT(Table1[[#This Row],[Loss date]])</f>
        <v>197</v>
      </c>
      <c r="S679" s="69" t="s">
        <v>9</v>
      </c>
      <c r="T679" s="70">
        <f>VLOOKUP(Table1[[#This Row],[Policy Year]],exposure_table,3,FALSE)</f>
        <v>837.11513600000012</v>
      </c>
      <c r="U679" s="17">
        <f>IF(MONTH(Table1[[#This Row],[Reporting date]])&lt;Policy_Inception_Month,YEAR(Table1[[#This Row],[Reporting date]])-1,YEAR(Table1[[#This Row],[Reporting date]]))</f>
        <v>2011</v>
      </c>
      <c r="V679" s="17">
        <f>Table1[[#This Row],[Reporting year]]-Table1[[#This Row],[Policy Year]]</f>
        <v>1</v>
      </c>
      <c r="W679" s="17">
        <f>INT(Table1[[#This Row],[Reporting date]])-INT(Table1[[#This Row],[Loss date]])</f>
        <v>197</v>
      </c>
      <c r="X679" s="17">
        <f>INT((YEAR(Table1[[#This Row],[Loss date]])*12+MONTH(Table1[[#This Row],[Loss date]])-Earliest_Month)/4)</f>
        <v>17</v>
      </c>
      <c r="Y679" s="17">
        <f>INT((YEAR(Table1[[#This Row],[Reporting date]])*12+MONTH(Table1[[#This Row],[Reporting date]])-Earliest_Month)/4)</f>
        <v>18</v>
      </c>
      <c r="Z679" s="17">
        <f>Table1[[#This Row],[Reporting third]]-Table1[[#This Row],[Policy third]]</f>
        <v>1</v>
      </c>
      <c r="AA679" s="71">
        <f>IF(Table1[[#This Row],[Overall amount]]=0,"N/A",Table1[[#This Row],[Outstanding]]/Table1[[#This Row],[Overall amount]])</f>
        <v>0</v>
      </c>
      <c r="AB679" s="17">
        <f>IF(MONTH(Table1[[#This Row],[Loss date]])&lt;Pol_Inc_Month_Shifted,YEAR(Table1[[#This Row],[Loss date]])-1,YEAR(Table1[[#This Row],[Loss date]]))</f>
        <v>2010</v>
      </c>
      <c r="AC679" s="17">
        <f>IF(MONTH(Table1[[#This Row],[Reporting date]])&lt;Pol_Inc_Month_Shifted,YEAR(Table1[[#This Row],[Reporting date]])-1,YEAR(Table1[[#This Row],[Reporting date]]))</f>
        <v>2010</v>
      </c>
      <c r="AD679" s="17">
        <f>Table1[[#This Row],[Reporting year (shifted)]]-Table1[[#This Row],[Policy Year (shifted)]]</f>
        <v>0</v>
      </c>
    </row>
    <row r="680" spans="1:30" ht="13.9">
      <c r="A680" s="8" t="s">
        <v>2450</v>
      </c>
      <c r="B680" s="8" t="s">
        <v>732</v>
      </c>
      <c r="C680" s="8" t="s">
        <v>123</v>
      </c>
      <c r="D680" s="9">
        <v>40717</v>
      </c>
      <c r="E680" s="9">
        <v>40740</v>
      </c>
      <c r="F680" s="17">
        <f>IF(MONTH(Table1[[#This Row],[Loss date]])&lt;Policy_Inception_Month,YEAR(Table1[[#This Row],[Loss date]])-1,YEAR(Table1[[#This Row],[Loss date]]))</f>
        <v>2011</v>
      </c>
      <c r="G680" s="10" t="s">
        <v>125</v>
      </c>
      <c r="H680" s="10" t="s">
        <v>2</v>
      </c>
      <c r="I680" s="11">
        <v>10440.865196527782</v>
      </c>
      <c r="J680" s="11">
        <v>0</v>
      </c>
      <c r="K680" s="11">
        <v>10440.865196527782</v>
      </c>
      <c r="L680" s="12">
        <v>0</v>
      </c>
      <c r="M680" s="12">
        <v>0</v>
      </c>
      <c r="N680" s="12">
        <v>10440.865196527782</v>
      </c>
      <c r="O680" s="70">
        <f>IF(Table1[[#This Row],[Overall amount]]=0,0,1)</f>
        <v>1</v>
      </c>
      <c r="P680" s="70">
        <f>Table1[[#This Row],[Overall amount]]*Exchange_Rate</f>
        <v>10440.865196527782</v>
      </c>
      <c r="Q680" s="70">
        <f>Table1[[#This Row],[Overall (destination currency)]]*(1+Claims_Inflation)^((Revalue_at_date-Table1[[#This Row],[Loss date]])/365.25)</f>
        <v>12861.600000000002</v>
      </c>
      <c r="R680" s="70">
        <f>INT(Table1[[#This Row],[Reporting date]])-INT(Table1[[#This Row],[Loss date]])</f>
        <v>23</v>
      </c>
      <c r="S680" s="69" t="s">
        <v>9</v>
      </c>
      <c r="T680" s="70">
        <f>VLOOKUP(Table1[[#This Row],[Policy Year]],exposure_table,3,FALSE)</f>
        <v>870.52680000000009</v>
      </c>
      <c r="U680" s="17">
        <f>IF(MONTH(Table1[[#This Row],[Reporting date]])&lt;Policy_Inception_Month,YEAR(Table1[[#This Row],[Reporting date]])-1,YEAR(Table1[[#This Row],[Reporting date]]))</f>
        <v>2011</v>
      </c>
      <c r="V680" s="17">
        <f>Table1[[#This Row],[Reporting year]]-Table1[[#This Row],[Policy Year]]</f>
        <v>0</v>
      </c>
      <c r="W680" s="17">
        <f>INT(Table1[[#This Row],[Reporting date]])-INT(Table1[[#This Row],[Loss date]])</f>
        <v>23</v>
      </c>
      <c r="X680" s="17">
        <f>INT((YEAR(Table1[[#This Row],[Loss date]])*12+MONTH(Table1[[#This Row],[Loss date]])-Earliest_Month)/4)</f>
        <v>18</v>
      </c>
      <c r="Y680" s="17">
        <f>INT((YEAR(Table1[[#This Row],[Reporting date]])*12+MONTH(Table1[[#This Row],[Reporting date]])-Earliest_Month)/4)</f>
        <v>18</v>
      </c>
      <c r="Z680" s="17">
        <f>Table1[[#This Row],[Reporting third]]-Table1[[#This Row],[Policy third]]</f>
        <v>0</v>
      </c>
      <c r="AA680" s="71">
        <f>IF(Table1[[#This Row],[Overall amount]]=0,"N/A",Table1[[#This Row],[Outstanding]]/Table1[[#This Row],[Overall amount]])</f>
        <v>0</v>
      </c>
      <c r="AB680" s="17">
        <f>IF(MONTH(Table1[[#This Row],[Loss date]])&lt;Pol_Inc_Month_Shifted,YEAR(Table1[[#This Row],[Loss date]])-1,YEAR(Table1[[#This Row],[Loss date]]))</f>
        <v>2010</v>
      </c>
      <c r="AC680" s="17">
        <f>IF(MONTH(Table1[[#This Row],[Reporting date]])&lt;Pol_Inc_Month_Shifted,YEAR(Table1[[#This Row],[Reporting date]])-1,YEAR(Table1[[#This Row],[Reporting date]]))</f>
        <v>2010</v>
      </c>
      <c r="AD680" s="17">
        <f>Table1[[#This Row],[Reporting year (shifted)]]-Table1[[#This Row],[Policy Year (shifted)]]</f>
        <v>0</v>
      </c>
    </row>
    <row r="681" spans="1:30" ht="13.9">
      <c r="A681" s="8" t="s">
        <v>2451</v>
      </c>
      <c r="B681" s="8" t="s">
        <v>733</v>
      </c>
      <c r="C681" s="8" t="s">
        <v>123</v>
      </c>
      <c r="D681" s="9">
        <v>40592</v>
      </c>
      <c r="E681" s="9">
        <v>40749</v>
      </c>
      <c r="F681" s="17">
        <f>IF(MONTH(Table1[[#This Row],[Loss date]])&lt;Policy_Inception_Month,YEAR(Table1[[#This Row],[Loss date]])-1,YEAR(Table1[[#This Row],[Loss date]]))</f>
        <v>2010</v>
      </c>
      <c r="G681" s="10" t="s">
        <v>125</v>
      </c>
      <c r="H681" s="10" t="s">
        <v>2</v>
      </c>
      <c r="I681" s="11">
        <v>1860.9389287628612</v>
      </c>
      <c r="J681" s="11">
        <v>0</v>
      </c>
      <c r="K681" s="11">
        <v>1860.9389287628612</v>
      </c>
      <c r="L681" s="12">
        <v>0</v>
      </c>
      <c r="M681" s="12">
        <v>0</v>
      </c>
      <c r="N681" s="12">
        <v>1860.9389287628612</v>
      </c>
      <c r="O681" s="70">
        <f>IF(Table1[[#This Row],[Overall amount]]=0,0,1)</f>
        <v>1</v>
      </c>
      <c r="P681" s="70">
        <f>Table1[[#This Row],[Overall amount]]*Exchange_Rate</f>
        <v>1860.9389287628612</v>
      </c>
      <c r="Q681" s="70">
        <f>Table1[[#This Row],[Overall (destination currency)]]*(1+Claims_Inflation)^((Revalue_at_date-Table1[[#This Row],[Loss date]])/365.25)</f>
        <v>2331</v>
      </c>
      <c r="R681" s="70">
        <f>INT(Table1[[#This Row],[Reporting date]])-INT(Table1[[#This Row],[Loss date]])</f>
        <v>157</v>
      </c>
      <c r="S681" s="69" t="s">
        <v>9</v>
      </c>
      <c r="T681" s="70">
        <f>VLOOKUP(Table1[[#This Row],[Policy Year]],exposure_table,3,FALSE)</f>
        <v>837.11513600000012</v>
      </c>
      <c r="U681" s="17">
        <f>IF(MONTH(Table1[[#This Row],[Reporting date]])&lt;Policy_Inception_Month,YEAR(Table1[[#This Row],[Reporting date]])-1,YEAR(Table1[[#This Row],[Reporting date]]))</f>
        <v>2011</v>
      </c>
      <c r="V681" s="17">
        <f>Table1[[#This Row],[Reporting year]]-Table1[[#This Row],[Policy Year]]</f>
        <v>1</v>
      </c>
      <c r="W681" s="17">
        <f>INT(Table1[[#This Row],[Reporting date]])-INT(Table1[[#This Row],[Loss date]])</f>
        <v>157</v>
      </c>
      <c r="X681" s="17">
        <f>INT((YEAR(Table1[[#This Row],[Loss date]])*12+MONTH(Table1[[#This Row],[Loss date]])-Earliest_Month)/4)</f>
        <v>17</v>
      </c>
      <c r="Y681" s="17">
        <f>INT((YEAR(Table1[[#This Row],[Reporting date]])*12+MONTH(Table1[[#This Row],[Reporting date]])-Earliest_Month)/4)</f>
        <v>18</v>
      </c>
      <c r="Z681" s="17">
        <f>Table1[[#This Row],[Reporting third]]-Table1[[#This Row],[Policy third]]</f>
        <v>1</v>
      </c>
      <c r="AA681" s="71">
        <f>IF(Table1[[#This Row],[Overall amount]]=0,"N/A",Table1[[#This Row],[Outstanding]]/Table1[[#This Row],[Overall amount]])</f>
        <v>0</v>
      </c>
      <c r="AB681" s="17">
        <f>IF(MONTH(Table1[[#This Row],[Loss date]])&lt;Pol_Inc_Month_Shifted,YEAR(Table1[[#This Row],[Loss date]])-1,YEAR(Table1[[#This Row],[Loss date]]))</f>
        <v>2010</v>
      </c>
      <c r="AC681" s="17">
        <f>IF(MONTH(Table1[[#This Row],[Reporting date]])&lt;Pol_Inc_Month_Shifted,YEAR(Table1[[#This Row],[Reporting date]])-1,YEAR(Table1[[#This Row],[Reporting date]]))</f>
        <v>2010</v>
      </c>
      <c r="AD681" s="17">
        <f>Table1[[#This Row],[Reporting year (shifted)]]-Table1[[#This Row],[Policy Year (shifted)]]</f>
        <v>0</v>
      </c>
    </row>
    <row r="682" spans="1:30" ht="13.9">
      <c r="A682" s="8" t="s">
        <v>2452</v>
      </c>
      <c r="B682" s="8" t="s">
        <v>734</v>
      </c>
      <c r="C682" s="8" t="s">
        <v>123</v>
      </c>
      <c r="D682" s="9">
        <v>40726</v>
      </c>
      <c r="E682" s="9">
        <v>40860</v>
      </c>
      <c r="F682" s="17">
        <f>IF(MONTH(Table1[[#This Row],[Loss date]])&lt;Policy_Inception_Month,YEAR(Table1[[#This Row],[Loss date]])-1,YEAR(Table1[[#This Row],[Loss date]]))</f>
        <v>2011</v>
      </c>
      <c r="G682" s="10" t="s">
        <v>125</v>
      </c>
      <c r="H682" s="10" t="s">
        <v>2</v>
      </c>
      <c r="I682" s="11">
        <v>975.80254637791461</v>
      </c>
      <c r="J682" s="11">
        <v>0</v>
      </c>
      <c r="K682" s="11">
        <v>975.80254637791461</v>
      </c>
      <c r="L682" s="12">
        <v>0</v>
      </c>
      <c r="M682" s="12">
        <v>0</v>
      </c>
      <c r="N682" s="12">
        <v>975.80254637791461</v>
      </c>
      <c r="O682" s="70">
        <f>IF(Table1[[#This Row],[Overall amount]]=0,0,1)</f>
        <v>1</v>
      </c>
      <c r="P682" s="70">
        <f>Table1[[#This Row],[Overall amount]]*Exchange_Rate</f>
        <v>975.80254637791461</v>
      </c>
      <c r="Q682" s="70">
        <f>Table1[[#This Row],[Overall (destination currency)]]*(1+Claims_Inflation)^((Revalue_at_date-Table1[[#This Row],[Loss date]])/365.25)</f>
        <v>1200.5999999999999</v>
      </c>
      <c r="R682" s="70">
        <f>INT(Table1[[#This Row],[Reporting date]])-INT(Table1[[#This Row],[Loss date]])</f>
        <v>134</v>
      </c>
      <c r="S682" s="69" t="s">
        <v>9</v>
      </c>
      <c r="T682" s="70">
        <f>VLOOKUP(Table1[[#This Row],[Policy Year]],exposure_table,3,FALSE)</f>
        <v>870.52680000000009</v>
      </c>
      <c r="U682" s="17">
        <f>IF(MONTH(Table1[[#This Row],[Reporting date]])&lt;Policy_Inception_Month,YEAR(Table1[[#This Row],[Reporting date]])-1,YEAR(Table1[[#This Row],[Reporting date]]))</f>
        <v>2011</v>
      </c>
      <c r="V682" s="17">
        <f>Table1[[#This Row],[Reporting year]]-Table1[[#This Row],[Policy Year]]</f>
        <v>0</v>
      </c>
      <c r="W682" s="17">
        <f>INT(Table1[[#This Row],[Reporting date]])-INT(Table1[[#This Row],[Loss date]])</f>
        <v>134</v>
      </c>
      <c r="X682" s="17">
        <f>INT((YEAR(Table1[[#This Row],[Loss date]])*12+MONTH(Table1[[#This Row],[Loss date]])-Earliest_Month)/4)</f>
        <v>18</v>
      </c>
      <c r="Y682" s="17">
        <f>INT((YEAR(Table1[[#This Row],[Reporting date]])*12+MONTH(Table1[[#This Row],[Reporting date]])-Earliest_Month)/4)</f>
        <v>19</v>
      </c>
      <c r="Z682" s="17">
        <f>Table1[[#This Row],[Reporting third]]-Table1[[#This Row],[Policy third]]</f>
        <v>1</v>
      </c>
      <c r="AA682" s="71">
        <f>IF(Table1[[#This Row],[Overall amount]]=0,"N/A",Table1[[#This Row],[Outstanding]]/Table1[[#This Row],[Overall amount]])</f>
        <v>0</v>
      </c>
      <c r="AB682" s="17">
        <f>IF(MONTH(Table1[[#This Row],[Loss date]])&lt;Pol_Inc_Month_Shifted,YEAR(Table1[[#This Row],[Loss date]])-1,YEAR(Table1[[#This Row],[Loss date]]))</f>
        <v>2010</v>
      </c>
      <c r="AC682" s="17">
        <f>IF(MONTH(Table1[[#This Row],[Reporting date]])&lt;Pol_Inc_Month_Shifted,YEAR(Table1[[#This Row],[Reporting date]])-1,YEAR(Table1[[#This Row],[Reporting date]]))</f>
        <v>2010</v>
      </c>
      <c r="AD682" s="17">
        <f>Table1[[#This Row],[Reporting year (shifted)]]-Table1[[#This Row],[Policy Year (shifted)]]</f>
        <v>0</v>
      </c>
    </row>
    <row r="683" spans="1:30" ht="13.9">
      <c r="A683" s="8" t="s">
        <v>2453</v>
      </c>
      <c r="B683" s="8" t="s">
        <v>735</v>
      </c>
      <c r="C683" s="8" t="s">
        <v>123</v>
      </c>
      <c r="D683" s="9">
        <v>40813</v>
      </c>
      <c r="E683" s="9">
        <v>40865</v>
      </c>
      <c r="F683" s="17">
        <f>IF(MONTH(Table1[[#This Row],[Loss date]])&lt;Policy_Inception_Month,YEAR(Table1[[#This Row],[Loss date]])-1,YEAR(Table1[[#This Row],[Loss date]]))</f>
        <v>2011</v>
      </c>
      <c r="G683" s="10" t="s">
        <v>125</v>
      </c>
      <c r="H683" s="10" t="s">
        <v>2</v>
      </c>
      <c r="I683" s="11">
        <v>829.8278248495252</v>
      </c>
      <c r="J683" s="11">
        <v>0</v>
      </c>
      <c r="K683" s="11">
        <v>829.8278248495252</v>
      </c>
      <c r="L683" s="12">
        <v>0</v>
      </c>
      <c r="M683" s="12">
        <v>94.850011081225105</v>
      </c>
      <c r="N683" s="12">
        <v>734.97781376830005</v>
      </c>
      <c r="O683" s="70">
        <f>IF(Table1[[#This Row],[Overall amount]]=0,0,1)</f>
        <v>1</v>
      </c>
      <c r="P683" s="70">
        <f>Table1[[#This Row],[Overall amount]]*Exchange_Rate</f>
        <v>734.97781376830005</v>
      </c>
      <c r="Q683" s="70">
        <f>Table1[[#This Row],[Overall (destination currency)]]*(1+Claims_Inflation)^((Revalue_at_date-Table1[[#This Row],[Loss date]])/365.25)</f>
        <v>893.84759999999994</v>
      </c>
      <c r="R683" s="70">
        <f>INT(Table1[[#This Row],[Reporting date]])-INT(Table1[[#This Row],[Loss date]])</f>
        <v>52</v>
      </c>
      <c r="S683" s="69" t="s">
        <v>9</v>
      </c>
      <c r="T683" s="70">
        <f>VLOOKUP(Table1[[#This Row],[Policy Year]],exposure_table,3,FALSE)</f>
        <v>870.52680000000009</v>
      </c>
      <c r="U683" s="17">
        <f>IF(MONTH(Table1[[#This Row],[Reporting date]])&lt;Policy_Inception_Month,YEAR(Table1[[#This Row],[Reporting date]])-1,YEAR(Table1[[#This Row],[Reporting date]]))</f>
        <v>2011</v>
      </c>
      <c r="V683" s="17">
        <f>Table1[[#This Row],[Reporting year]]-Table1[[#This Row],[Policy Year]]</f>
        <v>0</v>
      </c>
      <c r="W683" s="17">
        <f>INT(Table1[[#This Row],[Reporting date]])-INT(Table1[[#This Row],[Loss date]])</f>
        <v>52</v>
      </c>
      <c r="X683" s="17">
        <f>INT((YEAR(Table1[[#This Row],[Loss date]])*12+MONTH(Table1[[#This Row],[Loss date]])-Earliest_Month)/4)</f>
        <v>19</v>
      </c>
      <c r="Y683" s="17">
        <f>INT((YEAR(Table1[[#This Row],[Reporting date]])*12+MONTH(Table1[[#This Row],[Reporting date]])-Earliest_Month)/4)</f>
        <v>19</v>
      </c>
      <c r="Z683" s="17">
        <f>Table1[[#This Row],[Reporting third]]-Table1[[#This Row],[Policy third]]</f>
        <v>0</v>
      </c>
      <c r="AA683" s="71">
        <f>IF(Table1[[#This Row],[Overall amount]]=0,"N/A",Table1[[#This Row],[Outstanding]]/Table1[[#This Row],[Overall amount]])</f>
        <v>0</v>
      </c>
      <c r="AB683" s="17">
        <f>IF(MONTH(Table1[[#This Row],[Loss date]])&lt;Pol_Inc_Month_Shifted,YEAR(Table1[[#This Row],[Loss date]])-1,YEAR(Table1[[#This Row],[Loss date]]))</f>
        <v>2010</v>
      </c>
      <c r="AC683" s="17">
        <f>IF(MONTH(Table1[[#This Row],[Reporting date]])&lt;Pol_Inc_Month_Shifted,YEAR(Table1[[#This Row],[Reporting date]])-1,YEAR(Table1[[#This Row],[Reporting date]]))</f>
        <v>2010</v>
      </c>
      <c r="AD683" s="17">
        <f>Table1[[#This Row],[Reporting year (shifted)]]-Table1[[#This Row],[Policy Year (shifted)]]</f>
        <v>0</v>
      </c>
    </row>
    <row r="684" spans="1:30" ht="13.9">
      <c r="A684" s="8" t="s">
        <v>2454</v>
      </c>
      <c r="B684" s="8" t="s">
        <v>736</v>
      </c>
      <c r="C684" s="8" t="s">
        <v>123</v>
      </c>
      <c r="D684" s="9">
        <v>40881</v>
      </c>
      <c r="E684" s="9">
        <v>40934</v>
      </c>
      <c r="F684" s="17">
        <f>IF(MONTH(Table1[[#This Row],[Loss date]])&lt;Policy_Inception_Month,YEAR(Table1[[#This Row],[Loss date]])-1,YEAR(Table1[[#This Row],[Loss date]]))</f>
        <v>2011</v>
      </c>
      <c r="G684" s="10" t="s">
        <v>125</v>
      </c>
      <c r="H684" s="10" t="s">
        <v>2</v>
      </c>
      <c r="I684" s="11">
        <v>534.20336206834349</v>
      </c>
      <c r="J684" s="11">
        <v>0</v>
      </c>
      <c r="K684" s="11">
        <v>534.20336206834349</v>
      </c>
      <c r="L684" s="12">
        <v>0</v>
      </c>
      <c r="M684" s="12">
        <v>0</v>
      </c>
      <c r="N684" s="12">
        <v>534.20336206834349</v>
      </c>
      <c r="O684" s="70">
        <f>IF(Table1[[#This Row],[Overall amount]]=0,0,1)</f>
        <v>1</v>
      </c>
      <c r="P684" s="70">
        <f>Table1[[#This Row],[Overall amount]]*Exchange_Rate</f>
        <v>534.20336206834349</v>
      </c>
      <c r="Q684" s="70">
        <f>Table1[[#This Row],[Overall (destination currency)]]*(1+Claims_Inflation)^((Revalue_at_date-Table1[[#This Row],[Loss date]])/365.25)</f>
        <v>643.79999999999995</v>
      </c>
      <c r="R684" s="70">
        <f>INT(Table1[[#This Row],[Reporting date]])-INT(Table1[[#This Row],[Loss date]])</f>
        <v>53</v>
      </c>
      <c r="S684" s="69" t="s">
        <v>9</v>
      </c>
      <c r="T684" s="70">
        <f>VLOOKUP(Table1[[#This Row],[Policy Year]],exposure_table,3,FALSE)</f>
        <v>870.52680000000009</v>
      </c>
      <c r="U684" s="17">
        <f>IF(MONTH(Table1[[#This Row],[Reporting date]])&lt;Policy_Inception_Month,YEAR(Table1[[#This Row],[Reporting date]])-1,YEAR(Table1[[#This Row],[Reporting date]]))</f>
        <v>2011</v>
      </c>
      <c r="V684" s="17">
        <f>Table1[[#This Row],[Reporting year]]-Table1[[#This Row],[Policy Year]]</f>
        <v>0</v>
      </c>
      <c r="W684" s="17">
        <f>INT(Table1[[#This Row],[Reporting date]])-INT(Table1[[#This Row],[Loss date]])</f>
        <v>53</v>
      </c>
      <c r="X684" s="17">
        <f>INT((YEAR(Table1[[#This Row],[Loss date]])*12+MONTH(Table1[[#This Row],[Loss date]])-Earliest_Month)/4)</f>
        <v>20</v>
      </c>
      <c r="Y684" s="17">
        <f>INT((YEAR(Table1[[#This Row],[Reporting date]])*12+MONTH(Table1[[#This Row],[Reporting date]])-Earliest_Month)/4)</f>
        <v>20</v>
      </c>
      <c r="Z684" s="17">
        <f>Table1[[#This Row],[Reporting third]]-Table1[[#This Row],[Policy third]]</f>
        <v>0</v>
      </c>
      <c r="AA684" s="71">
        <f>IF(Table1[[#This Row],[Overall amount]]=0,"N/A",Table1[[#This Row],[Outstanding]]/Table1[[#This Row],[Overall amount]])</f>
        <v>0</v>
      </c>
      <c r="AB684" s="17">
        <f>IF(MONTH(Table1[[#This Row],[Loss date]])&lt;Pol_Inc_Month_Shifted,YEAR(Table1[[#This Row],[Loss date]])-1,YEAR(Table1[[#This Row],[Loss date]]))</f>
        <v>2011</v>
      </c>
      <c r="AC684" s="17">
        <f>IF(MONTH(Table1[[#This Row],[Reporting date]])&lt;Pol_Inc_Month_Shifted,YEAR(Table1[[#This Row],[Reporting date]])-1,YEAR(Table1[[#This Row],[Reporting date]]))</f>
        <v>2011</v>
      </c>
      <c r="AD684" s="17">
        <f>Table1[[#This Row],[Reporting year (shifted)]]-Table1[[#This Row],[Policy Year (shifted)]]</f>
        <v>0</v>
      </c>
    </row>
    <row r="685" spans="1:30" ht="13.9">
      <c r="A685" s="8" t="s">
        <v>2455</v>
      </c>
      <c r="B685" s="8" t="s">
        <v>737</v>
      </c>
      <c r="C685" s="8" t="s">
        <v>123</v>
      </c>
      <c r="D685" s="9">
        <v>39644</v>
      </c>
      <c r="E685" s="9">
        <v>39664</v>
      </c>
      <c r="F685" s="17">
        <f>IF(MONTH(Table1[[#This Row],[Loss date]])&lt;Policy_Inception_Month,YEAR(Table1[[#This Row],[Loss date]])-1,YEAR(Table1[[#This Row],[Loss date]]))</f>
        <v>2008</v>
      </c>
      <c r="G685" s="10" t="s">
        <v>126</v>
      </c>
      <c r="H685" s="10" t="s">
        <v>2</v>
      </c>
      <c r="I685" s="11">
        <v>340.79025924378277</v>
      </c>
      <c r="J685" s="11">
        <v>0</v>
      </c>
      <c r="K685" s="11">
        <v>340.79025924378277</v>
      </c>
      <c r="L685" s="12">
        <v>0</v>
      </c>
      <c r="M685" s="12">
        <v>0</v>
      </c>
      <c r="N685" s="12">
        <v>340.79025924378277</v>
      </c>
      <c r="O685" s="70">
        <f>IF(Table1[[#This Row],[Overall amount]]=0,0,1)</f>
        <v>1</v>
      </c>
      <c r="P685" s="70">
        <f>Table1[[#This Row],[Overall amount]]*Exchange_Rate</f>
        <v>340.79025924378277</v>
      </c>
      <c r="Q685" s="70">
        <f>Table1[[#This Row],[Overall (destination currency)]]*(1+Claims_Inflation)^((Revalue_at_date-Table1[[#This Row],[Loss date]])/365.25)</f>
        <v>484.50000000000006</v>
      </c>
      <c r="R685" s="70">
        <f>INT(Table1[[#This Row],[Reporting date]])-INT(Table1[[#This Row],[Loss date]])</f>
        <v>20</v>
      </c>
      <c r="S685" s="69" t="s">
        <v>9</v>
      </c>
      <c r="T685" s="70">
        <f>VLOOKUP(Table1[[#This Row],[Policy Year]],exposure_table,3,FALSE)</f>
        <v>601.98581780480015</v>
      </c>
      <c r="U685" s="17">
        <f>IF(MONTH(Table1[[#This Row],[Reporting date]])&lt;Policy_Inception_Month,YEAR(Table1[[#This Row],[Reporting date]])-1,YEAR(Table1[[#This Row],[Reporting date]]))</f>
        <v>2008</v>
      </c>
      <c r="V685" s="17">
        <f>Table1[[#This Row],[Reporting year]]-Table1[[#This Row],[Policy Year]]</f>
        <v>0</v>
      </c>
      <c r="W685" s="17">
        <f>INT(Table1[[#This Row],[Reporting date]])-INT(Table1[[#This Row],[Loss date]])</f>
        <v>20</v>
      </c>
      <c r="X685" s="17">
        <f>INT((YEAR(Table1[[#This Row],[Loss date]])*12+MONTH(Table1[[#This Row],[Loss date]])-Earliest_Month)/4)</f>
        <v>9</v>
      </c>
      <c r="Y685" s="17">
        <f>INT((YEAR(Table1[[#This Row],[Reporting date]])*12+MONTH(Table1[[#This Row],[Reporting date]])-Earliest_Month)/4)</f>
        <v>10</v>
      </c>
      <c r="Z685" s="17">
        <f>Table1[[#This Row],[Reporting third]]-Table1[[#This Row],[Policy third]]</f>
        <v>1</v>
      </c>
      <c r="AA685" s="71">
        <f>IF(Table1[[#This Row],[Overall amount]]=0,"N/A",Table1[[#This Row],[Outstanding]]/Table1[[#This Row],[Overall amount]])</f>
        <v>0</v>
      </c>
      <c r="AB685" s="17">
        <f>IF(MONTH(Table1[[#This Row],[Loss date]])&lt;Pol_Inc_Month_Shifted,YEAR(Table1[[#This Row],[Loss date]])-1,YEAR(Table1[[#This Row],[Loss date]]))</f>
        <v>2007</v>
      </c>
      <c r="AC685" s="17">
        <f>IF(MONTH(Table1[[#This Row],[Reporting date]])&lt;Pol_Inc_Month_Shifted,YEAR(Table1[[#This Row],[Reporting date]])-1,YEAR(Table1[[#This Row],[Reporting date]]))</f>
        <v>2007</v>
      </c>
      <c r="AD685" s="17">
        <f>Table1[[#This Row],[Reporting year (shifted)]]-Table1[[#This Row],[Policy Year (shifted)]]</f>
        <v>0</v>
      </c>
    </row>
    <row r="686" spans="1:30" ht="13.9">
      <c r="A686" s="8" t="s">
        <v>2456</v>
      </c>
      <c r="B686" s="8" t="s">
        <v>738</v>
      </c>
      <c r="C686" s="8" t="s">
        <v>123</v>
      </c>
      <c r="D686" s="9">
        <v>39726</v>
      </c>
      <c r="E686" s="9">
        <v>39908</v>
      </c>
      <c r="F686" s="17">
        <f>IF(MONTH(Table1[[#This Row],[Loss date]])&lt;Policy_Inception_Month,YEAR(Table1[[#This Row],[Loss date]])-1,YEAR(Table1[[#This Row],[Loss date]]))</f>
        <v>2008</v>
      </c>
      <c r="G686" s="10" t="s">
        <v>125</v>
      </c>
      <c r="H686" s="10" t="s">
        <v>2</v>
      </c>
      <c r="I686" s="11">
        <v>1547.4212681332394</v>
      </c>
      <c r="J686" s="11">
        <v>0</v>
      </c>
      <c r="K686" s="11">
        <v>1547.4212681332394</v>
      </c>
      <c r="L686" s="12">
        <v>0</v>
      </c>
      <c r="M686" s="12">
        <v>0</v>
      </c>
      <c r="N686" s="12">
        <v>1547.4212681332394</v>
      </c>
      <c r="O686" s="70">
        <f>IF(Table1[[#This Row],[Overall amount]]=0,0,1)</f>
        <v>1</v>
      </c>
      <c r="P686" s="70">
        <f>Table1[[#This Row],[Overall amount]]*Exchange_Rate</f>
        <v>1547.4212681332394</v>
      </c>
      <c r="Q686" s="70">
        <f>Table1[[#This Row],[Overall (destination currency)]]*(1+Claims_Inflation)^((Revalue_at_date-Table1[[#This Row],[Loss date]])/365.25)</f>
        <v>2175.9960000000001</v>
      </c>
      <c r="R686" s="70">
        <f>INT(Table1[[#This Row],[Reporting date]])-INT(Table1[[#This Row],[Loss date]])</f>
        <v>182</v>
      </c>
      <c r="S686" s="69" t="s">
        <v>9</v>
      </c>
      <c r="T686" s="70">
        <f>VLOOKUP(Table1[[#This Row],[Policy Year]],exposure_table,3,FALSE)</f>
        <v>601.98581780480015</v>
      </c>
      <c r="U686" s="17">
        <f>IF(MONTH(Table1[[#This Row],[Reporting date]])&lt;Policy_Inception_Month,YEAR(Table1[[#This Row],[Reporting date]])-1,YEAR(Table1[[#This Row],[Reporting date]]))</f>
        <v>2009</v>
      </c>
      <c r="V686" s="17">
        <f>Table1[[#This Row],[Reporting year]]-Table1[[#This Row],[Policy Year]]</f>
        <v>1</v>
      </c>
      <c r="W686" s="17">
        <f>INT(Table1[[#This Row],[Reporting date]])-INT(Table1[[#This Row],[Loss date]])</f>
        <v>182</v>
      </c>
      <c r="X686" s="17">
        <f>INT((YEAR(Table1[[#This Row],[Loss date]])*12+MONTH(Table1[[#This Row],[Loss date]])-Earliest_Month)/4)</f>
        <v>10</v>
      </c>
      <c r="Y686" s="17">
        <f>INT((YEAR(Table1[[#This Row],[Reporting date]])*12+MONTH(Table1[[#This Row],[Reporting date]])-Earliest_Month)/4)</f>
        <v>12</v>
      </c>
      <c r="Z686" s="17">
        <f>Table1[[#This Row],[Reporting third]]-Table1[[#This Row],[Policy third]]</f>
        <v>2</v>
      </c>
      <c r="AA686" s="71">
        <f>IF(Table1[[#This Row],[Overall amount]]=0,"N/A",Table1[[#This Row],[Outstanding]]/Table1[[#This Row],[Overall amount]])</f>
        <v>0</v>
      </c>
      <c r="AB686" s="17">
        <f>IF(MONTH(Table1[[#This Row],[Loss date]])&lt;Pol_Inc_Month_Shifted,YEAR(Table1[[#This Row],[Loss date]])-1,YEAR(Table1[[#This Row],[Loss date]]))</f>
        <v>2007</v>
      </c>
      <c r="AC686" s="17">
        <f>IF(MONTH(Table1[[#This Row],[Reporting date]])&lt;Pol_Inc_Month_Shifted,YEAR(Table1[[#This Row],[Reporting date]])-1,YEAR(Table1[[#This Row],[Reporting date]]))</f>
        <v>2008</v>
      </c>
      <c r="AD686" s="17">
        <f>Table1[[#This Row],[Reporting year (shifted)]]-Table1[[#This Row],[Policy Year (shifted)]]</f>
        <v>1</v>
      </c>
    </row>
    <row r="687" spans="1:30" ht="13.9">
      <c r="A687" s="8" t="s">
        <v>2457</v>
      </c>
      <c r="B687" s="8" t="s">
        <v>739</v>
      </c>
      <c r="C687" s="8" t="s">
        <v>123</v>
      </c>
      <c r="D687" s="9">
        <v>39899</v>
      </c>
      <c r="E687" s="9">
        <v>40137</v>
      </c>
      <c r="F687" s="17">
        <f>IF(MONTH(Table1[[#This Row],[Loss date]])&lt;Policy_Inception_Month,YEAR(Table1[[#This Row],[Loss date]])-1,YEAR(Table1[[#This Row],[Loss date]]))</f>
        <v>2008</v>
      </c>
      <c r="G687" s="10" t="s">
        <v>125</v>
      </c>
      <c r="H687" s="10" t="s">
        <v>2</v>
      </c>
      <c r="I687" s="11">
        <v>878.40923009922324</v>
      </c>
      <c r="J687" s="11">
        <v>0</v>
      </c>
      <c r="K687" s="11">
        <v>878.40923009922324</v>
      </c>
      <c r="L687" s="12">
        <v>0</v>
      </c>
      <c r="M687" s="12">
        <v>0</v>
      </c>
      <c r="N687" s="12">
        <v>878.40923009922324</v>
      </c>
      <c r="O687" s="70">
        <f>IF(Table1[[#This Row],[Overall amount]]=0,0,1)</f>
        <v>1</v>
      </c>
      <c r="P687" s="70">
        <f>Table1[[#This Row],[Overall amount]]*Exchange_Rate</f>
        <v>878.40923009922324</v>
      </c>
      <c r="Q687" s="70">
        <f>Table1[[#This Row],[Overall (destination currency)]]*(1+Claims_Inflation)^((Revalue_at_date-Table1[[#This Row],[Loss date]])/365.25)</f>
        <v>1207.008</v>
      </c>
      <c r="R687" s="70">
        <f>INT(Table1[[#This Row],[Reporting date]])-INT(Table1[[#This Row],[Loss date]])</f>
        <v>238</v>
      </c>
      <c r="S687" s="69" t="s">
        <v>9</v>
      </c>
      <c r="T687" s="70">
        <f>VLOOKUP(Table1[[#This Row],[Policy Year]],exposure_table,3,FALSE)</f>
        <v>601.98581780480015</v>
      </c>
      <c r="U687" s="17">
        <f>IF(MONTH(Table1[[#This Row],[Reporting date]])&lt;Policy_Inception_Month,YEAR(Table1[[#This Row],[Reporting date]])-1,YEAR(Table1[[#This Row],[Reporting date]]))</f>
        <v>2009</v>
      </c>
      <c r="V687" s="17">
        <f>Table1[[#This Row],[Reporting year]]-Table1[[#This Row],[Policy Year]]</f>
        <v>1</v>
      </c>
      <c r="W687" s="17">
        <f>INT(Table1[[#This Row],[Reporting date]])-INT(Table1[[#This Row],[Loss date]])</f>
        <v>238</v>
      </c>
      <c r="X687" s="17">
        <f>INT((YEAR(Table1[[#This Row],[Loss date]])*12+MONTH(Table1[[#This Row],[Loss date]])-Earliest_Month)/4)</f>
        <v>11</v>
      </c>
      <c r="Y687" s="17">
        <f>INT((YEAR(Table1[[#This Row],[Reporting date]])*12+MONTH(Table1[[#This Row],[Reporting date]])-Earliest_Month)/4)</f>
        <v>13</v>
      </c>
      <c r="Z687" s="17">
        <f>Table1[[#This Row],[Reporting third]]-Table1[[#This Row],[Policy third]]</f>
        <v>2</v>
      </c>
      <c r="AA687" s="71">
        <f>IF(Table1[[#This Row],[Overall amount]]=0,"N/A",Table1[[#This Row],[Outstanding]]/Table1[[#This Row],[Overall amount]])</f>
        <v>0</v>
      </c>
      <c r="AB687" s="17">
        <f>IF(MONTH(Table1[[#This Row],[Loss date]])&lt;Pol_Inc_Month_Shifted,YEAR(Table1[[#This Row],[Loss date]])-1,YEAR(Table1[[#This Row],[Loss date]]))</f>
        <v>2008</v>
      </c>
      <c r="AC687" s="17">
        <f>IF(MONTH(Table1[[#This Row],[Reporting date]])&lt;Pol_Inc_Month_Shifted,YEAR(Table1[[#This Row],[Reporting date]])-1,YEAR(Table1[[#This Row],[Reporting date]]))</f>
        <v>2008</v>
      </c>
      <c r="AD687" s="17">
        <f>Table1[[#This Row],[Reporting year (shifted)]]-Table1[[#This Row],[Policy Year (shifted)]]</f>
        <v>0</v>
      </c>
    </row>
    <row r="688" spans="1:30" ht="13.9">
      <c r="A688" s="8" t="s">
        <v>2458</v>
      </c>
      <c r="B688" s="8" t="s">
        <v>740</v>
      </c>
      <c r="C688" s="8" t="s">
        <v>123</v>
      </c>
      <c r="D688" s="9">
        <v>39817</v>
      </c>
      <c r="E688" s="9">
        <v>40201</v>
      </c>
      <c r="F688" s="17">
        <f>IF(MONTH(Table1[[#This Row],[Loss date]])&lt;Policy_Inception_Month,YEAR(Table1[[#This Row],[Loss date]])-1,YEAR(Table1[[#This Row],[Loss date]]))</f>
        <v>2008</v>
      </c>
      <c r="G688" s="10" t="s">
        <v>124</v>
      </c>
      <c r="H688" s="10" t="s">
        <v>2</v>
      </c>
      <c r="I688" s="11">
        <v>844.36004953209567</v>
      </c>
      <c r="J688" s="11">
        <v>0</v>
      </c>
      <c r="K688" s="11">
        <v>844.36004953209567</v>
      </c>
      <c r="L688" s="12">
        <v>0</v>
      </c>
      <c r="M688" s="12">
        <v>0</v>
      </c>
      <c r="N688" s="12">
        <v>844.36004953209567</v>
      </c>
      <c r="O688" s="70">
        <f>IF(Table1[[#This Row],[Overall amount]]=0,0,1)</f>
        <v>1</v>
      </c>
      <c r="P688" s="70">
        <f>Table1[[#This Row],[Overall amount]]*Exchange_Rate</f>
        <v>844.36004953209567</v>
      </c>
      <c r="Q688" s="70">
        <f>Table1[[#This Row],[Overall (destination currency)]]*(1+Claims_Inflation)^((Revalue_at_date-Table1[[#This Row],[Loss date]])/365.25)</f>
        <v>1173</v>
      </c>
      <c r="R688" s="70">
        <f>INT(Table1[[#This Row],[Reporting date]])-INT(Table1[[#This Row],[Loss date]])</f>
        <v>384</v>
      </c>
      <c r="S688" s="69" t="s">
        <v>9</v>
      </c>
      <c r="T688" s="70">
        <f>VLOOKUP(Table1[[#This Row],[Policy Year]],exposure_table,3,FALSE)</f>
        <v>601.98581780480015</v>
      </c>
      <c r="U688" s="17">
        <f>IF(MONTH(Table1[[#This Row],[Reporting date]])&lt;Policy_Inception_Month,YEAR(Table1[[#This Row],[Reporting date]])-1,YEAR(Table1[[#This Row],[Reporting date]]))</f>
        <v>2009</v>
      </c>
      <c r="V688" s="17">
        <f>Table1[[#This Row],[Reporting year]]-Table1[[#This Row],[Policy Year]]</f>
        <v>1</v>
      </c>
      <c r="W688" s="17">
        <f>INT(Table1[[#This Row],[Reporting date]])-INT(Table1[[#This Row],[Loss date]])</f>
        <v>384</v>
      </c>
      <c r="X688" s="17">
        <f>INT((YEAR(Table1[[#This Row],[Loss date]])*12+MONTH(Table1[[#This Row],[Loss date]])-Earliest_Month)/4)</f>
        <v>11</v>
      </c>
      <c r="Y688" s="17">
        <f>INT((YEAR(Table1[[#This Row],[Reporting date]])*12+MONTH(Table1[[#This Row],[Reporting date]])-Earliest_Month)/4)</f>
        <v>14</v>
      </c>
      <c r="Z688" s="17">
        <f>Table1[[#This Row],[Reporting third]]-Table1[[#This Row],[Policy third]]</f>
        <v>3</v>
      </c>
      <c r="AA688" s="71">
        <f>IF(Table1[[#This Row],[Overall amount]]=0,"N/A",Table1[[#This Row],[Outstanding]]/Table1[[#This Row],[Overall amount]])</f>
        <v>0</v>
      </c>
      <c r="AB688" s="17">
        <f>IF(MONTH(Table1[[#This Row],[Loss date]])&lt;Pol_Inc_Month_Shifted,YEAR(Table1[[#This Row],[Loss date]])-1,YEAR(Table1[[#This Row],[Loss date]]))</f>
        <v>2008</v>
      </c>
      <c r="AC688" s="17">
        <f>IF(MONTH(Table1[[#This Row],[Reporting date]])&lt;Pol_Inc_Month_Shifted,YEAR(Table1[[#This Row],[Reporting date]])-1,YEAR(Table1[[#This Row],[Reporting date]]))</f>
        <v>2009</v>
      </c>
      <c r="AD688" s="17">
        <f>Table1[[#This Row],[Reporting year (shifted)]]-Table1[[#This Row],[Policy Year (shifted)]]</f>
        <v>1</v>
      </c>
    </row>
    <row r="689" spans="1:30" ht="13.9">
      <c r="A689" s="8" t="s">
        <v>2459</v>
      </c>
      <c r="B689" s="8" t="s">
        <v>741</v>
      </c>
      <c r="C689" s="8" t="s">
        <v>123</v>
      </c>
      <c r="D689" s="9">
        <v>40139</v>
      </c>
      <c r="E689" s="9">
        <v>40251</v>
      </c>
      <c r="F689" s="17">
        <f>IF(MONTH(Table1[[#This Row],[Loss date]])&lt;Policy_Inception_Month,YEAR(Table1[[#This Row],[Loss date]])-1,YEAR(Table1[[#This Row],[Loss date]]))</f>
        <v>2009</v>
      </c>
      <c r="G689" s="10" t="s">
        <v>125</v>
      </c>
      <c r="H689" s="10" t="s">
        <v>2</v>
      </c>
      <c r="I689" s="11">
        <v>1137.5706966565704</v>
      </c>
      <c r="J689" s="11">
        <v>0</v>
      </c>
      <c r="K689" s="11">
        <v>1137.5706966565704</v>
      </c>
      <c r="L689" s="12">
        <v>0</v>
      </c>
      <c r="M689" s="12">
        <v>0</v>
      </c>
      <c r="N689" s="12">
        <v>1137.5706966565704</v>
      </c>
      <c r="O689" s="70">
        <f>IF(Table1[[#This Row],[Overall amount]]=0,0,1)</f>
        <v>1</v>
      </c>
      <c r="P689" s="70">
        <f>Table1[[#This Row],[Overall amount]]*Exchange_Rate</f>
        <v>1137.5706966565704</v>
      </c>
      <c r="Q689" s="70">
        <f>Table1[[#This Row],[Overall (destination currency)]]*(1+Claims_Inflation)^((Revalue_at_date-Table1[[#This Row],[Loss date]])/365.25)</f>
        <v>1513.8</v>
      </c>
      <c r="R689" s="70">
        <f>INT(Table1[[#This Row],[Reporting date]])-INT(Table1[[#This Row],[Loss date]])</f>
        <v>112</v>
      </c>
      <c r="S689" s="69" t="s">
        <v>9</v>
      </c>
      <c r="T689" s="70">
        <f>VLOOKUP(Table1[[#This Row],[Policy Year]],exposure_table,3,FALSE)</f>
        <v>760.22808576000011</v>
      </c>
      <c r="U689" s="17">
        <f>IF(MONTH(Table1[[#This Row],[Reporting date]])&lt;Policy_Inception_Month,YEAR(Table1[[#This Row],[Reporting date]])-1,YEAR(Table1[[#This Row],[Reporting date]]))</f>
        <v>2009</v>
      </c>
      <c r="V689" s="17">
        <f>Table1[[#This Row],[Reporting year]]-Table1[[#This Row],[Policy Year]]</f>
        <v>0</v>
      </c>
      <c r="W689" s="17">
        <f>INT(Table1[[#This Row],[Reporting date]])-INT(Table1[[#This Row],[Loss date]])</f>
        <v>112</v>
      </c>
      <c r="X689" s="17">
        <f>INT((YEAR(Table1[[#This Row],[Loss date]])*12+MONTH(Table1[[#This Row],[Loss date]])-Earliest_Month)/4)</f>
        <v>13</v>
      </c>
      <c r="Y689" s="17">
        <f>INT((YEAR(Table1[[#This Row],[Reporting date]])*12+MONTH(Table1[[#This Row],[Reporting date]])-Earliest_Month)/4)</f>
        <v>14</v>
      </c>
      <c r="Z689" s="17">
        <f>Table1[[#This Row],[Reporting third]]-Table1[[#This Row],[Policy third]]</f>
        <v>1</v>
      </c>
      <c r="AA689" s="71">
        <f>IF(Table1[[#This Row],[Overall amount]]=0,"N/A",Table1[[#This Row],[Outstanding]]/Table1[[#This Row],[Overall amount]])</f>
        <v>0</v>
      </c>
      <c r="AB689" s="17">
        <f>IF(MONTH(Table1[[#This Row],[Loss date]])&lt;Pol_Inc_Month_Shifted,YEAR(Table1[[#This Row],[Loss date]])-1,YEAR(Table1[[#This Row],[Loss date]]))</f>
        <v>2008</v>
      </c>
      <c r="AC689" s="17">
        <f>IF(MONTH(Table1[[#This Row],[Reporting date]])&lt;Pol_Inc_Month_Shifted,YEAR(Table1[[#This Row],[Reporting date]])-1,YEAR(Table1[[#This Row],[Reporting date]]))</f>
        <v>2009</v>
      </c>
      <c r="AD689" s="17">
        <f>Table1[[#This Row],[Reporting year (shifted)]]-Table1[[#This Row],[Policy Year (shifted)]]</f>
        <v>1</v>
      </c>
    </row>
    <row r="690" spans="1:30" ht="13.9">
      <c r="A690" s="8" t="s">
        <v>2460</v>
      </c>
      <c r="B690" s="8" t="s">
        <v>742</v>
      </c>
      <c r="C690" s="8" t="s">
        <v>123</v>
      </c>
      <c r="D690" s="9">
        <v>39825</v>
      </c>
      <c r="E690" s="9">
        <v>40266</v>
      </c>
      <c r="F690" s="17">
        <f>IF(MONTH(Table1[[#This Row],[Loss date]])&lt;Policy_Inception_Month,YEAR(Table1[[#This Row],[Loss date]])-1,YEAR(Table1[[#This Row],[Loss date]]))</f>
        <v>2008</v>
      </c>
      <c r="G690" s="10" t="s">
        <v>125</v>
      </c>
      <c r="H690" s="10" t="s">
        <v>2</v>
      </c>
      <c r="I690" s="11">
        <v>735.01117394240771</v>
      </c>
      <c r="J690" s="11">
        <v>0</v>
      </c>
      <c r="K690" s="11">
        <v>735.01117394240771</v>
      </c>
      <c r="L690" s="12">
        <v>0</v>
      </c>
      <c r="M690" s="12">
        <v>19.845301696445009</v>
      </c>
      <c r="N690" s="12">
        <v>715.16587224596265</v>
      </c>
      <c r="O690" s="70">
        <f>IF(Table1[[#This Row],[Overall amount]]=0,0,1)</f>
        <v>1</v>
      </c>
      <c r="P690" s="70">
        <f>Table1[[#This Row],[Overall amount]]*Exchange_Rate</f>
        <v>715.16587224596265</v>
      </c>
      <c r="Q690" s="70">
        <f>Table1[[#This Row],[Overall (destination currency)]]*(1+Claims_Inflation)^((Revalue_at_date-Table1[[#This Row],[Loss date]])/365.25)</f>
        <v>992.45999999999981</v>
      </c>
      <c r="R690" s="70">
        <f>INT(Table1[[#This Row],[Reporting date]])-INT(Table1[[#This Row],[Loss date]])</f>
        <v>441</v>
      </c>
      <c r="S690" s="69" t="s">
        <v>9</v>
      </c>
      <c r="T690" s="70">
        <f>VLOOKUP(Table1[[#This Row],[Policy Year]],exposure_table,3,FALSE)</f>
        <v>601.98581780480015</v>
      </c>
      <c r="U690" s="17">
        <f>IF(MONTH(Table1[[#This Row],[Reporting date]])&lt;Policy_Inception_Month,YEAR(Table1[[#This Row],[Reporting date]])-1,YEAR(Table1[[#This Row],[Reporting date]]))</f>
        <v>2009</v>
      </c>
      <c r="V690" s="17">
        <f>Table1[[#This Row],[Reporting year]]-Table1[[#This Row],[Policy Year]]</f>
        <v>1</v>
      </c>
      <c r="W690" s="17">
        <f>INT(Table1[[#This Row],[Reporting date]])-INT(Table1[[#This Row],[Loss date]])</f>
        <v>441</v>
      </c>
      <c r="X690" s="17">
        <f>INT((YEAR(Table1[[#This Row],[Loss date]])*12+MONTH(Table1[[#This Row],[Loss date]])-Earliest_Month)/4)</f>
        <v>11</v>
      </c>
      <c r="Y690" s="17">
        <f>INT((YEAR(Table1[[#This Row],[Reporting date]])*12+MONTH(Table1[[#This Row],[Reporting date]])-Earliest_Month)/4)</f>
        <v>14</v>
      </c>
      <c r="Z690" s="17">
        <f>Table1[[#This Row],[Reporting third]]-Table1[[#This Row],[Policy third]]</f>
        <v>3</v>
      </c>
      <c r="AA690" s="71">
        <f>IF(Table1[[#This Row],[Overall amount]]=0,"N/A",Table1[[#This Row],[Outstanding]]/Table1[[#This Row],[Overall amount]])</f>
        <v>0</v>
      </c>
      <c r="AB690" s="17">
        <f>IF(MONTH(Table1[[#This Row],[Loss date]])&lt;Pol_Inc_Month_Shifted,YEAR(Table1[[#This Row],[Loss date]])-1,YEAR(Table1[[#This Row],[Loss date]]))</f>
        <v>2008</v>
      </c>
      <c r="AC690" s="17">
        <f>IF(MONTH(Table1[[#This Row],[Reporting date]])&lt;Pol_Inc_Month_Shifted,YEAR(Table1[[#This Row],[Reporting date]])-1,YEAR(Table1[[#This Row],[Reporting date]]))</f>
        <v>2009</v>
      </c>
      <c r="AD690" s="17">
        <f>Table1[[#This Row],[Reporting year (shifted)]]-Table1[[#This Row],[Policy Year (shifted)]]</f>
        <v>1</v>
      </c>
    </row>
    <row r="691" spans="1:30" ht="13.9">
      <c r="A691" s="8" t="s">
        <v>2461</v>
      </c>
      <c r="B691" s="8" t="s">
        <v>743</v>
      </c>
      <c r="C691" s="8" t="s">
        <v>123</v>
      </c>
      <c r="D691" s="9">
        <v>40291</v>
      </c>
      <c r="E691" s="9">
        <v>40291</v>
      </c>
      <c r="F691" s="17">
        <f>IF(MONTH(Table1[[#This Row],[Loss date]])&lt;Policy_Inception_Month,YEAR(Table1[[#This Row],[Loss date]])-1,YEAR(Table1[[#This Row],[Loss date]]))</f>
        <v>2010</v>
      </c>
      <c r="G691" s="10" t="s">
        <v>125</v>
      </c>
      <c r="H691" s="10" t="s">
        <v>2</v>
      </c>
      <c r="I691" s="11">
        <v>20369.198922425272</v>
      </c>
      <c r="J691" s="11">
        <v>0</v>
      </c>
      <c r="K691" s="11">
        <v>20369.198922425272</v>
      </c>
      <c r="L691" s="12">
        <v>0</v>
      </c>
      <c r="M691" s="12">
        <v>0</v>
      </c>
      <c r="N691" s="12">
        <v>20369.198922425272</v>
      </c>
      <c r="O691" s="70">
        <f>IF(Table1[[#This Row],[Overall amount]]=0,0,1)</f>
        <v>1</v>
      </c>
      <c r="P691" s="70">
        <f>Table1[[#This Row],[Overall amount]]*Exchange_Rate</f>
        <v>20369.198922425272</v>
      </c>
      <c r="Q691" s="70">
        <f>Table1[[#This Row],[Overall (destination currency)]]*(1+Claims_Inflation)^((Revalue_at_date-Table1[[#This Row],[Loss date]])/365.25)</f>
        <v>26561.1</v>
      </c>
      <c r="R691" s="70">
        <f>INT(Table1[[#This Row],[Reporting date]])-INT(Table1[[#This Row],[Loss date]])</f>
        <v>0</v>
      </c>
      <c r="S691" s="69" t="s">
        <v>9</v>
      </c>
      <c r="T691" s="70">
        <f>VLOOKUP(Table1[[#This Row],[Policy Year]],exposure_table,3,FALSE)</f>
        <v>837.11513600000012</v>
      </c>
      <c r="U691" s="17">
        <f>IF(MONTH(Table1[[#This Row],[Reporting date]])&lt;Policy_Inception_Month,YEAR(Table1[[#This Row],[Reporting date]])-1,YEAR(Table1[[#This Row],[Reporting date]]))</f>
        <v>2010</v>
      </c>
      <c r="V691" s="17">
        <f>Table1[[#This Row],[Reporting year]]-Table1[[#This Row],[Policy Year]]</f>
        <v>0</v>
      </c>
      <c r="W691" s="17">
        <f>INT(Table1[[#This Row],[Reporting date]])-INT(Table1[[#This Row],[Loss date]])</f>
        <v>0</v>
      </c>
      <c r="X691" s="17">
        <f>INT((YEAR(Table1[[#This Row],[Loss date]])*12+MONTH(Table1[[#This Row],[Loss date]])-Earliest_Month)/4)</f>
        <v>15</v>
      </c>
      <c r="Y691" s="17">
        <f>INT((YEAR(Table1[[#This Row],[Reporting date]])*12+MONTH(Table1[[#This Row],[Reporting date]])-Earliest_Month)/4)</f>
        <v>15</v>
      </c>
      <c r="Z691" s="17">
        <f>Table1[[#This Row],[Reporting third]]-Table1[[#This Row],[Policy third]]</f>
        <v>0</v>
      </c>
      <c r="AA691" s="71">
        <f>IF(Table1[[#This Row],[Overall amount]]=0,"N/A",Table1[[#This Row],[Outstanding]]/Table1[[#This Row],[Overall amount]])</f>
        <v>0</v>
      </c>
      <c r="AB691" s="17">
        <f>IF(MONTH(Table1[[#This Row],[Loss date]])&lt;Pol_Inc_Month_Shifted,YEAR(Table1[[#This Row],[Loss date]])-1,YEAR(Table1[[#This Row],[Loss date]]))</f>
        <v>2009</v>
      </c>
      <c r="AC691" s="17">
        <f>IF(MONTH(Table1[[#This Row],[Reporting date]])&lt;Pol_Inc_Month_Shifted,YEAR(Table1[[#This Row],[Reporting date]])-1,YEAR(Table1[[#This Row],[Reporting date]]))</f>
        <v>2009</v>
      </c>
      <c r="AD691" s="17">
        <f>Table1[[#This Row],[Reporting year (shifted)]]-Table1[[#This Row],[Policy Year (shifted)]]</f>
        <v>0</v>
      </c>
    </row>
    <row r="692" spans="1:30" ht="13.9">
      <c r="A692" s="8" t="s">
        <v>2462</v>
      </c>
      <c r="B692" s="8" t="s">
        <v>744</v>
      </c>
      <c r="C692" s="8" t="s">
        <v>123</v>
      </c>
      <c r="D692" s="9">
        <v>39158</v>
      </c>
      <c r="E692" s="9">
        <v>40323</v>
      </c>
      <c r="F692" s="17">
        <f>IF(MONTH(Table1[[#This Row],[Loss date]])&lt;Policy_Inception_Month,YEAR(Table1[[#This Row],[Loss date]])-1,YEAR(Table1[[#This Row],[Loss date]]))</f>
        <v>2006</v>
      </c>
      <c r="G692" s="10" t="s">
        <v>125</v>
      </c>
      <c r="H692" s="10" t="s">
        <v>2</v>
      </c>
      <c r="I692" s="11">
        <v>2324.239197700032</v>
      </c>
      <c r="J692" s="11">
        <v>0</v>
      </c>
      <c r="K692" s="11">
        <v>2324.239197700032</v>
      </c>
      <c r="L692" s="12">
        <v>0</v>
      </c>
      <c r="M692" s="12">
        <v>0</v>
      </c>
      <c r="N692" s="12">
        <v>2324.239197700032</v>
      </c>
      <c r="O692" s="70">
        <f>IF(Table1[[#This Row],[Overall amount]]=0,0,1)</f>
        <v>1</v>
      </c>
      <c r="P692" s="70">
        <f>Table1[[#This Row],[Overall amount]]*Exchange_Rate</f>
        <v>2324.239197700032</v>
      </c>
      <c r="Q692" s="70">
        <f>Table1[[#This Row],[Overall (destination currency)]]*(1+Claims_Inflation)^((Revalue_at_date-Table1[[#This Row],[Loss date]])/365.25)</f>
        <v>3525.996000000001</v>
      </c>
      <c r="R692" s="70">
        <f>INT(Table1[[#This Row],[Reporting date]])-INT(Table1[[#This Row],[Loss date]])</f>
        <v>1165</v>
      </c>
      <c r="S692" s="69" t="s">
        <v>9</v>
      </c>
      <c r="T692" s="70">
        <f>VLOOKUP(Table1[[#This Row],[Policy Year]],exposure_table,3,FALSE)</f>
        <v>483.32023209000977</v>
      </c>
      <c r="U692" s="17">
        <f>IF(MONTH(Table1[[#This Row],[Reporting date]])&lt;Policy_Inception_Month,YEAR(Table1[[#This Row],[Reporting date]])-1,YEAR(Table1[[#This Row],[Reporting date]]))</f>
        <v>2010</v>
      </c>
      <c r="V692" s="17">
        <f>Table1[[#This Row],[Reporting year]]-Table1[[#This Row],[Policy Year]]</f>
        <v>4</v>
      </c>
      <c r="W692" s="17">
        <f>INT(Table1[[#This Row],[Reporting date]])-INT(Table1[[#This Row],[Loss date]])</f>
        <v>1165</v>
      </c>
      <c r="X692" s="17">
        <f>INT((YEAR(Table1[[#This Row],[Loss date]])*12+MONTH(Table1[[#This Row],[Loss date]])-Earliest_Month)/4)</f>
        <v>5</v>
      </c>
      <c r="Y692" s="17">
        <f>INT((YEAR(Table1[[#This Row],[Reporting date]])*12+MONTH(Table1[[#This Row],[Reporting date]])-Earliest_Month)/4)</f>
        <v>15</v>
      </c>
      <c r="Z692" s="17">
        <f>Table1[[#This Row],[Reporting third]]-Table1[[#This Row],[Policy third]]</f>
        <v>10</v>
      </c>
      <c r="AA692" s="71">
        <f>IF(Table1[[#This Row],[Overall amount]]=0,"N/A",Table1[[#This Row],[Outstanding]]/Table1[[#This Row],[Overall amount]])</f>
        <v>0</v>
      </c>
      <c r="AB692" s="17">
        <f>IF(MONTH(Table1[[#This Row],[Loss date]])&lt;Pol_Inc_Month_Shifted,YEAR(Table1[[#This Row],[Loss date]])-1,YEAR(Table1[[#This Row],[Loss date]]))</f>
        <v>2006</v>
      </c>
      <c r="AC692" s="17">
        <f>IF(MONTH(Table1[[#This Row],[Reporting date]])&lt;Pol_Inc_Month_Shifted,YEAR(Table1[[#This Row],[Reporting date]])-1,YEAR(Table1[[#This Row],[Reporting date]]))</f>
        <v>2009</v>
      </c>
      <c r="AD692" s="17">
        <f>Table1[[#This Row],[Reporting year (shifted)]]-Table1[[#This Row],[Policy Year (shifted)]]</f>
        <v>3</v>
      </c>
    </row>
    <row r="693" spans="1:30" ht="13.9">
      <c r="A693" s="8" t="s">
        <v>2463</v>
      </c>
      <c r="B693" s="8" t="s">
        <v>745</v>
      </c>
      <c r="C693" s="8" t="s">
        <v>123</v>
      </c>
      <c r="D693" s="9">
        <v>39769</v>
      </c>
      <c r="E693" s="9">
        <v>40335</v>
      </c>
      <c r="F693" s="17">
        <f>IF(MONTH(Table1[[#This Row],[Loss date]])&lt;Policy_Inception_Month,YEAR(Table1[[#This Row],[Loss date]])-1,YEAR(Table1[[#This Row],[Loss date]]))</f>
        <v>2008</v>
      </c>
      <c r="G693" s="10" t="s">
        <v>125</v>
      </c>
      <c r="H693" s="10" t="s">
        <v>2</v>
      </c>
      <c r="I693" s="11">
        <v>1393.9839208271228</v>
      </c>
      <c r="J693" s="11">
        <v>0</v>
      </c>
      <c r="K693" s="11">
        <v>1393.9839208271228</v>
      </c>
      <c r="L693" s="12">
        <v>0</v>
      </c>
      <c r="M693" s="12">
        <v>0</v>
      </c>
      <c r="N693" s="12">
        <v>1393.9839208271228</v>
      </c>
      <c r="O693" s="70">
        <f>IF(Table1[[#This Row],[Overall amount]]=0,0,1)</f>
        <v>1</v>
      </c>
      <c r="P693" s="70">
        <f>Table1[[#This Row],[Overall amount]]*Exchange_Rate</f>
        <v>1393.9839208271228</v>
      </c>
      <c r="Q693" s="70">
        <f>Table1[[#This Row],[Overall (destination currency)]]*(1+Claims_Inflation)^((Revalue_at_date-Table1[[#This Row],[Loss date]])/365.25)</f>
        <v>1949.0039999999997</v>
      </c>
      <c r="R693" s="70">
        <f>INT(Table1[[#This Row],[Reporting date]])-INT(Table1[[#This Row],[Loss date]])</f>
        <v>566</v>
      </c>
      <c r="S693" s="69" t="s">
        <v>9</v>
      </c>
      <c r="T693" s="70">
        <f>VLOOKUP(Table1[[#This Row],[Policy Year]],exposure_table,3,FALSE)</f>
        <v>601.98581780480015</v>
      </c>
      <c r="U693" s="17">
        <f>IF(MONTH(Table1[[#This Row],[Reporting date]])&lt;Policy_Inception_Month,YEAR(Table1[[#This Row],[Reporting date]])-1,YEAR(Table1[[#This Row],[Reporting date]]))</f>
        <v>2010</v>
      </c>
      <c r="V693" s="17">
        <f>Table1[[#This Row],[Reporting year]]-Table1[[#This Row],[Policy Year]]</f>
        <v>2</v>
      </c>
      <c r="W693" s="17">
        <f>INT(Table1[[#This Row],[Reporting date]])-INT(Table1[[#This Row],[Loss date]])</f>
        <v>566</v>
      </c>
      <c r="X693" s="17">
        <f>INT((YEAR(Table1[[#This Row],[Loss date]])*12+MONTH(Table1[[#This Row],[Loss date]])-Earliest_Month)/4)</f>
        <v>10</v>
      </c>
      <c r="Y693" s="17">
        <f>INT((YEAR(Table1[[#This Row],[Reporting date]])*12+MONTH(Table1[[#This Row],[Reporting date]])-Earliest_Month)/4)</f>
        <v>15</v>
      </c>
      <c r="Z693" s="17">
        <f>Table1[[#This Row],[Reporting third]]-Table1[[#This Row],[Policy third]]</f>
        <v>5</v>
      </c>
      <c r="AA693" s="71">
        <f>IF(Table1[[#This Row],[Overall amount]]=0,"N/A",Table1[[#This Row],[Outstanding]]/Table1[[#This Row],[Overall amount]])</f>
        <v>0</v>
      </c>
      <c r="AB693" s="17">
        <f>IF(MONTH(Table1[[#This Row],[Loss date]])&lt;Pol_Inc_Month_Shifted,YEAR(Table1[[#This Row],[Loss date]])-1,YEAR(Table1[[#This Row],[Loss date]]))</f>
        <v>2007</v>
      </c>
      <c r="AC693" s="17">
        <f>IF(MONTH(Table1[[#This Row],[Reporting date]])&lt;Pol_Inc_Month_Shifted,YEAR(Table1[[#This Row],[Reporting date]])-1,YEAR(Table1[[#This Row],[Reporting date]]))</f>
        <v>2009</v>
      </c>
      <c r="AD693" s="17">
        <f>Table1[[#This Row],[Reporting year (shifted)]]-Table1[[#This Row],[Policy Year (shifted)]]</f>
        <v>2</v>
      </c>
    </row>
    <row r="694" spans="1:30" ht="13.9">
      <c r="A694" s="8" t="s">
        <v>2464</v>
      </c>
      <c r="B694" s="8" t="s">
        <v>746</v>
      </c>
      <c r="C694" s="8" t="s">
        <v>123</v>
      </c>
      <c r="D694" s="9">
        <v>40382</v>
      </c>
      <c r="E694" s="9">
        <v>40662</v>
      </c>
      <c r="F694" s="17">
        <f>IF(MONTH(Table1[[#This Row],[Loss date]])&lt;Policy_Inception_Month,YEAR(Table1[[#This Row],[Loss date]])-1,YEAR(Table1[[#This Row],[Loss date]]))</f>
        <v>2010</v>
      </c>
      <c r="G694" s="10" t="s">
        <v>125</v>
      </c>
      <c r="H694" s="10" t="s">
        <v>2</v>
      </c>
      <c r="I694" s="11">
        <v>24127.551416362603</v>
      </c>
      <c r="J694" s="11">
        <v>0</v>
      </c>
      <c r="K694" s="11">
        <v>24127.551416362603</v>
      </c>
      <c r="L694" s="12">
        <v>0</v>
      </c>
      <c r="M694" s="12">
        <v>0</v>
      </c>
      <c r="N694" s="12">
        <v>24127.551416362603</v>
      </c>
      <c r="O694" s="70">
        <f>IF(Table1[[#This Row],[Overall amount]]=0,0,1)</f>
        <v>1</v>
      </c>
      <c r="P694" s="70">
        <f>Table1[[#This Row],[Overall amount]]*Exchange_Rate</f>
        <v>24127.551416362603</v>
      </c>
      <c r="Q694" s="70">
        <f>Table1[[#This Row],[Overall (destination currency)]]*(1+Claims_Inflation)^((Revalue_at_date-Table1[[#This Row],[Loss date]])/365.25)</f>
        <v>31081.800000000003</v>
      </c>
      <c r="R694" s="70">
        <f>INT(Table1[[#This Row],[Reporting date]])-INT(Table1[[#This Row],[Loss date]])</f>
        <v>280</v>
      </c>
      <c r="S694" s="69" t="s">
        <v>9</v>
      </c>
      <c r="T694" s="70">
        <f>VLOOKUP(Table1[[#This Row],[Policy Year]],exposure_table,3,FALSE)</f>
        <v>837.11513600000012</v>
      </c>
      <c r="U694" s="17">
        <f>IF(MONTH(Table1[[#This Row],[Reporting date]])&lt;Policy_Inception_Month,YEAR(Table1[[#This Row],[Reporting date]])-1,YEAR(Table1[[#This Row],[Reporting date]]))</f>
        <v>2011</v>
      </c>
      <c r="V694" s="17">
        <f>Table1[[#This Row],[Reporting year]]-Table1[[#This Row],[Policy Year]]</f>
        <v>1</v>
      </c>
      <c r="W694" s="17">
        <f>INT(Table1[[#This Row],[Reporting date]])-INT(Table1[[#This Row],[Loss date]])</f>
        <v>280</v>
      </c>
      <c r="X694" s="17">
        <f>INT((YEAR(Table1[[#This Row],[Loss date]])*12+MONTH(Table1[[#This Row],[Loss date]])-Earliest_Month)/4)</f>
        <v>15</v>
      </c>
      <c r="Y694" s="17">
        <f>INT((YEAR(Table1[[#This Row],[Reporting date]])*12+MONTH(Table1[[#This Row],[Reporting date]])-Earliest_Month)/4)</f>
        <v>18</v>
      </c>
      <c r="Z694" s="17">
        <f>Table1[[#This Row],[Reporting third]]-Table1[[#This Row],[Policy third]]</f>
        <v>3</v>
      </c>
      <c r="AA694" s="71">
        <f>IF(Table1[[#This Row],[Overall amount]]=0,"N/A",Table1[[#This Row],[Outstanding]]/Table1[[#This Row],[Overall amount]])</f>
        <v>0</v>
      </c>
      <c r="AB694" s="17">
        <f>IF(MONTH(Table1[[#This Row],[Loss date]])&lt;Pol_Inc_Month_Shifted,YEAR(Table1[[#This Row],[Loss date]])-1,YEAR(Table1[[#This Row],[Loss date]]))</f>
        <v>2009</v>
      </c>
      <c r="AC694" s="17">
        <f>IF(MONTH(Table1[[#This Row],[Reporting date]])&lt;Pol_Inc_Month_Shifted,YEAR(Table1[[#This Row],[Reporting date]])-1,YEAR(Table1[[#This Row],[Reporting date]]))</f>
        <v>2010</v>
      </c>
      <c r="AD694" s="17">
        <f>Table1[[#This Row],[Reporting year (shifted)]]-Table1[[#This Row],[Policy Year (shifted)]]</f>
        <v>1</v>
      </c>
    </row>
    <row r="695" spans="1:30" ht="13.9">
      <c r="A695" s="8" t="s">
        <v>2465</v>
      </c>
      <c r="B695" s="8" t="s">
        <v>747</v>
      </c>
      <c r="C695" s="8" t="s">
        <v>123</v>
      </c>
      <c r="D695" s="9">
        <v>40283</v>
      </c>
      <c r="E695" s="9">
        <v>40455</v>
      </c>
      <c r="F695" s="17">
        <f>IF(MONTH(Table1[[#This Row],[Loss date]])&lt;Policy_Inception_Month,YEAR(Table1[[#This Row],[Loss date]])-1,YEAR(Table1[[#This Row],[Loss date]]))</f>
        <v>2010</v>
      </c>
      <c r="G695" s="10" t="s">
        <v>125</v>
      </c>
      <c r="H695" s="10" t="s">
        <v>2</v>
      </c>
      <c r="I695" s="11">
        <v>653.14426183743899</v>
      </c>
      <c r="J695" s="11">
        <v>0</v>
      </c>
      <c r="K695" s="11">
        <v>653.14426183743899</v>
      </c>
      <c r="L695" s="12">
        <v>0</v>
      </c>
      <c r="M695" s="12">
        <v>0</v>
      </c>
      <c r="N695" s="12">
        <v>653.14426183743899</v>
      </c>
      <c r="O695" s="70">
        <f>IF(Table1[[#This Row],[Overall amount]]=0,0,1)</f>
        <v>1</v>
      </c>
      <c r="P695" s="70">
        <f>Table1[[#This Row],[Overall amount]]*Exchange_Rate</f>
        <v>653.14426183743899</v>
      </c>
      <c r="Q695" s="70">
        <f>Table1[[#This Row],[Overall (destination currency)]]*(1+Claims_Inflation)^((Revalue_at_date-Table1[[#This Row],[Loss date]])/365.25)</f>
        <v>852.6</v>
      </c>
      <c r="R695" s="70">
        <f>INT(Table1[[#This Row],[Reporting date]])-INT(Table1[[#This Row],[Loss date]])</f>
        <v>172</v>
      </c>
      <c r="S695" s="69" t="s">
        <v>9</v>
      </c>
      <c r="T695" s="70">
        <f>VLOOKUP(Table1[[#This Row],[Policy Year]],exposure_table,3,FALSE)</f>
        <v>837.11513600000012</v>
      </c>
      <c r="U695" s="17">
        <f>IF(MONTH(Table1[[#This Row],[Reporting date]])&lt;Policy_Inception_Month,YEAR(Table1[[#This Row],[Reporting date]])-1,YEAR(Table1[[#This Row],[Reporting date]]))</f>
        <v>2010</v>
      </c>
      <c r="V695" s="17">
        <f>Table1[[#This Row],[Reporting year]]-Table1[[#This Row],[Policy Year]]</f>
        <v>0</v>
      </c>
      <c r="W695" s="17">
        <f>INT(Table1[[#This Row],[Reporting date]])-INT(Table1[[#This Row],[Loss date]])</f>
        <v>172</v>
      </c>
      <c r="X695" s="17">
        <f>INT((YEAR(Table1[[#This Row],[Loss date]])*12+MONTH(Table1[[#This Row],[Loss date]])-Earliest_Month)/4)</f>
        <v>15</v>
      </c>
      <c r="Y695" s="17">
        <f>INT((YEAR(Table1[[#This Row],[Reporting date]])*12+MONTH(Table1[[#This Row],[Reporting date]])-Earliest_Month)/4)</f>
        <v>16</v>
      </c>
      <c r="Z695" s="17">
        <f>Table1[[#This Row],[Reporting third]]-Table1[[#This Row],[Policy third]]</f>
        <v>1</v>
      </c>
      <c r="AA695" s="71">
        <f>IF(Table1[[#This Row],[Overall amount]]=0,"N/A",Table1[[#This Row],[Outstanding]]/Table1[[#This Row],[Overall amount]])</f>
        <v>0</v>
      </c>
      <c r="AB695" s="17">
        <f>IF(MONTH(Table1[[#This Row],[Loss date]])&lt;Pol_Inc_Month_Shifted,YEAR(Table1[[#This Row],[Loss date]])-1,YEAR(Table1[[#This Row],[Loss date]]))</f>
        <v>2009</v>
      </c>
      <c r="AC695" s="17">
        <f>IF(MONTH(Table1[[#This Row],[Reporting date]])&lt;Pol_Inc_Month_Shifted,YEAR(Table1[[#This Row],[Reporting date]])-1,YEAR(Table1[[#This Row],[Reporting date]]))</f>
        <v>2009</v>
      </c>
      <c r="AD695" s="17">
        <f>Table1[[#This Row],[Reporting year (shifted)]]-Table1[[#This Row],[Policy Year (shifted)]]</f>
        <v>0</v>
      </c>
    </row>
    <row r="696" spans="1:30" ht="13.9">
      <c r="A696" s="8" t="s">
        <v>2466</v>
      </c>
      <c r="B696" s="8" t="s">
        <v>748</v>
      </c>
      <c r="C696" s="8" t="s">
        <v>123</v>
      </c>
      <c r="D696" s="9">
        <v>39960</v>
      </c>
      <c r="E696" s="9">
        <v>40505</v>
      </c>
      <c r="F696" s="17">
        <f>IF(MONTH(Table1[[#This Row],[Loss date]])&lt;Policy_Inception_Month,YEAR(Table1[[#This Row],[Loss date]])-1,YEAR(Table1[[#This Row],[Loss date]]))</f>
        <v>2009</v>
      </c>
      <c r="G696" s="10" t="s">
        <v>131</v>
      </c>
      <c r="H696" s="10" t="s">
        <v>2</v>
      </c>
      <c r="I696" s="11">
        <v>612.79615146225456</v>
      </c>
      <c r="J696" s="11">
        <v>0</v>
      </c>
      <c r="K696" s="11">
        <v>612.79615146225456</v>
      </c>
      <c r="L696" s="12">
        <v>0</v>
      </c>
      <c r="M696" s="12">
        <v>41.057342147971056</v>
      </c>
      <c r="N696" s="12">
        <v>571.73880931428346</v>
      </c>
      <c r="O696" s="70">
        <f>IF(Table1[[#This Row],[Overall amount]]=0,0,1)</f>
        <v>1</v>
      </c>
      <c r="P696" s="70">
        <f>Table1[[#This Row],[Overall amount]]*Exchange_Rate</f>
        <v>571.73880931428346</v>
      </c>
      <c r="Q696" s="70">
        <f>Table1[[#This Row],[Overall (destination currency)]]*(1+Claims_Inflation)^((Revalue_at_date-Table1[[#This Row],[Loss date]])/365.25)</f>
        <v>779.24159999999995</v>
      </c>
      <c r="R696" s="70">
        <f>INT(Table1[[#This Row],[Reporting date]])-INT(Table1[[#This Row],[Loss date]])</f>
        <v>545</v>
      </c>
      <c r="S696" s="69" t="s">
        <v>9</v>
      </c>
      <c r="T696" s="70">
        <f>VLOOKUP(Table1[[#This Row],[Policy Year]],exposure_table,3,FALSE)</f>
        <v>760.22808576000011</v>
      </c>
      <c r="U696" s="17">
        <f>IF(MONTH(Table1[[#This Row],[Reporting date]])&lt;Policy_Inception_Month,YEAR(Table1[[#This Row],[Reporting date]])-1,YEAR(Table1[[#This Row],[Reporting date]]))</f>
        <v>2010</v>
      </c>
      <c r="V696" s="17">
        <f>Table1[[#This Row],[Reporting year]]-Table1[[#This Row],[Policy Year]]</f>
        <v>1</v>
      </c>
      <c r="W696" s="17">
        <f>INT(Table1[[#This Row],[Reporting date]])-INT(Table1[[#This Row],[Loss date]])</f>
        <v>545</v>
      </c>
      <c r="X696" s="17">
        <f>INT((YEAR(Table1[[#This Row],[Loss date]])*12+MONTH(Table1[[#This Row],[Loss date]])-Earliest_Month)/4)</f>
        <v>12</v>
      </c>
      <c r="Y696" s="17">
        <f>INT((YEAR(Table1[[#This Row],[Reporting date]])*12+MONTH(Table1[[#This Row],[Reporting date]])-Earliest_Month)/4)</f>
        <v>16</v>
      </c>
      <c r="Z696" s="17">
        <f>Table1[[#This Row],[Reporting third]]-Table1[[#This Row],[Policy third]]</f>
        <v>4</v>
      </c>
      <c r="AA696" s="71">
        <f>IF(Table1[[#This Row],[Overall amount]]=0,"N/A",Table1[[#This Row],[Outstanding]]/Table1[[#This Row],[Overall amount]])</f>
        <v>0</v>
      </c>
      <c r="AB696" s="17">
        <f>IF(MONTH(Table1[[#This Row],[Loss date]])&lt;Pol_Inc_Month_Shifted,YEAR(Table1[[#This Row],[Loss date]])-1,YEAR(Table1[[#This Row],[Loss date]]))</f>
        <v>2008</v>
      </c>
      <c r="AC696" s="17">
        <f>IF(MONTH(Table1[[#This Row],[Reporting date]])&lt;Pol_Inc_Month_Shifted,YEAR(Table1[[#This Row],[Reporting date]])-1,YEAR(Table1[[#This Row],[Reporting date]]))</f>
        <v>2009</v>
      </c>
      <c r="AD696" s="17">
        <f>Table1[[#This Row],[Reporting year (shifted)]]-Table1[[#This Row],[Policy Year (shifted)]]</f>
        <v>1</v>
      </c>
    </row>
    <row r="697" spans="1:30" ht="13.9">
      <c r="A697" s="8" t="s">
        <v>2467</v>
      </c>
      <c r="B697" s="8" t="s">
        <v>749</v>
      </c>
      <c r="C697" s="8" t="s">
        <v>123</v>
      </c>
      <c r="D697" s="9">
        <v>40217</v>
      </c>
      <c r="E697" s="9">
        <v>40424</v>
      </c>
      <c r="F697" s="17">
        <f>IF(MONTH(Table1[[#This Row],[Loss date]])&lt;Policy_Inception_Month,YEAR(Table1[[#This Row],[Loss date]])-1,YEAR(Table1[[#This Row],[Loss date]]))</f>
        <v>2009</v>
      </c>
      <c r="G697" s="10" t="s">
        <v>125</v>
      </c>
      <c r="H697" s="10" t="s">
        <v>2</v>
      </c>
      <c r="I697" s="11">
        <v>1268.3975706625044</v>
      </c>
      <c r="J697" s="11">
        <v>0</v>
      </c>
      <c r="K697" s="11">
        <v>1268.3975706625044</v>
      </c>
      <c r="L697" s="12">
        <v>0</v>
      </c>
      <c r="M697" s="12">
        <v>0</v>
      </c>
      <c r="N697" s="12">
        <v>1268.3975706625044</v>
      </c>
      <c r="O697" s="70">
        <f>IF(Table1[[#This Row],[Overall amount]]=0,0,1)</f>
        <v>1</v>
      </c>
      <c r="P697" s="70">
        <f>Table1[[#This Row],[Overall amount]]*Exchange_Rate</f>
        <v>1268.3975706625044</v>
      </c>
      <c r="Q697" s="70">
        <f>Table1[[#This Row],[Overall (destination currency)]]*(1+Claims_Inflation)^((Revalue_at_date-Table1[[#This Row],[Loss date]])/365.25)</f>
        <v>1670.3999999999999</v>
      </c>
      <c r="R697" s="70">
        <f>INT(Table1[[#This Row],[Reporting date]])-INT(Table1[[#This Row],[Loss date]])</f>
        <v>207</v>
      </c>
      <c r="S697" s="69" t="s">
        <v>9</v>
      </c>
      <c r="T697" s="70">
        <f>VLOOKUP(Table1[[#This Row],[Policy Year]],exposure_table,3,FALSE)</f>
        <v>760.22808576000011</v>
      </c>
      <c r="U697" s="17">
        <f>IF(MONTH(Table1[[#This Row],[Reporting date]])&lt;Policy_Inception_Month,YEAR(Table1[[#This Row],[Reporting date]])-1,YEAR(Table1[[#This Row],[Reporting date]]))</f>
        <v>2010</v>
      </c>
      <c r="V697" s="17">
        <f>Table1[[#This Row],[Reporting year]]-Table1[[#This Row],[Policy Year]]</f>
        <v>1</v>
      </c>
      <c r="W697" s="17">
        <f>INT(Table1[[#This Row],[Reporting date]])-INT(Table1[[#This Row],[Loss date]])</f>
        <v>207</v>
      </c>
      <c r="X697" s="17">
        <f>INT((YEAR(Table1[[#This Row],[Loss date]])*12+MONTH(Table1[[#This Row],[Loss date]])-Earliest_Month)/4)</f>
        <v>14</v>
      </c>
      <c r="Y697" s="17">
        <f>INT((YEAR(Table1[[#This Row],[Reporting date]])*12+MONTH(Table1[[#This Row],[Reporting date]])-Earliest_Month)/4)</f>
        <v>16</v>
      </c>
      <c r="Z697" s="17">
        <f>Table1[[#This Row],[Reporting third]]-Table1[[#This Row],[Policy third]]</f>
        <v>2</v>
      </c>
      <c r="AA697" s="71">
        <f>IF(Table1[[#This Row],[Overall amount]]=0,"N/A",Table1[[#This Row],[Outstanding]]/Table1[[#This Row],[Overall amount]])</f>
        <v>0</v>
      </c>
      <c r="AB697" s="17">
        <f>IF(MONTH(Table1[[#This Row],[Loss date]])&lt;Pol_Inc_Month_Shifted,YEAR(Table1[[#This Row],[Loss date]])-1,YEAR(Table1[[#This Row],[Loss date]]))</f>
        <v>2009</v>
      </c>
      <c r="AC697" s="17">
        <f>IF(MONTH(Table1[[#This Row],[Reporting date]])&lt;Pol_Inc_Month_Shifted,YEAR(Table1[[#This Row],[Reporting date]])-1,YEAR(Table1[[#This Row],[Reporting date]]))</f>
        <v>2009</v>
      </c>
      <c r="AD697" s="17">
        <f>Table1[[#This Row],[Reporting year (shifted)]]-Table1[[#This Row],[Policy Year (shifted)]]</f>
        <v>0</v>
      </c>
    </row>
    <row r="698" spans="1:30" ht="13.9">
      <c r="A698" s="8" t="s">
        <v>2468</v>
      </c>
      <c r="B698" s="8" t="s">
        <v>750</v>
      </c>
      <c r="C698" s="8" t="s">
        <v>123</v>
      </c>
      <c r="D698" s="9">
        <v>40552</v>
      </c>
      <c r="E698" s="9">
        <v>40567</v>
      </c>
      <c r="F698" s="17">
        <f>IF(MONTH(Table1[[#This Row],[Loss date]])&lt;Policy_Inception_Month,YEAR(Table1[[#This Row],[Loss date]])-1,YEAR(Table1[[#This Row],[Loss date]]))</f>
        <v>2010</v>
      </c>
      <c r="G698" s="10" t="s">
        <v>125</v>
      </c>
      <c r="H698" s="10" t="s">
        <v>2</v>
      </c>
      <c r="I698" s="11">
        <v>1367.8981579835665</v>
      </c>
      <c r="J698" s="11">
        <v>0</v>
      </c>
      <c r="K698" s="11">
        <v>1367.8981579835665</v>
      </c>
      <c r="L698" s="12">
        <v>0</v>
      </c>
      <c r="M698" s="12">
        <v>0</v>
      </c>
      <c r="N698" s="12">
        <v>1367.8981579835665</v>
      </c>
      <c r="O698" s="70">
        <f>IF(Table1[[#This Row],[Overall amount]]=0,0,1)</f>
        <v>1</v>
      </c>
      <c r="P698" s="70">
        <f>Table1[[#This Row],[Overall amount]]*Exchange_Rate</f>
        <v>1367.8981579835665</v>
      </c>
      <c r="Q698" s="70">
        <f>Table1[[#This Row],[Overall (destination currency)]]*(1+Claims_Inflation)^((Revalue_at_date-Table1[[#This Row],[Loss date]])/365.25)</f>
        <v>1722.6</v>
      </c>
      <c r="R698" s="70">
        <f>INT(Table1[[#This Row],[Reporting date]])-INT(Table1[[#This Row],[Loss date]])</f>
        <v>15</v>
      </c>
      <c r="S698" s="69" t="s">
        <v>9</v>
      </c>
      <c r="T698" s="70">
        <f>VLOOKUP(Table1[[#This Row],[Policy Year]],exposure_table,3,FALSE)</f>
        <v>837.11513600000012</v>
      </c>
      <c r="U698" s="17">
        <f>IF(MONTH(Table1[[#This Row],[Reporting date]])&lt;Policy_Inception_Month,YEAR(Table1[[#This Row],[Reporting date]])-1,YEAR(Table1[[#This Row],[Reporting date]]))</f>
        <v>2010</v>
      </c>
      <c r="V698" s="17">
        <f>Table1[[#This Row],[Reporting year]]-Table1[[#This Row],[Policy Year]]</f>
        <v>0</v>
      </c>
      <c r="W698" s="17">
        <f>INT(Table1[[#This Row],[Reporting date]])-INT(Table1[[#This Row],[Loss date]])</f>
        <v>15</v>
      </c>
      <c r="X698" s="17">
        <f>INT((YEAR(Table1[[#This Row],[Loss date]])*12+MONTH(Table1[[#This Row],[Loss date]])-Earliest_Month)/4)</f>
        <v>17</v>
      </c>
      <c r="Y698" s="17">
        <f>INT((YEAR(Table1[[#This Row],[Reporting date]])*12+MONTH(Table1[[#This Row],[Reporting date]])-Earliest_Month)/4)</f>
        <v>17</v>
      </c>
      <c r="Z698" s="17">
        <f>Table1[[#This Row],[Reporting third]]-Table1[[#This Row],[Policy third]]</f>
        <v>0</v>
      </c>
      <c r="AA698" s="71">
        <f>IF(Table1[[#This Row],[Overall amount]]=0,"N/A",Table1[[#This Row],[Outstanding]]/Table1[[#This Row],[Overall amount]])</f>
        <v>0</v>
      </c>
      <c r="AB698" s="17">
        <f>IF(MONTH(Table1[[#This Row],[Loss date]])&lt;Pol_Inc_Month_Shifted,YEAR(Table1[[#This Row],[Loss date]])-1,YEAR(Table1[[#This Row],[Loss date]]))</f>
        <v>2010</v>
      </c>
      <c r="AC698" s="17">
        <f>IF(MONTH(Table1[[#This Row],[Reporting date]])&lt;Pol_Inc_Month_Shifted,YEAR(Table1[[#This Row],[Reporting date]])-1,YEAR(Table1[[#This Row],[Reporting date]]))</f>
        <v>2010</v>
      </c>
      <c r="AD698" s="17">
        <f>Table1[[#This Row],[Reporting year (shifted)]]-Table1[[#This Row],[Policy Year (shifted)]]</f>
        <v>0</v>
      </c>
    </row>
    <row r="699" spans="1:30" ht="13.9">
      <c r="A699" s="8" t="s">
        <v>2469</v>
      </c>
      <c r="B699" s="8" t="s">
        <v>751</v>
      </c>
      <c r="C699" s="8" t="s">
        <v>123</v>
      </c>
      <c r="D699" s="9">
        <v>40602</v>
      </c>
      <c r="E699" s="9">
        <v>40614</v>
      </c>
      <c r="F699" s="17">
        <f>IF(MONTH(Table1[[#This Row],[Loss date]])&lt;Policy_Inception_Month,YEAR(Table1[[#This Row],[Loss date]])-1,YEAR(Table1[[#This Row],[Loss date]]))</f>
        <v>2010</v>
      </c>
      <c r="G699" s="10" t="s">
        <v>125</v>
      </c>
      <c r="H699" s="10" t="s">
        <v>2</v>
      </c>
      <c r="I699" s="11">
        <v>8514.1081009255013</v>
      </c>
      <c r="J699" s="11">
        <v>0</v>
      </c>
      <c r="K699" s="11">
        <v>8514.1081009255013</v>
      </c>
      <c r="L699" s="12">
        <v>0</v>
      </c>
      <c r="M699" s="12">
        <v>0</v>
      </c>
      <c r="N699" s="12">
        <v>8514.1081009255013</v>
      </c>
      <c r="O699" s="70">
        <f>IF(Table1[[#This Row],[Overall amount]]=0,0,1)</f>
        <v>1</v>
      </c>
      <c r="P699" s="70">
        <f>Table1[[#This Row],[Overall amount]]*Exchange_Rate</f>
        <v>8514.1081009255013</v>
      </c>
      <c r="Q699" s="70">
        <f>Table1[[#This Row],[Overall (destination currency)]]*(1+Claims_Inflation)^((Revalue_at_date-Table1[[#This Row],[Loss date]])/365.25)</f>
        <v>10650.48</v>
      </c>
      <c r="R699" s="70">
        <f>INT(Table1[[#This Row],[Reporting date]])-INT(Table1[[#This Row],[Loss date]])</f>
        <v>12</v>
      </c>
      <c r="S699" s="69" t="s">
        <v>9</v>
      </c>
      <c r="T699" s="70">
        <f>VLOOKUP(Table1[[#This Row],[Policy Year]],exposure_table,3,FALSE)</f>
        <v>837.11513600000012</v>
      </c>
      <c r="U699" s="17">
        <f>IF(MONTH(Table1[[#This Row],[Reporting date]])&lt;Policy_Inception_Month,YEAR(Table1[[#This Row],[Reporting date]])-1,YEAR(Table1[[#This Row],[Reporting date]]))</f>
        <v>2010</v>
      </c>
      <c r="V699" s="17">
        <f>Table1[[#This Row],[Reporting year]]-Table1[[#This Row],[Policy Year]]</f>
        <v>0</v>
      </c>
      <c r="W699" s="17">
        <f>INT(Table1[[#This Row],[Reporting date]])-INT(Table1[[#This Row],[Loss date]])</f>
        <v>12</v>
      </c>
      <c r="X699" s="17">
        <f>INT((YEAR(Table1[[#This Row],[Loss date]])*12+MONTH(Table1[[#This Row],[Loss date]])-Earliest_Month)/4)</f>
        <v>17</v>
      </c>
      <c r="Y699" s="17">
        <f>INT((YEAR(Table1[[#This Row],[Reporting date]])*12+MONTH(Table1[[#This Row],[Reporting date]])-Earliest_Month)/4)</f>
        <v>17</v>
      </c>
      <c r="Z699" s="17">
        <f>Table1[[#This Row],[Reporting third]]-Table1[[#This Row],[Policy third]]</f>
        <v>0</v>
      </c>
      <c r="AA699" s="71">
        <f>IF(Table1[[#This Row],[Overall amount]]=0,"N/A",Table1[[#This Row],[Outstanding]]/Table1[[#This Row],[Overall amount]])</f>
        <v>0</v>
      </c>
      <c r="AB699" s="17">
        <f>IF(MONTH(Table1[[#This Row],[Loss date]])&lt;Pol_Inc_Month_Shifted,YEAR(Table1[[#This Row],[Loss date]])-1,YEAR(Table1[[#This Row],[Loss date]]))</f>
        <v>2010</v>
      </c>
      <c r="AC699" s="17">
        <f>IF(MONTH(Table1[[#This Row],[Reporting date]])&lt;Pol_Inc_Month_Shifted,YEAR(Table1[[#This Row],[Reporting date]])-1,YEAR(Table1[[#This Row],[Reporting date]]))</f>
        <v>2010</v>
      </c>
      <c r="AD699" s="17">
        <f>Table1[[#This Row],[Reporting year (shifted)]]-Table1[[#This Row],[Policy Year (shifted)]]</f>
        <v>0</v>
      </c>
    </row>
    <row r="700" spans="1:30" ht="13.9">
      <c r="A700" s="8" t="s">
        <v>2470</v>
      </c>
      <c r="B700" s="8" t="s">
        <v>752</v>
      </c>
      <c r="C700" s="8" t="s">
        <v>123</v>
      </c>
      <c r="D700" s="9">
        <v>40608</v>
      </c>
      <c r="E700" s="9">
        <v>40621</v>
      </c>
      <c r="F700" s="17">
        <f>IF(MONTH(Table1[[#This Row],[Loss date]])&lt;Policy_Inception_Month,YEAR(Table1[[#This Row],[Loss date]])-1,YEAR(Table1[[#This Row],[Loss date]]))</f>
        <v>2010</v>
      </c>
      <c r="G700" s="10" t="s">
        <v>125</v>
      </c>
      <c r="H700" s="10" t="s">
        <v>2</v>
      </c>
      <c r="I700" s="11">
        <v>2180.7809503457802</v>
      </c>
      <c r="J700" s="11">
        <v>0</v>
      </c>
      <c r="K700" s="11">
        <v>2180.7809503457802</v>
      </c>
      <c r="L700" s="12">
        <v>0</v>
      </c>
      <c r="M700" s="12">
        <v>0</v>
      </c>
      <c r="N700" s="12">
        <v>2180.7809503457802</v>
      </c>
      <c r="O700" s="70">
        <f>IF(Table1[[#This Row],[Overall amount]]=0,0,1)</f>
        <v>1</v>
      </c>
      <c r="P700" s="70">
        <f>Table1[[#This Row],[Overall amount]]*Exchange_Rate</f>
        <v>2180.7809503457802</v>
      </c>
      <c r="Q700" s="70">
        <f>Table1[[#This Row],[Overall (destination currency)]]*(1+Claims_Inflation)^((Revalue_at_date-Table1[[#This Row],[Loss date]])/365.25)</f>
        <v>2725.7999999999997</v>
      </c>
      <c r="R700" s="70">
        <f>INT(Table1[[#This Row],[Reporting date]])-INT(Table1[[#This Row],[Loss date]])</f>
        <v>13</v>
      </c>
      <c r="S700" s="69" t="s">
        <v>9</v>
      </c>
      <c r="T700" s="70">
        <f>VLOOKUP(Table1[[#This Row],[Policy Year]],exposure_table,3,FALSE)</f>
        <v>837.11513600000012</v>
      </c>
      <c r="U700" s="17">
        <f>IF(MONTH(Table1[[#This Row],[Reporting date]])&lt;Policy_Inception_Month,YEAR(Table1[[#This Row],[Reporting date]])-1,YEAR(Table1[[#This Row],[Reporting date]]))</f>
        <v>2010</v>
      </c>
      <c r="V700" s="17">
        <f>Table1[[#This Row],[Reporting year]]-Table1[[#This Row],[Policy Year]]</f>
        <v>0</v>
      </c>
      <c r="W700" s="17">
        <f>INT(Table1[[#This Row],[Reporting date]])-INT(Table1[[#This Row],[Loss date]])</f>
        <v>13</v>
      </c>
      <c r="X700" s="17">
        <f>INT((YEAR(Table1[[#This Row],[Loss date]])*12+MONTH(Table1[[#This Row],[Loss date]])-Earliest_Month)/4)</f>
        <v>17</v>
      </c>
      <c r="Y700" s="17">
        <f>INT((YEAR(Table1[[#This Row],[Reporting date]])*12+MONTH(Table1[[#This Row],[Reporting date]])-Earliest_Month)/4)</f>
        <v>17</v>
      </c>
      <c r="Z700" s="17">
        <f>Table1[[#This Row],[Reporting third]]-Table1[[#This Row],[Policy third]]</f>
        <v>0</v>
      </c>
      <c r="AA700" s="71">
        <f>IF(Table1[[#This Row],[Overall amount]]=0,"N/A",Table1[[#This Row],[Outstanding]]/Table1[[#This Row],[Overall amount]])</f>
        <v>0</v>
      </c>
      <c r="AB700" s="17">
        <f>IF(MONTH(Table1[[#This Row],[Loss date]])&lt;Pol_Inc_Month_Shifted,YEAR(Table1[[#This Row],[Loss date]])-1,YEAR(Table1[[#This Row],[Loss date]]))</f>
        <v>2010</v>
      </c>
      <c r="AC700" s="17">
        <f>IF(MONTH(Table1[[#This Row],[Reporting date]])&lt;Pol_Inc_Month_Shifted,YEAR(Table1[[#This Row],[Reporting date]])-1,YEAR(Table1[[#This Row],[Reporting date]]))</f>
        <v>2010</v>
      </c>
      <c r="AD700" s="17">
        <f>Table1[[#This Row],[Reporting year (shifted)]]-Table1[[#This Row],[Policy Year (shifted)]]</f>
        <v>0</v>
      </c>
    </row>
    <row r="701" spans="1:30" ht="13.9">
      <c r="A701" s="8" t="s">
        <v>2471</v>
      </c>
      <c r="B701" s="8" t="s">
        <v>753</v>
      </c>
      <c r="C701" s="8" t="s">
        <v>123</v>
      </c>
      <c r="D701" s="9">
        <v>40894</v>
      </c>
      <c r="E701" s="9">
        <v>40937</v>
      </c>
      <c r="F701" s="17">
        <f>IF(MONTH(Table1[[#This Row],[Loss date]])&lt;Policy_Inception_Month,YEAR(Table1[[#This Row],[Loss date]])-1,YEAR(Table1[[#This Row],[Loss date]]))</f>
        <v>2011</v>
      </c>
      <c r="G701" s="10" t="s">
        <v>125</v>
      </c>
      <c r="H701" s="10" t="s">
        <v>2</v>
      </c>
      <c r="I701" s="11">
        <v>650.83601532492162</v>
      </c>
      <c r="J701" s="11">
        <v>0</v>
      </c>
      <c r="K701" s="11">
        <v>650.83601532492162</v>
      </c>
      <c r="L701" s="12">
        <v>0</v>
      </c>
      <c r="M701" s="12">
        <v>0</v>
      </c>
      <c r="N701" s="12">
        <v>650.83601532492162</v>
      </c>
      <c r="O701" s="70">
        <f>IF(Table1[[#This Row],[Overall amount]]=0,0,1)</f>
        <v>1</v>
      </c>
      <c r="P701" s="70">
        <f>Table1[[#This Row],[Overall amount]]*Exchange_Rate</f>
        <v>650.83601532492162</v>
      </c>
      <c r="Q701" s="70">
        <f>Table1[[#This Row],[Overall (destination currency)]]*(1+Claims_Inflation)^((Revalue_at_date-Table1[[#This Row],[Loss date]])/365.25)</f>
        <v>782.99999999999989</v>
      </c>
      <c r="R701" s="70">
        <f>INT(Table1[[#This Row],[Reporting date]])-INT(Table1[[#This Row],[Loss date]])</f>
        <v>43</v>
      </c>
      <c r="S701" s="69" t="s">
        <v>9</v>
      </c>
      <c r="T701" s="70">
        <f>VLOOKUP(Table1[[#This Row],[Policy Year]],exposure_table,3,FALSE)</f>
        <v>870.52680000000009</v>
      </c>
      <c r="U701" s="17">
        <f>IF(MONTH(Table1[[#This Row],[Reporting date]])&lt;Policy_Inception_Month,YEAR(Table1[[#This Row],[Reporting date]])-1,YEAR(Table1[[#This Row],[Reporting date]]))</f>
        <v>2011</v>
      </c>
      <c r="V701" s="17">
        <f>Table1[[#This Row],[Reporting year]]-Table1[[#This Row],[Policy Year]]</f>
        <v>0</v>
      </c>
      <c r="W701" s="17">
        <f>INT(Table1[[#This Row],[Reporting date]])-INT(Table1[[#This Row],[Loss date]])</f>
        <v>43</v>
      </c>
      <c r="X701" s="17">
        <f>INT((YEAR(Table1[[#This Row],[Loss date]])*12+MONTH(Table1[[#This Row],[Loss date]])-Earliest_Month)/4)</f>
        <v>20</v>
      </c>
      <c r="Y701" s="17">
        <f>INT((YEAR(Table1[[#This Row],[Reporting date]])*12+MONTH(Table1[[#This Row],[Reporting date]])-Earliest_Month)/4)</f>
        <v>20</v>
      </c>
      <c r="Z701" s="17">
        <f>Table1[[#This Row],[Reporting third]]-Table1[[#This Row],[Policy third]]</f>
        <v>0</v>
      </c>
      <c r="AA701" s="71">
        <f>IF(Table1[[#This Row],[Overall amount]]=0,"N/A",Table1[[#This Row],[Outstanding]]/Table1[[#This Row],[Overall amount]])</f>
        <v>0</v>
      </c>
      <c r="AB701" s="17">
        <f>IF(MONTH(Table1[[#This Row],[Loss date]])&lt;Pol_Inc_Month_Shifted,YEAR(Table1[[#This Row],[Loss date]])-1,YEAR(Table1[[#This Row],[Loss date]]))</f>
        <v>2011</v>
      </c>
      <c r="AC701" s="17">
        <f>IF(MONTH(Table1[[#This Row],[Reporting date]])&lt;Pol_Inc_Month_Shifted,YEAR(Table1[[#This Row],[Reporting date]])-1,YEAR(Table1[[#This Row],[Reporting date]]))</f>
        <v>2011</v>
      </c>
      <c r="AD701" s="17">
        <f>Table1[[#This Row],[Reporting year (shifted)]]-Table1[[#This Row],[Policy Year (shifted)]]</f>
        <v>0</v>
      </c>
    </row>
    <row r="702" spans="1:30" ht="13.9">
      <c r="A702" s="8" t="s">
        <v>2472</v>
      </c>
      <c r="B702" s="8" t="s">
        <v>754</v>
      </c>
      <c r="C702" s="8" t="s">
        <v>123</v>
      </c>
      <c r="D702" s="9">
        <v>40904</v>
      </c>
      <c r="E702" s="9">
        <v>40904</v>
      </c>
      <c r="F702" s="17">
        <f>IF(MONTH(Table1[[#This Row],[Loss date]])&lt;Policy_Inception_Month,YEAR(Table1[[#This Row],[Loss date]])-1,YEAR(Table1[[#This Row],[Loss date]]))</f>
        <v>2011</v>
      </c>
      <c r="G702" s="10" t="s">
        <v>125</v>
      </c>
      <c r="H702" s="10" t="s">
        <v>2</v>
      </c>
      <c r="I702" s="11">
        <v>0</v>
      </c>
      <c r="J702" s="11">
        <v>0</v>
      </c>
      <c r="K702" s="11">
        <v>0</v>
      </c>
      <c r="L702" s="12">
        <v>0</v>
      </c>
      <c r="M702" s="12">
        <v>0</v>
      </c>
      <c r="N702" s="12">
        <v>0</v>
      </c>
      <c r="O702" s="70">
        <f>IF(Table1[[#This Row],[Overall amount]]=0,0,1)</f>
        <v>0</v>
      </c>
      <c r="P702" s="70">
        <f>Table1[[#This Row],[Overall amount]]*Exchange_Rate</f>
        <v>0</v>
      </c>
      <c r="Q702" s="70">
        <f>Table1[[#This Row],[Overall (destination currency)]]*(1+Claims_Inflation)^((Revalue_at_date-Table1[[#This Row],[Loss date]])/365.25)</f>
        <v>0</v>
      </c>
      <c r="R702" s="70">
        <f>INT(Table1[[#This Row],[Reporting date]])-INT(Table1[[#This Row],[Loss date]])</f>
        <v>0</v>
      </c>
      <c r="S702" s="69" t="s">
        <v>9</v>
      </c>
      <c r="T702" s="70">
        <f>VLOOKUP(Table1[[#This Row],[Policy Year]],exposure_table,3,FALSE)</f>
        <v>870.52680000000009</v>
      </c>
      <c r="U702" s="17">
        <f>IF(MONTH(Table1[[#This Row],[Reporting date]])&lt;Policy_Inception_Month,YEAR(Table1[[#This Row],[Reporting date]])-1,YEAR(Table1[[#This Row],[Reporting date]]))</f>
        <v>2011</v>
      </c>
      <c r="V702" s="17">
        <f>Table1[[#This Row],[Reporting year]]-Table1[[#This Row],[Policy Year]]</f>
        <v>0</v>
      </c>
      <c r="W702" s="17">
        <f>INT(Table1[[#This Row],[Reporting date]])-INT(Table1[[#This Row],[Loss date]])</f>
        <v>0</v>
      </c>
      <c r="X702" s="17">
        <f>INT((YEAR(Table1[[#This Row],[Loss date]])*12+MONTH(Table1[[#This Row],[Loss date]])-Earliest_Month)/4)</f>
        <v>20</v>
      </c>
      <c r="Y702" s="17">
        <f>INT((YEAR(Table1[[#This Row],[Reporting date]])*12+MONTH(Table1[[#This Row],[Reporting date]])-Earliest_Month)/4)</f>
        <v>20</v>
      </c>
      <c r="Z702" s="17">
        <f>Table1[[#This Row],[Reporting third]]-Table1[[#This Row],[Policy third]]</f>
        <v>0</v>
      </c>
      <c r="AA702" s="71" t="str">
        <f>IF(Table1[[#This Row],[Overall amount]]=0,"N/A",Table1[[#This Row],[Outstanding]]/Table1[[#This Row],[Overall amount]])</f>
        <v>N/A</v>
      </c>
      <c r="AB702" s="17">
        <f>IF(MONTH(Table1[[#This Row],[Loss date]])&lt;Pol_Inc_Month_Shifted,YEAR(Table1[[#This Row],[Loss date]])-1,YEAR(Table1[[#This Row],[Loss date]]))</f>
        <v>2011</v>
      </c>
      <c r="AC702" s="17">
        <f>IF(MONTH(Table1[[#This Row],[Reporting date]])&lt;Pol_Inc_Month_Shifted,YEAR(Table1[[#This Row],[Reporting date]])-1,YEAR(Table1[[#This Row],[Reporting date]]))</f>
        <v>2011</v>
      </c>
      <c r="AD702" s="17">
        <f>Table1[[#This Row],[Reporting year (shifted)]]-Table1[[#This Row],[Policy Year (shifted)]]</f>
        <v>0</v>
      </c>
    </row>
    <row r="703" spans="1:30" ht="13.9">
      <c r="A703" s="8" t="s">
        <v>2473</v>
      </c>
      <c r="B703" s="8" t="s">
        <v>755</v>
      </c>
      <c r="C703" s="8" t="s">
        <v>123</v>
      </c>
      <c r="D703" s="9">
        <v>38444</v>
      </c>
      <c r="E703" s="9">
        <v>38843</v>
      </c>
      <c r="F703" s="17">
        <f>IF(MONTH(Table1[[#This Row],[Loss date]])&lt;Policy_Inception_Month,YEAR(Table1[[#This Row],[Loss date]])-1,YEAR(Table1[[#This Row],[Loss date]]))</f>
        <v>2005</v>
      </c>
      <c r="G703" s="10" t="s">
        <v>125</v>
      </c>
      <c r="H703" s="10" t="s">
        <v>2</v>
      </c>
      <c r="I703" s="11">
        <v>10095.277123006332</v>
      </c>
      <c r="J703" s="11">
        <v>0</v>
      </c>
      <c r="K703" s="11">
        <v>10095.277123006332</v>
      </c>
      <c r="L703" s="12">
        <v>0</v>
      </c>
      <c r="M703" s="12">
        <v>0</v>
      </c>
      <c r="N703" s="12">
        <v>10095.277123006332</v>
      </c>
      <c r="O703" s="70">
        <f>IF(Table1[[#This Row],[Overall amount]]=0,0,1)</f>
        <v>1</v>
      </c>
      <c r="P703" s="70">
        <f>Table1[[#This Row],[Overall amount]]*Exchange_Rate</f>
        <v>10095.277123006332</v>
      </c>
      <c r="Q703" s="70">
        <f>Table1[[#This Row],[Overall (destination currency)]]*(1+Claims_Inflation)^((Revalue_at_date-Table1[[#This Row],[Loss date]])/365.25)</f>
        <v>16847.7</v>
      </c>
      <c r="R703" s="70">
        <f>INT(Table1[[#This Row],[Reporting date]])-INT(Table1[[#This Row],[Loss date]])</f>
        <v>399</v>
      </c>
      <c r="S703" s="69" t="s">
        <v>9</v>
      </c>
      <c r="T703" s="70">
        <f>VLOOKUP(Table1[[#This Row],[Policy Year]],exposure_table,3,FALSE)</f>
        <v>409.50481038040112</v>
      </c>
      <c r="U703" s="17">
        <f>IF(MONTH(Table1[[#This Row],[Reporting date]])&lt;Policy_Inception_Month,YEAR(Table1[[#This Row],[Reporting date]])-1,YEAR(Table1[[#This Row],[Reporting date]]))</f>
        <v>2006</v>
      </c>
      <c r="V703" s="17">
        <f>Table1[[#This Row],[Reporting year]]-Table1[[#This Row],[Policy Year]]</f>
        <v>1</v>
      </c>
      <c r="W703" s="17">
        <f>INT(Table1[[#This Row],[Reporting date]])-INT(Table1[[#This Row],[Loss date]])</f>
        <v>399</v>
      </c>
      <c r="X703" s="17">
        <f>INT((YEAR(Table1[[#This Row],[Loss date]])*12+MONTH(Table1[[#This Row],[Loss date]])-Earliest_Month)/4)</f>
        <v>0</v>
      </c>
      <c r="Y703" s="17">
        <f>INT((YEAR(Table1[[#This Row],[Reporting date]])*12+MONTH(Table1[[#This Row],[Reporting date]])-Earliest_Month)/4)</f>
        <v>3</v>
      </c>
      <c r="Z703" s="17">
        <f>Table1[[#This Row],[Reporting third]]-Table1[[#This Row],[Policy third]]</f>
        <v>3</v>
      </c>
      <c r="AA703" s="71">
        <f>IF(Table1[[#This Row],[Overall amount]]=0,"N/A",Table1[[#This Row],[Outstanding]]/Table1[[#This Row],[Overall amount]])</f>
        <v>0</v>
      </c>
      <c r="AB703" s="17">
        <f>IF(MONTH(Table1[[#This Row],[Loss date]])&lt;Pol_Inc_Month_Shifted,YEAR(Table1[[#This Row],[Loss date]])-1,YEAR(Table1[[#This Row],[Loss date]]))</f>
        <v>2004</v>
      </c>
      <c r="AC703" s="17">
        <f>IF(MONTH(Table1[[#This Row],[Reporting date]])&lt;Pol_Inc_Month_Shifted,YEAR(Table1[[#This Row],[Reporting date]])-1,YEAR(Table1[[#This Row],[Reporting date]]))</f>
        <v>2005</v>
      </c>
      <c r="AD703" s="17">
        <f>Table1[[#This Row],[Reporting year (shifted)]]-Table1[[#This Row],[Policy Year (shifted)]]</f>
        <v>1</v>
      </c>
    </row>
    <row r="704" spans="1:30" ht="13.9">
      <c r="A704" s="8" t="s">
        <v>2474</v>
      </c>
      <c r="B704" s="8" t="s">
        <v>756</v>
      </c>
      <c r="C704" s="8" t="s">
        <v>123</v>
      </c>
      <c r="D704" s="9">
        <v>38737</v>
      </c>
      <c r="E704" s="9">
        <v>38804</v>
      </c>
      <c r="F704" s="17">
        <f>IF(MONTH(Table1[[#This Row],[Loss date]])&lt;Policy_Inception_Month,YEAR(Table1[[#This Row],[Loss date]])-1,YEAR(Table1[[#This Row],[Loss date]]))</f>
        <v>2005</v>
      </c>
      <c r="G704" s="10" t="s">
        <v>125</v>
      </c>
      <c r="H704" s="10" t="s">
        <v>2</v>
      </c>
      <c r="I704" s="11">
        <v>13066.992578499028</v>
      </c>
      <c r="J704" s="11">
        <v>0</v>
      </c>
      <c r="K704" s="11">
        <v>13066.992578499028</v>
      </c>
      <c r="L704" s="12">
        <v>0</v>
      </c>
      <c r="M704" s="12">
        <v>0</v>
      </c>
      <c r="N704" s="12">
        <v>13066.992578499028</v>
      </c>
      <c r="O704" s="70">
        <f>IF(Table1[[#This Row],[Overall amount]]=0,0,1)</f>
        <v>1</v>
      </c>
      <c r="P704" s="70">
        <f>Table1[[#This Row],[Overall amount]]*Exchange_Rate</f>
        <v>13066.992578499028</v>
      </c>
      <c r="Q704" s="70">
        <f>Table1[[#This Row],[Overall (destination currency)]]*(1+Claims_Inflation)^((Revalue_at_date-Table1[[#This Row],[Loss date]])/365.25)</f>
        <v>20970.083999999999</v>
      </c>
      <c r="R704" s="70">
        <f>INT(Table1[[#This Row],[Reporting date]])-INT(Table1[[#This Row],[Loss date]])</f>
        <v>67</v>
      </c>
      <c r="S704" s="69" t="s">
        <v>9</v>
      </c>
      <c r="T704" s="70">
        <f>VLOOKUP(Table1[[#This Row],[Policy Year]],exposure_table,3,FALSE)</f>
        <v>409.50481038040112</v>
      </c>
      <c r="U704" s="17">
        <f>IF(MONTH(Table1[[#This Row],[Reporting date]])&lt;Policy_Inception_Month,YEAR(Table1[[#This Row],[Reporting date]])-1,YEAR(Table1[[#This Row],[Reporting date]]))</f>
        <v>2005</v>
      </c>
      <c r="V704" s="17">
        <f>Table1[[#This Row],[Reporting year]]-Table1[[#This Row],[Policy Year]]</f>
        <v>0</v>
      </c>
      <c r="W704" s="17">
        <f>INT(Table1[[#This Row],[Reporting date]])-INT(Table1[[#This Row],[Loss date]])</f>
        <v>67</v>
      </c>
      <c r="X704" s="17">
        <f>INT((YEAR(Table1[[#This Row],[Loss date]])*12+MONTH(Table1[[#This Row],[Loss date]])-Earliest_Month)/4)</f>
        <v>2</v>
      </c>
      <c r="Y704" s="17">
        <f>INT((YEAR(Table1[[#This Row],[Reporting date]])*12+MONTH(Table1[[#This Row],[Reporting date]])-Earliest_Month)/4)</f>
        <v>2</v>
      </c>
      <c r="Z704" s="17">
        <f>Table1[[#This Row],[Reporting third]]-Table1[[#This Row],[Policy third]]</f>
        <v>0</v>
      </c>
      <c r="AA704" s="71">
        <f>IF(Table1[[#This Row],[Overall amount]]=0,"N/A",Table1[[#This Row],[Outstanding]]/Table1[[#This Row],[Overall amount]])</f>
        <v>0</v>
      </c>
      <c r="AB704" s="17">
        <f>IF(MONTH(Table1[[#This Row],[Loss date]])&lt;Pol_Inc_Month_Shifted,YEAR(Table1[[#This Row],[Loss date]])-1,YEAR(Table1[[#This Row],[Loss date]]))</f>
        <v>2005</v>
      </c>
      <c r="AC704" s="17">
        <f>IF(MONTH(Table1[[#This Row],[Reporting date]])&lt;Pol_Inc_Month_Shifted,YEAR(Table1[[#This Row],[Reporting date]])-1,YEAR(Table1[[#This Row],[Reporting date]]))</f>
        <v>2005</v>
      </c>
      <c r="AD704" s="17">
        <f>Table1[[#This Row],[Reporting year (shifted)]]-Table1[[#This Row],[Policy Year (shifted)]]</f>
        <v>0</v>
      </c>
    </row>
    <row r="705" spans="1:30" ht="13.9">
      <c r="A705" s="8" t="s">
        <v>2475</v>
      </c>
      <c r="B705" s="8" t="s">
        <v>757</v>
      </c>
      <c r="C705" s="8" t="s">
        <v>123</v>
      </c>
      <c r="D705" s="9">
        <v>38951</v>
      </c>
      <c r="E705" s="9">
        <v>39768</v>
      </c>
      <c r="F705" s="17">
        <f>IF(MONTH(Table1[[#This Row],[Loss date]])&lt;Policy_Inception_Month,YEAR(Table1[[#This Row],[Loss date]])-1,YEAR(Table1[[#This Row],[Loss date]]))</f>
        <v>2006</v>
      </c>
      <c r="G705" s="10" t="s">
        <v>125</v>
      </c>
      <c r="H705" s="10" t="s">
        <v>2</v>
      </c>
      <c r="I705" s="11">
        <v>123022.46974789488</v>
      </c>
      <c r="J705" s="11">
        <v>0</v>
      </c>
      <c r="K705" s="11">
        <v>123022.46974789488</v>
      </c>
      <c r="L705" s="12">
        <v>0</v>
      </c>
      <c r="M705" s="12">
        <v>7627.3931243694824</v>
      </c>
      <c r="N705" s="12">
        <v>115395.0766235254</v>
      </c>
      <c r="O705" s="70">
        <f>IF(Table1[[#This Row],[Overall amount]]=0,0,1)</f>
        <v>1</v>
      </c>
      <c r="P705" s="70">
        <f>Table1[[#This Row],[Overall amount]]*Exchange_Rate</f>
        <v>115395.0766235254</v>
      </c>
      <c r="Q705" s="70">
        <f>Table1[[#This Row],[Overall (destination currency)]]*(1+Claims_Inflation)^((Revalue_at_date-Table1[[#This Row],[Loss date]])/365.25)</f>
        <v>179968.705896</v>
      </c>
      <c r="R705" s="70">
        <f>INT(Table1[[#This Row],[Reporting date]])-INT(Table1[[#This Row],[Loss date]])</f>
        <v>817</v>
      </c>
      <c r="S705" s="69" t="s">
        <v>9</v>
      </c>
      <c r="T705" s="70">
        <f>VLOOKUP(Table1[[#This Row],[Policy Year]],exposure_table,3,FALSE)</f>
        <v>483.32023209000977</v>
      </c>
      <c r="U705" s="17">
        <f>IF(MONTH(Table1[[#This Row],[Reporting date]])&lt;Policy_Inception_Month,YEAR(Table1[[#This Row],[Reporting date]])-1,YEAR(Table1[[#This Row],[Reporting date]]))</f>
        <v>2008</v>
      </c>
      <c r="V705" s="17">
        <f>Table1[[#This Row],[Reporting year]]-Table1[[#This Row],[Policy Year]]</f>
        <v>2</v>
      </c>
      <c r="W705" s="17">
        <f>INT(Table1[[#This Row],[Reporting date]])-INT(Table1[[#This Row],[Loss date]])</f>
        <v>817</v>
      </c>
      <c r="X705" s="17">
        <f>INT((YEAR(Table1[[#This Row],[Loss date]])*12+MONTH(Table1[[#This Row],[Loss date]])-Earliest_Month)/4)</f>
        <v>4</v>
      </c>
      <c r="Y705" s="17">
        <f>INT((YEAR(Table1[[#This Row],[Reporting date]])*12+MONTH(Table1[[#This Row],[Reporting date]])-Earliest_Month)/4)</f>
        <v>10</v>
      </c>
      <c r="Z705" s="17">
        <f>Table1[[#This Row],[Reporting third]]-Table1[[#This Row],[Policy third]]</f>
        <v>6</v>
      </c>
      <c r="AA705" s="71">
        <f>IF(Table1[[#This Row],[Overall amount]]=0,"N/A",Table1[[#This Row],[Outstanding]]/Table1[[#This Row],[Overall amount]])</f>
        <v>0</v>
      </c>
      <c r="AB705" s="17">
        <f>IF(MONTH(Table1[[#This Row],[Loss date]])&lt;Pol_Inc_Month_Shifted,YEAR(Table1[[#This Row],[Loss date]])-1,YEAR(Table1[[#This Row],[Loss date]]))</f>
        <v>2005</v>
      </c>
      <c r="AC705" s="17">
        <f>IF(MONTH(Table1[[#This Row],[Reporting date]])&lt;Pol_Inc_Month_Shifted,YEAR(Table1[[#This Row],[Reporting date]])-1,YEAR(Table1[[#This Row],[Reporting date]]))</f>
        <v>2007</v>
      </c>
      <c r="AD705" s="17">
        <f>Table1[[#This Row],[Reporting year (shifted)]]-Table1[[#This Row],[Policy Year (shifted)]]</f>
        <v>2</v>
      </c>
    </row>
    <row r="706" spans="1:30" ht="13.9">
      <c r="A706" s="8" t="s">
        <v>2476</v>
      </c>
      <c r="B706" s="8" t="s">
        <v>758</v>
      </c>
      <c r="C706" s="8" t="s">
        <v>123</v>
      </c>
      <c r="D706" s="9">
        <v>38709</v>
      </c>
      <c r="E706" s="9">
        <v>39261</v>
      </c>
      <c r="F706" s="17">
        <f>IF(MONTH(Table1[[#This Row],[Loss date]])&lt;Policy_Inception_Month,YEAR(Table1[[#This Row],[Loss date]])-1,YEAR(Table1[[#This Row],[Loss date]]))</f>
        <v>2005</v>
      </c>
      <c r="G706" s="10" t="s">
        <v>125</v>
      </c>
      <c r="H706" s="10" t="s">
        <v>2</v>
      </c>
      <c r="I706" s="11">
        <v>6209.5458782020087</v>
      </c>
      <c r="J706" s="11">
        <v>0</v>
      </c>
      <c r="K706" s="11">
        <v>6209.5458782020087</v>
      </c>
      <c r="L706" s="12">
        <v>0</v>
      </c>
      <c r="M706" s="12">
        <v>0</v>
      </c>
      <c r="N706" s="12">
        <v>6209.5458782020087</v>
      </c>
      <c r="O706" s="70">
        <f>IF(Table1[[#This Row],[Overall amount]]=0,0,1)</f>
        <v>1</v>
      </c>
      <c r="P706" s="70">
        <f>Table1[[#This Row],[Overall amount]]*Exchange_Rate</f>
        <v>6209.5458782020087</v>
      </c>
      <c r="Q706" s="70">
        <f>Table1[[#This Row],[Overall (destination currency)]]*(1+Claims_Inflation)^((Revalue_at_date-Table1[[#This Row],[Loss date]])/365.25)</f>
        <v>10002.504000000001</v>
      </c>
      <c r="R706" s="70">
        <f>INT(Table1[[#This Row],[Reporting date]])-INT(Table1[[#This Row],[Loss date]])</f>
        <v>552</v>
      </c>
      <c r="S706" s="69" t="s">
        <v>9</v>
      </c>
      <c r="T706" s="70">
        <f>VLOOKUP(Table1[[#This Row],[Policy Year]],exposure_table,3,FALSE)</f>
        <v>409.50481038040112</v>
      </c>
      <c r="U706" s="17">
        <f>IF(MONTH(Table1[[#This Row],[Reporting date]])&lt;Policy_Inception_Month,YEAR(Table1[[#This Row],[Reporting date]])-1,YEAR(Table1[[#This Row],[Reporting date]]))</f>
        <v>2007</v>
      </c>
      <c r="V706" s="17">
        <f>Table1[[#This Row],[Reporting year]]-Table1[[#This Row],[Policy Year]]</f>
        <v>2</v>
      </c>
      <c r="W706" s="17">
        <f>INT(Table1[[#This Row],[Reporting date]])-INT(Table1[[#This Row],[Loss date]])</f>
        <v>552</v>
      </c>
      <c r="X706" s="17">
        <f>INT((YEAR(Table1[[#This Row],[Loss date]])*12+MONTH(Table1[[#This Row],[Loss date]])-Earliest_Month)/4)</f>
        <v>2</v>
      </c>
      <c r="Y706" s="17">
        <f>INT((YEAR(Table1[[#This Row],[Reporting date]])*12+MONTH(Table1[[#This Row],[Reporting date]])-Earliest_Month)/4)</f>
        <v>6</v>
      </c>
      <c r="Z706" s="17">
        <f>Table1[[#This Row],[Reporting third]]-Table1[[#This Row],[Policy third]]</f>
        <v>4</v>
      </c>
      <c r="AA706" s="71">
        <f>IF(Table1[[#This Row],[Overall amount]]=0,"N/A",Table1[[#This Row],[Outstanding]]/Table1[[#This Row],[Overall amount]])</f>
        <v>0</v>
      </c>
      <c r="AB706" s="17">
        <f>IF(MONTH(Table1[[#This Row],[Loss date]])&lt;Pol_Inc_Month_Shifted,YEAR(Table1[[#This Row],[Loss date]])-1,YEAR(Table1[[#This Row],[Loss date]]))</f>
        <v>2005</v>
      </c>
      <c r="AC706" s="17">
        <f>IF(MONTH(Table1[[#This Row],[Reporting date]])&lt;Pol_Inc_Month_Shifted,YEAR(Table1[[#This Row],[Reporting date]])-1,YEAR(Table1[[#This Row],[Reporting date]]))</f>
        <v>2006</v>
      </c>
      <c r="AD706" s="17">
        <f>Table1[[#This Row],[Reporting year (shifted)]]-Table1[[#This Row],[Policy Year (shifted)]]</f>
        <v>1</v>
      </c>
    </row>
    <row r="707" spans="1:30" ht="13.9">
      <c r="A707" s="8" t="s">
        <v>2477</v>
      </c>
      <c r="B707" s="8" t="s">
        <v>759</v>
      </c>
      <c r="C707" s="8" t="s">
        <v>123</v>
      </c>
      <c r="D707" s="9">
        <v>39271</v>
      </c>
      <c r="E707" s="9">
        <v>39417</v>
      </c>
      <c r="F707" s="17">
        <f>IF(MONTH(Table1[[#This Row],[Loss date]])&lt;Policy_Inception_Month,YEAR(Table1[[#This Row],[Loss date]])-1,YEAR(Table1[[#This Row],[Loss date]]))</f>
        <v>2007</v>
      </c>
      <c r="G707" s="10" t="s">
        <v>131</v>
      </c>
      <c r="H707" s="10" t="s">
        <v>2</v>
      </c>
      <c r="I707" s="11">
        <v>13130.326935918714</v>
      </c>
      <c r="J707" s="11">
        <v>0</v>
      </c>
      <c r="K707" s="11">
        <v>13130.326935918714</v>
      </c>
      <c r="L707" s="12">
        <v>0</v>
      </c>
      <c r="M707" s="12">
        <v>0</v>
      </c>
      <c r="N707" s="12">
        <v>13130.326935918714</v>
      </c>
      <c r="O707" s="70">
        <f>IF(Table1[[#This Row],[Overall amount]]=0,0,1)</f>
        <v>1</v>
      </c>
      <c r="P707" s="70">
        <f>Table1[[#This Row],[Overall amount]]*Exchange_Rate</f>
        <v>13130.326935918714</v>
      </c>
      <c r="Q707" s="70">
        <f>Table1[[#This Row],[Overall (destination currency)]]*(1+Claims_Inflation)^((Revalue_at_date-Table1[[#This Row],[Loss date]])/365.25)</f>
        <v>19620.995999999996</v>
      </c>
      <c r="R707" s="70">
        <f>INT(Table1[[#This Row],[Reporting date]])-INT(Table1[[#This Row],[Loss date]])</f>
        <v>146</v>
      </c>
      <c r="S707" s="69" t="s">
        <v>9</v>
      </c>
      <c r="T707" s="70">
        <f>VLOOKUP(Table1[[#This Row],[Policy Year]],exposure_table,3,FALSE)</f>
        <v>547.7736362475523</v>
      </c>
      <c r="U707" s="17">
        <f>IF(MONTH(Table1[[#This Row],[Reporting date]])&lt;Policy_Inception_Month,YEAR(Table1[[#This Row],[Reporting date]])-1,YEAR(Table1[[#This Row],[Reporting date]]))</f>
        <v>2007</v>
      </c>
      <c r="V707" s="17">
        <f>Table1[[#This Row],[Reporting year]]-Table1[[#This Row],[Policy Year]]</f>
        <v>0</v>
      </c>
      <c r="W707" s="17">
        <f>INT(Table1[[#This Row],[Reporting date]])-INT(Table1[[#This Row],[Loss date]])</f>
        <v>146</v>
      </c>
      <c r="X707" s="17">
        <f>INT((YEAR(Table1[[#This Row],[Loss date]])*12+MONTH(Table1[[#This Row],[Loss date]])-Earliest_Month)/4)</f>
        <v>6</v>
      </c>
      <c r="Y707" s="17">
        <f>INT((YEAR(Table1[[#This Row],[Reporting date]])*12+MONTH(Table1[[#This Row],[Reporting date]])-Earliest_Month)/4)</f>
        <v>8</v>
      </c>
      <c r="Z707" s="17">
        <f>Table1[[#This Row],[Reporting third]]-Table1[[#This Row],[Policy third]]</f>
        <v>2</v>
      </c>
      <c r="AA707" s="71">
        <f>IF(Table1[[#This Row],[Overall amount]]=0,"N/A",Table1[[#This Row],[Outstanding]]/Table1[[#This Row],[Overall amount]])</f>
        <v>0</v>
      </c>
      <c r="AB707" s="17">
        <f>IF(MONTH(Table1[[#This Row],[Loss date]])&lt;Pol_Inc_Month_Shifted,YEAR(Table1[[#This Row],[Loss date]])-1,YEAR(Table1[[#This Row],[Loss date]]))</f>
        <v>2006</v>
      </c>
      <c r="AC707" s="17">
        <f>IF(MONTH(Table1[[#This Row],[Reporting date]])&lt;Pol_Inc_Month_Shifted,YEAR(Table1[[#This Row],[Reporting date]])-1,YEAR(Table1[[#This Row],[Reporting date]]))</f>
        <v>2007</v>
      </c>
      <c r="AD707" s="17">
        <f>Table1[[#This Row],[Reporting year (shifted)]]-Table1[[#This Row],[Policy Year (shifted)]]</f>
        <v>1</v>
      </c>
    </row>
    <row r="708" spans="1:30" ht="13.9">
      <c r="A708" s="8" t="s">
        <v>2478</v>
      </c>
      <c r="B708" s="8" t="s">
        <v>760</v>
      </c>
      <c r="C708" s="8" t="s">
        <v>123</v>
      </c>
      <c r="D708" s="9">
        <v>38998</v>
      </c>
      <c r="E708" s="9">
        <v>39557</v>
      </c>
      <c r="F708" s="17">
        <f>IF(MONTH(Table1[[#This Row],[Loss date]])&lt;Policy_Inception_Month,YEAR(Table1[[#This Row],[Loss date]])-1,YEAR(Table1[[#This Row],[Loss date]]))</f>
        <v>2006</v>
      </c>
      <c r="G708" s="10" t="s">
        <v>125</v>
      </c>
      <c r="H708" s="10" t="s">
        <v>2</v>
      </c>
      <c r="I708" s="11">
        <v>8933.2577274792275</v>
      </c>
      <c r="J708" s="11">
        <v>0</v>
      </c>
      <c r="K708" s="11">
        <v>8933.2577274792275</v>
      </c>
      <c r="L708" s="12">
        <v>0</v>
      </c>
      <c r="M708" s="12">
        <v>250.13121636941841</v>
      </c>
      <c r="N708" s="12">
        <v>8683.1265111098091</v>
      </c>
      <c r="O708" s="70">
        <f>IF(Table1[[#This Row],[Overall amount]]=0,0,1)</f>
        <v>1</v>
      </c>
      <c r="P708" s="70">
        <f>Table1[[#This Row],[Overall amount]]*Exchange_Rate</f>
        <v>8683.1265111098091</v>
      </c>
      <c r="Q708" s="70">
        <f>Table1[[#This Row],[Overall (destination currency)]]*(1+Claims_Inflation)^((Revalue_at_date-Table1[[#This Row],[Loss date]])/365.25)</f>
        <v>13457.339999999998</v>
      </c>
      <c r="R708" s="70">
        <f>INT(Table1[[#This Row],[Reporting date]])-INT(Table1[[#This Row],[Loss date]])</f>
        <v>559</v>
      </c>
      <c r="S708" s="69" t="s">
        <v>9</v>
      </c>
      <c r="T708" s="70">
        <f>VLOOKUP(Table1[[#This Row],[Policy Year]],exposure_table,3,FALSE)</f>
        <v>483.32023209000977</v>
      </c>
      <c r="U708" s="17">
        <f>IF(MONTH(Table1[[#This Row],[Reporting date]])&lt;Policy_Inception_Month,YEAR(Table1[[#This Row],[Reporting date]])-1,YEAR(Table1[[#This Row],[Reporting date]]))</f>
        <v>2008</v>
      </c>
      <c r="V708" s="17">
        <f>Table1[[#This Row],[Reporting year]]-Table1[[#This Row],[Policy Year]]</f>
        <v>2</v>
      </c>
      <c r="W708" s="17">
        <f>INT(Table1[[#This Row],[Reporting date]])-INT(Table1[[#This Row],[Loss date]])</f>
        <v>559</v>
      </c>
      <c r="X708" s="17">
        <f>INT((YEAR(Table1[[#This Row],[Loss date]])*12+MONTH(Table1[[#This Row],[Loss date]])-Earliest_Month)/4)</f>
        <v>4</v>
      </c>
      <c r="Y708" s="17">
        <f>INT((YEAR(Table1[[#This Row],[Reporting date]])*12+MONTH(Table1[[#This Row],[Reporting date]])-Earliest_Month)/4)</f>
        <v>9</v>
      </c>
      <c r="Z708" s="17">
        <f>Table1[[#This Row],[Reporting third]]-Table1[[#This Row],[Policy third]]</f>
        <v>5</v>
      </c>
      <c r="AA708" s="71">
        <f>IF(Table1[[#This Row],[Overall amount]]=0,"N/A",Table1[[#This Row],[Outstanding]]/Table1[[#This Row],[Overall amount]])</f>
        <v>0</v>
      </c>
      <c r="AB708" s="17">
        <f>IF(MONTH(Table1[[#This Row],[Loss date]])&lt;Pol_Inc_Month_Shifted,YEAR(Table1[[#This Row],[Loss date]])-1,YEAR(Table1[[#This Row],[Loss date]]))</f>
        <v>2005</v>
      </c>
      <c r="AC708" s="17">
        <f>IF(MONTH(Table1[[#This Row],[Reporting date]])&lt;Pol_Inc_Month_Shifted,YEAR(Table1[[#This Row],[Reporting date]])-1,YEAR(Table1[[#This Row],[Reporting date]]))</f>
        <v>2007</v>
      </c>
      <c r="AD708" s="17">
        <f>Table1[[#This Row],[Reporting year (shifted)]]-Table1[[#This Row],[Policy Year (shifted)]]</f>
        <v>2</v>
      </c>
    </row>
    <row r="709" spans="1:30" ht="13.9">
      <c r="A709" s="8" t="s">
        <v>2479</v>
      </c>
      <c r="B709" s="8" t="s">
        <v>761</v>
      </c>
      <c r="C709" s="8" t="s">
        <v>123</v>
      </c>
      <c r="D709" s="9">
        <v>39836</v>
      </c>
      <c r="E709" s="9">
        <v>39873</v>
      </c>
      <c r="F709" s="17">
        <f>IF(MONTH(Table1[[#This Row],[Loss date]])&lt;Policy_Inception_Month,YEAR(Table1[[#This Row],[Loss date]])-1,YEAR(Table1[[#This Row],[Loss date]]))</f>
        <v>2008</v>
      </c>
      <c r="G709" s="10" t="s">
        <v>127</v>
      </c>
      <c r="H709" s="10" t="s">
        <v>2</v>
      </c>
      <c r="I709" s="11">
        <v>233.09868031974486</v>
      </c>
      <c r="J709" s="11">
        <v>0</v>
      </c>
      <c r="K709" s="11">
        <v>233.09868031974486</v>
      </c>
      <c r="L709" s="12">
        <v>0</v>
      </c>
      <c r="M709" s="12">
        <v>0</v>
      </c>
      <c r="N709" s="12">
        <v>233.09868031974486</v>
      </c>
      <c r="O709" s="70">
        <f>IF(Table1[[#This Row],[Overall amount]]=0,0,1)</f>
        <v>1</v>
      </c>
      <c r="P709" s="70">
        <f>Table1[[#This Row],[Overall amount]]*Exchange_Rate</f>
        <v>233.09868031974486</v>
      </c>
      <c r="Q709" s="70">
        <f>Table1[[#This Row],[Overall (destination currency)]]*(1+Claims_Inflation)^((Revalue_at_date-Table1[[#This Row],[Loss date]])/365.25)</f>
        <v>323.00400000000002</v>
      </c>
      <c r="R709" s="70">
        <f>INT(Table1[[#This Row],[Reporting date]])-INT(Table1[[#This Row],[Loss date]])</f>
        <v>37</v>
      </c>
      <c r="S709" s="69" t="s">
        <v>9</v>
      </c>
      <c r="T709" s="70">
        <f>VLOOKUP(Table1[[#This Row],[Policy Year]],exposure_table,3,FALSE)</f>
        <v>601.98581780480015</v>
      </c>
      <c r="U709" s="17">
        <f>IF(MONTH(Table1[[#This Row],[Reporting date]])&lt;Policy_Inception_Month,YEAR(Table1[[#This Row],[Reporting date]])-1,YEAR(Table1[[#This Row],[Reporting date]]))</f>
        <v>2008</v>
      </c>
      <c r="V709" s="17">
        <f>Table1[[#This Row],[Reporting year]]-Table1[[#This Row],[Policy Year]]</f>
        <v>0</v>
      </c>
      <c r="W709" s="17">
        <f>INT(Table1[[#This Row],[Reporting date]])-INT(Table1[[#This Row],[Loss date]])</f>
        <v>37</v>
      </c>
      <c r="X709" s="17">
        <f>INT((YEAR(Table1[[#This Row],[Loss date]])*12+MONTH(Table1[[#This Row],[Loss date]])-Earliest_Month)/4)</f>
        <v>11</v>
      </c>
      <c r="Y709" s="17">
        <f>INT((YEAR(Table1[[#This Row],[Reporting date]])*12+MONTH(Table1[[#This Row],[Reporting date]])-Earliest_Month)/4)</f>
        <v>11</v>
      </c>
      <c r="Z709" s="17">
        <f>Table1[[#This Row],[Reporting third]]-Table1[[#This Row],[Policy third]]</f>
        <v>0</v>
      </c>
      <c r="AA709" s="71">
        <f>IF(Table1[[#This Row],[Overall amount]]=0,"N/A",Table1[[#This Row],[Outstanding]]/Table1[[#This Row],[Overall amount]])</f>
        <v>0</v>
      </c>
      <c r="AB709" s="17">
        <f>IF(MONTH(Table1[[#This Row],[Loss date]])&lt;Pol_Inc_Month_Shifted,YEAR(Table1[[#This Row],[Loss date]])-1,YEAR(Table1[[#This Row],[Loss date]]))</f>
        <v>2008</v>
      </c>
      <c r="AC709" s="17">
        <f>IF(MONTH(Table1[[#This Row],[Reporting date]])&lt;Pol_Inc_Month_Shifted,YEAR(Table1[[#This Row],[Reporting date]])-1,YEAR(Table1[[#This Row],[Reporting date]]))</f>
        <v>2008</v>
      </c>
      <c r="AD709" s="17">
        <f>Table1[[#This Row],[Reporting year (shifted)]]-Table1[[#This Row],[Policy Year (shifted)]]</f>
        <v>0</v>
      </c>
    </row>
    <row r="710" spans="1:30" ht="13.9">
      <c r="A710" s="8" t="s">
        <v>2480</v>
      </c>
      <c r="B710" s="8" t="s">
        <v>762</v>
      </c>
      <c r="C710" s="8" t="s">
        <v>123</v>
      </c>
      <c r="D710" s="9">
        <v>38520</v>
      </c>
      <c r="E710" s="9">
        <v>38879</v>
      </c>
      <c r="F710" s="17">
        <f>IF(MONTH(Table1[[#This Row],[Loss date]])&lt;Policy_Inception_Month,YEAR(Table1[[#This Row],[Loss date]])-1,YEAR(Table1[[#This Row],[Loss date]]))</f>
        <v>2005</v>
      </c>
      <c r="G710" s="10" t="s">
        <v>125</v>
      </c>
      <c r="H710" s="10" t="s">
        <v>2</v>
      </c>
      <c r="I710" s="11">
        <v>178.69112220572572</v>
      </c>
      <c r="J710" s="11">
        <v>0</v>
      </c>
      <c r="K710" s="11">
        <v>178.69112220572572</v>
      </c>
      <c r="L710" s="12">
        <v>0</v>
      </c>
      <c r="M710" s="12">
        <v>0</v>
      </c>
      <c r="N710" s="12">
        <v>178.69112220572572</v>
      </c>
      <c r="O710" s="70">
        <f>IF(Table1[[#This Row],[Overall amount]]=0,0,1)</f>
        <v>1</v>
      </c>
      <c r="P710" s="70">
        <f>Table1[[#This Row],[Overall amount]]*Exchange_Rate</f>
        <v>178.69112220572572</v>
      </c>
      <c r="Q710" s="70">
        <f>Table1[[#This Row],[Overall (destination currency)]]*(1+Claims_Inflation)^((Revalue_at_date-Table1[[#This Row],[Loss date]])/365.25)</f>
        <v>295.2</v>
      </c>
      <c r="R710" s="70">
        <f>INT(Table1[[#This Row],[Reporting date]])-INT(Table1[[#This Row],[Loss date]])</f>
        <v>359</v>
      </c>
      <c r="S710" s="69" t="s">
        <v>9</v>
      </c>
      <c r="T710" s="70">
        <f>VLOOKUP(Table1[[#This Row],[Policy Year]],exposure_table,3,FALSE)</f>
        <v>409.50481038040112</v>
      </c>
      <c r="U710" s="17">
        <f>IF(MONTH(Table1[[#This Row],[Reporting date]])&lt;Policy_Inception_Month,YEAR(Table1[[#This Row],[Reporting date]])-1,YEAR(Table1[[#This Row],[Reporting date]]))</f>
        <v>2006</v>
      </c>
      <c r="V710" s="17">
        <f>Table1[[#This Row],[Reporting year]]-Table1[[#This Row],[Policy Year]]</f>
        <v>1</v>
      </c>
      <c r="W710" s="17">
        <f>INT(Table1[[#This Row],[Reporting date]])-INT(Table1[[#This Row],[Loss date]])</f>
        <v>359</v>
      </c>
      <c r="X710" s="17">
        <f>INT((YEAR(Table1[[#This Row],[Loss date]])*12+MONTH(Table1[[#This Row],[Loss date]])-Earliest_Month)/4)</f>
        <v>0</v>
      </c>
      <c r="Y710" s="17">
        <f>INT((YEAR(Table1[[#This Row],[Reporting date]])*12+MONTH(Table1[[#This Row],[Reporting date]])-Earliest_Month)/4)</f>
        <v>3</v>
      </c>
      <c r="Z710" s="17">
        <f>Table1[[#This Row],[Reporting third]]-Table1[[#This Row],[Policy third]]</f>
        <v>3</v>
      </c>
      <c r="AA710" s="71">
        <f>IF(Table1[[#This Row],[Overall amount]]=0,"N/A",Table1[[#This Row],[Outstanding]]/Table1[[#This Row],[Overall amount]])</f>
        <v>0</v>
      </c>
      <c r="AB710" s="17">
        <f>IF(MONTH(Table1[[#This Row],[Loss date]])&lt;Pol_Inc_Month_Shifted,YEAR(Table1[[#This Row],[Loss date]])-1,YEAR(Table1[[#This Row],[Loss date]]))</f>
        <v>2004</v>
      </c>
      <c r="AC710" s="17">
        <f>IF(MONTH(Table1[[#This Row],[Reporting date]])&lt;Pol_Inc_Month_Shifted,YEAR(Table1[[#This Row],[Reporting date]])-1,YEAR(Table1[[#This Row],[Reporting date]]))</f>
        <v>2005</v>
      </c>
      <c r="AD710" s="17">
        <f>Table1[[#This Row],[Reporting year (shifted)]]-Table1[[#This Row],[Policy Year (shifted)]]</f>
        <v>1</v>
      </c>
    </row>
    <row r="711" spans="1:30" ht="13.9">
      <c r="A711" s="8" t="s">
        <v>2481</v>
      </c>
      <c r="B711" s="8" t="s">
        <v>763</v>
      </c>
      <c r="C711" s="8" t="s">
        <v>123</v>
      </c>
      <c r="D711" s="9">
        <v>38787</v>
      </c>
      <c r="E711" s="9">
        <v>39041</v>
      </c>
      <c r="F711" s="17">
        <f>IF(MONTH(Table1[[#This Row],[Loss date]])&lt;Policy_Inception_Month,YEAR(Table1[[#This Row],[Loss date]])-1,YEAR(Table1[[#This Row],[Loss date]]))</f>
        <v>2005</v>
      </c>
      <c r="G711" s="10" t="s">
        <v>125</v>
      </c>
      <c r="H711" s="10" t="s">
        <v>2</v>
      </c>
      <c r="I711" s="11">
        <v>1099.9726869910648</v>
      </c>
      <c r="J711" s="11">
        <v>0</v>
      </c>
      <c r="K711" s="11">
        <v>1099.9726869910648</v>
      </c>
      <c r="L711" s="12">
        <v>0</v>
      </c>
      <c r="M711" s="12">
        <v>0</v>
      </c>
      <c r="N711" s="12">
        <v>1099.9726869910648</v>
      </c>
      <c r="O711" s="70">
        <f>IF(Table1[[#This Row],[Overall amount]]=0,0,1)</f>
        <v>1</v>
      </c>
      <c r="P711" s="70">
        <f>Table1[[#This Row],[Overall amount]]*Exchange_Rate</f>
        <v>1099.9726869910648</v>
      </c>
      <c r="Q711" s="70">
        <f>Table1[[#This Row],[Overall (destination currency)]]*(1+Claims_Inflation)^((Revalue_at_date-Table1[[#This Row],[Loss date]])/365.25)</f>
        <v>1753.5000000000002</v>
      </c>
      <c r="R711" s="70">
        <f>INT(Table1[[#This Row],[Reporting date]])-INT(Table1[[#This Row],[Loss date]])</f>
        <v>254</v>
      </c>
      <c r="S711" s="69" t="s">
        <v>9</v>
      </c>
      <c r="T711" s="70">
        <f>VLOOKUP(Table1[[#This Row],[Policy Year]],exposure_table,3,FALSE)</f>
        <v>409.50481038040112</v>
      </c>
      <c r="U711" s="17">
        <f>IF(MONTH(Table1[[#This Row],[Reporting date]])&lt;Policy_Inception_Month,YEAR(Table1[[#This Row],[Reporting date]])-1,YEAR(Table1[[#This Row],[Reporting date]]))</f>
        <v>2006</v>
      </c>
      <c r="V711" s="17">
        <f>Table1[[#This Row],[Reporting year]]-Table1[[#This Row],[Policy Year]]</f>
        <v>1</v>
      </c>
      <c r="W711" s="17">
        <f>INT(Table1[[#This Row],[Reporting date]])-INT(Table1[[#This Row],[Loss date]])</f>
        <v>254</v>
      </c>
      <c r="X711" s="17">
        <f>INT((YEAR(Table1[[#This Row],[Loss date]])*12+MONTH(Table1[[#This Row],[Loss date]])-Earliest_Month)/4)</f>
        <v>2</v>
      </c>
      <c r="Y711" s="17">
        <f>INT((YEAR(Table1[[#This Row],[Reporting date]])*12+MONTH(Table1[[#This Row],[Reporting date]])-Earliest_Month)/4)</f>
        <v>4</v>
      </c>
      <c r="Z711" s="17">
        <f>Table1[[#This Row],[Reporting third]]-Table1[[#This Row],[Policy third]]</f>
        <v>2</v>
      </c>
      <c r="AA711" s="71">
        <f>IF(Table1[[#This Row],[Overall amount]]=0,"N/A",Table1[[#This Row],[Outstanding]]/Table1[[#This Row],[Overall amount]])</f>
        <v>0</v>
      </c>
      <c r="AB711" s="17">
        <f>IF(MONTH(Table1[[#This Row],[Loss date]])&lt;Pol_Inc_Month_Shifted,YEAR(Table1[[#This Row],[Loss date]])-1,YEAR(Table1[[#This Row],[Loss date]]))</f>
        <v>2005</v>
      </c>
      <c r="AC711" s="17">
        <f>IF(MONTH(Table1[[#This Row],[Reporting date]])&lt;Pol_Inc_Month_Shifted,YEAR(Table1[[#This Row],[Reporting date]])-1,YEAR(Table1[[#This Row],[Reporting date]]))</f>
        <v>2005</v>
      </c>
      <c r="AD711" s="17">
        <f>Table1[[#This Row],[Reporting year (shifted)]]-Table1[[#This Row],[Policy Year (shifted)]]</f>
        <v>0</v>
      </c>
    </row>
    <row r="712" spans="1:30" ht="13.9">
      <c r="A712" s="8" t="s">
        <v>2482</v>
      </c>
      <c r="B712" s="8" t="s">
        <v>764</v>
      </c>
      <c r="C712" s="8" t="s">
        <v>123</v>
      </c>
      <c r="D712" s="9">
        <v>38891</v>
      </c>
      <c r="E712" s="9">
        <v>39212</v>
      </c>
      <c r="F712" s="17">
        <f>IF(MONTH(Table1[[#This Row],[Loss date]])&lt;Policy_Inception_Month,YEAR(Table1[[#This Row],[Loss date]])-1,YEAR(Table1[[#This Row],[Loss date]]))</f>
        <v>2006</v>
      </c>
      <c r="G712" s="10" t="s">
        <v>125</v>
      </c>
      <c r="H712" s="10" t="s">
        <v>2</v>
      </c>
      <c r="I712" s="11">
        <v>9682.5963804495623</v>
      </c>
      <c r="J712" s="11">
        <v>0</v>
      </c>
      <c r="K712" s="11">
        <v>9682.5963804495623</v>
      </c>
      <c r="L712" s="12">
        <v>0</v>
      </c>
      <c r="M712" s="12">
        <v>0</v>
      </c>
      <c r="N712" s="12">
        <v>9682.5963804495623</v>
      </c>
      <c r="O712" s="70">
        <f>IF(Table1[[#This Row],[Overall amount]]=0,0,1)</f>
        <v>1</v>
      </c>
      <c r="P712" s="70">
        <f>Table1[[#This Row],[Overall amount]]*Exchange_Rate</f>
        <v>9682.5963804495623</v>
      </c>
      <c r="Q712" s="70">
        <f>Table1[[#This Row],[Overall (destination currency)]]*(1+Claims_Inflation)^((Revalue_at_date-Table1[[#This Row],[Loss date]])/365.25)</f>
        <v>15222.372000000001</v>
      </c>
      <c r="R712" s="70">
        <f>INT(Table1[[#This Row],[Reporting date]])-INT(Table1[[#This Row],[Loss date]])</f>
        <v>321</v>
      </c>
      <c r="S712" s="69" t="s">
        <v>9</v>
      </c>
      <c r="T712" s="70">
        <f>VLOOKUP(Table1[[#This Row],[Policy Year]],exposure_table,3,FALSE)</f>
        <v>483.32023209000977</v>
      </c>
      <c r="U712" s="17">
        <f>IF(MONTH(Table1[[#This Row],[Reporting date]])&lt;Policy_Inception_Month,YEAR(Table1[[#This Row],[Reporting date]])-1,YEAR(Table1[[#This Row],[Reporting date]]))</f>
        <v>2007</v>
      </c>
      <c r="V712" s="17">
        <f>Table1[[#This Row],[Reporting year]]-Table1[[#This Row],[Policy Year]]</f>
        <v>1</v>
      </c>
      <c r="W712" s="17">
        <f>INT(Table1[[#This Row],[Reporting date]])-INT(Table1[[#This Row],[Loss date]])</f>
        <v>321</v>
      </c>
      <c r="X712" s="17">
        <f>INT((YEAR(Table1[[#This Row],[Loss date]])*12+MONTH(Table1[[#This Row],[Loss date]])-Earliest_Month)/4)</f>
        <v>3</v>
      </c>
      <c r="Y712" s="17">
        <f>INT((YEAR(Table1[[#This Row],[Reporting date]])*12+MONTH(Table1[[#This Row],[Reporting date]])-Earliest_Month)/4)</f>
        <v>6</v>
      </c>
      <c r="Z712" s="17">
        <f>Table1[[#This Row],[Reporting third]]-Table1[[#This Row],[Policy third]]</f>
        <v>3</v>
      </c>
      <c r="AA712" s="71">
        <f>IF(Table1[[#This Row],[Overall amount]]=0,"N/A",Table1[[#This Row],[Outstanding]]/Table1[[#This Row],[Overall amount]])</f>
        <v>0</v>
      </c>
      <c r="AB712" s="17">
        <f>IF(MONTH(Table1[[#This Row],[Loss date]])&lt;Pol_Inc_Month_Shifted,YEAR(Table1[[#This Row],[Loss date]])-1,YEAR(Table1[[#This Row],[Loss date]]))</f>
        <v>2005</v>
      </c>
      <c r="AC712" s="17">
        <f>IF(MONTH(Table1[[#This Row],[Reporting date]])&lt;Pol_Inc_Month_Shifted,YEAR(Table1[[#This Row],[Reporting date]])-1,YEAR(Table1[[#This Row],[Reporting date]]))</f>
        <v>2006</v>
      </c>
      <c r="AD712" s="17">
        <f>Table1[[#This Row],[Reporting year (shifted)]]-Table1[[#This Row],[Policy Year (shifted)]]</f>
        <v>1</v>
      </c>
    </row>
    <row r="713" spans="1:30" ht="13.9">
      <c r="A713" s="8" t="s">
        <v>2483</v>
      </c>
      <c r="B713" s="8" t="s">
        <v>765</v>
      </c>
      <c r="C713" s="8" t="s">
        <v>123</v>
      </c>
      <c r="D713" s="9">
        <v>38835</v>
      </c>
      <c r="E713" s="9">
        <v>38865</v>
      </c>
      <c r="F713" s="17">
        <f>IF(MONTH(Table1[[#This Row],[Loss date]])&lt;Policy_Inception_Month,YEAR(Table1[[#This Row],[Loss date]])-1,YEAR(Table1[[#This Row],[Loss date]]))</f>
        <v>2006</v>
      </c>
      <c r="G713" s="10" t="s">
        <v>125</v>
      </c>
      <c r="H713" s="10" t="s">
        <v>2</v>
      </c>
      <c r="I713" s="11">
        <v>667.82754004030176</v>
      </c>
      <c r="J713" s="11">
        <v>0</v>
      </c>
      <c r="K713" s="11">
        <v>667.82754004030176</v>
      </c>
      <c r="L713" s="12">
        <v>0</v>
      </c>
      <c r="M713" s="12">
        <v>0</v>
      </c>
      <c r="N713" s="12">
        <v>667.82754004030176</v>
      </c>
      <c r="O713" s="70">
        <f>IF(Table1[[#This Row],[Overall amount]]=0,0,1)</f>
        <v>1</v>
      </c>
      <c r="P713" s="70">
        <f>Table1[[#This Row],[Overall amount]]*Exchange_Rate</f>
        <v>667.82754004030176</v>
      </c>
      <c r="Q713" s="70">
        <f>Table1[[#This Row],[Overall (destination currency)]]*(1+Claims_Inflation)^((Revalue_at_date-Table1[[#This Row],[Loss date]])/365.25)</f>
        <v>1057.8</v>
      </c>
      <c r="R713" s="70">
        <f>INT(Table1[[#This Row],[Reporting date]])-INT(Table1[[#This Row],[Loss date]])</f>
        <v>30</v>
      </c>
      <c r="S713" s="69" t="s">
        <v>9</v>
      </c>
      <c r="T713" s="70">
        <f>VLOOKUP(Table1[[#This Row],[Policy Year]],exposure_table,3,FALSE)</f>
        <v>483.32023209000977</v>
      </c>
      <c r="U713" s="17">
        <f>IF(MONTH(Table1[[#This Row],[Reporting date]])&lt;Policy_Inception_Month,YEAR(Table1[[#This Row],[Reporting date]])-1,YEAR(Table1[[#This Row],[Reporting date]]))</f>
        <v>2006</v>
      </c>
      <c r="V713" s="17">
        <f>Table1[[#This Row],[Reporting year]]-Table1[[#This Row],[Policy Year]]</f>
        <v>0</v>
      </c>
      <c r="W713" s="17">
        <f>INT(Table1[[#This Row],[Reporting date]])-INT(Table1[[#This Row],[Loss date]])</f>
        <v>30</v>
      </c>
      <c r="X713" s="17">
        <f>INT((YEAR(Table1[[#This Row],[Loss date]])*12+MONTH(Table1[[#This Row],[Loss date]])-Earliest_Month)/4)</f>
        <v>3</v>
      </c>
      <c r="Y713" s="17">
        <f>INT((YEAR(Table1[[#This Row],[Reporting date]])*12+MONTH(Table1[[#This Row],[Reporting date]])-Earliest_Month)/4)</f>
        <v>3</v>
      </c>
      <c r="Z713" s="17">
        <f>Table1[[#This Row],[Reporting third]]-Table1[[#This Row],[Policy third]]</f>
        <v>0</v>
      </c>
      <c r="AA713" s="71">
        <f>IF(Table1[[#This Row],[Overall amount]]=0,"N/A",Table1[[#This Row],[Outstanding]]/Table1[[#This Row],[Overall amount]])</f>
        <v>0</v>
      </c>
      <c r="AB713" s="17">
        <f>IF(MONTH(Table1[[#This Row],[Loss date]])&lt;Pol_Inc_Month_Shifted,YEAR(Table1[[#This Row],[Loss date]])-1,YEAR(Table1[[#This Row],[Loss date]]))</f>
        <v>2005</v>
      </c>
      <c r="AC713" s="17">
        <f>IF(MONTH(Table1[[#This Row],[Reporting date]])&lt;Pol_Inc_Month_Shifted,YEAR(Table1[[#This Row],[Reporting date]])-1,YEAR(Table1[[#This Row],[Reporting date]]))</f>
        <v>2005</v>
      </c>
      <c r="AD713" s="17">
        <f>Table1[[#This Row],[Reporting year (shifted)]]-Table1[[#This Row],[Policy Year (shifted)]]</f>
        <v>0</v>
      </c>
    </row>
    <row r="714" spans="1:30" ht="13.9">
      <c r="A714" s="8" t="s">
        <v>2484</v>
      </c>
      <c r="B714" s="8" t="s">
        <v>766</v>
      </c>
      <c r="C714" s="8" t="s">
        <v>123</v>
      </c>
      <c r="D714" s="9">
        <v>39005</v>
      </c>
      <c r="E714" s="9">
        <v>39146</v>
      </c>
      <c r="F714" s="17">
        <f>IF(MONTH(Table1[[#This Row],[Loss date]])&lt;Policy_Inception_Month,YEAR(Table1[[#This Row],[Loss date]])-1,YEAR(Table1[[#This Row],[Loss date]]))</f>
        <v>2006</v>
      </c>
      <c r="G714" s="10" t="s">
        <v>125</v>
      </c>
      <c r="H714" s="10" t="s">
        <v>2</v>
      </c>
      <c r="I714" s="11">
        <v>642.28500517025896</v>
      </c>
      <c r="J714" s="11">
        <v>0</v>
      </c>
      <c r="K714" s="11">
        <v>642.28500517025896</v>
      </c>
      <c r="L714" s="12">
        <v>0</v>
      </c>
      <c r="M714" s="12">
        <v>0</v>
      </c>
      <c r="N714" s="12">
        <v>642.28500517025896</v>
      </c>
      <c r="O714" s="70">
        <f>IF(Table1[[#This Row],[Overall amount]]=0,0,1)</f>
        <v>1</v>
      </c>
      <c r="P714" s="70">
        <f>Table1[[#This Row],[Overall amount]]*Exchange_Rate</f>
        <v>642.28500517025896</v>
      </c>
      <c r="Q714" s="70">
        <f>Table1[[#This Row],[Overall (destination currency)]]*(1+Claims_Inflation)^((Revalue_at_date-Table1[[#This Row],[Loss date]])/365.25)</f>
        <v>994.5</v>
      </c>
      <c r="R714" s="70">
        <f>INT(Table1[[#This Row],[Reporting date]])-INT(Table1[[#This Row],[Loss date]])</f>
        <v>141</v>
      </c>
      <c r="S714" s="69" t="s">
        <v>9</v>
      </c>
      <c r="T714" s="70">
        <f>VLOOKUP(Table1[[#This Row],[Policy Year]],exposure_table,3,FALSE)</f>
        <v>483.32023209000977</v>
      </c>
      <c r="U714" s="17">
        <f>IF(MONTH(Table1[[#This Row],[Reporting date]])&lt;Policy_Inception_Month,YEAR(Table1[[#This Row],[Reporting date]])-1,YEAR(Table1[[#This Row],[Reporting date]]))</f>
        <v>2006</v>
      </c>
      <c r="V714" s="17">
        <f>Table1[[#This Row],[Reporting year]]-Table1[[#This Row],[Policy Year]]</f>
        <v>0</v>
      </c>
      <c r="W714" s="17">
        <f>INT(Table1[[#This Row],[Reporting date]])-INT(Table1[[#This Row],[Loss date]])</f>
        <v>141</v>
      </c>
      <c r="X714" s="17">
        <f>INT((YEAR(Table1[[#This Row],[Loss date]])*12+MONTH(Table1[[#This Row],[Loss date]])-Earliest_Month)/4)</f>
        <v>4</v>
      </c>
      <c r="Y714" s="17">
        <f>INT((YEAR(Table1[[#This Row],[Reporting date]])*12+MONTH(Table1[[#This Row],[Reporting date]])-Earliest_Month)/4)</f>
        <v>5</v>
      </c>
      <c r="Z714" s="17">
        <f>Table1[[#This Row],[Reporting third]]-Table1[[#This Row],[Policy third]]</f>
        <v>1</v>
      </c>
      <c r="AA714" s="71">
        <f>IF(Table1[[#This Row],[Overall amount]]=0,"N/A",Table1[[#This Row],[Outstanding]]/Table1[[#This Row],[Overall amount]])</f>
        <v>0</v>
      </c>
      <c r="AB714" s="17">
        <f>IF(MONTH(Table1[[#This Row],[Loss date]])&lt;Pol_Inc_Month_Shifted,YEAR(Table1[[#This Row],[Loss date]])-1,YEAR(Table1[[#This Row],[Loss date]]))</f>
        <v>2005</v>
      </c>
      <c r="AC714" s="17">
        <f>IF(MONTH(Table1[[#This Row],[Reporting date]])&lt;Pol_Inc_Month_Shifted,YEAR(Table1[[#This Row],[Reporting date]])-1,YEAR(Table1[[#This Row],[Reporting date]]))</f>
        <v>2006</v>
      </c>
      <c r="AD714" s="17">
        <f>Table1[[#This Row],[Reporting year (shifted)]]-Table1[[#This Row],[Policy Year (shifted)]]</f>
        <v>1</v>
      </c>
    </row>
    <row r="715" spans="1:30" ht="13.9">
      <c r="A715" s="8" t="s">
        <v>2485</v>
      </c>
      <c r="B715" s="8" t="s">
        <v>767</v>
      </c>
      <c r="C715" s="8" t="s">
        <v>123</v>
      </c>
      <c r="D715" s="9">
        <v>39094</v>
      </c>
      <c r="E715" s="9">
        <v>39347</v>
      </c>
      <c r="F715" s="17">
        <f>IF(MONTH(Table1[[#This Row],[Loss date]])&lt;Policy_Inception_Month,YEAR(Table1[[#This Row],[Loss date]])-1,YEAR(Table1[[#This Row],[Loss date]]))</f>
        <v>2006</v>
      </c>
      <c r="G715" s="10" t="s">
        <v>124</v>
      </c>
      <c r="H715" s="10" t="s">
        <v>2</v>
      </c>
      <c r="I715" s="11">
        <v>849.95615169863527</v>
      </c>
      <c r="J715" s="11">
        <v>0</v>
      </c>
      <c r="K715" s="11">
        <v>849.95615169863527</v>
      </c>
      <c r="L715" s="12">
        <v>0</v>
      </c>
      <c r="M715" s="12">
        <v>0</v>
      </c>
      <c r="N715" s="12">
        <v>849.95615169863527</v>
      </c>
      <c r="O715" s="70">
        <f>IF(Table1[[#This Row],[Overall amount]]=0,0,1)</f>
        <v>1</v>
      </c>
      <c r="P715" s="70">
        <f>Table1[[#This Row],[Overall amount]]*Exchange_Rate</f>
        <v>849.95615169863527</v>
      </c>
      <c r="Q715" s="70">
        <f>Table1[[#This Row],[Overall (destination currency)]]*(1+Claims_Inflation)^((Revalue_at_date-Table1[[#This Row],[Loss date]])/365.25)</f>
        <v>1300.5</v>
      </c>
      <c r="R715" s="70">
        <f>INT(Table1[[#This Row],[Reporting date]])-INT(Table1[[#This Row],[Loss date]])</f>
        <v>253</v>
      </c>
      <c r="S715" s="69" t="s">
        <v>9</v>
      </c>
      <c r="T715" s="70">
        <f>VLOOKUP(Table1[[#This Row],[Policy Year]],exposure_table,3,FALSE)</f>
        <v>483.32023209000977</v>
      </c>
      <c r="U715" s="17">
        <f>IF(MONTH(Table1[[#This Row],[Reporting date]])&lt;Policy_Inception_Month,YEAR(Table1[[#This Row],[Reporting date]])-1,YEAR(Table1[[#This Row],[Reporting date]]))</f>
        <v>2007</v>
      </c>
      <c r="V715" s="17">
        <f>Table1[[#This Row],[Reporting year]]-Table1[[#This Row],[Policy Year]]</f>
        <v>1</v>
      </c>
      <c r="W715" s="17">
        <f>INT(Table1[[#This Row],[Reporting date]])-INT(Table1[[#This Row],[Loss date]])</f>
        <v>253</v>
      </c>
      <c r="X715" s="17">
        <f>INT((YEAR(Table1[[#This Row],[Loss date]])*12+MONTH(Table1[[#This Row],[Loss date]])-Earliest_Month)/4)</f>
        <v>5</v>
      </c>
      <c r="Y715" s="17">
        <f>INT((YEAR(Table1[[#This Row],[Reporting date]])*12+MONTH(Table1[[#This Row],[Reporting date]])-Earliest_Month)/4)</f>
        <v>7</v>
      </c>
      <c r="Z715" s="17">
        <f>Table1[[#This Row],[Reporting third]]-Table1[[#This Row],[Policy third]]</f>
        <v>2</v>
      </c>
      <c r="AA715" s="71">
        <f>IF(Table1[[#This Row],[Overall amount]]=0,"N/A",Table1[[#This Row],[Outstanding]]/Table1[[#This Row],[Overall amount]])</f>
        <v>0</v>
      </c>
      <c r="AB715" s="17">
        <f>IF(MONTH(Table1[[#This Row],[Loss date]])&lt;Pol_Inc_Month_Shifted,YEAR(Table1[[#This Row],[Loss date]])-1,YEAR(Table1[[#This Row],[Loss date]]))</f>
        <v>2006</v>
      </c>
      <c r="AC715" s="17">
        <f>IF(MONTH(Table1[[#This Row],[Reporting date]])&lt;Pol_Inc_Month_Shifted,YEAR(Table1[[#This Row],[Reporting date]])-1,YEAR(Table1[[#This Row],[Reporting date]]))</f>
        <v>2006</v>
      </c>
      <c r="AD715" s="17">
        <f>Table1[[#This Row],[Reporting year (shifted)]]-Table1[[#This Row],[Policy Year (shifted)]]</f>
        <v>0</v>
      </c>
    </row>
    <row r="716" spans="1:30" ht="13.9">
      <c r="A716" s="8" t="s">
        <v>2486</v>
      </c>
      <c r="B716" s="8" t="s">
        <v>768</v>
      </c>
      <c r="C716" s="8" t="s">
        <v>123</v>
      </c>
      <c r="D716" s="9">
        <v>38984</v>
      </c>
      <c r="E716" s="9">
        <v>39116</v>
      </c>
      <c r="F716" s="17">
        <f>IF(MONTH(Table1[[#This Row],[Loss date]])&lt;Policy_Inception_Month,YEAR(Table1[[#This Row],[Loss date]])-1,YEAR(Table1[[#This Row],[Loss date]]))</f>
        <v>2006</v>
      </c>
      <c r="G716" s="10" t="s">
        <v>125</v>
      </c>
      <c r="H716" s="10" t="s">
        <v>2</v>
      </c>
      <c r="I716" s="11">
        <v>213.49526743084598</v>
      </c>
      <c r="J716" s="11">
        <v>0</v>
      </c>
      <c r="K716" s="11">
        <v>213.49526743084598</v>
      </c>
      <c r="L716" s="12">
        <v>0</v>
      </c>
      <c r="M716" s="12">
        <v>0</v>
      </c>
      <c r="N716" s="12">
        <v>213.49526743084598</v>
      </c>
      <c r="O716" s="70">
        <f>IF(Table1[[#This Row],[Overall amount]]=0,0,1)</f>
        <v>1</v>
      </c>
      <c r="P716" s="70">
        <f>Table1[[#This Row],[Overall amount]]*Exchange_Rate</f>
        <v>213.49526743084598</v>
      </c>
      <c r="Q716" s="70">
        <f>Table1[[#This Row],[Overall (destination currency)]]*(1+Claims_Inflation)^((Revalue_at_date-Table1[[#This Row],[Loss date]])/365.25)</f>
        <v>331.5</v>
      </c>
      <c r="R716" s="70">
        <f>INT(Table1[[#This Row],[Reporting date]])-INT(Table1[[#This Row],[Loss date]])</f>
        <v>132</v>
      </c>
      <c r="S716" s="69" t="s">
        <v>9</v>
      </c>
      <c r="T716" s="70">
        <f>VLOOKUP(Table1[[#This Row],[Policy Year]],exposure_table,3,FALSE)</f>
        <v>483.32023209000977</v>
      </c>
      <c r="U716" s="17">
        <f>IF(MONTH(Table1[[#This Row],[Reporting date]])&lt;Policy_Inception_Month,YEAR(Table1[[#This Row],[Reporting date]])-1,YEAR(Table1[[#This Row],[Reporting date]]))</f>
        <v>2006</v>
      </c>
      <c r="V716" s="17">
        <f>Table1[[#This Row],[Reporting year]]-Table1[[#This Row],[Policy Year]]</f>
        <v>0</v>
      </c>
      <c r="W716" s="17">
        <f>INT(Table1[[#This Row],[Reporting date]])-INT(Table1[[#This Row],[Loss date]])</f>
        <v>132</v>
      </c>
      <c r="X716" s="17">
        <f>INT((YEAR(Table1[[#This Row],[Loss date]])*12+MONTH(Table1[[#This Row],[Loss date]])-Earliest_Month)/4)</f>
        <v>4</v>
      </c>
      <c r="Y716" s="17">
        <f>INT((YEAR(Table1[[#This Row],[Reporting date]])*12+MONTH(Table1[[#This Row],[Reporting date]])-Earliest_Month)/4)</f>
        <v>5</v>
      </c>
      <c r="Z716" s="17">
        <f>Table1[[#This Row],[Reporting third]]-Table1[[#This Row],[Policy third]]</f>
        <v>1</v>
      </c>
      <c r="AA716" s="71">
        <f>IF(Table1[[#This Row],[Overall amount]]=0,"N/A",Table1[[#This Row],[Outstanding]]/Table1[[#This Row],[Overall amount]])</f>
        <v>0</v>
      </c>
      <c r="AB716" s="17">
        <f>IF(MONTH(Table1[[#This Row],[Loss date]])&lt;Pol_Inc_Month_Shifted,YEAR(Table1[[#This Row],[Loss date]])-1,YEAR(Table1[[#This Row],[Loss date]]))</f>
        <v>2005</v>
      </c>
      <c r="AC716" s="17">
        <f>IF(MONTH(Table1[[#This Row],[Reporting date]])&lt;Pol_Inc_Month_Shifted,YEAR(Table1[[#This Row],[Reporting date]])-1,YEAR(Table1[[#This Row],[Reporting date]]))</f>
        <v>2006</v>
      </c>
      <c r="AD716" s="17">
        <f>Table1[[#This Row],[Reporting year (shifted)]]-Table1[[#This Row],[Policy Year (shifted)]]</f>
        <v>1</v>
      </c>
    </row>
    <row r="717" spans="1:30" ht="13.9">
      <c r="A717" s="8" t="s">
        <v>2487</v>
      </c>
      <c r="B717" s="8" t="s">
        <v>769</v>
      </c>
      <c r="C717" s="8" t="s">
        <v>123</v>
      </c>
      <c r="D717" s="9">
        <v>39331</v>
      </c>
      <c r="E717" s="9">
        <v>39418</v>
      </c>
      <c r="F717" s="17">
        <f>IF(MONTH(Table1[[#This Row],[Loss date]])&lt;Policy_Inception_Month,YEAR(Table1[[#This Row],[Loss date]])-1,YEAR(Table1[[#This Row],[Loss date]]))</f>
        <v>2007</v>
      </c>
      <c r="G717" s="10" t="s">
        <v>140</v>
      </c>
      <c r="H717" s="10" t="s">
        <v>2</v>
      </c>
      <c r="I717" s="11">
        <v>739.68006622220832</v>
      </c>
      <c r="J717" s="11">
        <v>0</v>
      </c>
      <c r="K717" s="11">
        <v>739.68006622220832</v>
      </c>
      <c r="L717" s="12">
        <v>0</v>
      </c>
      <c r="M717" s="12">
        <v>0</v>
      </c>
      <c r="N717" s="12">
        <v>739.68006622220832</v>
      </c>
      <c r="O717" s="70">
        <f>IF(Table1[[#This Row],[Overall amount]]=0,0,1)</f>
        <v>1</v>
      </c>
      <c r="P717" s="70">
        <f>Table1[[#This Row],[Overall amount]]*Exchange_Rate</f>
        <v>739.68006622220832</v>
      </c>
      <c r="Q717" s="70">
        <f>Table1[[#This Row],[Overall (destination currency)]]*(1+Claims_Inflation)^((Revalue_at_date-Table1[[#This Row],[Loss date]])/365.25)</f>
        <v>1096.5</v>
      </c>
      <c r="R717" s="70">
        <f>INT(Table1[[#This Row],[Reporting date]])-INT(Table1[[#This Row],[Loss date]])</f>
        <v>87</v>
      </c>
      <c r="S717" s="69" t="s">
        <v>9</v>
      </c>
      <c r="T717" s="70">
        <f>VLOOKUP(Table1[[#This Row],[Policy Year]],exposure_table,3,FALSE)</f>
        <v>547.7736362475523</v>
      </c>
      <c r="U717" s="17">
        <f>IF(MONTH(Table1[[#This Row],[Reporting date]])&lt;Policy_Inception_Month,YEAR(Table1[[#This Row],[Reporting date]])-1,YEAR(Table1[[#This Row],[Reporting date]]))</f>
        <v>2007</v>
      </c>
      <c r="V717" s="17">
        <f>Table1[[#This Row],[Reporting year]]-Table1[[#This Row],[Policy Year]]</f>
        <v>0</v>
      </c>
      <c r="W717" s="17">
        <f>INT(Table1[[#This Row],[Reporting date]])-INT(Table1[[#This Row],[Loss date]])</f>
        <v>87</v>
      </c>
      <c r="X717" s="17">
        <f>INT((YEAR(Table1[[#This Row],[Loss date]])*12+MONTH(Table1[[#This Row],[Loss date]])-Earliest_Month)/4)</f>
        <v>7</v>
      </c>
      <c r="Y717" s="17">
        <f>INT((YEAR(Table1[[#This Row],[Reporting date]])*12+MONTH(Table1[[#This Row],[Reporting date]])-Earliest_Month)/4)</f>
        <v>8</v>
      </c>
      <c r="Z717" s="17">
        <f>Table1[[#This Row],[Reporting third]]-Table1[[#This Row],[Policy third]]</f>
        <v>1</v>
      </c>
      <c r="AA717" s="71">
        <f>IF(Table1[[#This Row],[Overall amount]]=0,"N/A",Table1[[#This Row],[Outstanding]]/Table1[[#This Row],[Overall amount]])</f>
        <v>0</v>
      </c>
      <c r="AB717" s="17">
        <f>IF(MONTH(Table1[[#This Row],[Loss date]])&lt;Pol_Inc_Month_Shifted,YEAR(Table1[[#This Row],[Loss date]])-1,YEAR(Table1[[#This Row],[Loss date]]))</f>
        <v>2006</v>
      </c>
      <c r="AC717" s="17">
        <f>IF(MONTH(Table1[[#This Row],[Reporting date]])&lt;Pol_Inc_Month_Shifted,YEAR(Table1[[#This Row],[Reporting date]])-1,YEAR(Table1[[#This Row],[Reporting date]]))</f>
        <v>2007</v>
      </c>
      <c r="AD717" s="17">
        <f>Table1[[#This Row],[Reporting year (shifted)]]-Table1[[#This Row],[Policy Year (shifted)]]</f>
        <v>1</v>
      </c>
    </row>
    <row r="718" spans="1:30" ht="13.9">
      <c r="A718" s="8" t="s">
        <v>2488</v>
      </c>
      <c r="B718" s="8" t="s">
        <v>770</v>
      </c>
      <c r="C718" s="8" t="s">
        <v>123</v>
      </c>
      <c r="D718" s="9">
        <v>39141</v>
      </c>
      <c r="E718" s="9">
        <v>39581</v>
      </c>
      <c r="F718" s="17">
        <f>IF(MONTH(Table1[[#This Row],[Loss date]])&lt;Policy_Inception_Month,YEAR(Table1[[#This Row],[Loss date]])-1,YEAR(Table1[[#This Row],[Loss date]]))</f>
        <v>2006</v>
      </c>
      <c r="G718" s="10" t="s">
        <v>131</v>
      </c>
      <c r="H718" s="10" t="s">
        <v>2</v>
      </c>
      <c r="I718" s="11">
        <v>251.56152685310522</v>
      </c>
      <c r="J718" s="11">
        <v>0</v>
      </c>
      <c r="K718" s="11">
        <v>251.56152685310522</v>
      </c>
      <c r="L718" s="12">
        <v>0</v>
      </c>
      <c r="M718" s="12">
        <v>0</v>
      </c>
      <c r="N718" s="12">
        <v>251.56152685310522</v>
      </c>
      <c r="O718" s="70">
        <f>IF(Table1[[#This Row],[Overall amount]]=0,0,1)</f>
        <v>1</v>
      </c>
      <c r="P718" s="70">
        <f>Table1[[#This Row],[Overall amount]]*Exchange_Rate</f>
        <v>251.56152685310522</v>
      </c>
      <c r="Q718" s="70">
        <f>Table1[[#This Row],[Overall (destination currency)]]*(1+Claims_Inflation)^((Revalue_at_date-Table1[[#This Row],[Loss date]])/365.25)</f>
        <v>382.50000000000006</v>
      </c>
      <c r="R718" s="70">
        <f>INT(Table1[[#This Row],[Reporting date]])-INT(Table1[[#This Row],[Loss date]])</f>
        <v>440</v>
      </c>
      <c r="S718" s="69" t="s">
        <v>9</v>
      </c>
      <c r="T718" s="70">
        <f>VLOOKUP(Table1[[#This Row],[Policy Year]],exposure_table,3,FALSE)</f>
        <v>483.32023209000977</v>
      </c>
      <c r="U718" s="17">
        <f>IF(MONTH(Table1[[#This Row],[Reporting date]])&lt;Policy_Inception_Month,YEAR(Table1[[#This Row],[Reporting date]])-1,YEAR(Table1[[#This Row],[Reporting date]]))</f>
        <v>2008</v>
      </c>
      <c r="V718" s="17">
        <f>Table1[[#This Row],[Reporting year]]-Table1[[#This Row],[Policy Year]]</f>
        <v>2</v>
      </c>
      <c r="W718" s="17">
        <f>INT(Table1[[#This Row],[Reporting date]])-INT(Table1[[#This Row],[Loss date]])</f>
        <v>440</v>
      </c>
      <c r="X718" s="17">
        <f>INT((YEAR(Table1[[#This Row],[Loss date]])*12+MONTH(Table1[[#This Row],[Loss date]])-Earliest_Month)/4)</f>
        <v>5</v>
      </c>
      <c r="Y718" s="17">
        <f>INT((YEAR(Table1[[#This Row],[Reporting date]])*12+MONTH(Table1[[#This Row],[Reporting date]])-Earliest_Month)/4)</f>
        <v>9</v>
      </c>
      <c r="Z718" s="17">
        <f>Table1[[#This Row],[Reporting third]]-Table1[[#This Row],[Policy third]]</f>
        <v>4</v>
      </c>
      <c r="AA718" s="71">
        <f>IF(Table1[[#This Row],[Overall amount]]=0,"N/A",Table1[[#This Row],[Outstanding]]/Table1[[#This Row],[Overall amount]])</f>
        <v>0</v>
      </c>
      <c r="AB718" s="17">
        <f>IF(MONTH(Table1[[#This Row],[Loss date]])&lt;Pol_Inc_Month_Shifted,YEAR(Table1[[#This Row],[Loss date]])-1,YEAR(Table1[[#This Row],[Loss date]]))</f>
        <v>2006</v>
      </c>
      <c r="AC718" s="17">
        <f>IF(MONTH(Table1[[#This Row],[Reporting date]])&lt;Pol_Inc_Month_Shifted,YEAR(Table1[[#This Row],[Reporting date]])-1,YEAR(Table1[[#This Row],[Reporting date]]))</f>
        <v>2007</v>
      </c>
      <c r="AD718" s="17">
        <f>Table1[[#This Row],[Reporting year (shifted)]]-Table1[[#This Row],[Policy Year (shifted)]]</f>
        <v>1</v>
      </c>
    </row>
    <row r="719" spans="1:30" ht="13.9">
      <c r="A719" s="8" t="s">
        <v>2489</v>
      </c>
      <c r="B719" s="8" t="s">
        <v>771</v>
      </c>
      <c r="C719" s="8" t="s">
        <v>123</v>
      </c>
      <c r="D719" s="9">
        <v>39622</v>
      </c>
      <c r="E719" s="9">
        <v>39622</v>
      </c>
      <c r="F719" s="17">
        <f>IF(MONTH(Table1[[#This Row],[Loss date]])&lt;Policy_Inception_Month,YEAR(Table1[[#This Row],[Loss date]])-1,YEAR(Table1[[#This Row],[Loss date]]))</f>
        <v>2008</v>
      </c>
      <c r="G719" s="10" t="s">
        <v>125</v>
      </c>
      <c r="H719" s="10" t="s">
        <v>2</v>
      </c>
      <c r="I719" s="11">
        <v>4544.2093249135496</v>
      </c>
      <c r="J719" s="11">
        <v>0</v>
      </c>
      <c r="K719" s="11">
        <v>4544.2093249135496</v>
      </c>
      <c r="L719" s="12">
        <v>0</v>
      </c>
      <c r="M719" s="12">
        <v>0</v>
      </c>
      <c r="N719" s="12">
        <v>4544.2093249135496</v>
      </c>
      <c r="O719" s="70">
        <f>IF(Table1[[#This Row],[Overall amount]]=0,0,1)</f>
        <v>1</v>
      </c>
      <c r="P719" s="70">
        <f>Table1[[#This Row],[Overall amount]]*Exchange_Rate</f>
        <v>4544.2093249135496</v>
      </c>
      <c r="Q719" s="70">
        <f>Table1[[#This Row],[Overall (destination currency)]]*(1+Claims_Inflation)^((Revalue_at_date-Table1[[#This Row],[Loss date]])/365.25)</f>
        <v>6479.496000000001</v>
      </c>
      <c r="R719" s="70">
        <f>INT(Table1[[#This Row],[Reporting date]])-INT(Table1[[#This Row],[Loss date]])</f>
        <v>0</v>
      </c>
      <c r="S719" s="69" t="s">
        <v>9</v>
      </c>
      <c r="T719" s="70">
        <f>VLOOKUP(Table1[[#This Row],[Policy Year]],exposure_table,3,FALSE)</f>
        <v>601.98581780480015</v>
      </c>
      <c r="U719" s="17">
        <f>IF(MONTH(Table1[[#This Row],[Reporting date]])&lt;Policy_Inception_Month,YEAR(Table1[[#This Row],[Reporting date]])-1,YEAR(Table1[[#This Row],[Reporting date]]))</f>
        <v>2008</v>
      </c>
      <c r="V719" s="17">
        <f>Table1[[#This Row],[Reporting year]]-Table1[[#This Row],[Policy Year]]</f>
        <v>0</v>
      </c>
      <c r="W719" s="17">
        <f>INT(Table1[[#This Row],[Reporting date]])-INT(Table1[[#This Row],[Loss date]])</f>
        <v>0</v>
      </c>
      <c r="X719" s="17">
        <f>INT((YEAR(Table1[[#This Row],[Loss date]])*12+MONTH(Table1[[#This Row],[Loss date]])-Earliest_Month)/4)</f>
        <v>9</v>
      </c>
      <c r="Y719" s="17">
        <f>INT((YEAR(Table1[[#This Row],[Reporting date]])*12+MONTH(Table1[[#This Row],[Reporting date]])-Earliest_Month)/4)</f>
        <v>9</v>
      </c>
      <c r="Z719" s="17">
        <f>Table1[[#This Row],[Reporting third]]-Table1[[#This Row],[Policy third]]</f>
        <v>0</v>
      </c>
      <c r="AA719" s="71">
        <f>IF(Table1[[#This Row],[Overall amount]]=0,"N/A",Table1[[#This Row],[Outstanding]]/Table1[[#This Row],[Overall amount]])</f>
        <v>0</v>
      </c>
      <c r="AB719" s="17">
        <f>IF(MONTH(Table1[[#This Row],[Loss date]])&lt;Pol_Inc_Month_Shifted,YEAR(Table1[[#This Row],[Loss date]])-1,YEAR(Table1[[#This Row],[Loss date]]))</f>
        <v>2007</v>
      </c>
      <c r="AC719" s="17">
        <f>IF(MONTH(Table1[[#This Row],[Reporting date]])&lt;Pol_Inc_Month_Shifted,YEAR(Table1[[#This Row],[Reporting date]])-1,YEAR(Table1[[#This Row],[Reporting date]]))</f>
        <v>2007</v>
      </c>
      <c r="AD719" s="17">
        <f>Table1[[#This Row],[Reporting year (shifted)]]-Table1[[#This Row],[Policy Year (shifted)]]</f>
        <v>0</v>
      </c>
    </row>
    <row r="720" spans="1:30" ht="13.9">
      <c r="A720" s="8" t="s">
        <v>2490</v>
      </c>
      <c r="B720" s="8" t="s">
        <v>772</v>
      </c>
      <c r="C720" s="8" t="s">
        <v>123</v>
      </c>
      <c r="D720" s="9">
        <v>39588</v>
      </c>
      <c r="E720" s="9">
        <v>39756</v>
      </c>
      <c r="F720" s="17">
        <f>IF(MONTH(Table1[[#This Row],[Loss date]])&lt;Policy_Inception_Month,YEAR(Table1[[#This Row],[Loss date]])-1,YEAR(Table1[[#This Row],[Loss date]]))</f>
        <v>2008</v>
      </c>
      <c r="G720" s="10" t="s">
        <v>124</v>
      </c>
      <c r="H720" s="10" t="s">
        <v>2</v>
      </c>
      <c r="I720" s="11">
        <v>807.05101315435024</v>
      </c>
      <c r="J720" s="11">
        <v>0</v>
      </c>
      <c r="K720" s="11">
        <v>807.05101315435024</v>
      </c>
      <c r="L720" s="12">
        <v>0</v>
      </c>
      <c r="M720" s="12">
        <v>0</v>
      </c>
      <c r="N720" s="12">
        <v>807.05101315435024</v>
      </c>
      <c r="O720" s="70">
        <f>IF(Table1[[#This Row],[Overall amount]]=0,0,1)</f>
        <v>1</v>
      </c>
      <c r="P720" s="70">
        <f>Table1[[#This Row],[Overall amount]]*Exchange_Rate</f>
        <v>807.05101315435024</v>
      </c>
      <c r="Q720" s="70">
        <f>Table1[[#This Row],[Overall (destination currency)]]*(1+Claims_Inflation)^((Revalue_at_date-Table1[[#This Row],[Loss date]])/365.25)</f>
        <v>1155.9960000000001</v>
      </c>
      <c r="R720" s="70">
        <f>INT(Table1[[#This Row],[Reporting date]])-INT(Table1[[#This Row],[Loss date]])</f>
        <v>168</v>
      </c>
      <c r="S720" s="69" t="s">
        <v>9</v>
      </c>
      <c r="T720" s="70">
        <f>VLOOKUP(Table1[[#This Row],[Policy Year]],exposure_table,3,FALSE)</f>
        <v>601.98581780480015</v>
      </c>
      <c r="U720" s="17">
        <f>IF(MONTH(Table1[[#This Row],[Reporting date]])&lt;Policy_Inception_Month,YEAR(Table1[[#This Row],[Reporting date]])-1,YEAR(Table1[[#This Row],[Reporting date]]))</f>
        <v>2008</v>
      </c>
      <c r="V720" s="17">
        <f>Table1[[#This Row],[Reporting year]]-Table1[[#This Row],[Policy Year]]</f>
        <v>0</v>
      </c>
      <c r="W720" s="17">
        <f>INT(Table1[[#This Row],[Reporting date]])-INT(Table1[[#This Row],[Loss date]])</f>
        <v>168</v>
      </c>
      <c r="X720" s="17">
        <f>INT((YEAR(Table1[[#This Row],[Loss date]])*12+MONTH(Table1[[#This Row],[Loss date]])-Earliest_Month)/4)</f>
        <v>9</v>
      </c>
      <c r="Y720" s="17">
        <f>INT((YEAR(Table1[[#This Row],[Reporting date]])*12+MONTH(Table1[[#This Row],[Reporting date]])-Earliest_Month)/4)</f>
        <v>10</v>
      </c>
      <c r="Z720" s="17">
        <f>Table1[[#This Row],[Reporting third]]-Table1[[#This Row],[Policy third]]</f>
        <v>1</v>
      </c>
      <c r="AA720" s="71">
        <f>IF(Table1[[#This Row],[Overall amount]]=0,"N/A",Table1[[#This Row],[Outstanding]]/Table1[[#This Row],[Overall amount]])</f>
        <v>0</v>
      </c>
      <c r="AB720" s="17">
        <f>IF(MONTH(Table1[[#This Row],[Loss date]])&lt;Pol_Inc_Month_Shifted,YEAR(Table1[[#This Row],[Loss date]])-1,YEAR(Table1[[#This Row],[Loss date]]))</f>
        <v>2007</v>
      </c>
      <c r="AC720" s="17">
        <f>IF(MONTH(Table1[[#This Row],[Reporting date]])&lt;Pol_Inc_Month_Shifted,YEAR(Table1[[#This Row],[Reporting date]])-1,YEAR(Table1[[#This Row],[Reporting date]]))</f>
        <v>2007</v>
      </c>
      <c r="AD720" s="17">
        <f>Table1[[#This Row],[Reporting year (shifted)]]-Table1[[#This Row],[Policy Year (shifted)]]</f>
        <v>0</v>
      </c>
    </row>
    <row r="721" spans="1:30" ht="13.9">
      <c r="A721" s="8" t="s">
        <v>2491</v>
      </c>
      <c r="B721" s="8" t="s">
        <v>773</v>
      </c>
      <c r="C721" s="8" t="s">
        <v>123</v>
      </c>
      <c r="D721" s="9">
        <v>39159</v>
      </c>
      <c r="E721" s="9">
        <v>39755</v>
      </c>
      <c r="F721" s="17">
        <f>IF(MONTH(Table1[[#This Row],[Loss date]])&lt;Policy_Inception_Month,YEAR(Table1[[#This Row],[Loss date]])-1,YEAR(Table1[[#This Row],[Loss date]]))</f>
        <v>2006</v>
      </c>
      <c r="G721" s="10" t="s">
        <v>125</v>
      </c>
      <c r="H721" s="10" t="s">
        <v>2</v>
      </c>
      <c r="I721" s="11">
        <v>38714.373432300439</v>
      </c>
      <c r="J721" s="11">
        <v>0</v>
      </c>
      <c r="K721" s="11">
        <v>38714.373432300439</v>
      </c>
      <c r="L721" s="12">
        <v>0</v>
      </c>
      <c r="M721" s="12">
        <v>0</v>
      </c>
      <c r="N721" s="12">
        <v>38714.373432300439</v>
      </c>
      <c r="O721" s="70">
        <f>IF(Table1[[#This Row],[Overall amount]]=0,0,1)</f>
        <v>1</v>
      </c>
      <c r="P721" s="70">
        <f>Table1[[#This Row],[Overall amount]]*Exchange_Rate</f>
        <v>38714.373432300439</v>
      </c>
      <c r="Q721" s="70">
        <f>Table1[[#This Row],[Overall (destination currency)]]*(1+Claims_Inflation)^((Revalue_at_date-Table1[[#This Row],[Loss date]])/365.25)</f>
        <v>58723.944000000003</v>
      </c>
      <c r="R721" s="70">
        <f>INT(Table1[[#This Row],[Reporting date]])-INT(Table1[[#This Row],[Loss date]])</f>
        <v>596</v>
      </c>
      <c r="S721" s="69" t="s">
        <v>9</v>
      </c>
      <c r="T721" s="70">
        <f>VLOOKUP(Table1[[#This Row],[Policy Year]],exposure_table,3,FALSE)</f>
        <v>483.32023209000977</v>
      </c>
      <c r="U721" s="17">
        <f>IF(MONTH(Table1[[#This Row],[Reporting date]])&lt;Policy_Inception_Month,YEAR(Table1[[#This Row],[Reporting date]])-1,YEAR(Table1[[#This Row],[Reporting date]]))</f>
        <v>2008</v>
      </c>
      <c r="V721" s="17">
        <f>Table1[[#This Row],[Reporting year]]-Table1[[#This Row],[Policy Year]]</f>
        <v>2</v>
      </c>
      <c r="W721" s="17">
        <f>INT(Table1[[#This Row],[Reporting date]])-INT(Table1[[#This Row],[Loss date]])</f>
        <v>596</v>
      </c>
      <c r="X721" s="17">
        <f>INT((YEAR(Table1[[#This Row],[Loss date]])*12+MONTH(Table1[[#This Row],[Loss date]])-Earliest_Month)/4)</f>
        <v>5</v>
      </c>
      <c r="Y721" s="17">
        <f>INT((YEAR(Table1[[#This Row],[Reporting date]])*12+MONTH(Table1[[#This Row],[Reporting date]])-Earliest_Month)/4)</f>
        <v>10</v>
      </c>
      <c r="Z721" s="17">
        <f>Table1[[#This Row],[Reporting third]]-Table1[[#This Row],[Policy third]]</f>
        <v>5</v>
      </c>
      <c r="AA721" s="71">
        <f>IF(Table1[[#This Row],[Overall amount]]=0,"N/A",Table1[[#This Row],[Outstanding]]/Table1[[#This Row],[Overall amount]])</f>
        <v>0</v>
      </c>
      <c r="AB721" s="17">
        <f>IF(MONTH(Table1[[#This Row],[Loss date]])&lt;Pol_Inc_Month_Shifted,YEAR(Table1[[#This Row],[Loss date]])-1,YEAR(Table1[[#This Row],[Loss date]]))</f>
        <v>2006</v>
      </c>
      <c r="AC721" s="17">
        <f>IF(MONTH(Table1[[#This Row],[Reporting date]])&lt;Pol_Inc_Month_Shifted,YEAR(Table1[[#This Row],[Reporting date]])-1,YEAR(Table1[[#This Row],[Reporting date]]))</f>
        <v>2007</v>
      </c>
      <c r="AD721" s="17">
        <f>Table1[[#This Row],[Reporting year (shifted)]]-Table1[[#This Row],[Policy Year (shifted)]]</f>
        <v>1</v>
      </c>
    </row>
    <row r="722" spans="1:30" ht="13.9">
      <c r="A722" s="8" t="s">
        <v>2492</v>
      </c>
      <c r="B722" s="8" t="s">
        <v>774</v>
      </c>
      <c r="C722" s="8" t="s">
        <v>123</v>
      </c>
      <c r="D722" s="9">
        <v>39530</v>
      </c>
      <c r="E722" s="9">
        <v>39936</v>
      </c>
      <c r="F722" s="17">
        <f>IF(MONTH(Table1[[#This Row],[Loss date]])&lt;Policy_Inception_Month,YEAR(Table1[[#This Row],[Loss date]])-1,YEAR(Table1[[#This Row],[Loss date]]))</f>
        <v>2007</v>
      </c>
      <c r="G722" s="10" t="s">
        <v>125</v>
      </c>
      <c r="H722" s="10" t="s">
        <v>2</v>
      </c>
      <c r="I722" s="11">
        <v>412.18666718350687</v>
      </c>
      <c r="J722" s="11">
        <v>0</v>
      </c>
      <c r="K722" s="11">
        <v>412.18666718350687</v>
      </c>
      <c r="L722" s="12">
        <v>0</v>
      </c>
      <c r="M722" s="12">
        <v>0</v>
      </c>
      <c r="N722" s="12">
        <v>412.18666718350687</v>
      </c>
      <c r="O722" s="70">
        <f>IF(Table1[[#This Row],[Overall amount]]=0,0,1)</f>
        <v>1</v>
      </c>
      <c r="P722" s="70">
        <f>Table1[[#This Row],[Overall amount]]*Exchange_Rate</f>
        <v>412.18666718350687</v>
      </c>
      <c r="Q722" s="70">
        <f>Table1[[#This Row],[Overall (destination currency)]]*(1+Claims_Inflation)^((Revalue_at_date-Table1[[#This Row],[Loss date]])/365.25)</f>
        <v>594.99599999999987</v>
      </c>
      <c r="R722" s="70">
        <f>INT(Table1[[#This Row],[Reporting date]])-INT(Table1[[#This Row],[Loss date]])</f>
        <v>406</v>
      </c>
      <c r="S722" s="69" t="s">
        <v>9</v>
      </c>
      <c r="T722" s="70">
        <f>VLOOKUP(Table1[[#This Row],[Policy Year]],exposure_table,3,FALSE)</f>
        <v>547.7736362475523</v>
      </c>
      <c r="U722" s="17">
        <f>IF(MONTH(Table1[[#This Row],[Reporting date]])&lt;Policy_Inception_Month,YEAR(Table1[[#This Row],[Reporting date]])-1,YEAR(Table1[[#This Row],[Reporting date]]))</f>
        <v>2009</v>
      </c>
      <c r="V722" s="17">
        <f>Table1[[#This Row],[Reporting year]]-Table1[[#This Row],[Policy Year]]</f>
        <v>2</v>
      </c>
      <c r="W722" s="17">
        <f>INT(Table1[[#This Row],[Reporting date]])-INT(Table1[[#This Row],[Loss date]])</f>
        <v>406</v>
      </c>
      <c r="X722" s="17">
        <f>INT((YEAR(Table1[[#This Row],[Loss date]])*12+MONTH(Table1[[#This Row],[Loss date]])-Earliest_Month)/4)</f>
        <v>8</v>
      </c>
      <c r="Y722" s="17">
        <f>INT((YEAR(Table1[[#This Row],[Reporting date]])*12+MONTH(Table1[[#This Row],[Reporting date]])-Earliest_Month)/4)</f>
        <v>12</v>
      </c>
      <c r="Z722" s="17">
        <f>Table1[[#This Row],[Reporting third]]-Table1[[#This Row],[Policy third]]</f>
        <v>4</v>
      </c>
      <c r="AA722" s="71">
        <f>IF(Table1[[#This Row],[Overall amount]]=0,"N/A",Table1[[#This Row],[Outstanding]]/Table1[[#This Row],[Overall amount]])</f>
        <v>0</v>
      </c>
      <c r="AB722" s="17">
        <f>IF(MONTH(Table1[[#This Row],[Loss date]])&lt;Pol_Inc_Month_Shifted,YEAR(Table1[[#This Row],[Loss date]])-1,YEAR(Table1[[#This Row],[Loss date]]))</f>
        <v>2007</v>
      </c>
      <c r="AC722" s="17">
        <f>IF(MONTH(Table1[[#This Row],[Reporting date]])&lt;Pol_Inc_Month_Shifted,YEAR(Table1[[#This Row],[Reporting date]])-1,YEAR(Table1[[#This Row],[Reporting date]]))</f>
        <v>2008</v>
      </c>
      <c r="AD722" s="17">
        <f>Table1[[#This Row],[Reporting year (shifted)]]-Table1[[#This Row],[Policy Year (shifted)]]</f>
        <v>1</v>
      </c>
    </row>
    <row r="723" spans="1:30" ht="13.9">
      <c r="A723" s="8" t="s">
        <v>2493</v>
      </c>
      <c r="B723" s="8" t="s">
        <v>775</v>
      </c>
      <c r="C723" s="8" t="s">
        <v>123</v>
      </c>
      <c r="D723" s="9">
        <v>39919</v>
      </c>
      <c r="E723" s="9">
        <v>39935</v>
      </c>
      <c r="F723" s="17">
        <f>IF(MONTH(Table1[[#This Row],[Loss date]])&lt;Policy_Inception_Month,YEAR(Table1[[#This Row],[Loss date]])-1,YEAR(Table1[[#This Row],[Loss date]]))</f>
        <v>2009</v>
      </c>
      <c r="G723" s="10" t="s">
        <v>125</v>
      </c>
      <c r="H723" s="10" t="s">
        <v>2</v>
      </c>
      <c r="I723" s="11">
        <v>1587.1072154051196</v>
      </c>
      <c r="J723" s="11">
        <v>0</v>
      </c>
      <c r="K723" s="11">
        <v>1587.1072154051196</v>
      </c>
      <c r="L723" s="12">
        <v>0</v>
      </c>
      <c r="M723" s="12">
        <v>0</v>
      </c>
      <c r="N723" s="12">
        <v>1587.1072154051196</v>
      </c>
      <c r="O723" s="70">
        <f>IF(Table1[[#This Row],[Overall amount]]=0,0,1)</f>
        <v>1</v>
      </c>
      <c r="P723" s="70">
        <f>Table1[[#This Row],[Overall amount]]*Exchange_Rate</f>
        <v>1587.1072154051196</v>
      </c>
      <c r="Q723" s="70">
        <f>Table1[[#This Row],[Overall (destination currency)]]*(1+Claims_Inflation)^((Revalue_at_date-Table1[[#This Row],[Loss date]])/365.25)</f>
        <v>2175</v>
      </c>
      <c r="R723" s="70">
        <f>INT(Table1[[#This Row],[Reporting date]])-INT(Table1[[#This Row],[Loss date]])</f>
        <v>16</v>
      </c>
      <c r="S723" s="69" t="s">
        <v>9</v>
      </c>
      <c r="T723" s="70">
        <f>VLOOKUP(Table1[[#This Row],[Policy Year]],exposure_table,3,FALSE)</f>
        <v>760.22808576000011</v>
      </c>
      <c r="U723" s="17">
        <f>IF(MONTH(Table1[[#This Row],[Reporting date]])&lt;Policy_Inception_Month,YEAR(Table1[[#This Row],[Reporting date]])-1,YEAR(Table1[[#This Row],[Reporting date]]))</f>
        <v>2009</v>
      </c>
      <c r="V723" s="17">
        <f>Table1[[#This Row],[Reporting year]]-Table1[[#This Row],[Policy Year]]</f>
        <v>0</v>
      </c>
      <c r="W723" s="17">
        <f>INT(Table1[[#This Row],[Reporting date]])-INT(Table1[[#This Row],[Loss date]])</f>
        <v>16</v>
      </c>
      <c r="X723" s="17">
        <f>INT((YEAR(Table1[[#This Row],[Loss date]])*12+MONTH(Table1[[#This Row],[Loss date]])-Earliest_Month)/4)</f>
        <v>12</v>
      </c>
      <c r="Y723" s="17">
        <f>INT((YEAR(Table1[[#This Row],[Reporting date]])*12+MONTH(Table1[[#This Row],[Reporting date]])-Earliest_Month)/4)</f>
        <v>12</v>
      </c>
      <c r="Z723" s="17">
        <f>Table1[[#This Row],[Reporting third]]-Table1[[#This Row],[Policy third]]</f>
        <v>0</v>
      </c>
      <c r="AA723" s="71">
        <f>IF(Table1[[#This Row],[Overall amount]]=0,"N/A",Table1[[#This Row],[Outstanding]]/Table1[[#This Row],[Overall amount]])</f>
        <v>0</v>
      </c>
      <c r="AB723" s="17">
        <f>IF(MONTH(Table1[[#This Row],[Loss date]])&lt;Pol_Inc_Month_Shifted,YEAR(Table1[[#This Row],[Loss date]])-1,YEAR(Table1[[#This Row],[Loss date]]))</f>
        <v>2008</v>
      </c>
      <c r="AC723" s="17">
        <f>IF(MONTH(Table1[[#This Row],[Reporting date]])&lt;Pol_Inc_Month_Shifted,YEAR(Table1[[#This Row],[Reporting date]])-1,YEAR(Table1[[#This Row],[Reporting date]]))</f>
        <v>2008</v>
      </c>
      <c r="AD723" s="17">
        <f>Table1[[#This Row],[Reporting year (shifted)]]-Table1[[#This Row],[Policy Year (shifted)]]</f>
        <v>0</v>
      </c>
    </row>
    <row r="724" spans="1:30" ht="13.9">
      <c r="A724" s="8" t="s">
        <v>2494</v>
      </c>
      <c r="B724" s="8" t="s">
        <v>776</v>
      </c>
      <c r="C724" s="8" t="s">
        <v>123</v>
      </c>
      <c r="D724" s="9">
        <v>39865</v>
      </c>
      <c r="E724" s="9">
        <v>39938</v>
      </c>
      <c r="F724" s="17">
        <f>IF(MONTH(Table1[[#This Row],[Loss date]])&lt;Policy_Inception_Month,YEAR(Table1[[#This Row],[Loss date]])-1,YEAR(Table1[[#This Row],[Loss date]]))</f>
        <v>2008</v>
      </c>
      <c r="G724" s="10" t="s">
        <v>124</v>
      </c>
      <c r="H724" s="10" t="s">
        <v>2</v>
      </c>
      <c r="I724" s="11">
        <v>899.05751713733446</v>
      </c>
      <c r="J724" s="11">
        <v>0</v>
      </c>
      <c r="K724" s="11">
        <v>899.05751713733446</v>
      </c>
      <c r="L724" s="12">
        <v>0</v>
      </c>
      <c r="M724" s="12">
        <v>0</v>
      </c>
      <c r="N724" s="12">
        <v>899.05751713733446</v>
      </c>
      <c r="O724" s="70">
        <f>IF(Table1[[#This Row],[Overall amount]]=0,0,1)</f>
        <v>1</v>
      </c>
      <c r="P724" s="70">
        <f>Table1[[#This Row],[Overall amount]]*Exchange_Rate</f>
        <v>899.05751713733446</v>
      </c>
      <c r="Q724" s="70">
        <f>Table1[[#This Row],[Overall (destination currency)]]*(1+Claims_Inflation)^((Revalue_at_date-Table1[[#This Row],[Loss date]])/365.25)</f>
        <v>1241.0040000000001</v>
      </c>
      <c r="R724" s="70">
        <f>INT(Table1[[#This Row],[Reporting date]])-INT(Table1[[#This Row],[Loss date]])</f>
        <v>73</v>
      </c>
      <c r="S724" s="69" t="s">
        <v>9</v>
      </c>
      <c r="T724" s="70">
        <f>VLOOKUP(Table1[[#This Row],[Policy Year]],exposure_table,3,FALSE)</f>
        <v>601.98581780480015</v>
      </c>
      <c r="U724" s="17">
        <f>IF(MONTH(Table1[[#This Row],[Reporting date]])&lt;Policy_Inception_Month,YEAR(Table1[[#This Row],[Reporting date]])-1,YEAR(Table1[[#This Row],[Reporting date]]))</f>
        <v>2009</v>
      </c>
      <c r="V724" s="17">
        <f>Table1[[#This Row],[Reporting year]]-Table1[[#This Row],[Policy Year]]</f>
        <v>1</v>
      </c>
      <c r="W724" s="17">
        <f>INT(Table1[[#This Row],[Reporting date]])-INT(Table1[[#This Row],[Loss date]])</f>
        <v>73</v>
      </c>
      <c r="X724" s="17">
        <f>INT((YEAR(Table1[[#This Row],[Loss date]])*12+MONTH(Table1[[#This Row],[Loss date]])-Earliest_Month)/4)</f>
        <v>11</v>
      </c>
      <c r="Y724" s="17">
        <f>INT((YEAR(Table1[[#This Row],[Reporting date]])*12+MONTH(Table1[[#This Row],[Reporting date]])-Earliest_Month)/4)</f>
        <v>12</v>
      </c>
      <c r="Z724" s="17">
        <f>Table1[[#This Row],[Reporting third]]-Table1[[#This Row],[Policy third]]</f>
        <v>1</v>
      </c>
      <c r="AA724" s="71">
        <f>IF(Table1[[#This Row],[Overall amount]]=0,"N/A",Table1[[#This Row],[Outstanding]]/Table1[[#This Row],[Overall amount]])</f>
        <v>0</v>
      </c>
      <c r="AB724" s="17">
        <f>IF(MONTH(Table1[[#This Row],[Loss date]])&lt;Pol_Inc_Month_Shifted,YEAR(Table1[[#This Row],[Loss date]])-1,YEAR(Table1[[#This Row],[Loss date]]))</f>
        <v>2008</v>
      </c>
      <c r="AC724" s="17">
        <f>IF(MONTH(Table1[[#This Row],[Reporting date]])&lt;Pol_Inc_Month_Shifted,YEAR(Table1[[#This Row],[Reporting date]])-1,YEAR(Table1[[#This Row],[Reporting date]]))</f>
        <v>2008</v>
      </c>
      <c r="AD724" s="17">
        <f>Table1[[#This Row],[Reporting year (shifted)]]-Table1[[#This Row],[Policy Year (shifted)]]</f>
        <v>0</v>
      </c>
    </row>
    <row r="725" spans="1:30" ht="13.9">
      <c r="A725" s="8" t="s">
        <v>2495</v>
      </c>
      <c r="B725" s="8" t="s">
        <v>777</v>
      </c>
      <c r="C725" s="8" t="s">
        <v>123</v>
      </c>
      <c r="D725" s="9">
        <v>39271</v>
      </c>
      <c r="E725" s="9">
        <v>40013</v>
      </c>
      <c r="F725" s="17">
        <f>IF(MONTH(Table1[[#This Row],[Loss date]])&lt;Policy_Inception_Month,YEAR(Table1[[#This Row],[Loss date]])-1,YEAR(Table1[[#This Row],[Loss date]]))</f>
        <v>2007</v>
      </c>
      <c r="G725" s="10" t="s">
        <v>131</v>
      </c>
      <c r="H725" s="10" t="s">
        <v>2</v>
      </c>
      <c r="I725" s="11">
        <v>54793.052180018327</v>
      </c>
      <c r="J725" s="11">
        <v>0</v>
      </c>
      <c r="K725" s="11">
        <v>54793.052180018327</v>
      </c>
      <c r="L725" s="12">
        <v>0</v>
      </c>
      <c r="M725" s="12">
        <v>0</v>
      </c>
      <c r="N725" s="12">
        <v>54793.052180018327</v>
      </c>
      <c r="O725" s="70">
        <f>IF(Table1[[#This Row],[Overall amount]]=0,0,1)</f>
        <v>1</v>
      </c>
      <c r="P725" s="70">
        <f>Table1[[#This Row],[Overall amount]]*Exchange_Rate</f>
        <v>54793.052180018327</v>
      </c>
      <c r="Q725" s="70">
        <f>Table1[[#This Row],[Overall (destination currency)]]*(1+Claims_Inflation)^((Revalue_at_date-Table1[[#This Row],[Loss date]])/365.25)</f>
        <v>81878.711999999985</v>
      </c>
      <c r="R725" s="70">
        <f>INT(Table1[[#This Row],[Reporting date]])-INT(Table1[[#This Row],[Loss date]])</f>
        <v>742</v>
      </c>
      <c r="S725" s="69" t="s">
        <v>9</v>
      </c>
      <c r="T725" s="70">
        <f>VLOOKUP(Table1[[#This Row],[Policy Year]],exposure_table,3,FALSE)</f>
        <v>547.7736362475523</v>
      </c>
      <c r="U725" s="17">
        <f>IF(MONTH(Table1[[#This Row],[Reporting date]])&lt;Policy_Inception_Month,YEAR(Table1[[#This Row],[Reporting date]])-1,YEAR(Table1[[#This Row],[Reporting date]]))</f>
        <v>2009</v>
      </c>
      <c r="V725" s="17">
        <f>Table1[[#This Row],[Reporting year]]-Table1[[#This Row],[Policy Year]]</f>
        <v>2</v>
      </c>
      <c r="W725" s="17">
        <f>INT(Table1[[#This Row],[Reporting date]])-INT(Table1[[#This Row],[Loss date]])</f>
        <v>742</v>
      </c>
      <c r="X725" s="17">
        <f>INT((YEAR(Table1[[#This Row],[Loss date]])*12+MONTH(Table1[[#This Row],[Loss date]])-Earliest_Month)/4)</f>
        <v>6</v>
      </c>
      <c r="Y725" s="17">
        <f>INT((YEAR(Table1[[#This Row],[Reporting date]])*12+MONTH(Table1[[#This Row],[Reporting date]])-Earliest_Month)/4)</f>
        <v>12</v>
      </c>
      <c r="Z725" s="17">
        <f>Table1[[#This Row],[Reporting third]]-Table1[[#This Row],[Policy third]]</f>
        <v>6</v>
      </c>
      <c r="AA725" s="71">
        <f>IF(Table1[[#This Row],[Overall amount]]=0,"N/A",Table1[[#This Row],[Outstanding]]/Table1[[#This Row],[Overall amount]])</f>
        <v>0</v>
      </c>
      <c r="AB725" s="17">
        <f>IF(MONTH(Table1[[#This Row],[Loss date]])&lt;Pol_Inc_Month_Shifted,YEAR(Table1[[#This Row],[Loss date]])-1,YEAR(Table1[[#This Row],[Loss date]]))</f>
        <v>2006</v>
      </c>
      <c r="AC725" s="17">
        <f>IF(MONTH(Table1[[#This Row],[Reporting date]])&lt;Pol_Inc_Month_Shifted,YEAR(Table1[[#This Row],[Reporting date]])-1,YEAR(Table1[[#This Row],[Reporting date]]))</f>
        <v>2008</v>
      </c>
      <c r="AD725" s="17">
        <f>Table1[[#This Row],[Reporting year (shifted)]]-Table1[[#This Row],[Policy Year (shifted)]]</f>
        <v>2</v>
      </c>
    </row>
    <row r="726" spans="1:30" ht="13.9">
      <c r="A726" s="8" t="s">
        <v>2496</v>
      </c>
      <c r="B726" s="8" t="s">
        <v>778</v>
      </c>
      <c r="C726" s="8" t="s">
        <v>123</v>
      </c>
      <c r="D726" s="9">
        <v>39916</v>
      </c>
      <c r="E726" s="9">
        <v>40013</v>
      </c>
      <c r="F726" s="17">
        <f>IF(MONTH(Table1[[#This Row],[Loss date]])&lt;Policy_Inception_Month,YEAR(Table1[[#This Row],[Loss date]])-1,YEAR(Table1[[#This Row],[Loss date]]))</f>
        <v>2009</v>
      </c>
      <c r="G726" s="10" t="s">
        <v>125</v>
      </c>
      <c r="H726" s="10" t="s">
        <v>2</v>
      </c>
      <c r="I726" s="11">
        <v>723.43092400851435</v>
      </c>
      <c r="J726" s="11">
        <v>0</v>
      </c>
      <c r="K726" s="11">
        <v>723.43092400851435</v>
      </c>
      <c r="L726" s="12">
        <v>0</v>
      </c>
      <c r="M726" s="12">
        <v>0</v>
      </c>
      <c r="N726" s="12">
        <v>723.43092400851435</v>
      </c>
      <c r="O726" s="70">
        <f>IF(Table1[[#This Row],[Overall amount]]=0,0,1)</f>
        <v>1</v>
      </c>
      <c r="P726" s="70">
        <f>Table1[[#This Row],[Overall amount]]*Exchange_Rate</f>
        <v>723.43092400851435</v>
      </c>
      <c r="Q726" s="70">
        <f>Table1[[#This Row],[Overall (destination currency)]]*(1+Claims_Inflation)^((Revalue_at_date-Table1[[#This Row],[Loss date]])/365.25)</f>
        <v>991.79999999999984</v>
      </c>
      <c r="R726" s="70">
        <f>INT(Table1[[#This Row],[Reporting date]])-INT(Table1[[#This Row],[Loss date]])</f>
        <v>97</v>
      </c>
      <c r="S726" s="69" t="s">
        <v>9</v>
      </c>
      <c r="T726" s="70">
        <f>VLOOKUP(Table1[[#This Row],[Policy Year]],exposure_table,3,FALSE)</f>
        <v>760.22808576000011</v>
      </c>
      <c r="U726" s="17">
        <f>IF(MONTH(Table1[[#This Row],[Reporting date]])&lt;Policy_Inception_Month,YEAR(Table1[[#This Row],[Reporting date]])-1,YEAR(Table1[[#This Row],[Reporting date]]))</f>
        <v>2009</v>
      </c>
      <c r="V726" s="17">
        <f>Table1[[#This Row],[Reporting year]]-Table1[[#This Row],[Policy Year]]</f>
        <v>0</v>
      </c>
      <c r="W726" s="17">
        <f>INT(Table1[[#This Row],[Reporting date]])-INT(Table1[[#This Row],[Loss date]])</f>
        <v>97</v>
      </c>
      <c r="X726" s="17">
        <f>INT((YEAR(Table1[[#This Row],[Loss date]])*12+MONTH(Table1[[#This Row],[Loss date]])-Earliest_Month)/4)</f>
        <v>12</v>
      </c>
      <c r="Y726" s="17">
        <f>INT((YEAR(Table1[[#This Row],[Reporting date]])*12+MONTH(Table1[[#This Row],[Reporting date]])-Earliest_Month)/4)</f>
        <v>12</v>
      </c>
      <c r="Z726" s="17">
        <f>Table1[[#This Row],[Reporting third]]-Table1[[#This Row],[Policy third]]</f>
        <v>0</v>
      </c>
      <c r="AA726" s="71">
        <f>IF(Table1[[#This Row],[Overall amount]]=0,"N/A",Table1[[#This Row],[Outstanding]]/Table1[[#This Row],[Overall amount]])</f>
        <v>0</v>
      </c>
      <c r="AB726" s="17">
        <f>IF(MONTH(Table1[[#This Row],[Loss date]])&lt;Pol_Inc_Month_Shifted,YEAR(Table1[[#This Row],[Loss date]])-1,YEAR(Table1[[#This Row],[Loss date]]))</f>
        <v>2008</v>
      </c>
      <c r="AC726" s="17">
        <f>IF(MONTH(Table1[[#This Row],[Reporting date]])&lt;Pol_Inc_Month_Shifted,YEAR(Table1[[#This Row],[Reporting date]])-1,YEAR(Table1[[#This Row],[Reporting date]]))</f>
        <v>2008</v>
      </c>
      <c r="AD726" s="17">
        <f>Table1[[#This Row],[Reporting year (shifted)]]-Table1[[#This Row],[Policy Year (shifted)]]</f>
        <v>0</v>
      </c>
    </row>
    <row r="727" spans="1:30" ht="13.9">
      <c r="A727" s="8" t="s">
        <v>2497</v>
      </c>
      <c r="B727" s="8" t="s">
        <v>779</v>
      </c>
      <c r="C727" s="8" t="s">
        <v>123</v>
      </c>
      <c r="D727" s="9">
        <v>40041</v>
      </c>
      <c r="E727" s="9">
        <v>40235</v>
      </c>
      <c r="F727" s="17">
        <f>IF(MONTH(Table1[[#This Row],[Loss date]])&lt;Policy_Inception_Month,YEAR(Table1[[#This Row],[Loss date]])-1,YEAR(Table1[[#This Row],[Loss date]]))</f>
        <v>2009</v>
      </c>
      <c r="G727" s="10" t="s">
        <v>125</v>
      </c>
      <c r="H727" s="10" t="s">
        <v>2</v>
      </c>
      <c r="I727" s="11">
        <v>8506.6010952491706</v>
      </c>
      <c r="J727" s="11">
        <v>0</v>
      </c>
      <c r="K727" s="11">
        <v>8506.6010952491706</v>
      </c>
      <c r="L727" s="12">
        <v>133.50487142600997</v>
      </c>
      <c r="M727" s="12">
        <v>0</v>
      </c>
      <c r="N727" s="12">
        <v>8640.1059666751808</v>
      </c>
      <c r="O727" s="70">
        <f>IF(Table1[[#This Row],[Overall amount]]=0,0,1)</f>
        <v>1</v>
      </c>
      <c r="P727" s="70">
        <f>Table1[[#This Row],[Overall amount]]*Exchange_Rate</f>
        <v>8640.1059666751808</v>
      </c>
      <c r="Q727" s="70">
        <f>Table1[[#This Row],[Overall (destination currency)]]*(1+Claims_Inflation)^((Revalue_at_date-Table1[[#This Row],[Loss date]])/365.25)</f>
        <v>11649.155999999999</v>
      </c>
      <c r="R727" s="70">
        <f>INT(Table1[[#This Row],[Reporting date]])-INT(Table1[[#This Row],[Loss date]])</f>
        <v>194</v>
      </c>
      <c r="S727" s="69" t="s">
        <v>9</v>
      </c>
      <c r="T727" s="70">
        <f>VLOOKUP(Table1[[#This Row],[Policy Year]],exposure_table,3,FALSE)</f>
        <v>760.22808576000011</v>
      </c>
      <c r="U727" s="17">
        <f>IF(MONTH(Table1[[#This Row],[Reporting date]])&lt;Policy_Inception_Month,YEAR(Table1[[#This Row],[Reporting date]])-1,YEAR(Table1[[#This Row],[Reporting date]]))</f>
        <v>2009</v>
      </c>
      <c r="V727" s="17">
        <f>Table1[[#This Row],[Reporting year]]-Table1[[#This Row],[Policy Year]]</f>
        <v>0</v>
      </c>
      <c r="W727" s="17">
        <f>INT(Table1[[#This Row],[Reporting date]])-INT(Table1[[#This Row],[Loss date]])</f>
        <v>194</v>
      </c>
      <c r="X727" s="17">
        <f>INT((YEAR(Table1[[#This Row],[Loss date]])*12+MONTH(Table1[[#This Row],[Loss date]])-Earliest_Month)/4)</f>
        <v>13</v>
      </c>
      <c r="Y727" s="17">
        <f>INT((YEAR(Table1[[#This Row],[Reporting date]])*12+MONTH(Table1[[#This Row],[Reporting date]])-Earliest_Month)/4)</f>
        <v>14</v>
      </c>
      <c r="Z727" s="17">
        <f>Table1[[#This Row],[Reporting third]]-Table1[[#This Row],[Policy third]]</f>
        <v>1</v>
      </c>
      <c r="AA727" s="71">
        <f>IF(Table1[[#This Row],[Overall amount]]=0,"N/A",Table1[[#This Row],[Outstanding]]/Table1[[#This Row],[Overall amount]])</f>
        <v>0</v>
      </c>
      <c r="AB727" s="17">
        <f>IF(MONTH(Table1[[#This Row],[Loss date]])&lt;Pol_Inc_Month_Shifted,YEAR(Table1[[#This Row],[Loss date]])-1,YEAR(Table1[[#This Row],[Loss date]]))</f>
        <v>2008</v>
      </c>
      <c r="AC727" s="17">
        <f>IF(MONTH(Table1[[#This Row],[Reporting date]])&lt;Pol_Inc_Month_Shifted,YEAR(Table1[[#This Row],[Reporting date]])-1,YEAR(Table1[[#This Row],[Reporting date]]))</f>
        <v>2009</v>
      </c>
      <c r="AD727" s="17">
        <f>Table1[[#This Row],[Reporting year (shifted)]]-Table1[[#This Row],[Policy Year (shifted)]]</f>
        <v>1</v>
      </c>
    </row>
    <row r="728" spans="1:30" ht="13.9">
      <c r="A728" s="8" t="s">
        <v>2498</v>
      </c>
      <c r="B728" s="8" t="s">
        <v>780</v>
      </c>
      <c r="C728" s="8" t="s">
        <v>123</v>
      </c>
      <c r="D728" s="9">
        <v>38958</v>
      </c>
      <c r="E728" s="9">
        <v>40083</v>
      </c>
      <c r="F728" s="17">
        <f>IF(MONTH(Table1[[#This Row],[Loss date]])&lt;Policy_Inception_Month,YEAR(Table1[[#This Row],[Loss date]])-1,YEAR(Table1[[#This Row],[Loss date]]))</f>
        <v>2006</v>
      </c>
      <c r="G728" s="10" t="s">
        <v>125</v>
      </c>
      <c r="H728" s="10" t="s">
        <v>2</v>
      </c>
      <c r="I728" s="11">
        <v>534.61786216345627</v>
      </c>
      <c r="J728" s="11">
        <v>0</v>
      </c>
      <c r="K728" s="11">
        <v>534.61786216345627</v>
      </c>
      <c r="L728" s="12">
        <v>0</v>
      </c>
      <c r="M728" s="12">
        <v>0</v>
      </c>
      <c r="N728" s="12">
        <v>534.61786216345627</v>
      </c>
      <c r="O728" s="70">
        <f>IF(Table1[[#This Row],[Overall amount]]=0,0,1)</f>
        <v>1</v>
      </c>
      <c r="P728" s="70">
        <f>Table1[[#This Row],[Overall amount]]*Exchange_Rate</f>
        <v>534.61786216345627</v>
      </c>
      <c r="Q728" s="70">
        <f>Table1[[#This Row],[Overall (destination currency)]]*(1+Claims_Inflation)^((Revalue_at_date-Table1[[#This Row],[Loss date]])/365.25)</f>
        <v>833.00399999999991</v>
      </c>
      <c r="R728" s="70">
        <f>INT(Table1[[#This Row],[Reporting date]])-INT(Table1[[#This Row],[Loss date]])</f>
        <v>1125</v>
      </c>
      <c r="S728" s="69" t="s">
        <v>9</v>
      </c>
      <c r="T728" s="70">
        <f>VLOOKUP(Table1[[#This Row],[Policy Year]],exposure_table,3,FALSE)</f>
        <v>483.32023209000977</v>
      </c>
      <c r="U728" s="17">
        <f>IF(MONTH(Table1[[#This Row],[Reporting date]])&lt;Policy_Inception_Month,YEAR(Table1[[#This Row],[Reporting date]])-1,YEAR(Table1[[#This Row],[Reporting date]]))</f>
        <v>2009</v>
      </c>
      <c r="V728" s="17">
        <f>Table1[[#This Row],[Reporting year]]-Table1[[#This Row],[Policy Year]]</f>
        <v>3</v>
      </c>
      <c r="W728" s="17">
        <f>INT(Table1[[#This Row],[Reporting date]])-INT(Table1[[#This Row],[Loss date]])</f>
        <v>1125</v>
      </c>
      <c r="X728" s="17">
        <f>INT((YEAR(Table1[[#This Row],[Loss date]])*12+MONTH(Table1[[#This Row],[Loss date]])-Earliest_Month)/4)</f>
        <v>4</v>
      </c>
      <c r="Y728" s="17">
        <f>INT((YEAR(Table1[[#This Row],[Reporting date]])*12+MONTH(Table1[[#This Row],[Reporting date]])-Earliest_Month)/4)</f>
        <v>13</v>
      </c>
      <c r="Z728" s="17">
        <f>Table1[[#This Row],[Reporting third]]-Table1[[#This Row],[Policy third]]</f>
        <v>9</v>
      </c>
      <c r="AA728" s="71">
        <f>IF(Table1[[#This Row],[Overall amount]]=0,"N/A",Table1[[#This Row],[Outstanding]]/Table1[[#This Row],[Overall amount]])</f>
        <v>0</v>
      </c>
      <c r="AB728" s="17">
        <f>IF(MONTH(Table1[[#This Row],[Loss date]])&lt;Pol_Inc_Month_Shifted,YEAR(Table1[[#This Row],[Loss date]])-1,YEAR(Table1[[#This Row],[Loss date]]))</f>
        <v>2005</v>
      </c>
      <c r="AC728" s="17">
        <f>IF(MONTH(Table1[[#This Row],[Reporting date]])&lt;Pol_Inc_Month_Shifted,YEAR(Table1[[#This Row],[Reporting date]])-1,YEAR(Table1[[#This Row],[Reporting date]]))</f>
        <v>2008</v>
      </c>
      <c r="AD728" s="17">
        <f>Table1[[#This Row],[Reporting year (shifted)]]-Table1[[#This Row],[Policy Year (shifted)]]</f>
        <v>3</v>
      </c>
    </row>
    <row r="729" spans="1:30" ht="13.9">
      <c r="A729" s="8" t="s">
        <v>2499</v>
      </c>
      <c r="B729" s="8" t="s">
        <v>781</v>
      </c>
      <c r="C729" s="8" t="s">
        <v>123</v>
      </c>
      <c r="D729" s="9">
        <v>39757</v>
      </c>
      <c r="E729" s="9">
        <v>40140</v>
      </c>
      <c r="F729" s="17">
        <f>IF(MONTH(Table1[[#This Row],[Loss date]])&lt;Policy_Inception_Month,YEAR(Table1[[#This Row],[Loss date]])-1,YEAR(Table1[[#This Row],[Loss date]]))</f>
        <v>2008</v>
      </c>
      <c r="G729" s="10" t="s">
        <v>125</v>
      </c>
      <c r="H729" s="10" t="s">
        <v>2</v>
      </c>
      <c r="I729" s="11">
        <v>230.65176208675115</v>
      </c>
      <c r="J729" s="11">
        <v>0</v>
      </c>
      <c r="K729" s="11">
        <v>230.65176208675115</v>
      </c>
      <c r="L729" s="12">
        <v>0</v>
      </c>
      <c r="M729" s="12">
        <v>6.4582493384290318</v>
      </c>
      <c r="N729" s="12">
        <v>224.19351274832212</v>
      </c>
      <c r="O729" s="70">
        <f>IF(Table1[[#This Row],[Overall amount]]=0,0,1)</f>
        <v>1</v>
      </c>
      <c r="P729" s="70">
        <f>Table1[[#This Row],[Overall amount]]*Exchange_Rate</f>
        <v>224.19351274832212</v>
      </c>
      <c r="Q729" s="70">
        <f>Table1[[#This Row],[Overall (destination currency)]]*(1+Claims_Inflation)^((Revalue_at_date-Table1[[#This Row],[Loss date]])/365.25)</f>
        <v>313.95988800000003</v>
      </c>
      <c r="R729" s="70">
        <f>INT(Table1[[#This Row],[Reporting date]])-INT(Table1[[#This Row],[Loss date]])</f>
        <v>383</v>
      </c>
      <c r="S729" s="69" t="s">
        <v>9</v>
      </c>
      <c r="T729" s="70">
        <f>VLOOKUP(Table1[[#This Row],[Policy Year]],exposure_table,3,FALSE)</f>
        <v>601.98581780480015</v>
      </c>
      <c r="U729" s="17">
        <f>IF(MONTH(Table1[[#This Row],[Reporting date]])&lt;Policy_Inception_Month,YEAR(Table1[[#This Row],[Reporting date]])-1,YEAR(Table1[[#This Row],[Reporting date]]))</f>
        <v>2009</v>
      </c>
      <c r="V729" s="17">
        <f>Table1[[#This Row],[Reporting year]]-Table1[[#This Row],[Policy Year]]</f>
        <v>1</v>
      </c>
      <c r="W729" s="17">
        <f>INT(Table1[[#This Row],[Reporting date]])-INT(Table1[[#This Row],[Loss date]])</f>
        <v>383</v>
      </c>
      <c r="X729" s="17">
        <f>INT((YEAR(Table1[[#This Row],[Loss date]])*12+MONTH(Table1[[#This Row],[Loss date]])-Earliest_Month)/4)</f>
        <v>10</v>
      </c>
      <c r="Y729" s="17">
        <f>INT((YEAR(Table1[[#This Row],[Reporting date]])*12+MONTH(Table1[[#This Row],[Reporting date]])-Earliest_Month)/4)</f>
        <v>13</v>
      </c>
      <c r="Z729" s="17">
        <f>Table1[[#This Row],[Reporting third]]-Table1[[#This Row],[Policy third]]</f>
        <v>3</v>
      </c>
      <c r="AA729" s="71">
        <f>IF(Table1[[#This Row],[Overall amount]]=0,"N/A",Table1[[#This Row],[Outstanding]]/Table1[[#This Row],[Overall amount]])</f>
        <v>0</v>
      </c>
      <c r="AB729" s="17">
        <f>IF(MONTH(Table1[[#This Row],[Loss date]])&lt;Pol_Inc_Month_Shifted,YEAR(Table1[[#This Row],[Loss date]])-1,YEAR(Table1[[#This Row],[Loss date]]))</f>
        <v>2007</v>
      </c>
      <c r="AC729" s="17">
        <f>IF(MONTH(Table1[[#This Row],[Reporting date]])&lt;Pol_Inc_Month_Shifted,YEAR(Table1[[#This Row],[Reporting date]])-1,YEAR(Table1[[#This Row],[Reporting date]]))</f>
        <v>2008</v>
      </c>
      <c r="AD729" s="17">
        <f>Table1[[#This Row],[Reporting year (shifted)]]-Table1[[#This Row],[Policy Year (shifted)]]</f>
        <v>1</v>
      </c>
    </row>
    <row r="730" spans="1:30" ht="13.9">
      <c r="A730" s="8" t="s">
        <v>2500</v>
      </c>
      <c r="B730" s="8" t="s">
        <v>782</v>
      </c>
      <c r="C730" s="8" t="s">
        <v>123</v>
      </c>
      <c r="D730" s="9">
        <v>40013</v>
      </c>
      <c r="E730" s="9">
        <v>40215</v>
      </c>
      <c r="F730" s="17">
        <f>IF(MONTH(Table1[[#This Row],[Loss date]])&lt;Policy_Inception_Month,YEAR(Table1[[#This Row],[Loss date]])-1,YEAR(Table1[[#This Row],[Loss date]]))</f>
        <v>2009</v>
      </c>
      <c r="G730" s="10" t="s">
        <v>125</v>
      </c>
      <c r="H730" s="10" t="s">
        <v>2</v>
      </c>
      <c r="I730" s="11">
        <v>5983.1006674642513</v>
      </c>
      <c r="J730" s="11">
        <v>0</v>
      </c>
      <c r="K730" s="11">
        <v>5983.1006674642513</v>
      </c>
      <c r="L730" s="12">
        <v>0</v>
      </c>
      <c r="M730" s="12">
        <v>0</v>
      </c>
      <c r="N730" s="12">
        <v>5983.1006674642513</v>
      </c>
      <c r="O730" s="70">
        <f>IF(Table1[[#This Row],[Overall amount]]=0,0,1)</f>
        <v>1</v>
      </c>
      <c r="P730" s="70">
        <f>Table1[[#This Row],[Overall amount]]*Exchange_Rate</f>
        <v>5983.1006674642513</v>
      </c>
      <c r="Q730" s="70">
        <f>Table1[[#This Row],[Overall (destination currency)]]*(1+Claims_Inflation)^((Revalue_at_date-Table1[[#This Row],[Loss date]])/365.25)</f>
        <v>8097.0359999999991</v>
      </c>
      <c r="R730" s="70">
        <f>INT(Table1[[#This Row],[Reporting date]])-INT(Table1[[#This Row],[Loss date]])</f>
        <v>202</v>
      </c>
      <c r="S730" s="69" t="s">
        <v>9</v>
      </c>
      <c r="T730" s="70">
        <f>VLOOKUP(Table1[[#This Row],[Policy Year]],exposure_table,3,FALSE)</f>
        <v>760.22808576000011</v>
      </c>
      <c r="U730" s="17">
        <f>IF(MONTH(Table1[[#This Row],[Reporting date]])&lt;Policy_Inception_Month,YEAR(Table1[[#This Row],[Reporting date]])-1,YEAR(Table1[[#This Row],[Reporting date]]))</f>
        <v>2009</v>
      </c>
      <c r="V730" s="17">
        <f>Table1[[#This Row],[Reporting year]]-Table1[[#This Row],[Policy Year]]</f>
        <v>0</v>
      </c>
      <c r="W730" s="17">
        <f>INT(Table1[[#This Row],[Reporting date]])-INT(Table1[[#This Row],[Loss date]])</f>
        <v>202</v>
      </c>
      <c r="X730" s="17">
        <f>INT((YEAR(Table1[[#This Row],[Loss date]])*12+MONTH(Table1[[#This Row],[Loss date]])-Earliest_Month)/4)</f>
        <v>12</v>
      </c>
      <c r="Y730" s="17">
        <f>INT((YEAR(Table1[[#This Row],[Reporting date]])*12+MONTH(Table1[[#This Row],[Reporting date]])-Earliest_Month)/4)</f>
        <v>14</v>
      </c>
      <c r="Z730" s="17">
        <f>Table1[[#This Row],[Reporting third]]-Table1[[#This Row],[Policy third]]</f>
        <v>2</v>
      </c>
      <c r="AA730" s="71">
        <f>IF(Table1[[#This Row],[Overall amount]]=0,"N/A",Table1[[#This Row],[Outstanding]]/Table1[[#This Row],[Overall amount]])</f>
        <v>0</v>
      </c>
      <c r="AB730" s="17">
        <f>IF(MONTH(Table1[[#This Row],[Loss date]])&lt;Pol_Inc_Month_Shifted,YEAR(Table1[[#This Row],[Loss date]])-1,YEAR(Table1[[#This Row],[Loss date]]))</f>
        <v>2008</v>
      </c>
      <c r="AC730" s="17">
        <f>IF(MONTH(Table1[[#This Row],[Reporting date]])&lt;Pol_Inc_Month_Shifted,YEAR(Table1[[#This Row],[Reporting date]])-1,YEAR(Table1[[#This Row],[Reporting date]]))</f>
        <v>2009</v>
      </c>
      <c r="AD730" s="17">
        <f>Table1[[#This Row],[Reporting year (shifted)]]-Table1[[#This Row],[Policy Year (shifted)]]</f>
        <v>1</v>
      </c>
    </row>
    <row r="731" spans="1:30" ht="13.9">
      <c r="A731" s="8" t="s">
        <v>2501</v>
      </c>
      <c r="B731" s="8" t="s">
        <v>783</v>
      </c>
      <c r="C731" s="8" t="s">
        <v>123</v>
      </c>
      <c r="D731" s="9">
        <v>40034</v>
      </c>
      <c r="E731" s="9">
        <v>40214</v>
      </c>
      <c r="F731" s="17">
        <f>IF(MONTH(Table1[[#This Row],[Loss date]])&lt;Policy_Inception_Month,YEAR(Table1[[#This Row],[Loss date]])-1,YEAR(Table1[[#This Row],[Loss date]]))</f>
        <v>2009</v>
      </c>
      <c r="G731" s="10" t="s">
        <v>125</v>
      </c>
      <c r="H731" s="10" t="s">
        <v>2</v>
      </c>
      <c r="I731" s="11">
        <v>12774.514121642924</v>
      </c>
      <c r="J731" s="11">
        <v>0</v>
      </c>
      <c r="K731" s="11">
        <v>12774.514121642924</v>
      </c>
      <c r="L731" s="12">
        <v>0</v>
      </c>
      <c r="M731" s="12">
        <v>0</v>
      </c>
      <c r="N731" s="12">
        <v>12774.514121642924</v>
      </c>
      <c r="O731" s="70">
        <f>IF(Table1[[#This Row],[Overall amount]]=0,0,1)</f>
        <v>1</v>
      </c>
      <c r="P731" s="70">
        <f>Table1[[#This Row],[Overall amount]]*Exchange_Rate</f>
        <v>12774.514121642924</v>
      </c>
      <c r="Q731" s="70">
        <f>Table1[[#This Row],[Overall (destination currency)]]*(1+Claims_Inflation)^((Revalue_at_date-Table1[[#This Row],[Loss date]])/365.25)</f>
        <v>17239.547999999999</v>
      </c>
      <c r="R731" s="70">
        <f>INT(Table1[[#This Row],[Reporting date]])-INT(Table1[[#This Row],[Loss date]])</f>
        <v>180</v>
      </c>
      <c r="S731" s="69" t="s">
        <v>9</v>
      </c>
      <c r="T731" s="70">
        <f>VLOOKUP(Table1[[#This Row],[Policy Year]],exposure_table,3,FALSE)</f>
        <v>760.22808576000011</v>
      </c>
      <c r="U731" s="17">
        <f>IF(MONTH(Table1[[#This Row],[Reporting date]])&lt;Policy_Inception_Month,YEAR(Table1[[#This Row],[Reporting date]])-1,YEAR(Table1[[#This Row],[Reporting date]]))</f>
        <v>2009</v>
      </c>
      <c r="V731" s="17">
        <f>Table1[[#This Row],[Reporting year]]-Table1[[#This Row],[Policy Year]]</f>
        <v>0</v>
      </c>
      <c r="W731" s="17">
        <f>INT(Table1[[#This Row],[Reporting date]])-INT(Table1[[#This Row],[Loss date]])</f>
        <v>180</v>
      </c>
      <c r="X731" s="17">
        <f>INT((YEAR(Table1[[#This Row],[Loss date]])*12+MONTH(Table1[[#This Row],[Loss date]])-Earliest_Month)/4)</f>
        <v>13</v>
      </c>
      <c r="Y731" s="17">
        <f>INT((YEAR(Table1[[#This Row],[Reporting date]])*12+MONTH(Table1[[#This Row],[Reporting date]])-Earliest_Month)/4)</f>
        <v>14</v>
      </c>
      <c r="Z731" s="17">
        <f>Table1[[#This Row],[Reporting third]]-Table1[[#This Row],[Policy third]]</f>
        <v>1</v>
      </c>
      <c r="AA731" s="71">
        <f>IF(Table1[[#This Row],[Overall amount]]=0,"N/A",Table1[[#This Row],[Outstanding]]/Table1[[#This Row],[Overall amount]])</f>
        <v>0</v>
      </c>
      <c r="AB731" s="17">
        <f>IF(MONTH(Table1[[#This Row],[Loss date]])&lt;Pol_Inc_Month_Shifted,YEAR(Table1[[#This Row],[Loss date]])-1,YEAR(Table1[[#This Row],[Loss date]]))</f>
        <v>2008</v>
      </c>
      <c r="AC731" s="17">
        <f>IF(MONTH(Table1[[#This Row],[Reporting date]])&lt;Pol_Inc_Month_Shifted,YEAR(Table1[[#This Row],[Reporting date]])-1,YEAR(Table1[[#This Row],[Reporting date]]))</f>
        <v>2009</v>
      </c>
      <c r="AD731" s="17">
        <f>Table1[[#This Row],[Reporting year (shifted)]]-Table1[[#This Row],[Policy Year (shifted)]]</f>
        <v>1</v>
      </c>
    </row>
    <row r="732" spans="1:30" ht="13.9">
      <c r="A732" s="8" t="s">
        <v>2502</v>
      </c>
      <c r="B732" s="8" t="s">
        <v>784</v>
      </c>
      <c r="C732" s="8" t="s">
        <v>123</v>
      </c>
      <c r="D732" s="9">
        <v>40259</v>
      </c>
      <c r="E732" s="9">
        <v>40272</v>
      </c>
      <c r="F732" s="17">
        <f>IF(MONTH(Table1[[#This Row],[Loss date]])&lt;Policy_Inception_Month,YEAR(Table1[[#This Row],[Loss date]])-1,YEAR(Table1[[#This Row],[Loss date]]))</f>
        <v>2009</v>
      </c>
      <c r="G732" s="10" t="s">
        <v>125</v>
      </c>
      <c r="H732" s="10" t="s">
        <v>2</v>
      </c>
      <c r="I732" s="11">
        <v>451.75153550763713</v>
      </c>
      <c r="J732" s="11">
        <v>0</v>
      </c>
      <c r="K732" s="11">
        <v>451.75153550763713</v>
      </c>
      <c r="L732" s="12">
        <v>0</v>
      </c>
      <c r="M732" s="12">
        <v>0</v>
      </c>
      <c r="N732" s="12">
        <v>451.75153550763713</v>
      </c>
      <c r="O732" s="70">
        <f>IF(Table1[[#This Row],[Overall amount]]=0,0,1)</f>
        <v>1</v>
      </c>
      <c r="P732" s="70">
        <f>Table1[[#This Row],[Overall amount]]*Exchange_Rate</f>
        <v>451.75153550763713</v>
      </c>
      <c r="Q732" s="70">
        <f>Table1[[#This Row],[Overall (destination currency)]]*(1+Claims_Inflation)^((Revalue_at_date-Table1[[#This Row],[Loss date]])/365.25)</f>
        <v>591.6</v>
      </c>
      <c r="R732" s="70">
        <f>INT(Table1[[#This Row],[Reporting date]])-INT(Table1[[#This Row],[Loss date]])</f>
        <v>13</v>
      </c>
      <c r="S732" s="69" t="s">
        <v>9</v>
      </c>
      <c r="T732" s="70">
        <f>VLOOKUP(Table1[[#This Row],[Policy Year]],exposure_table,3,FALSE)</f>
        <v>760.22808576000011</v>
      </c>
      <c r="U732" s="17">
        <f>IF(MONTH(Table1[[#This Row],[Reporting date]])&lt;Policy_Inception_Month,YEAR(Table1[[#This Row],[Reporting date]])-1,YEAR(Table1[[#This Row],[Reporting date]]))</f>
        <v>2010</v>
      </c>
      <c r="V732" s="17">
        <f>Table1[[#This Row],[Reporting year]]-Table1[[#This Row],[Policy Year]]</f>
        <v>1</v>
      </c>
      <c r="W732" s="17">
        <f>INT(Table1[[#This Row],[Reporting date]])-INT(Table1[[#This Row],[Loss date]])</f>
        <v>13</v>
      </c>
      <c r="X732" s="17">
        <f>INT((YEAR(Table1[[#This Row],[Loss date]])*12+MONTH(Table1[[#This Row],[Loss date]])-Earliest_Month)/4)</f>
        <v>14</v>
      </c>
      <c r="Y732" s="17">
        <f>INT((YEAR(Table1[[#This Row],[Reporting date]])*12+MONTH(Table1[[#This Row],[Reporting date]])-Earliest_Month)/4)</f>
        <v>15</v>
      </c>
      <c r="Z732" s="17">
        <f>Table1[[#This Row],[Reporting third]]-Table1[[#This Row],[Policy third]]</f>
        <v>1</v>
      </c>
      <c r="AA732" s="71">
        <f>IF(Table1[[#This Row],[Overall amount]]=0,"N/A",Table1[[#This Row],[Outstanding]]/Table1[[#This Row],[Overall amount]])</f>
        <v>0</v>
      </c>
      <c r="AB732" s="17">
        <f>IF(MONTH(Table1[[#This Row],[Loss date]])&lt;Pol_Inc_Month_Shifted,YEAR(Table1[[#This Row],[Loss date]])-1,YEAR(Table1[[#This Row],[Loss date]]))</f>
        <v>2009</v>
      </c>
      <c r="AC732" s="17">
        <f>IF(MONTH(Table1[[#This Row],[Reporting date]])&lt;Pol_Inc_Month_Shifted,YEAR(Table1[[#This Row],[Reporting date]])-1,YEAR(Table1[[#This Row],[Reporting date]]))</f>
        <v>2009</v>
      </c>
      <c r="AD732" s="17">
        <f>Table1[[#This Row],[Reporting year (shifted)]]-Table1[[#This Row],[Policy Year (shifted)]]</f>
        <v>0</v>
      </c>
    </row>
    <row r="733" spans="1:30" ht="13.9">
      <c r="A733" s="8" t="s">
        <v>2503</v>
      </c>
      <c r="B733" s="8" t="s">
        <v>785</v>
      </c>
      <c r="C733" s="8" t="s">
        <v>123</v>
      </c>
      <c r="D733" s="9">
        <v>40062</v>
      </c>
      <c r="E733" s="9">
        <v>40267</v>
      </c>
      <c r="F733" s="17">
        <f>IF(MONTH(Table1[[#This Row],[Loss date]])&lt;Policy_Inception_Month,YEAR(Table1[[#This Row],[Loss date]])-1,YEAR(Table1[[#This Row],[Loss date]]))</f>
        <v>2009</v>
      </c>
      <c r="G733" s="10" t="s">
        <v>125</v>
      </c>
      <c r="H733" s="10" t="s">
        <v>2</v>
      </c>
      <c r="I733" s="11">
        <v>7622.6754060591911</v>
      </c>
      <c r="J733" s="11">
        <v>0</v>
      </c>
      <c r="K733" s="11">
        <v>7622.6754060591911</v>
      </c>
      <c r="L733" s="12">
        <v>0</v>
      </c>
      <c r="M733" s="12">
        <v>0</v>
      </c>
      <c r="N733" s="12">
        <v>7622.6754060591911</v>
      </c>
      <c r="O733" s="70">
        <f>IF(Table1[[#This Row],[Overall amount]]=0,0,1)</f>
        <v>1</v>
      </c>
      <c r="P733" s="70">
        <f>Table1[[#This Row],[Overall amount]]*Exchange_Rate</f>
        <v>7622.6754060591911</v>
      </c>
      <c r="Q733" s="70">
        <f>Table1[[#This Row],[Overall (destination currency)]]*(1+Claims_Inflation)^((Revalue_at_date-Table1[[#This Row],[Loss date]])/365.25)</f>
        <v>10248.6</v>
      </c>
      <c r="R733" s="70">
        <f>INT(Table1[[#This Row],[Reporting date]])-INT(Table1[[#This Row],[Loss date]])</f>
        <v>205</v>
      </c>
      <c r="S733" s="69" t="s">
        <v>9</v>
      </c>
      <c r="T733" s="70">
        <f>VLOOKUP(Table1[[#This Row],[Policy Year]],exposure_table,3,FALSE)</f>
        <v>760.22808576000011</v>
      </c>
      <c r="U733" s="17">
        <f>IF(MONTH(Table1[[#This Row],[Reporting date]])&lt;Policy_Inception_Month,YEAR(Table1[[#This Row],[Reporting date]])-1,YEAR(Table1[[#This Row],[Reporting date]]))</f>
        <v>2009</v>
      </c>
      <c r="V733" s="17">
        <f>Table1[[#This Row],[Reporting year]]-Table1[[#This Row],[Policy Year]]</f>
        <v>0</v>
      </c>
      <c r="W733" s="17">
        <f>INT(Table1[[#This Row],[Reporting date]])-INT(Table1[[#This Row],[Loss date]])</f>
        <v>205</v>
      </c>
      <c r="X733" s="17">
        <f>INT((YEAR(Table1[[#This Row],[Loss date]])*12+MONTH(Table1[[#This Row],[Loss date]])-Earliest_Month)/4)</f>
        <v>13</v>
      </c>
      <c r="Y733" s="17">
        <f>INT((YEAR(Table1[[#This Row],[Reporting date]])*12+MONTH(Table1[[#This Row],[Reporting date]])-Earliest_Month)/4)</f>
        <v>14</v>
      </c>
      <c r="Z733" s="17">
        <f>Table1[[#This Row],[Reporting third]]-Table1[[#This Row],[Policy third]]</f>
        <v>1</v>
      </c>
      <c r="AA733" s="71">
        <f>IF(Table1[[#This Row],[Overall amount]]=0,"N/A",Table1[[#This Row],[Outstanding]]/Table1[[#This Row],[Overall amount]])</f>
        <v>0</v>
      </c>
      <c r="AB733" s="17">
        <f>IF(MONTH(Table1[[#This Row],[Loss date]])&lt;Pol_Inc_Month_Shifted,YEAR(Table1[[#This Row],[Loss date]])-1,YEAR(Table1[[#This Row],[Loss date]]))</f>
        <v>2008</v>
      </c>
      <c r="AC733" s="17">
        <f>IF(MONTH(Table1[[#This Row],[Reporting date]])&lt;Pol_Inc_Month_Shifted,YEAR(Table1[[#This Row],[Reporting date]])-1,YEAR(Table1[[#This Row],[Reporting date]]))</f>
        <v>2009</v>
      </c>
      <c r="AD733" s="17">
        <f>Table1[[#This Row],[Reporting year (shifted)]]-Table1[[#This Row],[Policy Year (shifted)]]</f>
        <v>1</v>
      </c>
    </row>
    <row r="734" spans="1:30" ht="13.9">
      <c r="A734" s="8" t="s">
        <v>2504</v>
      </c>
      <c r="B734" s="8" t="s">
        <v>786</v>
      </c>
      <c r="C734" s="8" t="s">
        <v>123</v>
      </c>
      <c r="D734" s="9">
        <v>40146</v>
      </c>
      <c r="E734" s="9">
        <v>40216</v>
      </c>
      <c r="F734" s="17">
        <f>IF(MONTH(Table1[[#This Row],[Loss date]])&lt;Policy_Inception_Month,YEAR(Table1[[#This Row],[Loss date]])-1,YEAR(Table1[[#This Row],[Loss date]]))</f>
        <v>2009</v>
      </c>
      <c r="G734" s="10" t="s">
        <v>125</v>
      </c>
      <c r="H734" s="10" t="s">
        <v>2</v>
      </c>
      <c r="I734" s="11">
        <v>746.00217093964432</v>
      </c>
      <c r="J734" s="11">
        <v>0</v>
      </c>
      <c r="K734" s="11">
        <v>746.00217093964432</v>
      </c>
      <c r="L734" s="12">
        <v>0</v>
      </c>
      <c r="M734" s="12">
        <v>0</v>
      </c>
      <c r="N734" s="12">
        <v>746.00217093964432</v>
      </c>
      <c r="O734" s="70">
        <f>IF(Table1[[#This Row],[Overall amount]]=0,0,1)</f>
        <v>1</v>
      </c>
      <c r="P734" s="70">
        <f>Table1[[#This Row],[Overall amount]]*Exchange_Rate</f>
        <v>746.00217093964432</v>
      </c>
      <c r="Q734" s="70">
        <f>Table1[[#This Row],[Overall (destination currency)]]*(1+Claims_Inflation)^((Revalue_at_date-Table1[[#This Row],[Loss date]])/365.25)</f>
        <v>991.8</v>
      </c>
      <c r="R734" s="70">
        <f>INT(Table1[[#This Row],[Reporting date]])-INT(Table1[[#This Row],[Loss date]])</f>
        <v>70</v>
      </c>
      <c r="S734" s="69" t="s">
        <v>9</v>
      </c>
      <c r="T734" s="70">
        <f>VLOOKUP(Table1[[#This Row],[Policy Year]],exposure_table,3,FALSE)</f>
        <v>760.22808576000011</v>
      </c>
      <c r="U734" s="17">
        <f>IF(MONTH(Table1[[#This Row],[Reporting date]])&lt;Policy_Inception_Month,YEAR(Table1[[#This Row],[Reporting date]])-1,YEAR(Table1[[#This Row],[Reporting date]]))</f>
        <v>2009</v>
      </c>
      <c r="V734" s="17">
        <f>Table1[[#This Row],[Reporting year]]-Table1[[#This Row],[Policy Year]]</f>
        <v>0</v>
      </c>
      <c r="W734" s="17">
        <f>INT(Table1[[#This Row],[Reporting date]])-INT(Table1[[#This Row],[Loss date]])</f>
        <v>70</v>
      </c>
      <c r="X734" s="17">
        <f>INT((YEAR(Table1[[#This Row],[Loss date]])*12+MONTH(Table1[[#This Row],[Loss date]])-Earliest_Month)/4)</f>
        <v>13</v>
      </c>
      <c r="Y734" s="17">
        <f>INT((YEAR(Table1[[#This Row],[Reporting date]])*12+MONTH(Table1[[#This Row],[Reporting date]])-Earliest_Month)/4)</f>
        <v>14</v>
      </c>
      <c r="Z734" s="17">
        <f>Table1[[#This Row],[Reporting third]]-Table1[[#This Row],[Policy third]]</f>
        <v>1</v>
      </c>
      <c r="AA734" s="71">
        <f>IF(Table1[[#This Row],[Overall amount]]=0,"N/A",Table1[[#This Row],[Outstanding]]/Table1[[#This Row],[Overall amount]])</f>
        <v>0</v>
      </c>
      <c r="AB734" s="17">
        <f>IF(MONTH(Table1[[#This Row],[Loss date]])&lt;Pol_Inc_Month_Shifted,YEAR(Table1[[#This Row],[Loss date]])-1,YEAR(Table1[[#This Row],[Loss date]]))</f>
        <v>2008</v>
      </c>
      <c r="AC734" s="17">
        <f>IF(MONTH(Table1[[#This Row],[Reporting date]])&lt;Pol_Inc_Month_Shifted,YEAR(Table1[[#This Row],[Reporting date]])-1,YEAR(Table1[[#This Row],[Reporting date]]))</f>
        <v>2009</v>
      </c>
      <c r="AD734" s="17">
        <f>Table1[[#This Row],[Reporting year (shifted)]]-Table1[[#This Row],[Policy Year (shifted)]]</f>
        <v>1</v>
      </c>
    </row>
    <row r="735" spans="1:30" ht="13.9">
      <c r="A735" s="8" t="s">
        <v>2505</v>
      </c>
      <c r="B735" s="8" t="s">
        <v>787</v>
      </c>
      <c r="C735" s="8" t="s">
        <v>123</v>
      </c>
      <c r="D735" s="9">
        <v>40176</v>
      </c>
      <c r="E735" s="9">
        <v>40312</v>
      </c>
      <c r="F735" s="17">
        <f>IF(MONTH(Table1[[#This Row],[Loss date]])&lt;Policy_Inception_Month,YEAR(Table1[[#This Row],[Loss date]])-1,YEAR(Table1[[#This Row],[Loss date]]))</f>
        <v>2009</v>
      </c>
      <c r="G735" s="10" t="s">
        <v>126</v>
      </c>
      <c r="H735" s="10" t="s">
        <v>2</v>
      </c>
      <c r="I735" s="11">
        <v>578.17366502890297</v>
      </c>
      <c r="J735" s="11">
        <v>0</v>
      </c>
      <c r="K735" s="11">
        <v>578.17366502890297</v>
      </c>
      <c r="L735" s="12">
        <v>0</v>
      </c>
      <c r="M735" s="12">
        <v>0</v>
      </c>
      <c r="N735" s="12">
        <v>578.17366502890297</v>
      </c>
      <c r="O735" s="70">
        <f>IF(Table1[[#This Row],[Overall amount]]=0,0,1)</f>
        <v>1</v>
      </c>
      <c r="P735" s="70">
        <f>Table1[[#This Row],[Overall amount]]*Exchange_Rate</f>
        <v>578.17366502890297</v>
      </c>
      <c r="Q735" s="70">
        <f>Table1[[#This Row],[Overall (destination currency)]]*(1+Claims_Inflation)^((Revalue_at_date-Table1[[#This Row],[Loss date]])/365.25)</f>
        <v>765.60000000000014</v>
      </c>
      <c r="R735" s="70">
        <f>INT(Table1[[#This Row],[Reporting date]])-INT(Table1[[#This Row],[Loss date]])</f>
        <v>136</v>
      </c>
      <c r="S735" s="69" t="s">
        <v>9</v>
      </c>
      <c r="T735" s="70">
        <f>VLOOKUP(Table1[[#This Row],[Policy Year]],exposure_table,3,FALSE)</f>
        <v>760.22808576000011</v>
      </c>
      <c r="U735" s="17">
        <f>IF(MONTH(Table1[[#This Row],[Reporting date]])&lt;Policy_Inception_Month,YEAR(Table1[[#This Row],[Reporting date]])-1,YEAR(Table1[[#This Row],[Reporting date]]))</f>
        <v>2010</v>
      </c>
      <c r="V735" s="17">
        <f>Table1[[#This Row],[Reporting year]]-Table1[[#This Row],[Policy Year]]</f>
        <v>1</v>
      </c>
      <c r="W735" s="17">
        <f>INT(Table1[[#This Row],[Reporting date]])-INT(Table1[[#This Row],[Loss date]])</f>
        <v>136</v>
      </c>
      <c r="X735" s="17">
        <f>INT((YEAR(Table1[[#This Row],[Loss date]])*12+MONTH(Table1[[#This Row],[Loss date]])-Earliest_Month)/4)</f>
        <v>14</v>
      </c>
      <c r="Y735" s="17">
        <f>INT((YEAR(Table1[[#This Row],[Reporting date]])*12+MONTH(Table1[[#This Row],[Reporting date]])-Earliest_Month)/4)</f>
        <v>15</v>
      </c>
      <c r="Z735" s="17">
        <f>Table1[[#This Row],[Reporting third]]-Table1[[#This Row],[Policy third]]</f>
        <v>1</v>
      </c>
      <c r="AA735" s="71">
        <f>IF(Table1[[#This Row],[Overall amount]]=0,"N/A",Table1[[#This Row],[Outstanding]]/Table1[[#This Row],[Overall amount]])</f>
        <v>0</v>
      </c>
      <c r="AB735" s="17">
        <f>IF(MONTH(Table1[[#This Row],[Loss date]])&lt;Pol_Inc_Month_Shifted,YEAR(Table1[[#This Row],[Loss date]])-1,YEAR(Table1[[#This Row],[Loss date]]))</f>
        <v>2009</v>
      </c>
      <c r="AC735" s="17">
        <f>IF(MONTH(Table1[[#This Row],[Reporting date]])&lt;Pol_Inc_Month_Shifted,YEAR(Table1[[#This Row],[Reporting date]])-1,YEAR(Table1[[#This Row],[Reporting date]]))</f>
        <v>2009</v>
      </c>
      <c r="AD735" s="17">
        <f>Table1[[#This Row],[Reporting year (shifted)]]-Table1[[#This Row],[Policy Year (shifted)]]</f>
        <v>0</v>
      </c>
    </row>
    <row r="736" spans="1:30" ht="13.9">
      <c r="A736" s="8" t="s">
        <v>2506</v>
      </c>
      <c r="B736" s="8" t="s">
        <v>788</v>
      </c>
      <c r="C736" s="8" t="s">
        <v>123</v>
      </c>
      <c r="D736" s="9">
        <v>39948</v>
      </c>
      <c r="E736" s="9">
        <v>40368</v>
      </c>
      <c r="F736" s="17">
        <f>IF(MONTH(Table1[[#This Row],[Loss date]])&lt;Policy_Inception_Month,YEAR(Table1[[#This Row],[Loss date]])-1,YEAR(Table1[[#This Row],[Loss date]]))</f>
        <v>2009</v>
      </c>
      <c r="G736" s="10" t="s">
        <v>125</v>
      </c>
      <c r="H736" s="10" t="s">
        <v>2</v>
      </c>
      <c r="I736" s="11">
        <v>9332.3710106410035</v>
      </c>
      <c r="J736" s="11">
        <v>0</v>
      </c>
      <c r="K736" s="11">
        <v>9332.3710106410035</v>
      </c>
      <c r="L736" s="12">
        <v>0</v>
      </c>
      <c r="M736" s="12">
        <v>0</v>
      </c>
      <c r="N736" s="12">
        <v>9332.3710106410035</v>
      </c>
      <c r="O736" s="70">
        <f>IF(Table1[[#This Row],[Overall amount]]=0,0,1)</f>
        <v>1</v>
      </c>
      <c r="P736" s="70">
        <f>Table1[[#This Row],[Overall amount]]*Exchange_Rate</f>
        <v>9332.3710106410035</v>
      </c>
      <c r="Q736" s="70">
        <f>Table1[[#This Row],[Overall (destination currency)]]*(1+Claims_Inflation)^((Revalue_at_date-Table1[[#This Row],[Loss date]])/365.25)</f>
        <v>12739.8</v>
      </c>
      <c r="R736" s="70">
        <f>INT(Table1[[#This Row],[Reporting date]])-INT(Table1[[#This Row],[Loss date]])</f>
        <v>420</v>
      </c>
      <c r="S736" s="69" t="s">
        <v>9</v>
      </c>
      <c r="T736" s="70">
        <f>VLOOKUP(Table1[[#This Row],[Policy Year]],exposure_table,3,FALSE)</f>
        <v>760.22808576000011</v>
      </c>
      <c r="U736" s="17">
        <f>IF(MONTH(Table1[[#This Row],[Reporting date]])&lt;Policy_Inception_Month,YEAR(Table1[[#This Row],[Reporting date]])-1,YEAR(Table1[[#This Row],[Reporting date]]))</f>
        <v>2010</v>
      </c>
      <c r="V736" s="17">
        <f>Table1[[#This Row],[Reporting year]]-Table1[[#This Row],[Policy Year]]</f>
        <v>1</v>
      </c>
      <c r="W736" s="17">
        <f>INT(Table1[[#This Row],[Reporting date]])-INT(Table1[[#This Row],[Loss date]])</f>
        <v>420</v>
      </c>
      <c r="X736" s="17">
        <f>INT((YEAR(Table1[[#This Row],[Loss date]])*12+MONTH(Table1[[#This Row],[Loss date]])-Earliest_Month)/4)</f>
        <v>12</v>
      </c>
      <c r="Y736" s="17">
        <f>INT((YEAR(Table1[[#This Row],[Reporting date]])*12+MONTH(Table1[[#This Row],[Reporting date]])-Earliest_Month)/4)</f>
        <v>15</v>
      </c>
      <c r="Z736" s="17">
        <f>Table1[[#This Row],[Reporting third]]-Table1[[#This Row],[Policy third]]</f>
        <v>3</v>
      </c>
      <c r="AA736" s="71">
        <f>IF(Table1[[#This Row],[Overall amount]]=0,"N/A",Table1[[#This Row],[Outstanding]]/Table1[[#This Row],[Overall amount]])</f>
        <v>0</v>
      </c>
      <c r="AB736" s="17">
        <f>IF(MONTH(Table1[[#This Row],[Loss date]])&lt;Pol_Inc_Month_Shifted,YEAR(Table1[[#This Row],[Loss date]])-1,YEAR(Table1[[#This Row],[Loss date]]))</f>
        <v>2008</v>
      </c>
      <c r="AC736" s="17">
        <f>IF(MONTH(Table1[[#This Row],[Reporting date]])&lt;Pol_Inc_Month_Shifted,YEAR(Table1[[#This Row],[Reporting date]])-1,YEAR(Table1[[#This Row],[Reporting date]]))</f>
        <v>2009</v>
      </c>
      <c r="AD736" s="17">
        <f>Table1[[#This Row],[Reporting year (shifted)]]-Table1[[#This Row],[Policy Year (shifted)]]</f>
        <v>1</v>
      </c>
    </row>
    <row r="737" spans="1:30" ht="13.9">
      <c r="A737" s="8" t="s">
        <v>2507</v>
      </c>
      <c r="B737" s="8" t="s">
        <v>789</v>
      </c>
      <c r="C737" s="8" t="s">
        <v>123</v>
      </c>
      <c r="D737" s="9">
        <v>39810</v>
      </c>
      <c r="E737" s="9">
        <v>40389</v>
      </c>
      <c r="F737" s="17">
        <f>IF(MONTH(Table1[[#This Row],[Loss date]])&lt;Policy_Inception_Month,YEAR(Table1[[#This Row],[Loss date]])-1,YEAR(Table1[[#This Row],[Loss date]]))</f>
        <v>2008</v>
      </c>
      <c r="G737" s="10" t="s">
        <v>126</v>
      </c>
      <c r="H737" s="10" t="s">
        <v>2</v>
      </c>
      <c r="I737" s="11">
        <v>8207.733328763823</v>
      </c>
      <c r="J737" s="11">
        <v>0</v>
      </c>
      <c r="K737" s="11">
        <v>8207.733328763823</v>
      </c>
      <c r="L737" s="12">
        <v>0</v>
      </c>
      <c r="M737" s="12">
        <v>0</v>
      </c>
      <c r="N737" s="12">
        <v>8207.733328763823</v>
      </c>
      <c r="O737" s="70">
        <f>IF(Table1[[#This Row],[Overall amount]]=0,0,1)</f>
        <v>1</v>
      </c>
      <c r="P737" s="70">
        <f>Table1[[#This Row],[Overall amount]]*Exchange_Rate</f>
        <v>8207.733328763823</v>
      </c>
      <c r="Q737" s="70">
        <f>Table1[[#This Row],[Overall (destination currency)]]*(1+Claims_Inflation)^((Revalue_at_date-Table1[[#This Row],[Loss date]])/365.25)</f>
        <v>11412.995999999999</v>
      </c>
      <c r="R737" s="70">
        <f>INT(Table1[[#This Row],[Reporting date]])-INT(Table1[[#This Row],[Loss date]])</f>
        <v>579</v>
      </c>
      <c r="S737" s="69" t="s">
        <v>9</v>
      </c>
      <c r="T737" s="70">
        <f>VLOOKUP(Table1[[#This Row],[Policy Year]],exposure_table,3,FALSE)</f>
        <v>601.98581780480015</v>
      </c>
      <c r="U737" s="17">
        <f>IF(MONTH(Table1[[#This Row],[Reporting date]])&lt;Policy_Inception_Month,YEAR(Table1[[#This Row],[Reporting date]])-1,YEAR(Table1[[#This Row],[Reporting date]]))</f>
        <v>2010</v>
      </c>
      <c r="V737" s="17">
        <f>Table1[[#This Row],[Reporting year]]-Table1[[#This Row],[Policy Year]]</f>
        <v>2</v>
      </c>
      <c r="W737" s="17">
        <f>INT(Table1[[#This Row],[Reporting date]])-INT(Table1[[#This Row],[Loss date]])</f>
        <v>579</v>
      </c>
      <c r="X737" s="17">
        <f>INT((YEAR(Table1[[#This Row],[Loss date]])*12+MONTH(Table1[[#This Row],[Loss date]])-Earliest_Month)/4)</f>
        <v>11</v>
      </c>
      <c r="Y737" s="17">
        <f>INT((YEAR(Table1[[#This Row],[Reporting date]])*12+MONTH(Table1[[#This Row],[Reporting date]])-Earliest_Month)/4)</f>
        <v>15</v>
      </c>
      <c r="Z737" s="17">
        <f>Table1[[#This Row],[Reporting third]]-Table1[[#This Row],[Policy third]]</f>
        <v>4</v>
      </c>
      <c r="AA737" s="71">
        <f>IF(Table1[[#This Row],[Overall amount]]=0,"N/A",Table1[[#This Row],[Outstanding]]/Table1[[#This Row],[Overall amount]])</f>
        <v>0</v>
      </c>
      <c r="AB737" s="17">
        <f>IF(MONTH(Table1[[#This Row],[Loss date]])&lt;Pol_Inc_Month_Shifted,YEAR(Table1[[#This Row],[Loss date]])-1,YEAR(Table1[[#This Row],[Loss date]]))</f>
        <v>2008</v>
      </c>
      <c r="AC737" s="17">
        <f>IF(MONTH(Table1[[#This Row],[Reporting date]])&lt;Pol_Inc_Month_Shifted,YEAR(Table1[[#This Row],[Reporting date]])-1,YEAR(Table1[[#This Row],[Reporting date]]))</f>
        <v>2009</v>
      </c>
      <c r="AD737" s="17">
        <f>Table1[[#This Row],[Reporting year (shifted)]]-Table1[[#This Row],[Policy Year (shifted)]]</f>
        <v>1</v>
      </c>
    </row>
    <row r="738" spans="1:30" ht="13.9">
      <c r="A738" s="8" t="s">
        <v>2508</v>
      </c>
      <c r="B738" s="8" t="s">
        <v>790</v>
      </c>
      <c r="C738" s="8" t="s">
        <v>123</v>
      </c>
      <c r="D738" s="9">
        <v>40224</v>
      </c>
      <c r="E738" s="9">
        <v>40316</v>
      </c>
      <c r="F738" s="17">
        <f>IF(MONTH(Table1[[#This Row],[Loss date]])&lt;Policy_Inception_Month,YEAR(Table1[[#This Row],[Loss date]])-1,YEAR(Table1[[#This Row],[Loss date]]))</f>
        <v>2009</v>
      </c>
      <c r="G738" s="10" t="s">
        <v>125</v>
      </c>
      <c r="H738" s="10" t="s">
        <v>2</v>
      </c>
      <c r="I738" s="11">
        <v>14901.078215568172</v>
      </c>
      <c r="J738" s="11">
        <v>0</v>
      </c>
      <c r="K738" s="11">
        <v>14901.078215568172</v>
      </c>
      <c r="L738" s="12">
        <v>0</v>
      </c>
      <c r="M738" s="12">
        <v>0</v>
      </c>
      <c r="N738" s="12">
        <v>14901.078215568172</v>
      </c>
      <c r="O738" s="70">
        <f>IF(Table1[[#This Row],[Overall amount]]=0,0,1)</f>
        <v>1</v>
      </c>
      <c r="P738" s="70">
        <f>Table1[[#This Row],[Overall amount]]*Exchange_Rate</f>
        <v>14901.078215568172</v>
      </c>
      <c r="Q738" s="70">
        <f>Table1[[#This Row],[Overall (destination currency)]]*(1+Claims_Inflation)^((Revalue_at_date-Table1[[#This Row],[Loss date]])/365.25)</f>
        <v>19605.444</v>
      </c>
      <c r="R738" s="70">
        <f>INT(Table1[[#This Row],[Reporting date]])-INT(Table1[[#This Row],[Loss date]])</f>
        <v>92</v>
      </c>
      <c r="S738" s="69" t="s">
        <v>9</v>
      </c>
      <c r="T738" s="70">
        <f>VLOOKUP(Table1[[#This Row],[Policy Year]],exposure_table,3,FALSE)</f>
        <v>760.22808576000011</v>
      </c>
      <c r="U738" s="17">
        <f>IF(MONTH(Table1[[#This Row],[Reporting date]])&lt;Policy_Inception_Month,YEAR(Table1[[#This Row],[Reporting date]])-1,YEAR(Table1[[#This Row],[Reporting date]]))</f>
        <v>2010</v>
      </c>
      <c r="V738" s="17">
        <f>Table1[[#This Row],[Reporting year]]-Table1[[#This Row],[Policy Year]]</f>
        <v>1</v>
      </c>
      <c r="W738" s="17">
        <f>INT(Table1[[#This Row],[Reporting date]])-INT(Table1[[#This Row],[Loss date]])</f>
        <v>92</v>
      </c>
      <c r="X738" s="17">
        <f>INT((YEAR(Table1[[#This Row],[Loss date]])*12+MONTH(Table1[[#This Row],[Loss date]])-Earliest_Month)/4)</f>
        <v>14</v>
      </c>
      <c r="Y738" s="17">
        <f>INT((YEAR(Table1[[#This Row],[Reporting date]])*12+MONTH(Table1[[#This Row],[Reporting date]])-Earliest_Month)/4)</f>
        <v>15</v>
      </c>
      <c r="Z738" s="17">
        <f>Table1[[#This Row],[Reporting third]]-Table1[[#This Row],[Policy third]]</f>
        <v>1</v>
      </c>
      <c r="AA738" s="71">
        <f>IF(Table1[[#This Row],[Overall amount]]=0,"N/A",Table1[[#This Row],[Outstanding]]/Table1[[#This Row],[Overall amount]])</f>
        <v>0</v>
      </c>
      <c r="AB738" s="17">
        <f>IF(MONTH(Table1[[#This Row],[Loss date]])&lt;Pol_Inc_Month_Shifted,YEAR(Table1[[#This Row],[Loss date]])-1,YEAR(Table1[[#This Row],[Loss date]]))</f>
        <v>2009</v>
      </c>
      <c r="AC738" s="17">
        <f>IF(MONTH(Table1[[#This Row],[Reporting date]])&lt;Pol_Inc_Month_Shifted,YEAR(Table1[[#This Row],[Reporting date]])-1,YEAR(Table1[[#This Row],[Reporting date]]))</f>
        <v>2009</v>
      </c>
      <c r="AD738" s="17">
        <f>Table1[[#This Row],[Reporting year (shifted)]]-Table1[[#This Row],[Policy Year (shifted)]]</f>
        <v>0</v>
      </c>
    </row>
    <row r="739" spans="1:30" ht="13.9">
      <c r="A739" s="8" t="s">
        <v>2509</v>
      </c>
      <c r="B739" s="8" t="s">
        <v>791</v>
      </c>
      <c r="C739" s="8" t="s">
        <v>123</v>
      </c>
      <c r="D739" s="9">
        <v>40090</v>
      </c>
      <c r="E739" s="9">
        <v>40505</v>
      </c>
      <c r="F739" s="17">
        <f>IF(MONTH(Table1[[#This Row],[Loss date]])&lt;Policy_Inception_Month,YEAR(Table1[[#This Row],[Loss date]])-1,YEAR(Table1[[#This Row],[Loss date]]))</f>
        <v>2009</v>
      </c>
      <c r="G739" s="10" t="s">
        <v>125</v>
      </c>
      <c r="H739" s="10" t="s">
        <v>2</v>
      </c>
      <c r="I739" s="11">
        <v>558.57945174582426</v>
      </c>
      <c r="J739" s="11">
        <v>0</v>
      </c>
      <c r="K739" s="11">
        <v>558.57945174582426</v>
      </c>
      <c r="L739" s="12">
        <v>0</v>
      </c>
      <c r="M739" s="12">
        <v>0</v>
      </c>
      <c r="N739" s="12">
        <v>558.57945174582426</v>
      </c>
      <c r="O739" s="70">
        <f>IF(Table1[[#This Row],[Overall amount]]=0,0,1)</f>
        <v>1</v>
      </c>
      <c r="P739" s="70">
        <f>Table1[[#This Row],[Overall amount]]*Exchange_Rate</f>
        <v>558.57945174582426</v>
      </c>
      <c r="Q739" s="70">
        <f>Table1[[#This Row],[Overall (destination currency)]]*(1+Claims_Inflation)^((Revalue_at_date-Table1[[#This Row],[Loss date]])/365.25)</f>
        <v>748.19999999999993</v>
      </c>
      <c r="R739" s="70">
        <f>INT(Table1[[#This Row],[Reporting date]])-INT(Table1[[#This Row],[Loss date]])</f>
        <v>415</v>
      </c>
      <c r="S739" s="69" t="s">
        <v>9</v>
      </c>
      <c r="T739" s="70">
        <f>VLOOKUP(Table1[[#This Row],[Policy Year]],exposure_table,3,FALSE)</f>
        <v>760.22808576000011</v>
      </c>
      <c r="U739" s="17">
        <f>IF(MONTH(Table1[[#This Row],[Reporting date]])&lt;Policy_Inception_Month,YEAR(Table1[[#This Row],[Reporting date]])-1,YEAR(Table1[[#This Row],[Reporting date]]))</f>
        <v>2010</v>
      </c>
      <c r="V739" s="17">
        <f>Table1[[#This Row],[Reporting year]]-Table1[[#This Row],[Policy Year]]</f>
        <v>1</v>
      </c>
      <c r="W739" s="17">
        <f>INT(Table1[[#This Row],[Reporting date]])-INT(Table1[[#This Row],[Loss date]])</f>
        <v>415</v>
      </c>
      <c r="X739" s="17">
        <f>INT((YEAR(Table1[[#This Row],[Loss date]])*12+MONTH(Table1[[#This Row],[Loss date]])-Earliest_Month)/4)</f>
        <v>13</v>
      </c>
      <c r="Y739" s="17">
        <f>INT((YEAR(Table1[[#This Row],[Reporting date]])*12+MONTH(Table1[[#This Row],[Reporting date]])-Earliest_Month)/4)</f>
        <v>16</v>
      </c>
      <c r="Z739" s="17">
        <f>Table1[[#This Row],[Reporting third]]-Table1[[#This Row],[Policy third]]</f>
        <v>3</v>
      </c>
      <c r="AA739" s="71">
        <f>IF(Table1[[#This Row],[Overall amount]]=0,"N/A",Table1[[#This Row],[Outstanding]]/Table1[[#This Row],[Overall amount]])</f>
        <v>0</v>
      </c>
      <c r="AB739" s="17">
        <f>IF(MONTH(Table1[[#This Row],[Loss date]])&lt;Pol_Inc_Month_Shifted,YEAR(Table1[[#This Row],[Loss date]])-1,YEAR(Table1[[#This Row],[Loss date]]))</f>
        <v>2008</v>
      </c>
      <c r="AC739" s="17">
        <f>IF(MONTH(Table1[[#This Row],[Reporting date]])&lt;Pol_Inc_Month_Shifted,YEAR(Table1[[#This Row],[Reporting date]])-1,YEAR(Table1[[#This Row],[Reporting date]]))</f>
        <v>2009</v>
      </c>
      <c r="AD739" s="17">
        <f>Table1[[#This Row],[Reporting year (shifted)]]-Table1[[#This Row],[Policy Year (shifted)]]</f>
        <v>1</v>
      </c>
    </row>
    <row r="740" spans="1:30" ht="13.9">
      <c r="A740" s="8" t="s">
        <v>2510</v>
      </c>
      <c r="B740" s="8" t="s">
        <v>792</v>
      </c>
      <c r="C740" s="8" t="s">
        <v>123</v>
      </c>
      <c r="D740" s="9">
        <v>40462</v>
      </c>
      <c r="E740" s="9">
        <v>40531</v>
      </c>
      <c r="F740" s="17">
        <f>IF(MONTH(Table1[[#This Row],[Loss date]])&lt;Policy_Inception_Month,YEAR(Table1[[#This Row],[Loss date]])-1,YEAR(Table1[[#This Row],[Loss date]]))</f>
        <v>2010</v>
      </c>
      <c r="G740" s="10" t="s">
        <v>125</v>
      </c>
      <c r="H740" s="10" t="s">
        <v>2</v>
      </c>
      <c r="I740" s="11">
        <v>655.29767183913373</v>
      </c>
      <c r="J740" s="11">
        <v>0</v>
      </c>
      <c r="K740" s="11">
        <v>655.29767183913373</v>
      </c>
      <c r="L740" s="12">
        <v>0</v>
      </c>
      <c r="M740" s="12">
        <v>0</v>
      </c>
      <c r="N740" s="12">
        <v>655.29767183913373</v>
      </c>
      <c r="O740" s="70">
        <f>IF(Table1[[#This Row],[Overall amount]]=0,0,1)</f>
        <v>1</v>
      </c>
      <c r="P740" s="70">
        <f>Table1[[#This Row],[Overall amount]]*Exchange_Rate</f>
        <v>655.29767183913373</v>
      </c>
      <c r="Q740" s="70">
        <f>Table1[[#This Row],[Overall (destination currency)]]*(1+Claims_Inflation)^((Revalue_at_date-Table1[[#This Row],[Loss date]])/365.25)</f>
        <v>835.19999999999993</v>
      </c>
      <c r="R740" s="70">
        <f>INT(Table1[[#This Row],[Reporting date]])-INT(Table1[[#This Row],[Loss date]])</f>
        <v>69</v>
      </c>
      <c r="S740" s="69" t="s">
        <v>9</v>
      </c>
      <c r="T740" s="70">
        <f>VLOOKUP(Table1[[#This Row],[Policy Year]],exposure_table,3,FALSE)</f>
        <v>837.11513600000012</v>
      </c>
      <c r="U740" s="17">
        <f>IF(MONTH(Table1[[#This Row],[Reporting date]])&lt;Policy_Inception_Month,YEAR(Table1[[#This Row],[Reporting date]])-1,YEAR(Table1[[#This Row],[Reporting date]]))</f>
        <v>2010</v>
      </c>
      <c r="V740" s="17">
        <f>Table1[[#This Row],[Reporting year]]-Table1[[#This Row],[Policy Year]]</f>
        <v>0</v>
      </c>
      <c r="W740" s="17">
        <f>INT(Table1[[#This Row],[Reporting date]])-INT(Table1[[#This Row],[Loss date]])</f>
        <v>69</v>
      </c>
      <c r="X740" s="17">
        <f>INT((YEAR(Table1[[#This Row],[Loss date]])*12+MONTH(Table1[[#This Row],[Loss date]])-Earliest_Month)/4)</f>
        <v>16</v>
      </c>
      <c r="Y740" s="17">
        <f>INT((YEAR(Table1[[#This Row],[Reporting date]])*12+MONTH(Table1[[#This Row],[Reporting date]])-Earliest_Month)/4)</f>
        <v>17</v>
      </c>
      <c r="Z740" s="17">
        <f>Table1[[#This Row],[Reporting third]]-Table1[[#This Row],[Policy third]]</f>
        <v>1</v>
      </c>
      <c r="AA740" s="71">
        <f>IF(Table1[[#This Row],[Overall amount]]=0,"N/A",Table1[[#This Row],[Outstanding]]/Table1[[#This Row],[Overall amount]])</f>
        <v>0</v>
      </c>
      <c r="AB740" s="17">
        <f>IF(MONTH(Table1[[#This Row],[Loss date]])&lt;Pol_Inc_Month_Shifted,YEAR(Table1[[#This Row],[Loss date]])-1,YEAR(Table1[[#This Row],[Loss date]]))</f>
        <v>2009</v>
      </c>
      <c r="AC740" s="17">
        <f>IF(MONTH(Table1[[#This Row],[Reporting date]])&lt;Pol_Inc_Month_Shifted,YEAR(Table1[[#This Row],[Reporting date]])-1,YEAR(Table1[[#This Row],[Reporting date]]))</f>
        <v>2010</v>
      </c>
      <c r="AD740" s="17">
        <f>Table1[[#This Row],[Reporting year (shifted)]]-Table1[[#This Row],[Policy Year (shifted)]]</f>
        <v>1</v>
      </c>
    </row>
    <row r="741" spans="1:30" ht="13.9">
      <c r="A741" s="8" t="s">
        <v>2511</v>
      </c>
      <c r="B741" s="8" t="s">
        <v>793</v>
      </c>
      <c r="C741" s="8" t="s">
        <v>123</v>
      </c>
      <c r="D741" s="9">
        <v>40481</v>
      </c>
      <c r="E741" s="9">
        <v>40557</v>
      </c>
      <c r="F741" s="17">
        <f>IF(MONTH(Table1[[#This Row],[Loss date]])&lt;Policy_Inception_Month,YEAR(Table1[[#This Row],[Loss date]])-1,YEAR(Table1[[#This Row],[Loss date]]))</f>
        <v>2010</v>
      </c>
      <c r="G741" s="10" t="s">
        <v>125</v>
      </c>
      <c r="H741" s="10" t="s">
        <v>2</v>
      </c>
      <c r="I741" s="11">
        <v>246.36110443186269</v>
      </c>
      <c r="J741" s="11">
        <v>0</v>
      </c>
      <c r="K741" s="11">
        <v>246.36110443186269</v>
      </c>
      <c r="L741" s="12">
        <v>0</v>
      </c>
      <c r="M741" s="12">
        <v>0</v>
      </c>
      <c r="N741" s="12">
        <v>246.36110443186269</v>
      </c>
      <c r="O741" s="70">
        <f>IF(Table1[[#This Row],[Overall amount]]=0,0,1)</f>
        <v>1</v>
      </c>
      <c r="P741" s="70">
        <f>Table1[[#This Row],[Overall amount]]*Exchange_Rate</f>
        <v>246.36110443186269</v>
      </c>
      <c r="Q741" s="70">
        <f>Table1[[#This Row],[Overall (destination currency)]]*(1+Claims_Inflation)^((Revalue_at_date-Table1[[#This Row],[Loss date]])/365.25)</f>
        <v>313.2</v>
      </c>
      <c r="R741" s="70">
        <f>INT(Table1[[#This Row],[Reporting date]])-INT(Table1[[#This Row],[Loss date]])</f>
        <v>76</v>
      </c>
      <c r="S741" s="69" t="s">
        <v>9</v>
      </c>
      <c r="T741" s="70">
        <f>VLOOKUP(Table1[[#This Row],[Policy Year]],exposure_table,3,FALSE)</f>
        <v>837.11513600000012</v>
      </c>
      <c r="U741" s="17">
        <f>IF(MONTH(Table1[[#This Row],[Reporting date]])&lt;Policy_Inception_Month,YEAR(Table1[[#This Row],[Reporting date]])-1,YEAR(Table1[[#This Row],[Reporting date]]))</f>
        <v>2010</v>
      </c>
      <c r="V741" s="17">
        <f>Table1[[#This Row],[Reporting year]]-Table1[[#This Row],[Policy Year]]</f>
        <v>0</v>
      </c>
      <c r="W741" s="17">
        <f>INT(Table1[[#This Row],[Reporting date]])-INT(Table1[[#This Row],[Loss date]])</f>
        <v>76</v>
      </c>
      <c r="X741" s="17">
        <f>INT((YEAR(Table1[[#This Row],[Loss date]])*12+MONTH(Table1[[#This Row],[Loss date]])-Earliest_Month)/4)</f>
        <v>16</v>
      </c>
      <c r="Y741" s="17">
        <f>INT((YEAR(Table1[[#This Row],[Reporting date]])*12+MONTH(Table1[[#This Row],[Reporting date]])-Earliest_Month)/4)</f>
        <v>17</v>
      </c>
      <c r="Z741" s="17">
        <f>Table1[[#This Row],[Reporting third]]-Table1[[#This Row],[Policy third]]</f>
        <v>1</v>
      </c>
      <c r="AA741" s="71">
        <f>IF(Table1[[#This Row],[Overall amount]]=0,"N/A",Table1[[#This Row],[Outstanding]]/Table1[[#This Row],[Overall amount]])</f>
        <v>0</v>
      </c>
      <c r="AB741" s="17">
        <f>IF(MONTH(Table1[[#This Row],[Loss date]])&lt;Pol_Inc_Month_Shifted,YEAR(Table1[[#This Row],[Loss date]])-1,YEAR(Table1[[#This Row],[Loss date]]))</f>
        <v>2009</v>
      </c>
      <c r="AC741" s="17">
        <f>IF(MONTH(Table1[[#This Row],[Reporting date]])&lt;Pol_Inc_Month_Shifted,YEAR(Table1[[#This Row],[Reporting date]])-1,YEAR(Table1[[#This Row],[Reporting date]]))</f>
        <v>2010</v>
      </c>
      <c r="AD741" s="17">
        <f>Table1[[#This Row],[Reporting year (shifted)]]-Table1[[#This Row],[Policy Year (shifted)]]</f>
        <v>1</v>
      </c>
    </row>
    <row r="742" spans="1:30" ht="13.9">
      <c r="A742" s="8" t="s">
        <v>2512</v>
      </c>
      <c r="B742" s="8" t="s">
        <v>794</v>
      </c>
      <c r="C742" s="8" t="s">
        <v>123</v>
      </c>
      <c r="D742" s="9">
        <v>40382</v>
      </c>
      <c r="E742" s="9">
        <v>40599</v>
      </c>
      <c r="F742" s="17">
        <f>IF(MONTH(Table1[[#This Row],[Loss date]])&lt;Policy_Inception_Month,YEAR(Table1[[#This Row],[Loss date]])-1,YEAR(Table1[[#This Row],[Loss date]]))</f>
        <v>2010</v>
      </c>
      <c r="G742" s="10" t="s">
        <v>125</v>
      </c>
      <c r="H742" s="10" t="s">
        <v>2</v>
      </c>
      <c r="I742" s="11">
        <v>621.31833271099572</v>
      </c>
      <c r="J742" s="11">
        <v>27324.033963135887</v>
      </c>
      <c r="K742" s="11">
        <v>27945.352295846882</v>
      </c>
      <c r="L742" s="12">
        <v>0</v>
      </c>
      <c r="M742" s="12">
        <v>0</v>
      </c>
      <c r="N742" s="12">
        <v>27945.352295846882</v>
      </c>
      <c r="O742" s="70">
        <f>IF(Table1[[#This Row],[Overall amount]]=0,0,1)</f>
        <v>1</v>
      </c>
      <c r="P742" s="70">
        <f>Table1[[#This Row],[Overall amount]]*Exchange_Rate</f>
        <v>27945.352295846882</v>
      </c>
      <c r="Q742" s="70">
        <f>Table1[[#This Row],[Overall (destination currency)]]*(1+Claims_Inflation)^((Revalue_at_date-Table1[[#This Row],[Loss date]])/365.25)</f>
        <v>36000</v>
      </c>
      <c r="R742" s="70">
        <f>INT(Table1[[#This Row],[Reporting date]])-INT(Table1[[#This Row],[Loss date]])</f>
        <v>217</v>
      </c>
      <c r="S742" s="69" t="s">
        <v>16</v>
      </c>
      <c r="T742" s="70">
        <f>VLOOKUP(Table1[[#This Row],[Policy Year]],exposure_table,3,FALSE)</f>
        <v>837.11513600000012</v>
      </c>
      <c r="U742" s="17">
        <f>IF(MONTH(Table1[[#This Row],[Reporting date]])&lt;Policy_Inception_Month,YEAR(Table1[[#This Row],[Reporting date]])-1,YEAR(Table1[[#This Row],[Reporting date]]))</f>
        <v>2010</v>
      </c>
      <c r="V742" s="17">
        <f>Table1[[#This Row],[Reporting year]]-Table1[[#This Row],[Policy Year]]</f>
        <v>0</v>
      </c>
      <c r="W742" s="17">
        <f>INT(Table1[[#This Row],[Reporting date]])-INT(Table1[[#This Row],[Loss date]])</f>
        <v>217</v>
      </c>
      <c r="X742" s="17">
        <f>INT((YEAR(Table1[[#This Row],[Loss date]])*12+MONTH(Table1[[#This Row],[Loss date]])-Earliest_Month)/4)</f>
        <v>15</v>
      </c>
      <c r="Y742" s="17">
        <f>INT((YEAR(Table1[[#This Row],[Reporting date]])*12+MONTH(Table1[[#This Row],[Reporting date]])-Earliest_Month)/4)</f>
        <v>17</v>
      </c>
      <c r="Z742" s="17">
        <f>Table1[[#This Row],[Reporting third]]-Table1[[#This Row],[Policy third]]</f>
        <v>2</v>
      </c>
      <c r="AA742" s="71">
        <f>IF(Table1[[#This Row],[Overall amount]]=0,"N/A",Table1[[#This Row],[Outstanding]]/Table1[[#This Row],[Overall amount]])</f>
        <v>0.97776666666666667</v>
      </c>
      <c r="AB742" s="17">
        <f>IF(MONTH(Table1[[#This Row],[Loss date]])&lt;Pol_Inc_Month_Shifted,YEAR(Table1[[#This Row],[Loss date]])-1,YEAR(Table1[[#This Row],[Loss date]]))</f>
        <v>2009</v>
      </c>
      <c r="AC742" s="17">
        <f>IF(MONTH(Table1[[#This Row],[Reporting date]])&lt;Pol_Inc_Month_Shifted,YEAR(Table1[[#This Row],[Reporting date]])-1,YEAR(Table1[[#This Row],[Reporting date]]))</f>
        <v>2010</v>
      </c>
      <c r="AD742" s="17">
        <f>Table1[[#This Row],[Reporting year (shifted)]]-Table1[[#This Row],[Policy Year (shifted)]]</f>
        <v>1</v>
      </c>
    </row>
    <row r="743" spans="1:30" ht="13.9">
      <c r="A743" s="8" t="s">
        <v>2513</v>
      </c>
      <c r="B743" s="8" t="s">
        <v>795</v>
      </c>
      <c r="C743" s="8" t="s">
        <v>123</v>
      </c>
      <c r="D743" s="9">
        <v>40587</v>
      </c>
      <c r="E743" s="9">
        <v>40635</v>
      </c>
      <c r="F743" s="17">
        <f>IF(MONTH(Table1[[#This Row],[Loss date]])&lt;Policy_Inception_Month,YEAR(Table1[[#This Row],[Loss date]])-1,YEAR(Table1[[#This Row],[Loss date]]))</f>
        <v>2010</v>
      </c>
      <c r="G743" s="10" t="s">
        <v>131</v>
      </c>
      <c r="H743" s="10" t="s">
        <v>2</v>
      </c>
      <c r="I743" s="11">
        <v>527.51234383566168</v>
      </c>
      <c r="J743" s="11">
        <v>0</v>
      </c>
      <c r="K743" s="11">
        <v>527.51234383566168</v>
      </c>
      <c r="L743" s="12">
        <v>0</v>
      </c>
      <c r="M743" s="12">
        <v>0</v>
      </c>
      <c r="N743" s="12">
        <v>527.51234383566168</v>
      </c>
      <c r="O743" s="70">
        <f>IF(Table1[[#This Row],[Overall amount]]=0,0,1)</f>
        <v>1</v>
      </c>
      <c r="P743" s="70">
        <f>Table1[[#This Row],[Overall amount]]*Exchange_Rate</f>
        <v>527.51234383566168</v>
      </c>
      <c r="Q743" s="70">
        <f>Table1[[#This Row],[Overall (destination currency)]]*(1+Claims_Inflation)^((Revalue_at_date-Table1[[#This Row],[Loss date]])/365.25)</f>
        <v>661.19999999999993</v>
      </c>
      <c r="R743" s="70">
        <f>INT(Table1[[#This Row],[Reporting date]])-INT(Table1[[#This Row],[Loss date]])</f>
        <v>48</v>
      </c>
      <c r="S743" s="69" t="s">
        <v>9</v>
      </c>
      <c r="T743" s="70">
        <f>VLOOKUP(Table1[[#This Row],[Policy Year]],exposure_table,3,FALSE)</f>
        <v>837.11513600000012</v>
      </c>
      <c r="U743" s="17">
        <f>IF(MONTH(Table1[[#This Row],[Reporting date]])&lt;Policy_Inception_Month,YEAR(Table1[[#This Row],[Reporting date]])-1,YEAR(Table1[[#This Row],[Reporting date]]))</f>
        <v>2011</v>
      </c>
      <c r="V743" s="17">
        <f>Table1[[#This Row],[Reporting year]]-Table1[[#This Row],[Policy Year]]</f>
        <v>1</v>
      </c>
      <c r="W743" s="17">
        <f>INT(Table1[[#This Row],[Reporting date]])-INT(Table1[[#This Row],[Loss date]])</f>
        <v>48</v>
      </c>
      <c r="X743" s="17">
        <f>INT((YEAR(Table1[[#This Row],[Loss date]])*12+MONTH(Table1[[#This Row],[Loss date]])-Earliest_Month)/4)</f>
        <v>17</v>
      </c>
      <c r="Y743" s="17">
        <f>INT((YEAR(Table1[[#This Row],[Reporting date]])*12+MONTH(Table1[[#This Row],[Reporting date]])-Earliest_Month)/4)</f>
        <v>18</v>
      </c>
      <c r="Z743" s="17">
        <f>Table1[[#This Row],[Reporting third]]-Table1[[#This Row],[Policy third]]</f>
        <v>1</v>
      </c>
      <c r="AA743" s="71">
        <f>IF(Table1[[#This Row],[Overall amount]]=0,"N/A",Table1[[#This Row],[Outstanding]]/Table1[[#This Row],[Overall amount]])</f>
        <v>0</v>
      </c>
      <c r="AB743" s="17">
        <f>IF(MONTH(Table1[[#This Row],[Loss date]])&lt;Pol_Inc_Month_Shifted,YEAR(Table1[[#This Row],[Loss date]])-1,YEAR(Table1[[#This Row],[Loss date]]))</f>
        <v>2010</v>
      </c>
      <c r="AC743" s="17">
        <f>IF(MONTH(Table1[[#This Row],[Reporting date]])&lt;Pol_Inc_Month_Shifted,YEAR(Table1[[#This Row],[Reporting date]])-1,YEAR(Table1[[#This Row],[Reporting date]]))</f>
        <v>2010</v>
      </c>
      <c r="AD743" s="17">
        <f>Table1[[#This Row],[Reporting year (shifted)]]-Table1[[#This Row],[Policy Year (shifted)]]</f>
        <v>0</v>
      </c>
    </row>
    <row r="744" spans="1:30" ht="13.9">
      <c r="A744" s="8" t="s">
        <v>2514</v>
      </c>
      <c r="B744" s="8" t="s">
        <v>796</v>
      </c>
      <c r="C744" s="8" t="s">
        <v>123</v>
      </c>
      <c r="D744" s="9">
        <v>40658</v>
      </c>
      <c r="E744" s="9">
        <v>40674</v>
      </c>
      <c r="F744" s="17">
        <f>IF(MONTH(Table1[[#This Row],[Loss date]])&lt;Policy_Inception_Month,YEAR(Table1[[#This Row],[Loss date]])-1,YEAR(Table1[[#This Row],[Loss date]]))</f>
        <v>2011</v>
      </c>
      <c r="G744" s="10" t="s">
        <v>125</v>
      </c>
      <c r="H744" s="10" t="s">
        <v>2</v>
      </c>
      <c r="I744" s="11">
        <v>6909.4783078579394</v>
      </c>
      <c r="J744" s="11">
        <v>0</v>
      </c>
      <c r="K744" s="11">
        <v>6909.4783078579394</v>
      </c>
      <c r="L744" s="12">
        <v>0</v>
      </c>
      <c r="M744" s="12">
        <v>0</v>
      </c>
      <c r="N744" s="12">
        <v>6909.4783078579394</v>
      </c>
      <c r="O744" s="70">
        <f>IF(Table1[[#This Row],[Overall amount]]=0,0,1)</f>
        <v>1</v>
      </c>
      <c r="P744" s="70">
        <f>Table1[[#This Row],[Overall amount]]*Exchange_Rate</f>
        <v>6909.4783078579394</v>
      </c>
      <c r="Q744" s="70">
        <f>Table1[[#This Row],[Overall (destination currency)]]*(1+Claims_Inflation)^((Revalue_at_date-Table1[[#This Row],[Loss date]])/365.25)</f>
        <v>8578.7999999999993</v>
      </c>
      <c r="R744" s="70">
        <f>INT(Table1[[#This Row],[Reporting date]])-INT(Table1[[#This Row],[Loss date]])</f>
        <v>16</v>
      </c>
      <c r="S744" s="69" t="s">
        <v>9</v>
      </c>
      <c r="T744" s="70">
        <f>VLOOKUP(Table1[[#This Row],[Policy Year]],exposure_table,3,FALSE)</f>
        <v>870.52680000000009</v>
      </c>
      <c r="U744" s="17">
        <f>IF(MONTH(Table1[[#This Row],[Reporting date]])&lt;Policy_Inception_Month,YEAR(Table1[[#This Row],[Reporting date]])-1,YEAR(Table1[[#This Row],[Reporting date]]))</f>
        <v>2011</v>
      </c>
      <c r="V744" s="17">
        <f>Table1[[#This Row],[Reporting year]]-Table1[[#This Row],[Policy Year]]</f>
        <v>0</v>
      </c>
      <c r="W744" s="17">
        <f>INT(Table1[[#This Row],[Reporting date]])-INT(Table1[[#This Row],[Loss date]])</f>
        <v>16</v>
      </c>
      <c r="X744" s="17">
        <f>INT((YEAR(Table1[[#This Row],[Loss date]])*12+MONTH(Table1[[#This Row],[Loss date]])-Earliest_Month)/4)</f>
        <v>18</v>
      </c>
      <c r="Y744" s="17">
        <f>INT((YEAR(Table1[[#This Row],[Reporting date]])*12+MONTH(Table1[[#This Row],[Reporting date]])-Earliest_Month)/4)</f>
        <v>18</v>
      </c>
      <c r="Z744" s="17">
        <f>Table1[[#This Row],[Reporting third]]-Table1[[#This Row],[Policy third]]</f>
        <v>0</v>
      </c>
      <c r="AA744" s="71">
        <f>IF(Table1[[#This Row],[Overall amount]]=0,"N/A",Table1[[#This Row],[Outstanding]]/Table1[[#This Row],[Overall amount]])</f>
        <v>0</v>
      </c>
      <c r="AB744" s="17">
        <f>IF(MONTH(Table1[[#This Row],[Loss date]])&lt;Pol_Inc_Month_Shifted,YEAR(Table1[[#This Row],[Loss date]])-1,YEAR(Table1[[#This Row],[Loss date]]))</f>
        <v>2010</v>
      </c>
      <c r="AC744" s="17">
        <f>IF(MONTH(Table1[[#This Row],[Reporting date]])&lt;Pol_Inc_Month_Shifted,YEAR(Table1[[#This Row],[Reporting date]])-1,YEAR(Table1[[#This Row],[Reporting date]]))</f>
        <v>2010</v>
      </c>
      <c r="AD744" s="17">
        <f>Table1[[#This Row],[Reporting year (shifted)]]-Table1[[#This Row],[Policy Year (shifted)]]</f>
        <v>0</v>
      </c>
    </row>
    <row r="745" spans="1:30" ht="13.9">
      <c r="A745" s="8" t="s">
        <v>2515</v>
      </c>
      <c r="B745" s="8" t="s">
        <v>797</v>
      </c>
      <c r="C745" s="8" t="s">
        <v>123</v>
      </c>
      <c r="D745" s="9">
        <v>40114</v>
      </c>
      <c r="E745" s="9">
        <v>40651</v>
      </c>
      <c r="F745" s="17">
        <f>IF(MONTH(Table1[[#This Row],[Loss date]])&lt;Policy_Inception_Month,YEAR(Table1[[#This Row],[Loss date]])-1,YEAR(Table1[[#This Row],[Loss date]]))</f>
        <v>2009</v>
      </c>
      <c r="G745" s="10" t="s">
        <v>125</v>
      </c>
      <c r="H745" s="10" t="s">
        <v>2</v>
      </c>
      <c r="I745" s="11">
        <v>6851.3182122145508</v>
      </c>
      <c r="J745" s="11">
        <v>0</v>
      </c>
      <c r="K745" s="11">
        <v>6851.3182122145508</v>
      </c>
      <c r="L745" s="12">
        <v>0</v>
      </c>
      <c r="M745" s="12">
        <v>0</v>
      </c>
      <c r="N745" s="12">
        <v>6851.3182122145508</v>
      </c>
      <c r="O745" s="70">
        <f>IF(Table1[[#This Row],[Overall amount]]=0,0,1)</f>
        <v>1</v>
      </c>
      <c r="P745" s="70">
        <f>Table1[[#This Row],[Overall amount]]*Exchange_Rate</f>
        <v>6851.3182122145508</v>
      </c>
      <c r="Q745" s="70">
        <f>Table1[[#This Row],[Overall (destination currency)]]*(1+Claims_Inflation)^((Revalue_at_date-Table1[[#This Row],[Loss date]])/365.25)</f>
        <v>9147.7559999999994</v>
      </c>
      <c r="R745" s="70">
        <f>INT(Table1[[#This Row],[Reporting date]])-INT(Table1[[#This Row],[Loss date]])</f>
        <v>537</v>
      </c>
      <c r="S745" s="69" t="s">
        <v>9</v>
      </c>
      <c r="T745" s="70">
        <f>VLOOKUP(Table1[[#This Row],[Policy Year]],exposure_table,3,FALSE)</f>
        <v>760.22808576000011</v>
      </c>
      <c r="U745" s="17">
        <f>IF(MONTH(Table1[[#This Row],[Reporting date]])&lt;Policy_Inception_Month,YEAR(Table1[[#This Row],[Reporting date]])-1,YEAR(Table1[[#This Row],[Reporting date]]))</f>
        <v>2011</v>
      </c>
      <c r="V745" s="17">
        <f>Table1[[#This Row],[Reporting year]]-Table1[[#This Row],[Policy Year]]</f>
        <v>2</v>
      </c>
      <c r="W745" s="17">
        <f>INT(Table1[[#This Row],[Reporting date]])-INT(Table1[[#This Row],[Loss date]])</f>
        <v>537</v>
      </c>
      <c r="X745" s="17">
        <f>INT((YEAR(Table1[[#This Row],[Loss date]])*12+MONTH(Table1[[#This Row],[Loss date]])-Earliest_Month)/4)</f>
        <v>13</v>
      </c>
      <c r="Y745" s="17">
        <f>INT((YEAR(Table1[[#This Row],[Reporting date]])*12+MONTH(Table1[[#This Row],[Reporting date]])-Earliest_Month)/4)</f>
        <v>18</v>
      </c>
      <c r="Z745" s="17">
        <f>Table1[[#This Row],[Reporting third]]-Table1[[#This Row],[Policy third]]</f>
        <v>5</v>
      </c>
      <c r="AA745" s="71">
        <f>IF(Table1[[#This Row],[Overall amount]]=0,"N/A",Table1[[#This Row],[Outstanding]]/Table1[[#This Row],[Overall amount]])</f>
        <v>0</v>
      </c>
      <c r="AB745" s="17">
        <f>IF(MONTH(Table1[[#This Row],[Loss date]])&lt;Pol_Inc_Month_Shifted,YEAR(Table1[[#This Row],[Loss date]])-1,YEAR(Table1[[#This Row],[Loss date]]))</f>
        <v>2008</v>
      </c>
      <c r="AC745" s="17">
        <f>IF(MONTH(Table1[[#This Row],[Reporting date]])&lt;Pol_Inc_Month_Shifted,YEAR(Table1[[#This Row],[Reporting date]])-1,YEAR(Table1[[#This Row],[Reporting date]]))</f>
        <v>2010</v>
      </c>
      <c r="AD745" s="17">
        <f>Table1[[#This Row],[Reporting year (shifted)]]-Table1[[#This Row],[Policy Year (shifted)]]</f>
        <v>2</v>
      </c>
    </row>
    <row r="746" spans="1:30" ht="13.9">
      <c r="A746" s="8" t="s">
        <v>2516</v>
      </c>
      <c r="B746" s="8" t="s">
        <v>798</v>
      </c>
      <c r="C746" s="8" t="s">
        <v>123</v>
      </c>
      <c r="D746" s="9">
        <v>40701</v>
      </c>
      <c r="E746" s="9">
        <v>40735</v>
      </c>
      <c r="F746" s="17">
        <f>IF(MONTH(Table1[[#This Row],[Loss date]])&lt;Policy_Inception_Month,YEAR(Table1[[#This Row],[Loss date]])-1,YEAR(Table1[[#This Row],[Loss date]]))</f>
        <v>2011</v>
      </c>
      <c r="G746" s="10" t="s">
        <v>125</v>
      </c>
      <c r="H746" s="10" t="s">
        <v>2</v>
      </c>
      <c r="I746" s="11">
        <v>761.1255268590694</v>
      </c>
      <c r="J746" s="11">
        <v>0</v>
      </c>
      <c r="K746" s="11">
        <v>761.1255268590694</v>
      </c>
      <c r="L746" s="12">
        <v>0</v>
      </c>
      <c r="M746" s="12">
        <v>0</v>
      </c>
      <c r="N746" s="12">
        <v>761.1255268590694</v>
      </c>
      <c r="O746" s="70">
        <f>IF(Table1[[#This Row],[Overall amount]]=0,0,1)</f>
        <v>1</v>
      </c>
      <c r="P746" s="70">
        <f>Table1[[#This Row],[Overall amount]]*Exchange_Rate</f>
        <v>761.1255268590694</v>
      </c>
      <c r="Q746" s="70">
        <f>Table1[[#This Row],[Overall (destination currency)]]*(1+Claims_Inflation)^((Revalue_at_date-Table1[[#This Row],[Loss date]])/365.25)</f>
        <v>939.59999999999991</v>
      </c>
      <c r="R746" s="70">
        <f>INT(Table1[[#This Row],[Reporting date]])-INT(Table1[[#This Row],[Loss date]])</f>
        <v>34</v>
      </c>
      <c r="S746" s="69" t="s">
        <v>9</v>
      </c>
      <c r="T746" s="70">
        <f>VLOOKUP(Table1[[#This Row],[Policy Year]],exposure_table,3,FALSE)</f>
        <v>870.52680000000009</v>
      </c>
      <c r="U746" s="17">
        <f>IF(MONTH(Table1[[#This Row],[Reporting date]])&lt;Policy_Inception_Month,YEAR(Table1[[#This Row],[Reporting date]])-1,YEAR(Table1[[#This Row],[Reporting date]]))</f>
        <v>2011</v>
      </c>
      <c r="V746" s="17">
        <f>Table1[[#This Row],[Reporting year]]-Table1[[#This Row],[Policy Year]]</f>
        <v>0</v>
      </c>
      <c r="W746" s="17">
        <f>INT(Table1[[#This Row],[Reporting date]])-INT(Table1[[#This Row],[Loss date]])</f>
        <v>34</v>
      </c>
      <c r="X746" s="17">
        <f>INT((YEAR(Table1[[#This Row],[Loss date]])*12+MONTH(Table1[[#This Row],[Loss date]])-Earliest_Month)/4)</f>
        <v>18</v>
      </c>
      <c r="Y746" s="17">
        <f>INT((YEAR(Table1[[#This Row],[Reporting date]])*12+MONTH(Table1[[#This Row],[Reporting date]])-Earliest_Month)/4)</f>
        <v>18</v>
      </c>
      <c r="Z746" s="17">
        <f>Table1[[#This Row],[Reporting third]]-Table1[[#This Row],[Policy third]]</f>
        <v>0</v>
      </c>
      <c r="AA746" s="71">
        <f>IF(Table1[[#This Row],[Overall amount]]=0,"N/A",Table1[[#This Row],[Outstanding]]/Table1[[#This Row],[Overall amount]])</f>
        <v>0</v>
      </c>
      <c r="AB746" s="17">
        <f>IF(MONTH(Table1[[#This Row],[Loss date]])&lt;Pol_Inc_Month_Shifted,YEAR(Table1[[#This Row],[Loss date]])-1,YEAR(Table1[[#This Row],[Loss date]]))</f>
        <v>2010</v>
      </c>
      <c r="AC746" s="17">
        <f>IF(MONTH(Table1[[#This Row],[Reporting date]])&lt;Pol_Inc_Month_Shifted,YEAR(Table1[[#This Row],[Reporting date]])-1,YEAR(Table1[[#This Row],[Reporting date]]))</f>
        <v>2010</v>
      </c>
      <c r="AD746" s="17">
        <f>Table1[[#This Row],[Reporting year (shifted)]]-Table1[[#This Row],[Policy Year (shifted)]]</f>
        <v>0</v>
      </c>
    </row>
    <row r="747" spans="1:30" ht="13.9">
      <c r="A747" s="8" t="s">
        <v>2517</v>
      </c>
      <c r="B747" s="8" t="s">
        <v>799</v>
      </c>
      <c r="C747" s="8" t="s">
        <v>123</v>
      </c>
      <c r="D747" s="9">
        <v>40553</v>
      </c>
      <c r="E747" s="9">
        <v>40763</v>
      </c>
      <c r="F747" s="17">
        <f>IF(MONTH(Table1[[#This Row],[Loss date]])&lt;Policy_Inception_Month,YEAR(Table1[[#This Row],[Loss date]])-1,YEAR(Table1[[#This Row],[Loss date]]))</f>
        <v>2010</v>
      </c>
      <c r="G747" s="10" t="s">
        <v>125</v>
      </c>
      <c r="H747" s="10" t="s">
        <v>2</v>
      </c>
      <c r="I747" s="11">
        <v>621.85495194693613</v>
      </c>
      <c r="J747" s="11">
        <v>0</v>
      </c>
      <c r="K747" s="11">
        <v>621.85495194693613</v>
      </c>
      <c r="L747" s="12">
        <v>0</v>
      </c>
      <c r="M747" s="12">
        <v>0</v>
      </c>
      <c r="N747" s="12">
        <v>621.85495194693613</v>
      </c>
      <c r="O747" s="70">
        <f>IF(Table1[[#This Row],[Overall amount]]=0,0,1)</f>
        <v>1</v>
      </c>
      <c r="P747" s="70">
        <f>Table1[[#This Row],[Overall amount]]*Exchange_Rate</f>
        <v>621.85495194693613</v>
      </c>
      <c r="Q747" s="70">
        <f>Table1[[#This Row],[Overall (destination currency)]]*(1+Claims_Inflation)^((Revalue_at_date-Table1[[#This Row],[Loss date]])/365.25)</f>
        <v>783</v>
      </c>
      <c r="R747" s="70">
        <f>INT(Table1[[#This Row],[Reporting date]])-INT(Table1[[#This Row],[Loss date]])</f>
        <v>210</v>
      </c>
      <c r="S747" s="69" t="s">
        <v>9</v>
      </c>
      <c r="T747" s="70">
        <f>VLOOKUP(Table1[[#This Row],[Policy Year]],exposure_table,3,FALSE)</f>
        <v>837.11513600000012</v>
      </c>
      <c r="U747" s="17">
        <f>IF(MONTH(Table1[[#This Row],[Reporting date]])&lt;Policy_Inception_Month,YEAR(Table1[[#This Row],[Reporting date]])-1,YEAR(Table1[[#This Row],[Reporting date]]))</f>
        <v>2011</v>
      </c>
      <c r="V747" s="17">
        <f>Table1[[#This Row],[Reporting year]]-Table1[[#This Row],[Policy Year]]</f>
        <v>1</v>
      </c>
      <c r="W747" s="17">
        <f>INT(Table1[[#This Row],[Reporting date]])-INT(Table1[[#This Row],[Loss date]])</f>
        <v>210</v>
      </c>
      <c r="X747" s="17">
        <f>INT((YEAR(Table1[[#This Row],[Loss date]])*12+MONTH(Table1[[#This Row],[Loss date]])-Earliest_Month)/4)</f>
        <v>17</v>
      </c>
      <c r="Y747" s="17">
        <f>INT((YEAR(Table1[[#This Row],[Reporting date]])*12+MONTH(Table1[[#This Row],[Reporting date]])-Earliest_Month)/4)</f>
        <v>19</v>
      </c>
      <c r="Z747" s="17">
        <f>Table1[[#This Row],[Reporting third]]-Table1[[#This Row],[Policy third]]</f>
        <v>2</v>
      </c>
      <c r="AA747" s="71">
        <f>IF(Table1[[#This Row],[Overall amount]]=0,"N/A",Table1[[#This Row],[Outstanding]]/Table1[[#This Row],[Overall amount]])</f>
        <v>0</v>
      </c>
      <c r="AB747" s="17">
        <f>IF(MONTH(Table1[[#This Row],[Loss date]])&lt;Pol_Inc_Month_Shifted,YEAR(Table1[[#This Row],[Loss date]])-1,YEAR(Table1[[#This Row],[Loss date]]))</f>
        <v>2010</v>
      </c>
      <c r="AC747" s="17">
        <f>IF(MONTH(Table1[[#This Row],[Reporting date]])&lt;Pol_Inc_Month_Shifted,YEAR(Table1[[#This Row],[Reporting date]])-1,YEAR(Table1[[#This Row],[Reporting date]]))</f>
        <v>2010</v>
      </c>
      <c r="AD747" s="17">
        <f>Table1[[#This Row],[Reporting year (shifted)]]-Table1[[#This Row],[Policy Year (shifted)]]</f>
        <v>0</v>
      </c>
    </row>
    <row r="748" spans="1:30" ht="13.9">
      <c r="A748" s="8" t="s">
        <v>2518</v>
      </c>
      <c r="B748" s="8" t="s">
        <v>800</v>
      </c>
      <c r="C748" s="8" t="s">
        <v>123</v>
      </c>
      <c r="D748" s="9">
        <v>40386</v>
      </c>
      <c r="E748" s="9">
        <v>40839</v>
      </c>
      <c r="F748" s="17">
        <f>IF(MONTH(Table1[[#This Row],[Loss date]])&lt;Policy_Inception_Month,YEAR(Table1[[#This Row],[Loss date]])-1,YEAR(Table1[[#This Row],[Loss date]]))</f>
        <v>2010</v>
      </c>
      <c r="G748" s="10" t="s">
        <v>125</v>
      </c>
      <c r="H748" s="10" t="s">
        <v>2</v>
      </c>
      <c r="I748" s="11">
        <v>5501.8018036270332</v>
      </c>
      <c r="J748" s="11">
        <v>0</v>
      </c>
      <c r="K748" s="11">
        <v>5501.8018036270332</v>
      </c>
      <c r="L748" s="12">
        <v>0</v>
      </c>
      <c r="M748" s="12">
        <v>0</v>
      </c>
      <c r="N748" s="12">
        <v>5501.8018036270332</v>
      </c>
      <c r="O748" s="70">
        <f>IF(Table1[[#This Row],[Overall amount]]=0,0,1)</f>
        <v>1</v>
      </c>
      <c r="P748" s="70">
        <f>Table1[[#This Row],[Overall amount]]*Exchange_Rate</f>
        <v>5501.8018036270332</v>
      </c>
      <c r="Q748" s="70">
        <f>Table1[[#This Row],[Overall (destination currency)]]*(1+Claims_Inflation)^((Revalue_at_date-Table1[[#This Row],[Loss date]])/365.25)</f>
        <v>7083.7919999999995</v>
      </c>
      <c r="R748" s="70">
        <f>INT(Table1[[#This Row],[Reporting date]])-INT(Table1[[#This Row],[Loss date]])</f>
        <v>453</v>
      </c>
      <c r="S748" s="69" t="s">
        <v>9</v>
      </c>
      <c r="T748" s="70">
        <f>VLOOKUP(Table1[[#This Row],[Policy Year]],exposure_table,3,FALSE)</f>
        <v>837.11513600000012</v>
      </c>
      <c r="U748" s="17">
        <f>IF(MONTH(Table1[[#This Row],[Reporting date]])&lt;Policy_Inception_Month,YEAR(Table1[[#This Row],[Reporting date]])-1,YEAR(Table1[[#This Row],[Reporting date]]))</f>
        <v>2011</v>
      </c>
      <c r="V748" s="17">
        <f>Table1[[#This Row],[Reporting year]]-Table1[[#This Row],[Policy Year]]</f>
        <v>1</v>
      </c>
      <c r="W748" s="17">
        <f>INT(Table1[[#This Row],[Reporting date]])-INT(Table1[[#This Row],[Loss date]])</f>
        <v>453</v>
      </c>
      <c r="X748" s="17">
        <f>INT((YEAR(Table1[[#This Row],[Loss date]])*12+MONTH(Table1[[#This Row],[Loss date]])-Earliest_Month)/4)</f>
        <v>15</v>
      </c>
      <c r="Y748" s="17">
        <f>INT((YEAR(Table1[[#This Row],[Reporting date]])*12+MONTH(Table1[[#This Row],[Reporting date]])-Earliest_Month)/4)</f>
        <v>19</v>
      </c>
      <c r="Z748" s="17">
        <f>Table1[[#This Row],[Reporting third]]-Table1[[#This Row],[Policy third]]</f>
        <v>4</v>
      </c>
      <c r="AA748" s="71">
        <f>IF(Table1[[#This Row],[Overall amount]]=0,"N/A",Table1[[#This Row],[Outstanding]]/Table1[[#This Row],[Overall amount]])</f>
        <v>0</v>
      </c>
      <c r="AB748" s="17">
        <f>IF(MONTH(Table1[[#This Row],[Loss date]])&lt;Pol_Inc_Month_Shifted,YEAR(Table1[[#This Row],[Loss date]])-1,YEAR(Table1[[#This Row],[Loss date]]))</f>
        <v>2009</v>
      </c>
      <c r="AC748" s="17">
        <f>IF(MONTH(Table1[[#This Row],[Reporting date]])&lt;Pol_Inc_Month_Shifted,YEAR(Table1[[#This Row],[Reporting date]])-1,YEAR(Table1[[#This Row],[Reporting date]]))</f>
        <v>2010</v>
      </c>
      <c r="AD748" s="17">
        <f>Table1[[#This Row],[Reporting year (shifted)]]-Table1[[#This Row],[Policy Year (shifted)]]</f>
        <v>1</v>
      </c>
    </row>
    <row r="749" spans="1:30" ht="13.9">
      <c r="A749" s="8" t="s">
        <v>2519</v>
      </c>
      <c r="B749" s="8" t="s">
        <v>801</v>
      </c>
      <c r="C749" s="8" t="s">
        <v>123</v>
      </c>
      <c r="D749" s="9">
        <v>40377</v>
      </c>
      <c r="E749" s="9">
        <v>40943</v>
      </c>
      <c r="F749" s="17">
        <f>IF(MONTH(Table1[[#This Row],[Loss date]])&lt;Policy_Inception_Month,YEAR(Table1[[#This Row],[Loss date]])-1,YEAR(Table1[[#This Row],[Loss date]]))</f>
        <v>2010</v>
      </c>
      <c r="G749" s="10" t="s">
        <v>131</v>
      </c>
      <c r="H749" s="10" t="s">
        <v>2</v>
      </c>
      <c r="I749" s="11">
        <v>6622.3499898432146</v>
      </c>
      <c r="J749" s="11">
        <v>0</v>
      </c>
      <c r="K749" s="11">
        <v>6622.3499898432146</v>
      </c>
      <c r="L749" s="12">
        <v>0</v>
      </c>
      <c r="M749" s="12">
        <v>0</v>
      </c>
      <c r="N749" s="12">
        <v>6622.3499898432146</v>
      </c>
      <c r="O749" s="70">
        <f>IF(Table1[[#This Row],[Overall amount]]=0,0,1)</f>
        <v>1</v>
      </c>
      <c r="P749" s="70">
        <f>Table1[[#This Row],[Overall amount]]*Exchange_Rate</f>
        <v>6622.3499898432146</v>
      </c>
      <c r="Q749" s="70">
        <f>Table1[[#This Row],[Overall (destination currency)]]*(1+Claims_Inflation)^((Revalue_at_date-Table1[[#This Row],[Loss date]])/365.25)</f>
        <v>8536.8000000000011</v>
      </c>
      <c r="R749" s="70">
        <f>INT(Table1[[#This Row],[Reporting date]])-INT(Table1[[#This Row],[Loss date]])</f>
        <v>566</v>
      </c>
      <c r="S749" s="69" t="s">
        <v>9</v>
      </c>
      <c r="T749" s="70">
        <f>VLOOKUP(Table1[[#This Row],[Policy Year]],exposure_table,3,FALSE)</f>
        <v>837.11513600000012</v>
      </c>
      <c r="U749" s="17">
        <f>IF(MONTH(Table1[[#This Row],[Reporting date]])&lt;Policy_Inception_Month,YEAR(Table1[[#This Row],[Reporting date]])-1,YEAR(Table1[[#This Row],[Reporting date]]))</f>
        <v>2011</v>
      </c>
      <c r="V749" s="17">
        <f>Table1[[#This Row],[Reporting year]]-Table1[[#This Row],[Policy Year]]</f>
        <v>1</v>
      </c>
      <c r="W749" s="17">
        <f>INT(Table1[[#This Row],[Reporting date]])-INT(Table1[[#This Row],[Loss date]])</f>
        <v>566</v>
      </c>
      <c r="X749" s="17">
        <f>INT((YEAR(Table1[[#This Row],[Loss date]])*12+MONTH(Table1[[#This Row],[Loss date]])-Earliest_Month)/4)</f>
        <v>15</v>
      </c>
      <c r="Y749" s="17">
        <f>INT((YEAR(Table1[[#This Row],[Reporting date]])*12+MONTH(Table1[[#This Row],[Reporting date]])-Earliest_Month)/4)</f>
        <v>20</v>
      </c>
      <c r="Z749" s="17">
        <f>Table1[[#This Row],[Reporting third]]-Table1[[#This Row],[Policy third]]</f>
        <v>5</v>
      </c>
      <c r="AA749" s="71">
        <f>IF(Table1[[#This Row],[Overall amount]]=0,"N/A",Table1[[#This Row],[Outstanding]]/Table1[[#This Row],[Overall amount]])</f>
        <v>0</v>
      </c>
      <c r="AB749" s="17">
        <f>IF(MONTH(Table1[[#This Row],[Loss date]])&lt;Pol_Inc_Month_Shifted,YEAR(Table1[[#This Row],[Loss date]])-1,YEAR(Table1[[#This Row],[Loss date]]))</f>
        <v>2009</v>
      </c>
      <c r="AC749" s="17">
        <f>IF(MONTH(Table1[[#This Row],[Reporting date]])&lt;Pol_Inc_Month_Shifted,YEAR(Table1[[#This Row],[Reporting date]])-1,YEAR(Table1[[#This Row],[Reporting date]]))</f>
        <v>2011</v>
      </c>
      <c r="AD749" s="17">
        <f>Table1[[#This Row],[Reporting year (shifted)]]-Table1[[#This Row],[Policy Year (shifted)]]</f>
        <v>2</v>
      </c>
    </row>
    <row r="750" spans="1:30" ht="13.9">
      <c r="A750" s="8" t="s">
        <v>2520</v>
      </c>
      <c r="B750" s="8" t="s">
        <v>802</v>
      </c>
      <c r="C750" s="8" t="s">
        <v>123</v>
      </c>
      <c r="D750" s="9">
        <v>38934</v>
      </c>
      <c r="E750" s="9">
        <v>38996</v>
      </c>
      <c r="F750" s="17">
        <f>IF(MONTH(Table1[[#This Row],[Loss date]])&lt;Policy_Inception_Month,YEAR(Table1[[#This Row],[Loss date]])-1,YEAR(Table1[[#This Row],[Loss date]]))</f>
        <v>2006</v>
      </c>
      <c r="G750" s="10" t="s">
        <v>124</v>
      </c>
      <c r="H750" s="10" t="s">
        <v>2</v>
      </c>
      <c r="I750" s="11">
        <v>881.30695374520894</v>
      </c>
      <c r="J750" s="11">
        <v>0</v>
      </c>
      <c r="K750" s="11">
        <v>881.30695374520894</v>
      </c>
      <c r="L750" s="12">
        <v>0</v>
      </c>
      <c r="M750" s="12">
        <v>0</v>
      </c>
      <c r="N750" s="12">
        <v>881.30695374520894</v>
      </c>
      <c r="O750" s="70">
        <f>IF(Table1[[#This Row],[Overall amount]]=0,0,1)</f>
        <v>1</v>
      </c>
      <c r="P750" s="70">
        <f>Table1[[#This Row],[Overall amount]]*Exchange_Rate</f>
        <v>881.30695374520894</v>
      </c>
      <c r="Q750" s="70">
        <f>Table1[[#This Row],[Overall (destination currency)]]*(1+Claims_Inflation)^((Revalue_at_date-Table1[[#This Row],[Loss date]])/365.25)</f>
        <v>1377.6</v>
      </c>
      <c r="R750" s="70">
        <f>INT(Table1[[#This Row],[Reporting date]])-INT(Table1[[#This Row],[Loss date]])</f>
        <v>62</v>
      </c>
      <c r="S750" s="69" t="s">
        <v>9</v>
      </c>
      <c r="T750" s="70">
        <f>VLOOKUP(Table1[[#This Row],[Policy Year]],exposure_table,3,FALSE)</f>
        <v>483.32023209000977</v>
      </c>
      <c r="U750" s="17">
        <f>IF(MONTH(Table1[[#This Row],[Reporting date]])&lt;Policy_Inception_Month,YEAR(Table1[[#This Row],[Reporting date]])-1,YEAR(Table1[[#This Row],[Reporting date]]))</f>
        <v>2006</v>
      </c>
      <c r="V750" s="17">
        <f>Table1[[#This Row],[Reporting year]]-Table1[[#This Row],[Policy Year]]</f>
        <v>0</v>
      </c>
      <c r="W750" s="17">
        <f>INT(Table1[[#This Row],[Reporting date]])-INT(Table1[[#This Row],[Loss date]])</f>
        <v>62</v>
      </c>
      <c r="X750" s="17">
        <f>INT((YEAR(Table1[[#This Row],[Loss date]])*12+MONTH(Table1[[#This Row],[Loss date]])-Earliest_Month)/4)</f>
        <v>4</v>
      </c>
      <c r="Y750" s="17">
        <f>INT((YEAR(Table1[[#This Row],[Reporting date]])*12+MONTH(Table1[[#This Row],[Reporting date]])-Earliest_Month)/4)</f>
        <v>4</v>
      </c>
      <c r="Z750" s="17">
        <f>Table1[[#This Row],[Reporting third]]-Table1[[#This Row],[Policy third]]</f>
        <v>0</v>
      </c>
      <c r="AA750" s="71">
        <f>IF(Table1[[#This Row],[Overall amount]]=0,"N/A",Table1[[#This Row],[Outstanding]]/Table1[[#This Row],[Overall amount]])</f>
        <v>0</v>
      </c>
      <c r="AB750" s="17">
        <f>IF(MONTH(Table1[[#This Row],[Loss date]])&lt;Pol_Inc_Month_Shifted,YEAR(Table1[[#This Row],[Loss date]])-1,YEAR(Table1[[#This Row],[Loss date]]))</f>
        <v>2005</v>
      </c>
      <c r="AC750" s="17">
        <f>IF(MONTH(Table1[[#This Row],[Reporting date]])&lt;Pol_Inc_Month_Shifted,YEAR(Table1[[#This Row],[Reporting date]])-1,YEAR(Table1[[#This Row],[Reporting date]]))</f>
        <v>2005</v>
      </c>
      <c r="AD750" s="17">
        <f>Table1[[#This Row],[Reporting year (shifted)]]-Table1[[#This Row],[Policy Year (shifted)]]</f>
        <v>0</v>
      </c>
    </row>
    <row r="751" spans="1:30" ht="13.9">
      <c r="A751" s="8" t="s">
        <v>2521</v>
      </c>
      <c r="B751" s="8" t="s">
        <v>803</v>
      </c>
      <c r="C751" s="8" t="s">
        <v>123</v>
      </c>
      <c r="D751" s="9">
        <v>38751</v>
      </c>
      <c r="E751" s="9">
        <v>39091</v>
      </c>
      <c r="F751" s="17">
        <f>IF(MONTH(Table1[[#This Row],[Loss date]])&lt;Policy_Inception_Month,YEAR(Table1[[#This Row],[Loss date]])-1,YEAR(Table1[[#This Row],[Loss date]]))</f>
        <v>2005</v>
      </c>
      <c r="G751" s="10" t="s">
        <v>125</v>
      </c>
      <c r="H751" s="10" t="s">
        <v>2</v>
      </c>
      <c r="I751" s="11">
        <v>568.23043260394684</v>
      </c>
      <c r="J751" s="11">
        <v>0</v>
      </c>
      <c r="K751" s="11">
        <v>568.23043260394684</v>
      </c>
      <c r="L751" s="12">
        <v>0</v>
      </c>
      <c r="M751" s="12">
        <v>0</v>
      </c>
      <c r="N751" s="12">
        <v>568.23043260394684</v>
      </c>
      <c r="O751" s="70">
        <f>IF(Table1[[#This Row],[Overall amount]]=0,0,1)</f>
        <v>1</v>
      </c>
      <c r="P751" s="70">
        <f>Table1[[#This Row],[Overall amount]]*Exchange_Rate</f>
        <v>568.23043260394684</v>
      </c>
      <c r="Q751" s="70">
        <f>Table1[[#This Row],[Overall (destination currency)]]*(1+Claims_Inflation)^((Revalue_at_date-Table1[[#This Row],[Loss date]])/365.25)</f>
        <v>910.19999999999993</v>
      </c>
      <c r="R751" s="70">
        <f>INT(Table1[[#This Row],[Reporting date]])-INT(Table1[[#This Row],[Loss date]])</f>
        <v>340</v>
      </c>
      <c r="S751" s="69" t="s">
        <v>9</v>
      </c>
      <c r="T751" s="70">
        <f>VLOOKUP(Table1[[#This Row],[Policy Year]],exposure_table,3,FALSE)</f>
        <v>409.50481038040112</v>
      </c>
      <c r="U751" s="17">
        <f>IF(MONTH(Table1[[#This Row],[Reporting date]])&lt;Policy_Inception_Month,YEAR(Table1[[#This Row],[Reporting date]])-1,YEAR(Table1[[#This Row],[Reporting date]]))</f>
        <v>2006</v>
      </c>
      <c r="V751" s="17">
        <f>Table1[[#This Row],[Reporting year]]-Table1[[#This Row],[Policy Year]]</f>
        <v>1</v>
      </c>
      <c r="W751" s="17">
        <f>INT(Table1[[#This Row],[Reporting date]])-INT(Table1[[#This Row],[Loss date]])</f>
        <v>340</v>
      </c>
      <c r="X751" s="17">
        <f>INT((YEAR(Table1[[#This Row],[Loss date]])*12+MONTH(Table1[[#This Row],[Loss date]])-Earliest_Month)/4)</f>
        <v>2</v>
      </c>
      <c r="Y751" s="17">
        <f>INT((YEAR(Table1[[#This Row],[Reporting date]])*12+MONTH(Table1[[#This Row],[Reporting date]])-Earliest_Month)/4)</f>
        <v>5</v>
      </c>
      <c r="Z751" s="17">
        <f>Table1[[#This Row],[Reporting third]]-Table1[[#This Row],[Policy third]]</f>
        <v>3</v>
      </c>
      <c r="AA751" s="71">
        <f>IF(Table1[[#This Row],[Overall amount]]=0,"N/A",Table1[[#This Row],[Outstanding]]/Table1[[#This Row],[Overall amount]])</f>
        <v>0</v>
      </c>
      <c r="AB751" s="17">
        <f>IF(MONTH(Table1[[#This Row],[Loss date]])&lt;Pol_Inc_Month_Shifted,YEAR(Table1[[#This Row],[Loss date]])-1,YEAR(Table1[[#This Row],[Loss date]]))</f>
        <v>2005</v>
      </c>
      <c r="AC751" s="17">
        <f>IF(MONTH(Table1[[#This Row],[Reporting date]])&lt;Pol_Inc_Month_Shifted,YEAR(Table1[[#This Row],[Reporting date]])-1,YEAR(Table1[[#This Row],[Reporting date]]))</f>
        <v>2006</v>
      </c>
      <c r="AD751" s="17">
        <f>Table1[[#This Row],[Reporting year (shifted)]]-Table1[[#This Row],[Policy Year (shifted)]]</f>
        <v>1</v>
      </c>
    </row>
    <row r="752" spans="1:30" ht="13.9">
      <c r="A752" s="8" t="s">
        <v>2522</v>
      </c>
      <c r="B752" s="8" t="s">
        <v>804</v>
      </c>
      <c r="C752" s="8" t="s">
        <v>123</v>
      </c>
      <c r="D752" s="9">
        <v>38986</v>
      </c>
      <c r="E752" s="9">
        <v>39401</v>
      </c>
      <c r="F752" s="17">
        <f>IF(MONTH(Table1[[#This Row],[Loss date]])&lt;Policy_Inception_Month,YEAR(Table1[[#This Row],[Loss date]])-1,YEAR(Table1[[#This Row],[Loss date]]))</f>
        <v>2006</v>
      </c>
      <c r="G752" s="10" t="s">
        <v>125</v>
      </c>
      <c r="H752" s="10" t="s">
        <v>2</v>
      </c>
      <c r="I752" s="11">
        <v>1281.3138751626591</v>
      </c>
      <c r="J752" s="11">
        <v>0</v>
      </c>
      <c r="K752" s="11">
        <v>1281.3138751626591</v>
      </c>
      <c r="L752" s="12">
        <v>0</v>
      </c>
      <c r="M752" s="12">
        <v>0</v>
      </c>
      <c r="N752" s="12">
        <v>1281.3138751626591</v>
      </c>
      <c r="O752" s="70">
        <f>IF(Table1[[#This Row],[Overall amount]]=0,0,1)</f>
        <v>1</v>
      </c>
      <c r="P752" s="70">
        <f>Table1[[#This Row],[Overall amount]]*Exchange_Rate</f>
        <v>1281.3138751626591</v>
      </c>
      <c r="Q752" s="70">
        <f>Table1[[#This Row],[Overall (destination currency)]]*(1+Claims_Inflation)^((Revalue_at_date-Table1[[#This Row],[Loss date]])/365.25)</f>
        <v>1989</v>
      </c>
      <c r="R752" s="70">
        <f>INT(Table1[[#This Row],[Reporting date]])-INT(Table1[[#This Row],[Loss date]])</f>
        <v>415</v>
      </c>
      <c r="S752" s="69" t="s">
        <v>9</v>
      </c>
      <c r="T752" s="70">
        <f>VLOOKUP(Table1[[#This Row],[Policy Year]],exposure_table,3,FALSE)</f>
        <v>483.32023209000977</v>
      </c>
      <c r="U752" s="17">
        <f>IF(MONTH(Table1[[#This Row],[Reporting date]])&lt;Policy_Inception_Month,YEAR(Table1[[#This Row],[Reporting date]])-1,YEAR(Table1[[#This Row],[Reporting date]]))</f>
        <v>2007</v>
      </c>
      <c r="V752" s="17">
        <f>Table1[[#This Row],[Reporting year]]-Table1[[#This Row],[Policy Year]]</f>
        <v>1</v>
      </c>
      <c r="W752" s="17">
        <f>INT(Table1[[#This Row],[Reporting date]])-INT(Table1[[#This Row],[Loss date]])</f>
        <v>415</v>
      </c>
      <c r="X752" s="17">
        <f>INT((YEAR(Table1[[#This Row],[Loss date]])*12+MONTH(Table1[[#This Row],[Loss date]])-Earliest_Month)/4)</f>
        <v>4</v>
      </c>
      <c r="Y752" s="17">
        <f>INT((YEAR(Table1[[#This Row],[Reporting date]])*12+MONTH(Table1[[#This Row],[Reporting date]])-Earliest_Month)/4)</f>
        <v>7</v>
      </c>
      <c r="Z752" s="17">
        <f>Table1[[#This Row],[Reporting third]]-Table1[[#This Row],[Policy third]]</f>
        <v>3</v>
      </c>
      <c r="AA752" s="71">
        <f>IF(Table1[[#This Row],[Overall amount]]=0,"N/A",Table1[[#This Row],[Outstanding]]/Table1[[#This Row],[Overall amount]])</f>
        <v>0</v>
      </c>
      <c r="AB752" s="17">
        <f>IF(MONTH(Table1[[#This Row],[Loss date]])&lt;Pol_Inc_Month_Shifted,YEAR(Table1[[#This Row],[Loss date]])-1,YEAR(Table1[[#This Row],[Loss date]]))</f>
        <v>2005</v>
      </c>
      <c r="AC752" s="17">
        <f>IF(MONTH(Table1[[#This Row],[Reporting date]])&lt;Pol_Inc_Month_Shifted,YEAR(Table1[[#This Row],[Reporting date]])-1,YEAR(Table1[[#This Row],[Reporting date]]))</f>
        <v>2006</v>
      </c>
      <c r="AD752" s="17">
        <f>Table1[[#This Row],[Reporting year (shifted)]]-Table1[[#This Row],[Policy Year (shifted)]]</f>
        <v>1</v>
      </c>
    </row>
    <row r="753" spans="1:30" ht="13.9">
      <c r="A753" s="8" t="s">
        <v>2523</v>
      </c>
      <c r="B753" s="8" t="s">
        <v>805</v>
      </c>
      <c r="C753" s="8" t="s">
        <v>123</v>
      </c>
      <c r="D753" s="9">
        <v>39301</v>
      </c>
      <c r="E753" s="9">
        <v>39501</v>
      </c>
      <c r="F753" s="17">
        <f>IF(MONTH(Table1[[#This Row],[Loss date]])&lt;Policy_Inception_Month,YEAR(Table1[[#This Row],[Loss date]])-1,YEAR(Table1[[#This Row],[Loss date]]))</f>
        <v>2007</v>
      </c>
      <c r="G753" s="10" t="s">
        <v>125</v>
      </c>
      <c r="H753" s="10" t="s">
        <v>2</v>
      </c>
      <c r="I753" s="11">
        <v>2899.7208778649683</v>
      </c>
      <c r="J753" s="11">
        <v>0</v>
      </c>
      <c r="K753" s="11">
        <v>2899.7208778649683</v>
      </c>
      <c r="L753" s="12">
        <v>0</v>
      </c>
      <c r="M753" s="12">
        <v>0</v>
      </c>
      <c r="N753" s="12">
        <v>2899.7208778649683</v>
      </c>
      <c r="O753" s="70">
        <f>IF(Table1[[#This Row],[Overall amount]]=0,0,1)</f>
        <v>1</v>
      </c>
      <c r="P753" s="70">
        <f>Table1[[#This Row],[Overall amount]]*Exchange_Rate</f>
        <v>2899.7208778649683</v>
      </c>
      <c r="Q753" s="70">
        <f>Table1[[#This Row],[Overall (destination currency)]]*(1+Claims_Inflation)^((Revalue_at_date-Table1[[#This Row],[Loss date]])/365.25)</f>
        <v>4315.8</v>
      </c>
      <c r="R753" s="70">
        <f>INT(Table1[[#This Row],[Reporting date]])-INT(Table1[[#This Row],[Loss date]])</f>
        <v>200</v>
      </c>
      <c r="S753" s="69" t="s">
        <v>9</v>
      </c>
      <c r="T753" s="70">
        <f>VLOOKUP(Table1[[#This Row],[Policy Year]],exposure_table,3,FALSE)</f>
        <v>547.7736362475523</v>
      </c>
      <c r="U753" s="17">
        <f>IF(MONTH(Table1[[#This Row],[Reporting date]])&lt;Policy_Inception_Month,YEAR(Table1[[#This Row],[Reporting date]])-1,YEAR(Table1[[#This Row],[Reporting date]]))</f>
        <v>2007</v>
      </c>
      <c r="V753" s="17">
        <f>Table1[[#This Row],[Reporting year]]-Table1[[#This Row],[Policy Year]]</f>
        <v>0</v>
      </c>
      <c r="W753" s="17">
        <f>INT(Table1[[#This Row],[Reporting date]])-INT(Table1[[#This Row],[Loss date]])</f>
        <v>200</v>
      </c>
      <c r="X753" s="17">
        <f>INT((YEAR(Table1[[#This Row],[Loss date]])*12+MONTH(Table1[[#This Row],[Loss date]])-Earliest_Month)/4)</f>
        <v>7</v>
      </c>
      <c r="Y753" s="17">
        <f>INT((YEAR(Table1[[#This Row],[Reporting date]])*12+MONTH(Table1[[#This Row],[Reporting date]])-Earliest_Month)/4)</f>
        <v>8</v>
      </c>
      <c r="Z753" s="17">
        <f>Table1[[#This Row],[Reporting third]]-Table1[[#This Row],[Policy third]]</f>
        <v>1</v>
      </c>
      <c r="AA753" s="71">
        <f>IF(Table1[[#This Row],[Overall amount]]=0,"N/A",Table1[[#This Row],[Outstanding]]/Table1[[#This Row],[Overall amount]])</f>
        <v>0</v>
      </c>
      <c r="AB753" s="17">
        <f>IF(MONTH(Table1[[#This Row],[Loss date]])&lt;Pol_Inc_Month_Shifted,YEAR(Table1[[#This Row],[Loss date]])-1,YEAR(Table1[[#This Row],[Loss date]]))</f>
        <v>2006</v>
      </c>
      <c r="AC753" s="17">
        <f>IF(MONTH(Table1[[#This Row],[Reporting date]])&lt;Pol_Inc_Month_Shifted,YEAR(Table1[[#This Row],[Reporting date]])-1,YEAR(Table1[[#This Row],[Reporting date]]))</f>
        <v>2007</v>
      </c>
      <c r="AD753" s="17">
        <f>Table1[[#This Row],[Reporting year (shifted)]]-Table1[[#This Row],[Policy Year (shifted)]]</f>
        <v>1</v>
      </c>
    </row>
    <row r="754" spans="1:30" ht="13.9">
      <c r="A754" s="8" t="s">
        <v>2524</v>
      </c>
      <c r="B754" s="8" t="s">
        <v>806</v>
      </c>
      <c r="C754" s="8" t="s">
        <v>123</v>
      </c>
      <c r="D754" s="9">
        <v>39417</v>
      </c>
      <c r="E754" s="9">
        <v>39432</v>
      </c>
      <c r="F754" s="17">
        <f>IF(MONTH(Table1[[#This Row],[Loss date]])&lt;Policy_Inception_Month,YEAR(Table1[[#This Row],[Loss date]])-1,YEAR(Table1[[#This Row],[Loss date]]))</f>
        <v>2007</v>
      </c>
      <c r="G754" s="10" t="s">
        <v>125</v>
      </c>
      <c r="H754" s="10" t="s">
        <v>2</v>
      </c>
      <c r="I754" s="11">
        <v>8881.6585784718227</v>
      </c>
      <c r="J754" s="11">
        <v>0</v>
      </c>
      <c r="K754" s="11">
        <v>8881.6585784718227</v>
      </c>
      <c r="L754" s="12">
        <v>0</v>
      </c>
      <c r="M754" s="12">
        <v>0</v>
      </c>
      <c r="N754" s="12">
        <v>8881.6585784718227</v>
      </c>
      <c r="O754" s="70">
        <f>IF(Table1[[#This Row],[Overall amount]]=0,0,1)</f>
        <v>1</v>
      </c>
      <c r="P754" s="70">
        <f>Table1[[#This Row],[Overall amount]]*Exchange_Rate</f>
        <v>8881.6585784718227</v>
      </c>
      <c r="Q754" s="70">
        <f>Table1[[#This Row],[Overall (destination currency)]]*(1+Claims_Inflation)^((Revalue_at_date-Table1[[#This Row],[Loss date]])/365.25)</f>
        <v>13015.763999999999</v>
      </c>
      <c r="R754" s="70">
        <f>INT(Table1[[#This Row],[Reporting date]])-INT(Table1[[#This Row],[Loss date]])</f>
        <v>15</v>
      </c>
      <c r="S754" s="69" t="s">
        <v>9</v>
      </c>
      <c r="T754" s="70">
        <f>VLOOKUP(Table1[[#This Row],[Policy Year]],exposure_table,3,FALSE)</f>
        <v>547.7736362475523</v>
      </c>
      <c r="U754" s="17">
        <f>IF(MONTH(Table1[[#This Row],[Reporting date]])&lt;Policy_Inception_Month,YEAR(Table1[[#This Row],[Reporting date]])-1,YEAR(Table1[[#This Row],[Reporting date]]))</f>
        <v>2007</v>
      </c>
      <c r="V754" s="17">
        <f>Table1[[#This Row],[Reporting year]]-Table1[[#This Row],[Policy Year]]</f>
        <v>0</v>
      </c>
      <c r="W754" s="17">
        <f>INT(Table1[[#This Row],[Reporting date]])-INT(Table1[[#This Row],[Loss date]])</f>
        <v>15</v>
      </c>
      <c r="X754" s="17">
        <f>INT((YEAR(Table1[[#This Row],[Loss date]])*12+MONTH(Table1[[#This Row],[Loss date]])-Earliest_Month)/4)</f>
        <v>8</v>
      </c>
      <c r="Y754" s="17">
        <f>INT((YEAR(Table1[[#This Row],[Reporting date]])*12+MONTH(Table1[[#This Row],[Reporting date]])-Earliest_Month)/4)</f>
        <v>8</v>
      </c>
      <c r="Z754" s="17">
        <f>Table1[[#This Row],[Reporting third]]-Table1[[#This Row],[Policy third]]</f>
        <v>0</v>
      </c>
      <c r="AA754" s="71">
        <f>IF(Table1[[#This Row],[Overall amount]]=0,"N/A",Table1[[#This Row],[Outstanding]]/Table1[[#This Row],[Overall amount]])</f>
        <v>0</v>
      </c>
      <c r="AB754" s="17">
        <f>IF(MONTH(Table1[[#This Row],[Loss date]])&lt;Pol_Inc_Month_Shifted,YEAR(Table1[[#This Row],[Loss date]])-1,YEAR(Table1[[#This Row],[Loss date]]))</f>
        <v>2007</v>
      </c>
      <c r="AC754" s="17">
        <f>IF(MONTH(Table1[[#This Row],[Reporting date]])&lt;Pol_Inc_Month_Shifted,YEAR(Table1[[#This Row],[Reporting date]])-1,YEAR(Table1[[#This Row],[Reporting date]]))</f>
        <v>2007</v>
      </c>
      <c r="AD754" s="17">
        <f>Table1[[#This Row],[Reporting year (shifted)]]-Table1[[#This Row],[Policy Year (shifted)]]</f>
        <v>0</v>
      </c>
    </row>
    <row r="755" spans="1:30" ht="13.9">
      <c r="A755" s="8" t="s">
        <v>2525</v>
      </c>
      <c r="B755" s="8" t="s">
        <v>807</v>
      </c>
      <c r="C755" s="8" t="s">
        <v>123</v>
      </c>
      <c r="D755" s="9">
        <v>39566</v>
      </c>
      <c r="E755" s="9">
        <v>39836</v>
      </c>
      <c r="F755" s="17">
        <f>IF(MONTH(Table1[[#This Row],[Loss date]])&lt;Policy_Inception_Month,YEAR(Table1[[#This Row],[Loss date]])-1,YEAR(Table1[[#This Row],[Loss date]]))</f>
        <v>2008</v>
      </c>
      <c r="G755" s="10" t="s">
        <v>143</v>
      </c>
      <c r="H755" s="10" t="s">
        <v>2</v>
      </c>
      <c r="I755" s="11">
        <v>378.67276691772059</v>
      </c>
      <c r="J755" s="11">
        <v>0</v>
      </c>
      <c r="K755" s="11">
        <v>378.67276691772059</v>
      </c>
      <c r="L755" s="12">
        <v>0</v>
      </c>
      <c r="M755" s="12">
        <v>0</v>
      </c>
      <c r="N755" s="12">
        <v>378.67276691772059</v>
      </c>
      <c r="O755" s="70">
        <f>IF(Table1[[#This Row],[Overall amount]]=0,0,1)</f>
        <v>1</v>
      </c>
      <c r="P755" s="70">
        <f>Table1[[#This Row],[Overall amount]]*Exchange_Rate</f>
        <v>378.67276691772059</v>
      </c>
      <c r="Q755" s="70">
        <f>Table1[[#This Row],[Overall (destination currency)]]*(1+Claims_Inflation)^((Revalue_at_date-Table1[[#This Row],[Loss date]])/365.25)</f>
        <v>543.99599999999998</v>
      </c>
      <c r="R755" s="70">
        <f>INT(Table1[[#This Row],[Reporting date]])-INT(Table1[[#This Row],[Loss date]])</f>
        <v>270</v>
      </c>
      <c r="S755" s="69" t="s">
        <v>9</v>
      </c>
      <c r="T755" s="70">
        <f>VLOOKUP(Table1[[#This Row],[Policy Year]],exposure_table,3,FALSE)</f>
        <v>601.98581780480015</v>
      </c>
      <c r="U755" s="17">
        <f>IF(MONTH(Table1[[#This Row],[Reporting date]])&lt;Policy_Inception_Month,YEAR(Table1[[#This Row],[Reporting date]])-1,YEAR(Table1[[#This Row],[Reporting date]]))</f>
        <v>2008</v>
      </c>
      <c r="V755" s="17">
        <f>Table1[[#This Row],[Reporting year]]-Table1[[#This Row],[Policy Year]]</f>
        <v>0</v>
      </c>
      <c r="W755" s="17">
        <f>INT(Table1[[#This Row],[Reporting date]])-INT(Table1[[#This Row],[Loss date]])</f>
        <v>270</v>
      </c>
      <c r="X755" s="17">
        <f>INT((YEAR(Table1[[#This Row],[Loss date]])*12+MONTH(Table1[[#This Row],[Loss date]])-Earliest_Month)/4)</f>
        <v>9</v>
      </c>
      <c r="Y755" s="17">
        <f>INT((YEAR(Table1[[#This Row],[Reporting date]])*12+MONTH(Table1[[#This Row],[Reporting date]])-Earliest_Month)/4)</f>
        <v>11</v>
      </c>
      <c r="Z755" s="17">
        <f>Table1[[#This Row],[Reporting third]]-Table1[[#This Row],[Policy third]]</f>
        <v>2</v>
      </c>
      <c r="AA755" s="71">
        <f>IF(Table1[[#This Row],[Overall amount]]=0,"N/A",Table1[[#This Row],[Outstanding]]/Table1[[#This Row],[Overall amount]])</f>
        <v>0</v>
      </c>
      <c r="AB755" s="17">
        <f>IF(MONTH(Table1[[#This Row],[Loss date]])&lt;Pol_Inc_Month_Shifted,YEAR(Table1[[#This Row],[Loss date]])-1,YEAR(Table1[[#This Row],[Loss date]]))</f>
        <v>2007</v>
      </c>
      <c r="AC755" s="17">
        <f>IF(MONTH(Table1[[#This Row],[Reporting date]])&lt;Pol_Inc_Month_Shifted,YEAR(Table1[[#This Row],[Reporting date]])-1,YEAR(Table1[[#This Row],[Reporting date]]))</f>
        <v>2008</v>
      </c>
      <c r="AD755" s="17">
        <f>Table1[[#This Row],[Reporting year (shifted)]]-Table1[[#This Row],[Policy Year (shifted)]]</f>
        <v>1</v>
      </c>
    </row>
    <row r="756" spans="1:30" ht="13.9">
      <c r="A756" s="8" t="s">
        <v>2526</v>
      </c>
      <c r="B756" s="8" t="s">
        <v>808</v>
      </c>
      <c r="C756" s="8" t="s">
        <v>123</v>
      </c>
      <c r="D756" s="9">
        <v>39271</v>
      </c>
      <c r="E756" s="9">
        <v>40001</v>
      </c>
      <c r="F756" s="17">
        <f>IF(MONTH(Table1[[#This Row],[Loss date]])&lt;Policy_Inception_Month,YEAR(Table1[[#This Row],[Loss date]])-1,YEAR(Table1[[#This Row],[Loss date]]))</f>
        <v>2007</v>
      </c>
      <c r="G756" s="10" t="s">
        <v>125</v>
      </c>
      <c r="H756" s="10" t="s">
        <v>2</v>
      </c>
      <c r="I756" s="11">
        <v>432.29908814495184</v>
      </c>
      <c r="J756" s="11">
        <v>0</v>
      </c>
      <c r="K756" s="11">
        <v>432.29908814495184</v>
      </c>
      <c r="L756" s="12">
        <v>0</v>
      </c>
      <c r="M756" s="12">
        <v>0</v>
      </c>
      <c r="N756" s="12">
        <v>432.29908814495184</v>
      </c>
      <c r="O756" s="70">
        <f>IF(Table1[[#This Row],[Overall amount]]=0,0,1)</f>
        <v>1</v>
      </c>
      <c r="P756" s="70">
        <f>Table1[[#This Row],[Overall amount]]*Exchange_Rate</f>
        <v>432.29908814495184</v>
      </c>
      <c r="Q756" s="70">
        <f>Table1[[#This Row],[Overall (destination currency)]]*(1+Claims_Inflation)^((Revalue_at_date-Table1[[#This Row],[Loss date]])/365.25)</f>
        <v>645.99599999999998</v>
      </c>
      <c r="R756" s="70">
        <f>INT(Table1[[#This Row],[Reporting date]])-INT(Table1[[#This Row],[Loss date]])</f>
        <v>730</v>
      </c>
      <c r="S756" s="69" t="s">
        <v>9</v>
      </c>
      <c r="T756" s="70">
        <f>VLOOKUP(Table1[[#This Row],[Policy Year]],exposure_table,3,FALSE)</f>
        <v>547.7736362475523</v>
      </c>
      <c r="U756" s="17">
        <f>IF(MONTH(Table1[[#This Row],[Reporting date]])&lt;Policy_Inception_Month,YEAR(Table1[[#This Row],[Reporting date]])-1,YEAR(Table1[[#This Row],[Reporting date]]))</f>
        <v>2009</v>
      </c>
      <c r="V756" s="17">
        <f>Table1[[#This Row],[Reporting year]]-Table1[[#This Row],[Policy Year]]</f>
        <v>2</v>
      </c>
      <c r="W756" s="17">
        <f>INT(Table1[[#This Row],[Reporting date]])-INT(Table1[[#This Row],[Loss date]])</f>
        <v>730</v>
      </c>
      <c r="X756" s="17">
        <f>INT((YEAR(Table1[[#This Row],[Loss date]])*12+MONTH(Table1[[#This Row],[Loss date]])-Earliest_Month)/4)</f>
        <v>6</v>
      </c>
      <c r="Y756" s="17">
        <f>INT((YEAR(Table1[[#This Row],[Reporting date]])*12+MONTH(Table1[[#This Row],[Reporting date]])-Earliest_Month)/4)</f>
        <v>12</v>
      </c>
      <c r="Z756" s="17">
        <f>Table1[[#This Row],[Reporting third]]-Table1[[#This Row],[Policy third]]</f>
        <v>6</v>
      </c>
      <c r="AA756" s="71">
        <f>IF(Table1[[#This Row],[Overall amount]]=0,"N/A",Table1[[#This Row],[Outstanding]]/Table1[[#This Row],[Overall amount]])</f>
        <v>0</v>
      </c>
      <c r="AB756" s="17">
        <f>IF(MONTH(Table1[[#This Row],[Loss date]])&lt;Pol_Inc_Month_Shifted,YEAR(Table1[[#This Row],[Loss date]])-1,YEAR(Table1[[#This Row],[Loss date]]))</f>
        <v>2006</v>
      </c>
      <c r="AC756" s="17">
        <f>IF(MONTH(Table1[[#This Row],[Reporting date]])&lt;Pol_Inc_Month_Shifted,YEAR(Table1[[#This Row],[Reporting date]])-1,YEAR(Table1[[#This Row],[Reporting date]]))</f>
        <v>2008</v>
      </c>
      <c r="AD756" s="17">
        <f>Table1[[#This Row],[Reporting year (shifted)]]-Table1[[#This Row],[Policy Year (shifted)]]</f>
        <v>2</v>
      </c>
    </row>
    <row r="757" spans="1:30" ht="13.9">
      <c r="A757" s="8" t="s">
        <v>2527</v>
      </c>
      <c r="B757" s="8" t="s">
        <v>809</v>
      </c>
      <c r="C757" s="8" t="s">
        <v>123</v>
      </c>
      <c r="D757" s="9">
        <v>40230</v>
      </c>
      <c r="E757" s="9">
        <v>40383</v>
      </c>
      <c r="F757" s="17">
        <f>IF(MONTH(Table1[[#This Row],[Loss date]])&lt;Policy_Inception_Month,YEAR(Table1[[#This Row],[Loss date]])-1,YEAR(Table1[[#This Row],[Loss date]]))</f>
        <v>2009</v>
      </c>
      <c r="G757" s="10" t="s">
        <v>125</v>
      </c>
      <c r="H757" s="10" t="s">
        <v>2</v>
      </c>
      <c r="I757" s="11">
        <v>1283.8375491379254</v>
      </c>
      <c r="J757" s="11">
        <v>0</v>
      </c>
      <c r="K757" s="11">
        <v>1283.8375491379254</v>
      </c>
      <c r="L757" s="12">
        <v>0</v>
      </c>
      <c r="M757" s="12">
        <v>0</v>
      </c>
      <c r="N757" s="12">
        <v>1283.8375491379254</v>
      </c>
      <c r="O757" s="70">
        <f>IF(Table1[[#This Row],[Overall amount]]=0,0,1)</f>
        <v>1</v>
      </c>
      <c r="P757" s="70">
        <f>Table1[[#This Row],[Overall amount]]*Exchange_Rate</f>
        <v>1283.8375491379254</v>
      </c>
      <c r="Q757" s="70">
        <f>Table1[[#This Row],[Overall (destination currency)]]*(1+Claims_Inflation)^((Revalue_at_date-Table1[[#This Row],[Loss date]])/365.25)</f>
        <v>1687.8000000000002</v>
      </c>
      <c r="R757" s="70">
        <f>INT(Table1[[#This Row],[Reporting date]])-INT(Table1[[#This Row],[Loss date]])</f>
        <v>153</v>
      </c>
      <c r="S757" s="69" t="s">
        <v>9</v>
      </c>
      <c r="T757" s="70">
        <f>VLOOKUP(Table1[[#This Row],[Policy Year]],exposure_table,3,FALSE)</f>
        <v>760.22808576000011</v>
      </c>
      <c r="U757" s="17">
        <f>IF(MONTH(Table1[[#This Row],[Reporting date]])&lt;Policy_Inception_Month,YEAR(Table1[[#This Row],[Reporting date]])-1,YEAR(Table1[[#This Row],[Reporting date]]))</f>
        <v>2010</v>
      </c>
      <c r="V757" s="17">
        <f>Table1[[#This Row],[Reporting year]]-Table1[[#This Row],[Policy Year]]</f>
        <v>1</v>
      </c>
      <c r="W757" s="17">
        <f>INT(Table1[[#This Row],[Reporting date]])-INT(Table1[[#This Row],[Loss date]])</f>
        <v>153</v>
      </c>
      <c r="X757" s="17">
        <f>INT((YEAR(Table1[[#This Row],[Loss date]])*12+MONTH(Table1[[#This Row],[Loss date]])-Earliest_Month)/4)</f>
        <v>14</v>
      </c>
      <c r="Y757" s="17">
        <f>INT((YEAR(Table1[[#This Row],[Reporting date]])*12+MONTH(Table1[[#This Row],[Reporting date]])-Earliest_Month)/4)</f>
        <v>15</v>
      </c>
      <c r="Z757" s="17">
        <f>Table1[[#This Row],[Reporting third]]-Table1[[#This Row],[Policy third]]</f>
        <v>1</v>
      </c>
      <c r="AA757" s="71">
        <f>IF(Table1[[#This Row],[Overall amount]]=0,"N/A",Table1[[#This Row],[Outstanding]]/Table1[[#This Row],[Overall amount]])</f>
        <v>0</v>
      </c>
      <c r="AB757" s="17">
        <f>IF(MONTH(Table1[[#This Row],[Loss date]])&lt;Pol_Inc_Month_Shifted,YEAR(Table1[[#This Row],[Loss date]])-1,YEAR(Table1[[#This Row],[Loss date]]))</f>
        <v>2009</v>
      </c>
      <c r="AC757" s="17">
        <f>IF(MONTH(Table1[[#This Row],[Reporting date]])&lt;Pol_Inc_Month_Shifted,YEAR(Table1[[#This Row],[Reporting date]])-1,YEAR(Table1[[#This Row],[Reporting date]]))</f>
        <v>2009</v>
      </c>
      <c r="AD757" s="17">
        <f>Table1[[#This Row],[Reporting year (shifted)]]-Table1[[#This Row],[Policy Year (shifted)]]</f>
        <v>0</v>
      </c>
    </row>
    <row r="758" spans="1:30" ht="13.9">
      <c r="A758" s="8" t="s">
        <v>2528</v>
      </c>
      <c r="B758" s="8" t="s">
        <v>810</v>
      </c>
      <c r="C758" s="8" t="s">
        <v>123</v>
      </c>
      <c r="D758" s="9">
        <v>40074</v>
      </c>
      <c r="E758" s="9">
        <v>40449</v>
      </c>
      <c r="F758" s="17">
        <f>IF(MONTH(Table1[[#This Row],[Loss date]])&lt;Policy_Inception_Month,YEAR(Table1[[#This Row],[Loss date]])-1,YEAR(Table1[[#This Row],[Loss date]]))</f>
        <v>2009</v>
      </c>
      <c r="G758" s="10" t="s">
        <v>125</v>
      </c>
      <c r="H758" s="10" t="s">
        <v>2</v>
      </c>
      <c r="I758" s="11">
        <v>1257.3611109685874</v>
      </c>
      <c r="J758" s="11">
        <v>0</v>
      </c>
      <c r="K758" s="11">
        <v>1257.3611109685874</v>
      </c>
      <c r="L758" s="12">
        <v>0</v>
      </c>
      <c r="M758" s="12">
        <v>0</v>
      </c>
      <c r="N758" s="12">
        <v>1257.3611109685874</v>
      </c>
      <c r="O758" s="70">
        <f>IF(Table1[[#This Row],[Overall amount]]=0,0,1)</f>
        <v>1</v>
      </c>
      <c r="P758" s="70">
        <f>Table1[[#This Row],[Overall amount]]*Exchange_Rate</f>
        <v>1257.3611109685874</v>
      </c>
      <c r="Q758" s="70">
        <f>Table1[[#This Row],[Overall (destination currency)]]*(1+Claims_Inflation)^((Revalue_at_date-Table1[[#This Row],[Loss date]])/365.25)</f>
        <v>1687.8000000000002</v>
      </c>
      <c r="R758" s="70">
        <f>INT(Table1[[#This Row],[Reporting date]])-INT(Table1[[#This Row],[Loss date]])</f>
        <v>375</v>
      </c>
      <c r="S758" s="69" t="s">
        <v>9</v>
      </c>
      <c r="T758" s="70">
        <f>VLOOKUP(Table1[[#This Row],[Policy Year]],exposure_table,3,FALSE)</f>
        <v>760.22808576000011</v>
      </c>
      <c r="U758" s="17">
        <f>IF(MONTH(Table1[[#This Row],[Reporting date]])&lt;Policy_Inception_Month,YEAR(Table1[[#This Row],[Reporting date]])-1,YEAR(Table1[[#This Row],[Reporting date]]))</f>
        <v>2010</v>
      </c>
      <c r="V758" s="17">
        <f>Table1[[#This Row],[Reporting year]]-Table1[[#This Row],[Policy Year]]</f>
        <v>1</v>
      </c>
      <c r="W758" s="17">
        <f>INT(Table1[[#This Row],[Reporting date]])-INT(Table1[[#This Row],[Loss date]])</f>
        <v>375</v>
      </c>
      <c r="X758" s="17">
        <f>INT((YEAR(Table1[[#This Row],[Loss date]])*12+MONTH(Table1[[#This Row],[Loss date]])-Earliest_Month)/4)</f>
        <v>13</v>
      </c>
      <c r="Y758" s="17">
        <f>INT((YEAR(Table1[[#This Row],[Reporting date]])*12+MONTH(Table1[[#This Row],[Reporting date]])-Earliest_Month)/4)</f>
        <v>16</v>
      </c>
      <c r="Z758" s="17">
        <f>Table1[[#This Row],[Reporting third]]-Table1[[#This Row],[Policy third]]</f>
        <v>3</v>
      </c>
      <c r="AA758" s="71">
        <f>IF(Table1[[#This Row],[Overall amount]]=0,"N/A",Table1[[#This Row],[Outstanding]]/Table1[[#This Row],[Overall amount]])</f>
        <v>0</v>
      </c>
      <c r="AB758" s="17">
        <f>IF(MONTH(Table1[[#This Row],[Loss date]])&lt;Pol_Inc_Month_Shifted,YEAR(Table1[[#This Row],[Loss date]])-1,YEAR(Table1[[#This Row],[Loss date]]))</f>
        <v>2008</v>
      </c>
      <c r="AC758" s="17">
        <f>IF(MONTH(Table1[[#This Row],[Reporting date]])&lt;Pol_Inc_Month_Shifted,YEAR(Table1[[#This Row],[Reporting date]])-1,YEAR(Table1[[#This Row],[Reporting date]]))</f>
        <v>2009</v>
      </c>
      <c r="AD758" s="17">
        <f>Table1[[#This Row],[Reporting year (shifted)]]-Table1[[#This Row],[Policy Year (shifted)]]</f>
        <v>1</v>
      </c>
    </row>
    <row r="759" spans="1:30" ht="13.9">
      <c r="A759" s="8" t="s">
        <v>2529</v>
      </c>
      <c r="B759" s="8" t="s">
        <v>811</v>
      </c>
      <c r="C759" s="8" t="s">
        <v>123</v>
      </c>
      <c r="D759" s="9">
        <v>38691</v>
      </c>
      <c r="E759" s="9">
        <v>38795</v>
      </c>
      <c r="F759" s="17">
        <f>IF(MONTH(Table1[[#This Row],[Loss date]])&lt;Policy_Inception_Month,YEAR(Table1[[#This Row],[Loss date]])-1,YEAR(Table1[[#This Row],[Loss date]]))</f>
        <v>2005</v>
      </c>
      <c r="G759" s="10" t="s">
        <v>125</v>
      </c>
      <c r="H759" s="10" t="s">
        <v>2</v>
      </c>
      <c r="I759" s="11">
        <v>1626.5165233637038</v>
      </c>
      <c r="J759" s="11">
        <v>0</v>
      </c>
      <c r="K759" s="11">
        <v>1626.5165233637038</v>
      </c>
      <c r="L759" s="12">
        <v>0</v>
      </c>
      <c r="M759" s="12">
        <v>0</v>
      </c>
      <c r="N759" s="12">
        <v>1626.5165233637038</v>
      </c>
      <c r="O759" s="70">
        <f>IF(Table1[[#This Row],[Overall amount]]=0,0,1)</f>
        <v>1</v>
      </c>
      <c r="P759" s="70">
        <f>Table1[[#This Row],[Overall amount]]*Exchange_Rate</f>
        <v>1626.5165233637038</v>
      </c>
      <c r="Q759" s="70">
        <f>Table1[[#This Row],[Overall (destination currency)]]*(1+Claims_Inflation)^((Revalue_at_date-Table1[[#This Row],[Loss date]])/365.25)</f>
        <v>2626.3440000000001</v>
      </c>
      <c r="R759" s="70">
        <f>INT(Table1[[#This Row],[Reporting date]])-INT(Table1[[#This Row],[Loss date]])</f>
        <v>104</v>
      </c>
      <c r="S759" s="69" t="s">
        <v>9</v>
      </c>
      <c r="T759" s="70">
        <f>VLOOKUP(Table1[[#This Row],[Policy Year]],exposure_table,3,FALSE)</f>
        <v>409.50481038040112</v>
      </c>
      <c r="U759" s="17">
        <f>IF(MONTH(Table1[[#This Row],[Reporting date]])&lt;Policy_Inception_Month,YEAR(Table1[[#This Row],[Reporting date]])-1,YEAR(Table1[[#This Row],[Reporting date]]))</f>
        <v>2005</v>
      </c>
      <c r="V759" s="17">
        <f>Table1[[#This Row],[Reporting year]]-Table1[[#This Row],[Policy Year]]</f>
        <v>0</v>
      </c>
      <c r="W759" s="17">
        <f>INT(Table1[[#This Row],[Reporting date]])-INT(Table1[[#This Row],[Loss date]])</f>
        <v>104</v>
      </c>
      <c r="X759" s="17">
        <f>INT((YEAR(Table1[[#This Row],[Loss date]])*12+MONTH(Table1[[#This Row],[Loss date]])-Earliest_Month)/4)</f>
        <v>2</v>
      </c>
      <c r="Y759" s="17">
        <f>INT((YEAR(Table1[[#This Row],[Reporting date]])*12+MONTH(Table1[[#This Row],[Reporting date]])-Earliest_Month)/4)</f>
        <v>2</v>
      </c>
      <c r="Z759" s="17">
        <f>Table1[[#This Row],[Reporting third]]-Table1[[#This Row],[Policy third]]</f>
        <v>0</v>
      </c>
      <c r="AA759" s="71">
        <f>IF(Table1[[#This Row],[Overall amount]]=0,"N/A",Table1[[#This Row],[Outstanding]]/Table1[[#This Row],[Overall amount]])</f>
        <v>0</v>
      </c>
      <c r="AB759" s="17">
        <f>IF(MONTH(Table1[[#This Row],[Loss date]])&lt;Pol_Inc_Month_Shifted,YEAR(Table1[[#This Row],[Loss date]])-1,YEAR(Table1[[#This Row],[Loss date]]))</f>
        <v>2005</v>
      </c>
      <c r="AC759" s="17">
        <f>IF(MONTH(Table1[[#This Row],[Reporting date]])&lt;Pol_Inc_Month_Shifted,YEAR(Table1[[#This Row],[Reporting date]])-1,YEAR(Table1[[#This Row],[Reporting date]]))</f>
        <v>2005</v>
      </c>
      <c r="AD759" s="17">
        <f>Table1[[#This Row],[Reporting year (shifted)]]-Table1[[#This Row],[Policy Year (shifted)]]</f>
        <v>0</v>
      </c>
    </row>
    <row r="760" spans="1:30" ht="13.9">
      <c r="A760" s="8" t="s">
        <v>2530</v>
      </c>
      <c r="B760" s="8" t="s">
        <v>812</v>
      </c>
      <c r="C760" s="8" t="s">
        <v>123</v>
      </c>
      <c r="D760" s="9">
        <v>38737</v>
      </c>
      <c r="E760" s="9">
        <v>38751</v>
      </c>
      <c r="F760" s="17">
        <f>IF(MONTH(Table1[[#This Row],[Loss date]])&lt;Policy_Inception_Month,YEAR(Table1[[#This Row],[Loss date]])-1,YEAR(Table1[[#This Row],[Loss date]]))</f>
        <v>2005</v>
      </c>
      <c r="G760" s="10" t="s">
        <v>125</v>
      </c>
      <c r="H760" s="10" t="s">
        <v>2</v>
      </c>
      <c r="I760" s="11">
        <v>613.1554216589235</v>
      </c>
      <c r="J760" s="11">
        <v>0</v>
      </c>
      <c r="K760" s="11">
        <v>613.1554216589235</v>
      </c>
      <c r="L760" s="12">
        <v>0</v>
      </c>
      <c r="M760" s="12">
        <v>0</v>
      </c>
      <c r="N760" s="12">
        <v>613.1554216589235</v>
      </c>
      <c r="O760" s="70">
        <f>IF(Table1[[#This Row],[Overall amount]]=0,0,1)</f>
        <v>1</v>
      </c>
      <c r="P760" s="70">
        <f>Table1[[#This Row],[Overall amount]]*Exchange_Rate</f>
        <v>613.1554216589235</v>
      </c>
      <c r="Q760" s="70">
        <f>Table1[[#This Row],[Overall (destination currency)]]*(1+Claims_Inflation)^((Revalue_at_date-Table1[[#This Row],[Loss date]])/365.25)</f>
        <v>984</v>
      </c>
      <c r="R760" s="70">
        <f>INT(Table1[[#This Row],[Reporting date]])-INT(Table1[[#This Row],[Loss date]])</f>
        <v>14</v>
      </c>
      <c r="S760" s="69" t="s">
        <v>9</v>
      </c>
      <c r="T760" s="70">
        <f>VLOOKUP(Table1[[#This Row],[Policy Year]],exposure_table,3,FALSE)</f>
        <v>409.50481038040112</v>
      </c>
      <c r="U760" s="17">
        <f>IF(MONTH(Table1[[#This Row],[Reporting date]])&lt;Policy_Inception_Month,YEAR(Table1[[#This Row],[Reporting date]])-1,YEAR(Table1[[#This Row],[Reporting date]]))</f>
        <v>2005</v>
      </c>
      <c r="V760" s="17">
        <f>Table1[[#This Row],[Reporting year]]-Table1[[#This Row],[Policy Year]]</f>
        <v>0</v>
      </c>
      <c r="W760" s="17">
        <f>INT(Table1[[#This Row],[Reporting date]])-INT(Table1[[#This Row],[Loss date]])</f>
        <v>14</v>
      </c>
      <c r="X760" s="17">
        <f>INT((YEAR(Table1[[#This Row],[Loss date]])*12+MONTH(Table1[[#This Row],[Loss date]])-Earliest_Month)/4)</f>
        <v>2</v>
      </c>
      <c r="Y760" s="17">
        <f>INT((YEAR(Table1[[#This Row],[Reporting date]])*12+MONTH(Table1[[#This Row],[Reporting date]])-Earliest_Month)/4)</f>
        <v>2</v>
      </c>
      <c r="Z760" s="17">
        <f>Table1[[#This Row],[Reporting third]]-Table1[[#This Row],[Policy third]]</f>
        <v>0</v>
      </c>
      <c r="AA760" s="71">
        <f>IF(Table1[[#This Row],[Overall amount]]=0,"N/A",Table1[[#This Row],[Outstanding]]/Table1[[#This Row],[Overall amount]])</f>
        <v>0</v>
      </c>
      <c r="AB760" s="17">
        <f>IF(MONTH(Table1[[#This Row],[Loss date]])&lt;Pol_Inc_Month_Shifted,YEAR(Table1[[#This Row],[Loss date]])-1,YEAR(Table1[[#This Row],[Loss date]]))</f>
        <v>2005</v>
      </c>
      <c r="AC760" s="17">
        <f>IF(MONTH(Table1[[#This Row],[Reporting date]])&lt;Pol_Inc_Month_Shifted,YEAR(Table1[[#This Row],[Reporting date]])-1,YEAR(Table1[[#This Row],[Reporting date]]))</f>
        <v>2005</v>
      </c>
      <c r="AD760" s="17">
        <f>Table1[[#This Row],[Reporting year (shifted)]]-Table1[[#This Row],[Policy Year (shifted)]]</f>
        <v>0</v>
      </c>
    </row>
    <row r="761" spans="1:30" ht="13.9">
      <c r="A761" s="8" t="s">
        <v>2531</v>
      </c>
      <c r="B761" s="8" t="s">
        <v>813</v>
      </c>
      <c r="C761" s="8" t="s">
        <v>123</v>
      </c>
      <c r="D761" s="9">
        <v>38766</v>
      </c>
      <c r="E761" s="9">
        <v>38908</v>
      </c>
      <c r="F761" s="17">
        <f>IF(MONTH(Table1[[#This Row],[Loss date]])&lt;Policy_Inception_Month,YEAR(Table1[[#This Row],[Loss date]])-1,YEAR(Table1[[#This Row],[Loss date]]))</f>
        <v>2005</v>
      </c>
      <c r="G761" s="10" t="s">
        <v>125</v>
      </c>
      <c r="H761" s="10" t="s">
        <v>2</v>
      </c>
      <c r="I761" s="11">
        <v>966.49548942748891</v>
      </c>
      <c r="J761" s="11">
        <v>0</v>
      </c>
      <c r="K761" s="11">
        <v>966.49548942748891</v>
      </c>
      <c r="L761" s="12">
        <v>0</v>
      </c>
      <c r="M761" s="12">
        <v>0</v>
      </c>
      <c r="N761" s="12">
        <v>966.49548942748891</v>
      </c>
      <c r="O761" s="70">
        <f>IF(Table1[[#This Row],[Overall amount]]=0,0,1)</f>
        <v>1</v>
      </c>
      <c r="P761" s="70">
        <f>Table1[[#This Row],[Overall amount]]*Exchange_Rate</f>
        <v>966.49548942748891</v>
      </c>
      <c r="Q761" s="70">
        <f>Table1[[#This Row],[Overall (destination currency)]]*(1+Claims_Inflation)^((Revalue_at_date-Table1[[#This Row],[Loss date]])/365.25)</f>
        <v>1545.048</v>
      </c>
      <c r="R761" s="70">
        <f>INT(Table1[[#This Row],[Reporting date]])-INT(Table1[[#This Row],[Loss date]])</f>
        <v>142</v>
      </c>
      <c r="S761" s="69" t="s">
        <v>9</v>
      </c>
      <c r="T761" s="70">
        <f>VLOOKUP(Table1[[#This Row],[Policy Year]],exposure_table,3,FALSE)</f>
        <v>409.50481038040112</v>
      </c>
      <c r="U761" s="17">
        <f>IF(MONTH(Table1[[#This Row],[Reporting date]])&lt;Policy_Inception_Month,YEAR(Table1[[#This Row],[Reporting date]])-1,YEAR(Table1[[#This Row],[Reporting date]]))</f>
        <v>2006</v>
      </c>
      <c r="V761" s="17">
        <f>Table1[[#This Row],[Reporting year]]-Table1[[#This Row],[Policy Year]]</f>
        <v>1</v>
      </c>
      <c r="W761" s="17">
        <f>INT(Table1[[#This Row],[Reporting date]])-INT(Table1[[#This Row],[Loss date]])</f>
        <v>142</v>
      </c>
      <c r="X761" s="17">
        <f>INT((YEAR(Table1[[#This Row],[Loss date]])*12+MONTH(Table1[[#This Row],[Loss date]])-Earliest_Month)/4)</f>
        <v>2</v>
      </c>
      <c r="Y761" s="17">
        <f>INT((YEAR(Table1[[#This Row],[Reporting date]])*12+MONTH(Table1[[#This Row],[Reporting date]])-Earliest_Month)/4)</f>
        <v>3</v>
      </c>
      <c r="Z761" s="17">
        <f>Table1[[#This Row],[Reporting third]]-Table1[[#This Row],[Policy third]]</f>
        <v>1</v>
      </c>
      <c r="AA761" s="71">
        <f>IF(Table1[[#This Row],[Overall amount]]=0,"N/A",Table1[[#This Row],[Outstanding]]/Table1[[#This Row],[Overall amount]])</f>
        <v>0</v>
      </c>
      <c r="AB761" s="17">
        <f>IF(MONTH(Table1[[#This Row],[Loss date]])&lt;Pol_Inc_Month_Shifted,YEAR(Table1[[#This Row],[Loss date]])-1,YEAR(Table1[[#This Row],[Loss date]]))</f>
        <v>2005</v>
      </c>
      <c r="AC761" s="17">
        <f>IF(MONTH(Table1[[#This Row],[Reporting date]])&lt;Pol_Inc_Month_Shifted,YEAR(Table1[[#This Row],[Reporting date]])-1,YEAR(Table1[[#This Row],[Reporting date]]))</f>
        <v>2005</v>
      </c>
      <c r="AD761" s="17">
        <f>Table1[[#This Row],[Reporting year (shifted)]]-Table1[[#This Row],[Policy Year (shifted)]]</f>
        <v>0</v>
      </c>
    </row>
    <row r="762" spans="1:30" ht="13.9">
      <c r="A762" s="8" t="s">
        <v>2532</v>
      </c>
      <c r="B762" s="8" t="s">
        <v>814</v>
      </c>
      <c r="C762" s="8" t="s">
        <v>123</v>
      </c>
      <c r="D762" s="9">
        <v>38970</v>
      </c>
      <c r="E762" s="9">
        <v>39039</v>
      </c>
      <c r="F762" s="17">
        <f>IF(MONTH(Table1[[#This Row],[Loss date]])&lt;Policy_Inception_Month,YEAR(Table1[[#This Row],[Loss date]])-1,YEAR(Table1[[#This Row],[Loss date]]))</f>
        <v>2006</v>
      </c>
      <c r="G762" s="10" t="s">
        <v>125</v>
      </c>
      <c r="H762" s="10" t="s">
        <v>2</v>
      </c>
      <c r="I762" s="11">
        <v>442.77763288806898</v>
      </c>
      <c r="J762" s="11">
        <v>0</v>
      </c>
      <c r="K762" s="11">
        <v>442.77763288806898</v>
      </c>
      <c r="L762" s="12">
        <v>0</v>
      </c>
      <c r="M762" s="12">
        <v>0</v>
      </c>
      <c r="N762" s="12">
        <v>442.77763288806898</v>
      </c>
      <c r="O762" s="70">
        <f>IF(Table1[[#This Row],[Overall amount]]=0,0,1)</f>
        <v>1</v>
      </c>
      <c r="P762" s="70">
        <f>Table1[[#This Row],[Overall amount]]*Exchange_Rate</f>
        <v>442.77763288806898</v>
      </c>
      <c r="Q762" s="70">
        <f>Table1[[#This Row],[Overall (destination currency)]]*(1+Claims_Inflation)^((Revalue_at_date-Table1[[#This Row],[Loss date]])/365.25)</f>
        <v>688.8</v>
      </c>
      <c r="R762" s="70">
        <f>INT(Table1[[#This Row],[Reporting date]])-INT(Table1[[#This Row],[Loss date]])</f>
        <v>69</v>
      </c>
      <c r="S762" s="69" t="s">
        <v>9</v>
      </c>
      <c r="T762" s="70">
        <f>VLOOKUP(Table1[[#This Row],[Policy Year]],exposure_table,3,FALSE)</f>
        <v>483.32023209000977</v>
      </c>
      <c r="U762" s="17">
        <f>IF(MONTH(Table1[[#This Row],[Reporting date]])&lt;Policy_Inception_Month,YEAR(Table1[[#This Row],[Reporting date]])-1,YEAR(Table1[[#This Row],[Reporting date]]))</f>
        <v>2006</v>
      </c>
      <c r="V762" s="17">
        <f>Table1[[#This Row],[Reporting year]]-Table1[[#This Row],[Policy Year]]</f>
        <v>0</v>
      </c>
      <c r="W762" s="17">
        <f>INT(Table1[[#This Row],[Reporting date]])-INT(Table1[[#This Row],[Loss date]])</f>
        <v>69</v>
      </c>
      <c r="X762" s="17">
        <f>INT((YEAR(Table1[[#This Row],[Loss date]])*12+MONTH(Table1[[#This Row],[Loss date]])-Earliest_Month)/4)</f>
        <v>4</v>
      </c>
      <c r="Y762" s="17">
        <f>INT((YEAR(Table1[[#This Row],[Reporting date]])*12+MONTH(Table1[[#This Row],[Reporting date]])-Earliest_Month)/4)</f>
        <v>4</v>
      </c>
      <c r="Z762" s="17">
        <f>Table1[[#This Row],[Reporting third]]-Table1[[#This Row],[Policy third]]</f>
        <v>0</v>
      </c>
      <c r="AA762" s="71">
        <f>IF(Table1[[#This Row],[Overall amount]]=0,"N/A",Table1[[#This Row],[Outstanding]]/Table1[[#This Row],[Overall amount]])</f>
        <v>0</v>
      </c>
      <c r="AB762" s="17">
        <f>IF(MONTH(Table1[[#This Row],[Loss date]])&lt;Pol_Inc_Month_Shifted,YEAR(Table1[[#This Row],[Loss date]])-1,YEAR(Table1[[#This Row],[Loss date]]))</f>
        <v>2005</v>
      </c>
      <c r="AC762" s="17">
        <f>IF(MONTH(Table1[[#This Row],[Reporting date]])&lt;Pol_Inc_Month_Shifted,YEAR(Table1[[#This Row],[Reporting date]])-1,YEAR(Table1[[#This Row],[Reporting date]]))</f>
        <v>2005</v>
      </c>
      <c r="AD762" s="17">
        <f>Table1[[#This Row],[Reporting year (shifted)]]-Table1[[#This Row],[Policy Year (shifted)]]</f>
        <v>0</v>
      </c>
    </row>
    <row r="763" spans="1:30" ht="13.9">
      <c r="A763" s="8" t="s">
        <v>2533</v>
      </c>
      <c r="B763" s="8" t="s">
        <v>815</v>
      </c>
      <c r="C763" s="8" t="s">
        <v>123</v>
      </c>
      <c r="D763" s="9">
        <v>39116</v>
      </c>
      <c r="E763" s="9">
        <v>39243</v>
      </c>
      <c r="F763" s="17">
        <f>IF(MONTH(Table1[[#This Row],[Loss date]])&lt;Policy_Inception_Month,YEAR(Table1[[#This Row],[Loss date]])-1,YEAR(Table1[[#This Row],[Loss date]]))</f>
        <v>2006</v>
      </c>
      <c r="G763" s="10" t="s">
        <v>124</v>
      </c>
      <c r="H763" s="10" t="s">
        <v>2</v>
      </c>
      <c r="I763" s="11">
        <v>752.16851138036213</v>
      </c>
      <c r="J763" s="11">
        <v>0</v>
      </c>
      <c r="K763" s="11">
        <v>752.16851138036213</v>
      </c>
      <c r="L763" s="12">
        <v>0</v>
      </c>
      <c r="M763" s="12">
        <v>0</v>
      </c>
      <c r="N763" s="12">
        <v>752.16851138036213</v>
      </c>
      <c r="O763" s="70">
        <f>IF(Table1[[#This Row],[Overall amount]]=0,0,1)</f>
        <v>1</v>
      </c>
      <c r="P763" s="70">
        <f>Table1[[#This Row],[Overall amount]]*Exchange_Rate</f>
        <v>752.16851138036213</v>
      </c>
      <c r="Q763" s="70">
        <f>Table1[[#This Row],[Overall (destination currency)]]*(1+Claims_Inflation)^((Revalue_at_date-Table1[[#This Row],[Loss date]])/365.25)</f>
        <v>1147.5</v>
      </c>
      <c r="R763" s="70">
        <f>INT(Table1[[#This Row],[Reporting date]])-INT(Table1[[#This Row],[Loss date]])</f>
        <v>127</v>
      </c>
      <c r="S763" s="69" t="s">
        <v>9</v>
      </c>
      <c r="T763" s="70">
        <f>VLOOKUP(Table1[[#This Row],[Policy Year]],exposure_table,3,FALSE)</f>
        <v>483.32023209000977</v>
      </c>
      <c r="U763" s="17">
        <f>IF(MONTH(Table1[[#This Row],[Reporting date]])&lt;Policy_Inception_Month,YEAR(Table1[[#This Row],[Reporting date]])-1,YEAR(Table1[[#This Row],[Reporting date]]))</f>
        <v>2007</v>
      </c>
      <c r="V763" s="17">
        <f>Table1[[#This Row],[Reporting year]]-Table1[[#This Row],[Policy Year]]</f>
        <v>1</v>
      </c>
      <c r="W763" s="17">
        <f>INT(Table1[[#This Row],[Reporting date]])-INT(Table1[[#This Row],[Loss date]])</f>
        <v>127</v>
      </c>
      <c r="X763" s="17">
        <f>INT((YEAR(Table1[[#This Row],[Loss date]])*12+MONTH(Table1[[#This Row],[Loss date]])-Earliest_Month)/4)</f>
        <v>5</v>
      </c>
      <c r="Y763" s="17">
        <f>INT((YEAR(Table1[[#This Row],[Reporting date]])*12+MONTH(Table1[[#This Row],[Reporting date]])-Earliest_Month)/4)</f>
        <v>6</v>
      </c>
      <c r="Z763" s="17">
        <f>Table1[[#This Row],[Reporting third]]-Table1[[#This Row],[Policy third]]</f>
        <v>1</v>
      </c>
      <c r="AA763" s="71">
        <f>IF(Table1[[#This Row],[Overall amount]]=0,"N/A",Table1[[#This Row],[Outstanding]]/Table1[[#This Row],[Overall amount]])</f>
        <v>0</v>
      </c>
      <c r="AB763" s="17">
        <f>IF(MONTH(Table1[[#This Row],[Loss date]])&lt;Pol_Inc_Month_Shifted,YEAR(Table1[[#This Row],[Loss date]])-1,YEAR(Table1[[#This Row],[Loss date]]))</f>
        <v>2006</v>
      </c>
      <c r="AC763" s="17">
        <f>IF(MONTH(Table1[[#This Row],[Reporting date]])&lt;Pol_Inc_Month_Shifted,YEAR(Table1[[#This Row],[Reporting date]])-1,YEAR(Table1[[#This Row],[Reporting date]]))</f>
        <v>2006</v>
      </c>
      <c r="AD763" s="17">
        <f>Table1[[#This Row],[Reporting year (shifted)]]-Table1[[#This Row],[Policy Year (shifted)]]</f>
        <v>0</v>
      </c>
    </row>
    <row r="764" spans="1:30" ht="13.9">
      <c r="A764" s="8" t="s">
        <v>2534</v>
      </c>
      <c r="B764" s="8" t="s">
        <v>816</v>
      </c>
      <c r="C764" s="8" t="s">
        <v>123</v>
      </c>
      <c r="D764" s="9">
        <v>39270</v>
      </c>
      <c r="E764" s="9">
        <v>39396</v>
      </c>
      <c r="F764" s="17">
        <f>IF(MONTH(Table1[[#This Row],[Loss date]])&lt;Policy_Inception_Month,YEAR(Table1[[#This Row],[Loss date]])-1,YEAR(Table1[[#This Row],[Loss date]]))</f>
        <v>2007</v>
      </c>
      <c r="G764" s="10" t="s">
        <v>125</v>
      </c>
      <c r="H764" s="10" t="s">
        <v>2</v>
      </c>
      <c r="I764" s="11">
        <v>818.98867296225683</v>
      </c>
      <c r="J764" s="11">
        <v>0</v>
      </c>
      <c r="K764" s="11">
        <v>818.98867296225683</v>
      </c>
      <c r="L764" s="12">
        <v>0</v>
      </c>
      <c r="M764" s="12">
        <v>0</v>
      </c>
      <c r="N764" s="12">
        <v>818.98867296225683</v>
      </c>
      <c r="O764" s="70">
        <f>IF(Table1[[#This Row],[Overall amount]]=0,0,1)</f>
        <v>1</v>
      </c>
      <c r="P764" s="70">
        <f>Table1[[#This Row],[Overall amount]]*Exchange_Rate</f>
        <v>818.98867296225683</v>
      </c>
      <c r="Q764" s="70">
        <f>Table1[[#This Row],[Overall (destination currency)]]*(1+Claims_Inflation)^((Revalue_at_date-Table1[[#This Row],[Loss date]])/365.25)</f>
        <v>1224</v>
      </c>
      <c r="R764" s="70">
        <f>INT(Table1[[#This Row],[Reporting date]])-INT(Table1[[#This Row],[Loss date]])</f>
        <v>126</v>
      </c>
      <c r="S764" s="69" t="s">
        <v>9</v>
      </c>
      <c r="T764" s="70">
        <f>VLOOKUP(Table1[[#This Row],[Policy Year]],exposure_table,3,FALSE)</f>
        <v>547.7736362475523</v>
      </c>
      <c r="U764" s="17">
        <f>IF(MONTH(Table1[[#This Row],[Reporting date]])&lt;Policy_Inception_Month,YEAR(Table1[[#This Row],[Reporting date]])-1,YEAR(Table1[[#This Row],[Reporting date]]))</f>
        <v>2007</v>
      </c>
      <c r="V764" s="17">
        <f>Table1[[#This Row],[Reporting year]]-Table1[[#This Row],[Policy Year]]</f>
        <v>0</v>
      </c>
      <c r="W764" s="17">
        <f>INT(Table1[[#This Row],[Reporting date]])-INT(Table1[[#This Row],[Loss date]])</f>
        <v>126</v>
      </c>
      <c r="X764" s="17">
        <f>INT((YEAR(Table1[[#This Row],[Loss date]])*12+MONTH(Table1[[#This Row],[Loss date]])-Earliest_Month)/4)</f>
        <v>6</v>
      </c>
      <c r="Y764" s="17">
        <f>INT((YEAR(Table1[[#This Row],[Reporting date]])*12+MONTH(Table1[[#This Row],[Reporting date]])-Earliest_Month)/4)</f>
        <v>7</v>
      </c>
      <c r="Z764" s="17">
        <f>Table1[[#This Row],[Reporting third]]-Table1[[#This Row],[Policy third]]</f>
        <v>1</v>
      </c>
      <c r="AA764" s="71">
        <f>IF(Table1[[#This Row],[Overall amount]]=0,"N/A",Table1[[#This Row],[Outstanding]]/Table1[[#This Row],[Overall amount]])</f>
        <v>0</v>
      </c>
      <c r="AB764" s="17">
        <f>IF(MONTH(Table1[[#This Row],[Loss date]])&lt;Pol_Inc_Month_Shifted,YEAR(Table1[[#This Row],[Loss date]])-1,YEAR(Table1[[#This Row],[Loss date]]))</f>
        <v>2006</v>
      </c>
      <c r="AC764" s="17">
        <f>IF(MONTH(Table1[[#This Row],[Reporting date]])&lt;Pol_Inc_Month_Shifted,YEAR(Table1[[#This Row],[Reporting date]])-1,YEAR(Table1[[#This Row],[Reporting date]]))</f>
        <v>2006</v>
      </c>
      <c r="AD764" s="17">
        <f>Table1[[#This Row],[Reporting year (shifted)]]-Table1[[#This Row],[Policy Year (shifted)]]</f>
        <v>0</v>
      </c>
    </row>
    <row r="765" spans="1:30" ht="13.9">
      <c r="A765" s="8" t="s">
        <v>2535</v>
      </c>
      <c r="B765" s="8" t="s">
        <v>817</v>
      </c>
      <c r="C765" s="8" t="s">
        <v>123</v>
      </c>
      <c r="D765" s="9">
        <v>38759</v>
      </c>
      <c r="E765" s="9">
        <v>38809</v>
      </c>
      <c r="F765" s="17">
        <f>IF(MONTH(Table1[[#This Row],[Loss date]])&lt;Policy_Inception_Month,YEAR(Table1[[#This Row],[Loss date]])-1,YEAR(Table1[[#This Row],[Loss date]]))</f>
        <v>2005</v>
      </c>
      <c r="G765" s="10" t="s">
        <v>125</v>
      </c>
      <c r="H765" s="10" t="s">
        <v>2</v>
      </c>
      <c r="I765" s="11">
        <v>1078.3698420310448</v>
      </c>
      <c r="J765" s="11">
        <v>0</v>
      </c>
      <c r="K765" s="11">
        <v>1078.3698420310448</v>
      </c>
      <c r="L765" s="12">
        <v>0</v>
      </c>
      <c r="M765" s="12">
        <v>0</v>
      </c>
      <c r="N765" s="12">
        <v>1078.3698420310448</v>
      </c>
      <c r="O765" s="70">
        <f>IF(Table1[[#This Row],[Overall amount]]=0,0,1)</f>
        <v>1</v>
      </c>
      <c r="P765" s="70">
        <f>Table1[[#This Row],[Overall amount]]*Exchange_Rate</f>
        <v>1078.3698420310448</v>
      </c>
      <c r="Q765" s="70">
        <f>Table1[[#This Row],[Overall (destination currency)]]*(1+Claims_Inflation)^((Revalue_at_date-Table1[[#This Row],[Loss date]])/365.25)</f>
        <v>1725.5040000000006</v>
      </c>
      <c r="R765" s="70">
        <f>INT(Table1[[#This Row],[Reporting date]])-INT(Table1[[#This Row],[Loss date]])</f>
        <v>50</v>
      </c>
      <c r="S765" s="69" t="s">
        <v>9</v>
      </c>
      <c r="T765" s="70">
        <f>VLOOKUP(Table1[[#This Row],[Policy Year]],exposure_table,3,FALSE)</f>
        <v>409.50481038040112</v>
      </c>
      <c r="U765" s="17">
        <f>IF(MONTH(Table1[[#This Row],[Reporting date]])&lt;Policy_Inception_Month,YEAR(Table1[[#This Row],[Reporting date]])-1,YEAR(Table1[[#This Row],[Reporting date]]))</f>
        <v>2006</v>
      </c>
      <c r="V765" s="17">
        <f>Table1[[#This Row],[Reporting year]]-Table1[[#This Row],[Policy Year]]</f>
        <v>1</v>
      </c>
      <c r="W765" s="17">
        <f>INT(Table1[[#This Row],[Reporting date]])-INT(Table1[[#This Row],[Loss date]])</f>
        <v>50</v>
      </c>
      <c r="X765" s="17">
        <f>INT((YEAR(Table1[[#This Row],[Loss date]])*12+MONTH(Table1[[#This Row],[Loss date]])-Earliest_Month)/4)</f>
        <v>2</v>
      </c>
      <c r="Y765" s="17">
        <f>INT((YEAR(Table1[[#This Row],[Reporting date]])*12+MONTH(Table1[[#This Row],[Reporting date]])-Earliest_Month)/4)</f>
        <v>3</v>
      </c>
      <c r="Z765" s="17">
        <f>Table1[[#This Row],[Reporting third]]-Table1[[#This Row],[Policy third]]</f>
        <v>1</v>
      </c>
      <c r="AA765" s="71">
        <f>IF(Table1[[#This Row],[Overall amount]]=0,"N/A",Table1[[#This Row],[Outstanding]]/Table1[[#This Row],[Overall amount]])</f>
        <v>0</v>
      </c>
      <c r="AB765" s="17">
        <f>IF(MONTH(Table1[[#This Row],[Loss date]])&lt;Pol_Inc_Month_Shifted,YEAR(Table1[[#This Row],[Loss date]])-1,YEAR(Table1[[#This Row],[Loss date]]))</f>
        <v>2005</v>
      </c>
      <c r="AC765" s="17">
        <f>IF(MONTH(Table1[[#This Row],[Reporting date]])&lt;Pol_Inc_Month_Shifted,YEAR(Table1[[#This Row],[Reporting date]])-1,YEAR(Table1[[#This Row],[Reporting date]]))</f>
        <v>2005</v>
      </c>
      <c r="AD765" s="17">
        <f>Table1[[#This Row],[Reporting year (shifted)]]-Table1[[#This Row],[Policy Year (shifted)]]</f>
        <v>0</v>
      </c>
    </row>
    <row r="766" spans="1:30" ht="13.9">
      <c r="A766" s="8" t="s">
        <v>2536</v>
      </c>
      <c r="B766" s="8" t="s">
        <v>818</v>
      </c>
      <c r="C766" s="8" t="s">
        <v>123</v>
      </c>
      <c r="D766" s="9">
        <v>38928</v>
      </c>
      <c r="E766" s="9">
        <v>39499</v>
      </c>
      <c r="F766" s="17">
        <f>IF(MONTH(Table1[[#This Row],[Loss date]])&lt;Policy_Inception_Month,YEAR(Table1[[#This Row],[Loss date]])-1,YEAR(Table1[[#This Row],[Loss date]]))</f>
        <v>2006</v>
      </c>
      <c r="G766" s="10" t="s">
        <v>131</v>
      </c>
      <c r="H766" s="10" t="s">
        <v>2</v>
      </c>
      <c r="I766" s="11">
        <v>3790.764362073744</v>
      </c>
      <c r="J766" s="11">
        <v>0</v>
      </c>
      <c r="K766" s="11">
        <v>3790.764362073744</v>
      </c>
      <c r="L766" s="12">
        <v>0</v>
      </c>
      <c r="M766" s="12">
        <v>0</v>
      </c>
      <c r="N766" s="12">
        <v>3790.764362073744</v>
      </c>
      <c r="O766" s="70">
        <f>IF(Table1[[#This Row],[Overall amount]]=0,0,1)</f>
        <v>1</v>
      </c>
      <c r="P766" s="70">
        <f>Table1[[#This Row],[Overall amount]]*Exchange_Rate</f>
        <v>3790.764362073744</v>
      </c>
      <c r="Q766" s="70">
        <f>Table1[[#This Row],[Overall (destination currency)]]*(1+Claims_Inflation)^((Revalue_at_date-Table1[[#This Row],[Loss date]])/365.25)</f>
        <v>5930.22</v>
      </c>
      <c r="R766" s="70">
        <f>INT(Table1[[#This Row],[Reporting date]])-INT(Table1[[#This Row],[Loss date]])</f>
        <v>571</v>
      </c>
      <c r="S766" s="69" t="s">
        <v>9</v>
      </c>
      <c r="T766" s="70">
        <f>VLOOKUP(Table1[[#This Row],[Policy Year]],exposure_table,3,FALSE)</f>
        <v>483.32023209000977</v>
      </c>
      <c r="U766" s="17">
        <f>IF(MONTH(Table1[[#This Row],[Reporting date]])&lt;Policy_Inception_Month,YEAR(Table1[[#This Row],[Reporting date]])-1,YEAR(Table1[[#This Row],[Reporting date]]))</f>
        <v>2007</v>
      </c>
      <c r="V766" s="17">
        <f>Table1[[#This Row],[Reporting year]]-Table1[[#This Row],[Policy Year]]</f>
        <v>1</v>
      </c>
      <c r="W766" s="17">
        <f>INT(Table1[[#This Row],[Reporting date]])-INT(Table1[[#This Row],[Loss date]])</f>
        <v>571</v>
      </c>
      <c r="X766" s="17">
        <f>INT((YEAR(Table1[[#This Row],[Loss date]])*12+MONTH(Table1[[#This Row],[Loss date]])-Earliest_Month)/4)</f>
        <v>3</v>
      </c>
      <c r="Y766" s="17">
        <f>INT((YEAR(Table1[[#This Row],[Reporting date]])*12+MONTH(Table1[[#This Row],[Reporting date]])-Earliest_Month)/4)</f>
        <v>8</v>
      </c>
      <c r="Z766" s="17">
        <f>Table1[[#This Row],[Reporting third]]-Table1[[#This Row],[Policy third]]</f>
        <v>5</v>
      </c>
      <c r="AA766" s="71">
        <f>IF(Table1[[#This Row],[Overall amount]]=0,"N/A",Table1[[#This Row],[Outstanding]]/Table1[[#This Row],[Overall amount]])</f>
        <v>0</v>
      </c>
      <c r="AB766" s="17">
        <f>IF(MONTH(Table1[[#This Row],[Loss date]])&lt;Pol_Inc_Month_Shifted,YEAR(Table1[[#This Row],[Loss date]])-1,YEAR(Table1[[#This Row],[Loss date]]))</f>
        <v>2005</v>
      </c>
      <c r="AC766" s="17">
        <f>IF(MONTH(Table1[[#This Row],[Reporting date]])&lt;Pol_Inc_Month_Shifted,YEAR(Table1[[#This Row],[Reporting date]])-1,YEAR(Table1[[#This Row],[Reporting date]]))</f>
        <v>2007</v>
      </c>
      <c r="AD766" s="17">
        <f>Table1[[#This Row],[Reporting year (shifted)]]-Table1[[#This Row],[Policy Year (shifted)]]</f>
        <v>2</v>
      </c>
    </row>
    <row r="767" spans="1:30" ht="13.9">
      <c r="A767" s="8" t="s">
        <v>2537</v>
      </c>
      <c r="B767" s="8" t="s">
        <v>819</v>
      </c>
      <c r="C767" s="8" t="s">
        <v>123</v>
      </c>
      <c r="D767" s="9">
        <v>39459</v>
      </c>
      <c r="E767" s="9">
        <v>39538</v>
      </c>
      <c r="F767" s="17">
        <f>IF(MONTH(Table1[[#This Row],[Loss date]])&lt;Policy_Inception_Month,YEAR(Table1[[#This Row],[Loss date]])-1,YEAR(Table1[[#This Row],[Loss date]]))</f>
        <v>2007</v>
      </c>
      <c r="G767" s="10" t="s">
        <v>125</v>
      </c>
      <c r="H767" s="10" t="s">
        <v>2</v>
      </c>
      <c r="I767" s="11">
        <v>769.93456616696699</v>
      </c>
      <c r="J767" s="11">
        <v>0</v>
      </c>
      <c r="K767" s="11">
        <v>769.93456616696699</v>
      </c>
      <c r="L767" s="12">
        <v>0</v>
      </c>
      <c r="M767" s="12">
        <v>0</v>
      </c>
      <c r="N767" s="12">
        <v>769.93456616696699</v>
      </c>
      <c r="O767" s="70">
        <f>IF(Table1[[#This Row],[Overall amount]]=0,0,1)</f>
        <v>1</v>
      </c>
      <c r="P767" s="70">
        <f>Table1[[#This Row],[Overall amount]]*Exchange_Rate</f>
        <v>769.93456616696699</v>
      </c>
      <c r="Q767" s="70">
        <f>Table1[[#This Row],[Overall (destination currency)]]*(1+Claims_Inflation)^((Revalue_at_date-Table1[[#This Row],[Loss date]])/365.25)</f>
        <v>1122</v>
      </c>
      <c r="R767" s="70">
        <f>INT(Table1[[#This Row],[Reporting date]])-INT(Table1[[#This Row],[Loss date]])</f>
        <v>79</v>
      </c>
      <c r="S767" s="69" t="s">
        <v>9</v>
      </c>
      <c r="T767" s="70">
        <f>VLOOKUP(Table1[[#This Row],[Policy Year]],exposure_table,3,FALSE)</f>
        <v>547.7736362475523</v>
      </c>
      <c r="U767" s="17">
        <f>IF(MONTH(Table1[[#This Row],[Reporting date]])&lt;Policy_Inception_Month,YEAR(Table1[[#This Row],[Reporting date]])-1,YEAR(Table1[[#This Row],[Reporting date]]))</f>
        <v>2007</v>
      </c>
      <c r="V767" s="17">
        <f>Table1[[#This Row],[Reporting year]]-Table1[[#This Row],[Policy Year]]</f>
        <v>0</v>
      </c>
      <c r="W767" s="17">
        <f>INT(Table1[[#This Row],[Reporting date]])-INT(Table1[[#This Row],[Loss date]])</f>
        <v>79</v>
      </c>
      <c r="X767" s="17">
        <f>INT((YEAR(Table1[[#This Row],[Loss date]])*12+MONTH(Table1[[#This Row],[Loss date]])-Earliest_Month)/4)</f>
        <v>8</v>
      </c>
      <c r="Y767" s="17">
        <f>INT((YEAR(Table1[[#This Row],[Reporting date]])*12+MONTH(Table1[[#This Row],[Reporting date]])-Earliest_Month)/4)</f>
        <v>8</v>
      </c>
      <c r="Z767" s="17">
        <f>Table1[[#This Row],[Reporting third]]-Table1[[#This Row],[Policy third]]</f>
        <v>0</v>
      </c>
      <c r="AA767" s="71">
        <f>IF(Table1[[#This Row],[Overall amount]]=0,"N/A",Table1[[#This Row],[Outstanding]]/Table1[[#This Row],[Overall amount]])</f>
        <v>0</v>
      </c>
      <c r="AB767" s="17">
        <f>IF(MONTH(Table1[[#This Row],[Loss date]])&lt;Pol_Inc_Month_Shifted,YEAR(Table1[[#This Row],[Loss date]])-1,YEAR(Table1[[#This Row],[Loss date]]))</f>
        <v>2007</v>
      </c>
      <c r="AC767" s="17">
        <f>IF(MONTH(Table1[[#This Row],[Reporting date]])&lt;Pol_Inc_Month_Shifted,YEAR(Table1[[#This Row],[Reporting date]])-1,YEAR(Table1[[#This Row],[Reporting date]]))</f>
        <v>2007</v>
      </c>
      <c r="AD767" s="17">
        <f>Table1[[#This Row],[Reporting year (shifted)]]-Table1[[#This Row],[Policy Year (shifted)]]</f>
        <v>0</v>
      </c>
    </row>
    <row r="768" spans="1:30" ht="13.9">
      <c r="A768" s="8" t="s">
        <v>2538</v>
      </c>
      <c r="B768" s="8" t="s">
        <v>820</v>
      </c>
      <c r="C768" s="8" t="s">
        <v>123</v>
      </c>
      <c r="D768" s="9">
        <v>39350</v>
      </c>
      <c r="E768" s="9">
        <v>39545</v>
      </c>
      <c r="F768" s="17">
        <f>IF(MONTH(Table1[[#This Row],[Loss date]])&lt;Policy_Inception_Month,YEAR(Table1[[#This Row],[Loss date]])-1,YEAR(Table1[[#This Row],[Loss date]]))</f>
        <v>2007</v>
      </c>
      <c r="G768" s="10" t="s">
        <v>127</v>
      </c>
      <c r="H768" s="10" t="s">
        <v>2</v>
      </c>
      <c r="I768" s="11">
        <v>8633.1597860160236</v>
      </c>
      <c r="J768" s="11">
        <v>0</v>
      </c>
      <c r="K768" s="11">
        <v>8633.1597860160236</v>
      </c>
      <c r="L768" s="12">
        <v>0</v>
      </c>
      <c r="M768" s="12">
        <v>0</v>
      </c>
      <c r="N768" s="12">
        <v>8633.1597860160236</v>
      </c>
      <c r="O768" s="70">
        <f>IF(Table1[[#This Row],[Overall amount]]=0,0,1)</f>
        <v>1</v>
      </c>
      <c r="P768" s="70">
        <f>Table1[[#This Row],[Overall amount]]*Exchange_Rate</f>
        <v>8633.1597860160236</v>
      </c>
      <c r="Q768" s="70">
        <f>Table1[[#This Row],[Overall (destination currency)]]*(1+Claims_Inflation)^((Revalue_at_date-Table1[[#This Row],[Loss date]])/365.25)</f>
        <v>12765.336000000003</v>
      </c>
      <c r="R768" s="70">
        <f>INT(Table1[[#This Row],[Reporting date]])-INT(Table1[[#This Row],[Loss date]])</f>
        <v>195</v>
      </c>
      <c r="S768" s="69" t="s">
        <v>9</v>
      </c>
      <c r="T768" s="70">
        <f>VLOOKUP(Table1[[#This Row],[Policy Year]],exposure_table,3,FALSE)</f>
        <v>547.7736362475523</v>
      </c>
      <c r="U768" s="17">
        <f>IF(MONTH(Table1[[#This Row],[Reporting date]])&lt;Policy_Inception_Month,YEAR(Table1[[#This Row],[Reporting date]])-1,YEAR(Table1[[#This Row],[Reporting date]]))</f>
        <v>2008</v>
      </c>
      <c r="V768" s="17">
        <f>Table1[[#This Row],[Reporting year]]-Table1[[#This Row],[Policy Year]]</f>
        <v>1</v>
      </c>
      <c r="W768" s="17">
        <f>INT(Table1[[#This Row],[Reporting date]])-INT(Table1[[#This Row],[Loss date]])</f>
        <v>195</v>
      </c>
      <c r="X768" s="17">
        <f>INT((YEAR(Table1[[#This Row],[Loss date]])*12+MONTH(Table1[[#This Row],[Loss date]])-Earliest_Month)/4)</f>
        <v>7</v>
      </c>
      <c r="Y768" s="17">
        <f>INT((YEAR(Table1[[#This Row],[Reporting date]])*12+MONTH(Table1[[#This Row],[Reporting date]])-Earliest_Month)/4)</f>
        <v>9</v>
      </c>
      <c r="Z768" s="17">
        <f>Table1[[#This Row],[Reporting third]]-Table1[[#This Row],[Policy third]]</f>
        <v>2</v>
      </c>
      <c r="AA768" s="71">
        <f>IF(Table1[[#This Row],[Overall amount]]=0,"N/A",Table1[[#This Row],[Outstanding]]/Table1[[#This Row],[Overall amount]])</f>
        <v>0</v>
      </c>
      <c r="AB768" s="17">
        <f>IF(MONTH(Table1[[#This Row],[Loss date]])&lt;Pol_Inc_Month_Shifted,YEAR(Table1[[#This Row],[Loss date]])-1,YEAR(Table1[[#This Row],[Loss date]]))</f>
        <v>2006</v>
      </c>
      <c r="AC768" s="17">
        <f>IF(MONTH(Table1[[#This Row],[Reporting date]])&lt;Pol_Inc_Month_Shifted,YEAR(Table1[[#This Row],[Reporting date]])-1,YEAR(Table1[[#This Row],[Reporting date]]))</f>
        <v>2007</v>
      </c>
      <c r="AD768" s="17">
        <f>Table1[[#This Row],[Reporting year (shifted)]]-Table1[[#This Row],[Policy Year (shifted)]]</f>
        <v>1</v>
      </c>
    </row>
    <row r="769" spans="1:30" ht="13.9">
      <c r="A769" s="8" t="s">
        <v>2539</v>
      </c>
      <c r="B769" s="8" t="s">
        <v>821</v>
      </c>
      <c r="C769" s="8" t="s">
        <v>123</v>
      </c>
      <c r="D769" s="9">
        <v>38927</v>
      </c>
      <c r="E769" s="9">
        <v>39594</v>
      </c>
      <c r="F769" s="17">
        <f>IF(MONTH(Table1[[#This Row],[Loss date]])&lt;Policy_Inception_Month,YEAR(Table1[[#This Row],[Loss date]])-1,YEAR(Table1[[#This Row],[Loss date]]))</f>
        <v>2006</v>
      </c>
      <c r="G769" s="10" t="s">
        <v>125</v>
      </c>
      <c r="H769" s="10" t="s">
        <v>2</v>
      </c>
      <c r="I769" s="11">
        <v>3381.4698939738569</v>
      </c>
      <c r="J769" s="11">
        <v>0</v>
      </c>
      <c r="K769" s="11">
        <v>3381.4698939738569</v>
      </c>
      <c r="L769" s="12">
        <v>0</v>
      </c>
      <c r="M769" s="12">
        <v>0</v>
      </c>
      <c r="N769" s="12">
        <v>3381.4698939738569</v>
      </c>
      <c r="O769" s="70">
        <f>IF(Table1[[#This Row],[Overall amount]]=0,0,1)</f>
        <v>1</v>
      </c>
      <c r="P769" s="70">
        <f>Table1[[#This Row],[Overall amount]]*Exchange_Rate</f>
        <v>3381.4698939738569</v>
      </c>
      <c r="Q769" s="70">
        <f>Table1[[#This Row],[Overall (destination currency)]]*(1+Claims_Inflation)^((Revalue_at_date-Table1[[#This Row],[Loss date]])/365.25)</f>
        <v>5290.6319999999996</v>
      </c>
      <c r="R769" s="70">
        <f>INT(Table1[[#This Row],[Reporting date]])-INT(Table1[[#This Row],[Loss date]])</f>
        <v>667</v>
      </c>
      <c r="S769" s="69" t="s">
        <v>9</v>
      </c>
      <c r="T769" s="70">
        <f>VLOOKUP(Table1[[#This Row],[Policy Year]],exposure_table,3,FALSE)</f>
        <v>483.32023209000977</v>
      </c>
      <c r="U769" s="17">
        <f>IF(MONTH(Table1[[#This Row],[Reporting date]])&lt;Policy_Inception_Month,YEAR(Table1[[#This Row],[Reporting date]])-1,YEAR(Table1[[#This Row],[Reporting date]]))</f>
        <v>2008</v>
      </c>
      <c r="V769" s="17">
        <f>Table1[[#This Row],[Reporting year]]-Table1[[#This Row],[Policy Year]]</f>
        <v>2</v>
      </c>
      <c r="W769" s="17">
        <f>INT(Table1[[#This Row],[Reporting date]])-INT(Table1[[#This Row],[Loss date]])</f>
        <v>667</v>
      </c>
      <c r="X769" s="17">
        <f>INT((YEAR(Table1[[#This Row],[Loss date]])*12+MONTH(Table1[[#This Row],[Loss date]])-Earliest_Month)/4)</f>
        <v>3</v>
      </c>
      <c r="Y769" s="17">
        <f>INT((YEAR(Table1[[#This Row],[Reporting date]])*12+MONTH(Table1[[#This Row],[Reporting date]])-Earliest_Month)/4)</f>
        <v>9</v>
      </c>
      <c r="Z769" s="17">
        <f>Table1[[#This Row],[Reporting third]]-Table1[[#This Row],[Policy third]]</f>
        <v>6</v>
      </c>
      <c r="AA769" s="71">
        <f>IF(Table1[[#This Row],[Overall amount]]=0,"N/A",Table1[[#This Row],[Outstanding]]/Table1[[#This Row],[Overall amount]])</f>
        <v>0</v>
      </c>
      <c r="AB769" s="17">
        <f>IF(MONTH(Table1[[#This Row],[Loss date]])&lt;Pol_Inc_Month_Shifted,YEAR(Table1[[#This Row],[Loss date]])-1,YEAR(Table1[[#This Row],[Loss date]]))</f>
        <v>2005</v>
      </c>
      <c r="AC769" s="17">
        <f>IF(MONTH(Table1[[#This Row],[Reporting date]])&lt;Pol_Inc_Month_Shifted,YEAR(Table1[[#This Row],[Reporting date]])-1,YEAR(Table1[[#This Row],[Reporting date]]))</f>
        <v>2007</v>
      </c>
      <c r="AD769" s="17">
        <f>Table1[[#This Row],[Reporting year (shifted)]]-Table1[[#This Row],[Policy Year (shifted)]]</f>
        <v>2</v>
      </c>
    </row>
    <row r="770" spans="1:30" ht="13.9">
      <c r="A770" s="8" t="s">
        <v>2540</v>
      </c>
      <c r="B770" s="8" t="s">
        <v>822</v>
      </c>
      <c r="C770" s="8" t="s">
        <v>123</v>
      </c>
      <c r="D770" s="9">
        <v>39683</v>
      </c>
      <c r="E770" s="9">
        <v>39686</v>
      </c>
      <c r="F770" s="17">
        <f>IF(MONTH(Table1[[#This Row],[Loss date]])&lt;Policy_Inception_Month,YEAR(Table1[[#This Row],[Loss date]])-1,YEAR(Table1[[#This Row],[Loss date]]))</f>
        <v>2008</v>
      </c>
      <c r="G770" s="10" t="s">
        <v>131</v>
      </c>
      <c r="H770" s="10" t="s">
        <v>2</v>
      </c>
      <c r="I770" s="11">
        <v>2876.6740207609223</v>
      </c>
      <c r="J770" s="11">
        <v>0</v>
      </c>
      <c r="K770" s="11">
        <v>2876.6740207609223</v>
      </c>
      <c r="L770" s="12">
        <v>0</v>
      </c>
      <c r="M770" s="12">
        <v>0</v>
      </c>
      <c r="N770" s="12">
        <v>2876.6740207609223</v>
      </c>
      <c r="O770" s="70">
        <f>IF(Table1[[#This Row],[Overall amount]]=0,0,1)</f>
        <v>1</v>
      </c>
      <c r="P770" s="70">
        <f>Table1[[#This Row],[Overall amount]]*Exchange_Rate</f>
        <v>2876.6740207609223</v>
      </c>
      <c r="Q770" s="70">
        <f>Table1[[#This Row],[Overall (destination currency)]]*(1+Claims_Inflation)^((Revalue_at_date-Table1[[#This Row],[Loss date]])/365.25)</f>
        <v>4068.5040000000004</v>
      </c>
      <c r="R770" s="70">
        <f>INT(Table1[[#This Row],[Reporting date]])-INT(Table1[[#This Row],[Loss date]])</f>
        <v>3</v>
      </c>
      <c r="S770" s="69" t="s">
        <v>9</v>
      </c>
      <c r="T770" s="70">
        <f>VLOOKUP(Table1[[#This Row],[Policy Year]],exposure_table,3,FALSE)</f>
        <v>601.98581780480015</v>
      </c>
      <c r="U770" s="17">
        <f>IF(MONTH(Table1[[#This Row],[Reporting date]])&lt;Policy_Inception_Month,YEAR(Table1[[#This Row],[Reporting date]])-1,YEAR(Table1[[#This Row],[Reporting date]]))</f>
        <v>2008</v>
      </c>
      <c r="V770" s="17">
        <f>Table1[[#This Row],[Reporting year]]-Table1[[#This Row],[Policy Year]]</f>
        <v>0</v>
      </c>
      <c r="W770" s="17">
        <f>INT(Table1[[#This Row],[Reporting date]])-INT(Table1[[#This Row],[Loss date]])</f>
        <v>3</v>
      </c>
      <c r="X770" s="17">
        <f>INT((YEAR(Table1[[#This Row],[Loss date]])*12+MONTH(Table1[[#This Row],[Loss date]])-Earliest_Month)/4)</f>
        <v>10</v>
      </c>
      <c r="Y770" s="17">
        <f>INT((YEAR(Table1[[#This Row],[Reporting date]])*12+MONTH(Table1[[#This Row],[Reporting date]])-Earliest_Month)/4)</f>
        <v>10</v>
      </c>
      <c r="Z770" s="17">
        <f>Table1[[#This Row],[Reporting third]]-Table1[[#This Row],[Policy third]]</f>
        <v>0</v>
      </c>
      <c r="AA770" s="71">
        <f>IF(Table1[[#This Row],[Overall amount]]=0,"N/A",Table1[[#This Row],[Outstanding]]/Table1[[#This Row],[Overall amount]])</f>
        <v>0</v>
      </c>
      <c r="AB770" s="17">
        <f>IF(MONTH(Table1[[#This Row],[Loss date]])&lt;Pol_Inc_Month_Shifted,YEAR(Table1[[#This Row],[Loss date]])-1,YEAR(Table1[[#This Row],[Loss date]]))</f>
        <v>2007</v>
      </c>
      <c r="AC770" s="17">
        <f>IF(MONTH(Table1[[#This Row],[Reporting date]])&lt;Pol_Inc_Month_Shifted,YEAR(Table1[[#This Row],[Reporting date]])-1,YEAR(Table1[[#This Row],[Reporting date]]))</f>
        <v>2007</v>
      </c>
      <c r="AD770" s="17">
        <f>Table1[[#This Row],[Reporting year (shifted)]]-Table1[[#This Row],[Policy Year (shifted)]]</f>
        <v>0</v>
      </c>
    </row>
    <row r="771" spans="1:30" ht="13.9">
      <c r="A771" s="8" t="s">
        <v>2541</v>
      </c>
      <c r="B771" s="8" t="s">
        <v>823</v>
      </c>
      <c r="C771" s="8" t="s">
        <v>123</v>
      </c>
      <c r="D771" s="9">
        <v>39690</v>
      </c>
      <c r="E771" s="9">
        <v>39711</v>
      </c>
      <c r="F771" s="17">
        <f>IF(MONTH(Table1[[#This Row],[Loss date]])&lt;Policy_Inception_Month,YEAR(Table1[[#This Row],[Loss date]])-1,YEAR(Table1[[#This Row],[Loss date]]))</f>
        <v>2008</v>
      </c>
      <c r="G771" s="10" t="s">
        <v>131</v>
      </c>
      <c r="H771" s="10" t="s">
        <v>2</v>
      </c>
      <c r="I771" s="11">
        <v>403.05269091788</v>
      </c>
      <c r="J771" s="11">
        <v>0</v>
      </c>
      <c r="K771" s="11">
        <v>403.05269091788</v>
      </c>
      <c r="L771" s="12">
        <v>0</v>
      </c>
      <c r="M771" s="12">
        <v>0</v>
      </c>
      <c r="N771" s="12">
        <v>403.05269091788</v>
      </c>
      <c r="O771" s="70">
        <f>IF(Table1[[#This Row],[Overall amount]]=0,0,1)</f>
        <v>1</v>
      </c>
      <c r="P771" s="70">
        <f>Table1[[#This Row],[Overall amount]]*Exchange_Rate</f>
        <v>403.05269091788</v>
      </c>
      <c r="Q771" s="70">
        <f>Table1[[#This Row],[Overall (destination currency)]]*(1+Claims_Inflation)^((Revalue_at_date-Table1[[#This Row],[Loss date]])/365.25)</f>
        <v>569.50799999999992</v>
      </c>
      <c r="R771" s="70">
        <f>INT(Table1[[#This Row],[Reporting date]])-INT(Table1[[#This Row],[Loss date]])</f>
        <v>21</v>
      </c>
      <c r="S771" s="69" t="s">
        <v>9</v>
      </c>
      <c r="T771" s="70">
        <f>VLOOKUP(Table1[[#This Row],[Policy Year]],exposure_table,3,FALSE)</f>
        <v>601.98581780480015</v>
      </c>
      <c r="U771" s="17">
        <f>IF(MONTH(Table1[[#This Row],[Reporting date]])&lt;Policy_Inception_Month,YEAR(Table1[[#This Row],[Reporting date]])-1,YEAR(Table1[[#This Row],[Reporting date]]))</f>
        <v>2008</v>
      </c>
      <c r="V771" s="17">
        <f>Table1[[#This Row],[Reporting year]]-Table1[[#This Row],[Policy Year]]</f>
        <v>0</v>
      </c>
      <c r="W771" s="17">
        <f>INT(Table1[[#This Row],[Reporting date]])-INT(Table1[[#This Row],[Loss date]])</f>
        <v>21</v>
      </c>
      <c r="X771" s="17">
        <f>INT((YEAR(Table1[[#This Row],[Loss date]])*12+MONTH(Table1[[#This Row],[Loss date]])-Earliest_Month)/4)</f>
        <v>10</v>
      </c>
      <c r="Y771" s="17">
        <f>INT((YEAR(Table1[[#This Row],[Reporting date]])*12+MONTH(Table1[[#This Row],[Reporting date]])-Earliest_Month)/4)</f>
        <v>10</v>
      </c>
      <c r="Z771" s="17">
        <f>Table1[[#This Row],[Reporting third]]-Table1[[#This Row],[Policy third]]</f>
        <v>0</v>
      </c>
      <c r="AA771" s="71">
        <f>IF(Table1[[#This Row],[Overall amount]]=0,"N/A",Table1[[#This Row],[Outstanding]]/Table1[[#This Row],[Overall amount]])</f>
        <v>0</v>
      </c>
      <c r="AB771" s="17">
        <f>IF(MONTH(Table1[[#This Row],[Loss date]])&lt;Pol_Inc_Month_Shifted,YEAR(Table1[[#This Row],[Loss date]])-1,YEAR(Table1[[#This Row],[Loss date]]))</f>
        <v>2007</v>
      </c>
      <c r="AC771" s="17">
        <f>IF(MONTH(Table1[[#This Row],[Reporting date]])&lt;Pol_Inc_Month_Shifted,YEAR(Table1[[#This Row],[Reporting date]])-1,YEAR(Table1[[#This Row],[Reporting date]]))</f>
        <v>2007</v>
      </c>
      <c r="AD771" s="17">
        <f>Table1[[#This Row],[Reporting year (shifted)]]-Table1[[#This Row],[Policy Year (shifted)]]</f>
        <v>0</v>
      </c>
    </row>
    <row r="772" spans="1:30" ht="13.9">
      <c r="A772" s="8" t="s">
        <v>2542</v>
      </c>
      <c r="B772" s="8" t="s">
        <v>824</v>
      </c>
      <c r="C772" s="8" t="s">
        <v>123</v>
      </c>
      <c r="D772" s="9">
        <v>39883</v>
      </c>
      <c r="E772" s="9">
        <v>39937</v>
      </c>
      <c r="F772" s="17">
        <f>IF(MONTH(Table1[[#This Row],[Loss date]])&lt;Policy_Inception_Month,YEAR(Table1[[#This Row],[Loss date]])-1,YEAR(Table1[[#This Row],[Loss date]]))</f>
        <v>2008</v>
      </c>
      <c r="G772" s="10" t="s">
        <v>125</v>
      </c>
      <c r="H772" s="10" t="s">
        <v>2</v>
      </c>
      <c r="I772" s="11">
        <v>358.01558066525121</v>
      </c>
      <c r="J772" s="11">
        <v>0</v>
      </c>
      <c r="K772" s="11">
        <v>358.01558066525121</v>
      </c>
      <c r="L772" s="12">
        <v>0</v>
      </c>
      <c r="M772" s="12">
        <v>35.443542485859865</v>
      </c>
      <c r="N772" s="12">
        <v>322.57203817939137</v>
      </c>
      <c r="O772" s="70">
        <f>IF(Table1[[#This Row],[Overall amount]]=0,0,1)</f>
        <v>1</v>
      </c>
      <c r="P772" s="70">
        <f>Table1[[#This Row],[Overall amount]]*Exchange_Rate</f>
        <v>322.57203817939137</v>
      </c>
      <c r="Q772" s="70">
        <f>Table1[[#This Row],[Overall (destination currency)]]*(1+Claims_Inflation)^((Revalue_at_date-Table1[[#This Row],[Loss date]])/365.25)</f>
        <v>444.18939600000004</v>
      </c>
      <c r="R772" s="70">
        <f>INT(Table1[[#This Row],[Reporting date]])-INT(Table1[[#This Row],[Loss date]])</f>
        <v>54</v>
      </c>
      <c r="S772" s="69" t="s">
        <v>9</v>
      </c>
      <c r="T772" s="70">
        <f>VLOOKUP(Table1[[#This Row],[Policy Year]],exposure_table,3,FALSE)</f>
        <v>601.98581780480015</v>
      </c>
      <c r="U772" s="17">
        <f>IF(MONTH(Table1[[#This Row],[Reporting date]])&lt;Policy_Inception_Month,YEAR(Table1[[#This Row],[Reporting date]])-1,YEAR(Table1[[#This Row],[Reporting date]]))</f>
        <v>2009</v>
      </c>
      <c r="V772" s="17">
        <f>Table1[[#This Row],[Reporting year]]-Table1[[#This Row],[Policy Year]]</f>
        <v>1</v>
      </c>
      <c r="W772" s="17">
        <f>INT(Table1[[#This Row],[Reporting date]])-INT(Table1[[#This Row],[Loss date]])</f>
        <v>54</v>
      </c>
      <c r="X772" s="17">
        <f>INT((YEAR(Table1[[#This Row],[Loss date]])*12+MONTH(Table1[[#This Row],[Loss date]])-Earliest_Month)/4)</f>
        <v>11</v>
      </c>
      <c r="Y772" s="17">
        <f>INT((YEAR(Table1[[#This Row],[Reporting date]])*12+MONTH(Table1[[#This Row],[Reporting date]])-Earliest_Month)/4)</f>
        <v>12</v>
      </c>
      <c r="Z772" s="17">
        <f>Table1[[#This Row],[Reporting third]]-Table1[[#This Row],[Policy third]]</f>
        <v>1</v>
      </c>
      <c r="AA772" s="71">
        <f>IF(Table1[[#This Row],[Overall amount]]=0,"N/A",Table1[[#This Row],[Outstanding]]/Table1[[#This Row],[Overall amount]])</f>
        <v>0</v>
      </c>
      <c r="AB772" s="17">
        <f>IF(MONTH(Table1[[#This Row],[Loss date]])&lt;Pol_Inc_Month_Shifted,YEAR(Table1[[#This Row],[Loss date]])-1,YEAR(Table1[[#This Row],[Loss date]]))</f>
        <v>2008</v>
      </c>
      <c r="AC772" s="17">
        <f>IF(MONTH(Table1[[#This Row],[Reporting date]])&lt;Pol_Inc_Month_Shifted,YEAR(Table1[[#This Row],[Reporting date]])-1,YEAR(Table1[[#This Row],[Reporting date]]))</f>
        <v>2008</v>
      </c>
      <c r="AD772" s="17">
        <f>Table1[[#This Row],[Reporting year (shifted)]]-Table1[[#This Row],[Policy Year (shifted)]]</f>
        <v>0</v>
      </c>
    </row>
    <row r="773" spans="1:30" ht="13.9">
      <c r="A773" s="8" t="s">
        <v>2543</v>
      </c>
      <c r="B773" s="8" t="s">
        <v>825</v>
      </c>
      <c r="C773" s="8" t="s">
        <v>123</v>
      </c>
      <c r="D773" s="9">
        <v>39798</v>
      </c>
      <c r="E773" s="9">
        <v>39985</v>
      </c>
      <c r="F773" s="17">
        <f>IF(MONTH(Table1[[#This Row],[Loss date]])&lt;Policy_Inception_Month,YEAR(Table1[[#This Row],[Loss date]])-1,YEAR(Table1[[#This Row],[Loss date]]))</f>
        <v>2008</v>
      </c>
      <c r="G773" s="10" t="s">
        <v>125</v>
      </c>
      <c r="H773" s="10" t="s">
        <v>2</v>
      </c>
      <c r="I773" s="11">
        <v>9960.0348892189868</v>
      </c>
      <c r="J773" s="11">
        <v>0</v>
      </c>
      <c r="K773" s="11">
        <v>9960.0348892189868</v>
      </c>
      <c r="L773" s="12">
        <v>0</v>
      </c>
      <c r="M773" s="12">
        <v>0</v>
      </c>
      <c r="N773" s="12">
        <v>9960.0348892189868</v>
      </c>
      <c r="O773" s="70">
        <f>IF(Table1[[#This Row],[Overall amount]]=0,0,1)</f>
        <v>1</v>
      </c>
      <c r="P773" s="70">
        <f>Table1[[#This Row],[Overall amount]]*Exchange_Rate</f>
        <v>9960.0348892189868</v>
      </c>
      <c r="Q773" s="70">
        <f>Table1[[#This Row],[Overall (destination currency)]]*(1+Claims_Inflation)^((Revalue_at_date-Table1[[#This Row],[Loss date]])/365.25)</f>
        <v>13871.82</v>
      </c>
      <c r="R773" s="70">
        <f>INT(Table1[[#This Row],[Reporting date]])-INT(Table1[[#This Row],[Loss date]])</f>
        <v>187</v>
      </c>
      <c r="S773" s="69" t="s">
        <v>9</v>
      </c>
      <c r="T773" s="70">
        <f>VLOOKUP(Table1[[#This Row],[Policy Year]],exposure_table,3,FALSE)</f>
        <v>601.98581780480015</v>
      </c>
      <c r="U773" s="17">
        <f>IF(MONTH(Table1[[#This Row],[Reporting date]])&lt;Policy_Inception_Month,YEAR(Table1[[#This Row],[Reporting date]])-1,YEAR(Table1[[#This Row],[Reporting date]]))</f>
        <v>2009</v>
      </c>
      <c r="V773" s="17">
        <f>Table1[[#This Row],[Reporting year]]-Table1[[#This Row],[Policy Year]]</f>
        <v>1</v>
      </c>
      <c r="W773" s="17">
        <f>INT(Table1[[#This Row],[Reporting date]])-INT(Table1[[#This Row],[Loss date]])</f>
        <v>187</v>
      </c>
      <c r="X773" s="17">
        <f>INT((YEAR(Table1[[#This Row],[Loss date]])*12+MONTH(Table1[[#This Row],[Loss date]])-Earliest_Month)/4)</f>
        <v>11</v>
      </c>
      <c r="Y773" s="17">
        <f>INT((YEAR(Table1[[#This Row],[Reporting date]])*12+MONTH(Table1[[#This Row],[Reporting date]])-Earliest_Month)/4)</f>
        <v>12</v>
      </c>
      <c r="Z773" s="17">
        <f>Table1[[#This Row],[Reporting third]]-Table1[[#This Row],[Policy third]]</f>
        <v>1</v>
      </c>
      <c r="AA773" s="71">
        <f>IF(Table1[[#This Row],[Overall amount]]=0,"N/A",Table1[[#This Row],[Outstanding]]/Table1[[#This Row],[Overall amount]])</f>
        <v>0</v>
      </c>
      <c r="AB773" s="17">
        <f>IF(MONTH(Table1[[#This Row],[Loss date]])&lt;Pol_Inc_Month_Shifted,YEAR(Table1[[#This Row],[Loss date]])-1,YEAR(Table1[[#This Row],[Loss date]]))</f>
        <v>2008</v>
      </c>
      <c r="AC773" s="17">
        <f>IF(MONTH(Table1[[#This Row],[Reporting date]])&lt;Pol_Inc_Month_Shifted,YEAR(Table1[[#This Row],[Reporting date]])-1,YEAR(Table1[[#This Row],[Reporting date]]))</f>
        <v>2008</v>
      </c>
      <c r="AD773" s="17">
        <f>Table1[[#This Row],[Reporting year (shifted)]]-Table1[[#This Row],[Policy Year (shifted)]]</f>
        <v>0</v>
      </c>
    </row>
    <row r="774" spans="1:30" ht="13.9">
      <c r="A774" s="8" t="s">
        <v>2544</v>
      </c>
      <c r="B774" s="8" t="s">
        <v>826</v>
      </c>
      <c r="C774" s="8" t="s">
        <v>123</v>
      </c>
      <c r="D774" s="9">
        <v>39983</v>
      </c>
      <c r="E774" s="9">
        <v>39984</v>
      </c>
      <c r="F774" s="17">
        <f>IF(MONTH(Table1[[#This Row],[Loss date]])&lt;Policy_Inception_Month,YEAR(Table1[[#This Row],[Loss date]])-1,YEAR(Table1[[#This Row],[Loss date]]))</f>
        <v>2009</v>
      </c>
      <c r="G774" s="10" t="s">
        <v>125</v>
      </c>
      <c r="H774" s="10" t="s">
        <v>2</v>
      </c>
      <c r="I774" s="11">
        <v>960.44026157323094</v>
      </c>
      <c r="J774" s="11">
        <v>0</v>
      </c>
      <c r="K774" s="11">
        <v>960.44026157323094</v>
      </c>
      <c r="L774" s="12">
        <v>0</v>
      </c>
      <c r="M774" s="12">
        <v>0</v>
      </c>
      <c r="N774" s="12">
        <v>960.44026157323094</v>
      </c>
      <c r="O774" s="70">
        <f>IF(Table1[[#This Row],[Overall amount]]=0,0,1)</f>
        <v>1</v>
      </c>
      <c r="P774" s="70">
        <f>Table1[[#This Row],[Overall amount]]*Exchange_Rate</f>
        <v>960.44026157323094</v>
      </c>
      <c r="Q774" s="70">
        <f>Table1[[#This Row],[Overall (destination currency)]]*(1+Claims_Inflation)^((Revalue_at_date-Table1[[#This Row],[Loss date]])/365.25)</f>
        <v>1305</v>
      </c>
      <c r="R774" s="70">
        <f>INT(Table1[[#This Row],[Reporting date]])-INT(Table1[[#This Row],[Loss date]])</f>
        <v>1</v>
      </c>
      <c r="S774" s="69" t="s">
        <v>9</v>
      </c>
      <c r="T774" s="70">
        <f>VLOOKUP(Table1[[#This Row],[Policy Year]],exposure_table,3,FALSE)</f>
        <v>760.22808576000011</v>
      </c>
      <c r="U774" s="17">
        <f>IF(MONTH(Table1[[#This Row],[Reporting date]])&lt;Policy_Inception_Month,YEAR(Table1[[#This Row],[Reporting date]])-1,YEAR(Table1[[#This Row],[Reporting date]]))</f>
        <v>2009</v>
      </c>
      <c r="V774" s="17">
        <f>Table1[[#This Row],[Reporting year]]-Table1[[#This Row],[Policy Year]]</f>
        <v>0</v>
      </c>
      <c r="W774" s="17">
        <f>INT(Table1[[#This Row],[Reporting date]])-INT(Table1[[#This Row],[Loss date]])</f>
        <v>1</v>
      </c>
      <c r="X774" s="17">
        <f>INT((YEAR(Table1[[#This Row],[Loss date]])*12+MONTH(Table1[[#This Row],[Loss date]])-Earliest_Month)/4)</f>
        <v>12</v>
      </c>
      <c r="Y774" s="17">
        <f>INT((YEAR(Table1[[#This Row],[Reporting date]])*12+MONTH(Table1[[#This Row],[Reporting date]])-Earliest_Month)/4)</f>
        <v>12</v>
      </c>
      <c r="Z774" s="17">
        <f>Table1[[#This Row],[Reporting third]]-Table1[[#This Row],[Policy third]]</f>
        <v>0</v>
      </c>
      <c r="AA774" s="71">
        <f>IF(Table1[[#This Row],[Overall amount]]=0,"N/A",Table1[[#This Row],[Outstanding]]/Table1[[#This Row],[Overall amount]])</f>
        <v>0</v>
      </c>
      <c r="AB774" s="17">
        <f>IF(MONTH(Table1[[#This Row],[Loss date]])&lt;Pol_Inc_Month_Shifted,YEAR(Table1[[#This Row],[Loss date]])-1,YEAR(Table1[[#This Row],[Loss date]]))</f>
        <v>2008</v>
      </c>
      <c r="AC774" s="17">
        <f>IF(MONTH(Table1[[#This Row],[Reporting date]])&lt;Pol_Inc_Month_Shifted,YEAR(Table1[[#This Row],[Reporting date]])-1,YEAR(Table1[[#This Row],[Reporting date]]))</f>
        <v>2008</v>
      </c>
      <c r="AD774" s="17">
        <f>Table1[[#This Row],[Reporting year (shifted)]]-Table1[[#This Row],[Policy Year (shifted)]]</f>
        <v>0</v>
      </c>
    </row>
    <row r="775" spans="1:30" ht="13.9">
      <c r="A775" s="8" t="s">
        <v>2545</v>
      </c>
      <c r="B775" s="8" t="s">
        <v>827</v>
      </c>
      <c r="C775" s="8" t="s">
        <v>123</v>
      </c>
      <c r="D775" s="9">
        <v>40051</v>
      </c>
      <c r="E775" s="9">
        <v>40067</v>
      </c>
      <c r="F775" s="17">
        <f>IF(MONTH(Table1[[#This Row],[Loss date]])&lt;Policy_Inception_Month,YEAR(Table1[[#This Row],[Loss date]])-1,YEAR(Table1[[#This Row],[Loss date]]))</f>
        <v>2009</v>
      </c>
      <c r="G775" s="10" t="s">
        <v>125</v>
      </c>
      <c r="H775" s="10" t="s">
        <v>2</v>
      </c>
      <c r="I775" s="11">
        <v>659.0588003843211</v>
      </c>
      <c r="J775" s="11">
        <v>0</v>
      </c>
      <c r="K775" s="11">
        <v>659.0588003843211</v>
      </c>
      <c r="L775" s="12">
        <v>0</v>
      </c>
      <c r="M775" s="12">
        <v>0</v>
      </c>
      <c r="N775" s="12">
        <v>659.0588003843211</v>
      </c>
      <c r="O775" s="70">
        <f>IF(Table1[[#This Row],[Overall amount]]=0,0,1)</f>
        <v>1</v>
      </c>
      <c r="P775" s="70">
        <f>Table1[[#This Row],[Overall amount]]*Exchange_Rate</f>
        <v>659.0588003843211</v>
      </c>
      <c r="Q775" s="70">
        <f>Table1[[#This Row],[Overall (destination currency)]]*(1+Claims_Inflation)^((Revalue_at_date-Table1[[#This Row],[Loss date]])/365.25)</f>
        <v>887.4</v>
      </c>
      <c r="R775" s="70">
        <f>INT(Table1[[#This Row],[Reporting date]])-INT(Table1[[#This Row],[Loss date]])</f>
        <v>16</v>
      </c>
      <c r="S775" s="69" t="s">
        <v>9</v>
      </c>
      <c r="T775" s="70">
        <f>VLOOKUP(Table1[[#This Row],[Policy Year]],exposure_table,3,FALSE)</f>
        <v>760.22808576000011</v>
      </c>
      <c r="U775" s="17">
        <f>IF(MONTH(Table1[[#This Row],[Reporting date]])&lt;Policy_Inception_Month,YEAR(Table1[[#This Row],[Reporting date]])-1,YEAR(Table1[[#This Row],[Reporting date]]))</f>
        <v>2009</v>
      </c>
      <c r="V775" s="17">
        <f>Table1[[#This Row],[Reporting year]]-Table1[[#This Row],[Policy Year]]</f>
        <v>0</v>
      </c>
      <c r="W775" s="17">
        <f>INT(Table1[[#This Row],[Reporting date]])-INT(Table1[[#This Row],[Loss date]])</f>
        <v>16</v>
      </c>
      <c r="X775" s="17">
        <f>INT((YEAR(Table1[[#This Row],[Loss date]])*12+MONTH(Table1[[#This Row],[Loss date]])-Earliest_Month)/4)</f>
        <v>13</v>
      </c>
      <c r="Y775" s="17">
        <f>INT((YEAR(Table1[[#This Row],[Reporting date]])*12+MONTH(Table1[[#This Row],[Reporting date]])-Earliest_Month)/4)</f>
        <v>13</v>
      </c>
      <c r="Z775" s="17">
        <f>Table1[[#This Row],[Reporting third]]-Table1[[#This Row],[Policy third]]</f>
        <v>0</v>
      </c>
      <c r="AA775" s="71">
        <f>IF(Table1[[#This Row],[Overall amount]]=0,"N/A",Table1[[#This Row],[Outstanding]]/Table1[[#This Row],[Overall amount]])</f>
        <v>0</v>
      </c>
      <c r="AB775" s="17">
        <f>IF(MONTH(Table1[[#This Row],[Loss date]])&lt;Pol_Inc_Month_Shifted,YEAR(Table1[[#This Row],[Loss date]])-1,YEAR(Table1[[#This Row],[Loss date]]))</f>
        <v>2008</v>
      </c>
      <c r="AC775" s="17">
        <f>IF(MONTH(Table1[[#This Row],[Reporting date]])&lt;Pol_Inc_Month_Shifted,YEAR(Table1[[#This Row],[Reporting date]])-1,YEAR(Table1[[#This Row],[Reporting date]]))</f>
        <v>2008</v>
      </c>
      <c r="AD775" s="17">
        <f>Table1[[#This Row],[Reporting year (shifted)]]-Table1[[#This Row],[Policy Year (shifted)]]</f>
        <v>0</v>
      </c>
    </row>
    <row r="776" spans="1:30" ht="13.9">
      <c r="A776" s="8" t="s">
        <v>2546</v>
      </c>
      <c r="B776" s="8" t="s">
        <v>828</v>
      </c>
      <c r="C776" s="8" t="s">
        <v>123</v>
      </c>
      <c r="D776" s="9">
        <v>39787</v>
      </c>
      <c r="E776" s="9">
        <v>40019</v>
      </c>
      <c r="F776" s="17">
        <f>IF(MONTH(Table1[[#This Row],[Loss date]])&lt;Policy_Inception_Month,YEAR(Table1[[#This Row],[Loss date]])-1,YEAR(Table1[[#This Row],[Loss date]]))</f>
        <v>2008</v>
      </c>
      <c r="G776" s="10" t="s">
        <v>124</v>
      </c>
      <c r="H776" s="10" t="s">
        <v>2</v>
      </c>
      <c r="I776" s="11">
        <v>341.27138316413539</v>
      </c>
      <c r="J776" s="11">
        <v>0</v>
      </c>
      <c r="K776" s="11">
        <v>341.27138316413539</v>
      </c>
      <c r="L776" s="12">
        <v>0</v>
      </c>
      <c r="M776" s="12">
        <v>0</v>
      </c>
      <c r="N776" s="12">
        <v>341.27138316413539</v>
      </c>
      <c r="O776" s="70">
        <f>IF(Table1[[#This Row],[Overall amount]]=0,0,1)</f>
        <v>1</v>
      </c>
      <c r="P776" s="70">
        <f>Table1[[#This Row],[Overall amount]]*Exchange_Rate</f>
        <v>341.27138316413539</v>
      </c>
      <c r="Q776" s="70">
        <f>Table1[[#This Row],[Overall (destination currency)]]*(1+Claims_Inflation)^((Revalue_at_date-Table1[[#This Row],[Loss date]])/365.25)</f>
        <v>476.00400000000002</v>
      </c>
      <c r="R776" s="70">
        <f>INT(Table1[[#This Row],[Reporting date]])-INT(Table1[[#This Row],[Loss date]])</f>
        <v>232</v>
      </c>
      <c r="S776" s="69" t="s">
        <v>9</v>
      </c>
      <c r="T776" s="70">
        <f>VLOOKUP(Table1[[#This Row],[Policy Year]],exposure_table,3,FALSE)</f>
        <v>601.98581780480015</v>
      </c>
      <c r="U776" s="17">
        <f>IF(MONTH(Table1[[#This Row],[Reporting date]])&lt;Policy_Inception_Month,YEAR(Table1[[#This Row],[Reporting date]])-1,YEAR(Table1[[#This Row],[Reporting date]]))</f>
        <v>2009</v>
      </c>
      <c r="V776" s="17">
        <f>Table1[[#This Row],[Reporting year]]-Table1[[#This Row],[Policy Year]]</f>
        <v>1</v>
      </c>
      <c r="W776" s="17">
        <f>INT(Table1[[#This Row],[Reporting date]])-INT(Table1[[#This Row],[Loss date]])</f>
        <v>232</v>
      </c>
      <c r="X776" s="17">
        <f>INT((YEAR(Table1[[#This Row],[Loss date]])*12+MONTH(Table1[[#This Row],[Loss date]])-Earliest_Month)/4)</f>
        <v>11</v>
      </c>
      <c r="Y776" s="17">
        <f>INT((YEAR(Table1[[#This Row],[Reporting date]])*12+MONTH(Table1[[#This Row],[Reporting date]])-Earliest_Month)/4)</f>
        <v>12</v>
      </c>
      <c r="Z776" s="17">
        <f>Table1[[#This Row],[Reporting third]]-Table1[[#This Row],[Policy third]]</f>
        <v>1</v>
      </c>
      <c r="AA776" s="71">
        <f>IF(Table1[[#This Row],[Overall amount]]=0,"N/A",Table1[[#This Row],[Outstanding]]/Table1[[#This Row],[Overall amount]])</f>
        <v>0</v>
      </c>
      <c r="AB776" s="17">
        <f>IF(MONTH(Table1[[#This Row],[Loss date]])&lt;Pol_Inc_Month_Shifted,YEAR(Table1[[#This Row],[Loss date]])-1,YEAR(Table1[[#This Row],[Loss date]]))</f>
        <v>2008</v>
      </c>
      <c r="AC776" s="17">
        <f>IF(MONTH(Table1[[#This Row],[Reporting date]])&lt;Pol_Inc_Month_Shifted,YEAR(Table1[[#This Row],[Reporting date]])-1,YEAR(Table1[[#This Row],[Reporting date]]))</f>
        <v>2008</v>
      </c>
      <c r="AD776" s="17">
        <f>Table1[[#This Row],[Reporting year (shifted)]]-Table1[[#This Row],[Policy Year (shifted)]]</f>
        <v>0</v>
      </c>
    </row>
    <row r="777" spans="1:30" ht="13.9">
      <c r="A777" s="8" t="s">
        <v>2547</v>
      </c>
      <c r="B777" s="8" t="s">
        <v>829</v>
      </c>
      <c r="C777" s="8" t="s">
        <v>123</v>
      </c>
      <c r="D777" s="9">
        <v>40071</v>
      </c>
      <c r="E777" s="9">
        <v>40110</v>
      </c>
      <c r="F777" s="17">
        <f>IF(MONTH(Table1[[#This Row],[Loss date]])&lt;Policy_Inception_Month,YEAR(Table1[[#This Row],[Loss date]])-1,YEAR(Table1[[#This Row],[Loss date]]))</f>
        <v>2009</v>
      </c>
      <c r="G777" s="10" t="s">
        <v>125</v>
      </c>
      <c r="H777" s="10" t="s">
        <v>2</v>
      </c>
      <c r="I777" s="11">
        <v>1515.0023397331602</v>
      </c>
      <c r="J777" s="11">
        <v>0</v>
      </c>
      <c r="K777" s="11">
        <v>1515.0023397331602</v>
      </c>
      <c r="L777" s="12">
        <v>0</v>
      </c>
      <c r="M777" s="12">
        <v>0</v>
      </c>
      <c r="N777" s="12">
        <v>1515.0023397331602</v>
      </c>
      <c r="O777" s="70">
        <f>IF(Table1[[#This Row],[Overall amount]]=0,0,1)</f>
        <v>1</v>
      </c>
      <c r="P777" s="70">
        <f>Table1[[#This Row],[Overall amount]]*Exchange_Rate</f>
        <v>1515.0023397331602</v>
      </c>
      <c r="Q777" s="70">
        <f>Table1[[#This Row],[Overall (destination currency)]]*(1+Claims_Inflation)^((Revalue_at_date-Table1[[#This Row],[Loss date]])/365.25)</f>
        <v>2034.4560000000004</v>
      </c>
      <c r="R777" s="70">
        <f>INT(Table1[[#This Row],[Reporting date]])-INT(Table1[[#This Row],[Loss date]])</f>
        <v>39</v>
      </c>
      <c r="S777" s="69" t="s">
        <v>9</v>
      </c>
      <c r="T777" s="70">
        <f>VLOOKUP(Table1[[#This Row],[Policy Year]],exposure_table,3,FALSE)</f>
        <v>760.22808576000011</v>
      </c>
      <c r="U777" s="17">
        <f>IF(MONTH(Table1[[#This Row],[Reporting date]])&lt;Policy_Inception_Month,YEAR(Table1[[#This Row],[Reporting date]])-1,YEAR(Table1[[#This Row],[Reporting date]]))</f>
        <v>2009</v>
      </c>
      <c r="V777" s="17">
        <f>Table1[[#This Row],[Reporting year]]-Table1[[#This Row],[Policy Year]]</f>
        <v>0</v>
      </c>
      <c r="W777" s="17">
        <f>INT(Table1[[#This Row],[Reporting date]])-INT(Table1[[#This Row],[Loss date]])</f>
        <v>39</v>
      </c>
      <c r="X777" s="17">
        <f>INT((YEAR(Table1[[#This Row],[Loss date]])*12+MONTH(Table1[[#This Row],[Loss date]])-Earliest_Month)/4)</f>
        <v>13</v>
      </c>
      <c r="Y777" s="17">
        <f>INT((YEAR(Table1[[#This Row],[Reporting date]])*12+MONTH(Table1[[#This Row],[Reporting date]])-Earliest_Month)/4)</f>
        <v>13</v>
      </c>
      <c r="Z777" s="17">
        <f>Table1[[#This Row],[Reporting third]]-Table1[[#This Row],[Policy third]]</f>
        <v>0</v>
      </c>
      <c r="AA777" s="71">
        <f>IF(Table1[[#This Row],[Overall amount]]=0,"N/A",Table1[[#This Row],[Outstanding]]/Table1[[#This Row],[Overall amount]])</f>
        <v>0</v>
      </c>
      <c r="AB777" s="17">
        <f>IF(MONTH(Table1[[#This Row],[Loss date]])&lt;Pol_Inc_Month_Shifted,YEAR(Table1[[#This Row],[Loss date]])-1,YEAR(Table1[[#This Row],[Loss date]]))</f>
        <v>2008</v>
      </c>
      <c r="AC777" s="17">
        <f>IF(MONTH(Table1[[#This Row],[Reporting date]])&lt;Pol_Inc_Month_Shifted,YEAR(Table1[[#This Row],[Reporting date]])-1,YEAR(Table1[[#This Row],[Reporting date]]))</f>
        <v>2008</v>
      </c>
      <c r="AD777" s="17">
        <f>Table1[[#This Row],[Reporting year (shifted)]]-Table1[[#This Row],[Policy Year (shifted)]]</f>
        <v>0</v>
      </c>
    </row>
    <row r="778" spans="1:30" ht="13.9">
      <c r="A778" s="8" t="s">
        <v>2548</v>
      </c>
      <c r="B778" s="8" t="s">
        <v>830</v>
      </c>
      <c r="C778" s="8" t="s">
        <v>123</v>
      </c>
      <c r="D778" s="9">
        <v>40120</v>
      </c>
      <c r="E778" s="9">
        <v>40187</v>
      </c>
      <c r="F778" s="17">
        <f>IF(MONTH(Table1[[#This Row],[Loss date]])&lt;Policy_Inception_Month,YEAR(Table1[[#This Row],[Loss date]])-1,YEAR(Table1[[#This Row],[Loss date]]))</f>
        <v>2009</v>
      </c>
      <c r="G778" s="10" t="s">
        <v>125</v>
      </c>
      <c r="H778" s="10" t="s">
        <v>2</v>
      </c>
      <c r="I778" s="11">
        <v>1265.11098950427</v>
      </c>
      <c r="J778" s="11">
        <v>0</v>
      </c>
      <c r="K778" s="11">
        <v>1265.11098950427</v>
      </c>
      <c r="L778" s="12">
        <v>0</v>
      </c>
      <c r="M778" s="12">
        <v>0</v>
      </c>
      <c r="N778" s="12">
        <v>1265.11098950427</v>
      </c>
      <c r="O778" s="70">
        <f>IF(Table1[[#This Row],[Overall amount]]=0,0,1)</f>
        <v>1</v>
      </c>
      <c r="P778" s="70">
        <f>Table1[[#This Row],[Overall amount]]*Exchange_Rate</f>
        <v>1265.11098950427</v>
      </c>
      <c r="Q778" s="70">
        <f>Table1[[#This Row],[Overall (destination currency)]]*(1+Claims_Inflation)^((Revalue_at_date-Table1[[#This Row],[Loss date]])/365.25)</f>
        <v>1687.8</v>
      </c>
      <c r="R778" s="70">
        <f>INT(Table1[[#This Row],[Reporting date]])-INT(Table1[[#This Row],[Loss date]])</f>
        <v>67</v>
      </c>
      <c r="S778" s="69" t="s">
        <v>9</v>
      </c>
      <c r="T778" s="70">
        <f>VLOOKUP(Table1[[#This Row],[Policy Year]],exposure_table,3,FALSE)</f>
        <v>760.22808576000011</v>
      </c>
      <c r="U778" s="17">
        <f>IF(MONTH(Table1[[#This Row],[Reporting date]])&lt;Policy_Inception_Month,YEAR(Table1[[#This Row],[Reporting date]])-1,YEAR(Table1[[#This Row],[Reporting date]]))</f>
        <v>2009</v>
      </c>
      <c r="V778" s="17">
        <f>Table1[[#This Row],[Reporting year]]-Table1[[#This Row],[Policy Year]]</f>
        <v>0</v>
      </c>
      <c r="W778" s="17">
        <f>INT(Table1[[#This Row],[Reporting date]])-INT(Table1[[#This Row],[Loss date]])</f>
        <v>67</v>
      </c>
      <c r="X778" s="17">
        <f>INT((YEAR(Table1[[#This Row],[Loss date]])*12+MONTH(Table1[[#This Row],[Loss date]])-Earliest_Month)/4)</f>
        <v>13</v>
      </c>
      <c r="Y778" s="17">
        <f>INT((YEAR(Table1[[#This Row],[Reporting date]])*12+MONTH(Table1[[#This Row],[Reporting date]])-Earliest_Month)/4)</f>
        <v>14</v>
      </c>
      <c r="Z778" s="17">
        <f>Table1[[#This Row],[Reporting third]]-Table1[[#This Row],[Policy third]]</f>
        <v>1</v>
      </c>
      <c r="AA778" s="71">
        <f>IF(Table1[[#This Row],[Overall amount]]=0,"N/A",Table1[[#This Row],[Outstanding]]/Table1[[#This Row],[Overall amount]])</f>
        <v>0</v>
      </c>
      <c r="AB778" s="17">
        <f>IF(MONTH(Table1[[#This Row],[Loss date]])&lt;Pol_Inc_Month_Shifted,YEAR(Table1[[#This Row],[Loss date]])-1,YEAR(Table1[[#This Row],[Loss date]]))</f>
        <v>2008</v>
      </c>
      <c r="AC778" s="17">
        <f>IF(MONTH(Table1[[#This Row],[Reporting date]])&lt;Pol_Inc_Month_Shifted,YEAR(Table1[[#This Row],[Reporting date]])-1,YEAR(Table1[[#This Row],[Reporting date]]))</f>
        <v>2009</v>
      </c>
      <c r="AD778" s="17">
        <f>Table1[[#This Row],[Reporting year (shifted)]]-Table1[[#This Row],[Policy Year (shifted)]]</f>
        <v>1</v>
      </c>
    </row>
    <row r="779" spans="1:30" ht="13.9">
      <c r="A779" s="8" t="s">
        <v>2549</v>
      </c>
      <c r="B779" s="8" t="s">
        <v>831</v>
      </c>
      <c r="C779" s="8" t="s">
        <v>123</v>
      </c>
      <c r="D779" s="9">
        <v>39974</v>
      </c>
      <c r="E779" s="9">
        <v>39999</v>
      </c>
      <c r="F779" s="17">
        <f>IF(MONTH(Table1[[#This Row],[Loss date]])&lt;Policy_Inception_Month,YEAR(Table1[[#This Row],[Loss date]])-1,YEAR(Table1[[#This Row],[Loss date]]))</f>
        <v>2009</v>
      </c>
      <c r="G779" s="10" t="s">
        <v>125</v>
      </c>
      <c r="H779" s="10" t="s">
        <v>2</v>
      </c>
      <c r="I779" s="11">
        <v>741.84806677758741</v>
      </c>
      <c r="J779" s="11">
        <v>0</v>
      </c>
      <c r="K779" s="11">
        <v>741.84806677758741</v>
      </c>
      <c r="L779" s="12">
        <v>0</v>
      </c>
      <c r="M779" s="12">
        <v>0</v>
      </c>
      <c r="N779" s="12">
        <v>741.84806677758741</v>
      </c>
      <c r="O779" s="70">
        <f>IF(Table1[[#This Row],[Overall amount]]=0,0,1)</f>
        <v>1</v>
      </c>
      <c r="P779" s="70">
        <f>Table1[[#This Row],[Overall amount]]*Exchange_Rate</f>
        <v>741.84806677758741</v>
      </c>
      <c r="Q779" s="70">
        <f>Table1[[#This Row],[Overall (destination currency)]]*(1+Claims_Inflation)^((Revalue_at_date-Table1[[#This Row],[Loss date]])/365.25)</f>
        <v>1009.1999999999999</v>
      </c>
      <c r="R779" s="70">
        <f>INT(Table1[[#This Row],[Reporting date]])-INT(Table1[[#This Row],[Loss date]])</f>
        <v>25</v>
      </c>
      <c r="S779" s="69" t="s">
        <v>9</v>
      </c>
      <c r="T779" s="70">
        <f>VLOOKUP(Table1[[#This Row],[Policy Year]],exposure_table,3,FALSE)</f>
        <v>760.22808576000011</v>
      </c>
      <c r="U779" s="17">
        <f>IF(MONTH(Table1[[#This Row],[Reporting date]])&lt;Policy_Inception_Month,YEAR(Table1[[#This Row],[Reporting date]])-1,YEAR(Table1[[#This Row],[Reporting date]]))</f>
        <v>2009</v>
      </c>
      <c r="V779" s="17">
        <f>Table1[[#This Row],[Reporting year]]-Table1[[#This Row],[Policy Year]]</f>
        <v>0</v>
      </c>
      <c r="W779" s="17">
        <f>INT(Table1[[#This Row],[Reporting date]])-INT(Table1[[#This Row],[Loss date]])</f>
        <v>25</v>
      </c>
      <c r="X779" s="17">
        <f>INT((YEAR(Table1[[#This Row],[Loss date]])*12+MONTH(Table1[[#This Row],[Loss date]])-Earliest_Month)/4)</f>
        <v>12</v>
      </c>
      <c r="Y779" s="17">
        <f>INT((YEAR(Table1[[#This Row],[Reporting date]])*12+MONTH(Table1[[#This Row],[Reporting date]])-Earliest_Month)/4)</f>
        <v>12</v>
      </c>
      <c r="Z779" s="17">
        <f>Table1[[#This Row],[Reporting third]]-Table1[[#This Row],[Policy third]]</f>
        <v>0</v>
      </c>
      <c r="AA779" s="71">
        <f>IF(Table1[[#This Row],[Overall amount]]=0,"N/A",Table1[[#This Row],[Outstanding]]/Table1[[#This Row],[Overall amount]])</f>
        <v>0</v>
      </c>
      <c r="AB779" s="17">
        <f>IF(MONTH(Table1[[#This Row],[Loss date]])&lt;Pol_Inc_Month_Shifted,YEAR(Table1[[#This Row],[Loss date]])-1,YEAR(Table1[[#This Row],[Loss date]]))</f>
        <v>2008</v>
      </c>
      <c r="AC779" s="17">
        <f>IF(MONTH(Table1[[#This Row],[Reporting date]])&lt;Pol_Inc_Month_Shifted,YEAR(Table1[[#This Row],[Reporting date]])-1,YEAR(Table1[[#This Row],[Reporting date]]))</f>
        <v>2008</v>
      </c>
      <c r="AD779" s="17">
        <f>Table1[[#This Row],[Reporting year (shifted)]]-Table1[[#This Row],[Policy Year (shifted)]]</f>
        <v>0</v>
      </c>
    </row>
    <row r="780" spans="1:30" ht="13.9">
      <c r="A780" s="8" t="s">
        <v>2550</v>
      </c>
      <c r="B780" s="8" t="s">
        <v>832</v>
      </c>
      <c r="C780" s="8" t="s">
        <v>123</v>
      </c>
      <c r="D780" s="9">
        <v>40194</v>
      </c>
      <c r="E780" s="9">
        <v>40223</v>
      </c>
      <c r="F780" s="17">
        <f>IF(MONTH(Table1[[#This Row],[Loss date]])&lt;Policy_Inception_Month,YEAR(Table1[[#This Row],[Loss date]])-1,YEAR(Table1[[#This Row],[Loss date]]))</f>
        <v>2009</v>
      </c>
      <c r="G780" s="10" t="s">
        <v>125</v>
      </c>
      <c r="H780" s="10" t="s">
        <v>2</v>
      </c>
      <c r="I780" s="11">
        <v>1132.7871596441012</v>
      </c>
      <c r="J780" s="11">
        <v>0</v>
      </c>
      <c r="K780" s="11">
        <v>1132.7871596441012</v>
      </c>
      <c r="L780" s="12">
        <v>0</v>
      </c>
      <c r="M780" s="12">
        <v>0</v>
      </c>
      <c r="N780" s="12">
        <v>1132.7871596441012</v>
      </c>
      <c r="O780" s="70">
        <f>IF(Table1[[#This Row],[Overall amount]]=0,0,1)</f>
        <v>1</v>
      </c>
      <c r="P780" s="70">
        <f>Table1[[#This Row],[Overall amount]]*Exchange_Rate</f>
        <v>1132.7871596441012</v>
      </c>
      <c r="Q780" s="70">
        <f>Table1[[#This Row],[Overall (destination currency)]]*(1+Claims_Inflation)^((Revalue_at_date-Table1[[#This Row],[Loss date]])/365.25)</f>
        <v>1496.3999999999999</v>
      </c>
      <c r="R780" s="70">
        <f>INT(Table1[[#This Row],[Reporting date]])-INT(Table1[[#This Row],[Loss date]])</f>
        <v>29</v>
      </c>
      <c r="S780" s="69" t="s">
        <v>9</v>
      </c>
      <c r="T780" s="70">
        <f>VLOOKUP(Table1[[#This Row],[Policy Year]],exposure_table,3,FALSE)</f>
        <v>760.22808576000011</v>
      </c>
      <c r="U780" s="17">
        <f>IF(MONTH(Table1[[#This Row],[Reporting date]])&lt;Policy_Inception_Month,YEAR(Table1[[#This Row],[Reporting date]])-1,YEAR(Table1[[#This Row],[Reporting date]]))</f>
        <v>2009</v>
      </c>
      <c r="V780" s="17">
        <f>Table1[[#This Row],[Reporting year]]-Table1[[#This Row],[Policy Year]]</f>
        <v>0</v>
      </c>
      <c r="W780" s="17">
        <f>INT(Table1[[#This Row],[Reporting date]])-INT(Table1[[#This Row],[Loss date]])</f>
        <v>29</v>
      </c>
      <c r="X780" s="17">
        <f>INT((YEAR(Table1[[#This Row],[Loss date]])*12+MONTH(Table1[[#This Row],[Loss date]])-Earliest_Month)/4)</f>
        <v>14</v>
      </c>
      <c r="Y780" s="17">
        <f>INT((YEAR(Table1[[#This Row],[Reporting date]])*12+MONTH(Table1[[#This Row],[Reporting date]])-Earliest_Month)/4)</f>
        <v>14</v>
      </c>
      <c r="Z780" s="17">
        <f>Table1[[#This Row],[Reporting third]]-Table1[[#This Row],[Policy third]]</f>
        <v>0</v>
      </c>
      <c r="AA780" s="71">
        <f>IF(Table1[[#This Row],[Overall amount]]=0,"N/A",Table1[[#This Row],[Outstanding]]/Table1[[#This Row],[Overall amount]])</f>
        <v>0</v>
      </c>
      <c r="AB780" s="17">
        <f>IF(MONTH(Table1[[#This Row],[Loss date]])&lt;Pol_Inc_Month_Shifted,YEAR(Table1[[#This Row],[Loss date]])-1,YEAR(Table1[[#This Row],[Loss date]]))</f>
        <v>2009</v>
      </c>
      <c r="AC780" s="17">
        <f>IF(MONTH(Table1[[#This Row],[Reporting date]])&lt;Pol_Inc_Month_Shifted,YEAR(Table1[[#This Row],[Reporting date]])-1,YEAR(Table1[[#This Row],[Reporting date]]))</f>
        <v>2009</v>
      </c>
      <c r="AD780" s="17">
        <f>Table1[[#This Row],[Reporting year (shifted)]]-Table1[[#This Row],[Policy Year (shifted)]]</f>
        <v>0</v>
      </c>
    </row>
    <row r="781" spans="1:30" ht="13.9">
      <c r="A781" s="8" t="s">
        <v>2551</v>
      </c>
      <c r="B781" s="8" t="s">
        <v>833</v>
      </c>
      <c r="C781" s="8" t="s">
        <v>123</v>
      </c>
      <c r="D781" s="9">
        <v>40059</v>
      </c>
      <c r="E781" s="9">
        <v>40230</v>
      </c>
      <c r="F781" s="17">
        <f>IF(MONTH(Table1[[#This Row],[Loss date]])&lt;Policy_Inception_Month,YEAR(Table1[[#This Row],[Loss date]])-1,YEAR(Table1[[#This Row],[Loss date]]))</f>
        <v>2009</v>
      </c>
      <c r="G781" s="10" t="s">
        <v>125</v>
      </c>
      <c r="H781" s="10" t="s">
        <v>2</v>
      </c>
      <c r="I781" s="11">
        <v>8636.7544287603432</v>
      </c>
      <c r="J781" s="11">
        <v>0</v>
      </c>
      <c r="K781" s="11">
        <v>8636.7544287603432</v>
      </c>
      <c r="L781" s="12">
        <v>133.82626256270831</v>
      </c>
      <c r="M781" s="12">
        <v>0</v>
      </c>
      <c r="N781" s="12">
        <v>8770.5806913230517</v>
      </c>
      <c r="O781" s="70">
        <f>IF(Table1[[#This Row],[Overall amount]]=0,0,1)</f>
        <v>1</v>
      </c>
      <c r="P781" s="70">
        <f>Table1[[#This Row],[Overall amount]]*Exchange_Rate</f>
        <v>8770.5806913230517</v>
      </c>
      <c r="Q781" s="70">
        <f>Table1[[#This Row],[Overall (destination currency)]]*(1+Claims_Inflation)^((Revalue_at_date-Table1[[#This Row],[Loss date]])/365.25)</f>
        <v>11796.672</v>
      </c>
      <c r="R781" s="70">
        <f>INT(Table1[[#This Row],[Reporting date]])-INT(Table1[[#This Row],[Loss date]])</f>
        <v>171</v>
      </c>
      <c r="S781" s="69" t="s">
        <v>9</v>
      </c>
      <c r="T781" s="70">
        <f>VLOOKUP(Table1[[#This Row],[Policy Year]],exposure_table,3,FALSE)</f>
        <v>760.22808576000011</v>
      </c>
      <c r="U781" s="17">
        <f>IF(MONTH(Table1[[#This Row],[Reporting date]])&lt;Policy_Inception_Month,YEAR(Table1[[#This Row],[Reporting date]])-1,YEAR(Table1[[#This Row],[Reporting date]]))</f>
        <v>2009</v>
      </c>
      <c r="V781" s="17">
        <f>Table1[[#This Row],[Reporting year]]-Table1[[#This Row],[Policy Year]]</f>
        <v>0</v>
      </c>
      <c r="W781" s="17">
        <f>INT(Table1[[#This Row],[Reporting date]])-INT(Table1[[#This Row],[Loss date]])</f>
        <v>171</v>
      </c>
      <c r="X781" s="17">
        <f>INT((YEAR(Table1[[#This Row],[Loss date]])*12+MONTH(Table1[[#This Row],[Loss date]])-Earliest_Month)/4)</f>
        <v>13</v>
      </c>
      <c r="Y781" s="17">
        <f>INT((YEAR(Table1[[#This Row],[Reporting date]])*12+MONTH(Table1[[#This Row],[Reporting date]])-Earliest_Month)/4)</f>
        <v>14</v>
      </c>
      <c r="Z781" s="17">
        <f>Table1[[#This Row],[Reporting third]]-Table1[[#This Row],[Policy third]]</f>
        <v>1</v>
      </c>
      <c r="AA781" s="71">
        <f>IF(Table1[[#This Row],[Overall amount]]=0,"N/A",Table1[[#This Row],[Outstanding]]/Table1[[#This Row],[Overall amount]])</f>
        <v>0</v>
      </c>
      <c r="AB781" s="17">
        <f>IF(MONTH(Table1[[#This Row],[Loss date]])&lt;Pol_Inc_Month_Shifted,YEAR(Table1[[#This Row],[Loss date]])-1,YEAR(Table1[[#This Row],[Loss date]]))</f>
        <v>2008</v>
      </c>
      <c r="AC781" s="17">
        <f>IF(MONTH(Table1[[#This Row],[Reporting date]])&lt;Pol_Inc_Month_Shifted,YEAR(Table1[[#This Row],[Reporting date]])-1,YEAR(Table1[[#This Row],[Reporting date]]))</f>
        <v>2009</v>
      </c>
      <c r="AD781" s="17">
        <f>Table1[[#This Row],[Reporting year (shifted)]]-Table1[[#This Row],[Policy Year (shifted)]]</f>
        <v>1</v>
      </c>
    </row>
    <row r="782" spans="1:30" ht="13.9">
      <c r="A782" s="8" t="s">
        <v>2552</v>
      </c>
      <c r="B782" s="8" t="s">
        <v>834</v>
      </c>
      <c r="C782" s="8" t="s">
        <v>123</v>
      </c>
      <c r="D782" s="9">
        <v>40321</v>
      </c>
      <c r="E782" s="9">
        <v>40553</v>
      </c>
      <c r="F782" s="17">
        <f>IF(MONTH(Table1[[#This Row],[Loss date]])&lt;Policy_Inception_Month,YEAR(Table1[[#This Row],[Loss date]])-1,YEAR(Table1[[#This Row],[Loss date]]))</f>
        <v>2010</v>
      </c>
      <c r="G782" s="10" t="s">
        <v>125</v>
      </c>
      <c r="H782" s="10" t="s">
        <v>2</v>
      </c>
      <c r="I782" s="11">
        <v>1004.7980842851551</v>
      </c>
      <c r="J782" s="11">
        <v>0</v>
      </c>
      <c r="K782" s="11">
        <v>1004.7980842851551</v>
      </c>
      <c r="L782" s="12">
        <v>0</v>
      </c>
      <c r="M782" s="12">
        <v>0</v>
      </c>
      <c r="N782" s="12">
        <v>1004.7980842851551</v>
      </c>
      <c r="O782" s="70">
        <f>IF(Table1[[#This Row],[Overall amount]]=0,0,1)</f>
        <v>1</v>
      </c>
      <c r="P782" s="70">
        <f>Table1[[#This Row],[Overall amount]]*Exchange_Rate</f>
        <v>1004.7980842851551</v>
      </c>
      <c r="Q782" s="70">
        <f>Table1[[#This Row],[Overall (destination currency)]]*(1+Claims_Inflation)^((Revalue_at_date-Table1[[#This Row],[Loss date]])/365.25)</f>
        <v>1305</v>
      </c>
      <c r="R782" s="70">
        <f>INT(Table1[[#This Row],[Reporting date]])-INT(Table1[[#This Row],[Loss date]])</f>
        <v>232</v>
      </c>
      <c r="S782" s="69" t="s">
        <v>9</v>
      </c>
      <c r="T782" s="70">
        <f>VLOOKUP(Table1[[#This Row],[Policy Year]],exposure_table,3,FALSE)</f>
        <v>837.11513600000012</v>
      </c>
      <c r="U782" s="17">
        <f>IF(MONTH(Table1[[#This Row],[Reporting date]])&lt;Policy_Inception_Month,YEAR(Table1[[#This Row],[Reporting date]])-1,YEAR(Table1[[#This Row],[Reporting date]]))</f>
        <v>2010</v>
      </c>
      <c r="V782" s="17">
        <f>Table1[[#This Row],[Reporting year]]-Table1[[#This Row],[Policy Year]]</f>
        <v>0</v>
      </c>
      <c r="W782" s="17">
        <f>INT(Table1[[#This Row],[Reporting date]])-INT(Table1[[#This Row],[Loss date]])</f>
        <v>232</v>
      </c>
      <c r="X782" s="17">
        <f>INT((YEAR(Table1[[#This Row],[Loss date]])*12+MONTH(Table1[[#This Row],[Loss date]])-Earliest_Month)/4)</f>
        <v>15</v>
      </c>
      <c r="Y782" s="17">
        <f>INT((YEAR(Table1[[#This Row],[Reporting date]])*12+MONTH(Table1[[#This Row],[Reporting date]])-Earliest_Month)/4)</f>
        <v>17</v>
      </c>
      <c r="Z782" s="17">
        <f>Table1[[#This Row],[Reporting third]]-Table1[[#This Row],[Policy third]]</f>
        <v>2</v>
      </c>
      <c r="AA782" s="71">
        <f>IF(Table1[[#This Row],[Overall amount]]=0,"N/A",Table1[[#This Row],[Outstanding]]/Table1[[#This Row],[Overall amount]])</f>
        <v>0</v>
      </c>
      <c r="AB782" s="17">
        <f>IF(MONTH(Table1[[#This Row],[Loss date]])&lt;Pol_Inc_Month_Shifted,YEAR(Table1[[#This Row],[Loss date]])-1,YEAR(Table1[[#This Row],[Loss date]]))</f>
        <v>2009</v>
      </c>
      <c r="AC782" s="17">
        <f>IF(MONTH(Table1[[#This Row],[Reporting date]])&lt;Pol_Inc_Month_Shifted,YEAR(Table1[[#This Row],[Reporting date]])-1,YEAR(Table1[[#This Row],[Reporting date]]))</f>
        <v>2010</v>
      </c>
      <c r="AD782" s="17">
        <f>Table1[[#This Row],[Reporting year (shifted)]]-Table1[[#This Row],[Policy Year (shifted)]]</f>
        <v>1</v>
      </c>
    </row>
    <row r="783" spans="1:30" ht="13.9">
      <c r="A783" s="8" t="s">
        <v>2553</v>
      </c>
      <c r="B783" s="8" t="s">
        <v>835</v>
      </c>
      <c r="C783" s="8" t="s">
        <v>123</v>
      </c>
      <c r="D783" s="9">
        <v>39838</v>
      </c>
      <c r="E783" s="9">
        <v>40327</v>
      </c>
      <c r="F783" s="17">
        <f>IF(MONTH(Table1[[#This Row],[Loss date]])&lt;Policy_Inception_Month,YEAR(Table1[[#This Row],[Loss date]])-1,YEAR(Table1[[#This Row],[Loss date]]))</f>
        <v>2008</v>
      </c>
      <c r="G783" s="10" t="s">
        <v>125</v>
      </c>
      <c r="H783" s="10" t="s">
        <v>2</v>
      </c>
      <c r="I783" s="11">
        <v>3128.9322935310256</v>
      </c>
      <c r="J783" s="11">
        <v>0</v>
      </c>
      <c r="K783" s="11">
        <v>3128.9322935310256</v>
      </c>
      <c r="L783" s="12">
        <v>0</v>
      </c>
      <c r="M783" s="12">
        <v>0</v>
      </c>
      <c r="N783" s="12">
        <v>3128.9322935310256</v>
      </c>
      <c r="O783" s="70">
        <f>IF(Table1[[#This Row],[Overall amount]]=0,0,1)</f>
        <v>1</v>
      </c>
      <c r="P783" s="70">
        <f>Table1[[#This Row],[Overall amount]]*Exchange_Rate</f>
        <v>3128.9322935310256</v>
      </c>
      <c r="Q783" s="70">
        <f>Table1[[#This Row],[Overall (destination currency)]]*(1+Claims_Inflation)^((Revalue_at_date-Table1[[#This Row],[Loss date]])/365.25)</f>
        <v>4334.5919999999996</v>
      </c>
      <c r="R783" s="70">
        <f>INT(Table1[[#This Row],[Reporting date]])-INT(Table1[[#This Row],[Loss date]])</f>
        <v>489</v>
      </c>
      <c r="S783" s="69" t="s">
        <v>9</v>
      </c>
      <c r="T783" s="70">
        <f>VLOOKUP(Table1[[#This Row],[Policy Year]],exposure_table,3,FALSE)</f>
        <v>601.98581780480015</v>
      </c>
      <c r="U783" s="17">
        <f>IF(MONTH(Table1[[#This Row],[Reporting date]])&lt;Policy_Inception_Month,YEAR(Table1[[#This Row],[Reporting date]])-1,YEAR(Table1[[#This Row],[Reporting date]]))</f>
        <v>2010</v>
      </c>
      <c r="V783" s="17">
        <f>Table1[[#This Row],[Reporting year]]-Table1[[#This Row],[Policy Year]]</f>
        <v>2</v>
      </c>
      <c r="W783" s="17">
        <f>INT(Table1[[#This Row],[Reporting date]])-INT(Table1[[#This Row],[Loss date]])</f>
        <v>489</v>
      </c>
      <c r="X783" s="17">
        <f>INT((YEAR(Table1[[#This Row],[Loss date]])*12+MONTH(Table1[[#This Row],[Loss date]])-Earliest_Month)/4)</f>
        <v>11</v>
      </c>
      <c r="Y783" s="17">
        <f>INT((YEAR(Table1[[#This Row],[Reporting date]])*12+MONTH(Table1[[#This Row],[Reporting date]])-Earliest_Month)/4)</f>
        <v>15</v>
      </c>
      <c r="Z783" s="17">
        <f>Table1[[#This Row],[Reporting third]]-Table1[[#This Row],[Policy third]]</f>
        <v>4</v>
      </c>
      <c r="AA783" s="71">
        <f>IF(Table1[[#This Row],[Overall amount]]=0,"N/A",Table1[[#This Row],[Outstanding]]/Table1[[#This Row],[Overall amount]])</f>
        <v>0</v>
      </c>
      <c r="AB783" s="17">
        <f>IF(MONTH(Table1[[#This Row],[Loss date]])&lt;Pol_Inc_Month_Shifted,YEAR(Table1[[#This Row],[Loss date]])-1,YEAR(Table1[[#This Row],[Loss date]]))</f>
        <v>2008</v>
      </c>
      <c r="AC783" s="17">
        <f>IF(MONTH(Table1[[#This Row],[Reporting date]])&lt;Pol_Inc_Month_Shifted,YEAR(Table1[[#This Row],[Reporting date]])-1,YEAR(Table1[[#This Row],[Reporting date]]))</f>
        <v>2009</v>
      </c>
      <c r="AD783" s="17">
        <f>Table1[[#This Row],[Reporting year (shifted)]]-Table1[[#This Row],[Policy Year (shifted)]]</f>
        <v>1</v>
      </c>
    </row>
    <row r="784" spans="1:30" ht="13.9">
      <c r="A784" s="8" t="s">
        <v>2554</v>
      </c>
      <c r="B784" s="8" t="s">
        <v>836</v>
      </c>
      <c r="C784" s="8" t="s">
        <v>123</v>
      </c>
      <c r="D784" s="9">
        <v>40275</v>
      </c>
      <c r="E784" s="9">
        <v>40370</v>
      </c>
      <c r="F784" s="17">
        <f>IF(MONTH(Table1[[#This Row],[Loss date]])&lt;Policy_Inception_Month,YEAR(Table1[[#This Row],[Loss date]])-1,YEAR(Table1[[#This Row],[Loss date]]))</f>
        <v>2010</v>
      </c>
      <c r="G784" s="10" t="s">
        <v>126</v>
      </c>
      <c r="H784" s="10" t="s">
        <v>2</v>
      </c>
      <c r="I784" s="11">
        <v>852.17522622011904</v>
      </c>
      <c r="J784" s="11">
        <v>0</v>
      </c>
      <c r="K784" s="11">
        <v>852.17522622011904</v>
      </c>
      <c r="L784" s="12">
        <v>0</v>
      </c>
      <c r="M784" s="12">
        <v>0</v>
      </c>
      <c r="N784" s="12">
        <v>852.17522622011904</v>
      </c>
      <c r="O784" s="70">
        <f>IF(Table1[[#This Row],[Overall amount]]=0,0,1)</f>
        <v>1</v>
      </c>
      <c r="P784" s="70">
        <f>Table1[[#This Row],[Overall amount]]*Exchange_Rate</f>
        <v>852.17522622011904</v>
      </c>
      <c r="Q784" s="70">
        <f>Table1[[#This Row],[Overall (destination currency)]]*(1+Claims_Inflation)^((Revalue_at_date-Table1[[#This Row],[Loss date]])/365.25)</f>
        <v>1113.5999999999999</v>
      </c>
      <c r="R784" s="70">
        <f>INT(Table1[[#This Row],[Reporting date]])-INT(Table1[[#This Row],[Loss date]])</f>
        <v>95</v>
      </c>
      <c r="S784" s="69" t="s">
        <v>9</v>
      </c>
      <c r="T784" s="70">
        <f>VLOOKUP(Table1[[#This Row],[Policy Year]],exposure_table,3,FALSE)</f>
        <v>837.11513600000012</v>
      </c>
      <c r="U784" s="17">
        <f>IF(MONTH(Table1[[#This Row],[Reporting date]])&lt;Policy_Inception_Month,YEAR(Table1[[#This Row],[Reporting date]])-1,YEAR(Table1[[#This Row],[Reporting date]]))</f>
        <v>2010</v>
      </c>
      <c r="V784" s="17">
        <f>Table1[[#This Row],[Reporting year]]-Table1[[#This Row],[Policy Year]]</f>
        <v>0</v>
      </c>
      <c r="W784" s="17">
        <f>INT(Table1[[#This Row],[Reporting date]])-INT(Table1[[#This Row],[Loss date]])</f>
        <v>95</v>
      </c>
      <c r="X784" s="17">
        <f>INT((YEAR(Table1[[#This Row],[Loss date]])*12+MONTH(Table1[[#This Row],[Loss date]])-Earliest_Month)/4)</f>
        <v>15</v>
      </c>
      <c r="Y784" s="17">
        <f>INT((YEAR(Table1[[#This Row],[Reporting date]])*12+MONTH(Table1[[#This Row],[Reporting date]])-Earliest_Month)/4)</f>
        <v>15</v>
      </c>
      <c r="Z784" s="17">
        <f>Table1[[#This Row],[Reporting third]]-Table1[[#This Row],[Policy third]]</f>
        <v>0</v>
      </c>
      <c r="AA784" s="71">
        <f>IF(Table1[[#This Row],[Overall amount]]=0,"N/A",Table1[[#This Row],[Outstanding]]/Table1[[#This Row],[Overall amount]])</f>
        <v>0</v>
      </c>
      <c r="AB784" s="17">
        <f>IF(MONTH(Table1[[#This Row],[Loss date]])&lt;Pol_Inc_Month_Shifted,YEAR(Table1[[#This Row],[Loss date]])-1,YEAR(Table1[[#This Row],[Loss date]]))</f>
        <v>2009</v>
      </c>
      <c r="AC784" s="17">
        <f>IF(MONTH(Table1[[#This Row],[Reporting date]])&lt;Pol_Inc_Month_Shifted,YEAR(Table1[[#This Row],[Reporting date]])-1,YEAR(Table1[[#This Row],[Reporting date]]))</f>
        <v>2009</v>
      </c>
      <c r="AD784" s="17">
        <f>Table1[[#This Row],[Reporting year (shifted)]]-Table1[[#This Row],[Policy Year (shifted)]]</f>
        <v>0</v>
      </c>
    </row>
    <row r="785" spans="1:30" ht="13.9">
      <c r="A785" s="8" t="s">
        <v>2555</v>
      </c>
      <c r="B785" s="8" t="s">
        <v>837</v>
      </c>
      <c r="C785" s="8" t="s">
        <v>123</v>
      </c>
      <c r="D785" s="9">
        <v>40298</v>
      </c>
      <c r="E785" s="9">
        <v>40319</v>
      </c>
      <c r="F785" s="17">
        <f>IF(MONTH(Table1[[#This Row],[Loss date]])&lt;Policy_Inception_Month,YEAR(Table1[[#This Row],[Loss date]])-1,YEAR(Table1[[#This Row],[Loss date]]))</f>
        <v>2010</v>
      </c>
      <c r="G785" s="10" t="s">
        <v>125</v>
      </c>
      <c r="H785" s="10" t="s">
        <v>2</v>
      </c>
      <c r="I785" s="11">
        <v>654.45428085634956</v>
      </c>
      <c r="J785" s="11">
        <v>0</v>
      </c>
      <c r="K785" s="11">
        <v>654.45428085634956</v>
      </c>
      <c r="L785" s="12">
        <v>0</v>
      </c>
      <c r="M785" s="12">
        <v>0</v>
      </c>
      <c r="N785" s="12">
        <v>654.45428085634956</v>
      </c>
      <c r="O785" s="70">
        <f>IF(Table1[[#This Row],[Overall amount]]=0,0,1)</f>
        <v>1</v>
      </c>
      <c r="P785" s="70">
        <f>Table1[[#This Row],[Overall amount]]*Exchange_Rate</f>
        <v>654.45428085634956</v>
      </c>
      <c r="Q785" s="70">
        <f>Table1[[#This Row],[Overall (destination currency)]]*(1+Claims_Inflation)^((Revalue_at_date-Table1[[#This Row],[Loss date]])/365.25)</f>
        <v>852.6</v>
      </c>
      <c r="R785" s="70">
        <f>INT(Table1[[#This Row],[Reporting date]])-INT(Table1[[#This Row],[Loss date]])</f>
        <v>21</v>
      </c>
      <c r="S785" s="69" t="s">
        <v>9</v>
      </c>
      <c r="T785" s="70">
        <f>VLOOKUP(Table1[[#This Row],[Policy Year]],exposure_table,3,FALSE)</f>
        <v>837.11513600000012</v>
      </c>
      <c r="U785" s="17">
        <f>IF(MONTH(Table1[[#This Row],[Reporting date]])&lt;Policy_Inception_Month,YEAR(Table1[[#This Row],[Reporting date]])-1,YEAR(Table1[[#This Row],[Reporting date]]))</f>
        <v>2010</v>
      </c>
      <c r="V785" s="17">
        <f>Table1[[#This Row],[Reporting year]]-Table1[[#This Row],[Policy Year]]</f>
        <v>0</v>
      </c>
      <c r="W785" s="17">
        <f>INT(Table1[[#This Row],[Reporting date]])-INT(Table1[[#This Row],[Loss date]])</f>
        <v>21</v>
      </c>
      <c r="X785" s="17">
        <f>INT((YEAR(Table1[[#This Row],[Loss date]])*12+MONTH(Table1[[#This Row],[Loss date]])-Earliest_Month)/4)</f>
        <v>15</v>
      </c>
      <c r="Y785" s="17">
        <f>INT((YEAR(Table1[[#This Row],[Reporting date]])*12+MONTH(Table1[[#This Row],[Reporting date]])-Earliest_Month)/4)</f>
        <v>15</v>
      </c>
      <c r="Z785" s="17">
        <f>Table1[[#This Row],[Reporting third]]-Table1[[#This Row],[Policy third]]</f>
        <v>0</v>
      </c>
      <c r="AA785" s="71">
        <f>IF(Table1[[#This Row],[Overall amount]]=0,"N/A",Table1[[#This Row],[Outstanding]]/Table1[[#This Row],[Overall amount]])</f>
        <v>0</v>
      </c>
      <c r="AB785" s="17">
        <f>IF(MONTH(Table1[[#This Row],[Loss date]])&lt;Pol_Inc_Month_Shifted,YEAR(Table1[[#This Row],[Loss date]])-1,YEAR(Table1[[#This Row],[Loss date]]))</f>
        <v>2009</v>
      </c>
      <c r="AC785" s="17">
        <f>IF(MONTH(Table1[[#This Row],[Reporting date]])&lt;Pol_Inc_Month_Shifted,YEAR(Table1[[#This Row],[Reporting date]])-1,YEAR(Table1[[#This Row],[Reporting date]]))</f>
        <v>2009</v>
      </c>
      <c r="AD785" s="17">
        <f>Table1[[#This Row],[Reporting year (shifted)]]-Table1[[#This Row],[Policy Year (shifted)]]</f>
        <v>0</v>
      </c>
    </row>
    <row r="786" spans="1:30" ht="13.9">
      <c r="A786" s="8" t="s">
        <v>2556</v>
      </c>
      <c r="B786" s="8" t="s">
        <v>838</v>
      </c>
      <c r="C786" s="8" t="s">
        <v>123</v>
      </c>
      <c r="D786" s="9">
        <v>40120</v>
      </c>
      <c r="E786" s="9">
        <v>40567</v>
      </c>
      <c r="F786" s="17">
        <f>IF(MONTH(Table1[[#This Row],[Loss date]])&lt;Policy_Inception_Month,YEAR(Table1[[#This Row],[Loss date]])-1,YEAR(Table1[[#This Row],[Loss date]]))</f>
        <v>2009</v>
      </c>
      <c r="G786" s="10" t="s">
        <v>125</v>
      </c>
      <c r="H786" s="10" t="s">
        <v>2</v>
      </c>
      <c r="I786" s="11">
        <v>130.42381335095567</v>
      </c>
      <c r="J786" s="11">
        <v>0</v>
      </c>
      <c r="K786" s="11">
        <v>130.42381335095567</v>
      </c>
      <c r="L786" s="12">
        <v>0</v>
      </c>
      <c r="M786" s="12">
        <v>8.7383954945140285</v>
      </c>
      <c r="N786" s="12">
        <v>121.68541785644165</v>
      </c>
      <c r="O786" s="70">
        <f>IF(Table1[[#This Row],[Overall amount]]=0,0,1)</f>
        <v>1</v>
      </c>
      <c r="P786" s="70">
        <f>Table1[[#This Row],[Overall amount]]*Exchange_Rate</f>
        <v>121.68541785644165</v>
      </c>
      <c r="Q786" s="70">
        <f>Table1[[#This Row],[Overall (destination currency)]]*(1+Claims_Inflation)^((Revalue_at_date-Table1[[#This Row],[Loss date]])/365.25)</f>
        <v>162.34200000000001</v>
      </c>
      <c r="R786" s="70">
        <f>INT(Table1[[#This Row],[Reporting date]])-INT(Table1[[#This Row],[Loss date]])</f>
        <v>447</v>
      </c>
      <c r="S786" s="69" t="s">
        <v>9</v>
      </c>
      <c r="T786" s="70">
        <f>VLOOKUP(Table1[[#This Row],[Policy Year]],exposure_table,3,FALSE)</f>
        <v>760.22808576000011</v>
      </c>
      <c r="U786" s="17">
        <f>IF(MONTH(Table1[[#This Row],[Reporting date]])&lt;Policy_Inception_Month,YEAR(Table1[[#This Row],[Reporting date]])-1,YEAR(Table1[[#This Row],[Reporting date]]))</f>
        <v>2010</v>
      </c>
      <c r="V786" s="17">
        <f>Table1[[#This Row],[Reporting year]]-Table1[[#This Row],[Policy Year]]</f>
        <v>1</v>
      </c>
      <c r="W786" s="17">
        <f>INT(Table1[[#This Row],[Reporting date]])-INT(Table1[[#This Row],[Loss date]])</f>
        <v>447</v>
      </c>
      <c r="X786" s="17">
        <f>INT((YEAR(Table1[[#This Row],[Loss date]])*12+MONTH(Table1[[#This Row],[Loss date]])-Earliest_Month)/4)</f>
        <v>13</v>
      </c>
      <c r="Y786" s="17">
        <f>INT((YEAR(Table1[[#This Row],[Reporting date]])*12+MONTH(Table1[[#This Row],[Reporting date]])-Earliest_Month)/4)</f>
        <v>17</v>
      </c>
      <c r="Z786" s="17">
        <f>Table1[[#This Row],[Reporting third]]-Table1[[#This Row],[Policy third]]</f>
        <v>4</v>
      </c>
      <c r="AA786" s="71">
        <f>IF(Table1[[#This Row],[Overall amount]]=0,"N/A",Table1[[#This Row],[Outstanding]]/Table1[[#This Row],[Overall amount]])</f>
        <v>0</v>
      </c>
      <c r="AB786" s="17">
        <f>IF(MONTH(Table1[[#This Row],[Loss date]])&lt;Pol_Inc_Month_Shifted,YEAR(Table1[[#This Row],[Loss date]])-1,YEAR(Table1[[#This Row],[Loss date]]))</f>
        <v>2008</v>
      </c>
      <c r="AC786" s="17">
        <f>IF(MONTH(Table1[[#This Row],[Reporting date]])&lt;Pol_Inc_Month_Shifted,YEAR(Table1[[#This Row],[Reporting date]])-1,YEAR(Table1[[#This Row],[Reporting date]]))</f>
        <v>2010</v>
      </c>
      <c r="AD786" s="17">
        <f>Table1[[#This Row],[Reporting year (shifted)]]-Table1[[#This Row],[Policy Year (shifted)]]</f>
        <v>2</v>
      </c>
    </row>
    <row r="787" spans="1:30" ht="13.9">
      <c r="A787" s="8" t="s">
        <v>2557</v>
      </c>
      <c r="B787" s="8" t="s">
        <v>839</v>
      </c>
      <c r="C787" s="8" t="s">
        <v>123</v>
      </c>
      <c r="D787" s="9">
        <v>40378</v>
      </c>
      <c r="E787" s="9">
        <v>40586</v>
      </c>
      <c r="F787" s="17">
        <f>IF(MONTH(Table1[[#This Row],[Loss date]])&lt;Policy_Inception_Month,YEAR(Table1[[#This Row],[Loss date]])-1,YEAR(Table1[[#This Row],[Loss date]]))</f>
        <v>2010</v>
      </c>
      <c r="G787" s="10" t="s">
        <v>125</v>
      </c>
      <c r="H787" s="10" t="s">
        <v>2</v>
      </c>
      <c r="I787" s="11">
        <v>6236.5472465993607</v>
      </c>
      <c r="J787" s="11">
        <v>0</v>
      </c>
      <c r="K787" s="11">
        <v>6236.5472465993607</v>
      </c>
      <c r="L787" s="12">
        <v>0</v>
      </c>
      <c r="M787" s="12">
        <v>0</v>
      </c>
      <c r="N787" s="12">
        <v>6236.5472465993607</v>
      </c>
      <c r="O787" s="70">
        <f>IF(Table1[[#This Row],[Overall amount]]=0,0,1)</f>
        <v>1</v>
      </c>
      <c r="P787" s="70">
        <f>Table1[[#This Row],[Overall amount]]*Exchange_Rate</f>
        <v>6236.5472465993607</v>
      </c>
      <c r="Q787" s="70">
        <f>Table1[[#This Row],[Overall (destination currency)]]*(1+Claims_Inflation)^((Revalue_at_date-Table1[[#This Row],[Loss date]])/365.25)</f>
        <v>8038.3920000000026</v>
      </c>
      <c r="R787" s="70">
        <f>INT(Table1[[#This Row],[Reporting date]])-INT(Table1[[#This Row],[Loss date]])</f>
        <v>208</v>
      </c>
      <c r="S787" s="69" t="s">
        <v>9</v>
      </c>
      <c r="T787" s="70">
        <f>VLOOKUP(Table1[[#This Row],[Policy Year]],exposure_table,3,FALSE)</f>
        <v>837.11513600000012</v>
      </c>
      <c r="U787" s="17">
        <f>IF(MONTH(Table1[[#This Row],[Reporting date]])&lt;Policy_Inception_Month,YEAR(Table1[[#This Row],[Reporting date]])-1,YEAR(Table1[[#This Row],[Reporting date]]))</f>
        <v>2010</v>
      </c>
      <c r="V787" s="17">
        <f>Table1[[#This Row],[Reporting year]]-Table1[[#This Row],[Policy Year]]</f>
        <v>0</v>
      </c>
      <c r="W787" s="17">
        <f>INT(Table1[[#This Row],[Reporting date]])-INT(Table1[[#This Row],[Loss date]])</f>
        <v>208</v>
      </c>
      <c r="X787" s="17">
        <f>INT((YEAR(Table1[[#This Row],[Loss date]])*12+MONTH(Table1[[#This Row],[Loss date]])-Earliest_Month)/4)</f>
        <v>15</v>
      </c>
      <c r="Y787" s="17">
        <f>INT((YEAR(Table1[[#This Row],[Reporting date]])*12+MONTH(Table1[[#This Row],[Reporting date]])-Earliest_Month)/4)</f>
        <v>17</v>
      </c>
      <c r="Z787" s="17">
        <f>Table1[[#This Row],[Reporting third]]-Table1[[#This Row],[Policy third]]</f>
        <v>2</v>
      </c>
      <c r="AA787" s="71">
        <f>IF(Table1[[#This Row],[Overall amount]]=0,"N/A",Table1[[#This Row],[Outstanding]]/Table1[[#This Row],[Overall amount]])</f>
        <v>0</v>
      </c>
      <c r="AB787" s="17">
        <f>IF(MONTH(Table1[[#This Row],[Loss date]])&lt;Pol_Inc_Month_Shifted,YEAR(Table1[[#This Row],[Loss date]])-1,YEAR(Table1[[#This Row],[Loss date]]))</f>
        <v>2009</v>
      </c>
      <c r="AC787" s="17">
        <f>IF(MONTH(Table1[[#This Row],[Reporting date]])&lt;Pol_Inc_Month_Shifted,YEAR(Table1[[#This Row],[Reporting date]])-1,YEAR(Table1[[#This Row],[Reporting date]]))</f>
        <v>2010</v>
      </c>
      <c r="AD787" s="17">
        <f>Table1[[#This Row],[Reporting year (shifted)]]-Table1[[#This Row],[Policy Year (shifted)]]</f>
        <v>1</v>
      </c>
    </row>
    <row r="788" spans="1:30" ht="13.9">
      <c r="A788" s="8" t="s">
        <v>2558</v>
      </c>
      <c r="B788" s="8" t="s">
        <v>840</v>
      </c>
      <c r="C788" s="8" t="s">
        <v>123</v>
      </c>
      <c r="D788" s="9">
        <v>40529</v>
      </c>
      <c r="E788" s="9">
        <v>40594</v>
      </c>
      <c r="F788" s="17">
        <f>IF(MONTH(Table1[[#This Row],[Loss date]])&lt;Policy_Inception_Month,YEAR(Table1[[#This Row],[Loss date]])-1,YEAR(Table1[[#This Row],[Loss date]]))</f>
        <v>2010</v>
      </c>
      <c r="G788" s="10" t="s">
        <v>125</v>
      </c>
      <c r="H788" s="10" t="s">
        <v>2</v>
      </c>
      <c r="I788" s="11">
        <v>592.31498977053138</v>
      </c>
      <c r="J788" s="11">
        <v>0</v>
      </c>
      <c r="K788" s="11">
        <v>592.31498977053138</v>
      </c>
      <c r="L788" s="12">
        <v>0</v>
      </c>
      <c r="M788" s="12">
        <v>28.431119508985503</v>
      </c>
      <c r="N788" s="12">
        <v>563.88387026154589</v>
      </c>
      <c r="O788" s="70">
        <f>IF(Table1[[#This Row],[Overall amount]]=0,0,1)</f>
        <v>1</v>
      </c>
      <c r="P788" s="70">
        <f>Table1[[#This Row],[Overall amount]]*Exchange_Rate</f>
        <v>563.88387026154589</v>
      </c>
      <c r="Q788" s="70">
        <f>Table1[[#This Row],[Overall (destination currency)]]*(1+Claims_Inflation)^((Revalue_at_date-Table1[[#This Row],[Loss date]])/365.25)</f>
        <v>712.28639999999996</v>
      </c>
      <c r="R788" s="70">
        <f>INT(Table1[[#This Row],[Reporting date]])-INT(Table1[[#This Row],[Loss date]])</f>
        <v>65</v>
      </c>
      <c r="S788" s="69" t="s">
        <v>9</v>
      </c>
      <c r="T788" s="70">
        <f>VLOOKUP(Table1[[#This Row],[Policy Year]],exposure_table,3,FALSE)</f>
        <v>837.11513600000012</v>
      </c>
      <c r="U788" s="17">
        <f>IF(MONTH(Table1[[#This Row],[Reporting date]])&lt;Policy_Inception_Month,YEAR(Table1[[#This Row],[Reporting date]])-1,YEAR(Table1[[#This Row],[Reporting date]]))</f>
        <v>2010</v>
      </c>
      <c r="V788" s="17">
        <f>Table1[[#This Row],[Reporting year]]-Table1[[#This Row],[Policy Year]]</f>
        <v>0</v>
      </c>
      <c r="W788" s="17">
        <f>INT(Table1[[#This Row],[Reporting date]])-INT(Table1[[#This Row],[Loss date]])</f>
        <v>65</v>
      </c>
      <c r="X788" s="17">
        <f>INT((YEAR(Table1[[#This Row],[Loss date]])*12+MONTH(Table1[[#This Row],[Loss date]])-Earliest_Month)/4)</f>
        <v>17</v>
      </c>
      <c r="Y788" s="17">
        <f>INT((YEAR(Table1[[#This Row],[Reporting date]])*12+MONTH(Table1[[#This Row],[Reporting date]])-Earliest_Month)/4)</f>
        <v>17</v>
      </c>
      <c r="Z788" s="17">
        <f>Table1[[#This Row],[Reporting third]]-Table1[[#This Row],[Policy third]]</f>
        <v>0</v>
      </c>
      <c r="AA788" s="71">
        <f>IF(Table1[[#This Row],[Overall amount]]=0,"N/A",Table1[[#This Row],[Outstanding]]/Table1[[#This Row],[Overall amount]])</f>
        <v>0</v>
      </c>
      <c r="AB788" s="17">
        <f>IF(MONTH(Table1[[#This Row],[Loss date]])&lt;Pol_Inc_Month_Shifted,YEAR(Table1[[#This Row],[Loss date]])-1,YEAR(Table1[[#This Row],[Loss date]]))</f>
        <v>2010</v>
      </c>
      <c r="AC788" s="17">
        <f>IF(MONTH(Table1[[#This Row],[Reporting date]])&lt;Pol_Inc_Month_Shifted,YEAR(Table1[[#This Row],[Reporting date]])-1,YEAR(Table1[[#This Row],[Reporting date]]))</f>
        <v>2010</v>
      </c>
      <c r="AD788" s="17">
        <f>Table1[[#This Row],[Reporting year (shifted)]]-Table1[[#This Row],[Policy Year (shifted)]]</f>
        <v>0</v>
      </c>
    </row>
    <row r="789" spans="1:30" ht="13.9">
      <c r="A789" s="8" t="s">
        <v>2559</v>
      </c>
      <c r="B789" s="8" t="s">
        <v>841</v>
      </c>
      <c r="C789" s="8" t="s">
        <v>123</v>
      </c>
      <c r="D789" s="9">
        <v>40269</v>
      </c>
      <c r="E789" s="9">
        <v>40601</v>
      </c>
      <c r="F789" s="17">
        <f>IF(MONTH(Table1[[#This Row],[Loss date]])&lt;Policy_Inception_Month,YEAR(Table1[[#This Row],[Loss date]])-1,YEAR(Table1[[#This Row],[Loss date]]))</f>
        <v>2010</v>
      </c>
      <c r="G789" s="10" t="s">
        <v>125</v>
      </c>
      <c r="H789" s="10" t="s">
        <v>2</v>
      </c>
      <c r="I789" s="11">
        <v>239.48226491770393</v>
      </c>
      <c r="J789" s="11">
        <v>0</v>
      </c>
      <c r="K789" s="11">
        <v>239.48226491770393</v>
      </c>
      <c r="L789" s="12">
        <v>0</v>
      </c>
      <c r="M789" s="12">
        <v>0</v>
      </c>
      <c r="N789" s="12">
        <v>239.48226491770393</v>
      </c>
      <c r="O789" s="70">
        <f>IF(Table1[[#This Row],[Overall amount]]=0,0,1)</f>
        <v>1</v>
      </c>
      <c r="P789" s="70">
        <f>Table1[[#This Row],[Overall amount]]*Exchange_Rate</f>
        <v>239.48226491770393</v>
      </c>
      <c r="Q789" s="70">
        <f>Table1[[#This Row],[Overall (destination currency)]]*(1+Claims_Inflation)^((Revalue_at_date-Table1[[#This Row],[Loss date]])/365.25)</f>
        <v>313.2</v>
      </c>
      <c r="R789" s="70">
        <f>INT(Table1[[#This Row],[Reporting date]])-INT(Table1[[#This Row],[Loss date]])</f>
        <v>332</v>
      </c>
      <c r="S789" s="69" t="s">
        <v>9</v>
      </c>
      <c r="T789" s="70">
        <f>VLOOKUP(Table1[[#This Row],[Policy Year]],exposure_table,3,FALSE)</f>
        <v>837.11513600000012</v>
      </c>
      <c r="U789" s="17">
        <f>IF(MONTH(Table1[[#This Row],[Reporting date]])&lt;Policy_Inception_Month,YEAR(Table1[[#This Row],[Reporting date]])-1,YEAR(Table1[[#This Row],[Reporting date]]))</f>
        <v>2010</v>
      </c>
      <c r="V789" s="17">
        <f>Table1[[#This Row],[Reporting year]]-Table1[[#This Row],[Policy Year]]</f>
        <v>0</v>
      </c>
      <c r="W789" s="17">
        <f>INT(Table1[[#This Row],[Reporting date]])-INT(Table1[[#This Row],[Loss date]])</f>
        <v>332</v>
      </c>
      <c r="X789" s="17">
        <f>INT((YEAR(Table1[[#This Row],[Loss date]])*12+MONTH(Table1[[#This Row],[Loss date]])-Earliest_Month)/4)</f>
        <v>15</v>
      </c>
      <c r="Y789" s="17">
        <f>INT((YEAR(Table1[[#This Row],[Reporting date]])*12+MONTH(Table1[[#This Row],[Reporting date]])-Earliest_Month)/4)</f>
        <v>17</v>
      </c>
      <c r="Z789" s="17">
        <f>Table1[[#This Row],[Reporting third]]-Table1[[#This Row],[Policy third]]</f>
        <v>2</v>
      </c>
      <c r="AA789" s="71">
        <f>IF(Table1[[#This Row],[Overall amount]]=0,"N/A",Table1[[#This Row],[Outstanding]]/Table1[[#This Row],[Overall amount]])</f>
        <v>0</v>
      </c>
      <c r="AB789" s="17">
        <f>IF(MONTH(Table1[[#This Row],[Loss date]])&lt;Pol_Inc_Month_Shifted,YEAR(Table1[[#This Row],[Loss date]])-1,YEAR(Table1[[#This Row],[Loss date]]))</f>
        <v>2009</v>
      </c>
      <c r="AC789" s="17">
        <f>IF(MONTH(Table1[[#This Row],[Reporting date]])&lt;Pol_Inc_Month_Shifted,YEAR(Table1[[#This Row],[Reporting date]])-1,YEAR(Table1[[#This Row],[Reporting date]]))</f>
        <v>2010</v>
      </c>
      <c r="AD789" s="17">
        <f>Table1[[#This Row],[Reporting year (shifted)]]-Table1[[#This Row],[Policy Year (shifted)]]</f>
        <v>1</v>
      </c>
    </row>
    <row r="790" spans="1:30" ht="13.9">
      <c r="A790" s="8" t="s">
        <v>2560</v>
      </c>
      <c r="B790" s="8" t="s">
        <v>842</v>
      </c>
      <c r="C790" s="8" t="s">
        <v>123</v>
      </c>
      <c r="D790" s="9">
        <v>40595</v>
      </c>
      <c r="E790" s="9">
        <v>40620</v>
      </c>
      <c r="F790" s="17">
        <f>IF(MONTH(Table1[[#This Row],[Loss date]])&lt;Policy_Inception_Month,YEAR(Table1[[#This Row],[Loss date]])-1,YEAR(Table1[[#This Row],[Loss date]]))</f>
        <v>2010</v>
      </c>
      <c r="G790" s="10" t="s">
        <v>125</v>
      </c>
      <c r="H790" s="10" t="s">
        <v>2</v>
      </c>
      <c r="I790" s="11">
        <v>8157.150592428341</v>
      </c>
      <c r="J790" s="11">
        <v>0</v>
      </c>
      <c r="K790" s="11">
        <v>8157.150592428341</v>
      </c>
      <c r="L790" s="12">
        <v>0</v>
      </c>
      <c r="M790" s="12">
        <v>497.58618613812877</v>
      </c>
      <c r="N790" s="12">
        <v>7659.564406290212</v>
      </c>
      <c r="O790" s="70">
        <f>IF(Table1[[#This Row],[Overall amount]]=0,0,1)</f>
        <v>1</v>
      </c>
      <c r="P790" s="70">
        <f>Table1[[#This Row],[Overall amount]]*Exchange_Rate</f>
        <v>7659.564406290212</v>
      </c>
      <c r="Q790" s="70">
        <f>Table1[[#This Row],[Overall (destination currency)]]*(1+Claims_Inflation)^((Revalue_at_date-Table1[[#This Row],[Loss date]])/365.25)</f>
        <v>9590.4765000000007</v>
      </c>
      <c r="R790" s="70">
        <f>INT(Table1[[#This Row],[Reporting date]])-INT(Table1[[#This Row],[Loss date]])</f>
        <v>25</v>
      </c>
      <c r="S790" s="69" t="s">
        <v>9</v>
      </c>
      <c r="T790" s="70">
        <f>VLOOKUP(Table1[[#This Row],[Policy Year]],exposure_table,3,FALSE)</f>
        <v>837.11513600000012</v>
      </c>
      <c r="U790" s="17">
        <f>IF(MONTH(Table1[[#This Row],[Reporting date]])&lt;Policy_Inception_Month,YEAR(Table1[[#This Row],[Reporting date]])-1,YEAR(Table1[[#This Row],[Reporting date]]))</f>
        <v>2010</v>
      </c>
      <c r="V790" s="17">
        <f>Table1[[#This Row],[Reporting year]]-Table1[[#This Row],[Policy Year]]</f>
        <v>0</v>
      </c>
      <c r="W790" s="17">
        <f>INT(Table1[[#This Row],[Reporting date]])-INT(Table1[[#This Row],[Loss date]])</f>
        <v>25</v>
      </c>
      <c r="X790" s="17">
        <f>INT((YEAR(Table1[[#This Row],[Loss date]])*12+MONTH(Table1[[#This Row],[Loss date]])-Earliest_Month)/4)</f>
        <v>17</v>
      </c>
      <c r="Y790" s="17">
        <f>INT((YEAR(Table1[[#This Row],[Reporting date]])*12+MONTH(Table1[[#This Row],[Reporting date]])-Earliest_Month)/4)</f>
        <v>17</v>
      </c>
      <c r="Z790" s="17">
        <f>Table1[[#This Row],[Reporting third]]-Table1[[#This Row],[Policy third]]</f>
        <v>0</v>
      </c>
      <c r="AA790" s="71">
        <f>IF(Table1[[#This Row],[Overall amount]]=0,"N/A",Table1[[#This Row],[Outstanding]]/Table1[[#This Row],[Overall amount]])</f>
        <v>0</v>
      </c>
      <c r="AB790" s="17">
        <f>IF(MONTH(Table1[[#This Row],[Loss date]])&lt;Pol_Inc_Month_Shifted,YEAR(Table1[[#This Row],[Loss date]])-1,YEAR(Table1[[#This Row],[Loss date]]))</f>
        <v>2010</v>
      </c>
      <c r="AC790" s="17">
        <f>IF(MONTH(Table1[[#This Row],[Reporting date]])&lt;Pol_Inc_Month_Shifted,YEAR(Table1[[#This Row],[Reporting date]])-1,YEAR(Table1[[#This Row],[Reporting date]]))</f>
        <v>2010</v>
      </c>
      <c r="AD790" s="17">
        <f>Table1[[#This Row],[Reporting year (shifted)]]-Table1[[#This Row],[Policy Year (shifted)]]</f>
        <v>0</v>
      </c>
    </row>
    <row r="791" spans="1:30" ht="13.9">
      <c r="A791" s="8" t="s">
        <v>2561</v>
      </c>
      <c r="B791" s="8" t="s">
        <v>843</v>
      </c>
      <c r="C791" s="8" t="s">
        <v>123</v>
      </c>
      <c r="D791" s="9">
        <v>40607</v>
      </c>
      <c r="E791" s="9">
        <v>40628</v>
      </c>
      <c r="F791" s="17">
        <f>IF(MONTH(Table1[[#This Row],[Loss date]])&lt;Policy_Inception_Month,YEAR(Table1[[#This Row],[Loss date]])-1,YEAR(Table1[[#This Row],[Loss date]]))</f>
        <v>2010</v>
      </c>
      <c r="G791" s="10" t="s">
        <v>125</v>
      </c>
      <c r="H791" s="10" t="s">
        <v>2</v>
      </c>
      <c r="I791" s="11">
        <v>640.27585457465091</v>
      </c>
      <c r="J791" s="11">
        <v>0</v>
      </c>
      <c r="K791" s="11">
        <v>640.27585457465091</v>
      </c>
      <c r="L791" s="12">
        <v>0</v>
      </c>
      <c r="M791" s="12">
        <v>0</v>
      </c>
      <c r="N791" s="12">
        <v>640.27585457465091</v>
      </c>
      <c r="O791" s="70">
        <f>IF(Table1[[#This Row],[Overall amount]]=0,0,1)</f>
        <v>1</v>
      </c>
      <c r="P791" s="70">
        <f>Table1[[#This Row],[Overall amount]]*Exchange_Rate</f>
        <v>640.27585457465091</v>
      </c>
      <c r="Q791" s="70">
        <f>Table1[[#This Row],[Overall (destination currency)]]*(1+Claims_Inflation)^((Revalue_at_date-Table1[[#This Row],[Loss date]])/365.25)</f>
        <v>800.4</v>
      </c>
      <c r="R791" s="70">
        <f>INT(Table1[[#This Row],[Reporting date]])-INT(Table1[[#This Row],[Loss date]])</f>
        <v>21</v>
      </c>
      <c r="S791" s="69" t="s">
        <v>9</v>
      </c>
      <c r="T791" s="70">
        <f>VLOOKUP(Table1[[#This Row],[Policy Year]],exposure_table,3,FALSE)</f>
        <v>837.11513600000012</v>
      </c>
      <c r="U791" s="17">
        <f>IF(MONTH(Table1[[#This Row],[Reporting date]])&lt;Policy_Inception_Month,YEAR(Table1[[#This Row],[Reporting date]])-1,YEAR(Table1[[#This Row],[Reporting date]]))</f>
        <v>2010</v>
      </c>
      <c r="V791" s="17">
        <f>Table1[[#This Row],[Reporting year]]-Table1[[#This Row],[Policy Year]]</f>
        <v>0</v>
      </c>
      <c r="W791" s="17">
        <f>INT(Table1[[#This Row],[Reporting date]])-INT(Table1[[#This Row],[Loss date]])</f>
        <v>21</v>
      </c>
      <c r="X791" s="17">
        <f>INT((YEAR(Table1[[#This Row],[Loss date]])*12+MONTH(Table1[[#This Row],[Loss date]])-Earliest_Month)/4)</f>
        <v>17</v>
      </c>
      <c r="Y791" s="17">
        <f>INT((YEAR(Table1[[#This Row],[Reporting date]])*12+MONTH(Table1[[#This Row],[Reporting date]])-Earliest_Month)/4)</f>
        <v>17</v>
      </c>
      <c r="Z791" s="17">
        <f>Table1[[#This Row],[Reporting third]]-Table1[[#This Row],[Policy third]]</f>
        <v>0</v>
      </c>
      <c r="AA791" s="71">
        <f>IF(Table1[[#This Row],[Overall amount]]=0,"N/A",Table1[[#This Row],[Outstanding]]/Table1[[#This Row],[Overall amount]])</f>
        <v>0</v>
      </c>
      <c r="AB791" s="17">
        <f>IF(MONTH(Table1[[#This Row],[Loss date]])&lt;Pol_Inc_Month_Shifted,YEAR(Table1[[#This Row],[Loss date]])-1,YEAR(Table1[[#This Row],[Loss date]]))</f>
        <v>2010</v>
      </c>
      <c r="AC791" s="17">
        <f>IF(MONTH(Table1[[#This Row],[Reporting date]])&lt;Pol_Inc_Month_Shifted,YEAR(Table1[[#This Row],[Reporting date]])-1,YEAR(Table1[[#This Row],[Reporting date]]))</f>
        <v>2010</v>
      </c>
      <c r="AD791" s="17">
        <f>Table1[[#This Row],[Reporting year (shifted)]]-Table1[[#This Row],[Policy Year (shifted)]]</f>
        <v>0</v>
      </c>
    </row>
    <row r="792" spans="1:30" ht="13.9">
      <c r="A792" s="8" t="s">
        <v>2562</v>
      </c>
      <c r="B792" s="8" t="s">
        <v>844</v>
      </c>
      <c r="C792" s="8" t="s">
        <v>123</v>
      </c>
      <c r="D792" s="9">
        <v>40294</v>
      </c>
      <c r="E792" s="9">
        <v>40637</v>
      </c>
      <c r="F792" s="17">
        <f>IF(MONTH(Table1[[#This Row],[Loss date]])&lt;Policy_Inception_Month,YEAR(Table1[[#This Row],[Loss date]])-1,YEAR(Table1[[#This Row],[Loss date]]))</f>
        <v>2010</v>
      </c>
      <c r="G792" s="10" t="s">
        <v>125</v>
      </c>
      <c r="H792" s="10" t="s">
        <v>2</v>
      </c>
      <c r="I792" s="11">
        <v>3619.9101554364483</v>
      </c>
      <c r="J792" s="11">
        <v>0</v>
      </c>
      <c r="K792" s="11">
        <v>3619.9101554364483</v>
      </c>
      <c r="L792" s="12">
        <v>0</v>
      </c>
      <c r="M792" s="12">
        <v>0</v>
      </c>
      <c r="N792" s="12">
        <v>3619.9101554364483</v>
      </c>
      <c r="O792" s="70">
        <f>IF(Table1[[#This Row],[Overall amount]]=0,0,1)</f>
        <v>1</v>
      </c>
      <c r="P792" s="70">
        <f>Table1[[#This Row],[Overall amount]]*Exchange_Rate</f>
        <v>3619.9101554364483</v>
      </c>
      <c r="Q792" s="70">
        <f>Table1[[#This Row],[Overall (destination currency)]]*(1+Claims_Inflation)^((Revalue_at_date-Table1[[#This Row],[Loss date]])/365.25)</f>
        <v>4718.4120000000003</v>
      </c>
      <c r="R792" s="70">
        <f>INT(Table1[[#This Row],[Reporting date]])-INT(Table1[[#This Row],[Loss date]])</f>
        <v>343</v>
      </c>
      <c r="S792" s="69" t="s">
        <v>9</v>
      </c>
      <c r="T792" s="70">
        <f>VLOOKUP(Table1[[#This Row],[Policy Year]],exposure_table,3,FALSE)</f>
        <v>837.11513600000012</v>
      </c>
      <c r="U792" s="17">
        <f>IF(MONTH(Table1[[#This Row],[Reporting date]])&lt;Policy_Inception_Month,YEAR(Table1[[#This Row],[Reporting date]])-1,YEAR(Table1[[#This Row],[Reporting date]]))</f>
        <v>2011</v>
      </c>
      <c r="V792" s="17">
        <f>Table1[[#This Row],[Reporting year]]-Table1[[#This Row],[Policy Year]]</f>
        <v>1</v>
      </c>
      <c r="W792" s="17">
        <f>INT(Table1[[#This Row],[Reporting date]])-INT(Table1[[#This Row],[Loss date]])</f>
        <v>343</v>
      </c>
      <c r="X792" s="17">
        <f>INT((YEAR(Table1[[#This Row],[Loss date]])*12+MONTH(Table1[[#This Row],[Loss date]])-Earliest_Month)/4)</f>
        <v>15</v>
      </c>
      <c r="Y792" s="17">
        <f>INT((YEAR(Table1[[#This Row],[Reporting date]])*12+MONTH(Table1[[#This Row],[Reporting date]])-Earliest_Month)/4)</f>
        <v>18</v>
      </c>
      <c r="Z792" s="17">
        <f>Table1[[#This Row],[Reporting third]]-Table1[[#This Row],[Policy third]]</f>
        <v>3</v>
      </c>
      <c r="AA792" s="71">
        <f>IF(Table1[[#This Row],[Overall amount]]=0,"N/A",Table1[[#This Row],[Outstanding]]/Table1[[#This Row],[Overall amount]])</f>
        <v>0</v>
      </c>
      <c r="AB792" s="17">
        <f>IF(MONTH(Table1[[#This Row],[Loss date]])&lt;Pol_Inc_Month_Shifted,YEAR(Table1[[#This Row],[Loss date]])-1,YEAR(Table1[[#This Row],[Loss date]]))</f>
        <v>2009</v>
      </c>
      <c r="AC792" s="17">
        <f>IF(MONTH(Table1[[#This Row],[Reporting date]])&lt;Pol_Inc_Month_Shifted,YEAR(Table1[[#This Row],[Reporting date]])-1,YEAR(Table1[[#This Row],[Reporting date]]))</f>
        <v>2010</v>
      </c>
      <c r="AD792" s="17">
        <f>Table1[[#This Row],[Reporting year (shifted)]]-Table1[[#This Row],[Policy Year (shifted)]]</f>
        <v>1</v>
      </c>
    </row>
    <row r="793" spans="1:30" ht="13.9">
      <c r="A793" s="8" t="s">
        <v>2563</v>
      </c>
      <c r="B793" s="8" t="s">
        <v>845</v>
      </c>
      <c r="C793" s="8" t="s">
        <v>123</v>
      </c>
      <c r="D793" s="9">
        <v>39644</v>
      </c>
      <c r="E793" s="9">
        <v>40672</v>
      </c>
      <c r="F793" s="17">
        <f>IF(MONTH(Table1[[#This Row],[Loss date]])&lt;Policy_Inception_Month,YEAR(Table1[[#This Row],[Loss date]])-1,YEAR(Table1[[#This Row],[Loss date]]))</f>
        <v>2008</v>
      </c>
      <c r="G793" s="10" t="s">
        <v>125</v>
      </c>
      <c r="H793" s="10" t="s">
        <v>2</v>
      </c>
      <c r="I793" s="11">
        <v>753.32583622309869</v>
      </c>
      <c r="J793" s="11">
        <v>0</v>
      </c>
      <c r="K793" s="11">
        <v>753.32583622309869</v>
      </c>
      <c r="L793" s="12">
        <v>0</v>
      </c>
      <c r="M793" s="12">
        <v>0</v>
      </c>
      <c r="N793" s="12">
        <v>753.32583622309869</v>
      </c>
      <c r="O793" s="70">
        <f>IF(Table1[[#This Row],[Overall amount]]=0,0,1)</f>
        <v>1</v>
      </c>
      <c r="P793" s="70">
        <f>Table1[[#This Row],[Overall amount]]*Exchange_Rate</f>
        <v>753.32583622309869</v>
      </c>
      <c r="Q793" s="70">
        <f>Table1[[#This Row],[Overall (destination currency)]]*(1+Claims_Inflation)^((Revalue_at_date-Table1[[#This Row],[Loss date]])/365.25)</f>
        <v>1071</v>
      </c>
      <c r="R793" s="70">
        <f>INT(Table1[[#This Row],[Reporting date]])-INT(Table1[[#This Row],[Loss date]])</f>
        <v>1028</v>
      </c>
      <c r="S793" s="69" t="s">
        <v>9</v>
      </c>
      <c r="T793" s="70">
        <f>VLOOKUP(Table1[[#This Row],[Policy Year]],exposure_table,3,FALSE)</f>
        <v>601.98581780480015</v>
      </c>
      <c r="U793" s="17">
        <f>IF(MONTH(Table1[[#This Row],[Reporting date]])&lt;Policy_Inception_Month,YEAR(Table1[[#This Row],[Reporting date]])-1,YEAR(Table1[[#This Row],[Reporting date]]))</f>
        <v>2011</v>
      </c>
      <c r="V793" s="17">
        <f>Table1[[#This Row],[Reporting year]]-Table1[[#This Row],[Policy Year]]</f>
        <v>3</v>
      </c>
      <c r="W793" s="17">
        <f>INT(Table1[[#This Row],[Reporting date]])-INT(Table1[[#This Row],[Loss date]])</f>
        <v>1028</v>
      </c>
      <c r="X793" s="17">
        <f>INT((YEAR(Table1[[#This Row],[Loss date]])*12+MONTH(Table1[[#This Row],[Loss date]])-Earliest_Month)/4)</f>
        <v>9</v>
      </c>
      <c r="Y793" s="17">
        <f>INT((YEAR(Table1[[#This Row],[Reporting date]])*12+MONTH(Table1[[#This Row],[Reporting date]])-Earliest_Month)/4)</f>
        <v>18</v>
      </c>
      <c r="Z793" s="17">
        <f>Table1[[#This Row],[Reporting third]]-Table1[[#This Row],[Policy third]]</f>
        <v>9</v>
      </c>
      <c r="AA793" s="71">
        <f>IF(Table1[[#This Row],[Overall amount]]=0,"N/A",Table1[[#This Row],[Outstanding]]/Table1[[#This Row],[Overall amount]])</f>
        <v>0</v>
      </c>
      <c r="AB793" s="17">
        <f>IF(MONTH(Table1[[#This Row],[Loss date]])&lt;Pol_Inc_Month_Shifted,YEAR(Table1[[#This Row],[Loss date]])-1,YEAR(Table1[[#This Row],[Loss date]]))</f>
        <v>2007</v>
      </c>
      <c r="AC793" s="17">
        <f>IF(MONTH(Table1[[#This Row],[Reporting date]])&lt;Pol_Inc_Month_Shifted,YEAR(Table1[[#This Row],[Reporting date]])-1,YEAR(Table1[[#This Row],[Reporting date]]))</f>
        <v>2010</v>
      </c>
      <c r="AD793" s="17">
        <f>Table1[[#This Row],[Reporting year (shifted)]]-Table1[[#This Row],[Policy Year (shifted)]]</f>
        <v>3</v>
      </c>
    </row>
    <row r="794" spans="1:30" ht="13.9">
      <c r="A794" s="8" t="s">
        <v>2564</v>
      </c>
      <c r="B794" s="8" t="s">
        <v>846</v>
      </c>
      <c r="C794" s="8" t="s">
        <v>123</v>
      </c>
      <c r="D794" s="9">
        <v>40686</v>
      </c>
      <c r="E794" s="9">
        <v>40728</v>
      </c>
      <c r="F794" s="17">
        <f>IF(MONTH(Table1[[#This Row],[Loss date]])&lt;Policy_Inception_Month,YEAR(Table1[[#This Row],[Loss date]])-1,YEAR(Table1[[#This Row],[Loss date]]))</f>
        <v>2011</v>
      </c>
      <c r="G794" s="10" t="s">
        <v>125</v>
      </c>
      <c r="H794" s="10" t="s">
        <v>2</v>
      </c>
      <c r="I794" s="11">
        <v>661.13506045432496</v>
      </c>
      <c r="J794" s="11">
        <v>0</v>
      </c>
      <c r="K794" s="11">
        <v>661.13506045432496</v>
      </c>
      <c r="L794" s="12">
        <v>0</v>
      </c>
      <c r="M794" s="12">
        <v>16.528376511358125</v>
      </c>
      <c r="N794" s="12">
        <v>644.60668394296681</v>
      </c>
      <c r="O794" s="70">
        <f>IF(Table1[[#This Row],[Overall amount]]=0,0,1)</f>
        <v>1</v>
      </c>
      <c r="P794" s="70">
        <f>Table1[[#This Row],[Overall amount]]*Exchange_Rate</f>
        <v>644.60668394296681</v>
      </c>
      <c r="Q794" s="70">
        <f>Table1[[#This Row],[Overall (destination currency)]]*(1+Claims_Inflation)^((Revalue_at_date-Table1[[#This Row],[Loss date]])/365.25)</f>
        <v>797.35500000000002</v>
      </c>
      <c r="R794" s="70">
        <f>INT(Table1[[#This Row],[Reporting date]])-INT(Table1[[#This Row],[Loss date]])</f>
        <v>42</v>
      </c>
      <c r="S794" s="69" t="s">
        <v>9</v>
      </c>
      <c r="T794" s="70">
        <f>VLOOKUP(Table1[[#This Row],[Policy Year]],exposure_table,3,FALSE)</f>
        <v>870.52680000000009</v>
      </c>
      <c r="U794" s="17">
        <f>IF(MONTH(Table1[[#This Row],[Reporting date]])&lt;Policy_Inception_Month,YEAR(Table1[[#This Row],[Reporting date]])-1,YEAR(Table1[[#This Row],[Reporting date]]))</f>
        <v>2011</v>
      </c>
      <c r="V794" s="17">
        <f>Table1[[#This Row],[Reporting year]]-Table1[[#This Row],[Policy Year]]</f>
        <v>0</v>
      </c>
      <c r="W794" s="17">
        <f>INT(Table1[[#This Row],[Reporting date]])-INT(Table1[[#This Row],[Loss date]])</f>
        <v>42</v>
      </c>
      <c r="X794" s="17">
        <f>INT((YEAR(Table1[[#This Row],[Loss date]])*12+MONTH(Table1[[#This Row],[Loss date]])-Earliest_Month)/4)</f>
        <v>18</v>
      </c>
      <c r="Y794" s="17">
        <f>INT((YEAR(Table1[[#This Row],[Reporting date]])*12+MONTH(Table1[[#This Row],[Reporting date]])-Earliest_Month)/4)</f>
        <v>18</v>
      </c>
      <c r="Z794" s="17">
        <f>Table1[[#This Row],[Reporting third]]-Table1[[#This Row],[Policy third]]</f>
        <v>0</v>
      </c>
      <c r="AA794" s="71">
        <f>IF(Table1[[#This Row],[Overall amount]]=0,"N/A",Table1[[#This Row],[Outstanding]]/Table1[[#This Row],[Overall amount]])</f>
        <v>0</v>
      </c>
      <c r="AB794" s="17">
        <f>IF(MONTH(Table1[[#This Row],[Loss date]])&lt;Pol_Inc_Month_Shifted,YEAR(Table1[[#This Row],[Loss date]])-1,YEAR(Table1[[#This Row],[Loss date]]))</f>
        <v>2010</v>
      </c>
      <c r="AC794" s="17">
        <f>IF(MONTH(Table1[[#This Row],[Reporting date]])&lt;Pol_Inc_Month_Shifted,YEAR(Table1[[#This Row],[Reporting date]])-1,YEAR(Table1[[#This Row],[Reporting date]]))</f>
        <v>2010</v>
      </c>
      <c r="AD794" s="17">
        <f>Table1[[#This Row],[Reporting year (shifted)]]-Table1[[#This Row],[Policy Year (shifted)]]</f>
        <v>0</v>
      </c>
    </row>
    <row r="795" spans="1:30" ht="13.9">
      <c r="A795" s="8" t="s">
        <v>2565</v>
      </c>
      <c r="B795" s="8" t="s">
        <v>847</v>
      </c>
      <c r="C795" s="8" t="s">
        <v>123</v>
      </c>
      <c r="D795" s="9">
        <v>40469</v>
      </c>
      <c r="E795" s="9">
        <v>40726</v>
      </c>
      <c r="F795" s="17">
        <f>IF(MONTH(Table1[[#This Row],[Loss date]])&lt;Policy_Inception_Month,YEAR(Table1[[#This Row],[Loss date]])-1,YEAR(Table1[[#This Row],[Loss date]]))</f>
        <v>2010</v>
      </c>
      <c r="G795" s="10" t="s">
        <v>125</v>
      </c>
      <c r="H795" s="10" t="s">
        <v>2</v>
      </c>
      <c r="I795" s="11">
        <v>942.87163400214615</v>
      </c>
      <c r="J795" s="11">
        <v>0</v>
      </c>
      <c r="K795" s="11">
        <v>942.87163400214615</v>
      </c>
      <c r="L795" s="12">
        <v>141.36006506778804</v>
      </c>
      <c r="M795" s="12">
        <v>0</v>
      </c>
      <c r="N795" s="12">
        <v>1084.2316990699342</v>
      </c>
      <c r="O795" s="70">
        <f>IF(Table1[[#This Row],[Overall amount]]=0,0,1)</f>
        <v>1</v>
      </c>
      <c r="P795" s="70">
        <f>Table1[[#This Row],[Overall amount]]*Exchange_Rate</f>
        <v>1084.2316990699342</v>
      </c>
      <c r="Q795" s="70">
        <f>Table1[[#This Row],[Overall (destination currency)]]*(1+Claims_Inflation)^((Revalue_at_date-Table1[[#This Row],[Loss date]])/365.25)</f>
        <v>1380.6</v>
      </c>
      <c r="R795" s="70">
        <f>INT(Table1[[#This Row],[Reporting date]])-INT(Table1[[#This Row],[Loss date]])</f>
        <v>257</v>
      </c>
      <c r="S795" s="69" t="s">
        <v>9</v>
      </c>
      <c r="T795" s="70">
        <f>VLOOKUP(Table1[[#This Row],[Policy Year]],exposure_table,3,FALSE)</f>
        <v>837.11513600000012</v>
      </c>
      <c r="U795" s="17">
        <f>IF(MONTH(Table1[[#This Row],[Reporting date]])&lt;Policy_Inception_Month,YEAR(Table1[[#This Row],[Reporting date]])-1,YEAR(Table1[[#This Row],[Reporting date]]))</f>
        <v>2011</v>
      </c>
      <c r="V795" s="17">
        <f>Table1[[#This Row],[Reporting year]]-Table1[[#This Row],[Policy Year]]</f>
        <v>1</v>
      </c>
      <c r="W795" s="17">
        <f>INT(Table1[[#This Row],[Reporting date]])-INT(Table1[[#This Row],[Loss date]])</f>
        <v>257</v>
      </c>
      <c r="X795" s="17">
        <f>INT((YEAR(Table1[[#This Row],[Loss date]])*12+MONTH(Table1[[#This Row],[Loss date]])-Earliest_Month)/4)</f>
        <v>16</v>
      </c>
      <c r="Y795" s="17">
        <f>INT((YEAR(Table1[[#This Row],[Reporting date]])*12+MONTH(Table1[[#This Row],[Reporting date]])-Earliest_Month)/4)</f>
        <v>18</v>
      </c>
      <c r="Z795" s="17">
        <f>Table1[[#This Row],[Reporting third]]-Table1[[#This Row],[Policy third]]</f>
        <v>2</v>
      </c>
      <c r="AA795" s="71">
        <f>IF(Table1[[#This Row],[Overall amount]]=0,"N/A",Table1[[#This Row],[Outstanding]]/Table1[[#This Row],[Overall amount]])</f>
        <v>0</v>
      </c>
      <c r="AB795" s="17">
        <f>IF(MONTH(Table1[[#This Row],[Loss date]])&lt;Pol_Inc_Month_Shifted,YEAR(Table1[[#This Row],[Loss date]])-1,YEAR(Table1[[#This Row],[Loss date]]))</f>
        <v>2009</v>
      </c>
      <c r="AC795" s="17">
        <f>IF(MONTH(Table1[[#This Row],[Reporting date]])&lt;Pol_Inc_Month_Shifted,YEAR(Table1[[#This Row],[Reporting date]])-1,YEAR(Table1[[#This Row],[Reporting date]]))</f>
        <v>2010</v>
      </c>
      <c r="AD795" s="17">
        <f>Table1[[#This Row],[Reporting year (shifted)]]-Table1[[#This Row],[Policy Year (shifted)]]</f>
        <v>1</v>
      </c>
    </row>
    <row r="796" spans="1:30" ht="13.9">
      <c r="A796" s="8" t="s">
        <v>2566</v>
      </c>
      <c r="B796" s="8" t="s">
        <v>848</v>
      </c>
      <c r="C796" s="8" t="s">
        <v>123</v>
      </c>
      <c r="D796" s="9">
        <v>38492</v>
      </c>
      <c r="E796" s="9">
        <v>38616</v>
      </c>
      <c r="F796" s="17">
        <f>IF(MONTH(Table1[[#This Row],[Loss date]])&lt;Policy_Inception_Month,YEAR(Table1[[#This Row],[Loss date]])-1,YEAR(Table1[[#This Row],[Loss date]]))</f>
        <v>2005</v>
      </c>
      <c r="G796" s="10" t="s">
        <v>125</v>
      </c>
      <c r="H796" s="10" t="s">
        <v>2</v>
      </c>
      <c r="I796" s="11">
        <v>548.90740089644282</v>
      </c>
      <c r="J796" s="11">
        <v>0</v>
      </c>
      <c r="K796" s="11">
        <v>548.90740089644282</v>
      </c>
      <c r="L796" s="12">
        <v>0</v>
      </c>
      <c r="M796" s="12">
        <v>0</v>
      </c>
      <c r="N796" s="12">
        <v>548.90740089644282</v>
      </c>
      <c r="O796" s="70">
        <f>IF(Table1[[#This Row],[Overall amount]]=0,0,1)</f>
        <v>1</v>
      </c>
      <c r="P796" s="70">
        <f>Table1[[#This Row],[Overall amount]]*Exchange_Rate</f>
        <v>548.90740089644282</v>
      </c>
      <c r="Q796" s="70">
        <f>Table1[[#This Row],[Overall (destination currency)]]*(1+Claims_Inflation)^((Revalue_at_date-Table1[[#This Row],[Loss date]])/365.25)</f>
        <v>910.2</v>
      </c>
      <c r="R796" s="70">
        <f>INT(Table1[[#This Row],[Reporting date]])-INT(Table1[[#This Row],[Loss date]])</f>
        <v>124</v>
      </c>
      <c r="S796" s="69" t="s">
        <v>9</v>
      </c>
      <c r="T796" s="70">
        <f>VLOOKUP(Table1[[#This Row],[Policy Year]],exposure_table,3,FALSE)</f>
        <v>409.50481038040112</v>
      </c>
      <c r="U796" s="17">
        <f>IF(MONTH(Table1[[#This Row],[Reporting date]])&lt;Policy_Inception_Month,YEAR(Table1[[#This Row],[Reporting date]])-1,YEAR(Table1[[#This Row],[Reporting date]]))</f>
        <v>2005</v>
      </c>
      <c r="V796" s="17">
        <f>Table1[[#This Row],[Reporting year]]-Table1[[#This Row],[Policy Year]]</f>
        <v>0</v>
      </c>
      <c r="W796" s="17">
        <f>INT(Table1[[#This Row],[Reporting date]])-INT(Table1[[#This Row],[Loss date]])</f>
        <v>124</v>
      </c>
      <c r="X796" s="17">
        <f>INT((YEAR(Table1[[#This Row],[Loss date]])*12+MONTH(Table1[[#This Row],[Loss date]])-Earliest_Month)/4)</f>
        <v>0</v>
      </c>
      <c r="Y796" s="17">
        <f>INT((YEAR(Table1[[#This Row],[Reporting date]])*12+MONTH(Table1[[#This Row],[Reporting date]])-Earliest_Month)/4)</f>
        <v>1</v>
      </c>
      <c r="Z796" s="17">
        <f>Table1[[#This Row],[Reporting third]]-Table1[[#This Row],[Policy third]]</f>
        <v>1</v>
      </c>
      <c r="AA796" s="71">
        <f>IF(Table1[[#This Row],[Overall amount]]=0,"N/A",Table1[[#This Row],[Outstanding]]/Table1[[#This Row],[Overall amount]])</f>
        <v>0</v>
      </c>
      <c r="AB796" s="17">
        <f>IF(MONTH(Table1[[#This Row],[Loss date]])&lt;Pol_Inc_Month_Shifted,YEAR(Table1[[#This Row],[Loss date]])-1,YEAR(Table1[[#This Row],[Loss date]]))</f>
        <v>2004</v>
      </c>
      <c r="AC796" s="17">
        <f>IF(MONTH(Table1[[#This Row],[Reporting date]])&lt;Pol_Inc_Month_Shifted,YEAR(Table1[[#This Row],[Reporting date]])-1,YEAR(Table1[[#This Row],[Reporting date]]))</f>
        <v>2004</v>
      </c>
      <c r="AD796" s="17">
        <f>Table1[[#This Row],[Reporting year (shifted)]]-Table1[[#This Row],[Policy Year (shifted)]]</f>
        <v>0</v>
      </c>
    </row>
    <row r="797" spans="1:30" ht="13.9">
      <c r="A797" s="8" t="s">
        <v>2567</v>
      </c>
      <c r="B797" s="8" t="s">
        <v>849</v>
      </c>
      <c r="C797" s="8" t="s">
        <v>123</v>
      </c>
      <c r="D797" s="9">
        <v>38485</v>
      </c>
      <c r="E797" s="9">
        <v>38608</v>
      </c>
      <c r="F797" s="17">
        <f>IF(MONTH(Table1[[#This Row],[Loss date]])&lt;Policy_Inception_Month,YEAR(Table1[[#This Row],[Loss date]])-1,YEAR(Table1[[#This Row],[Loss date]]))</f>
        <v>2005</v>
      </c>
      <c r="G797" s="10" t="s">
        <v>125</v>
      </c>
      <c r="H797" s="10" t="s">
        <v>2</v>
      </c>
      <c r="I797" s="11">
        <v>3305.1371320312101</v>
      </c>
      <c r="J797" s="11">
        <v>0</v>
      </c>
      <c r="K797" s="11">
        <v>3305.1371320312101</v>
      </c>
      <c r="L797" s="12">
        <v>0</v>
      </c>
      <c r="M797" s="12">
        <v>0</v>
      </c>
      <c r="N797" s="12">
        <v>3305.1371320312101</v>
      </c>
      <c r="O797" s="70">
        <f>IF(Table1[[#This Row],[Overall amount]]=0,0,1)</f>
        <v>1</v>
      </c>
      <c r="P797" s="70">
        <f>Table1[[#This Row],[Overall amount]]*Exchange_Rate</f>
        <v>3305.1371320312101</v>
      </c>
      <c r="Q797" s="70">
        <f>Table1[[#This Row],[Overall (destination currency)]]*(1+Claims_Inflation)^((Revalue_at_date-Table1[[#This Row],[Loss date]])/365.25)</f>
        <v>5485.7160000000003</v>
      </c>
      <c r="R797" s="70">
        <f>INT(Table1[[#This Row],[Reporting date]])-INT(Table1[[#This Row],[Loss date]])</f>
        <v>123</v>
      </c>
      <c r="S797" s="69" t="s">
        <v>9</v>
      </c>
      <c r="T797" s="70">
        <f>VLOOKUP(Table1[[#This Row],[Policy Year]],exposure_table,3,FALSE)</f>
        <v>409.50481038040112</v>
      </c>
      <c r="U797" s="17">
        <f>IF(MONTH(Table1[[#This Row],[Reporting date]])&lt;Policy_Inception_Month,YEAR(Table1[[#This Row],[Reporting date]])-1,YEAR(Table1[[#This Row],[Reporting date]]))</f>
        <v>2005</v>
      </c>
      <c r="V797" s="17">
        <f>Table1[[#This Row],[Reporting year]]-Table1[[#This Row],[Policy Year]]</f>
        <v>0</v>
      </c>
      <c r="W797" s="17">
        <f>INT(Table1[[#This Row],[Reporting date]])-INT(Table1[[#This Row],[Loss date]])</f>
        <v>123</v>
      </c>
      <c r="X797" s="17">
        <f>INT((YEAR(Table1[[#This Row],[Loss date]])*12+MONTH(Table1[[#This Row],[Loss date]])-Earliest_Month)/4)</f>
        <v>0</v>
      </c>
      <c r="Y797" s="17">
        <f>INT((YEAR(Table1[[#This Row],[Reporting date]])*12+MONTH(Table1[[#This Row],[Reporting date]])-Earliest_Month)/4)</f>
        <v>1</v>
      </c>
      <c r="Z797" s="17">
        <f>Table1[[#This Row],[Reporting third]]-Table1[[#This Row],[Policy third]]</f>
        <v>1</v>
      </c>
      <c r="AA797" s="71">
        <f>IF(Table1[[#This Row],[Overall amount]]=0,"N/A",Table1[[#This Row],[Outstanding]]/Table1[[#This Row],[Overall amount]])</f>
        <v>0</v>
      </c>
      <c r="AB797" s="17">
        <f>IF(MONTH(Table1[[#This Row],[Loss date]])&lt;Pol_Inc_Month_Shifted,YEAR(Table1[[#This Row],[Loss date]])-1,YEAR(Table1[[#This Row],[Loss date]]))</f>
        <v>2004</v>
      </c>
      <c r="AC797" s="17">
        <f>IF(MONTH(Table1[[#This Row],[Reporting date]])&lt;Pol_Inc_Month_Shifted,YEAR(Table1[[#This Row],[Reporting date]])-1,YEAR(Table1[[#This Row],[Reporting date]]))</f>
        <v>2004</v>
      </c>
      <c r="AD797" s="17">
        <f>Table1[[#This Row],[Reporting year (shifted)]]-Table1[[#This Row],[Policy Year (shifted)]]</f>
        <v>0</v>
      </c>
    </row>
    <row r="798" spans="1:30" ht="13.9">
      <c r="A798" s="8" t="s">
        <v>2568</v>
      </c>
      <c r="B798" s="8" t="s">
        <v>850</v>
      </c>
      <c r="C798" s="8" t="s">
        <v>123</v>
      </c>
      <c r="D798" s="9">
        <v>38553</v>
      </c>
      <c r="E798" s="9">
        <v>38648</v>
      </c>
      <c r="F798" s="17">
        <f>IF(MONTH(Table1[[#This Row],[Loss date]])&lt;Policy_Inception_Month,YEAR(Table1[[#This Row],[Loss date]])-1,YEAR(Table1[[#This Row],[Loss date]]))</f>
        <v>2005</v>
      </c>
      <c r="G798" s="10" t="s">
        <v>125</v>
      </c>
      <c r="H798" s="10" t="s">
        <v>2</v>
      </c>
      <c r="I798" s="11">
        <v>8140.8295146027394</v>
      </c>
      <c r="J798" s="11">
        <v>0</v>
      </c>
      <c r="K798" s="11">
        <v>8140.8295146027394</v>
      </c>
      <c r="L798" s="12">
        <v>0</v>
      </c>
      <c r="M798" s="12">
        <v>740.81548582884943</v>
      </c>
      <c r="N798" s="12">
        <v>7400.0140287738905</v>
      </c>
      <c r="O798" s="70">
        <f>IF(Table1[[#This Row],[Overall amount]]=0,0,1)</f>
        <v>1</v>
      </c>
      <c r="P798" s="70">
        <f>Table1[[#This Row],[Overall amount]]*Exchange_Rate</f>
        <v>7400.0140287738905</v>
      </c>
      <c r="Q798" s="70">
        <f>Table1[[#This Row],[Overall (destination currency)]]*(1+Claims_Inflation)^((Revalue_at_date-Table1[[#This Row],[Loss date]])/365.25)</f>
        <v>12171.1464</v>
      </c>
      <c r="R798" s="70">
        <f>INT(Table1[[#This Row],[Reporting date]])-INT(Table1[[#This Row],[Loss date]])</f>
        <v>95</v>
      </c>
      <c r="S798" s="69" t="s">
        <v>9</v>
      </c>
      <c r="T798" s="70">
        <f>VLOOKUP(Table1[[#This Row],[Policy Year]],exposure_table,3,FALSE)</f>
        <v>409.50481038040112</v>
      </c>
      <c r="U798" s="17">
        <f>IF(MONTH(Table1[[#This Row],[Reporting date]])&lt;Policy_Inception_Month,YEAR(Table1[[#This Row],[Reporting date]])-1,YEAR(Table1[[#This Row],[Reporting date]]))</f>
        <v>2005</v>
      </c>
      <c r="V798" s="17">
        <f>Table1[[#This Row],[Reporting year]]-Table1[[#This Row],[Policy Year]]</f>
        <v>0</v>
      </c>
      <c r="W798" s="17">
        <f>INT(Table1[[#This Row],[Reporting date]])-INT(Table1[[#This Row],[Loss date]])</f>
        <v>95</v>
      </c>
      <c r="X798" s="17">
        <f>INT((YEAR(Table1[[#This Row],[Loss date]])*12+MONTH(Table1[[#This Row],[Loss date]])-Earliest_Month)/4)</f>
        <v>0</v>
      </c>
      <c r="Y798" s="17">
        <f>INT((YEAR(Table1[[#This Row],[Reporting date]])*12+MONTH(Table1[[#This Row],[Reporting date]])-Earliest_Month)/4)</f>
        <v>1</v>
      </c>
      <c r="Z798" s="17">
        <f>Table1[[#This Row],[Reporting third]]-Table1[[#This Row],[Policy third]]</f>
        <v>1</v>
      </c>
      <c r="AA798" s="71">
        <f>IF(Table1[[#This Row],[Overall amount]]=0,"N/A",Table1[[#This Row],[Outstanding]]/Table1[[#This Row],[Overall amount]])</f>
        <v>0</v>
      </c>
      <c r="AB798" s="17">
        <f>IF(MONTH(Table1[[#This Row],[Loss date]])&lt;Pol_Inc_Month_Shifted,YEAR(Table1[[#This Row],[Loss date]])-1,YEAR(Table1[[#This Row],[Loss date]]))</f>
        <v>2004</v>
      </c>
      <c r="AC798" s="17">
        <f>IF(MONTH(Table1[[#This Row],[Reporting date]])&lt;Pol_Inc_Month_Shifted,YEAR(Table1[[#This Row],[Reporting date]])-1,YEAR(Table1[[#This Row],[Reporting date]]))</f>
        <v>2004</v>
      </c>
      <c r="AD798" s="17">
        <f>Table1[[#This Row],[Reporting year (shifted)]]-Table1[[#This Row],[Policy Year (shifted)]]</f>
        <v>0</v>
      </c>
    </row>
    <row r="799" spans="1:30" ht="13.9">
      <c r="A799" s="8" t="s">
        <v>2569</v>
      </c>
      <c r="B799" s="8" t="s">
        <v>851</v>
      </c>
      <c r="C799" s="8" t="s">
        <v>123</v>
      </c>
      <c r="D799" s="9">
        <v>38529</v>
      </c>
      <c r="E799" s="9">
        <v>38619</v>
      </c>
      <c r="F799" s="17">
        <f>IF(MONTH(Table1[[#This Row],[Loss date]])&lt;Policy_Inception_Month,YEAR(Table1[[#This Row],[Loss date]])-1,YEAR(Table1[[#This Row],[Loss date]]))</f>
        <v>2005</v>
      </c>
      <c r="G799" s="10" t="s">
        <v>125</v>
      </c>
      <c r="H799" s="10" t="s">
        <v>2</v>
      </c>
      <c r="I799" s="11">
        <v>3226.2365721744641</v>
      </c>
      <c r="J799" s="11">
        <v>0</v>
      </c>
      <c r="K799" s="11">
        <v>3226.2365721744641</v>
      </c>
      <c r="L799" s="12">
        <v>0</v>
      </c>
      <c r="M799" s="12">
        <v>0</v>
      </c>
      <c r="N799" s="12">
        <v>3226.2365721744641</v>
      </c>
      <c r="O799" s="70">
        <f>IF(Table1[[#This Row],[Overall amount]]=0,0,1)</f>
        <v>1</v>
      </c>
      <c r="P799" s="70">
        <f>Table1[[#This Row],[Overall amount]]*Exchange_Rate</f>
        <v>3226.2365721744641</v>
      </c>
      <c r="Q799" s="70">
        <f>Table1[[#This Row],[Overall (destination currency)]]*(1+Claims_Inflation)^((Revalue_at_date-Table1[[#This Row],[Loss date]])/365.25)</f>
        <v>5323.3799999999992</v>
      </c>
      <c r="R799" s="70">
        <f>INT(Table1[[#This Row],[Reporting date]])-INT(Table1[[#This Row],[Loss date]])</f>
        <v>90</v>
      </c>
      <c r="S799" s="69" t="s">
        <v>9</v>
      </c>
      <c r="T799" s="70">
        <f>VLOOKUP(Table1[[#This Row],[Policy Year]],exposure_table,3,FALSE)</f>
        <v>409.50481038040112</v>
      </c>
      <c r="U799" s="17">
        <f>IF(MONTH(Table1[[#This Row],[Reporting date]])&lt;Policy_Inception_Month,YEAR(Table1[[#This Row],[Reporting date]])-1,YEAR(Table1[[#This Row],[Reporting date]]))</f>
        <v>2005</v>
      </c>
      <c r="V799" s="17">
        <f>Table1[[#This Row],[Reporting year]]-Table1[[#This Row],[Policy Year]]</f>
        <v>0</v>
      </c>
      <c r="W799" s="17">
        <f>INT(Table1[[#This Row],[Reporting date]])-INT(Table1[[#This Row],[Loss date]])</f>
        <v>90</v>
      </c>
      <c r="X799" s="17">
        <f>INT((YEAR(Table1[[#This Row],[Loss date]])*12+MONTH(Table1[[#This Row],[Loss date]])-Earliest_Month)/4)</f>
        <v>0</v>
      </c>
      <c r="Y799" s="17">
        <f>INT((YEAR(Table1[[#This Row],[Reporting date]])*12+MONTH(Table1[[#This Row],[Reporting date]])-Earliest_Month)/4)</f>
        <v>1</v>
      </c>
      <c r="Z799" s="17">
        <f>Table1[[#This Row],[Reporting third]]-Table1[[#This Row],[Policy third]]</f>
        <v>1</v>
      </c>
      <c r="AA799" s="71">
        <f>IF(Table1[[#This Row],[Overall amount]]=0,"N/A",Table1[[#This Row],[Outstanding]]/Table1[[#This Row],[Overall amount]])</f>
        <v>0</v>
      </c>
      <c r="AB799" s="17">
        <f>IF(MONTH(Table1[[#This Row],[Loss date]])&lt;Pol_Inc_Month_Shifted,YEAR(Table1[[#This Row],[Loss date]])-1,YEAR(Table1[[#This Row],[Loss date]]))</f>
        <v>2004</v>
      </c>
      <c r="AC799" s="17">
        <f>IF(MONTH(Table1[[#This Row],[Reporting date]])&lt;Pol_Inc_Month_Shifted,YEAR(Table1[[#This Row],[Reporting date]])-1,YEAR(Table1[[#This Row],[Reporting date]]))</f>
        <v>2004</v>
      </c>
      <c r="AD799" s="17">
        <f>Table1[[#This Row],[Reporting year (shifted)]]-Table1[[#This Row],[Policy Year (shifted)]]</f>
        <v>0</v>
      </c>
    </row>
    <row r="800" spans="1:30" ht="13.9">
      <c r="A800" s="8" t="s">
        <v>2570</v>
      </c>
      <c r="B800" s="8" t="s">
        <v>852</v>
      </c>
      <c r="C800" s="8" t="s">
        <v>123</v>
      </c>
      <c r="D800" s="9">
        <v>38553</v>
      </c>
      <c r="E800" s="9">
        <v>38690</v>
      </c>
      <c r="F800" s="17">
        <f>IF(MONTH(Table1[[#This Row],[Loss date]])&lt;Policy_Inception_Month,YEAR(Table1[[#This Row],[Loss date]])-1,YEAR(Table1[[#This Row],[Loss date]]))</f>
        <v>2005</v>
      </c>
      <c r="G800" s="10" t="s">
        <v>125</v>
      </c>
      <c r="H800" s="10" t="s">
        <v>2</v>
      </c>
      <c r="I800" s="11">
        <v>404.2033482151877</v>
      </c>
      <c r="J800" s="11">
        <v>0</v>
      </c>
      <c r="K800" s="11">
        <v>404.2033482151877</v>
      </c>
      <c r="L800" s="12">
        <v>0</v>
      </c>
      <c r="M800" s="12">
        <v>0</v>
      </c>
      <c r="N800" s="12">
        <v>404.2033482151877</v>
      </c>
      <c r="O800" s="70">
        <f>IF(Table1[[#This Row],[Overall amount]]=0,0,1)</f>
        <v>1</v>
      </c>
      <c r="P800" s="70">
        <f>Table1[[#This Row],[Overall amount]]*Exchange_Rate</f>
        <v>404.2033482151877</v>
      </c>
      <c r="Q800" s="70">
        <f>Table1[[#This Row],[Overall (destination currency)]]*(1+Claims_Inflation)^((Revalue_at_date-Table1[[#This Row],[Loss date]])/365.25)</f>
        <v>664.81200000000001</v>
      </c>
      <c r="R800" s="70">
        <f>INT(Table1[[#This Row],[Reporting date]])-INT(Table1[[#This Row],[Loss date]])</f>
        <v>137</v>
      </c>
      <c r="S800" s="69" t="s">
        <v>9</v>
      </c>
      <c r="T800" s="70">
        <f>VLOOKUP(Table1[[#This Row],[Policy Year]],exposure_table,3,FALSE)</f>
        <v>409.50481038040112</v>
      </c>
      <c r="U800" s="17">
        <f>IF(MONTH(Table1[[#This Row],[Reporting date]])&lt;Policy_Inception_Month,YEAR(Table1[[#This Row],[Reporting date]])-1,YEAR(Table1[[#This Row],[Reporting date]]))</f>
        <v>2005</v>
      </c>
      <c r="V800" s="17">
        <f>Table1[[#This Row],[Reporting year]]-Table1[[#This Row],[Policy Year]]</f>
        <v>0</v>
      </c>
      <c r="W800" s="17">
        <f>INT(Table1[[#This Row],[Reporting date]])-INT(Table1[[#This Row],[Loss date]])</f>
        <v>137</v>
      </c>
      <c r="X800" s="17">
        <f>INT((YEAR(Table1[[#This Row],[Loss date]])*12+MONTH(Table1[[#This Row],[Loss date]])-Earliest_Month)/4)</f>
        <v>0</v>
      </c>
      <c r="Y800" s="17">
        <f>INT((YEAR(Table1[[#This Row],[Reporting date]])*12+MONTH(Table1[[#This Row],[Reporting date]])-Earliest_Month)/4)</f>
        <v>2</v>
      </c>
      <c r="Z800" s="17">
        <f>Table1[[#This Row],[Reporting third]]-Table1[[#This Row],[Policy third]]</f>
        <v>2</v>
      </c>
      <c r="AA800" s="71">
        <f>IF(Table1[[#This Row],[Overall amount]]=0,"N/A",Table1[[#This Row],[Outstanding]]/Table1[[#This Row],[Overall amount]])</f>
        <v>0</v>
      </c>
      <c r="AB800" s="17">
        <f>IF(MONTH(Table1[[#This Row],[Loss date]])&lt;Pol_Inc_Month_Shifted,YEAR(Table1[[#This Row],[Loss date]])-1,YEAR(Table1[[#This Row],[Loss date]]))</f>
        <v>2004</v>
      </c>
      <c r="AC800" s="17">
        <f>IF(MONTH(Table1[[#This Row],[Reporting date]])&lt;Pol_Inc_Month_Shifted,YEAR(Table1[[#This Row],[Reporting date]])-1,YEAR(Table1[[#This Row],[Reporting date]]))</f>
        <v>2005</v>
      </c>
      <c r="AD800" s="17">
        <f>Table1[[#This Row],[Reporting year (shifted)]]-Table1[[#This Row],[Policy Year (shifted)]]</f>
        <v>1</v>
      </c>
    </row>
    <row r="801" spans="1:30" ht="13.9">
      <c r="A801" s="8" t="s">
        <v>2571</v>
      </c>
      <c r="B801" s="8" t="s">
        <v>853</v>
      </c>
      <c r="C801" s="8" t="s">
        <v>123</v>
      </c>
      <c r="D801" s="9">
        <v>38696</v>
      </c>
      <c r="E801" s="9">
        <v>39031</v>
      </c>
      <c r="F801" s="17">
        <f>IF(MONTH(Table1[[#This Row],[Loss date]])&lt;Policy_Inception_Month,YEAR(Table1[[#This Row],[Loss date]])-1,YEAR(Table1[[#This Row],[Loss date]]))</f>
        <v>2005</v>
      </c>
      <c r="G801" s="10" t="s">
        <v>125</v>
      </c>
      <c r="H801" s="10" t="s">
        <v>2</v>
      </c>
      <c r="I801" s="11">
        <v>4231.7818052074363</v>
      </c>
      <c r="J801" s="11">
        <v>0</v>
      </c>
      <c r="K801" s="11">
        <v>4231.7818052074363</v>
      </c>
      <c r="L801" s="12">
        <v>0</v>
      </c>
      <c r="M801" s="12">
        <v>224.2844356759941</v>
      </c>
      <c r="N801" s="12">
        <v>4007.497369531442</v>
      </c>
      <c r="O801" s="70">
        <f>IF(Table1[[#This Row],[Overall amount]]=0,0,1)</f>
        <v>1</v>
      </c>
      <c r="P801" s="70">
        <f>Table1[[#This Row],[Overall amount]]*Exchange_Rate</f>
        <v>4007.497369531442</v>
      </c>
      <c r="Q801" s="70">
        <f>Table1[[#This Row],[Overall (destination currency)]]*(1+Claims_Inflation)^((Revalue_at_date-Table1[[#This Row],[Loss date]])/365.25)</f>
        <v>6466.6046520000018</v>
      </c>
      <c r="R801" s="70">
        <f>INT(Table1[[#This Row],[Reporting date]])-INT(Table1[[#This Row],[Loss date]])</f>
        <v>335</v>
      </c>
      <c r="S801" s="69" t="s">
        <v>9</v>
      </c>
      <c r="T801" s="70">
        <f>VLOOKUP(Table1[[#This Row],[Policy Year]],exposure_table,3,FALSE)</f>
        <v>409.50481038040112</v>
      </c>
      <c r="U801" s="17">
        <f>IF(MONTH(Table1[[#This Row],[Reporting date]])&lt;Policy_Inception_Month,YEAR(Table1[[#This Row],[Reporting date]])-1,YEAR(Table1[[#This Row],[Reporting date]]))</f>
        <v>2006</v>
      </c>
      <c r="V801" s="17">
        <f>Table1[[#This Row],[Reporting year]]-Table1[[#This Row],[Policy Year]]</f>
        <v>1</v>
      </c>
      <c r="W801" s="17">
        <f>INT(Table1[[#This Row],[Reporting date]])-INT(Table1[[#This Row],[Loss date]])</f>
        <v>335</v>
      </c>
      <c r="X801" s="17">
        <f>INT((YEAR(Table1[[#This Row],[Loss date]])*12+MONTH(Table1[[#This Row],[Loss date]])-Earliest_Month)/4)</f>
        <v>2</v>
      </c>
      <c r="Y801" s="17">
        <f>INT((YEAR(Table1[[#This Row],[Reporting date]])*12+MONTH(Table1[[#This Row],[Reporting date]])-Earliest_Month)/4)</f>
        <v>4</v>
      </c>
      <c r="Z801" s="17">
        <f>Table1[[#This Row],[Reporting third]]-Table1[[#This Row],[Policy third]]</f>
        <v>2</v>
      </c>
      <c r="AA801" s="71">
        <f>IF(Table1[[#This Row],[Overall amount]]=0,"N/A",Table1[[#This Row],[Outstanding]]/Table1[[#This Row],[Overall amount]])</f>
        <v>0</v>
      </c>
      <c r="AB801" s="17">
        <f>IF(MONTH(Table1[[#This Row],[Loss date]])&lt;Pol_Inc_Month_Shifted,YEAR(Table1[[#This Row],[Loss date]])-1,YEAR(Table1[[#This Row],[Loss date]]))</f>
        <v>2005</v>
      </c>
      <c r="AC801" s="17">
        <f>IF(MONTH(Table1[[#This Row],[Reporting date]])&lt;Pol_Inc_Month_Shifted,YEAR(Table1[[#This Row],[Reporting date]])-1,YEAR(Table1[[#This Row],[Reporting date]]))</f>
        <v>2005</v>
      </c>
      <c r="AD801" s="17">
        <f>Table1[[#This Row],[Reporting year (shifted)]]-Table1[[#This Row],[Policy Year (shifted)]]</f>
        <v>0</v>
      </c>
    </row>
    <row r="802" spans="1:30" ht="13.9">
      <c r="A802" s="8" t="s">
        <v>2572</v>
      </c>
      <c r="B802" s="8" t="s">
        <v>854</v>
      </c>
      <c r="C802" s="8" t="s">
        <v>123</v>
      </c>
      <c r="D802" s="9">
        <v>38472</v>
      </c>
      <c r="E802" s="9">
        <v>38682</v>
      </c>
      <c r="F802" s="17">
        <f>IF(MONTH(Table1[[#This Row],[Loss date]])&lt;Policy_Inception_Month,YEAR(Table1[[#This Row],[Loss date]])-1,YEAR(Table1[[#This Row],[Loss date]]))</f>
        <v>2005</v>
      </c>
      <c r="G802" s="10" t="s">
        <v>125</v>
      </c>
      <c r="H802" s="10" t="s">
        <v>2</v>
      </c>
      <c r="I802" s="11">
        <v>4108.8891246432468</v>
      </c>
      <c r="J802" s="11">
        <v>0</v>
      </c>
      <c r="K802" s="11">
        <v>4108.8891246432468</v>
      </c>
      <c r="L802" s="12">
        <v>0</v>
      </c>
      <c r="M802" s="12">
        <v>0</v>
      </c>
      <c r="N802" s="12">
        <v>4108.8891246432468</v>
      </c>
      <c r="O802" s="70">
        <f>IF(Table1[[#This Row],[Overall amount]]=0,0,1)</f>
        <v>1</v>
      </c>
      <c r="P802" s="70">
        <f>Table1[[#This Row],[Overall amount]]*Exchange_Rate</f>
        <v>4108.8891246432468</v>
      </c>
      <c r="Q802" s="70">
        <f>Table1[[#This Row],[Overall (destination currency)]]*(1+Claims_Inflation)^((Revalue_at_date-Table1[[#This Row],[Loss date]])/365.25)</f>
        <v>6831.5999999999995</v>
      </c>
      <c r="R802" s="70">
        <f>INT(Table1[[#This Row],[Reporting date]])-INT(Table1[[#This Row],[Loss date]])</f>
        <v>210</v>
      </c>
      <c r="S802" s="69" t="s">
        <v>9</v>
      </c>
      <c r="T802" s="70">
        <f>VLOOKUP(Table1[[#This Row],[Policy Year]],exposure_table,3,FALSE)</f>
        <v>409.50481038040112</v>
      </c>
      <c r="U802" s="17">
        <f>IF(MONTH(Table1[[#This Row],[Reporting date]])&lt;Policy_Inception_Month,YEAR(Table1[[#This Row],[Reporting date]])-1,YEAR(Table1[[#This Row],[Reporting date]]))</f>
        <v>2005</v>
      </c>
      <c r="V802" s="17">
        <f>Table1[[#This Row],[Reporting year]]-Table1[[#This Row],[Policy Year]]</f>
        <v>0</v>
      </c>
      <c r="W802" s="17">
        <f>INT(Table1[[#This Row],[Reporting date]])-INT(Table1[[#This Row],[Loss date]])</f>
        <v>210</v>
      </c>
      <c r="X802" s="17">
        <f>INT((YEAR(Table1[[#This Row],[Loss date]])*12+MONTH(Table1[[#This Row],[Loss date]])-Earliest_Month)/4)</f>
        <v>0</v>
      </c>
      <c r="Y802" s="17">
        <f>INT((YEAR(Table1[[#This Row],[Reporting date]])*12+MONTH(Table1[[#This Row],[Reporting date]])-Earliest_Month)/4)</f>
        <v>1</v>
      </c>
      <c r="Z802" s="17">
        <f>Table1[[#This Row],[Reporting third]]-Table1[[#This Row],[Policy third]]</f>
        <v>1</v>
      </c>
      <c r="AA802" s="71">
        <f>IF(Table1[[#This Row],[Overall amount]]=0,"N/A",Table1[[#This Row],[Outstanding]]/Table1[[#This Row],[Overall amount]])</f>
        <v>0</v>
      </c>
      <c r="AB802" s="17">
        <f>IF(MONTH(Table1[[#This Row],[Loss date]])&lt;Pol_Inc_Month_Shifted,YEAR(Table1[[#This Row],[Loss date]])-1,YEAR(Table1[[#This Row],[Loss date]]))</f>
        <v>2004</v>
      </c>
      <c r="AC802" s="17">
        <f>IF(MONTH(Table1[[#This Row],[Reporting date]])&lt;Pol_Inc_Month_Shifted,YEAR(Table1[[#This Row],[Reporting date]])-1,YEAR(Table1[[#This Row],[Reporting date]]))</f>
        <v>2004</v>
      </c>
      <c r="AD802" s="17">
        <f>Table1[[#This Row],[Reporting year (shifted)]]-Table1[[#This Row],[Policy Year (shifted)]]</f>
        <v>0</v>
      </c>
    </row>
    <row r="803" spans="1:30" ht="13.9">
      <c r="A803" s="8" t="s">
        <v>2573</v>
      </c>
      <c r="B803" s="8" t="s">
        <v>855</v>
      </c>
      <c r="C803" s="8" t="s">
        <v>123</v>
      </c>
      <c r="D803" s="9">
        <v>38500</v>
      </c>
      <c r="E803" s="9">
        <v>38762</v>
      </c>
      <c r="F803" s="17">
        <f>IF(MONTH(Table1[[#This Row],[Loss date]])&lt;Policy_Inception_Month,YEAR(Table1[[#This Row],[Loss date]])-1,YEAR(Table1[[#This Row],[Loss date]]))</f>
        <v>2005</v>
      </c>
      <c r="G803" s="10" t="s">
        <v>126</v>
      </c>
      <c r="H803" s="10" t="s">
        <v>2</v>
      </c>
      <c r="I803" s="11">
        <v>19457.430150343283</v>
      </c>
      <c r="J803" s="11">
        <v>0</v>
      </c>
      <c r="K803" s="11">
        <v>19457.430150343283</v>
      </c>
      <c r="L803" s="12">
        <v>0</v>
      </c>
      <c r="M803" s="12">
        <v>0</v>
      </c>
      <c r="N803" s="12">
        <v>19457.430150343283</v>
      </c>
      <c r="O803" s="70">
        <f>IF(Table1[[#This Row],[Overall amount]]=0,0,1)</f>
        <v>1</v>
      </c>
      <c r="P803" s="70">
        <f>Table1[[#This Row],[Overall amount]]*Exchange_Rate</f>
        <v>19457.430150343283</v>
      </c>
      <c r="Q803" s="70">
        <f>Table1[[#This Row],[Overall (destination currency)]]*(1+Claims_Inflation)^((Revalue_at_date-Table1[[#This Row],[Loss date]])/365.25)</f>
        <v>32229.911999999997</v>
      </c>
      <c r="R803" s="70">
        <f>INT(Table1[[#This Row],[Reporting date]])-INT(Table1[[#This Row],[Loss date]])</f>
        <v>262</v>
      </c>
      <c r="S803" s="69" t="s">
        <v>9</v>
      </c>
      <c r="T803" s="70">
        <f>VLOOKUP(Table1[[#This Row],[Policy Year]],exposure_table,3,FALSE)</f>
        <v>409.50481038040112</v>
      </c>
      <c r="U803" s="17">
        <f>IF(MONTH(Table1[[#This Row],[Reporting date]])&lt;Policy_Inception_Month,YEAR(Table1[[#This Row],[Reporting date]])-1,YEAR(Table1[[#This Row],[Reporting date]]))</f>
        <v>2005</v>
      </c>
      <c r="V803" s="17">
        <f>Table1[[#This Row],[Reporting year]]-Table1[[#This Row],[Policy Year]]</f>
        <v>0</v>
      </c>
      <c r="W803" s="17">
        <f>INT(Table1[[#This Row],[Reporting date]])-INT(Table1[[#This Row],[Loss date]])</f>
        <v>262</v>
      </c>
      <c r="X803" s="17">
        <f>INT((YEAR(Table1[[#This Row],[Loss date]])*12+MONTH(Table1[[#This Row],[Loss date]])-Earliest_Month)/4)</f>
        <v>0</v>
      </c>
      <c r="Y803" s="17">
        <f>INT((YEAR(Table1[[#This Row],[Reporting date]])*12+MONTH(Table1[[#This Row],[Reporting date]])-Earliest_Month)/4)</f>
        <v>2</v>
      </c>
      <c r="Z803" s="17">
        <f>Table1[[#This Row],[Reporting third]]-Table1[[#This Row],[Policy third]]</f>
        <v>2</v>
      </c>
      <c r="AA803" s="71">
        <f>IF(Table1[[#This Row],[Overall amount]]=0,"N/A",Table1[[#This Row],[Outstanding]]/Table1[[#This Row],[Overall amount]])</f>
        <v>0</v>
      </c>
      <c r="AB803" s="17">
        <f>IF(MONTH(Table1[[#This Row],[Loss date]])&lt;Pol_Inc_Month_Shifted,YEAR(Table1[[#This Row],[Loss date]])-1,YEAR(Table1[[#This Row],[Loss date]]))</f>
        <v>2004</v>
      </c>
      <c r="AC803" s="17">
        <f>IF(MONTH(Table1[[#This Row],[Reporting date]])&lt;Pol_Inc_Month_Shifted,YEAR(Table1[[#This Row],[Reporting date]])-1,YEAR(Table1[[#This Row],[Reporting date]]))</f>
        <v>2005</v>
      </c>
      <c r="AD803" s="17">
        <f>Table1[[#This Row],[Reporting year (shifted)]]-Table1[[#This Row],[Policy Year (shifted)]]</f>
        <v>1</v>
      </c>
    </row>
    <row r="804" spans="1:30" ht="13.9">
      <c r="A804" s="8" t="s">
        <v>2574</v>
      </c>
      <c r="B804" s="8" t="s">
        <v>856</v>
      </c>
      <c r="C804" s="8" t="s">
        <v>123</v>
      </c>
      <c r="D804" s="9">
        <v>38471</v>
      </c>
      <c r="E804" s="9">
        <v>38775</v>
      </c>
      <c r="F804" s="17">
        <f>IF(MONTH(Table1[[#This Row],[Loss date]])&lt;Policy_Inception_Month,YEAR(Table1[[#This Row],[Loss date]])-1,YEAR(Table1[[#This Row],[Loss date]]))</f>
        <v>2005</v>
      </c>
      <c r="G804" s="10" t="s">
        <v>125</v>
      </c>
      <c r="H804" s="10" t="s">
        <v>2</v>
      </c>
      <c r="I804" s="11">
        <v>355.05066312939022</v>
      </c>
      <c r="J804" s="11">
        <v>0</v>
      </c>
      <c r="K804" s="11">
        <v>355.05066312939022</v>
      </c>
      <c r="L804" s="12">
        <v>0</v>
      </c>
      <c r="M804" s="12">
        <v>31.599509018515729</v>
      </c>
      <c r="N804" s="12">
        <v>323.45115411087448</v>
      </c>
      <c r="O804" s="70">
        <f>IF(Table1[[#This Row],[Overall amount]]=0,0,1)</f>
        <v>1</v>
      </c>
      <c r="P804" s="70">
        <f>Table1[[#This Row],[Overall amount]]*Exchange_Rate</f>
        <v>323.45115411087448</v>
      </c>
      <c r="Q804" s="70">
        <f>Table1[[#This Row],[Overall (destination currency)]]*(1+Claims_Inflation)^((Revalue_at_date-Table1[[#This Row],[Loss date]])/365.25)</f>
        <v>537.85439999999994</v>
      </c>
      <c r="R804" s="70">
        <f>INT(Table1[[#This Row],[Reporting date]])-INT(Table1[[#This Row],[Loss date]])</f>
        <v>304</v>
      </c>
      <c r="S804" s="69" t="s">
        <v>9</v>
      </c>
      <c r="T804" s="70">
        <f>VLOOKUP(Table1[[#This Row],[Policy Year]],exposure_table,3,FALSE)</f>
        <v>409.50481038040112</v>
      </c>
      <c r="U804" s="17">
        <f>IF(MONTH(Table1[[#This Row],[Reporting date]])&lt;Policy_Inception_Month,YEAR(Table1[[#This Row],[Reporting date]])-1,YEAR(Table1[[#This Row],[Reporting date]]))</f>
        <v>2005</v>
      </c>
      <c r="V804" s="17">
        <f>Table1[[#This Row],[Reporting year]]-Table1[[#This Row],[Policy Year]]</f>
        <v>0</v>
      </c>
      <c r="W804" s="17">
        <f>INT(Table1[[#This Row],[Reporting date]])-INT(Table1[[#This Row],[Loss date]])</f>
        <v>304</v>
      </c>
      <c r="X804" s="17">
        <f>INT((YEAR(Table1[[#This Row],[Loss date]])*12+MONTH(Table1[[#This Row],[Loss date]])-Earliest_Month)/4)</f>
        <v>0</v>
      </c>
      <c r="Y804" s="17">
        <f>INT((YEAR(Table1[[#This Row],[Reporting date]])*12+MONTH(Table1[[#This Row],[Reporting date]])-Earliest_Month)/4)</f>
        <v>2</v>
      </c>
      <c r="Z804" s="17">
        <f>Table1[[#This Row],[Reporting third]]-Table1[[#This Row],[Policy third]]</f>
        <v>2</v>
      </c>
      <c r="AA804" s="71">
        <f>IF(Table1[[#This Row],[Overall amount]]=0,"N/A",Table1[[#This Row],[Outstanding]]/Table1[[#This Row],[Overall amount]])</f>
        <v>0</v>
      </c>
      <c r="AB804" s="17">
        <f>IF(MONTH(Table1[[#This Row],[Loss date]])&lt;Pol_Inc_Month_Shifted,YEAR(Table1[[#This Row],[Loss date]])-1,YEAR(Table1[[#This Row],[Loss date]]))</f>
        <v>2004</v>
      </c>
      <c r="AC804" s="17">
        <f>IF(MONTH(Table1[[#This Row],[Reporting date]])&lt;Pol_Inc_Month_Shifted,YEAR(Table1[[#This Row],[Reporting date]])-1,YEAR(Table1[[#This Row],[Reporting date]]))</f>
        <v>2005</v>
      </c>
      <c r="AD804" s="17">
        <f>Table1[[#This Row],[Reporting year (shifted)]]-Table1[[#This Row],[Policy Year (shifted)]]</f>
        <v>1</v>
      </c>
    </row>
    <row r="805" spans="1:30" ht="13.9">
      <c r="A805" s="8" t="s">
        <v>2575</v>
      </c>
      <c r="B805" s="8" t="s">
        <v>857</v>
      </c>
      <c r="C805" s="8" t="s">
        <v>123</v>
      </c>
      <c r="D805" s="9">
        <v>38779</v>
      </c>
      <c r="E805" s="9">
        <v>38878</v>
      </c>
      <c r="F805" s="17">
        <f>IF(MONTH(Table1[[#This Row],[Loss date]])&lt;Policy_Inception_Month,YEAR(Table1[[#This Row],[Loss date]])-1,YEAR(Table1[[#This Row],[Loss date]]))</f>
        <v>2005</v>
      </c>
      <c r="G805" s="10" t="s">
        <v>131</v>
      </c>
      <c r="H805" s="10" t="s">
        <v>2</v>
      </c>
      <c r="I805" s="11">
        <v>4018.460666039537</v>
      </c>
      <c r="J805" s="11">
        <v>0</v>
      </c>
      <c r="K805" s="11">
        <v>4018.460666039537</v>
      </c>
      <c r="L805" s="12">
        <v>0</v>
      </c>
      <c r="M805" s="12">
        <v>0</v>
      </c>
      <c r="N805" s="12">
        <v>4018.460666039537</v>
      </c>
      <c r="O805" s="70">
        <f>IF(Table1[[#This Row],[Overall amount]]=0,0,1)</f>
        <v>1</v>
      </c>
      <c r="P805" s="70">
        <f>Table1[[#This Row],[Overall amount]]*Exchange_Rate</f>
        <v>4018.460666039537</v>
      </c>
      <c r="Q805" s="70">
        <f>Table1[[#This Row],[Overall (destination currency)]]*(1+Claims_Inflation)^((Revalue_at_date-Table1[[#This Row],[Loss date]])/365.25)</f>
        <v>6412.8000000000011</v>
      </c>
      <c r="R805" s="70">
        <f>INT(Table1[[#This Row],[Reporting date]])-INT(Table1[[#This Row],[Loss date]])</f>
        <v>99</v>
      </c>
      <c r="S805" s="69" t="s">
        <v>9</v>
      </c>
      <c r="T805" s="70">
        <f>VLOOKUP(Table1[[#This Row],[Policy Year]],exposure_table,3,FALSE)</f>
        <v>409.50481038040112</v>
      </c>
      <c r="U805" s="17">
        <f>IF(MONTH(Table1[[#This Row],[Reporting date]])&lt;Policy_Inception_Month,YEAR(Table1[[#This Row],[Reporting date]])-1,YEAR(Table1[[#This Row],[Reporting date]]))</f>
        <v>2006</v>
      </c>
      <c r="V805" s="17">
        <f>Table1[[#This Row],[Reporting year]]-Table1[[#This Row],[Policy Year]]</f>
        <v>1</v>
      </c>
      <c r="W805" s="17">
        <f>INT(Table1[[#This Row],[Reporting date]])-INT(Table1[[#This Row],[Loss date]])</f>
        <v>99</v>
      </c>
      <c r="X805" s="17">
        <f>INT((YEAR(Table1[[#This Row],[Loss date]])*12+MONTH(Table1[[#This Row],[Loss date]])-Earliest_Month)/4)</f>
        <v>2</v>
      </c>
      <c r="Y805" s="17">
        <f>INT((YEAR(Table1[[#This Row],[Reporting date]])*12+MONTH(Table1[[#This Row],[Reporting date]])-Earliest_Month)/4)</f>
        <v>3</v>
      </c>
      <c r="Z805" s="17">
        <f>Table1[[#This Row],[Reporting third]]-Table1[[#This Row],[Policy third]]</f>
        <v>1</v>
      </c>
      <c r="AA805" s="71">
        <f>IF(Table1[[#This Row],[Overall amount]]=0,"N/A",Table1[[#This Row],[Outstanding]]/Table1[[#This Row],[Overall amount]])</f>
        <v>0</v>
      </c>
      <c r="AB805" s="17">
        <f>IF(MONTH(Table1[[#This Row],[Loss date]])&lt;Pol_Inc_Month_Shifted,YEAR(Table1[[#This Row],[Loss date]])-1,YEAR(Table1[[#This Row],[Loss date]]))</f>
        <v>2005</v>
      </c>
      <c r="AC805" s="17">
        <f>IF(MONTH(Table1[[#This Row],[Reporting date]])&lt;Pol_Inc_Month_Shifted,YEAR(Table1[[#This Row],[Reporting date]])-1,YEAR(Table1[[#This Row],[Reporting date]]))</f>
        <v>2005</v>
      </c>
      <c r="AD805" s="17">
        <f>Table1[[#This Row],[Reporting year (shifted)]]-Table1[[#This Row],[Policy Year (shifted)]]</f>
        <v>0</v>
      </c>
    </row>
    <row r="806" spans="1:30" ht="13.9">
      <c r="A806" s="8" t="s">
        <v>2576</v>
      </c>
      <c r="B806" s="8" t="s">
        <v>858</v>
      </c>
      <c r="C806" s="8" t="s">
        <v>123</v>
      </c>
      <c r="D806" s="9">
        <v>38594</v>
      </c>
      <c r="E806" s="9">
        <v>38607</v>
      </c>
      <c r="F806" s="17">
        <f>IF(MONTH(Table1[[#This Row],[Loss date]])&lt;Policy_Inception_Month,YEAR(Table1[[#This Row],[Loss date]])-1,YEAR(Table1[[#This Row],[Loss date]]))</f>
        <v>2005</v>
      </c>
      <c r="G806" s="10" t="s">
        <v>131</v>
      </c>
      <c r="H806" s="10" t="s">
        <v>2</v>
      </c>
      <c r="I806" s="11">
        <v>3123.679724032992</v>
      </c>
      <c r="J806" s="11">
        <v>0</v>
      </c>
      <c r="K806" s="11">
        <v>3123.679724032992</v>
      </c>
      <c r="L806" s="12">
        <v>0</v>
      </c>
      <c r="M806" s="12">
        <v>0</v>
      </c>
      <c r="N806" s="12">
        <v>3123.679724032992</v>
      </c>
      <c r="O806" s="70">
        <f>IF(Table1[[#This Row],[Overall amount]]=0,0,1)</f>
        <v>1</v>
      </c>
      <c r="P806" s="70">
        <f>Table1[[#This Row],[Overall amount]]*Exchange_Rate</f>
        <v>3123.679724032992</v>
      </c>
      <c r="Q806" s="70">
        <f>Table1[[#This Row],[Overall (destination currency)]]*(1+Claims_Inflation)^((Revalue_at_date-Table1[[#This Row],[Loss date]])/365.25)</f>
        <v>5109.5999999999995</v>
      </c>
      <c r="R806" s="70">
        <f>INT(Table1[[#This Row],[Reporting date]])-INT(Table1[[#This Row],[Loss date]])</f>
        <v>13</v>
      </c>
      <c r="S806" s="69" t="s">
        <v>9</v>
      </c>
      <c r="T806" s="70">
        <f>VLOOKUP(Table1[[#This Row],[Policy Year]],exposure_table,3,FALSE)</f>
        <v>409.50481038040112</v>
      </c>
      <c r="U806" s="17">
        <f>IF(MONTH(Table1[[#This Row],[Reporting date]])&lt;Policy_Inception_Month,YEAR(Table1[[#This Row],[Reporting date]])-1,YEAR(Table1[[#This Row],[Reporting date]]))</f>
        <v>2005</v>
      </c>
      <c r="V806" s="17">
        <f>Table1[[#This Row],[Reporting year]]-Table1[[#This Row],[Policy Year]]</f>
        <v>0</v>
      </c>
      <c r="W806" s="17">
        <f>INT(Table1[[#This Row],[Reporting date]])-INT(Table1[[#This Row],[Loss date]])</f>
        <v>13</v>
      </c>
      <c r="X806" s="17">
        <f>INT((YEAR(Table1[[#This Row],[Loss date]])*12+MONTH(Table1[[#This Row],[Loss date]])-Earliest_Month)/4)</f>
        <v>1</v>
      </c>
      <c r="Y806" s="17">
        <f>INT((YEAR(Table1[[#This Row],[Reporting date]])*12+MONTH(Table1[[#This Row],[Reporting date]])-Earliest_Month)/4)</f>
        <v>1</v>
      </c>
      <c r="Z806" s="17">
        <f>Table1[[#This Row],[Reporting third]]-Table1[[#This Row],[Policy third]]</f>
        <v>0</v>
      </c>
      <c r="AA806" s="71">
        <f>IF(Table1[[#This Row],[Overall amount]]=0,"N/A",Table1[[#This Row],[Outstanding]]/Table1[[#This Row],[Overall amount]])</f>
        <v>0</v>
      </c>
      <c r="AB806" s="17">
        <f>IF(MONTH(Table1[[#This Row],[Loss date]])&lt;Pol_Inc_Month_Shifted,YEAR(Table1[[#This Row],[Loss date]])-1,YEAR(Table1[[#This Row],[Loss date]]))</f>
        <v>2004</v>
      </c>
      <c r="AC806" s="17">
        <f>IF(MONTH(Table1[[#This Row],[Reporting date]])&lt;Pol_Inc_Month_Shifted,YEAR(Table1[[#This Row],[Reporting date]])-1,YEAR(Table1[[#This Row],[Reporting date]]))</f>
        <v>2004</v>
      </c>
      <c r="AD806" s="17">
        <f>Table1[[#This Row],[Reporting year (shifted)]]-Table1[[#This Row],[Policy Year (shifted)]]</f>
        <v>0</v>
      </c>
    </row>
    <row r="807" spans="1:30" ht="13.9">
      <c r="A807" s="8" t="s">
        <v>2577</v>
      </c>
      <c r="B807" s="8" t="s">
        <v>859</v>
      </c>
      <c r="C807" s="8" t="s">
        <v>123</v>
      </c>
      <c r="D807" s="9">
        <v>38636</v>
      </c>
      <c r="E807" s="9">
        <v>38646</v>
      </c>
      <c r="F807" s="17">
        <f>IF(MONTH(Table1[[#This Row],[Loss date]])&lt;Policy_Inception_Month,YEAR(Table1[[#This Row],[Loss date]])-1,YEAR(Table1[[#This Row],[Loss date]]))</f>
        <v>2005</v>
      </c>
      <c r="G807" s="10" t="s">
        <v>125</v>
      </c>
      <c r="H807" s="10" t="s">
        <v>2</v>
      </c>
      <c r="I807" s="11">
        <v>4933.3474742056414</v>
      </c>
      <c r="J807" s="11">
        <v>0</v>
      </c>
      <c r="K807" s="11">
        <v>4933.3474742056414</v>
      </c>
      <c r="L807" s="12">
        <v>0</v>
      </c>
      <c r="M807" s="12">
        <v>0</v>
      </c>
      <c r="N807" s="12">
        <v>4933.3474742056414</v>
      </c>
      <c r="O807" s="70">
        <f>IF(Table1[[#This Row],[Overall amount]]=0,0,1)</f>
        <v>1</v>
      </c>
      <c r="P807" s="70">
        <f>Table1[[#This Row],[Overall amount]]*Exchange_Rate</f>
        <v>4933.3474742056414</v>
      </c>
      <c r="Q807" s="70">
        <f>Table1[[#This Row],[Overall (destination currency)]]*(1+Claims_Inflation)^((Revalue_at_date-Table1[[#This Row],[Loss date]])/365.25)</f>
        <v>8024.64</v>
      </c>
      <c r="R807" s="70">
        <f>INT(Table1[[#This Row],[Reporting date]])-INT(Table1[[#This Row],[Loss date]])</f>
        <v>10</v>
      </c>
      <c r="S807" s="69" t="s">
        <v>9</v>
      </c>
      <c r="T807" s="70">
        <f>VLOOKUP(Table1[[#This Row],[Policy Year]],exposure_table,3,FALSE)</f>
        <v>409.50481038040112</v>
      </c>
      <c r="U807" s="17">
        <f>IF(MONTH(Table1[[#This Row],[Reporting date]])&lt;Policy_Inception_Month,YEAR(Table1[[#This Row],[Reporting date]])-1,YEAR(Table1[[#This Row],[Reporting date]]))</f>
        <v>2005</v>
      </c>
      <c r="V807" s="17">
        <f>Table1[[#This Row],[Reporting year]]-Table1[[#This Row],[Policy Year]]</f>
        <v>0</v>
      </c>
      <c r="W807" s="17">
        <f>INT(Table1[[#This Row],[Reporting date]])-INT(Table1[[#This Row],[Loss date]])</f>
        <v>10</v>
      </c>
      <c r="X807" s="17">
        <f>INT((YEAR(Table1[[#This Row],[Loss date]])*12+MONTH(Table1[[#This Row],[Loss date]])-Earliest_Month)/4)</f>
        <v>1</v>
      </c>
      <c r="Y807" s="17">
        <f>INT((YEAR(Table1[[#This Row],[Reporting date]])*12+MONTH(Table1[[#This Row],[Reporting date]])-Earliest_Month)/4)</f>
        <v>1</v>
      </c>
      <c r="Z807" s="17">
        <f>Table1[[#This Row],[Reporting third]]-Table1[[#This Row],[Policy third]]</f>
        <v>0</v>
      </c>
      <c r="AA807" s="71">
        <f>IF(Table1[[#This Row],[Overall amount]]=0,"N/A",Table1[[#This Row],[Outstanding]]/Table1[[#This Row],[Overall amount]])</f>
        <v>0</v>
      </c>
      <c r="AB807" s="17">
        <f>IF(MONTH(Table1[[#This Row],[Loss date]])&lt;Pol_Inc_Month_Shifted,YEAR(Table1[[#This Row],[Loss date]])-1,YEAR(Table1[[#This Row],[Loss date]]))</f>
        <v>2004</v>
      </c>
      <c r="AC807" s="17">
        <f>IF(MONTH(Table1[[#This Row],[Reporting date]])&lt;Pol_Inc_Month_Shifted,YEAR(Table1[[#This Row],[Reporting date]])-1,YEAR(Table1[[#This Row],[Reporting date]]))</f>
        <v>2004</v>
      </c>
      <c r="AD807" s="17">
        <f>Table1[[#This Row],[Reporting year (shifted)]]-Table1[[#This Row],[Policy Year (shifted)]]</f>
        <v>0</v>
      </c>
    </row>
    <row r="808" spans="1:30" ht="13.9">
      <c r="A808" s="8" t="s">
        <v>2578</v>
      </c>
      <c r="B808" s="8" t="s">
        <v>860</v>
      </c>
      <c r="C808" s="8" t="s">
        <v>123</v>
      </c>
      <c r="D808" s="9">
        <v>38443</v>
      </c>
      <c r="E808" s="9">
        <v>38824</v>
      </c>
      <c r="F808" s="17">
        <f>IF(MONTH(Table1[[#This Row],[Loss date]])&lt;Policy_Inception_Month,YEAR(Table1[[#This Row],[Loss date]])-1,YEAR(Table1[[#This Row],[Loss date]]))</f>
        <v>2005</v>
      </c>
      <c r="G808" s="10" t="s">
        <v>125</v>
      </c>
      <c r="H808" s="10" t="s">
        <v>2</v>
      </c>
      <c r="I808" s="11">
        <v>147.3854862250657</v>
      </c>
      <c r="J808" s="11">
        <v>0</v>
      </c>
      <c r="K808" s="11">
        <v>147.3854862250657</v>
      </c>
      <c r="L808" s="12">
        <v>0</v>
      </c>
      <c r="M808" s="12">
        <v>0</v>
      </c>
      <c r="N808" s="12">
        <v>147.3854862250657</v>
      </c>
      <c r="O808" s="70">
        <f>IF(Table1[[#This Row],[Overall amount]]=0,0,1)</f>
        <v>1</v>
      </c>
      <c r="P808" s="70">
        <f>Table1[[#This Row],[Overall amount]]*Exchange_Rate</f>
        <v>147.3854862250657</v>
      </c>
      <c r="Q808" s="70">
        <f>Table1[[#This Row],[Overall (destination currency)]]*(1+Claims_Inflation)^((Revalue_at_date-Table1[[#This Row],[Loss date]])/365.25)</f>
        <v>246</v>
      </c>
      <c r="R808" s="70">
        <f>INT(Table1[[#This Row],[Reporting date]])-INT(Table1[[#This Row],[Loss date]])</f>
        <v>381</v>
      </c>
      <c r="S808" s="69" t="s">
        <v>9</v>
      </c>
      <c r="T808" s="70">
        <f>VLOOKUP(Table1[[#This Row],[Policy Year]],exposure_table,3,FALSE)</f>
        <v>409.50481038040112</v>
      </c>
      <c r="U808" s="17">
        <f>IF(MONTH(Table1[[#This Row],[Reporting date]])&lt;Policy_Inception_Month,YEAR(Table1[[#This Row],[Reporting date]])-1,YEAR(Table1[[#This Row],[Reporting date]]))</f>
        <v>2006</v>
      </c>
      <c r="V808" s="17">
        <f>Table1[[#This Row],[Reporting year]]-Table1[[#This Row],[Policy Year]]</f>
        <v>1</v>
      </c>
      <c r="W808" s="17">
        <f>INT(Table1[[#This Row],[Reporting date]])-INT(Table1[[#This Row],[Loss date]])</f>
        <v>381</v>
      </c>
      <c r="X808" s="17">
        <f>INT((YEAR(Table1[[#This Row],[Loss date]])*12+MONTH(Table1[[#This Row],[Loss date]])-Earliest_Month)/4)</f>
        <v>0</v>
      </c>
      <c r="Y808" s="17">
        <f>INT((YEAR(Table1[[#This Row],[Reporting date]])*12+MONTH(Table1[[#This Row],[Reporting date]])-Earliest_Month)/4)</f>
        <v>3</v>
      </c>
      <c r="Z808" s="17">
        <f>Table1[[#This Row],[Reporting third]]-Table1[[#This Row],[Policy third]]</f>
        <v>3</v>
      </c>
      <c r="AA808" s="71">
        <f>IF(Table1[[#This Row],[Overall amount]]=0,"N/A",Table1[[#This Row],[Outstanding]]/Table1[[#This Row],[Overall amount]])</f>
        <v>0</v>
      </c>
      <c r="AB808" s="17">
        <f>IF(MONTH(Table1[[#This Row],[Loss date]])&lt;Pol_Inc_Month_Shifted,YEAR(Table1[[#This Row],[Loss date]])-1,YEAR(Table1[[#This Row],[Loss date]]))</f>
        <v>2004</v>
      </c>
      <c r="AC808" s="17">
        <f>IF(MONTH(Table1[[#This Row],[Reporting date]])&lt;Pol_Inc_Month_Shifted,YEAR(Table1[[#This Row],[Reporting date]])-1,YEAR(Table1[[#This Row],[Reporting date]]))</f>
        <v>2005</v>
      </c>
      <c r="AD808" s="17">
        <f>Table1[[#This Row],[Reporting year (shifted)]]-Table1[[#This Row],[Policy Year (shifted)]]</f>
        <v>1</v>
      </c>
    </row>
    <row r="809" spans="1:30" ht="13.9">
      <c r="A809" s="8" t="s">
        <v>2579</v>
      </c>
      <c r="B809" s="8" t="s">
        <v>861</v>
      </c>
      <c r="C809" s="8" t="s">
        <v>123</v>
      </c>
      <c r="D809" s="9">
        <v>38883</v>
      </c>
      <c r="E809" s="9">
        <v>38955</v>
      </c>
      <c r="F809" s="17">
        <f>IF(MONTH(Table1[[#This Row],[Loss date]])&lt;Policy_Inception_Month,YEAR(Table1[[#This Row],[Loss date]])-1,YEAR(Table1[[#This Row],[Loss date]]))</f>
        <v>2006</v>
      </c>
      <c r="G809" s="10" t="s">
        <v>119</v>
      </c>
      <c r="H809" s="10" t="s">
        <v>2</v>
      </c>
      <c r="I809" s="11">
        <v>125.04619658261241</v>
      </c>
      <c r="J809" s="11">
        <v>0</v>
      </c>
      <c r="K809" s="11">
        <v>125.04619658261241</v>
      </c>
      <c r="L809" s="12">
        <v>0</v>
      </c>
      <c r="M809" s="12">
        <v>0</v>
      </c>
      <c r="N809" s="12">
        <v>125.04619658261241</v>
      </c>
      <c r="O809" s="70">
        <f>IF(Table1[[#This Row],[Overall amount]]=0,0,1)</f>
        <v>1</v>
      </c>
      <c r="P809" s="70">
        <f>Table1[[#This Row],[Overall amount]]*Exchange_Rate</f>
        <v>125.04619658261241</v>
      </c>
      <c r="Q809" s="70">
        <f>Table1[[#This Row],[Overall (destination currency)]]*(1+Claims_Inflation)^((Revalue_at_date-Table1[[#This Row],[Loss date]])/365.25)</f>
        <v>196.80000000000004</v>
      </c>
      <c r="R809" s="70">
        <f>INT(Table1[[#This Row],[Reporting date]])-INT(Table1[[#This Row],[Loss date]])</f>
        <v>72</v>
      </c>
      <c r="S809" s="69" t="s">
        <v>9</v>
      </c>
      <c r="T809" s="70">
        <f>VLOOKUP(Table1[[#This Row],[Policy Year]],exposure_table,3,FALSE)</f>
        <v>483.32023209000977</v>
      </c>
      <c r="U809" s="17">
        <f>IF(MONTH(Table1[[#This Row],[Reporting date]])&lt;Policy_Inception_Month,YEAR(Table1[[#This Row],[Reporting date]])-1,YEAR(Table1[[#This Row],[Reporting date]]))</f>
        <v>2006</v>
      </c>
      <c r="V809" s="17">
        <f>Table1[[#This Row],[Reporting year]]-Table1[[#This Row],[Policy Year]]</f>
        <v>0</v>
      </c>
      <c r="W809" s="17">
        <f>INT(Table1[[#This Row],[Reporting date]])-INT(Table1[[#This Row],[Loss date]])</f>
        <v>72</v>
      </c>
      <c r="X809" s="17">
        <f>INT((YEAR(Table1[[#This Row],[Loss date]])*12+MONTH(Table1[[#This Row],[Loss date]])-Earliest_Month)/4)</f>
        <v>3</v>
      </c>
      <c r="Y809" s="17">
        <f>INT((YEAR(Table1[[#This Row],[Reporting date]])*12+MONTH(Table1[[#This Row],[Reporting date]])-Earliest_Month)/4)</f>
        <v>4</v>
      </c>
      <c r="Z809" s="17">
        <f>Table1[[#This Row],[Reporting third]]-Table1[[#This Row],[Policy third]]</f>
        <v>1</v>
      </c>
      <c r="AA809" s="71">
        <f>IF(Table1[[#This Row],[Overall amount]]=0,"N/A",Table1[[#This Row],[Outstanding]]/Table1[[#This Row],[Overall amount]])</f>
        <v>0</v>
      </c>
      <c r="AB809" s="17">
        <f>IF(MONTH(Table1[[#This Row],[Loss date]])&lt;Pol_Inc_Month_Shifted,YEAR(Table1[[#This Row],[Loss date]])-1,YEAR(Table1[[#This Row],[Loss date]]))</f>
        <v>2005</v>
      </c>
      <c r="AC809" s="17">
        <f>IF(MONTH(Table1[[#This Row],[Reporting date]])&lt;Pol_Inc_Month_Shifted,YEAR(Table1[[#This Row],[Reporting date]])-1,YEAR(Table1[[#This Row],[Reporting date]]))</f>
        <v>2005</v>
      </c>
      <c r="AD809" s="17">
        <f>Table1[[#This Row],[Reporting year (shifted)]]-Table1[[#This Row],[Policy Year (shifted)]]</f>
        <v>0</v>
      </c>
    </row>
    <row r="810" spans="1:30" ht="13.9">
      <c r="A810" s="8" t="s">
        <v>2580</v>
      </c>
      <c r="B810" s="8" t="s">
        <v>862</v>
      </c>
      <c r="C810" s="8" t="s">
        <v>123</v>
      </c>
      <c r="D810" s="9">
        <v>38687</v>
      </c>
      <c r="E810" s="9">
        <v>38940</v>
      </c>
      <c r="F810" s="17">
        <f>IF(MONTH(Table1[[#This Row],[Loss date]])&lt;Policy_Inception_Month,YEAR(Table1[[#This Row],[Loss date]])-1,YEAR(Table1[[#This Row],[Loss date]]))</f>
        <v>2005</v>
      </c>
      <c r="G810" s="10" t="s">
        <v>125</v>
      </c>
      <c r="H810" s="10" t="s">
        <v>2</v>
      </c>
      <c r="I810" s="11">
        <v>5107.492309357649</v>
      </c>
      <c r="J810" s="11">
        <v>0</v>
      </c>
      <c r="K810" s="11">
        <v>5107.492309357649</v>
      </c>
      <c r="L810" s="12">
        <v>0</v>
      </c>
      <c r="M810" s="12">
        <v>0</v>
      </c>
      <c r="N810" s="12">
        <v>5107.492309357649</v>
      </c>
      <c r="O810" s="70">
        <f>IF(Table1[[#This Row],[Overall amount]]=0,0,1)</f>
        <v>1</v>
      </c>
      <c r="P810" s="70">
        <f>Table1[[#This Row],[Overall amount]]*Exchange_Rate</f>
        <v>5107.492309357649</v>
      </c>
      <c r="Q810" s="70">
        <f>Table1[[#This Row],[Overall (destination currency)]]*(1+Claims_Inflation)^((Revalue_at_date-Table1[[#This Row],[Loss date]])/365.25)</f>
        <v>8251.5</v>
      </c>
      <c r="R810" s="70">
        <f>INT(Table1[[#This Row],[Reporting date]])-INT(Table1[[#This Row],[Loss date]])</f>
        <v>253</v>
      </c>
      <c r="S810" s="69" t="s">
        <v>9</v>
      </c>
      <c r="T810" s="70">
        <f>VLOOKUP(Table1[[#This Row],[Policy Year]],exposure_table,3,FALSE)</f>
        <v>409.50481038040112</v>
      </c>
      <c r="U810" s="17">
        <f>IF(MONTH(Table1[[#This Row],[Reporting date]])&lt;Policy_Inception_Month,YEAR(Table1[[#This Row],[Reporting date]])-1,YEAR(Table1[[#This Row],[Reporting date]]))</f>
        <v>2006</v>
      </c>
      <c r="V810" s="17">
        <f>Table1[[#This Row],[Reporting year]]-Table1[[#This Row],[Policy Year]]</f>
        <v>1</v>
      </c>
      <c r="W810" s="17">
        <f>INT(Table1[[#This Row],[Reporting date]])-INT(Table1[[#This Row],[Loss date]])</f>
        <v>253</v>
      </c>
      <c r="X810" s="17">
        <f>INT((YEAR(Table1[[#This Row],[Loss date]])*12+MONTH(Table1[[#This Row],[Loss date]])-Earliest_Month)/4)</f>
        <v>2</v>
      </c>
      <c r="Y810" s="17">
        <f>INT((YEAR(Table1[[#This Row],[Reporting date]])*12+MONTH(Table1[[#This Row],[Reporting date]])-Earliest_Month)/4)</f>
        <v>4</v>
      </c>
      <c r="Z810" s="17">
        <f>Table1[[#This Row],[Reporting third]]-Table1[[#This Row],[Policy third]]</f>
        <v>2</v>
      </c>
      <c r="AA810" s="71">
        <f>IF(Table1[[#This Row],[Overall amount]]=0,"N/A",Table1[[#This Row],[Outstanding]]/Table1[[#This Row],[Overall amount]])</f>
        <v>0</v>
      </c>
      <c r="AB810" s="17">
        <f>IF(MONTH(Table1[[#This Row],[Loss date]])&lt;Pol_Inc_Month_Shifted,YEAR(Table1[[#This Row],[Loss date]])-1,YEAR(Table1[[#This Row],[Loss date]]))</f>
        <v>2005</v>
      </c>
      <c r="AC810" s="17">
        <f>IF(MONTH(Table1[[#This Row],[Reporting date]])&lt;Pol_Inc_Month_Shifted,YEAR(Table1[[#This Row],[Reporting date]])-1,YEAR(Table1[[#This Row],[Reporting date]]))</f>
        <v>2005</v>
      </c>
      <c r="AD810" s="17">
        <f>Table1[[#This Row],[Reporting year (shifted)]]-Table1[[#This Row],[Policy Year (shifted)]]</f>
        <v>0</v>
      </c>
    </row>
    <row r="811" spans="1:30" ht="13.9">
      <c r="A811" s="8" t="s">
        <v>2581</v>
      </c>
      <c r="B811" s="8" t="s">
        <v>863</v>
      </c>
      <c r="C811" s="8" t="s">
        <v>123</v>
      </c>
      <c r="D811" s="9">
        <v>38936</v>
      </c>
      <c r="E811" s="9">
        <v>38996</v>
      </c>
      <c r="F811" s="17">
        <f>IF(MONTH(Table1[[#This Row],[Loss date]])&lt;Policy_Inception_Month,YEAR(Table1[[#This Row],[Loss date]])-1,YEAR(Table1[[#This Row],[Loss date]]))</f>
        <v>2006</v>
      </c>
      <c r="G811" s="10" t="s">
        <v>124</v>
      </c>
      <c r="H811" s="10" t="s">
        <v>2</v>
      </c>
      <c r="I811" s="11">
        <v>1109.6069854496063</v>
      </c>
      <c r="J811" s="11">
        <v>0</v>
      </c>
      <c r="K811" s="11">
        <v>1109.6069854496063</v>
      </c>
      <c r="L811" s="12">
        <v>0</v>
      </c>
      <c r="M811" s="12">
        <v>0</v>
      </c>
      <c r="N811" s="12">
        <v>1109.6069854496063</v>
      </c>
      <c r="O811" s="70">
        <f>IF(Table1[[#This Row],[Overall amount]]=0,0,1)</f>
        <v>1</v>
      </c>
      <c r="P811" s="70">
        <f>Table1[[#This Row],[Overall amount]]*Exchange_Rate</f>
        <v>1109.6069854496063</v>
      </c>
      <c r="Q811" s="70">
        <f>Table1[[#This Row],[Overall (destination currency)]]*(1+Claims_Inflation)^((Revalue_at_date-Table1[[#This Row],[Loss date]])/365.25)</f>
        <v>1734</v>
      </c>
      <c r="R811" s="70">
        <f>INT(Table1[[#This Row],[Reporting date]])-INT(Table1[[#This Row],[Loss date]])</f>
        <v>60</v>
      </c>
      <c r="S811" s="69" t="s">
        <v>9</v>
      </c>
      <c r="T811" s="70">
        <f>VLOOKUP(Table1[[#This Row],[Policy Year]],exposure_table,3,FALSE)</f>
        <v>483.32023209000977</v>
      </c>
      <c r="U811" s="17">
        <f>IF(MONTH(Table1[[#This Row],[Reporting date]])&lt;Policy_Inception_Month,YEAR(Table1[[#This Row],[Reporting date]])-1,YEAR(Table1[[#This Row],[Reporting date]]))</f>
        <v>2006</v>
      </c>
      <c r="V811" s="17">
        <f>Table1[[#This Row],[Reporting year]]-Table1[[#This Row],[Policy Year]]</f>
        <v>0</v>
      </c>
      <c r="W811" s="17">
        <f>INT(Table1[[#This Row],[Reporting date]])-INT(Table1[[#This Row],[Loss date]])</f>
        <v>60</v>
      </c>
      <c r="X811" s="17">
        <f>INT((YEAR(Table1[[#This Row],[Loss date]])*12+MONTH(Table1[[#This Row],[Loss date]])-Earliest_Month)/4)</f>
        <v>4</v>
      </c>
      <c r="Y811" s="17">
        <f>INT((YEAR(Table1[[#This Row],[Reporting date]])*12+MONTH(Table1[[#This Row],[Reporting date]])-Earliest_Month)/4)</f>
        <v>4</v>
      </c>
      <c r="Z811" s="17">
        <f>Table1[[#This Row],[Reporting third]]-Table1[[#This Row],[Policy third]]</f>
        <v>0</v>
      </c>
      <c r="AA811" s="71">
        <f>IF(Table1[[#This Row],[Overall amount]]=0,"N/A",Table1[[#This Row],[Outstanding]]/Table1[[#This Row],[Overall amount]])</f>
        <v>0</v>
      </c>
      <c r="AB811" s="17">
        <f>IF(MONTH(Table1[[#This Row],[Loss date]])&lt;Pol_Inc_Month_Shifted,YEAR(Table1[[#This Row],[Loss date]])-1,YEAR(Table1[[#This Row],[Loss date]]))</f>
        <v>2005</v>
      </c>
      <c r="AC811" s="17">
        <f>IF(MONTH(Table1[[#This Row],[Reporting date]])&lt;Pol_Inc_Month_Shifted,YEAR(Table1[[#This Row],[Reporting date]])-1,YEAR(Table1[[#This Row],[Reporting date]]))</f>
        <v>2005</v>
      </c>
      <c r="AD811" s="17">
        <f>Table1[[#This Row],[Reporting year (shifted)]]-Table1[[#This Row],[Policy Year (shifted)]]</f>
        <v>0</v>
      </c>
    </row>
    <row r="812" spans="1:30" ht="13.9">
      <c r="A812" s="8" t="s">
        <v>2582</v>
      </c>
      <c r="B812" s="8" t="s">
        <v>864</v>
      </c>
      <c r="C812" s="8" t="s">
        <v>123</v>
      </c>
      <c r="D812" s="9">
        <v>38816</v>
      </c>
      <c r="E812" s="9">
        <v>38987</v>
      </c>
      <c r="F812" s="17">
        <f>IF(MONTH(Table1[[#This Row],[Loss date]])&lt;Policy_Inception_Month,YEAR(Table1[[#This Row],[Loss date]])-1,YEAR(Table1[[#This Row],[Loss date]]))</f>
        <v>2006</v>
      </c>
      <c r="G812" s="10" t="s">
        <v>125</v>
      </c>
      <c r="H812" s="10" t="s">
        <v>2</v>
      </c>
      <c r="I812" s="11">
        <v>7073.1946064500926</v>
      </c>
      <c r="J812" s="11">
        <v>0</v>
      </c>
      <c r="K812" s="11">
        <v>7073.1946064500926</v>
      </c>
      <c r="L812" s="12">
        <v>0</v>
      </c>
      <c r="M812" s="12">
        <v>0</v>
      </c>
      <c r="N812" s="12">
        <v>7073.1946064500926</v>
      </c>
      <c r="O812" s="70">
        <f>IF(Table1[[#This Row],[Overall amount]]=0,0,1)</f>
        <v>1</v>
      </c>
      <c r="P812" s="70">
        <f>Table1[[#This Row],[Overall amount]]*Exchange_Rate</f>
        <v>7073.1946064500926</v>
      </c>
      <c r="Q812" s="70">
        <f>Table1[[#This Row],[Overall (destination currency)]]*(1+Claims_Inflation)^((Revalue_at_date-Table1[[#This Row],[Loss date]])/365.25)</f>
        <v>11232</v>
      </c>
      <c r="R812" s="70">
        <f>INT(Table1[[#This Row],[Reporting date]])-INT(Table1[[#This Row],[Loss date]])</f>
        <v>171</v>
      </c>
      <c r="S812" s="69" t="s">
        <v>9</v>
      </c>
      <c r="T812" s="70">
        <f>VLOOKUP(Table1[[#This Row],[Policy Year]],exposure_table,3,FALSE)</f>
        <v>483.32023209000977</v>
      </c>
      <c r="U812" s="17">
        <f>IF(MONTH(Table1[[#This Row],[Reporting date]])&lt;Policy_Inception_Month,YEAR(Table1[[#This Row],[Reporting date]])-1,YEAR(Table1[[#This Row],[Reporting date]]))</f>
        <v>2006</v>
      </c>
      <c r="V812" s="17">
        <f>Table1[[#This Row],[Reporting year]]-Table1[[#This Row],[Policy Year]]</f>
        <v>0</v>
      </c>
      <c r="W812" s="17">
        <f>INT(Table1[[#This Row],[Reporting date]])-INT(Table1[[#This Row],[Loss date]])</f>
        <v>171</v>
      </c>
      <c r="X812" s="17">
        <f>INT((YEAR(Table1[[#This Row],[Loss date]])*12+MONTH(Table1[[#This Row],[Loss date]])-Earliest_Month)/4)</f>
        <v>3</v>
      </c>
      <c r="Y812" s="17">
        <f>INT((YEAR(Table1[[#This Row],[Reporting date]])*12+MONTH(Table1[[#This Row],[Reporting date]])-Earliest_Month)/4)</f>
        <v>4</v>
      </c>
      <c r="Z812" s="17">
        <f>Table1[[#This Row],[Reporting third]]-Table1[[#This Row],[Policy third]]</f>
        <v>1</v>
      </c>
      <c r="AA812" s="71">
        <f>IF(Table1[[#This Row],[Overall amount]]=0,"N/A",Table1[[#This Row],[Outstanding]]/Table1[[#This Row],[Overall amount]])</f>
        <v>0</v>
      </c>
      <c r="AB812" s="17">
        <f>IF(MONTH(Table1[[#This Row],[Loss date]])&lt;Pol_Inc_Month_Shifted,YEAR(Table1[[#This Row],[Loss date]])-1,YEAR(Table1[[#This Row],[Loss date]]))</f>
        <v>2005</v>
      </c>
      <c r="AC812" s="17">
        <f>IF(MONTH(Table1[[#This Row],[Reporting date]])&lt;Pol_Inc_Month_Shifted,YEAR(Table1[[#This Row],[Reporting date]])-1,YEAR(Table1[[#This Row],[Reporting date]]))</f>
        <v>2005</v>
      </c>
      <c r="AD812" s="17">
        <f>Table1[[#This Row],[Reporting year (shifted)]]-Table1[[#This Row],[Policy Year (shifted)]]</f>
        <v>0</v>
      </c>
    </row>
    <row r="813" spans="1:30" ht="13.9">
      <c r="A813" s="8" t="s">
        <v>2583</v>
      </c>
      <c r="B813" s="8" t="s">
        <v>865</v>
      </c>
      <c r="C813" s="8" t="s">
        <v>123</v>
      </c>
      <c r="D813" s="9">
        <v>38845</v>
      </c>
      <c r="E813" s="9">
        <v>38913</v>
      </c>
      <c r="F813" s="17">
        <f>IF(MONTH(Table1[[#This Row],[Loss date]])&lt;Policy_Inception_Month,YEAR(Table1[[#This Row],[Loss date]])-1,YEAR(Table1[[#This Row],[Loss date]]))</f>
        <v>2006</v>
      </c>
      <c r="G813" s="10" t="s">
        <v>125</v>
      </c>
      <c r="H813" s="10" t="s">
        <v>2</v>
      </c>
      <c r="I813" s="11">
        <v>3561.7032780271629</v>
      </c>
      <c r="J813" s="11">
        <v>0</v>
      </c>
      <c r="K813" s="11">
        <v>3561.7032780271629</v>
      </c>
      <c r="L813" s="12">
        <v>0</v>
      </c>
      <c r="M813" s="12">
        <v>0</v>
      </c>
      <c r="N813" s="12">
        <v>3561.7032780271629</v>
      </c>
      <c r="O813" s="70">
        <f>IF(Table1[[#This Row],[Overall amount]]=0,0,1)</f>
        <v>1</v>
      </c>
      <c r="P813" s="70">
        <f>Table1[[#This Row],[Overall amount]]*Exchange_Rate</f>
        <v>3561.7032780271629</v>
      </c>
      <c r="Q813" s="70">
        <f>Table1[[#This Row],[Overall (destination currency)]]*(1+Claims_Inflation)^((Revalue_at_date-Table1[[#This Row],[Loss date]])/365.25)</f>
        <v>5634</v>
      </c>
      <c r="R813" s="70">
        <f>INT(Table1[[#This Row],[Reporting date]])-INT(Table1[[#This Row],[Loss date]])</f>
        <v>68</v>
      </c>
      <c r="S813" s="69" t="s">
        <v>9</v>
      </c>
      <c r="T813" s="70">
        <f>VLOOKUP(Table1[[#This Row],[Policy Year]],exposure_table,3,FALSE)</f>
        <v>483.32023209000977</v>
      </c>
      <c r="U813" s="17">
        <f>IF(MONTH(Table1[[#This Row],[Reporting date]])&lt;Policy_Inception_Month,YEAR(Table1[[#This Row],[Reporting date]])-1,YEAR(Table1[[#This Row],[Reporting date]]))</f>
        <v>2006</v>
      </c>
      <c r="V813" s="17">
        <f>Table1[[#This Row],[Reporting year]]-Table1[[#This Row],[Policy Year]]</f>
        <v>0</v>
      </c>
      <c r="W813" s="17">
        <f>INT(Table1[[#This Row],[Reporting date]])-INT(Table1[[#This Row],[Loss date]])</f>
        <v>68</v>
      </c>
      <c r="X813" s="17">
        <f>INT((YEAR(Table1[[#This Row],[Loss date]])*12+MONTH(Table1[[#This Row],[Loss date]])-Earliest_Month)/4)</f>
        <v>3</v>
      </c>
      <c r="Y813" s="17">
        <f>INT((YEAR(Table1[[#This Row],[Reporting date]])*12+MONTH(Table1[[#This Row],[Reporting date]])-Earliest_Month)/4)</f>
        <v>3</v>
      </c>
      <c r="Z813" s="17">
        <f>Table1[[#This Row],[Reporting third]]-Table1[[#This Row],[Policy third]]</f>
        <v>0</v>
      </c>
      <c r="AA813" s="71">
        <f>IF(Table1[[#This Row],[Overall amount]]=0,"N/A",Table1[[#This Row],[Outstanding]]/Table1[[#This Row],[Overall amount]])</f>
        <v>0</v>
      </c>
      <c r="AB813" s="17">
        <f>IF(MONTH(Table1[[#This Row],[Loss date]])&lt;Pol_Inc_Month_Shifted,YEAR(Table1[[#This Row],[Loss date]])-1,YEAR(Table1[[#This Row],[Loss date]]))</f>
        <v>2005</v>
      </c>
      <c r="AC813" s="17">
        <f>IF(MONTH(Table1[[#This Row],[Reporting date]])&lt;Pol_Inc_Month_Shifted,YEAR(Table1[[#This Row],[Reporting date]])-1,YEAR(Table1[[#This Row],[Reporting date]]))</f>
        <v>2005</v>
      </c>
      <c r="AD813" s="17">
        <f>Table1[[#This Row],[Reporting year (shifted)]]-Table1[[#This Row],[Policy Year (shifted)]]</f>
        <v>0</v>
      </c>
    </row>
    <row r="814" spans="1:30" ht="13.9">
      <c r="A814" s="8" t="s">
        <v>2584</v>
      </c>
      <c r="B814" s="8" t="s">
        <v>866</v>
      </c>
      <c r="C814" s="8" t="s">
        <v>123</v>
      </c>
      <c r="D814" s="9">
        <v>38962</v>
      </c>
      <c r="E814" s="9">
        <v>39021</v>
      </c>
      <c r="F814" s="17">
        <f>IF(MONTH(Table1[[#This Row],[Loss date]])&lt;Policy_Inception_Month,YEAR(Table1[[#This Row],[Loss date]])-1,YEAR(Table1[[#This Row],[Loss date]]))</f>
        <v>2006</v>
      </c>
      <c r="G814" s="10" t="s">
        <v>126</v>
      </c>
      <c r="H814" s="10" t="s">
        <v>2</v>
      </c>
      <c r="I814" s="11">
        <v>6310.9331295498187</v>
      </c>
      <c r="J814" s="11">
        <v>0</v>
      </c>
      <c r="K814" s="11">
        <v>6310.9331295498187</v>
      </c>
      <c r="L814" s="12">
        <v>0</v>
      </c>
      <c r="M814" s="12">
        <v>0</v>
      </c>
      <c r="N814" s="12">
        <v>6310.9331295498187</v>
      </c>
      <c r="O814" s="70">
        <f>IF(Table1[[#This Row],[Overall amount]]=0,0,1)</f>
        <v>1</v>
      </c>
      <c r="P814" s="70">
        <f>Table1[[#This Row],[Overall amount]]*Exchange_Rate</f>
        <v>6310.9331295498187</v>
      </c>
      <c r="Q814" s="70">
        <f>Table1[[#This Row],[Overall (destination currency)]]*(1+Claims_Inflation)^((Revalue_at_date-Table1[[#This Row],[Loss date]])/365.25)</f>
        <v>9828</v>
      </c>
      <c r="R814" s="70">
        <f>INT(Table1[[#This Row],[Reporting date]])-INT(Table1[[#This Row],[Loss date]])</f>
        <v>59</v>
      </c>
      <c r="S814" s="69" t="s">
        <v>9</v>
      </c>
      <c r="T814" s="70">
        <f>VLOOKUP(Table1[[#This Row],[Policy Year]],exposure_table,3,FALSE)</f>
        <v>483.32023209000977</v>
      </c>
      <c r="U814" s="17">
        <f>IF(MONTH(Table1[[#This Row],[Reporting date]])&lt;Policy_Inception_Month,YEAR(Table1[[#This Row],[Reporting date]])-1,YEAR(Table1[[#This Row],[Reporting date]]))</f>
        <v>2006</v>
      </c>
      <c r="V814" s="17">
        <f>Table1[[#This Row],[Reporting year]]-Table1[[#This Row],[Policy Year]]</f>
        <v>0</v>
      </c>
      <c r="W814" s="17">
        <f>INT(Table1[[#This Row],[Reporting date]])-INT(Table1[[#This Row],[Loss date]])</f>
        <v>59</v>
      </c>
      <c r="X814" s="17">
        <f>INT((YEAR(Table1[[#This Row],[Loss date]])*12+MONTH(Table1[[#This Row],[Loss date]])-Earliest_Month)/4)</f>
        <v>4</v>
      </c>
      <c r="Y814" s="17">
        <f>INT((YEAR(Table1[[#This Row],[Reporting date]])*12+MONTH(Table1[[#This Row],[Reporting date]])-Earliest_Month)/4)</f>
        <v>4</v>
      </c>
      <c r="Z814" s="17">
        <f>Table1[[#This Row],[Reporting third]]-Table1[[#This Row],[Policy third]]</f>
        <v>0</v>
      </c>
      <c r="AA814" s="71">
        <f>IF(Table1[[#This Row],[Overall amount]]=0,"N/A",Table1[[#This Row],[Outstanding]]/Table1[[#This Row],[Overall amount]])</f>
        <v>0</v>
      </c>
      <c r="AB814" s="17">
        <f>IF(MONTH(Table1[[#This Row],[Loss date]])&lt;Pol_Inc_Month_Shifted,YEAR(Table1[[#This Row],[Loss date]])-1,YEAR(Table1[[#This Row],[Loss date]]))</f>
        <v>2005</v>
      </c>
      <c r="AC814" s="17">
        <f>IF(MONTH(Table1[[#This Row],[Reporting date]])&lt;Pol_Inc_Month_Shifted,YEAR(Table1[[#This Row],[Reporting date]])-1,YEAR(Table1[[#This Row],[Reporting date]]))</f>
        <v>2005</v>
      </c>
      <c r="AD814" s="17">
        <f>Table1[[#This Row],[Reporting year (shifted)]]-Table1[[#This Row],[Policy Year (shifted)]]</f>
        <v>0</v>
      </c>
    </row>
    <row r="815" spans="1:30" ht="13.9">
      <c r="A815" s="8" t="s">
        <v>2585</v>
      </c>
      <c r="B815" s="8" t="s">
        <v>867</v>
      </c>
      <c r="C815" s="8" t="s">
        <v>123</v>
      </c>
      <c r="D815" s="9">
        <v>38949</v>
      </c>
      <c r="E815" s="9">
        <v>39172</v>
      </c>
      <c r="F815" s="17">
        <f>IF(MONTH(Table1[[#This Row],[Loss date]])&lt;Policy_Inception_Month,YEAR(Table1[[#This Row],[Loss date]])-1,YEAR(Table1[[#This Row],[Loss date]]))</f>
        <v>2006</v>
      </c>
      <c r="G815" s="10" t="s">
        <v>131</v>
      </c>
      <c r="H815" s="10" t="s">
        <v>2</v>
      </c>
      <c r="I815" s="11">
        <v>3958.2511315332308</v>
      </c>
      <c r="J815" s="11">
        <v>0</v>
      </c>
      <c r="K815" s="11">
        <v>3958.2511315332308</v>
      </c>
      <c r="L815" s="12">
        <v>0</v>
      </c>
      <c r="M815" s="12">
        <v>0</v>
      </c>
      <c r="N815" s="12">
        <v>3958.2511315332308</v>
      </c>
      <c r="O815" s="70">
        <f>IF(Table1[[#This Row],[Overall amount]]=0,0,1)</f>
        <v>1</v>
      </c>
      <c r="P815" s="70">
        <f>Table1[[#This Row],[Overall amount]]*Exchange_Rate</f>
        <v>3958.2511315332308</v>
      </c>
      <c r="Q815" s="70">
        <f>Table1[[#This Row],[Overall (destination currency)]]*(1+Claims_Inflation)^((Revalue_at_date-Table1[[#This Row],[Loss date]])/365.25)</f>
        <v>6174.887999999999</v>
      </c>
      <c r="R815" s="70">
        <f>INT(Table1[[#This Row],[Reporting date]])-INT(Table1[[#This Row],[Loss date]])</f>
        <v>223</v>
      </c>
      <c r="S815" s="69" t="s">
        <v>9</v>
      </c>
      <c r="T815" s="70">
        <f>VLOOKUP(Table1[[#This Row],[Policy Year]],exposure_table,3,FALSE)</f>
        <v>483.32023209000977</v>
      </c>
      <c r="U815" s="17">
        <f>IF(MONTH(Table1[[#This Row],[Reporting date]])&lt;Policy_Inception_Month,YEAR(Table1[[#This Row],[Reporting date]])-1,YEAR(Table1[[#This Row],[Reporting date]]))</f>
        <v>2006</v>
      </c>
      <c r="V815" s="17">
        <f>Table1[[#This Row],[Reporting year]]-Table1[[#This Row],[Policy Year]]</f>
        <v>0</v>
      </c>
      <c r="W815" s="17">
        <f>INT(Table1[[#This Row],[Reporting date]])-INT(Table1[[#This Row],[Loss date]])</f>
        <v>223</v>
      </c>
      <c r="X815" s="17">
        <f>INT((YEAR(Table1[[#This Row],[Loss date]])*12+MONTH(Table1[[#This Row],[Loss date]])-Earliest_Month)/4)</f>
        <v>4</v>
      </c>
      <c r="Y815" s="17">
        <f>INT((YEAR(Table1[[#This Row],[Reporting date]])*12+MONTH(Table1[[#This Row],[Reporting date]])-Earliest_Month)/4)</f>
        <v>5</v>
      </c>
      <c r="Z815" s="17">
        <f>Table1[[#This Row],[Reporting third]]-Table1[[#This Row],[Policy third]]</f>
        <v>1</v>
      </c>
      <c r="AA815" s="71">
        <f>IF(Table1[[#This Row],[Overall amount]]=0,"N/A",Table1[[#This Row],[Outstanding]]/Table1[[#This Row],[Overall amount]])</f>
        <v>0</v>
      </c>
      <c r="AB815" s="17">
        <f>IF(MONTH(Table1[[#This Row],[Loss date]])&lt;Pol_Inc_Month_Shifted,YEAR(Table1[[#This Row],[Loss date]])-1,YEAR(Table1[[#This Row],[Loss date]]))</f>
        <v>2005</v>
      </c>
      <c r="AC815" s="17">
        <f>IF(MONTH(Table1[[#This Row],[Reporting date]])&lt;Pol_Inc_Month_Shifted,YEAR(Table1[[#This Row],[Reporting date]])-1,YEAR(Table1[[#This Row],[Reporting date]]))</f>
        <v>2006</v>
      </c>
      <c r="AD815" s="17">
        <f>Table1[[#This Row],[Reporting year (shifted)]]-Table1[[#This Row],[Policy Year (shifted)]]</f>
        <v>1</v>
      </c>
    </row>
    <row r="816" spans="1:30" ht="13.9">
      <c r="A816" s="8" t="s">
        <v>2586</v>
      </c>
      <c r="B816" s="8" t="s">
        <v>868</v>
      </c>
      <c r="C816" s="8" t="s">
        <v>123</v>
      </c>
      <c r="D816" s="9">
        <v>38951</v>
      </c>
      <c r="E816" s="9">
        <v>39070</v>
      </c>
      <c r="F816" s="17">
        <f>IF(MONTH(Table1[[#This Row],[Loss date]])&lt;Policy_Inception_Month,YEAR(Table1[[#This Row],[Loss date]])-1,YEAR(Table1[[#This Row],[Loss date]]))</f>
        <v>2006</v>
      </c>
      <c r="G816" s="10" t="s">
        <v>125</v>
      </c>
      <c r="H816" s="10" t="s">
        <v>2</v>
      </c>
      <c r="I816" s="11">
        <v>4461.7570409648006</v>
      </c>
      <c r="J816" s="11">
        <v>0</v>
      </c>
      <c r="K816" s="11">
        <v>4461.7570409648006</v>
      </c>
      <c r="L816" s="12">
        <v>0</v>
      </c>
      <c r="M816" s="12">
        <v>0</v>
      </c>
      <c r="N816" s="12">
        <v>4461.7570409648006</v>
      </c>
      <c r="O816" s="70">
        <f>IF(Table1[[#This Row],[Overall amount]]=0,0,1)</f>
        <v>1</v>
      </c>
      <c r="P816" s="70">
        <f>Table1[[#This Row],[Overall amount]]*Exchange_Rate</f>
        <v>4461.7570409648006</v>
      </c>
      <c r="Q816" s="70">
        <f>Table1[[#This Row],[Overall (destination currency)]]*(1+Claims_Inflation)^((Revalue_at_date-Table1[[#This Row],[Loss date]])/365.25)</f>
        <v>6958.4999999999991</v>
      </c>
      <c r="R816" s="70">
        <f>INT(Table1[[#This Row],[Reporting date]])-INT(Table1[[#This Row],[Loss date]])</f>
        <v>119</v>
      </c>
      <c r="S816" s="69" t="s">
        <v>9</v>
      </c>
      <c r="T816" s="70">
        <f>VLOOKUP(Table1[[#This Row],[Policy Year]],exposure_table,3,FALSE)</f>
        <v>483.32023209000977</v>
      </c>
      <c r="U816" s="17">
        <f>IF(MONTH(Table1[[#This Row],[Reporting date]])&lt;Policy_Inception_Month,YEAR(Table1[[#This Row],[Reporting date]])-1,YEAR(Table1[[#This Row],[Reporting date]]))</f>
        <v>2006</v>
      </c>
      <c r="V816" s="17">
        <f>Table1[[#This Row],[Reporting year]]-Table1[[#This Row],[Policy Year]]</f>
        <v>0</v>
      </c>
      <c r="W816" s="17">
        <f>INT(Table1[[#This Row],[Reporting date]])-INT(Table1[[#This Row],[Loss date]])</f>
        <v>119</v>
      </c>
      <c r="X816" s="17">
        <f>INT((YEAR(Table1[[#This Row],[Loss date]])*12+MONTH(Table1[[#This Row],[Loss date]])-Earliest_Month)/4)</f>
        <v>4</v>
      </c>
      <c r="Y816" s="17">
        <f>INT((YEAR(Table1[[#This Row],[Reporting date]])*12+MONTH(Table1[[#This Row],[Reporting date]])-Earliest_Month)/4)</f>
        <v>5</v>
      </c>
      <c r="Z816" s="17">
        <f>Table1[[#This Row],[Reporting third]]-Table1[[#This Row],[Policy third]]</f>
        <v>1</v>
      </c>
      <c r="AA816" s="71">
        <f>IF(Table1[[#This Row],[Overall amount]]=0,"N/A",Table1[[#This Row],[Outstanding]]/Table1[[#This Row],[Overall amount]])</f>
        <v>0</v>
      </c>
      <c r="AB816" s="17">
        <f>IF(MONTH(Table1[[#This Row],[Loss date]])&lt;Pol_Inc_Month_Shifted,YEAR(Table1[[#This Row],[Loss date]])-1,YEAR(Table1[[#This Row],[Loss date]]))</f>
        <v>2005</v>
      </c>
      <c r="AC816" s="17">
        <f>IF(MONTH(Table1[[#This Row],[Reporting date]])&lt;Pol_Inc_Month_Shifted,YEAR(Table1[[#This Row],[Reporting date]])-1,YEAR(Table1[[#This Row],[Reporting date]]))</f>
        <v>2006</v>
      </c>
      <c r="AD816" s="17">
        <f>Table1[[#This Row],[Reporting year (shifted)]]-Table1[[#This Row],[Policy Year (shifted)]]</f>
        <v>1</v>
      </c>
    </row>
    <row r="817" spans="1:30" ht="13.9">
      <c r="A817" s="8" t="s">
        <v>2587</v>
      </c>
      <c r="B817" s="8" t="s">
        <v>869</v>
      </c>
      <c r="C817" s="8" t="s">
        <v>123</v>
      </c>
      <c r="D817" s="9">
        <v>38979</v>
      </c>
      <c r="E817" s="9">
        <v>39243</v>
      </c>
      <c r="F817" s="17">
        <f>IF(MONTH(Table1[[#This Row],[Loss date]])&lt;Policy_Inception_Month,YEAR(Table1[[#This Row],[Loss date]])-1,YEAR(Table1[[#This Row],[Loss date]]))</f>
        <v>2006</v>
      </c>
      <c r="G817" s="10" t="s">
        <v>131</v>
      </c>
      <c r="H817" s="10" t="s">
        <v>2</v>
      </c>
      <c r="I817" s="11">
        <v>6946.0926908348729</v>
      </c>
      <c r="J817" s="11">
        <v>0</v>
      </c>
      <c r="K817" s="11">
        <v>6946.0926908348729</v>
      </c>
      <c r="L817" s="12">
        <v>0</v>
      </c>
      <c r="M817" s="12">
        <v>0</v>
      </c>
      <c r="N817" s="12">
        <v>6946.0926908348729</v>
      </c>
      <c r="O817" s="70">
        <f>IF(Table1[[#This Row],[Overall amount]]=0,0,1)</f>
        <v>1</v>
      </c>
      <c r="P817" s="70">
        <f>Table1[[#This Row],[Overall amount]]*Exchange_Rate</f>
        <v>6946.0926908348729</v>
      </c>
      <c r="Q817" s="70">
        <f>Table1[[#This Row],[Overall (destination currency)]]*(1+Claims_Inflation)^((Revalue_at_date-Table1[[#This Row],[Loss date]])/365.25)</f>
        <v>10792.596</v>
      </c>
      <c r="R817" s="70">
        <f>INT(Table1[[#This Row],[Reporting date]])-INT(Table1[[#This Row],[Loss date]])</f>
        <v>264</v>
      </c>
      <c r="S817" s="69" t="s">
        <v>9</v>
      </c>
      <c r="T817" s="70">
        <f>VLOOKUP(Table1[[#This Row],[Policy Year]],exposure_table,3,FALSE)</f>
        <v>483.32023209000977</v>
      </c>
      <c r="U817" s="17">
        <f>IF(MONTH(Table1[[#This Row],[Reporting date]])&lt;Policy_Inception_Month,YEAR(Table1[[#This Row],[Reporting date]])-1,YEAR(Table1[[#This Row],[Reporting date]]))</f>
        <v>2007</v>
      </c>
      <c r="V817" s="17">
        <f>Table1[[#This Row],[Reporting year]]-Table1[[#This Row],[Policy Year]]</f>
        <v>1</v>
      </c>
      <c r="W817" s="17">
        <f>INT(Table1[[#This Row],[Reporting date]])-INT(Table1[[#This Row],[Loss date]])</f>
        <v>264</v>
      </c>
      <c r="X817" s="17">
        <f>INT((YEAR(Table1[[#This Row],[Loss date]])*12+MONTH(Table1[[#This Row],[Loss date]])-Earliest_Month)/4)</f>
        <v>4</v>
      </c>
      <c r="Y817" s="17">
        <f>INT((YEAR(Table1[[#This Row],[Reporting date]])*12+MONTH(Table1[[#This Row],[Reporting date]])-Earliest_Month)/4)</f>
        <v>6</v>
      </c>
      <c r="Z817" s="17">
        <f>Table1[[#This Row],[Reporting third]]-Table1[[#This Row],[Policy third]]</f>
        <v>2</v>
      </c>
      <c r="AA817" s="71">
        <f>IF(Table1[[#This Row],[Overall amount]]=0,"N/A",Table1[[#This Row],[Outstanding]]/Table1[[#This Row],[Overall amount]])</f>
        <v>0</v>
      </c>
      <c r="AB817" s="17">
        <f>IF(MONTH(Table1[[#This Row],[Loss date]])&lt;Pol_Inc_Month_Shifted,YEAR(Table1[[#This Row],[Loss date]])-1,YEAR(Table1[[#This Row],[Loss date]]))</f>
        <v>2005</v>
      </c>
      <c r="AC817" s="17">
        <f>IF(MONTH(Table1[[#This Row],[Reporting date]])&lt;Pol_Inc_Month_Shifted,YEAR(Table1[[#This Row],[Reporting date]])-1,YEAR(Table1[[#This Row],[Reporting date]]))</f>
        <v>2006</v>
      </c>
      <c r="AD817" s="17">
        <f>Table1[[#This Row],[Reporting year (shifted)]]-Table1[[#This Row],[Policy Year (shifted)]]</f>
        <v>1</v>
      </c>
    </row>
    <row r="818" spans="1:30" ht="13.9">
      <c r="A818" s="8" t="s">
        <v>2588</v>
      </c>
      <c r="B818" s="8" t="s">
        <v>870</v>
      </c>
      <c r="C818" s="8" t="s">
        <v>123</v>
      </c>
      <c r="D818" s="9">
        <v>39199</v>
      </c>
      <c r="E818" s="9">
        <v>39243</v>
      </c>
      <c r="F818" s="17">
        <f>IF(MONTH(Table1[[#This Row],[Loss date]])&lt;Policy_Inception_Month,YEAR(Table1[[#This Row],[Loss date]])-1,YEAR(Table1[[#This Row],[Loss date]]))</f>
        <v>2007</v>
      </c>
      <c r="G818" s="10" t="s">
        <v>125</v>
      </c>
      <c r="H818" s="10" t="s">
        <v>2</v>
      </c>
      <c r="I818" s="11">
        <v>4385.9229098354444</v>
      </c>
      <c r="J818" s="11">
        <v>0</v>
      </c>
      <c r="K818" s="11">
        <v>4385.9229098354444</v>
      </c>
      <c r="L818" s="12">
        <v>0</v>
      </c>
      <c r="M818" s="12">
        <v>280.69906622946849</v>
      </c>
      <c r="N818" s="12">
        <v>4105.2238436059761</v>
      </c>
      <c r="O818" s="70">
        <f>IF(Table1[[#This Row],[Overall amount]]=0,0,1)</f>
        <v>1</v>
      </c>
      <c r="P818" s="70">
        <f>Table1[[#This Row],[Overall amount]]*Exchange_Rate</f>
        <v>4105.2238436059761</v>
      </c>
      <c r="Q818" s="70">
        <f>Table1[[#This Row],[Overall (destination currency)]]*(1+Claims_Inflation)^((Revalue_at_date-Table1[[#This Row],[Loss date]])/365.25)</f>
        <v>6193.8302399999984</v>
      </c>
      <c r="R818" s="70">
        <f>INT(Table1[[#This Row],[Reporting date]])-INT(Table1[[#This Row],[Loss date]])</f>
        <v>44</v>
      </c>
      <c r="S818" s="69" t="s">
        <v>9</v>
      </c>
      <c r="T818" s="70">
        <f>VLOOKUP(Table1[[#This Row],[Policy Year]],exposure_table,3,FALSE)</f>
        <v>547.7736362475523</v>
      </c>
      <c r="U818" s="17">
        <f>IF(MONTH(Table1[[#This Row],[Reporting date]])&lt;Policy_Inception_Month,YEAR(Table1[[#This Row],[Reporting date]])-1,YEAR(Table1[[#This Row],[Reporting date]]))</f>
        <v>2007</v>
      </c>
      <c r="V818" s="17">
        <f>Table1[[#This Row],[Reporting year]]-Table1[[#This Row],[Policy Year]]</f>
        <v>0</v>
      </c>
      <c r="W818" s="17">
        <f>INT(Table1[[#This Row],[Reporting date]])-INT(Table1[[#This Row],[Loss date]])</f>
        <v>44</v>
      </c>
      <c r="X818" s="17">
        <f>INT((YEAR(Table1[[#This Row],[Loss date]])*12+MONTH(Table1[[#This Row],[Loss date]])-Earliest_Month)/4)</f>
        <v>6</v>
      </c>
      <c r="Y818" s="17">
        <f>INT((YEAR(Table1[[#This Row],[Reporting date]])*12+MONTH(Table1[[#This Row],[Reporting date]])-Earliest_Month)/4)</f>
        <v>6</v>
      </c>
      <c r="Z818" s="17">
        <f>Table1[[#This Row],[Reporting third]]-Table1[[#This Row],[Policy third]]</f>
        <v>0</v>
      </c>
      <c r="AA818" s="71">
        <f>IF(Table1[[#This Row],[Overall amount]]=0,"N/A",Table1[[#This Row],[Outstanding]]/Table1[[#This Row],[Overall amount]])</f>
        <v>0</v>
      </c>
      <c r="AB818" s="17">
        <f>IF(MONTH(Table1[[#This Row],[Loss date]])&lt;Pol_Inc_Month_Shifted,YEAR(Table1[[#This Row],[Loss date]])-1,YEAR(Table1[[#This Row],[Loss date]]))</f>
        <v>2006</v>
      </c>
      <c r="AC818" s="17">
        <f>IF(MONTH(Table1[[#This Row],[Reporting date]])&lt;Pol_Inc_Month_Shifted,YEAR(Table1[[#This Row],[Reporting date]])-1,YEAR(Table1[[#This Row],[Reporting date]]))</f>
        <v>2006</v>
      </c>
      <c r="AD818" s="17">
        <f>Table1[[#This Row],[Reporting year (shifted)]]-Table1[[#This Row],[Policy Year (shifted)]]</f>
        <v>0</v>
      </c>
    </row>
    <row r="819" spans="1:30" ht="13.9">
      <c r="A819" s="8" t="s">
        <v>2589</v>
      </c>
      <c r="B819" s="8" t="s">
        <v>871</v>
      </c>
      <c r="C819" s="8" t="s">
        <v>123</v>
      </c>
      <c r="D819" s="9">
        <v>39199</v>
      </c>
      <c r="E819" s="9">
        <v>39230</v>
      </c>
      <c r="F819" s="17">
        <f>IF(MONTH(Table1[[#This Row],[Loss date]])&lt;Policy_Inception_Month,YEAR(Table1[[#This Row],[Loss date]])-1,YEAR(Table1[[#This Row],[Loss date]]))</f>
        <v>2007</v>
      </c>
      <c r="G819" s="10" t="s">
        <v>125</v>
      </c>
      <c r="H819" s="10" t="s">
        <v>2</v>
      </c>
      <c r="I819" s="11">
        <v>10372.656580463879</v>
      </c>
      <c r="J819" s="11">
        <v>0</v>
      </c>
      <c r="K819" s="11">
        <v>10372.656580463879</v>
      </c>
      <c r="L819" s="12">
        <v>0</v>
      </c>
      <c r="M819" s="12">
        <v>248.94375793113318</v>
      </c>
      <c r="N819" s="12">
        <v>10123.712822532747</v>
      </c>
      <c r="O819" s="70">
        <f>IF(Table1[[#This Row],[Overall amount]]=0,0,1)</f>
        <v>1</v>
      </c>
      <c r="P819" s="70">
        <f>Table1[[#This Row],[Overall amount]]*Exchange_Rate</f>
        <v>10123.712822532747</v>
      </c>
      <c r="Q819" s="70">
        <f>Table1[[#This Row],[Overall (destination currency)]]*(1+Claims_Inflation)^((Revalue_at_date-Table1[[#This Row],[Loss date]])/365.25)</f>
        <v>15274.333632</v>
      </c>
      <c r="R819" s="70">
        <f>INT(Table1[[#This Row],[Reporting date]])-INT(Table1[[#This Row],[Loss date]])</f>
        <v>31</v>
      </c>
      <c r="S819" s="69" t="s">
        <v>9</v>
      </c>
      <c r="T819" s="70">
        <f>VLOOKUP(Table1[[#This Row],[Policy Year]],exposure_table,3,FALSE)</f>
        <v>547.7736362475523</v>
      </c>
      <c r="U819" s="17">
        <f>IF(MONTH(Table1[[#This Row],[Reporting date]])&lt;Policy_Inception_Month,YEAR(Table1[[#This Row],[Reporting date]])-1,YEAR(Table1[[#This Row],[Reporting date]]))</f>
        <v>2007</v>
      </c>
      <c r="V819" s="17">
        <f>Table1[[#This Row],[Reporting year]]-Table1[[#This Row],[Policy Year]]</f>
        <v>0</v>
      </c>
      <c r="W819" s="17">
        <f>INT(Table1[[#This Row],[Reporting date]])-INT(Table1[[#This Row],[Loss date]])</f>
        <v>31</v>
      </c>
      <c r="X819" s="17">
        <f>INT((YEAR(Table1[[#This Row],[Loss date]])*12+MONTH(Table1[[#This Row],[Loss date]])-Earliest_Month)/4)</f>
        <v>6</v>
      </c>
      <c r="Y819" s="17">
        <f>INT((YEAR(Table1[[#This Row],[Reporting date]])*12+MONTH(Table1[[#This Row],[Reporting date]])-Earliest_Month)/4)</f>
        <v>6</v>
      </c>
      <c r="Z819" s="17">
        <f>Table1[[#This Row],[Reporting third]]-Table1[[#This Row],[Policy third]]</f>
        <v>0</v>
      </c>
      <c r="AA819" s="71">
        <f>IF(Table1[[#This Row],[Overall amount]]=0,"N/A",Table1[[#This Row],[Outstanding]]/Table1[[#This Row],[Overall amount]])</f>
        <v>0</v>
      </c>
      <c r="AB819" s="17">
        <f>IF(MONTH(Table1[[#This Row],[Loss date]])&lt;Pol_Inc_Month_Shifted,YEAR(Table1[[#This Row],[Loss date]])-1,YEAR(Table1[[#This Row],[Loss date]]))</f>
        <v>2006</v>
      </c>
      <c r="AC819" s="17">
        <f>IF(MONTH(Table1[[#This Row],[Reporting date]])&lt;Pol_Inc_Month_Shifted,YEAR(Table1[[#This Row],[Reporting date]])-1,YEAR(Table1[[#This Row],[Reporting date]]))</f>
        <v>2006</v>
      </c>
      <c r="AD819" s="17">
        <f>Table1[[#This Row],[Reporting year (shifted)]]-Table1[[#This Row],[Policy Year (shifted)]]</f>
        <v>0</v>
      </c>
    </row>
    <row r="820" spans="1:30" ht="13.9">
      <c r="A820" s="8" t="s">
        <v>2590</v>
      </c>
      <c r="B820" s="8" t="s">
        <v>872</v>
      </c>
      <c r="C820" s="8" t="s">
        <v>123</v>
      </c>
      <c r="D820" s="9">
        <v>39124</v>
      </c>
      <c r="E820" s="9">
        <v>39297</v>
      </c>
      <c r="F820" s="17">
        <f>IF(MONTH(Table1[[#This Row],[Loss date]])&lt;Policy_Inception_Month,YEAR(Table1[[#This Row],[Loss date]])-1,YEAR(Table1[[#This Row],[Loss date]]))</f>
        <v>2006</v>
      </c>
      <c r="G820" s="10" t="s">
        <v>125</v>
      </c>
      <c r="H820" s="10" t="s">
        <v>2</v>
      </c>
      <c r="I820" s="11">
        <v>8919.4571914604021</v>
      </c>
      <c r="J820" s="11">
        <v>0</v>
      </c>
      <c r="K820" s="11">
        <v>8919.4571914604021</v>
      </c>
      <c r="L820" s="12">
        <v>0</v>
      </c>
      <c r="M820" s="12">
        <v>668.95928935953009</v>
      </c>
      <c r="N820" s="12">
        <v>8250.4979021008712</v>
      </c>
      <c r="O820" s="70">
        <f>IF(Table1[[#This Row],[Overall amount]]=0,0,1)</f>
        <v>1</v>
      </c>
      <c r="P820" s="70">
        <f>Table1[[#This Row],[Overall amount]]*Exchange_Rate</f>
        <v>8250.4979021008712</v>
      </c>
      <c r="Q820" s="70">
        <f>Table1[[#This Row],[Overall (destination currency)]]*(1+Claims_Inflation)^((Revalue_at_date-Table1[[#This Row],[Loss date]])/365.25)</f>
        <v>12573.425099999997</v>
      </c>
      <c r="R820" s="70">
        <f>INT(Table1[[#This Row],[Reporting date]])-INT(Table1[[#This Row],[Loss date]])</f>
        <v>173</v>
      </c>
      <c r="S820" s="69" t="s">
        <v>9</v>
      </c>
      <c r="T820" s="70">
        <f>VLOOKUP(Table1[[#This Row],[Policy Year]],exposure_table,3,FALSE)</f>
        <v>483.32023209000977</v>
      </c>
      <c r="U820" s="17">
        <f>IF(MONTH(Table1[[#This Row],[Reporting date]])&lt;Policy_Inception_Month,YEAR(Table1[[#This Row],[Reporting date]])-1,YEAR(Table1[[#This Row],[Reporting date]]))</f>
        <v>2007</v>
      </c>
      <c r="V820" s="17">
        <f>Table1[[#This Row],[Reporting year]]-Table1[[#This Row],[Policy Year]]</f>
        <v>1</v>
      </c>
      <c r="W820" s="17">
        <f>INT(Table1[[#This Row],[Reporting date]])-INT(Table1[[#This Row],[Loss date]])</f>
        <v>173</v>
      </c>
      <c r="X820" s="17">
        <f>INT((YEAR(Table1[[#This Row],[Loss date]])*12+MONTH(Table1[[#This Row],[Loss date]])-Earliest_Month)/4)</f>
        <v>5</v>
      </c>
      <c r="Y820" s="17">
        <f>INT((YEAR(Table1[[#This Row],[Reporting date]])*12+MONTH(Table1[[#This Row],[Reporting date]])-Earliest_Month)/4)</f>
        <v>7</v>
      </c>
      <c r="Z820" s="17">
        <f>Table1[[#This Row],[Reporting third]]-Table1[[#This Row],[Policy third]]</f>
        <v>2</v>
      </c>
      <c r="AA820" s="71">
        <f>IF(Table1[[#This Row],[Overall amount]]=0,"N/A",Table1[[#This Row],[Outstanding]]/Table1[[#This Row],[Overall amount]])</f>
        <v>0</v>
      </c>
      <c r="AB820" s="17">
        <f>IF(MONTH(Table1[[#This Row],[Loss date]])&lt;Pol_Inc_Month_Shifted,YEAR(Table1[[#This Row],[Loss date]])-1,YEAR(Table1[[#This Row],[Loss date]]))</f>
        <v>2006</v>
      </c>
      <c r="AC820" s="17">
        <f>IF(MONTH(Table1[[#This Row],[Reporting date]])&lt;Pol_Inc_Month_Shifted,YEAR(Table1[[#This Row],[Reporting date]])-1,YEAR(Table1[[#This Row],[Reporting date]]))</f>
        <v>2006</v>
      </c>
      <c r="AD820" s="17">
        <f>Table1[[#This Row],[Reporting year (shifted)]]-Table1[[#This Row],[Policy Year (shifted)]]</f>
        <v>0</v>
      </c>
    </row>
    <row r="821" spans="1:30" ht="13.9">
      <c r="A821" s="8" t="s">
        <v>2591</v>
      </c>
      <c r="B821" s="8" t="s">
        <v>873</v>
      </c>
      <c r="C821" s="8" t="s">
        <v>123</v>
      </c>
      <c r="D821" s="9">
        <v>39359</v>
      </c>
      <c r="E821" s="9">
        <v>39377</v>
      </c>
      <c r="F821" s="17">
        <f>IF(MONTH(Table1[[#This Row],[Loss date]])&lt;Policy_Inception_Month,YEAR(Table1[[#This Row],[Loss date]])-1,YEAR(Table1[[#This Row],[Loss date]]))</f>
        <v>2007</v>
      </c>
      <c r="G821" s="10" t="s">
        <v>125</v>
      </c>
      <c r="H821" s="10" t="s">
        <v>2</v>
      </c>
      <c r="I821" s="11">
        <v>172.66321661043381</v>
      </c>
      <c r="J821" s="11">
        <v>0</v>
      </c>
      <c r="K821" s="11">
        <v>172.66321661043381</v>
      </c>
      <c r="L821" s="12">
        <v>0</v>
      </c>
      <c r="M821" s="12">
        <v>0</v>
      </c>
      <c r="N821" s="12">
        <v>172.66321661043381</v>
      </c>
      <c r="O821" s="70">
        <f>IF(Table1[[#This Row],[Overall amount]]=0,0,1)</f>
        <v>1</v>
      </c>
      <c r="P821" s="70">
        <f>Table1[[#This Row],[Overall amount]]*Exchange_Rate</f>
        <v>172.66321661043381</v>
      </c>
      <c r="Q821" s="70">
        <f>Table1[[#This Row],[Overall (destination currency)]]*(1+Claims_Inflation)^((Revalue_at_date-Table1[[#This Row],[Loss date]])/365.25)</f>
        <v>255</v>
      </c>
      <c r="R821" s="70">
        <f>INT(Table1[[#This Row],[Reporting date]])-INT(Table1[[#This Row],[Loss date]])</f>
        <v>18</v>
      </c>
      <c r="S821" s="69" t="s">
        <v>9</v>
      </c>
      <c r="T821" s="70">
        <f>VLOOKUP(Table1[[#This Row],[Policy Year]],exposure_table,3,FALSE)</f>
        <v>547.7736362475523</v>
      </c>
      <c r="U821" s="17">
        <f>IF(MONTH(Table1[[#This Row],[Reporting date]])&lt;Policy_Inception_Month,YEAR(Table1[[#This Row],[Reporting date]])-1,YEAR(Table1[[#This Row],[Reporting date]]))</f>
        <v>2007</v>
      </c>
      <c r="V821" s="17">
        <f>Table1[[#This Row],[Reporting year]]-Table1[[#This Row],[Policy Year]]</f>
        <v>0</v>
      </c>
      <c r="W821" s="17">
        <f>INT(Table1[[#This Row],[Reporting date]])-INT(Table1[[#This Row],[Loss date]])</f>
        <v>18</v>
      </c>
      <c r="X821" s="17">
        <f>INT((YEAR(Table1[[#This Row],[Loss date]])*12+MONTH(Table1[[#This Row],[Loss date]])-Earliest_Month)/4)</f>
        <v>7</v>
      </c>
      <c r="Y821" s="17">
        <f>INT((YEAR(Table1[[#This Row],[Reporting date]])*12+MONTH(Table1[[#This Row],[Reporting date]])-Earliest_Month)/4)</f>
        <v>7</v>
      </c>
      <c r="Z821" s="17">
        <f>Table1[[#This Row],[Reporting third]]-Table1[[#This Row],[Policy third]]</f>
        <v>0</v>
      </c>
      <c r="AA821" s="71">
        <f>IF(Table1[[#This Row],[Overall amount]]=0,"N/A",Table1[[#This Row],[Outstanding]]/Table1[[#This Row],[Overall amount]])</f>
        <v>0</v>
      </c>
      <c r="AB821" s="17">
        <f>IF(MONTH(Table1[[#This Row],[Loss date]])&lt;Pol_Inc_Month_Shifted,YEAR(Table1[[#This Row],[Loss date]])-1,YEAR(Table1[[#This Row],[Loss date]]))</f>
        <v>2006</v>
      </c>
      <c r="AC821" s="17">
        <f>IF(MONTH(Table1[[#This Row],[Reporting date]])&lt;Pol_Inc_Month_Shifted,YEAR(Table1[[#This Row],[Reporting date]])-1,YEAR(Table1[[#This Row],[Reporting date]]))</f>
        <v>2006</v>
      </c>
      <c r="AD821" s="17">
        <f>Table1[[#This Row],[Reporting year (shifted)]]-Table1[[#This Row],[Policy Year (shifted)]]</f>
        <v>0</v>
      </c>
    </row>
    <row r="822" spans="1:30" ht="13.9">
      <c r="A822" s="8" t="s">
        <v>2592</v>
      </c>
      <c r="B822" s="8" t="s">
        <v>874</v>
      </c>
      <c r="C822" s="8" t="s">
        <v>123</v>
      </c>
      <c r="D822" s="9">
        <v>38556</v>
      </c>
      <c r="E822" s="9">
        <v>39415</v>
      </c>
      <c r="F822" s="17">
        <f>IF(MONTH(Table1[[#This Row],[Loss date]])&lt;Policy_Inception_Month,YEAR(Table1[[#This Row],[Loss date]])-1,YEAR(Table1[[#This Row],[Loss date]]))</f>
        <v>2005</v>
      </c>
      <c r="G822" s="10" t="s">
        <v>125</v>
      </c>
      <c r="H822" s="10" t="s">
        <v>2</v>
      </c>
      <c r="I822" s="11">
        <v>16529.719660978506</v>
      </c>
      <c r="J822" s="11">
        <v>0</v>
      </c>
      <c r="K822" s="11">
        <v>16529.719660978506</v>
      </c>
      <c r="L822" s="12">
        <v>0</v>
      </c>
      <c r="M822" s="12">
        <v>0</v>
      </c>
      <c r="N822" s="12">
        <v>16529.719660978506</v>
      </c>
      <c r="O822" s="70">
        <f>IF(Table1[[#This Row],[Overall amount]]=0,0,1)</f>
        <v>1</v>
      </c>
      <c r="P822" s="70">
        <f>Table1[[#This Row],[Overall amount]]*Exchange_Rate</f>
        <v>16529.719660978506</v>
      </c>
      <c r="Q822" s="70">
        <f>Table1[[#This Row],[Overall (destination currency)]]*(1+Claims_Inflation)^((Revalue_at_date-Table1[[#This Row],[Loss date]])/365.25)</f>
        <v>27176.304</v>
      </c>
      <c r="R822" s="70">
        <f>INT(Table1[[#This Row],[Reporting date]])-INT(Table1[[#This Row],[Loss date]])</f>
        <v>859</v>
      </c>
      <c r="S822" s="69" t="s">
        <v>9</v>
      </c>
      <c r="T822" s="70">
        <f>VLOOKUP(Table1[[#This Row],[Policy Year]],exposure_table,3,FALSE)</f>
        <v>409.50481038040112</v>
      </c>
      <c r="U822" s="17">
        <f>IF(MONTH(Table1[[#This Row],[Reporting date]])&lt;Policy_Inception_Month,YEAR(Table1[[#This Row],[Reporting date]])-1,YEAR(Table1[[#This Row],[Reporting date]]))</f>
        <v>2007</v>
      </c>
      <c r="V822" s="17">
        <f>Table1[[#This Row],[Reporting year]]-Table1[[#This Row],[Policy Year]]</f>
        <v>2</v>
      </c>
      <c r="W822" s="17">
        <f>INT(Table1[[#This Row],[Reporting date]])-INT(Table1[[#This Row],[Loss date]])</f>
        <v>859</v>
      </c>
      <c r="X822" s="17">
        <f>INT((YEAR(Table1[[#This Row],[Loss date]])*12+MONTH(Table1[[#This Row],[Loss date]])-Earliest_Month)/4)</f>
        <v>0</v>
      </c>
      <c r="Y822" s="17">
        <f>INT((YEAR(Table1[[#This Row],[Reporting date]])*12+MONTH(Table1[[#This Row],[Reporting date]])-Earliest_Month)/4)</f>
        <v>7</v>
      </c>
      <c r="Z822" s="17">
        <f>Table1[[#This Row],[Reporting third]]-Table1[[#This Row],[Policy third]]</f>
        <v>7</v>
      </c>
      <c r="AA822" s="71">
        <f>IF(Table1[[#This Row],[Overall amount]]=0,"N/A",Table1[[#This Row],[Outstanding]]/Table1[[#This Row],[Overall amount]])</f>
        <v>0</v>
      </c>
      <c r="AB822" s="17">
        <f>IF(MONTH(Table1[[#This Row],[Loss date]])&lt;Pol_Inc_Month_Shifted,YEAR(Table1[[#This Row],[Loss date]])-1,YEAR(Table1[[#This Row],[Loss date]]))</f>
        <v>2004</v>
      </c>
      <c r="AC822" s="17">
        <f>IF(MONTH(Table1[[#This Row],[Reporting date]])&lt;Pol_Inc_Month_Shifted,YEAR(Table1[[#This Row],[Reporting date]])-1,YEAR(Table1[[#This Row],[Reporting date]]))</f>
        <v>2006</v>
      </c>
      <c r="AD822" s="17">
        <f>Table1[[#This Row],[Reporting year (shifted)]]-Table1[[#This Row],[Policy Year (shifted)]]</f>
        <v>2</v>
      </c>
    </row>
    <row r="823" spans="1:30" ht="13.9">
      <c r="A823" s="8" t="s">
        <v>2593</v>
      </c>
      <c r="B823" s="8" t="s">
        <v>875</v>
      </c>
      <c r="C823" s="8" t="s">
        <v>123</v>
      </c>
      <c r="D823" s="9">
        <v>39369</v>
      </c>
      <c r="E823" s="9">
        <v>39385</v>
      </c>
      <c r="F823" s="17">
        <f>IF(MONTH(Table1[[#This Row],[Loss date]])&lt;Policy_Inception_Month,YEAR(Table1[[#This Row],[Loss date]])-1,YEAR(Table1[[#This Row],[Loss date]]))</f>
        <v>2007</v>
      </c>
      <c r="G823" s="10" t="s">
        <v>131</v>
      </c>
      <c r="H823" s="10" t="s">
        <v>2</v>
      </c>
      <c r="I823" s="11">
        <v>19474.057681254864</v>
      </c>
      <c r="J823" s="11">
        <v>0</v>
      </c>
      <c r="K823" s="11">
        <v>19474.057681254864</v>
      </c>
      <c r="L823" s="12">
        <v>0</v>
      </c>
      <c r="M823" s="12">
        <v>0</v>
      </c>
      <c r="N823" s="12">
        <v>19474.057681254864</v>
      </c>
      <c r="O823" s="70">
        <f>IF(Table1[[#This Row],[Overall amount]]=0,0,1)</f>
        <v>1</v>
      </c>
      <c r="P823" s="70">
        <f>Table1[[#This Row],[Overall amount]]*Exchange_Rate</f>
        <v>19474.057681254864</v>
      </c>
      <c r="Q823" s="70">
        <f>Table1[[#This Row],[Overall (destination currency)]]*(1+Claims_Inflation)^((Revalue_at_date-Table1[[#This Row],[Loss date]])/365.25)</f>
        <v>28722.132000000005</v>
      </c>
      <c r="R823" s="70">
        <f>INT(Table1[[#This Row],[Reporting date]])-INT(Table1[[#This Row],[Loss date]])</f>
        <v>16</v>
      </c>
      <c r="S823" s="69" t="s">
        <v>9</v>
      </c>
      <c r="T823" s="70">
        <f>VLOOKUP(Table1[[#This Row],[Policy Year]],exposure_table,3,FALSE)</f>
        <v>547.7736362475523</v>
      </c>
      <c r="U823" s="17">
        <f>IF(MONTH(Table1[[#This Row],[Reporting date]])&lt;Policy_Inception_Month,YEAR(Table1[[#This Row],[Reporting date]])-1,YEAR(Table1[[#This Row],[Reporting date]]))</f>
        <v>2007</v>
      </c>
      <c r="V823" s="17">
        <f>Table1[[#This Row],[Reporting year]]-Table1[[#This Row],[Policy Year]]</f>
        <v>0</v>
      </c>
      <c r="W823" s="17">
        <f>INT(Table1[[#This Row],[Reporting date]])-INT(Table1[[#This Row],[Loss date]])</f>
        <v>16</v>
      </c>
      <c r="X823" s="17">
        <f>INT((YEAR(Table1[[#This Row],[Loss date]])*12+MONTH(Table1[[#This Row],[Loss date]])-Earliest_Month)/4)</f>
        <v>7</v>
      </c>
      <c r="Y823" s="17">
        <f>INT((YEAR(Table1[[#This Row],[Reporting date]])*12+MONTH(Table1[[#This Row],[Reporting date]])-Earliest_Month)/4)</f>
        <v>7</v>
      </c>
      <c r="Z823" s="17">
        <f>Table1[[#This Row],[Reporting third]]-Table1[[#This Row],[Policy third]]</f>
        <v>0</v>
      </c>
      <c r="AA823" s="71">
        <f>IF(Table1[[#This Row],[Overall amount]]=0,"N/A",Table1[[#This Row],[Outstanding]]/Table1[[#This Row],[Overall amount]])</f>
        <v>0</v>
      </c>
      <c r="AB823" s="17">
        <f>IF(MONTH(Table1[[#This Row],[Loss date]])&lt;Pol_Inc_Month_Shifted,YEAR(Table1[[#This Row],[Loss date]])-1,YEAR(Table1[[#This Row],[Loss date]]))</f>
        <v>2006</v>
      </c>
      <c r="AC823" s="17">
        <f>IF(MONTH(Table1[[#This Row],[Reporting date]])&lt;Pol_Inc_Month_Shifted,YEAR(Table1[[#This Row],[Reporting date]])-1,YEAR(Table1[[#This Row],[Reporting date]]))</f>
        <v>2006</v>
      </c>
      <c r="AD823" s="17">
        <f>Table1[[#This Row],[Reporting year (shifted)]]-Table1[[#This Row],[Policy Year (shifted)]]</f>
        <v>0</v>
      </c>
    </row>
    <row r="824" spans="1:30" ht="13.9">
      <c r="A824" s="8" t="s">
        <v>2594</v>
      </c>
      <c r="B824" s="8" t="s">
        <v>876</v>
      </c>
      <c r="C824" s="8" t="s">
        <v>123</v>
      </c>
      <c r="D824" s="9">
        <v>39335</v>
      </c>
      <c r="E824" s="9">
        <v>39349</v>
      </c>
      <c r="F824" s="17">
        <f>IF(MONTH(Table1[[#This Row],[Loss date]])&lt;Policy_Inception_Month,YEAR(Table1[[#This Row],[Loss date]])-1,YEAR(Table1[[#This Row],[Loss date]]))</f>
        <v>2007</v>
      </c>
      <c r="G824" s="10" t="s">
        <v>125</v>
      </c>
      <c r="H824" s="10" t="s">
        <v>2</v>
      </c>
      <c r="I824" s="11">
        <v>344.22111546192951</v>
      </c>
      <c r="J824" s="11">
        <v>0</v>
      </c>
      <c r="K824" s="11">
        <v>344.22111546192951</v>
      </c>
      <c r="L824" s="12">
        <v>0</v>
      </c>
      <c r="M824" s="12">
        <v>0</v>
      </c>
      <c r="N824" s="12">
        <v>344.22111546192951</v>
      </c>
      <c r="O824" s="70">
        <f>IF(Table1[[#This Row],[Overall amount]]=0,0,1)</f>
        <v>1</v>
      </c>
      <c r="P824" s="70">
        <f>Table1[[#This Row],[Overall amount]]*Exchange_Rate</f>
        <v>344.22111546192951</v>
      </c>
      <c r="Q824" s="70">
        <f>Table1[[#This Row],[Overall (destination currency)]]*(1+Claims_Inflation)^((Revalue_at_date-Table1[[#This Row],[Loss date]])/365.25)</f>
        <v>510.00000000000006</v>
      </c>
      <c r="R824" s="70">
        <f>INT(Table1[[#This Row],[Reporting date]])-INT(Table1[[#This Row],[Loss date]])</f>
        <v>14</v>
      </c>
      <c r="S824" s="69" t="s">
        <v>9</v>
      </c>
      <c r="T824" s="70">
        <f>VLOOKUP(Table1[[#This Row],[Policy Year]],exposure_table,3,FALSE)</f>
        <v>547.7736362475523</v>
      </c>
      <c r="U824" s="17">
        <f>IF(MONTH(Table1[[#This Row],[Reporting date]])&lt;Policy_Inception_Month,YEAR(Table1[[#This Row],[Reporting date]])-1,YEAR(Table1[[#This Row],[Reporting date]]))</f>
        <v>2007</v>
      </c>
      <c r="V824" s="17">
        <f>Table1[[#This Row],[Reporting year]]-Table1[[#This Row],[Policy Year]]</f>
        <v>0</v>
      </c>
      <c r="W824" s="17">
        <f>INT(Table1[[#This Row],[Reporting date]])-INT(Table1[[#This Row],[Loss date]])</f>
        <v>14</v>
      </c>
      <c r="X824" s="17">
        <f>INT((YEAR(Table1[[#This Row],[Loss date]])*12+MONTH(Table1[[#This Row],[Loss date]])-Earliest_Month)/4)</f>
        <v>7</v>
      </c>
      <c r="Y824" s="17">
        <f>INT((YEAR(Table1[[#This Row],[Reporting date]])*12+MONTH(Table1[[#This Row],[Reporting date]])-Earliest_Month)/4)</f>
        <v>7</v>
      </c>
      <c r="Z824" s="17">
        <f>Table1[[#This Row],[Reporting third]]-Table1[[#This Row],[Policy third]]</f>
        <v>0</v>
      </c>
      <c r="AA824" s="71">
        <f>IF(Table1[[#This Row],[Overall amount]]=0,"N/A",Table1[[#This Row],[Outstanding]]/Table1[[#This Row],[Overall amount]])</f>
        <v>0</v>
      </c>
      <c r="AB824" s="17">
        <f>IF(MONTH(Table1[[#This Row],[Loss date]])&lt;Pol_Inc_Month_Shifted,YEAR(Table1[[#This Row],[Loss date]])-1,YEAR(Table1[[#This Row],[Loss date]]))</f>
        <v>2006</v>
      </c>
      <c r="AC824" s="17">
        <f>IF(MONTH(Table1[[#This Row],[Reporting date]])&lt;Pol_Inc_Month_Shifted,YEAR(Table1[[#This Row],[Reporting date]])-1,YEAR(Table1[[#This Row],[Reporting date]]))</f>
        <v>2006</v>
      </c>
      <c r="AD824" s="17">
        <f>Table1[[#This Row],[Reporting year (shifted)]]-Table1[[#This Row],[Policy Year (shifted)]]</f>
        <v>0</v>
      </c>
    </row>
    <row r="825" spans="1:30" ht="13.9">
      <c r="A825" s="8" t="s">
        <v>2595</v>
      </c>
      <c r="B825" s="8" t="s">
        <v>877</v>
      </c>
      <c r="C825" s="8" t="s">
        <v>123</v>
      </c>
      <c r="D825" s="9">
        <v>39466</v>
      </c>
      <c r="E825" s="9">
        <v>39549</v>
      </c>
      <c r="F825" s="17">
        <f>IF(MONTH(Table1[[#This Row],[Loss date]])&lt;Policy_Inception_Month,YEAR(Table1[[#This Row],[Loss date]])-1,YEAR(Table1[[#This Row],[Loss date]]))</f>
        <v>2007</v>
      </c>
      <c r="G825" s="10" t="s">
        <v>131</v>
      </c>
      <c r="H825" s="10" t="s">
        <v>2</v>
      </c>
      <c r="I825" s="11">
        <v>350.29765404552853</v>
      </c>
      <c r="J825" s="11">
        <v>0</v>
      </c>
      <c r="K825" s="11">
        <v>350.29765404552853</v>
      </c>
      <c r="L825" s="12">
        <v>0</v>
      </c>
      <c r="M825" s="12">
        <v>0</v>
      </c>
      <c r="N825" s="12">
        <v>350.29765404552853</v>
      </c>
      <c r="O825" s="70">
        <f>IF(Table1[[#This Row],[Overall amount]]=0,0,1)</f>
        <v>1</v>
      </c>
      <c r="P825" s="70">
        <f>Table1[[#This Row],[Overall amount]]*Exchange_Rate</f>
        <v>350.29765404552853</v>
      </c>
      <c r="Q825" s="70">
        <f>Table1[[#This Row],[Overall (destination currency)]]*(1+Claims_Inflation)^((Revalue_at_date-Table1[[#This Row],[Loss date]])/365.25)</f>
        <v>510</v>
      </c>
      <c r="R825" s="70">
        <f>INT(Table1[[#This Row],[Reporting date]])-INT(Table1[[#This Row],[Loss date]])</f>
        <v>83</v>
      </c>
      <c r="S825" s="69" t="s">
        <v>9</v>
      </c>
      <c r="T825" s="70">
        <f>VLOOKUP(Table1[[#This Row],[Policy Year]],exposure_table,3,FALSE)</f>
        <v>547.7736362475523</v>
      </c>
      <c r="U825" s="17">
        <f>IF(MONTH(Table1[[#This Row],[Reporting date]])&lt;Policy_Inception_Month,YEAR(Table1[[#This Row],[Reporting date]])-1,YEAR(Table1[[#This Row],[Reporting date]]))</f>
        <v>2008</v>
      </c>
      <c r="V825" s="17">
        <f>Table1[[#This Row],[Reporting year]]-Table1[[#This Row],[Policy Year]]</f>
        <v>1</v>
      </c>
      <c r="W825" s="17">
        <f>INT(Table1[[#This Row],[Reporting date]])-INT(Table1[[#This Row],[Loss date]])</f>
        <v>83</v>
      </c>
      <c r="X825" s="17">
        <f>INT((YEAR(Table1[[#This Row],[Loss date]])*12+MONTH(Table1[[#This Row],[Loss date]])-Earliest_Month)/4)</f>
        <v>8</v>
      </c>
      <c r="Y825" s="17">
        <f>INT((YEAR(Table1[[#This Row],[Reporting date]])*12+MONTH(Table1[[#This Row],[Reporting date]])-Earliest_Month)/4)</f>
        <v>9</v>
      </c>
      <c r="Z825" s="17">
        <f>Table1[[#This Row],[Reporting third]]-Table1[[#This Row],[Policy third]]</f>
        <v>1</v>
      </c>
      <c r="AA825" s="71">
        <f>IF(Table1[[#This Row],[Overall amount]]=0,"N/A",Table1[[#This Row],[Outstanding]]/Table1[[#This Row],[Overall amount]])</f>
        <v>0</v>
      </c>
      <c r="AB825" s="17">
        <f>IF(MONTH(Table1[[#This Row],[Loss date]])&lt;Pol_Inc_Month_Shifted,YEAR(Table1[[#This Row],[Loss date]])-1,YEAR(Table1[[#This Row],[Loss date]]))</f>
        <v>2007</v>
      </c>
      <c r="AC825" s="17">
        <f>IF(MONTH(Table1[[#This Row],[Reporting date]])&lt;Pol_Inc_Month_Shifted,YEAR(Table1[[#This Row],[Reporting date]])-1,YEAR(Table1[[#This Row],[Reporting date]]))</f>
        <v>2007</v>
      </c>
      <c r="AD825" s="17">
        <f>Table1[[#This Row],[Reporting year (shifted)]]-Table1[[#This Row],[Policy Year (shifted)]]</f>
        <v>0</v>
      </c>
    </row>
    <row r="826" spans="1:30" ht="13.9">
      <c r="A826" s="8" t="s">
        <v>2596</v>
      </c>
      <c r="B826" s="8" t="s">
        <v>878</v>
      </c>
      <c r="C826" s="8" t="s">
        <v>123</v>
      </c>
      <c r="D826" s="9">
        <v>39419</v>
      </c>
      <c r="E826" s="9">
        <v>39558</v>
      </c>
      <c r="F826" s="17">
        <f>IF(MONTH(Table1[[#This Row],[Loss date]])&lt;Policy_Inception_Month,YEAR(Table1[[#This Row],[Loss date]])-1,YEAR(Table1[[#This Row],[Loss date]]))</f>
        <v>2007</v>
      </c>
      <c r="G826" s="10" t="s">
        <v>125</v>
      </c>
      <c r="H826" s="10" t="s">
        <v>2</v>
      </c>
      <c r="I826" s="11">
        <v>9366.4155437163245</v>
      </c>
      <c r="J826" s="11">
        <v>0</v>
      </c>
      <c r="K826" s="11">
        <v>9366.4155437163245</v>
      </c>
      <c r="L826" s="12">
        <v>0</v>
      </c>
      <c r="M826" s="12">
        <v>0</v>
      </c>
      <c r="N826" s="12">
        <v>9366.4155437163245</v>
      </c>
      <c r="O826" s="70">
        <f>IF(Table1[[#This Row],[Overall amount]]=0,0,1)</f>
        <v>1</v>
      </c>
      <c r="P826" s="70">
        <f>Table1[[#This Row],[Overall amount]]*Exchange_Rate</f>
        <v>9366.4155437163245</v>
      </c>
      <c r="Q826" s="70">
        <f>Table1[[#This Row],[Overall (destination currency)]]*(1+Claims_Inflation)^((Revalue_at_date-Table1[[#This Row],[Loss date]])/365.25)</f>
        <v>13722.492</v>
      </c>
      <c r="R826" s="70">
        <f>INT(Table1[[#This Row],[Reporting date]])-INT(Table1[[#This Row],[Loss date]])</f>
        <v>139</v>
      </c>
      <c r="S826" s="69" t="s">
        <v>9</v>
      </c>
      <c r="T826" s="70">
        <f>VLOOKUP(Table1[[#This Row],[Policy Year]],exposure_table,3,FALSE)</f>
        <v>547.7736362475523</v>
      </c>
      <c r="U826" s="17">
        <f>IF(MONTH(Table1[[#This Row],[Reporting date]])&lt;Policy_Inception_Month,YEAR(Table1[[#This Row],[Reporting date]])-1,YEAR(Table1[[#This Row],[Reporting date]]))</f>
        <v>2008</v>
      </c>
      <c r="V826" s="17">
        <f>Table1[[#This Row],[Reporting year]]-Table1[[#This Row],[Policy Year]]</f>
        <v>1</v>
      </c>
      <c r="W826" s="17">
        <f>INT(Table1[[#This Row],[Reporting date]])-INT(Table1[[#This Row],[Loss date]])</f>
        <v>139</v>
      </c>
      <c r="X826" s="17">
        <f>INT((YEAR(Table1[[#This Row],[Loss date]])*12+MONTH(Table1[[#This Row],[Loss date]])-Earliest_Month)/4)</f>
        <v>8</v>
      </c>
      <c r="Y826" s="17">
        <f>INT((YEAR(Table1[[#This Row],[Reporting date]])*12+MONTH(Table1[[#This Row],[Reporting date]])-Earliest_Month)/4)</f>
        <v>9</v>
      </c>
      <c r="Z826" s="17">
        <f>Table1[[#This Row],[Reporting third]]-Table1[[#This Row],[Policy third]]</f>
        <v>1</v>
      </c>
      <c r="AA826" s="71">
        <f>IF(Table1[[#This Row],[Overall amount]]=0,"N/A",Table1[[#This Row],[Outstanding]]/Table1[[#This Row],[Overall amount]])</f>
        <v>0</v>
      </c>
      <c r="AB826" s="17">
        <f>IF(MONTH(Table1[[#This Row],[Loss date]])&lt;Pol_Inc_Month_Shifted,YEAR(Table1[[#This Row],[Loss date]])-1,YEAR(Table1[[#This Row],[Loss date]]))</f>
        <v>2007</v>
      </c>
      <c r="AC826" s="17">
        <f>IF(MONTH(Table1[[#This Row],[Reporting date]])&lt;Pol_Inc_Month_Shifted,YEAR(Table1[[#This Row],[Reporting date]])-1,YEAR(Table1[[#This Row],[Reporting date]]))</f>
        <v>2007</v>
      </c>
      <c r="AD826" s="17">
        <f>Table1[[#This Row],[Reporting year (shifted)]]-Table1[[#This Row],[Policy Year (shifted)]]</f>
        <v>0</v>
      </c>
    </row>
    <row r="827" spans="1:30" ht="13.9">
      <c r="A827" s="8" t="s">
        <v>2597</v>
      </c>
      <c r="B827" s="8" t="s">
        <v>879</v>
      </c>
      <c r="C827" s="8" t="s">
        <v>123</v>
      </c>
      <c r="D827" s="9">
        <v>39241</v>
      </c>
      <c r="E827" s="9">
        <v>39572</v>
      </c>
      <c r="F827" s="17">
        <f>IF(MONTH(Table1[[#This Row],[Loss date]])&lt;Policy_Inception_Month,YEAR(Table1[[#This Row],[Loss date]])-1,YEAR(Table1[[#This Row],[Loss date]]))</f>
        <v>2007</v>
      </c>
      <c r="G827" s="10" t="s">
        <v>125</v>
      </c>
      <c r="H827" s="10" t="s">
        <v>2</v>
      </c>
      <c r="I827" s="11">
        <v>4213.4176823578791</v>
      </c>
      <c r="J827" s="11">
        <v>0</v>
      </c>
      <c r="K827" s="11">
        <v>4213.4176823578791</v>
      </c>
      <c r="L827" s="12">
        <v>0</v>
      </c>
      <c r="M827" s="12">
        <v>0</v>
      </c>
      <c r="N827" s="12">
        <v>4213.4176823578791</v>
      </c>
      <c r="O827" s="70">
        <f>IF(Table1[[#This Row],[Overall amount]]=0,0,1)</f>
        <v>1</v>
      </c>
      <c r="P827" s="70">
        <f>Table1[[#This Row],[Overall amount]]*Exchange_Rate</f>
        <v>4213.4176823578791</v>
      </c>
      <c r="Q827" s="70">
        <f>Table1[[#This Row],[Overall (destination currency)]]*(1+Claims_Inflation)^((Revalue_at_date-Table1[[#This Row],[Loss date]])/365.25)</f>
        <v>6321.503999999999</v>
      </c>
      <c r="R827" s="70">
        <f>INT(Table1[[#This Row],[Reporting date]])-INT(Table1[[#This Row],[Loss date]])</f>
        <v>331</v>
      </c>
      <c r="S827" s="69" t="s">
        <v>9</v>
      </c>
      <c r="T827" s="70">
        <f>VLOOKUP(Table1[[#This Row],[Policy Year]],exposure_table,3,FALSE)</f>
        <v>547.7736362475523</v>
      </c>
      <c r="U827" s="17">
        <f>IF(MONTH(Table1[[#This Row],[Reporting date]])&lt;Policy_Inception_Month,YEAR(Table1[[#This Row],[Reporting date]])-1,YEAR(Table1[[#This Row],[Reporting date]]))</f>
        <v>2008</v>
      </c>
      <c r="V827" s="17">
        <f>Table1[[#This Row],[Reporting year]]-Table1[[#This Row],[Policy Year]]</f>
        <v>1</v>
      </c>
      <c r="W827" s="17">
        <f>INT(Table1[[#This Row],[Reporting date]])-INT(Table1[[#This Row],[Loss date]])</f>
        <v>331</v>
      </c>
      <c r="X827" s="17">
        <f>INT((YEAR(Table1[[#This Row],[Loss date]])*12+MONTH(Table1[[#This Row],[Loss date]])-Earliest_Month)/4)</f>
        <v>6</v>
      </c>
      <c r="Y827" s="17">
        <f>INT((YEAR(Table1[[#This Row],[Reporting date]])*12+MONTH(Table1[[#This Row],[Reporting date]])-Earliest_Month)/4)</f>
        <v>9</v>
      </c>
      <c r="Z827" s="17">
        <f>Table1[[#This Row],[Reporting third]]-Table1[[#This Row],[Policy third]]</f>
        <v>3</v>
      </c>
      <c r="AA827" s="71">
        <f>IF(Table1[[#This Row],[Overall amount]]=0,"N/A",Table1[[#This Row],[Outstanding]]/Table1[[#This Row],[Overall amount]])</f>
        <v>0</v>
      </c>
      <c r="AB827" s="17">
        <f>IF(MONTH(Table1[[#This Row],[Loss date]])&lt;Pol_Inc_Month_Shifted,YEAR(Table1[[#This Row],[Loss date]])-1,YEAR(Table1[[#This Row],[Loss date]]))</f>
        <v>2006</v>
      </c>
      <c r="AC827" s="17">
        <f>IF(MONTH(Table1[[#This Row],[Reporting date]])&lt;Pol_Inc_Month_Shifted,YEAR(Table1[[#This Row],[Reporting date]])-1,YEAR(Table1[[#This Row],[Reporting date]]))</f>
        <v>2007</v>
      </c>
      <c r="AD827" s="17">
        <f>Table1[[#This Row],[Reporting year (shifted)]]-Table1[[#This Row],[Policy Year (shifted)]]</f>
        <v>1</v>
      </c>
    </row>
    <row r="828" spans="1:30" ht="13.9">
      <c r="A828" s="8" t="s">
        <v>2598</v>
      </c>
      <c r="B828" s="8" t="s">
        <v>880</v>
      </c>
      <c r="C828" s="8" t="s">
        <v>123</v>
      </c>
      <c r="D828" s="9">
        <v>39515</v>
      </c>
      <c r="E828" s="9">
        <v>39586</v>
      </c>
      <c r="F828" s="17">
        <f>IF(MONTH(Table1[[#This Row],[Loss date]])&lt;Policy_Inception_Month,YEAR(Table1[[#This Row],[Loss date]])-1,YEAR(Table1[[#This Row],[Loss date]]))</f>
        <v>2007</v>
      </c>
      <c r="G828" s="10" t="s">
        <v>125</v>
      </c>
      <c r="H828" s="10" t="s">
        <v>2</v>
      </c>
      <c r="I828" s="11">
        <v>3950.2012798114147</v>
      </c>
      <c r="J828" s="11">
        <v>0</v>
      </c>
      <c r="K828" s="11">
        <v>3950.2012798114147</v>
      </c>
      <c r="L828" s="12">
        <v>0</v>
      </c>
      <c r="M828" s="12">
        <v>0</v>
      </c>
      <c r="N828" s="12">
        <v>3950.2012798114147</v>
      </c>
      <c r="O828" s="70">
        <f>IF(Table1[[#This Row],[Overall amount]]=0,0,1)</f>
        <v>1</v>
      </c>
      <c r="P828" s="70">
        <f>Table1[[#This Row],[Overall amount]]*Exchange_Rate</f>
        <v>3950.2012798114147</v>
      </c>
      <c r="Q828" s="70">
        <f>Table1[[#This Row],[Overall (destination currency)]]*(1+Claims_Inflation)^((Revalue_at_date-Table1[[#This Row],[Loss date]])/365.25)</f>
        <v>5713.5959999999995</v>
      </c>
      <c r="R828" s="70">
        <f>INT(Table1[[#This Row],[Reporting date]])-INT(Table1[[#This Row],[Loss date]])</f>
        <v>71</v>
      </c>
      <c r="S828" s="69" t="s">
        <v>9</v>
      </c>
      <c r="T828" s="70">
        <f>VLOOKUP(Table1[[#This Row],[Policy Year]],exposure_table,3,FALSE)</f>
        <v>547.7736362475523</v>
      </c>
      <c r="U828" s="17">
        <f>IF(MONTH(Table1[[#This Row],[Reporting date]])&lt;Policy_Inception_Month,YEAR(Table1[[#This Row],[Reporting date]])-1,YEAR(Table1[[#This Row],[Reporting date]]))</f>
        <v>2008</v>
      </c>
      <c r="V828" s="17">
        <f>Table1[[#This Row],[Reporting year]]-Table1[[#This Row],[Policy Year]]</f>
        <v>1</v>
      </c>
      <c r="W828" s="17">
        <f>INT(Table1[[#This Row],[Reporting date]])-INT(Table1[[#This Row],[Loss date]])</f>
        <v>71</v>
      </c>
      <c r="X828" s="17">
        <f>INT((YEAR(Table1[[#This Row],[Loss date]])*12+MONTH(Table1[[#This Row],[Loss date]])-Earliest_Month)/4)</f>
        <v>8</v>
      </c>
      <c r="Y828" s="17">
        <f>INT((YEAR(Table1[[#This Row],[Reporting date]])*12+MONTH(Table1[[#This Row],[Reporting date]])-Earliest_Month)/4)</f>
        <v>9</v>
      </c>
      <c r="Z828" s="17">
        <f>Table1[[#This Row],[Reporting third]]-Table1[[#This Row],[Policy third]]</f>
        <v>1</v>
      </c>
      <c r="AA828" s="71">
        <f>IF(Table1[[#This Row],[Overall amount]]=0,"N/A",Table1[[#This Row],[Outstanding]]/Table1[[#This Row],[Overall amount]])</f>
        <v>0</v>
      </c>
      <c r="AB828" s="17">
        <f>IF(MONTH(Table1[[#This Row],[Loss date]])&lt;Pol_Inc_Month_Shifted,YEAR(Table1[[#This Row],[Loss date]])-1,YEAR(Table1[[#This Row],[Loss date]]))</f>
        <v>2007</v>
      </c>
      <c r="AC828" s="17">
        <f>IF(MONTH(Table1[[#This Row],[Reporting date]])&lt;Pol_Inc_Month_Shifted,YEAR(Table1[[#This Row],[Reporting date]])-1,YEAR(Table1[[#This Row],[Reporting date]]))</f>
        <v>2007</v>
      </c>
      <c r="AD828" s="17">
        <f>Table1[[#This Row],[Reporting year (shifted)]]-Table1[[#This Row],[Policy Year (shifted)]]</f>
        <v>0</v>
      </c>
    </row>
    <row r="829" spans="1:30" ht="13.9">
      <c r="A829" s="8" t="s">
        <v>2599</v>
      </c>
      <c r="B829" s="8" t="s">
        <v>881</v>
      </c>
      <c r="C829" s="8" t="s">
        <v>123</v>
      </c>
      <c r="D829" s="9">
        <v>39620</v>
      </c>
      <c r="E829" s="9">
        <v>39643</v>
      </c>
      <c r="F829" s="17">
        <f>IF(MONTH(Table1[[#This Row],[Loss date]])&lt;Policy_Inception_Month,YEAR(Table1[[#This Row],[Loss date]])-1,YEAR(Table1[[#This Row],[Loss date]]))</f>
        <v>2008</v>
      </c>
      <c r="G829" s="10" t="s">
        <v>125</v>
      </c>
      <c r="H829" s="10" t="s">
        <v>2</v>
      </c>
      <c r="I829" s="11">
        <v>107.27351394629686</v>
      </c>
      <c r="J829" s="11">
        <v>0</v>
      </c>
      <c r="K829" s="11">
        <v>107.27351394629686</v>
      </c>
      <c r="L829" s="12">
        <v>0</v>
      </c>
      <c r="M829" s="12">
        <v>0</v>
      </c>
      <c r="N829" s="12">
        <v>107.27351394629686</v>
      </c>
      <c r="O829" s="70">
        <f>IF(Table1[[#This Row],[Overall amount]]=0,0,1)</f>
        <v>1</v>
      </c>
      <c r="P829" s="70">
        <f>Table1[[#This Row],[Overall amount]]*Exchange_Rate</f>
        <v>107.27351394629686</v>
      </c>
      <c r="Q829" s="70">
        <f>Table1[[#This Row],[Overall (destination currency)]]*(1+Claims_Inflation)^((Revalue_at_date-Table1[[#This Row],[Loss date]])/365.25)</f>
        <v>153</v>
      </c>
      <c r="R829" s="70">
        <f>INT(Table1[[#This Row],[Reporting date]])-INT(Table1[[#This Row],[Loss date]])</f>
        <v>23</v>
      </c>
      <c r="S829" s="69" t="s">
        <v>9</v>
      </c>
      <c r="T829" s="70">
        <f>VLOOKUP(Table1[[#This Row],[Policy Year]],exposure_table,3,FALSE)</f>
        <v>601.98581780480015</v>
      </c>
      <c r="U829" s="17">
        <f>IF(MONTH(Table1[[#This Row],[Reporting date]])&lt;Policy_Inception_Month,YEAR(Table1[[#This Row],[Reporting date]])-1,YEAR(Table1[[#This Row],[Reporting date]]))</f>
        <v>2008</v>
      </c>
      <c r="V829" s="17">
        <f>Table1[[#This Row],[Reporting year]]-Table1[[#This Row],[Policy Year]]</f>
        <v>0</v>
      </c>
      <c r="W829" s="17">
        <f>INT(Table1[[#This Row],[Reporting date]])-INT(Table1[[#This Row],[Loss date]])</f>
        <v>23</v>
      </c>
      <c r="X829" s="17">
        <f>INT((YEAR(Table1[[#This Row],[Loss date]])*12+MONTH(Table1[[#This Row],[Loss date]])-Earliest_Month)/4)</f>
        <v>9</v>
      </c>
      <c r="Y829" s="17">
        <f>INT((YEAR(Table1[[#This Row],[Reporting date]])*12+MONTH(Table1[[#This Row],[Reporting date]])-Earliest_Month)/4)</f>
        <v>9</v>
      </c>
      <c r="Z829" s="17">
        <f>Table1[[#This Row],[Reporting third]]-Table1[[#This Row],[Policy third]]</f>
        <v>0</v>
      </c>
      <c r="AA829" s="71">
        <f>IF(Table1[[#This Row],[Overall amount]]=0,"N/A",Table1[[#This Row],[Outstanding]]/Table1[[#This Row],[Overall amount]])</f>
        <v>0</v>
      </c>
      <c r="AB829" s="17">
        <f>IF(MONTH(Table1[[#This Row],[Loss date]])&lt;Pol_Inc_Month_Shifted,YEAR(Table1[[#This Row],[Loss date]])-1,YEAR(Table1[[#This Row],[Loss date]]))</f>
        <v>2007</v>
      </c>
      <c r="AC829" s="17">
        <f>IF(MONTH(Table1[[#This Row],[Reporting date]])&lt;Pol_Inc_Month_Shifted,YEAR(Table1[[#This Row],[Reporting date]])-1,YEAR(Table1[[#This Row],[Reporting date]]))</f>
        <v>2007</v>
      </c>
      <c r="AD829" s="17">
        <f>Table1[[#This Row],[Reporting year (shifted)]]-Table1[[#This Row],[Policy Year (shifted)]]</f>
        <v>0</v>
      </c>
    </row>
    <row r="830" spans="1:30" ht="13.9">
      <c r="A830" s="8" t="s">
        <v>2600</v>
      </c>
      <c r="B830" s="8" t="s">
        <v>882</v>
      </c>
      <c r="C830" s="8" t="s">
        <v>123</v>
      </c>
      <c r="D830" s="9">
        <v>39487</v>
      </c>
      <c r="E830" s="9">
        <v>39634</v>
      </c>
      <c r="F830" s="17">
        <f>IF(MONTH(Table1[[#This Row],[Loss date]])&lt;Policy_Inception_Month,YEAR(Table1[[#This Row],[Loss date]])-1,YEAR(Table1[[#This Row],[Loss date]]))</f>
        <v>2007</v>
      </c>
      <c r="G830" s="10" t="s">
        <v>125</v>
      </c>
      <c r="H830" s="10" t="s">
        <v>2</v>
      </c>
      <c r="I830" s="11">
        <v>860.6401232460837</v>
      </c>
      <c r="J830" s="11">
        <v>0</v>
      </c>
      <c r="K830" s="11">
        <v>860.6401232460837</v>
      </c>
      <c r="L830" s="12">
        <v>0</v>
      </c>
      <c r="M830" s="12">
        <v>0</v>
      </c>
      <c r="N830" s="12">
        <v>860.6401232460837</v>
      </c>
      <c r="O830" s="70">
        <f>IF(Table1[[#This Row],[Overall amount]]=0,0,1)</f>
        <v>1</v>
      </c>
      <c r="P830" s="70">
        <f>Table1[[#This Row],[Overall amount]]*Exchange_Rate</f>
        <v>860.6401232460837</v>
      </c>
      <c r="Q830" s="70">
        <f>Table1[[#This Row],[Overall (destination currency)]]*(1+Claims_Inflation)^((Revalue_at_date-Table1[[#This Row],[Loss date]])/365.25)</f>
        <v>1249.5</v>
      </c>
      <c r="R830" s="70">
        <f>INT(Table1[[#This Row],[Reporting date]])-INT(Table1[[#This Row],[Loss date]])</f>
        <v>147</v>
      </c>
      <c r="S830" s="69" t="s">
        <v>9</v>
      </c>
      <c r="T830" s="70">
        <f>VLOOKUP(Table1[[#This Row],[Policy Year]],exposure_table,3,FALSE)</f>
        <v>547.7736362475523</v>
      </c>
      <c r="U830" s="17">
        <f>IF(MONTH(Table1[[#This Row],[Reporting date]])&lt;Policy_Inception_Month,YEAR(Table1[[#This Row],[Reporting date]])-1,YEAR(Table1[[#This Row],[Reporting date]]))</f>
        <v>2008</v>
      </c>
      <c r="V830" s="17">
        <f>Table1[[#This Row],[Reporting year]]-Table1[[#This Row],[Policy Year]]</f>
        <v>1</v>
      </c>
      <c r="W830" s="17">
        <f>INT(Table1[[#This Row],[Reporting date]])-INT(Table1[[#This Row],[Loss date]])</f>
        <v>147</v>
      </c>
      <c r="X830" s="17">
        <f>INT((YEAR(Table1[[#This Row],[Loss date]])*12+MONTH(Table1[[#This Row],[Loss date]])-Earliest_Month)/4)</f>
        <v>8</v>
      </c>
      <c r="Y830" s="17">
        <f>INT((YEAR(Table1[[#This Row],[Reporting date]])*12+MONTH(Table1[[#This Row],[Reporting date]])-Earliest_Month)/4)</f>
        <v>9</v>
      </c>
      <c r="Z830" s="17">
        <f>Table1[[#This Row],[Reporting third]]-Table1[[#This Row],[Policy third]]</f>
        <v>1</v>
      </c>
      <c r="AA830" s="71">
        <f>IF(Table1[[#This Row],[Overall amount]]=0,"N/A",Table1[[#This Row],[Outstanding]]/Table1[[#This Row],[Overall amount]])</f>
        <v>0</v>
      </c>
      <c r="AB830" s="17">
        <f>IF(MONTH(Table1[[#This Row],[Loss date]])&lt;Pol_Inc_Month_Shifted,YEAR(Table1[[#This Row],[Loss date]])-1,YEAR(Table1[[#This Row],[Loss date]]))</f>
        <v>2007</v>
      </c>
      <c r="AC830" s="17">
        <f>IF(MONTH(Table1[[#This Row],[Reporting date]])&lt;Pol_Inc_Month_Shifted,YEAR(Table1[[#This Row],[Reporting date]])-1,YEAR(Table1[[#This Row],[Reporting date]]))</f>
        <v>2007</v>
      </c>
      <c r="AD830" s="17">
        <f>Table1[[#This Row],[Reporting year (shifted)]]-Table1[[#This Row],[Policy Year (shifted)]]</f>
        <v>0</v>
      </c>
    </row>
    <row r="831" spans="1:30" ht="13.9">
      <c r="A831" s="8" t="s">
        <v>2601</v>
      </c>
      <c r="B831" s="8" t="s">
        <v>883</v>
      </c>
      <c r="C831" s="8" t="s">
        <v>123</v>
      </c>
      <c r="D831" s="9">
        <v>39307</v>
      </c>
      <c r="E831" s="9">
        <v>39741</v>
      </c>
      <c r="F831" s="17">
        <f>IF(MONTH(Table1[[#This Row],[Loss date]])&lt;Policy_Inception_Month,YEAR(Table1[[#This Row],[Loss date]])-1,YEAR(Table1[[#This Row],[Loss date]]))</f>
        <v>2007</v>
      </c>
      <c r="G831" s="10" t="s">
        <v>125</v>
      </c>
      <c r="H831" s="10" t="s">
        <v>2</v>
      </c>
      <c r="I831" s="11">
        <v>708.73181112207726</v>
      </c>
      <c r="J831" s="11">
        <v>0</v>
      </c>
      <c r="K831" s="11">
        <v>708.73181112207726</v>
      </c>
      <c r="L831" s="12">
        <v>0</v>
      </c>
      <c r="M831" s="12">
        <v>0</v>
      </c>
      <c r="N831" s="12">
        <v>708.73181112207726</v>
      </c>
      <c r="O831" s="70">
        <f>IF(Table1[[#This Row],[Overall amount]]=0,0,1)</f>
        <v>1</v>
      </c>
      <c r="P831" s="70">
        <f>Table1[[#This Row],[Overall amount]]*Exchange_Rate</f>
        <v>708.73181112207726</v>
      </c>
      <c r="Q831" s="70">
        <f>Table1[[#This Row],[Overall (destination currency)]]*(1+Claims_Inflation)^((Revalue_at_date-Table1[[#This Row],[Loss date]])/365.25)</f>
        <v>1053.9960000000001</v>
      </c>
      <c r="R831" s="70">
        <f>INT(Table1[[#This Row],[Reporting date]])-INT(Table1[[#This Row],[Loss date]])</f>
        <v>434</v>
      </c>
      <c r="S831" s="69" t="s">
        <v>9</v>
      </c>
      <c r="T831" s="70">
        <f>VLOOKUP(Table1[[#This Row],[Policy Year]],exposure_table,3,FALSE)</f>
        <v>547.7736362475523</v>
      </c>
      <c r="U831" s="17">
        <f>IF(MONTH(Table1[[#This Row],[Reporting date]])&lt;Policy_Inception_Month,YEAR(Table1[[#This Row],[Reporting date]])-1,YEAR(Table1[[#This Row],[Reporting date]]))</f>
        <v>2008</v>
      </c>
      <c r="V831" s="17">
        <f>Table1[[#This Row],[Reporting year]]-Table1[[#This Row],[Policy Year]]</f>
        <v>1</v>
      </c>
      <c r="W831" s="17">
        <f>INT(Table1[[#This Row],[Reporting date]])-INT(Table1[[#This Row],[Loss date]])</f>
        <v>434</v>
      </c>
      <c r="X831" s="17">
        <f>INT((YEAR(Table1[[#This Row],[Loss date]])*12+MONTH(Table1[[#This Row],[Loss date]])-Earliest_Month)/4)</f>
        <v>7</v>
      </c>
      <c r="Y831" s="17">
        <f>INT((YEAR(Table1[[#This Row],[Reporting date]])*12+MONTH(Table1[[#This Row],[Reporting date]])-Earliest_Month)/4)</f>
        <v>10</v>
      </c>
      <c r="Z831" s="17">
        <f>Table1[[#This Row],[Reporting third]]-Table1[[#This Row],[Policy third]]</f>
        <v>3</v>
      </c>
      <c r="AA831" s="71">
        <f>IF(Table1[[#This Row],[Overall amount]]=0,"N/A",Table1[[#This Row],[Outstanding]]/Table1[[#This Row],[Overall amount]])</f>
        <v>0</v>
      </c>
      <c r="AB831" s="17">
        <f>IF(MONTH(Table1[[#This Row],[Loss date]])&lt;Pol_Inc_Month_Shifted,YEAR(Table1[[#This Row],[Loss date]])-1,YEAR(Table1[[#This Row],[Loss date]]))</f>
        <v>2006</v>
      </c>
      <c r="AC831" s="17">
        <f>IF(MONTH(Table1[[#This Row],[Reporting date]])&lt;Pol_Inc_Month_Shifted,YEAR(Table1[[#This Row],[Reporting date]])-1,YEAR(Table1[[#This Row],[Reporting date]]))</f>
        <v>2007</v>
      </c>
      <c r="AD831" s="17">
        <f>Table1[[#This Row],[Reporting year (shifted)]]-Table1[[#This Row],[Policy Year (shifted)]]</f>
        <v>1</v>
      </c>
    </row>
    <row r="832" spans="1:30" ht="13.9">
      <c r="A832" s="8" t="s">
        <v>2602</v>
      </c>
      <c r="B832" s="8" t="s">
        <v>884</v>
      </c>
      <c r="C832" s="8" t="s">
        <v>123</v>
      </c>
      <c r="D832" s="9">
        <v>39581</v>
      </c>
      <c r="E832" s="9">
        <v>39684</v>
      </c>
      <c r="F832" s="17">
        <f>IF(MONTH(Table1[[#This Row],[Loss date]])&lt;Policy_Inception_Month,YEAR(Table1[[#This Row],[Loss date]])-1,YEAR(Table1[[#This Row],[Loss date]]))</f>
        <v>2008</v>
      </c>
      <c r="G832" s="10" t="s">
        <v>131</v>
      </c>
      <c r="H832" s="10" t="s">
        <v>2</v>
      </c>
      <c r="I832" s="11">
        <v>4646.1516842702804</v>
      </c>
      <c r="J832" s="11">
        <v>0</v>
      </c>
      <c r="K832" s="11">
        <v>4646.1516842702804</v>
      </c>
      <c r="L832" s="12">
        <v>0</v>
      </c>
      <c r="M832" s="12">
        <v>0</v>
      </c>
      <c r="N832" s="12">
        <v>4646.1516842702804</v>
      </c>
      <c r="O832" s="70">
        <f>IF(Table1[[#This Row],[Overall amount]]=0,0,1)</f>
        <v>1</v>
      </c>
      <c r="P832" s="70">
        <f>Table1[[#This Row],[Overall amount]]*Exchange_Rate</f>
        <v>4646.1516842702804</v>
      </c>
      <c r="Q832" s="70">
        <f>Table1[[#This Row],[Overall (destination currency)]]*(1+Claims_Inflation)^((Revalue_at_date-Table1[[#This Row],[Loss date]])/365.25)</f>
        <v>6661.235999999999</v>
      </c>
      <c r="R832" s="70">
        <f>INT(Table1[[#This Row],[Reporting date]])-INT(Table1[[#This Row],[Loss date]])</f>
        <v>103</v>
      </c>
      <c r="S832" s="69" t="s">
        <v>9</v>
      </c>
      <c r="T832" s="70">
        <f>VLOOKUP(Table1[[#This Row],[Policy Year]],exposure_table,3,FALSE)</f>
        <v>601.98581780480015</v>
      </c>
      <c r="U832" s="17">
        <f>IF(MONTH(Table1[[#This Row],[Reporting date]])&lt;Policy_Inception_Month,YEAR(Table1[[#This Row],[Reporting date]])-1,YEAR(Table1[[#This Row],[Reporting date]]))</f>
        <v>2008</v>
      </c>
      <c r="V832" s="17">
        <f>Table1[[#This Row],[Reporting year]]-Table1[[#This Row],[Policy Year]]</f>
        <v>0</v>
      </c>
      <c r="W832" s="17">
        <f>INT(Table1[[#This Row],[Reporting date]])-INT(Table1[[#This Row],[Loss date]])</f>
        <v>103</v>
      </c>
      <c r="X832" s="17">
        <f>INT((YEAR(Table1[[#This Row],[Loss date]])*12+MONTH(Table1[[#This Row],[Loss date]])-Earliest_Month)/4)</f>
        <v>9</v>
      </c>
      <c r="Y832" s="17">
        <f>INT((YEAR(Table1[[#This Row],[Reporting date]])*12+MONTH(Table1[[#This Row],[Reporting date]])-Earliest_Month)/4)</f>
        <v>10</v>
      </c>
      <c r="Z832" s="17">
        <f>Table1[[#This Row],[Reporting third]]-Table1[[#This Row],[Policy third]]</f>
        <v>1</v>
      </c>
      <c r="AA832" s="71">
        <f>IF(Table1[[#This Row],[Overall amount]]=0,"N/A",Table1[[#This Row],[Outstanding]]/Table1[[#This Row],[Overall amount]])</f>
        <v>0</v>
      </c>
      <c r="AB832" s="17">
        <f>IF(MONTH(Table1[[#This Row],[Loss date]])&lt;Pol_Inc_Month_Shifted,YEAR(Table1[[#This Row],[Loss date]])-1,YEAR(Table1[[#This Row],[Loss date]]))</f>
        <v>2007</v>
      </c>
      <c r="AC832" s="17">
        <f>IF(MONTH(Table1[[#This Row],[Reporting date]])&lt;Pol_Inc_Month_Shifted,YEAR(Table1[[#This Row],[Reporting date]])-1,YEAR(Table1[[#This Row],[Reporting date]]))</f>
        <v>2007</v>
      </c>
      <c r="AD832" s="17">
        <f>Table1[[#This Row],[Reporting year (shifted)]]-Table1[[#This Row],[Policy Year (shifted)]]</f>
        <v>0</v>
      </c>
    </row>
    <row r="833" spans="1:30" ht="13.9">
      <c r="A833" s="8" t="s">
        <v>2603</v>
      </c>
      <c r="B833" s="8" t="s">
        <v>885</v>
      </c>
      <c r="C833" s="8" t="s">
        <v>123</v>
      </c>
      <c r="D833" s="9">
        <v>39726</v>
      </c>
      <c r="E833" s="9">
        <v>39761</v>
      </c>
      <c r="F833" s="17">
        <f>IF(MONTH(Table1[[#This Row],[Loss date]])&lt;Policy_Inception_Month,YEAR(Table1[[#This Row],[Loss date]])-1,YEAR(Table1[[#This Row],[Loss date]]))</f>
        <v>2008</v>
      </c>
      <c r="G833" s="10" t="s">
        <v>125</v>
      </c>
      <c r="H833" s="10" t="s">
        <v>2</v>
      </c>
      <c r="I833" s="11">
        <v>12964.774340628444</v>
      </c>
      <c r="J833" s="11">
        <v>0</v>
      </c>
      <c r="K833" s="11">
        <v>12964.774340628444</v>
      </c>
      <c r="L833" s="12">
        <v>0</v>
      </c>
      <c r="M833" s="12">
        <v>0</v>
      </c>
      <c r="N833" s="12">
        <v>12964.774340628444</v>
      </c>
      <c r="O833" s="70">
        <f>IF(Table1[[#This Row],[Overall amount]]=0,0,1)</f>
        <v>1</v>
      </c>
      <c r="P833" s="70">
        <f>Table1[[#This Row],[Overall amount]]*Exchange_Rate</f>
        <v>12964.774340628444</v>
      </c>
      <c r="Q833" s="70">
        <f>Table1[[#This Row],[Overall (destination currency)]]*(1+Claims_Inflation)^((Revalue_at_date-Table1[[#This Row],[Loss date]])/365.25)</f>
        <v>18231.167999999998</v>
      </c>
      <c r="R833" s="70">
        <f>INT(Table1[[#This Row],[Reporting date]])-INT(Table1[[#This Row],[Loss date]])</f>
        <v>35</v>
      </c>
      <c r="S833" s="69" t="s">
        <v>9</v>
      </c>
      <c r="T833" s="70">
        <f>VLOOKUP(Table1[[#This Row],[Policy Year]],exposure_table,3,FALSE)</f>
        <v>601.98581780480015</v>
      </c>
      <c r="U833" s="17">
        <f>IF(MONTH(Table1[[#This Row],[Reporting date]])&lt;Policy_Inception_Month,YEAR(Table1[[#This Row],[Reporting date]])-1,YEAR(Table1[[#This Row],[Reporting date]]))</f>
        <v>2008</v>
      </c>
      <c r="V833" s="17">
        <f>Table1[[#This Row],[Reporting year]]-Table1[[#This Row],[Policy Year]]</f>
        <v>0</v>
      </c>
      <c r="W833" s="17">
        <f>INT(Table1[[#This Row],[Reporting date]])-INT(Table1[[#This Row],[Loss date]])</f>
        <v>35</v>
      </c>
      <c r="X833" s="17">
        <f>INT((YEAR(Table1[[#This Row],[Loss date]])*12+MONTH(Table1[[#This Row],[Loss date]])-Earliest_Month)/4)</f>
        <v>10</v>
      </c>
      <c r="Y833" s="17">
        <f>INT((YEAR(Table1[[#This Row],[Reporting date]])*12+MONTH(Table1[[#This Row],[Reporting date]])-Earliest_Month)/4)</f>
        <v>10</v>
      </c>
      <c r="Z833" s="17">
        <f>Table1[[#This Row],[Reporting third]]-Table1[[#This Row],[Policy third]]</f>
        <v>0</v>
      </c>
      <c r="AA833" s="71">
        <f>IF(Table1[[#This Row],[Overall amount]]=0,"N/A",Table1[[#This Row],[Outstanding]]/Table1[[#This Row],[Overall amount]])</f>
        <v>0</v>
      </c>
      <c r="AB833" s="17">
        <f>IF(MONTH(Table1[[#This Row],[Loss date]])&lt;Pol_Inc_Month_Shifted,YEAR(Table1[[#This Row],[Loss date]])-1,YEAR(Table1[[#This Row],[Loss date]]))</f>
        <v>2007</v>
      </c>
      <c r="AC833" s="17">
        <f>IF(MONTH(Table1[[#This Row],[Reporting date]])&lt;Pol_Inc_Month_Shifted,YEAR(Table1[[#This Row],[Reporting date]])-1,YEAR(Table1[[#This Row],[Reporting date]]))</f>
        <v>2007</v>
      </c>
      <c r="AD833" s="17">
        <f>Table1[[#This Row],[Reporting year (shifted)]]-Table1[[#This Row],[Policy Year (shifted)]]</f>
        <v>0</v>
      </c>
    </row>
    <row r="834" spans="1:30" ht="13.9">
      <c r="A834" s="8" t="s">
        <v>2604</v>
      </c>
      <c r="B834" s="8" t="s">
        <v>886</v>
      </c>
      <c r="C834" s="8" t="s">
        <v>123</v>
      </c>
      <c r="D834" s="9">
        <v>39750</v>
      </c>
      <c r="E834" s="9">
        <v>39775</v>
      </c>
      <c r="F834" s="17">
        <f>IF(MONTH(Table1[[#This Row],[Loss date]])&lt;Policy_Inception_Month,YEAR(Table1[[#This Row],[Loss date]])-1,YEAR(Table1[[#This Row],[Loss date]]))</f>
        <v>2008</v>
      </c>
      <c r="G834" s="10" t="s">
        <v>125</v>
      </c>
      <c r="H834" s="10" t="s">
        <v>2</v>
      </c>
      <c r="I834" s="11">
        <v>13943.713764489999</v>
      </c>
      <c r="J834" s="11">
        <v>0</v>
      </c>
      <c r="K834" s="11">
        <v>13943.713764489999</v>
      </c>
      <c r="L834" s="12">
        <v>0</v>
      </c>
      <c r="M834" s="12">
        <v>0</v>
      </c>
      <c r="N834" s="12">
        <v>13943.713764489999</v>
      </c>
      <c r="O834" s="70">
        <f>IF(Table1[[#This Row],[Overall amount]]=0,0,1)</f>
        <v>1</v>
      </c>
      <c r="P834" s="70">
        <f>Table1[[#This Row],[Overall amount]]*Exchange_Rate</f>
        <v>13943.713764489999</v>
      </c>
      <c r="Q834" s="70">
        <f>Table1[[#This Row],[Overall (destination currency)]]*(1+Claims_Inflation)^((Revalue_at_date-Table1[[#This Row],[Loss date]])/365.25)</f>
        <v>19545</v>
      </c>
      <c r="R834" s="70">
        <f>INT(Table1[[#This Row],[Reporting date]])-INT(Table1[[#This Row],[Loss date]])</f>
        <v>25</v>
      </c>
      <c r="S834" s="69" t="s">
        <v>9</v>
      </c>
      <c r="T834" s="70">
        <f>VLOOKUP(Table1[[#This Row],[Policy Year]],exposure_table,3,FALSE)</f>
        <v>601.98581780480015</v>
      </c>
      <c r="U834" s="17">
        <f>IF(MONTH(Table1[[#This Row],[Reporting date]])&lt;Policy_Inception_Month,YEAR(Table1[[#This Row],[Reporting date]])-1,YEAR(Table1[[#This Row],[Reporting date]]))</f>
        <v>2008</v>
      </c>
      <c r="V834" s="17">
        <f>Table1[[#This Row],[Reporting year]]-Table1[[#This Row],[Policy Year]]</f>
        <v>0</v>
      </c>
      <c r="W834" s="17">
        <f>INT(Table1[[#This Row],[Reporting date]])-INT(Table1[[#This Row],[Loss date]])</f>
        <v>25</v>
      </c>
      <c r="X834" s="17">
        <f>INT((YEAR(Table1[[#This Row],[Loss date]])*12+MONTH(Table1[[#This Row],[Loss date]])-Earliest_Month)/4)</f>
        <v>10</v>
      </c>
      <c r="Y834" s="17">
        <f>INT((YEAR(Table1[[#This Row],[Reporting date]])*12+MONTH(Table1[[#This Row],[Reporting date]])-Earliest_Month)/4)</f>
        <v>10</v>
      </c>
      <c r="Z834" s="17">
        <f>Table1[[#This Row],[Reporting third]]-Table1[[#This Row],[Policy third]]</f>
        <v>0</v>
      </c>
      <c r="AA834" s="71">
        <f>IF(Table1[[#This Row],[Overall amount]]=0,"N/A",Table1[[#This Row],[Outstanding]]/Table1[[#This Row],[Overall amount]])</f>
        <v>0</v>
      </c>
      <c r="AB834" s="17">
        <f>IF(MONTH(Table1[[#This Row],[Loss date]])&lt;Pol_Inc_Month_Shifted,YEAR(Table1[[#This Row],[Loss date]])-1,YEAR(Table1[[#This Row],[Loss date]]))</f>
        <v>2007</v>
      </c>
      <c r="AC834" s="17">
        <f>IF(MONTH(Table1[[#This Row],[Reporting date]])&lt;Pol_Inc_Month_Shifted,YEAR(Table1[[#This Row],[Reporting date]])-1,YEAR(Table1[[#This Row],[Reporting date]]))</f>
        <v>2007</v>
      </c>
      <c r="AD834" s="17">
        <f>Table1[[#This Row],[Reporting year (shifted)]]-Table1[[#This Row],[Policy Year (shifted)]]</f>
        <v>0</v>
      </c>
    </row>
    <row r="835" spans="1:30" ht="13.9">
      <c r="A835" s="8" t="s">
        <v>2605</v>
      </c>
      <c r="B835" s="8" t="s">
        <v>887</v>
      </c>
      <c r="C835" s="8" t="s">
        <v>123</v>
      </c>
      <c r="D835" s="9">
        <v>39394</v>
      </c>
      <c r="E835" s="9">
        <v>39837</v>
      </c>
      <c r="F835" s="17">
        <f>IF(MONTH(Table1[[#This Row],[Loss date]])&lt;Policy_Inception_Month,YEAR(Table1[[#This Row],[Loss date]])-1,YEAR(Table1[[#This Row],[Loss date]]))</f>
        <v>2007</v>
      </c>
      <c r="G835" s="10" t="s">
        <v>125</v>
      </c>
      <c r="H835" s="10" t="s">
        <v>2</v>
      </c>
      <c r="I835" s="11">
        <v>589.80602438962649</v>
      </c>
      <c r="J835" s="11">
        <v>0</v>
      </c>
      <c r="K835" s="11">
        <v>589.80602438962649</v>
      </c>
      <c r="L835" s="12">
        <v>0</v>
      </c>
      <c r="M835" s="12">
        <v>0</v>
      </c>
      <c r="N835" s="12">
        <v>589.80602438962649</v>
      </c>
      <c r="O835" s="70">
        <f>IF(Table1[[#This Row],[Overall amount]]=0,0,1)</f>
        <v>1</v>
      </c>
      <c r="P835" s="70">
        <f>Table1[[#This Row],[Overall amount]]*Exchange_Rate</f>
        <v>589.80602438962649</v>
      </c>
      <c r="Q835" s="70">
        <f>Table1[[#This Row],[Overall (destination currency)]]*(1+Claims_Inflation)^((Revalue_at_date-Table1[[#This Row],[Loss date]])/365.25)</f>
        <v>867</v>
      </c>
      <c r="R835" s="70">
        <f>INT(Table1[[#This Row],[Reporting date]])-INT(Table1[[#This Row],[Loss date]])</f>
        <v>443</v>
      </c>
      <c r="S835" s="69" t="s">
        <v>9</v>
      </c>
      <c r="T835" s="70">
        <f>VLOOKUP(Table1[[#This Row],[Policy Year]],exposure_table,3,FALSE)</f>
        <v>547.7736362475523</v>
      </c>
      <c r="U835" s="17">
        <f>IF(MONTH(Table1[[#This Row],[Reporting date]])&lt;Policy_Inception_Month,YEAR(Table1[[#This Row],[Reporting date]])-1,YEAR(Table1[[#This Row],[Reporting date]]))</f>
        <v>2008</v>
      </c>
      <c r="V835" s="17">
        <f>Table1[[#This Row],[Reporting year]]-Table1[[#This Row],[Policy Year]]</f>
        <v>1</v>
      </c>
      <c r="W835" s="17">
        <f>INT(Table1[[#This Row],[Reporting date]])-INT(Table1[[#This Row],[Loss date]])</f>
        <v>443</v>
      </c>
      <c r="X835" s="17">
        <f>INT((YEAR(Table1[[#This Row],[Loss date]])*12+MONTH(Table1[[#This Row],[Loss date]])-Earliest_Month)/4)</f>
        <v>7</v>
      </c>
      <c r="Y835" s="17">
        <f>INT((YEAR(Table1[[#This Row],[Reporting date]])*12+MONTH(Table1[[#This Row],[Reporting date]])-Earliest_Month)/4)</f>
        <v>11</v>
      </c>
      <c r="Z835" s="17">
        <f>Table1[[#This Row],[Reporting third]]-Table1[[#This Row],[Policy third]]</f>
        <v>4</v>
      </c>
      <c r="AA835" s="71">
        <f>IF(Table1[[#This Row],[Overall amount]]=0,"N/A",Table1[[#This Row],[Outstanding]]/Table1[[#This Row],[Overall amount]])</f>
        <v>0</v>
      </c>
      <c r="AB835" s="17">
        <f>IF(MONTH(Table1[[#This Row],[Loss date]])&lt;Pol_Inc_Month_Shifted,YEAR(Table1[[#This Row],[Loss date]])-1,YEAR(Table1[[#This Row],[Loss date]]))</f>
        <v>2006</v>
      </c>
      <c r="AC835" s="17">
        <f>IF(MONTH(Table1[[#This Row],[Reporting date]])&lt;Pol_Inc_Month_Shifted,YEAR(Table1[[#This Row],[Reporting date]])-1,YEAR(Table1[[#This Row],[Reporting date]]))</f>
        <v>2008</v>
      </c>
      <c r="AD835" s="17">
        <f>Table1[[#This Row],[Reporting year (shifted)]]-Table1[[#This Row],[Policy Year (shifted)]]</f>
        <v>2</v>
      </c>
    </row>
    <row r="836" spans="1:30" ht="13.9">
      <c r="A836" s="8" t="s">
        <v>2606</v>
      </c>
      <c r="B836" s="8" t="s">
        <v>888</v>
      </c>
      <c r="C836" s="8" t="s">
        <v>123</v>
      </c>
      <c r="D836" s="9">
        <v>39530</v>
      </c>
      <c r="E836" s="9">
        <v>39851</v>
      </c>
      <c r="F836" s="17">
        <f>IF(MONTH(Table1[[#This Row],[Loss date]])&lt;Policy_Inception_Month,YEAR(Table1[[#This Row],[Loss date]])-1,YEAR(Table1[[#This Row],[Loss date]]))</f>
        <v>2007</v>
      </c>
      <c r="G836" s="10" t="s">
        <v>125</v>
      </c>
      <c r="H836" s="10" t="s">
        <v>2</v>
      </c>
      <c r="I836" s="11">
        <v>10301.540967410898</v>
      </c>
      <c r="J836" s="11">
        <v>0</v>
      </c>
      <c r="K836" s="11">
        <v>10301.540967410898</v>
      </c>
      <c r="L836" s="12">
        <v>0</v>
      </c>
      <c r="M836" s="12">
        <v>0</v>
      </c>
      <c r="N836" s="12">
        <v>10301.540967410898</v>
      </c>
      <c r="O836" s="70">
        <f>IF(Table1[[#This Row],[Overall amount]]=0,0,1)</f>
        <v>1</v>
      </c>
      <c r="P836" s="70">
        <f>Table1[[#This Row],[Overall amount]]*Exchange_Rate</f>
        <v>10301.540967410898</v>
      </c>
      <c r="Q836" s="70">
        <f>Table1[[#This Row],[Overall (destination currency)]]*(1+Claims_Inflation)^((Revalue_at_date-Table1[[#This Row],[Loss date]])/365.25)</f>
        <v>14870.387999999999</v>
      </c>
      <c r="R836" s="70">
        <f>INT(Table1[[#This Row],[Reporting date]])-INT(Table1[[#This Row],[Loss date]])</f>
        <v>321</v>
      </c>
      <c r="S836" s="69" t="s">
        <v>9</v>
      </c>
      <c r="T836" s="70">
        <f>VLOOKUP(Table1[[#This Row],[Policy Year]],exposure_table,3,FALSE)</f>
        <v>547.7736362475523</v>
      </c>
      <c r="U836" s="17">
        <f>IF(MONTH(Table1[[#This Row],[Reporting date]])&lt;Policy_Inception_Month,YEAR(Table1[[#This Row],[Reporting date]])-1,YEAR(Table1[[#This Row],[Reporting date]]))</f>
        <v>2008</v>
      </c>
      <c r="V836" s="17">
        <f>Table1[[#This Row],[Reporting year]]-Table1[[#This Row],[Policy Year]]</f>
        <v>1</v>
      </c>
      <c r="W836" s="17">
        <f>INT(Table1[[#This Row],[Reporting date]])-INT(Table1[[#This Row],[Loss date]])</f>
        <v>321</v>
      </c>
      <c r="X836" s="17">
        <f>INT((YEAR(Table1[[#This Row],[Loss date]])*12+MONTH(Table1[[#This Row],[Loss date]])-Earliest_Month)/4)</f>
        <v>8</v>
      </c>
      <c r="Y836" s="17">
        <f>INT((YEAR(Table1[[#This Row],[Reporting date]])*12+MONTH(Table1[[#This Row],[Reporting date]])-Earliest_Month)/4)</f>
        <v>11</v>
      </c>
      <c r="Z836" s="17">
        <f>Table1[[#This Row],[Reporting third]]-Table1[[#This Row],[Policy third]]</f>
        <v>3</v>
      </c>
      <c r="AA836" s="71">
        <f>IF(Table1[[#This Row],[Overall amount]]=0,"N/A",Table1[[#This Row],[Outstanding]]/Table1[[#This Row],[Overall amount]])</f>
        <v>0</v>
      </c>
      <c r="AB836" s="17">
        <f>IF(MONTH(Table1[[#This Row],[Loss date]])&lt;Pol_Inc_Month_Shifted,YEAR(Table1[[#This Row],[Loss date]])-1,YEAR(Table1[[#This Row],[Loss date]]))</f>
        <v>2007</v>
      </c>
      <c r="AC836" s="17">
        <f>IF(MONTH(Table1[[#This Row],[Reporting date]])&lt;Pol_Inc_Month_Shifted,YEAR(Table1[[#This Row],[Reporting date]])-1,YEAR(Table1[[#This Row],[Reporting date]]))</f>
        <v>2008</v>
      </c>
      <c r="AD836" s="17">
        <f>Table1[[#This Row],[Reporting year (shifted)]]-Table1[[#This Row],[Policy Year (shifted)]]</f>
        <v>1</v>
      </c>
    </row>
    <row r="837" spans="1:30" ht="13.9">
      <c r="A837" s="8" t="s">
        <v>2607</v>
      </c>
      <c r="B837" s="8" t="s">
        <v>889</v>
      </c>
      <c r="C837" s="8" t="s">
        <v>123</v>
      </c>
      <c r="D837" s="9">
        <v>39712</v>
      </c>
      <c r="E837" s="9">
        <v>39929</v>
      </c>
      <c r="F837" s="17">
        <f>IF(MONTH(Table1[[#This Row],[Loss date]])&lt;Policy_Inception_Month,YEAR(Table1[[#This Row],[Loss date]])-1,YEAR(Table1[[#This Row],[Loss date]]))</f>
        <v>2008</v>
      </c>
      <c r="G837" s="10" t="s">
        <v>125</v>
      </c>
      <c r="H837" s="10" t="s">
        <v>2</v>
      </c>
      <c r="I837" s="11">
        <v>434.39989051160143</v>
      </c>
      <c r="J837" s="11">
        <v>0</v>
      </c>
      <c r="K837" s="11">
        <v>434.39989051160143</v>
      </c>
      <c r="L837" s="12">
        <v>0</v>
      </c>
      <c r="M837" s="12">
        <v>0</v>
      </c>
      <c r="N837" s="12">
        <v>434.39989051160143</v>
      </c>
      <c r="O837" s="70">
        <f>IF(Table1[[#This Row],[Overall amount]]=0,0,1)</f>
        <v>1</v>
      </c>
      <c r="P837" s="70">
        <f>Table1[[#This Row],[Overall amount]]*Exchange_Rate</f>
        <v>434.39989051160143</v>
      </c>
      <c r="Q837" s="70">
        <f>Table1[[#This Row],[Overall (destination currency)]]*(1+Claims_Inflation)^((Revalue_at_date-Table1[[#This Row],[Loss date]])/365.25)</f>
        <v>612</v>
      </c>
      <c r="R837" s="70">
        <f>INT(Table1[[#This Row],[Reporting date]])-INT(Table1[[#This Row],[Loss date]])</f>
        <v>217</v>
      </c>
      <c r="S837" s="69" t="s">
        <v>9</v>
      </c>
      <c r="T837" s="70">
        <f>VLOOKUP(Table1[[#This Row],[Policy Year]],exposure_table,3,FALSE)</f>
        <v>601.98581780480015</v>
      </c>
      <c r="U837" s="17">
        <f>IF(MONTH(Table1[[#This Row],[Reporting date]])&lt;Policy_Inception_Month,YEAR(Table1[[#This Row],[Reporting date]])-1,YEAR(Table1[[#This Row],[Reporting date]]))</f>
        <v>2009</v>
      </c>
      <c r="V837" s="17">
        <f>Table1[[#This Row],[Reporting year]]-Table1[[#This Row],[Policy Year]]</f>
        <v>1</v>
      </c>
      <c r="W837" s="17">
        <f>INT(Table1[[#This Row],[Reporting date]])-INT(Table1[[#This Row],[Loss date]])</f>
        <v>217</v>
      </c>
      <c r="X837" s="17">
        <f>INT((YEAR(Table1[[#This Row],[Loss date]])*12+MONTH(Table1[[#This Row],[Loss date]])-Earliest_Month)/4)</f>
        <v>10</v>
      </c>
      <c r="Y837" s="17">
        <f>INT((YEAR(Table1[[#This Row],[Reporting date]])*12+MONTH(Table1[[#This Row],[Reporting date]])-Earliest_Month)/4)</f>
        <v>12</v>
      </c>
      <c r="Z837" s="17">
        <f>Table1[[#This Row],[Reporting third]]-Table1[[#This Row],[Policy third]]</f>
        <v>2</v>
      </c>
      <c r="AA837" s="71">
        <f>IF(Table1[[#This Row],[Overall amount]]=0,"N/A",Table1[[#This Row],[Outstanding]]/Table1[[#This Row],[Overall amount]])</f>
        <v>0</v>
      </c>
      <c r="AB837" s="17">
        <f>IF(MONTH(Table1[[#This Row],[Loss date]])&lt;Pol_Inc_Month_Shifted,YEAR(Table1[[#This Row],[Loss date]])-1,YEAR(Table1[[#This Row],[Loss date]]))</f>
        <v>2007</v>
      </c>
      <c r="AC837" s="17">
        <f>IF(MONTH(Table1[[#This Row],[Reporting date]])&lt;Pol_Inc_Month_Shifted,YEAR(Table1[[#This Row],[Reporting date]])-1,YEAR(Table1[[#This Row],[Reporting date]]))</f>
        <v>2008</v>
      </c>
      <c r="AD837" s="17">
        <f>Table1[[#This Row],[Reporting year (shifted)]]-Table1[[#This Row],[Policy Year (shifted)]]</f>
        <v>1</v>
      </c>
    </row>
    <row r="838" spans="1:30" ht="13.9">
      <c r="A838" s="8" t="s">
        <v>2608</v>
      </c>
      <c r="B838" s="8" t="s">
        <v>890</v>
      </c>
      <c r="C838" s="8" t="s">
        <v>123</v>
      </c>
      <c r="D838" s="9">
        <v>39553</v>
      </c>
      <c r="E838" s="9">
        <v>39956</v>
      </c>
      <c r="F838" s="17">
        <f>IF(MONTH(Table1[[#This Row],[Loss date]])&lt;Policy_Inception_Month,YEAR(Table1[[#This Row],[Loss date]])-1,YEAR(Table1[[#This Row],[Loss date]]))</f>
        <v>2008</v>
      </c>
      <c r="G838" s="10" t="s">
        <v>124</v>
      </c>
      <c r="H838" s="10" t="s">
        <v>2</v>
      </c>
      <c r="I838" s="11">
        <v>6314.4466371918888</v>
      </c>
      <c r="J838" s="11">
        <v>0</v>
      </c>
      <c r="K838" s="11">
        <v>6314.4466371918888</v>
      </c>
      <c r="L838" s="12">
        <v>0</v>
      </c>
      <c r="M838" s="12">
        <v>0</v>
      </c>
      <c r="N838" s="12">
        <v>6314.4466371918888</v>
      </c>
      <c r="O838" s="70">
        <f>IF(Table1[[#This Row],[Overall amount]]=0,0,1)</f>
        <v>1</v>
      </c>
      <c r="P838" s="70">
        <f>Table1[[#This Row],[Overall amount]]*Exchange_Rate</f>
        <v>6314.4466371918888</v>
      </c>
      <c r="Q838" s="70">
        <f>Table1[[#This Row],[Overall (destination currency)]]*(1+Claims_Inflation)^((Revalue_at_date-Table1[[#This Row],[Loss date]])/365.25)</f>
        <v>9087.0120000000006</v>
      </c>
      <c r="R838" s="70">
        <f>INT(Table1[[#This Row],[Reporting date]])-INT(Table1[[#This Row],[Loss date]])</f>
        <v>403</v>
      </c>
      <c r="S838" s="69" t="s">
        <v>9</v>
      </c>
      <c r="T838" s="70">
        <f>VLOOKUP(Table1[[#This Row],[Policy Year]],exposure_table,3,FALSE)</f>
        <v>601.98581780480015</v>
      </c>
      <c r="U838" s="17">
        <f>IF(MONTH(Table1[[#This Row],[Reporting date]])&lt;Policy_Inception_Month,YEAR(Table1[[#This Row],[Reporting date]])-1,YEAR(Table1[[#This Row],[Reporting date]]))</f>
        <v>2009</v>
      </c>
      <c r="V838" s="17">
        <f>Table1[[#This Row],[Reporting year]]-Table1[[#This Row],[Policy Year]]</f>
        <v>1</v>
      </c>
      <c r="W838" s="17">
        <f>INT(Table1[[#This Row],[Reporting date]])-INT(Table1[[#This Row],[Loss date]])</f>
        <v>403</v>
      </c>
      <c r="X838" s="17">
        <f>INT((YEAR(Table1[[#This Row],[Loss date]])*12+MONTH(Table1[[#This Row],[Loss date]])-Earliest_Month)/4)</f>
        <v>9</v>
      </c>
      <c r="Y838" s="17">
        <f>INT((YEAR(Table1[[#This Row],[Reporting date]])*12+MONTH(Table1[[#This Row],[Reporting date]])-Earliest_Month)/4)</f>
        <v>12</v>
      </c>
      <c r="Z838" s="17">
        <f>Table1[[#This Row],[Reporting third]]-Table1[[#This Row],[Policy third]]</f>
        <v>3</v>
      </c>
      <c r="AA838" s="71">
        <f>IF(Table1[[#This Row],[Overall amount]]=0,"N/A",Table1[[#This Row],[Outstanding]]/Table1[[#This Row],[Overall amount]])</f>
        <v>0</v>
      </c>
      <c r="AB838" s="17">
        <f>IF(MONTH(Table1[[#This Row],[Loss date]])&lt;Pol_Inc_Month_Shifted,YEAR(Table1[[#This Row],[Loss date]])-1,YEAR(Table1[[#This Row],[Loss date]]))</f>
        <v>2007</v>
      </c>
      <c r="AC838" s="17">
        <f>IF(MONTH(Table1[[#This Row],[Reporting date]])&lt;Pol_Inc_Month_Shifted,YEAR(Table1[[#This Row],[Reporting date]])-1,YEAR(Table1[[#This Row],[Reporting date]]))</f>
        <v>2008</v>
      </c>
      <c r="AD838" s="17">
        <f>Table1[[#This Row],[Reporting year (shifted)]]-Table1[[#This Row],[Policy Year (shifted)]]</f>
        <v>1</v>
      </c>
    </row>
    <row r="839" spans="1:30" ht="13.9">
      <c r="A839" s="8" t="s">
        <v>2609</v>
      </c>
      <c r="B839" s="8" t="s">
        <v>891</v>
      </c>
      <c r="C839" s="8" t="s">
        <v>123</v>
      </c>
      <c r="D839" s="9">
        <v>39636</v>
      </c>
      <c r="E839" s="9">
        <v>39966</v>
      </c>
      <c r="F839" s="17">
        <f>IF(MONTH(Table1[[#This Row],[Loss date]])&lt;Policy_Inception_Month,YEAR(Table1[[#This Row],[Loss date]])-1,YEAR(Table1[[#This Row],[Loss date]]))</f>
        <v>2008</v>
      </c>
      <c r="G839" s="10" t="s">
        <v>131</v>
      </c>
      <c r="H839" s="10" t="s">
        <v>2</v>
      </c>
      <c r="I839" s="11">
        <v>692.79170266185702</v>
      </c>
      <c r="J839" s="11">
        <v>0</v>
      </c>
      <c r="K839" s="11">
        <v>692.79170266185702</v>
      </c>
      <c r="L839" s="12">
        <v>0</v>
      </c>
      <c r="M839" s="12">
        <v>0</v>
      </c>
      <c r="N839" s="12">
        <v>692.79170266185702</v>
      </c>
      <c r="O839" s="70">
        <f>IF(Table1[[#This Row],[Overall amount]]=0,0,1)</f>
        <v>1</v>
      </c>
      <c r="P839" s="70">
        <f>Table1[[#This Row],[Overall amount]]*Exchange_Rate</f>
        <v>692.79170266185702</v>
      </c>
      <c r="Q839" s="70">
        <f>Table1[[#This Row],[Overall (destination currency)]]*(1+Claims_Inflation)^((Revalue_at_date-Table1[[#This Row],[Loss date]])/365.25)</f>
        <v>985.99199999999996</v>
      </c>
      <c r="R839" s="70">
        <f>INT(Table1[[#This Row],[Reporting date]])-INT(Table1[[#This Row],[Loss date]])</f>
        <v>330</v>
      </c>
      <c r="S839" s="69" t="s">
        <v>9</v>
      </c>
      <c r="T839" s="70">
        <f>VLOOKUP(Table1[[#This Row],[Policy Year]],exposure_table,3,FALSE)</f>
        <v>601.98581780480015</v>
      </c>
      <c r="U839" s="17">
        <f>IF(MONTH(Table1[[#This Row],[Reporting date]])&lt;Policy_Inception_Month,YEAR(Table1[[#This Row],[Reporting date]])-1,YEAR(Table1[[#This Row],[Reporting date]]))</f>
        <v>2009</v>
      </c>
      <c r="V839" s="17">
        <f>Table1[[#This Row],[Reporting year]]-Table1[[#This Row],[Policy Year]]</f>
        <v>1</v>
      </c>
      <c r="W839" s="17">
        <f>INT(Table1[[#This Row],[Reporting date]])-INT(Table1[[#This Row],[Loss date]])</f>
        <v>330</v>
      </c>
      <c r="X839" s="17">
        <f>INT((YEAR(Table1[[#This Row],[Loss date]])*12+MONTH(Table1[[#This Row],[Loss date]])-Earliest_Month)/4)</f>
        <v>9</v>
      </c>
      <c r="Y839" s="17">
        <f>INT((YEAR(Table1[[#This Row],[Reporting date]])*12+MONTH(Table1[[#This Row],[Reporting date]])-Earliest_Month)/4)</f>
        <v>12</v>
      </c>
      <c r="Z839" s="17">
        <f>Table1[[#This Row],[Reporting third]]-Table1[[#This Row],[Policy third]]</f>
        <v>3</v>
      </c>
      <c r="AA839" s="71">
        <f>IF(Table1[[#This Row],[Overall amount]]=0,"N/A",Table1[[#This Row],[Outstanding]]/Table1[[#This Row],[Overall amount]])</f>
        <v>0</v>
      </c>
      <c r="AB839" s="17">
        <f>IF(MONTH(Table1[[#This Row],[Loss date]])&lt;Pol_Inc_Month_Shifted,YEAR(Table1[[#This Row],[Loss date]])-1,YEAR(Table1[[#This Row],[Loss date]]))</f>
        <v>2007</v>
      </c>
      <c r="AC839" s="17">
        <f>IF(MONTH(Table1[[#This Row],[Reporting date]])&lt;Pol_Inc_Month_Shifted,YEAR(Table1[[#This Row],[Reporting date]])-1,YEAR(Table1[[#This Row],[Reporting date]]))</f>
        <v>2008</v>
      </c>
      <c r="AD839" s="17">
        <f>Table1[[#This Row],[Reporting year (shifted)]]-Table1[[#This Row],[Policy Year (shifted)]]</f>
        <v>1</v>
      </c>
    </row>
    <row r="840" spans="1:30" ht="13.9">
      <c r="A840" s="8" t="s">
        <v>2610</v>
      </c>
      <c r="B840" s="8" t="s">
        <v>892</v>
      </c>
      <c r="C840" s="8" t="s">
        <v>123</v>
      </c>
      <c r="D840" s="9">
        <v>39145</v>
      </c>
      <c r="E840" s="9">
        <v>39539</v>
      </c>
      <c r="F840" s="17">
        <f>IF(MONTH(Table1[[#This Row],[Loss date]])&lt;Policy_Inception_Month,YEAR(Table1[[#This Row],[Loss date]])-1,YEAR(Table1[[#This Row],[Loss date]]))</f>
        <v>2006</v>
      </c>
      <c r="G840" s="10" t="s">
        <v>125</v>
      </c>
      <c r="H840" s="10" t="s">
        <v>2</v>
      </c>
      <c r="I840" s="11">
        <v>2421.4692804890033</v>
      </c>
      <c r="J840" s="11">
        <v>0</v>
      </c>
      <c r="K840" s="11">
        <v>2421.4692804890033</v>
      </c>
      <c r="L840" s="12">
        <v>0</v>
      </c>
      <c r="M840" s="12">
        <v>0</v>
      </c>
      <c r="N840" s="12">
        <v>2421.4692804890033</v>
      </c>
      <c r="O840" s="70">
        <f>IF(Table1[[#This Row],[Overall amount]]=0,0,1)</f>
        <v>1</v>
      </c>
      <c r="P840" s="70">
        <f>Table1[[#This Row],[Overall amount]]*Exchange_Rate</f>
        <v>2421.4692804890033</v>
      </c>
      <c r="Q840" s="70">
        <f>Table1[[#This Row],[Overall (destination currency)]]*(1+Claims_Inflation)^((Revalue_at_date-Table1[[#This Row],[Loss date]])/365.25)</f>
        <v>3679.884</v>
      </c>
      <c r="R840" s="70">
        <f>INT(Table1[[#This Row],[Reporting date]])-INT(Table1[[#This Row],[Loss date]])</f>
        <v>394</v>
      </c>
      <c r="S840" s="69" t="s">
        <v>9</v>
      </c>
      <c r="T840" s="70">
        <f>VLOOKUP(Table1[[#This Row],[Policy Year]],exposure_table,3,FALSE)</f>
        <v>483.32023209000977</v>
      </c>
      <c r="U840" s="17">
        <f>IF(MONTH(Table1[[#This Row],[Reporting date]])&lt;Policy_Inception_Month,YEAR(Table1[[#This Row],[Reporting date]])-1,YEAR(Table1[[#This Row],[Reporting date]]))</f>
        <v>2008</v>
      </c>
      <c r="V840" s="17">
        <f>Table1[[#This Row],[Reporting year]]-Table1[[#This Row],[Policy Year]]</f>
        <v>2</v>
      </c>
      <c r="W840" s="17">
        <f>INT(Table1[[#This Row],[Reporting date]])-INT(Table1[[#This Row],[Loss date]])</f>
        <v>394</v>
      </c>
      <c r="X840" s="17">
        <f>INT((YEAR(Table1[[#This Row],[Loss date]])*12+MONTH(Table1[[#This Row],[Loss date]])-Earliest_Month)/4)</f>
        <v>5</v>
      </c>
      <c r="Y840" s="17">
        <f>INT((YEAR(Table1[[#This Row],[Reporting date]])*12+MONTH(Table1[[#This Row],[Reporting date]])-Earliest_Month)/4)</f>
        <v>9</v>
      </c>
      <c r="Z840" s="17">
        <f>Table1[[#This Row],[Reporting third]]-Table1[[#This Row],[Policy third]]</f>
        <v>4</v>
      </c>
      <c r="AA840" s="71">
        <f>IF(Table1[[#This Row],[Overall amount]]=0,"N/A",Table1[[#This Row],[Outstanding]]/Table1[[#This Row],[Overall amount]])</f>
        <v>0</v>
      </c>
      <c r="AB840" s="17">
        <f>IF(MONTH(Table1[[#This Row],[Loss date]])&lt;Pol_Inc_Month_Shifted,YEAR(Table1[[#This Row],[Loss date]])-1,YEAR(Table1[[#This Row],[Loss date]]))</f>
        <v>2006</v>
      </c>
      <c r="AC840" s="17">
        <f>IF(MONTH(Table1[[#This Row],[Reporting date]])&lt;Pol_Inc_Month_Shifted,YEAR(Table1[[#This Row],[Reporting date]])-1,YEAR(Table1[[#This Row],[Reporting date]]))</f>
        <v>2007</v>
      </c>
      <c r="AD840" s="17">
        <f>Table1[[#This Row],[Reporting year (shifted)]]-Table1[[#This Row],[Policy Year (shifted)]]</f>
        <v>1</v>
      </c>
    </row>
    <row r="841" spans="1:30" ht="13.9">
      <c r="A841" s="8" t="s">
        <v>2611</v>
      </c>
      <c r="B841" s="8" t="s">
        <v>893</v>
      </c>
      <c r="C841" s="8" t="s">
        <v>123</v>
      </c>
      <c r="D841" s="9">
        <v>39965</v>
      </c>
      <c r="E841" s="9">
        <v>39970</v>
      </c>
      <c r="F841" s="17">
        <f>IF(MONTH(Table1[[#This Row],[Loss date]])&lt;Policy_Inception_Month,YEAR(Table1[[#This Row],[Loss date]])-1,YEAR(Table1[[#This Row],[Loss date]]))</f>
        <v>2009</v>
      </c>
      <c r="G841" s="10" t="s">
        <v>125</v>
      </c>
      <c r="H841" s="10" t="s">
        <v>2</v>
      </c>
      <c r="I841" s="11">
        <v>600.43045915195592</v>
      </c>
      <c r="J841" s="11">
        <v>0</v>
      </c>
      <c r="K841" s="11">
        <v>600.43045915195592</v>
      </c>
      <c r="L841" s="12">
        <v>0</v>
      </c>
      <c r="M841" s="12">
        <v>0</v>
      </c>
      <c r="N841" s="12">
        <v>600.43045915195592</v>
      </c>
      <c r="O841" s="70">
        <f>IF(Table1[[#This Row],[Overall amount]]=0,0,1)</f>
        <v>1</v>
      </c>
      <c r="P841" s="70">
        <f>Table1[[#This Row],[Overall amount]]*Exchange_Rate</f>
        <v>600.43045915195592</v>
      </c>
      <c r="Q841" s="70">
        <f>Table1[[#This Row],[Overall (destination currency)]]*(1+Claims_Inflation)^((Revalue_at_date-Table1[[#This Row],[Loss date]])/365.25)</f>
        <v>817.80000000000018</v>
      </c>
      <c r="R841" s="70">
        <f>INT(Table1[[#This Row],[Reporting date]])-INT(Table1[[#This Row],[Loss date]])</f>
        <v>5</v>
      </c>
      <c r="S841" s="69" t="s">
        <v>9</v>
      </c>
      <c r="T841" s="70">
        <f>VLOOKUP(Table1[[#This Row],[Policy Year]],exposure_table,3,FALSE)</f>
        <v>760.22808576000011</v>
      </c>
      <c r="U841" s="17">
        <f>IF(MONTH(Table1[[#This Row],[Reporting date]])&lt;Policy_Inception_Month,YEAR(Table1[[#This Row],[Reporting date]])-1,YEAR(Table1[[#This Row],[Reporting date]]))</f>
        <v>2009</v>
      </c>
      <c r="V841" s="17">
        <f>Table1[[#This Row],[Reporting year]]-Table1[[#This Row],[Policy Year]]</f>
        <v>0</v>
      </c>
      <c r="W841" s="17">
        <f>INT(Table1[[#This Row],[Reporting date]])-INT(Table1[[#This Row],[Loss date]])</f>
        <v>5</v>
      </c>
      <c r="X841" s="17">
        <f>INT((YEAR(Table1[[#This Row],[Loss date]])*12+MONTH(Table1[[#This Row],[Loss date]])-Earliest_Month)/4)</f>
        <v>12</v>
      </c>
      <c r="Y841" s="17">
        <f>INT((YEAR(Table1[[#This Row],[Reporting date]])*12+MONTH(Table1[[#This Row],[Reporting date]])-Earliest_Month)/4)</f>
        <v>12</v>
      </c>
      <c r="Z841" s="17">
        <f>Table1[[#This Row],[Reporting third]]-Table1[[#This Row],[Policy third]]</f>
        <v>0</v>
      </c>
      <c r="AA841" s="71">
        <f>IF(Table1[[#This Row],[Overall amount]]=0,"N/A",Table1[[#This Row],[Outstanding]]/Table1[[#This Row],[Overall amount]])</f>
        <v>0</v>
      </c>
      <c r="AB841" s="17">
        <f>IF(MONTH(Table1[[#This Row],[Loss date]])&lt;Pol_Inc_Month_Shifted,YEAR(Table1[[#This Row],[Loss date]])-1,YEAR(Table1[[#This Row],[Loss date]]))</f>
        <v>2008</v>
      </c>
      <c r="AC841" s="17">
        <f>IF(MONTH(Table1[[#This Row],[Reporting date]])&lt;Pol_Inc_Month_Shifted,YEAR(Table1[[#This Row],[Reporting date]])-1,YEAR(Table1[[#This Row],[Reporting date]]))</f>
        <v>2008</v>
      </c>
      <c r="AD841" s="17">
        <f>Table1[[#This Row],[Reporting year (shifted)]]-Table1[[#This Row],[Policy Year (shifted)]]</f>
        <v>0</v>
      </c>
    </row>
    <row r="842" spans="1:30" ht="13.9">
      <c r="A842" s="8" t="s">
        <v>2612</v>
      </c>
      <c r="B842" s="8" t="s">
        <v>894</v>
      </c>
      <c r="C842" s="8" t="s">
        <v>123</v>
      </c>
      <c r="D842" s="9">
        <v>39916</v>
      </c>
      <c r="E842" s="9">
        <v>40027</v>
      </c>
      <c r="F842" s="17">
        <f>IF(MONTH(Table1[[#This Row],[Loss date]])&lt;Policy_Inception_Month,YEAR(Table1[[#This Row],[Loss date]])-1,YEAR(Table1[[#This Row],[Loss date]]))</f>
        <v>2009</v>
      </c>
      <c r="G842" s="10" t="s">
        <v>124</v>
      </c>
      <c r="H842" s="10" t="s">
        <v>2</v>
      </c>
      <c r="I842" s="11">
        <v>5557.2449322807724</v>
      </c>
      <c r="J842" s="11">
        <v>0</v>
      </c>
      <c r="K842" s="11">
        <v>5557.2449322807724</v>
      </c>
      <c r="L842" s="12">
        <v>0</v>
      </c>
      <c r="M842" s="12">
        <v>0</v>
      </c>
      <c r="N842" s="12">
        <v>5557.2449322807724</v>
      </c>
      <c r="O842" s="70">
        <f>IF(Table1[[#This Row],[Overall amount]]=0,0,1)</f>
        <v>1</v>
      </c>
      <c r="P842" s="70">
        <f>Table1[[#This Row],[Overall amount]]*Exchange_Rate</f>
        <v>5557.2449322807724</v>
      </c>
      <c r="Q842" s="70">
        <f>Table1[[#This Row],[Overall (destination currency)]]*(1+Claims_Inflation)^((Revalue_at_date-Table1[[#This Row],[Loss date]])/365.25)</f>
        <v>7618.8</v>
      </c>
      <c r="R842" s="70">
        <f>INT(Table1[[#This Row],[Reporting date]])-INT(Table1[[#This Row],[Loss date]])</f>
        <v>111</v>
      </c>
      <c r="S842" s="69" t="s">
        <v>9</v>
      </c>
      <c r="T842" s="70">
        <f>VLOOKUP(Table1[[#This Row],[Policy Year]],exposure_table,3,FALSE)</f>
        <v>760.22808576000011</v>
      </c>
      <c r="U842" s="17">
        <f>IF(MONTH(Table1[[#This Row],[Reporting date]])&lt;Policy_Inception_Month,YEAR(Table1[[#This Row],[Reporting date]])-1,YEAR(Table1[[#This Row],[Reporting date]]))</f>
        <v>2009</v>
      </c>
      <c r="V842" s="17">
        <f>Table1[[#This Row],[Reporting year]]-Table1[[#This Row],[Policy Year]]</f>
        <v>0</v>
      </c>
      <c r="W842" s="17">
        <f>INT(Table1[[#This Row],[Reporting date]])-INT(Table1[[#This Row],[Loss date]])</f>
        <v>111</v>
      </c>
      <c r="X842" s="17">
        <f>INT((YEAR(Table1[[#This Row],[Loss date]])*12+MONTH(Table1[[#This Row],[Loss date]])-Earliest_Month)/4)</f>
        <v>12</v>
      </c>
      <c r="Y842" s="17">
        <f>INT((YEAR(Table1[[#This Row],[Reporting date]])*12+MONTH(Table1[[#This Row],[Reporting date]])-Earliest_Month)/4)</f>
        <v>13</v>
      </c>
      <c r="Z842" s="17">
        <f>Table1[[#This Row],[Reporting third]]-Table1[[#This Row],[Policy third]]</f>
        <v>1</v>
      </c>
      <c r="AA842" s="71">
        <f>IF(Table1[[#This Row],[Overall amount]]=0,"N/A",Table1[[#This Row],[Outstanding]]/Table1[[#This Row],[Overall amount]])</f>
        <v>0</v>
      </c>
      <c r="AB842" s="17">
        <f>IF(MONTH(Table1[[#This Row],[Loss date]])&lt;Pol_Inc_Month_Shifted,YEAR(Table1[[#This Row],[Loss date]])-1,YEAR(Table1[[#This Row],[Loss date]]))</f>
        <v>2008</v>
      </c>
      <c r="AC842" s="17">
        <f>IF(MONTH(Table1[[#This Row],[Reporting date]])&lt;Pol_Inc_Month_Shifted,YEAR(Table1[[#This Row],[Reporting date]])-1,YEAR(Table1[[#This Row],[Reporting date]]))</f>
        <v>2008</v>
      </c>
      <c r="AD842" s="17">
        <f>Table1[[#This Row],[Reporting year (shifted)]]-Table1[[#This Row],[Policy Year (shifted)]]</f>
        <v>0</v>
      </c>
    </row>
    <row r="843" spans="1:30" ht="13.9">
      <c r="A843" s="8" t="s">
        <v>2613</v>
      </c>
      <c r="B843" s="8" t="s">
        <v>895</v>
      </c>
      <c r="C843" s="8" t="s">
        <v>123</v>
      </c>
      <c r="D843" s="9">
        <v>39758</v>
      </c>
      <c r="E843" s="9">
        <v>40047</v>
      </c>
      <c r="F843" s="17">
        <f>IF(MONTH(Table1[[#This Row],[Loss date]])&lt;Policy_Inception_Month,YEAR(Table1[[#This Row],[Loss date]])-1,YEAR(Table1[[#This Row],[Loss date]]))</f>
        <v>2008</v>
      </c>
      <c r="G843" s="10" t="s">
        <v>125</v>
      </c>
      <c r="H843" s="10" t="s">
        <v>2</v>
      </c>
      <c r="I843" s="11">
        <v>10791.337184068356</v>
      </c>
      <c r="J843" s="11">
        <v>0</v>
      </c>
      <c r="K843" s="11">
        <v>10791.337184068356</v>
      </c>
      <c r="L843" s="12">
        <v>0</v>
      </c>
      <c r="M843" s="12">
        <v>0</v>
      </c>
      <c r="N843" s="12">
        <v>10791.337184068356</v>
      </c>
      <c r="O843" s="70">
        <f>IF(Table1[[#This Row],[Overall amount]]=0,0,1)</f>
        <v>1</v>
      </c>
      <c r="P843" s="70">
        <f>Table1[[#This Row],[Overall amount]]*Exchange_Rate</f>
        <v>10791.337184068356</v>
      </c>
      <c r="Q843" s="70">
        <f>Table1[[#This Row],[Overall (destination currency)]]*(1+Claims_Inflation)^((Revalue_at_date-Table1[[#This Row],[Loss date]])/365.25)</f>
        <v>15110.136000000002</v>
      </c>
      <c r="R843" s="70">
        <f>INT(Table1[[#This Row],[Reporting date]])-INT(Table1[[#This Row],[Loss date]])</f>
        <v>289</v>
      </c>
      <c r="S843" s="69" t="s">
        <v>9</v>
      </c>
      <c r="T843" s="70">
        <f>VLOOKUP(Table1[[#This Row],[Policy Year]],exposure_table,3,FALSE)</f>
        <v>601.98581780480015</v>
      </c>
      <c r="U843" s="17">
        <f>IF(MONTH(Table1[[#This Row],[Reporting date]])&lt;Policy_Inception_Month,YEAR(Table1[[#This Row],[Reporting date]])-1,YEAR(Table1[[#This Row],[Reporting date]]))</f>
        <v>2009</v>
      </c>
      <c r="V843" s="17">
        <f>Table1[[#This Row],[Reporting year]]-Table1[[#This Row],[Policy Year]]</f>
        <v>1</v>
      </c>
      <c r="W843" s="17">
        <f>INT(Table1[[#This Row],[Reporting date]])-INT(Table1[[#This Row],[Loss date]])</f>
        <v>289</v>
      </c>
      <c r="X843" s="17">
        <f>INT((YEAR(Table1[[#This Row],[Loss date]])*12+MONTH(Table1[[#This Row],[Loss date]])-Earliest_Month)/4)</f>
        <v>10</v>
      </c>
      <c r="Y843" s="17">
        <f>INT((YEAR(Table1[[#This Row],[Reporting date]])*12+MONTH(Table1[[#This Row],[Reporting date]])-Earliest_Month)/4)</f>
        <v>13</v>
      </c>
      <c r="Z843" s="17">
        <f>Table1[[#This Row],[Reporting third]]-Table1[[#This Row],[Policy third]]</f>
        <v>3</v>
      </c>
      <c r="AA843" s="71">
        <f>IF(Table1[[#This Row],[Overall amount]]=0,"N/A",Table1[[#This Row],[Outstanding]]/Table1[[#This Row],[Overall amount]])</f>
        <v>0</v>
      </c>
      <c r="AB843" s="17">
        <f>IF(MONTH(Table1[[#This Row],[Loss date]])&lt;Pol_Inc_Month_Shifted,YEAR(Table1[[#This Row],[Loss date]])-1,YEAR(Table1[[#This Row],[Loss date]]))</f>
        <v>2007</v>
      </c>
      <c r="AC843" s="17">
        <f>IF(MONTH(Table1[[#This Row],[Reporting date]])&lt;Pol_Inc_Month_Shifted,YEAR(Table1[[#This Row],[Reporting date]])-1,YEAR(Table1[[#This Row],[Reporting date]]))</f>
        <v>2008</v>
      </c>
      <c r="AD843" s="17">
        <f>Table1[[#This Row],[Reporting year (shifted)]]-Table1[[#This Row],[Policy Year (shifted)]]</f>
        <v>1</v>
      </c>
    </row>
    <row r="844" spans="1:30" ht="13.9">
      <c r="A844" s="8" t="s">
        <v>2614</v>
      </c>
      <c r="B844" s="8" t="s">
        <v>896</v>
      </c>
      <c r="C844" s="8" t="s">
        <v>123</v>
      </c>
      <c r="D844" s="9">
        <v>39952</v>
      </c>
      <c r="E844" s="9">
        <v>39966</v>
      </c>
      <c r="F844" s="17">
        <f>IF(MONTH(Table1[[#This Row],[Loss date]])&lt;Policy_Inception_Month,YEAR(Table1[[#This Row],[Loss date]])-1,YEAR(Table1[[#This Row],[Loss date]]))</f>
        <v>2009</v>
      </c>
      <c r="G844" s="10" t="s">
        <v>125</v>
      </c>
      <c r="H844" s="10" t="s">
        <v>2</v>
      </c>
      <c r="I844" s="11">
        <v>2511.012050917725</v>
      </c>
      <c r="J844" s="11">
        <v>0</v>
      </c>
      <c r="K844" s="11">
        <v>2511.012050917725</v>
      </c>
      <c r="L844" s="12">
        <v>0</v>
      </c>
      <c r="M844" s="12">
        <v>0</v>
      </c>
      <c r="N844" s="12">
        <v>2511.012050917725</v>
      </c>
      <c r="O844" s="70">
        <f>IF(Table1[[#This Row],[Overall amount]]=0,0,1)</f>
        <v>1</v>
      </c>
      <c r="P844" s="70">
        <f>Table1[[#This Row],[Overall amount]]*Exchange_Rate</f>
        <v>2511.012050917725</v>
      </c>
      <c r="Q844" s="70">
        <f>Table1[[#This Row],[Overall (destination currency)]]*(1+Claims_Inflation)^((Revalue_at_date-Table1[[#This Row],[Loss date]])/365.25)</f>
        <v>3426.0000000000005</v>
      </c>
      <c r="R844" s="70">
        <f>INT(Table1[[#This Row],[Reporting date]])-INT(Table1[[#This Row],[Loss date]])</f>
        <v>14</v>
      </c>
      <c r="S844" s="69" t="s">
        <v>9</v>
      </c>
      <c r="T844" s="70">
        <f>VLOOKUP(Table1[[#This Row],[Policy Year]],exposure_table,3,FALSE)</f>
        <v>760.22808576000011</v>
      </c>
      <c r="U844" s="17">
        <f>IF(MONTH(Table1[[#This Row],[Reporting date]])&lt;Policy_Inception_Month,YEAR(Table1[[#This Row],[Reporting date]])-1,YEAR(Table1[[#This Row],[Reporting date]]))</f>
        <v>2009</v>
      </c>
      <c r="V844" s="17">
        <f>Table1[[#This Row],[Reporting year]]-Table1[[#This Row],[Policy Year]]</f>
        <v>0</v>
      </c>
      <c r="W844" s="17">
        <f>INT(Table1[[#This Row],[Reporting date]])-INT(Table1[[#This Row],[Loss date]])</f>
        <v>14</v>
      </c>
      <c r="X844" s="17">
        <f>INT((YEAR(Table1[[#This Row],[Loss date]])*12+MONTH(Table1[[#This Row],[Loss date]])-Earliest_Month)/4)</f>
        <v>12</v>
      </c>
      <c r="Y844" s="17">
        <f>INT((YEAR(Table1[[#This Row],[Reporting date]])*12+MONTH(Table1[[#This Row],[Reporting date]])-Earliest_Month)/4)</f>
        <v>12</v>
      </c>
      <c r="Z844" s="17">
        <f>Table1[[#This Row],[Reporting third]]-Table1[[#This Row],[Policy third]]</f>
        <v>0</v>
      </c>
      <c r="AA844" s="71">
        <f>IF(Table1[[#This Row],[Overall amount]]=0,"N/A",Table1[[#This Row],[Outstanding]]/Table1[[#This Row],[Overall amount]])</f>
        <v>0</v>
      </c>
      <c r="AB844" s="17">
        <f>IF(MONTH(Table1[[#This Row],[Loss date]])&lt;Pol_Inc_Month_Shifted,YEAR(Table1[[#This Row],[Loss date]])-1,YEAR(Table1[[#This Row],[Loss date]]))</f>
        <v>2008</v>
      </c>
      <c r="AC844" s="17">
        <f>IF(MONTH(Table1[[#This Row],[Reporting date]])&lt;Pol_Inc_Month_Shifted,YEAR(Table1[[#This Row],[Reporting date]])-1,YEAR(Table1[[#This Row],[Reporting date]]))</f>
        <v>2008</v>
      </c>
      <c r="AD844" s="17">
        <f>Table1[[#This Row],[Reporting year (shifted)]]-Table1[[#This Row],[Policy Year (shifted)]]</f>
        <v>0</v>
      </c>
    </row>
    <row r="845" spans="1:30" ht="13.9">
      <c r="A845" s="8" t="s">
        <v>2615</v>
      </c>
      <c r="B845" s="8" t="s">
        <v>897</v>
      </c>
      <c r="C845" s="8" t="s">
        <v>123</v>
      </c>
      <c r="D845" s="9">
        <v>39706</v>
      </c>
      <c r="E845" s="9">
        <v>40029</v>
      </c>
      <c r="F845" s="17">
        <f>IF(MONTH(Table1[[#This Row],[Loss date]])&lt;Policy_Inception_Month,YEAR(Table1[[#This Row],[Loss date]])-1,YEAR(Table1[[#This Row],[Loss date]]))</f>
        <v>2008</v>
      </c>
      <c r="G845" s="10" t="s">
        <v>124</v>
      </c>
      <c r="H845" s="10" t="s">
        <v>2</v>
      </c>
      <c r="I845" s="11">
        <v>9279.6374118491131</v>
      </c>
      <c r="J845" s="11">
        <v>0</v>
      </c>
      <c r="K845" s="11">
        <v>9279.6374118491131</v>
      </c>
      <c r="L845" s="12">
        <v>0</v>
      </c>
      <c r="M845" s="12">
        <v>0</v>
      </c>
      <c r="N845" s="12">
        <v>9279.6374118491131</v>
      </c>
      <c r="O845" s="70">
        <f>IF(Table1[[#This Row],[Overall amount]]=0,0,1)</f>
        <v>1</v>
      </c>
      <c r="P845" s="70">
        <f>Table1[[#This Row],[Overall amount]]*Exchange_Rate</f>
        <v>9279.6374118491131</v>
      </c>
      <c r="Q845" s="70">
        <f>Table1[[#This Row],[Overall (destination currency)]]*(1+Claims_Inflation)^((Revalue_at_date-Table1[[#This Row],[Loss date]])/365.25)</f>
        <v>13084.008</v>
      </c>
      <c r="R845" s="70">
        <f>INT(Table1[[#This Row],[Reporting date]])-INT(Table1[[#This Row],[Loss date]])</f>
        <v>323</v>
      </c>
      <c r="S845" s="69" t="s">
        <v>9</v>
      </c>
      <c r="T845" s="70">
        <f>VLOOKUP(Table1[[#This Row],[Policy Year]],exposure_table,3,FALSE)</f>
        <v>601.98581780480015</v>
      </c>
      <c r="U845" s="17">
        <f>IF(MONTH(Table1[[#This Row],[Reporting date]])&lt;Policy_Inception_Month,YEAR(Table1[[#This Row],[Reporting date]])-1,YEAR(Table1[[#This Row],[Reporting date]]))</f>
        <v>2009</v>
      </c>
      <c r="V845" s="17">
        <f>Table1[[#This Row],[Reporting year]]-Table1[[#This Row],[Policy Year]]</f>
        <v>1</v>
      </c>
      <c r="W845" s="17">
        <f>INT(Table1[[#This Row],[Reporting date]])-INT(Table1[[#This Row],[Loss date]])</f>
        <v>323</v>
      </c>
      <c r="X845" s="17">
        <f>INT((YEAR(Table1[[#This Row],[Loss date]])*12+MONTH(Table1[[#This Row],[Loss date]])-Earliest_Month)/4)</f>
        <v>10</v>
      </c>
      <c r="Y845" s="17">
        <f>INT((YEAR(Table1[[#This Row],[Reporting date]])*12+MONTH(Table1[[#This Row],[Reporting date]])-Earliest_Month)/4)</f>
        <v>13</v>
      </c>
      <c r="Z845" s="17">
        <f>Table1[[#This Row],[Reporting third]]-Table1[[#This Row],[Policy third]]</f>
        <v>3</v>
      </c>
      <c r="AA845" s="71">
        <f>IF(Table1[[#This Row],[Overall amount]]=0,"N/A",Table1[[#This Row],[Outstanding]]/Table1[[#This Row],[Overall amount]])</f>
        <v>0</v>
      </c>
      <c r="AB845" s="17">
        <f>IF(MONTH(Table1[[#This Row],[Loss date]])&lt;Pol_Inc_Month_Shifted,YEAR(Table1[[#This Row],[Loss date]])-1,YEAR(Table1[[#This Row],[Loss date]]))</f>
        <v>2007</v>
      </c>
      <c r="AC845" s="17">
        <f>IF(MONTH(Table1[[#This Row],[Reporting date]])&lt;Pol_Inc_Month_Shifted,YEAR(Table1[[#This Row],[Reporting date]])-1,YEAR(Table1[[#This Row],[Reporting date]]))</f>
        <v>2008</v>
      </c>
      <c r="AD845" s="17">
        <f>Table1[[#This Row],[Reporting year (shifted)]]-Table1[[#This Row],[Policy Year (shifted)]]</f>
        <v>1</v>
      </c>
    </row>
    <row r="846" spans="1:30" ht="13.9">
      <c r="A846" s="8" t="s">
        <v>2616</v>
      </c>
      <c r="B846" s="8" t="s">
        <v>898</v>
      </c>
      <c r="C846" s="8" t="s">
        <v>123</v>
      </c>
      <c r="D846" s="9">
        <v>39539</v>
      </c>
      <c r="E846" s="9">
        <v>40062</v>
      </c>
      <c r="F846" s="17">
        <f>IF(MONTH(Table1[[#This Row],[Loss date]])&lt;Policy_Inception_Month,YEAR(Table1[[#This Row],[Loss date]])-1,YEAR(Table1[[#This Row],[Loss date]]))</f>
        <v>2008</v>
      </c>
      <c r="G846" s="10" t="s">
        <v>125</v>
      </c>
      <c r="H846" s="10" t="s">
        <v>2</v>
      </c>
      <c r="I846" s="11">
        <v>801.78576826497965</v>
      </c>
      <c r="J846" s="11">
        <v>0</v>
      </c>
      <c r="K846" s="11">
        <v>801.78576826497965</v>
      </c>
      <c r="L846" s="12">
        <v>0</v>
      </c>
      <c r="M846" s="12">
        <v>57.728575315078523</v>
      </c>
      <c r="N846" s="12">
        <v>744.05719294990115</v>
      </c>
      <c r="O846" s="70">
        <f>IF(Table1[[#This Row],[Overall amount]]=0,0,1)</f>
        <v>1</v>
      </c>
      <c r="P846" s="70">
        <f>Table1[[#This Row],[Overall amount]]*Exchange_Rate</f>
        <v>744.05719294990115</v>
      </c>
      <c r="Q846" s="70">
        <f>Table1[[#This Row],[Overall (destination currency)]]*(1+Claims_Inflation)^((Revalue_at_date-Table1[[#This Row],[Loss date]])/365.25)</f>
        <v>1072.7642880000003</v>
      </c>
      <c r="R846" s="70">
        <f>INT(Table1[[#This Row],[Reporting date]])-INT(Table1[[#This Row],[Loss date]])</f>
        <v>523</v>
      </c>
      <c r="S846" s="69" t="s">
        <v>9</v>
      </c>
      <c r="T846" s="70">
        <f>VLOOKUP(Table1[[#This Row],[Policy Year]],exposure_table,3,FALSE)</f>
        <v>601.98581780480015</v>
      </c>
      <c r="U846" s="17">
        <f>IF(MONTH(Table1[[#This Row],[Reporting date]])&lt;Policy_Inception_Month,YEAR(Table1[[#This Row],[Reporting date]])-1,YEAR(Table1[[#This Row],[Reporting date]]))</f>
        <v>2009</v>
      </c>
      <c r="V846" s="17">
        <f>Table1[[#This Row],[Reporting year]]-Table1[[#This Row],[Policy Year]]</f>
        <v>1</v>
      </c>
      <c r="W846" s="17">
        <f>INT(Table1[[#This Row],[Reporting date]])-INT(Table1[[#This Row],[Loss date]])</f>
        <v>523</v>
      </c>
      <c r="X846" s="17">
        <f>INT((YEAR(Table1[[#This Row],[Loss date]])*12+MONTH(Table1[[#This Row],[Loss date]])-Earliest_Month)/4)</f>
        <v>9</v>
      </c>
      <c r="Y846" s="17">
        <f>INT((YEAR(Table1[[#This Row],[Reporting date]])*12+MONTH(Table1[[#This Row],[Reporting date]])-Earliest_Month)/4)</f>
        <v>13</v>
      </c>
      <c r="Z846" s="17">
        <f>Table1[[#This Row],[Reporting third]]-Table1[[#This Row],[Policy third]]</f>
        <v>4</v>
      </c>
      <c r="AA846" s="71">
        <f>IF(Table1[[#This Row],[Overall amount]]=0,"N/A",Table1[[#This Row],[Outstanding]]/Table1[[#This Row],[Overall amount]])</f>
        <v>0</v>
      </c>
      <c r="AB846" s="17">
        <f>IF(MONTH(Table1[[#This Row],[Loss date]])&lt;Pol_Inc_Month_Shifted,YEAR(Table1[[#This Row],[Loss date]])-1,YEAR(Table1[[#This Row],[Loss date]]))</f>
        <v>2007</v>
      </c>
      <c r="AC846" s="17">
        <f>IF(MONTH(Table1[[#This Row],[Reporting date]])&lt;Pol_Inc_Month_Shifted,YEAR(Table1[[#This Row],[Reporting date]])-1,YEAR(Table1[[#This Row],[Reporting date]]))</f>
        <v>2008</v>
      </c>
      <c r="AD846" s="17">
        <f>Table1[[#This Row],[Reporting year (shifted)]]-Table1[[#This Row],[Policy Year (shifted)]]</f>
        <v>1</v>
      </c>
    </row>
    <row r="847" spans="1:30" ht="13.9">
      <c r="A847" s="8" t="s">
        <v>2617</v>
      </c>
      <c r="B847" s="8" t="s">
        <v>899</v>
      </c>
      <c r="C847" s="8" t="s">
        <v>123</v>
      </c>
      <c r="D847" s="9">
        <v>39852</v>
      </c>
      <c r="E847" s="9">
        <v>40147</v>
      </c>
      <c r="F847" s="17">
        <f>IF(MONTH(Table1[[#This Row],[Loss date]])&lt;Policy_Inception_Month,YEAR(Table1[[#This Row],[Loss date]])-1,YEAR(Table1[[#This Row],[Loss date]]))</f>
        <v>2008</v>
      </c>
      <c r="G847" s="10" t="s">
        <v>124</v>
      </c>
      <c r="H847" s="10" t="s">
        <v>2</v>
      </c>
      <c r="I847" s="11">
        <v>983.5616514608223</v>
      </c>
      <c r="J847" s="11">
        <v>0</v>
      </c>
      <c r="K847" s="11">
        <v>983.5616514608223</v>
      </c>
      <c r="L847" s="12">
        <v>0</v>
      </c>
      <c r="M847" s="12">
        <v>90.487671934395664</v>
      </c>
      <c r="N847" s="12">
        <v>893.07397952642668</v>
      </c>
      <c r="O847" s="70">
        <f>IF(Table1[[#This Row],[Overall amount]]=0,0,1)</f>
        <v>1</v>
      </c>
      <c r="P847" s="70">
        <f>Table1[[#This Row],[Overall amount]]*Exchange_Rate</f>
        <v>893.07397952642668</v>
      </c>
      <c r="Q847" s="70">
        <f>Table1[[#This Row],[Overall (destination currency)]]*(1+Claims_Inflation)^((Revalue_at_date-Table1[[#This Row],[Loss date]])/365.25)</f>
        <v>1234.8872639999997</v>
      </c>
      <c r="R847" s="70">
        <f>INT(Table1[[#This Row],[Reporting date]])-INT(Table1[[#This Row],[Loss date]])</f>
        <v>295</v>
      </c>
      <c r="S847" s="69" t="s">
        <v>9</v>
      </c>
      <c r="T847" s="70">
        <f>VLOOKUP(Table1[[#This Row],[Policy Year]],exposure_table,3,FALSE)</f>
        <v>601.98581780480015</v>
      </c>
      <c r="U847" s="17">
        <f>IF(MONTH(Table1[[#This Row],[Reporting date]])&lt;Policy_Inception_Month,YEAR(Table1[[#This Row],[Reporting date]])-1,YEAR(Table1[[#This Row],[Reporting date]]))</f>
        <v>2009</v>
      </c>
      <c r="V847" s="17">
        <f>Table1[[#This Row],[Reporting year]]-Table1[[#This Row],[Policy Year]]</f>
        <v>1</v>
      </c>
      <c r="W847" s="17">
        <f>INT(Table1[[#This Row],[Reporting date]])-INT(Table1[[#This Row],[Loss date]])</f>
        <v>295</v>
      </c>
      <c r="X847" s="17">
        <f>INT((YEAR(Table1[[#This Row],[Loss date]])*12+MONTH(Table1[[#This Row],[Loss date]])-Earliest_Month)/4)</f>
        <v>11</v>
      </c>
      <c r="Y847" s="17">
        <f>INT((YEAR(Table1[[#This Row],[Reporting date]])*12+MONTH(Table1[[#This Row],[Reporting date]])-Earliest_Month)/4)</f>
        <v>13</v>
      </c>
      <c r="Z847" s="17">
        <f>Table1[[#This Row],[Reporting third]]-Table1[[#This Row],[Policy third]]</f>
        <v>2</v>
      </c>
      <c r="AA847" s="71">
        <f>IF(Table1[[#This Row],[Overall amount]]=0,"N/A",Table1[[#This Row],[Outstanding]]/Table1[[#This Row],[Overall amount]])</f>
        <v>0</v>
      </c>
      <c r="AB847" s="17">
        <f>IF(MONTH(Table1[[#This Row],[Loss date]])&lt;Pol_Inc_Month_Shifted,YEAR(Table1[[#This Row],[Loss date]])-1,YEAR(Table1[[#This Row],[Loss date]]))</f>
        <v>2008</v>
      </c>
      <c r="AC847" s="17">
        <f>IF(MONTH(Table1[[#This Row],[Reporting date]])&lt;Pol_Inc_Month_Shifted,YEAR(Table1[[#This Row],[Reporting date]])-1,YEAR(Table1[[#This Row],[Reporting date]]))</f>
        <v>2008</v>
      </c>
      <c r="AD847" s="17">
        <f>Table1[[#This Row],[Reporting year (shifted)]]-Table1[[#This Row],[Policy Year (shifted)]]</f>
        <v>0</v>
      </c>
    </row>
    <row r="848" spans="1:30" ht="13.9">
      <c r="A848" s="8" t="s">
        <v>2618</v>
      </c>
      <c r="B848" s="8" t="s">
        <v>900</v>
      </c>
      <c r="C848" s="8" t="s">
        <v>123</v>
      </c>
      <c r="D848" s="9">
        <v>40011</v>
      </c>
      <c r="E848" s="9">
        <v>40049</v>
      </c>
      <c r="F848" s="17">
        <f>IF(MONTH(Table1[[#This Row],[Loss date]])&lt;Policy_Inception_Month,YEAR(Table1[[#This Row],[Loss date]])-1,YEAR(Table1[[#This Row],[Loss date]]))</f>
        <v>2009</v>
      </c>
      <c r="G848" s="10" t="s">
        <v>148</v>
      </c>
      <c r="H848" s="10" t="s">
        <v>2</v>
      </c>
      <c r="I848" s="11">
        <v>1272.5318365870439</v>
      </c>
      <c r="J848" s="11">
        <v>0</v>
      </c>
      <c r="K848" s="11">
        <v>1272.5318365870439</v>
      </c>
      <c r="L848" s="12">
        <v>0</v>
      </c>
      <c r="M848" s="12">
        <v>120.89052447576917</v>
      </c>
      <c r="N848" s="12">
        <v>1151.6413121112748</v>
      </c>
      <c r="O848" s="70">
        <f>IF(Table1[[#This Row],[Overall amount]]=0,0,1)</f>
        <v>1</v>
      </c>
      <c r="P848" s="70">
        <f>Table1[[#This Row],[Overall amount]]*Exchange_Rate</f>
        <v>1151.6413121112748</v>
      </c>
      <c r="Q848" s="70">
        <f>Table1[[#This Row],[Overall (destination currency)]]*(1+Claims_Inflation)^((Revalue_at_date-Table1[[#This Row],[Loss date]])/365.25)</f>
        <v>1558.953</v>
      </c>
      <c r="R848" s="70">
        <f>INT(Table1[[#This Row],[Reporting date]])-INT(Table1[[#This Row],[Loss date]])</f>
        <v>38</v>
      </c>
      <c r="S848" s="69" t="s">
        <v>9</v>
      </c>
      <c r="T848" s="70">
        <f>VLOOKUP(Table1[[#This Row],[Policy Year]],exposure_table,3,FALSE)</f>
        <v>760.22808576000011</v>
      </c>
      <c r="U848" s="17">
        <f>IF(MONTH(Table1[[#This Row],[Reporting date]])&lt;Policy_Inception_Month,YEAR(Table1[[#This Row],[Reporting date]])-1,YEAR(Table1[[#This Row],[Reporting date]]))</f>
        <v>2009</v>
      </c>
      <c r="V848" s="17">
        <f>Table1[[#This Row],[Reporting year]]-Table1[[#This Row],[Policy Year]]</f>
        <v>0</v>
      </c>
      <c r="W848" s="17">
        <f>INT(Table1[[#This Row],[Reporting date]])-INT(Table1[[#This Row],[Loss date]])</f>
        <v>38</v>
      </c>
      <c r="X848" s="17">
        <f>INT((YEAR(Table1[[#This Row],[Loss date]])*12+MONTH(Table1[[#This Row],[Loss date]])-Earliest_Month)/4)</f>
        <v>12</v>
      </c>
      <c r="Y848" s="17">
        <f>INT((YEAR(Table1[[#This Row],[Reporting date]])*12+MONTH(Table1[[#This Row],[Reporting date]])-Earliest_Month)/4)</f>
        <v>13</v>
      </c>
      <c r="Z848" s="17">
        <f>Table1[[#This Row],[Reporting third]]-Table1[[#This Row],[Policy third]]</f>
        <v>1</v>
      </c>
      <c r="AA848" s="71">
        <f>IF(Table1[[#This Row],[Overall amount]]=0,"N/A",Table1[[#This Row],[Outstanding]]/Table1[[#This Row],[Overall amount]])</f>
        <v>0</v>
      </c>
      <c r="AB848" s="17">
        <f>IF(MONTH(Table1[[#This Row],[Loss date]])&lt;Pol_Inc_Month_Shifted,YEAR(Table1[[#This Row],[Loss date]])-1,YEAR(Table1[[#This Row],[Loss date]]))</f>
        <v>2008</v>
      </c>
      <c r="AC848" s="17">
        <f>IF(MONTH(Table1[[#This Row],[Reporting date]])&lt;Pol_Inc_Month_Shifted,YEAR(Table1[[#This Row],[Reporting date]])-1,YEAR(Table1[[#This Row],[Reporting date]]))</f>
        <v>2008</v>
      </c>
      <c r="AD848" s="17">
        <f>Table1[[#This Row],[Reporting year (shifted)]]-Table1[[#This Row],[Policy Year (shifted)]]</f>
        <v>0</v>
      </c>
    </row>
    <row r="849" spans="1:30" ht="13.9">
      <c r="A849" s="8" t="s">
        <v>2619</v>
      </c>
      <c r="B849" s="8" t="s">
        <v>901</v>
      </c>
      <c r="C849" s="8" t="s">
        <v>123</v>
      </c>
      <c r="D849" s="9">
        <v>39710</v>
      </c>
      <c r="E849" s="9">
        <v>40159</v>
      </c>
      <c r="F849" s="17">
        <f>IF(MONTH(Table1[[#This Row],[Loss date]])&lt;Policy_Inception_Month,YEAR(Table1[[#This Row],[Loss date]])-1,YEAR(Table1[[#This Row],[Loss date]]))</f>
        <v>2008</v>
      </c>
      <c r="G849" s="10" t="s">
        <v>124</v>
      </c>
      <c r="H849" s="10" t="s">
        <v>2</v>
      </c>
      <c r="I849" s="11">
        <v>40931.508471893088</v>
      </c>
      <c r="J849" s="11">
        <v>0</v>
      </c>
      <c r="K849" s="11">
        <v>40931.508471893088</v>
      </c>
      <c r="L849" s="12">
        <v>0</v>
      </c>
      <c r="M849" s="12">
        <v>0</v>
      </c>
      <c r="N849" s="12">
        <v>40931.508471893088</v>
      </c>
      <c r="O849" s="70">
        <f>IF(Table1[[#This Row],[Overall amount]]=0,0,1)</f>
        <v>1</v>
      </c>
      <c r="P849" s="70">
        <f>Table1[[#This Row],[Overall amount]]*Exchange_Rate</f>
        <v>40931.508471893088</v>
      </c>
      <c r="Q849" s="70">
        <f>Table1[[#This Row],[Overall (destination currency)]]*(1+Claims_Inflation)^((Revalue_at_date-Table1[[#This Row],[Loss date]])/365.25)</f>
        <v>57681.360000000008</v>
      </c>
      <c r="R849" s="70">
        <f>INT(Table1[[#This Row],[Reporting date]])-INT(Table1[[#This Row],[Loss date]])</f>
        <v>449</v>
      </c>
      <c r="S849" s="69" t="s">
        <v>9</v>
      </c>
      <c r="T849" s="70">
        <f>VLOOKUP(Table1[[#This Row],[Policy Year]],exposure_table,3,FALSE)</f>
        <v>601.98581780480015</v>
      </c>
      <c r="U849" s="17">
        <f>IF(MONTH(Table1[[#This Row],[Reporting date]])&lt;Policy_Inception_Month,YEAR(Table1[[#This Row],[Reporting date]])-1,YEAR(Table1[[#This Row],[Reporting date]]))</f>
        <v>2009</v>
      </c>
      <c r="V849" s="17">
        <f>Table1[[#This Row],[Reporting year]]-Table1[[#This Row],[Policy Year]]</f>
        <v>1</v>
      </c>
      <c r="W849" s="17">
        <f>INT(Table1[[#This Row],[Reporting date]])-INT(Table1[[#This Row],[Loss date]])</f>
        <v>449</v>
      </c>
      <c r="X849" s="17">
        <f>INT((YEAR(Table1[[#This Row],[Loss date]])*12+MONTH(Table1[[#This Row],[Loss date]])-Earliest_Month)/4)</f>
        <v>10</v>
      </c>
      <c r="Y849" s="17">
        <f>INT((YEAR(Table1[[#This Row],[Reporting date]])*12+MONTH(Table1[[#This Row],[Reporting date]])-Earliest_Month)/4)</f>
        <v>14</v>
      </c>
      <c r="Z849" s="17">
        <f>Table1[[#This Row],[Reporting third]]-Table1[[#This Row],[Policy third]]</f>
        <v>4</v>
      </c>
      <c r="AA849" s="71">
        <f>IF(Table1[[#This Row],[Overall amount]]=0,"N/A",Table1[[#This Row],[Outstanding]]/Table1[[#This Row],[Overall amount]])</f>
        <v>0</v>
      </c>
      <c r="AB849" s="17">
        <f>IF(MONTH(Table1[[#This Row],[Loss date]])&lt;Pol_Inc_Month_Shifted,YEAR(Table1[[#This Row],[Loss date]])-1,YEAR(Table1[[#This Row],[Loss date]]))</f>
        <v>2007</v>
      </c>
      <c r="AC849" s="17">
        <f>IF(MONTH(Table1[[#This Row],[Reporting date]])&lt;Pol_Inc_Month_Shifted,YEAR(Table1[[#This Row],[Reporting date]])-1,YEAR(Table1[[#This Row],[Reporting date]]))</f>
        <v>2009</v>
      </c>
      <c r="AD849" s="17">
        <f>Table1[[#This Row],[Reporting year (shifted)]]-Table1[[#This Row],[Policy Year (shifted)]]</f>
        <v>2</v>
      </c>
    </row>
    <row r="850" spans="1:30" ht="13.9">
      <c r="A850" s="8" t="s">
        <v>2620</v>
      </c>
      <c r="B850" s="8" t="s">
        <v>902</v>
      </c>
      <c r="C850" s="8" t="s">
        <v>123</v>
      </c>
      <c r="D850" s="9">
        <v>39955</v>
      </c>
      <c r="E850" s="9">
        <v>40201</v>
      </c>
      <c r="F850" s="17">
        <f>IF(MONTH(Table1[[#This Row],[Loss date]])&lt;Policy_Inception_Month,YEAR(Table1[[#This Row],[Loss date]])-1,YEAR(Table1[[#This Row],[Loss date]]))</f>
        <v>2009</v>
      </c>
      <c r="G850" s="10" t="s">
        <v>124</v>
      </c>
      <c r="H850" s="10" t="s">
        <v>2</v>
      </c>
      <c r="I850" s="11">
        <v>650.66118854513422</v>
      </c>
      <c r="J850" s="11">
        <v>0</v>
      </c>
      <c r="K850" s="11">
        <v>650.66118854513422</v>
      </c>
      <c r="L850" s="12">
        <v>0</v>
      </c>
      <c r="M850" s="12">
        <v>0</v>
      </c>
      <c r="N850" s="12">
        <v>650.66118854513422</v>
      </c>
      <c r="O850" s="70">
        <f>IF(Table1[[#This Row],[Overall amount]]=0,0,1)</f>
        <v>1</v>
      </c>
      <c r="P850" s="70">
        <f>Table1[[#This Row],[Overall amount]]*Exchange_Rate</f>
        <v>650.66118854513422</v>
      </c>
      <c r="Q850" s="70">
        <f>Table1[[#This Row],[Overall (destination currency)]]*(1+Claims_Inflation)^((Revalue_at_date-Table1[[#This Row],[Loss date]])/365.25)</f>
        <v>887.4</v>
      </c>
      <c r="R850" s="70">
        <f>INT(Table1[[#This Row],[Reporting date]])-INT(Table1[[#This Row],[Loss date]])</f>
        <v>246</v>
      </c>
      <c r="S850" s="69" t="s">
        <v>9</v>
      </c>
      <c r="T850" s="70">
        <f>VLOOKUP(Table1[[#This Row],[Policy Year]],exposure_table,3,FALSE)</f>
        <v>760.22808576000011</v>
      </c>
      <c r="U850" s="17">
        <f>IF(MONTH(Table1[[#This Row],[Reporting date]])&lt;Policy_Inception_Month,YEAR(Table1[[#This Row],[Reporting date]])-1,YEAR(Table1[[#This Row],[Reporting date]]))</f>
        <v>2009</v>
      </c>
      <c r="V850" s="17">
        <f>Table1[[#This Row],[Reporting year]]-Table1[[#This Row],[Policy Year]]</f>
        <v>0</v>
      </c>
      <c r="W850" s="17">
        <f>INT(Table1[[#This Row],[Reporting date]])-INT(Table1[[#This Row],[Loss date]])</f>
        <v>246</v>
      </c>
      <c r="X850" s="17">
        <f>INT((YEAR(Table1[[#This Row],[Loss date]])*12+MONTH(Table1[[#This Row],[Loss date]])-Earliest_Month)/4)</f>
        <v>12</v>
      </c>
      <c r="Y850" s="17">
        <f>INT((YEAR(Table1[[#This Row],[Reporting date]])*12+MONTH(Table1[[#This Row],[Reporting date]])-Earliest_Month)/4)</f>
        <v>14</v>
      </c>
      <c r="Z850" s="17">
        <f>Table1[[#This Row],[Reporting third]]-Table1[[#This Row],[Policy third]]</f>
        <v>2</v>
      </c>
      <c r="AA850" s="71">
        <f>IF(Table1[[#This Row],[Overall amount]]=0,"N/A",Table1[[#This Row],[Outstanding]]/Table1[[#This Row],[Overall amount]])</f>
        <v>0</v>
      </c>
      <c r="AB850" s="17">
        <f>IF(MONTH(Table1[[#This Row],[Loss date]])&lt;Pol_Inc_Month_Shifted,YEAR(Table1[[#This Row],[Loss date]])-1,YEAR(Table1[[#This Row],[Loss date]]))</f>
        <v>2008</v>
      </c>
      <c r="AC850" s="17">
        <f>IF(MONTH(Table1[[#This Row],[Reporting date]])&lt;Pol_Inc_Month_Shifted,YEAR(Table1[[#This Row],[Reporting date]])-1,YEAR(Table1[[#This Row],[Reporting date]]))</f>
        <v>2009</v>
      </c>
      <c r="AD850" s="17">
        <f>Table1[[#This Row],[Reporting year (shifted)]]-Table1[[#This Row],[Policy Year (shifted)]]</f>
        <v>1</v>
      </c>
    </row>
    <row r="851" spans="1:30" ht="13.9">
      <c r="A851" s="8" t="s">
        <v>2621</v>
      </c>
      <c r="B851" s="8" t="s">
        <v>903</v>
      </c>
      <c r="C851" s="8" t="s">
        <v>123</v>
      </c>
      <c r="D851" s="9">
        <v>39847</v>
      </c>
      <c r="E851" s="9">
        <v>40209</v>
      </c>
      <c r="F851" s="17">
        <f>IF(MONTH(Table1[[#This Row],[Loss date]])&lt;Policy_Inception_Month,YEAR(Table1[[#This Row],[Loss date]])-1,YEAR(Table1[[#This Row],[Loss date]]))</f>
        <v>2008</v>
      </c>
      <c r="G851" s="10" t="s">
        <v>125</v>
      </c>
      <c r="H851" s="10" t="s">
        <v>2</v>
      </c>
      <c r="I851" s="11">
        <v>1093.4811053512319</v>
      </c>
      <c r="J851" s="11">
        <v>0</v>
      </c>
      <c r="K851" s="11">
        <v>1093.4811053512319</v>
      </c>
      <c r="L851" s="12">
        <v>0</v>
      </c>
      <c r="M851" s="12">
        <v>0</v>
      </c>
      <c r="N851" s="12">
        <v>1093.4811053512319</v>
      </c>
      <c r="O851" s="70">
        <f>IF(Table1[[#This Row],[Overall amount]]=0,0,1)</f>
        <v>1</v>
      </c>
      <c r="P851" s="70">
        <f>Table1[[#This Row],[Overall amount]]*Exchange_Rate</f>
        <v>1093.4811053512319</v>
      </c>
      <c r="Q851" s="70">
        <f>Table1[[#This Row],[Overall (destination currency)]]*(1+Claims_Inflation)^((Revalue_at_date-Table1[[#This Row],[Loss date]])/365.25)</f>
        <v>1513.0079999999998</v>
      </c>
      <c r="R851" s="70">
        <f>INT(Table1[[#This Row],[Reporting date]])-INT(Table1[[#This Row],[Loss date]])</f>
        <v>362</v>
      </c>
      <c r="S851" s="69" t="s">
        <v>9</v>
      </c>
      <c r="T851" s="70">
        <f>VLOOKUP(Table1[[#This Row],[Policy Year]],exposure_table,3,FALSE)</f>
        <v>601.98581780480015</v>
      </c>
      <c r="U851" s="17">
        <f>IF(MONTH(Table1[[#This Row],[Reporting date]])&lt;Policy_Inception_Month,YEAR(Table1[[#This Row],[Reporting date]])-1,YEAR(Table1[[#This Row],[Reporting date]]))</f>
        <v>2009</v>
      </c>
      <c r="V851" s="17">
        <f>Table1[[#This Row],[Reporting year]]-Table1[[#This Row],[Policy Year]]</f>
        <v>1</v>
      </c>
      <c r="W851" s="17">
        <f>INT(Table1[[#This Row],[Reporting date]])-INT(Table1[[#This Row],[Loss date]])</f>
        <v>362</v>
      </c>
      <c r="X851" s="17">
        <f>INT((YEAR(Table1[[#This Row],[Loss date]])*12+MONTH(Table1[[#This Row],[Loss date]])-Earliest_Month)/4)</f>
        <v>11</v>
      </c>
      <c r="Y851" s="17">
        <f>INT((YEAR(Table1[[#This Row],[Reporting date]])*12+MONTH(Table1[[#This Row],[Reporting date]])-Earliest_Month)/4)</f>
        <v>14</v>
      </c>
      <c r="Z851" s="17">
        <f>Table1[[#This Row],[Reporting third]]-Table1[[#This Row],[Policy third]]</f>
        <v>3</v>
      </c>
      <c r="AA851" s="71">
        <f>IF(Table1[[#This Row],[Overall amount]]=0,"N/A",Table1[[#This Row],[Outstanding]]/Table1[[#This Row],[Overall amount]])</f>
        <v>0</v>
      </c>
      <c r="AB851" s="17">
        <f>IF(MONTH(Table1[[#This Row],[Loss date]])&lt;Pol_Inc_Month_Shifted,YEAR(Table1[[#This Row],[Loss date]])-1,YEAR(Table1[[#This Row],[Loss date]]))</f>
        <v>2008</v>
      </c>
      <c r="AC851" s="17">
        <f>IF(MONTH(Table1[[#This Row],[Reporting date]])&lt;Pol_Inc_Month_Shifted,YEAR(Table1[[#This Row],[Reporting date]])-1,YEAR(Table1[[#This Row],[Reporting date]]))</f>
        <v>2009</v>
      </c>
      <c r="AD851" s="17">
        <f>Table1[[#This Row],[Reporting year (shifted)]]-Table1[[#This Row],[Policy Year (shifted)]]</f>
        <v>1</v>
      </c>
    </row>
    <row r="852" spans="1:30" ht="13.9">
      <c r="A852" s="8" t="s">
        <v>2622</v>
      </c>
      <c r="B852" s="8" t="s">
        <v>904</v>
      </c>
      <c r="C852" s="8" t="s">
        <v>123</v>
      </c>
      <c r="D852" s="9">
        <v>40745</v>
      </c>
      <c r="E852" s="9">
        <v>40892</v>
      </c>
      <c r="F852" s="17">
        <f>IF(MONTH(Table1[[#This Row],[Loss date]])&lt;Policy_Inception_Month,YEAR(Table1[[#This Row],[Loss date]])-1,YEAR(Table1[[#This Row],[Loss date]]))</f>
        <v>2011</v>
      </c>
      <c r="G852" s="10" t="s">
        <v>125</v>
      </c>
      <c r="H852" s="10" t="s">
        <v>2</v>
      </c>
      <c r="I852" s="11">
        <v>1393.3556022289392</v>
      </c>
      <c r="J852" s="11">
        <v>0</v>
      </c>
      <c r="K852" s="11">
        <v>1393.3556022289392</v>
      </c>
      <c r="L852" s="12">
        <v>0</v>
      </c>
      <c r="M852" s="12">
        <v>0</v>
      </c>
      <c r="N852" s="12">
        <v>1393.3556022289392</v>
      </c>
      <c r="O852" s="70">
        <f>IF(Table1[[#This Row],[Overall amount]]=0,0,1)</f>
        <v>1</v>
      </c>
      <c r="P852" s="70">
        <f>Table1[[#This Row],[Overall amount]]*Exchange_Rate</f>
        <v>1393.3556022289392</v>
      </c>
      <c r="Q852" s="70">
        <f>Table1[[#This Row],[Overall (destination currency)]]*(1+Claims_Inflation)^((Revalue_at_date-Table1[[#This Row],[Loss date]])/365.25)</f>
        <v>1710</v>
      </c>
      <c r="R852" s="70">
        <f>INT(Table1[[#This Row],[Reporting date]])-INT(Table1[[#This Row],[Loss date]])</f>
        <v>147</v>
      </c>
      <c r="S852" s="69" t="s">
        <v>9</v>
      </c>
      <c r="T852" s="70">
        <f>VLOOKUP(Table1[[#This Row],[Policy Year]],exposure_table,3,FALSE)</f>
        <v>870.52680000000009</v>
      </c>
      <c r="U852" s="17">
        <f>IF(MONTH(Table1[[#This Row],[Reporting date]])&lt;Policy_Inception_Month,YEAR(Table1[[#This Row],[Reporting date]])-1,YEAR(Table1[[#This Row],[Reporting date]]))</f>
        <v>2011</v>
      </c>
      <c r="V852" s="17">
        <f>Table1[[#This Row],[Reporting year]]-Table1[[#This Row],[Policy Year]]</f>
        <v>0</v>
      </c>
      <c r="W852" s="17">
        <f>INT(Table1[[#This Row],[Reporting date]])-INT(Table1[[#This Row],[Loss date]])</f>
        <v>147</v>
      </c>
      <c r="X852" s="17">
        <f>INT((YEAR(Table1[[#This Row],[Loss date]])*12+MONTH(Table1[[#This Row],[Loss date]])-Earliest_Month)/4)</f>
        <v>18</v>
      </c>
      <c r="Y852" s="17">
        <f>INT((YEAR(Table1[[#This Row],[Reporting date]])*12+MONTH(Table1[[#This Row],[Reporting date]])-Earliest_Month)/4)</f>
        <v>20</v>
      </c>
      <c r="Z852" s="17">
        <f>Table1[[#This Row],[Reporting third]]-Table1[[#This Row],[Policy third]]</f>
        <v>2</v>
      </c>
      <c r="AA852" s="71">
        <f>IF(Table1[[#This Row],[Overall amount]]=0,"N/A",Table1[[#This Row],[Outstanding]]/Table1[[#This Row],[Overall amount]])</f>
        <v>0</v>
      </c>
      <c r="AB852" s="17">
        <f>IF(MONTH(Table1[[#This Row],[Loss date]])&lt;Pol_Inc_Month_Shifted,YEAR(Table1[[#This Row],[Loss date]])-1,YEAR(Table1[[#This Row],[Loss date]]))</f>
        <v>2010</v>
      </c>
      <c r="AC852" s="17">
        <f>IF(MONTH(Table1[[#This Row],[Reporting date]])&lt;Pol_Inc_Month_Shifted,YEAR(Table1[[#This Row],[Reporting date]])-1,YEAR(Table1[[#This Row],[Reporting date]]))</f>
        <v>2011</v>
      </c>
      <c r="AD852" s="17">
        <f>Table1[[#This Row],[Reporting year (shifted)]]-Table1[[#This Row],[Policy Year (shifted)]]</f>
        <v>1</v>
      </c>
    </row>
    <row r="853" spans="1:30" ht="13.9">
      <c r="A853" s="8" t="s">
        <v>2623</v>
      </c>
      <c r="B853" s="8" t="s">
        <v>905</v>
      </c>
      <c r="C853" s="8" t="s">
        <v>123</v>
      </c>
      <c r="D853" s="9">
        <v>38516</v>
      </c>
      <c r="E853" s="9">
        <v>38726</v>
      </c>
      <c r="F853" s="17">
        <f>IF(MONTH(Table1[[#This Row],[Loss date]])&lt;Policy_Inception_Month,YEAR(Table1[[#This Row],[Loss date]])-1,YEAR(Table1[[#This Row],[Loss date]]))</f>
        <v>2005</v>
      </c>
      <c r="G853" s="10" t="s">
        <v>126</v>
      </c>
      <c r="H853" s="10" t="s">
        <v>2</v>
      </c>
      <c r="I853" s="11">
        <v>1288.5096743483489</v>
      </c>
      <c r="J853" s="11">
        <v>0</v>
      </c>
      <c r="K853" s="11">
        <v>1288.5096743483489</v>
      </c>
      <c r="L853" s="12">
        <v>0</v>
      </c>
      <c r="M853" s="12">
        <v>0</v>
      </c>
      <c r="N853" s="12">
        <v>1288.5096743483489</v>
      </c>
      <c r="O853" s="70">
        <f>IF(Table1[[#This Row],[Overall amount]]=0,0,1)</f>
        <v>1</v>
      </c>
      <c r="P853" s="70">
        <f>Table1[[#This Row],[Overall amount]]*Exchange_Rate</f>
        <v>1288.5096743483489</v>
      </c>
      <c r="Q853" s="70">
        <f>Table1[[#This Row],[Overall (destination currency)]]*(1+Claims_Inflation)^((Revalue_at_date-Table1[[#This Row],[Loss date]])/365.25)</f>
        <v>2129.7719999999999</v>
      </c>
      <c r="R853" s="70">
        <f>INT(Table1[[#This Row],[Reporting date]])-INT(Table1[[#This Row],[Loss date]])</f>
        <v>210</v>
      </c>
      <c r="S853" s="69" t="s">
        <v>9</v>
      </c>
      <c r="T853" s="70">
        <f>VLOOKUP(Table1[[#This Row],[Policy Year]],exposure_table,3,FALSE)</f>
        <v>409.50481038040112</v>
      </c>
      <c r="U853" s="17">
        <f>IF(MONTH(Table1[[#This Row],[Reporting date]])&lt;Policy_Inception_Month,YEAR(Table1[[#This Row],[Reporting date]])-1,YEAR(Table1[[#This Row],[Reporting date]]))</f>
        <v>2005</v>
      </c>
      <c r="V853" s="17">
        <f>Table1[[#This Row],[Reporting year]]-Table1[[#This Row],[Policy Year]]</f>
        <v>0</v>
      </c>
      <c r="W853" s="17">
        <f>INT(Table1[[#This Row],[Reporting date]])-INT(Table1[[#This Row],[Loss date]])</f>
        <v>210</v>
      </c>
      <c r="X853" s="17">
        <f>INT((YEAR(Table1[[#This Row],[Loss date]])*12+MONTH(Table1[[#This Row],[Loss date]])-Earliest_Month)/4)</f>
        <v>0</v>
      </c>
      <c r="Y853" s="17">
        <f>INT((YEAR(Table1[[#This Row],[Reporting date]])*12+MONTH(Table1[[#This Row],[Reporting date]])-Earliest_Month)/4)</f>
        <v>2</v>
      </c>
      <c r="Z853" s="17">
        <f>Table1[[#This Row],[Reporting third]]-Table1[[#This Row],[Policy third]]</f>
        <v>2</v>
      </c>
      <c r="AA853" s="71">
        <f>IF(Table1[[#This Row],[Overall amount]]=0,"N/A",Table1[[#This Row],[Outstanding]]/Table1[[#This Row],[Overall amount]])</f>
        <v>0</v>
      </c>
      <c r="AB853" s="17">
        <f>IF(MONTH(Table1[[#This Row],[Loss date]])&lt;Pol_Inc_Month_Shifted,YEAR(Table1[[#This Row],[Loss date]])-1,YEAR(Table1[[#This Row],[Loss date]]))</f>
        <v>2004</v>
      </c>
      <c r="AC853" s="17">
        <f>IF(MONTH(Table1[[#This Row],[Reporting date]])&lt;Pol_Inc_Month_Shifted,YEAR(Table1[[#This Row],[Reporting date]])-1,YEAR(Table1[[#This Row],[Reporting date]]))</f>
        <v>2005</v>
      </c>
      <c r="AD853" s="17">
        <f>Table1[[#This Row],[Reporting year (shifted)]]-Table1[[#This Row],[Policy Year (shifted)]]</f>
        <v>1</v>
      </c>
    </row>
    <row r="854" spans="1:30" ht="13.9">
      <c r="A854" s="8" t="s">
        <v>2624</v>
      </c>
      <c r="B854" s="8" t="s">
        <v>906</v>
      </c>
      <c r="C854" s="8" t="s">
        <v>123</v>
      </c>
      <c r="D854" s="9">
        <v>38628</v>
      </c>
      <c r="E854" s="9">
        <v>38745</v>
      </c>
      <c r="F854" s="17">
        <f>IF(MONTH(Table1[[#This Row],[Loss date]])&lt;Policy_Inception_Month,YEAR(Table1[[#This Row],[Loss date]])-1,YEAR(Table1[[#This Row],[Loss date]]))</f>
        <v>2005</v>
      </c>
      <c r="G854" s="10" t="s">
        <v>124</v>
      </c>
      <c r="H854" s="10" t="s">
        <v>2</v>
      </c>
      <c r="I854" s="11">
        <v>5233.2091309355619</v>
      </c>
      <c r="J854" s="11">
        <v>0</v>
      </c>
      <c r="K854" s="11">
        <v>5233.2091309355619</v>
      </c>
      <c r="L854" s="12">
        <v>0</v>
      </c>
      <c r="M854" s="12">
        <v>0</v>
      </c>
      <c r="N854" s="12">
        <v>5233.2091309355619</v>
      </c>
      <c r="O854" s="70">
        <f>IF(Table1[[#This Row],[Overall amount]]=0,0,1)</f>
        <v>1</v>
      </c>
      <c r="P854" s="70">
        <f>Table1[[#This Row],[Overall amount]]*Exchange_Rate</f>
        <v>5233.2091309355619</v>
      </c>
      <c r="Q854" s="70">
        <f>Table1[[#This Row],[Overall (destination currency)]]*(1+Claims_Inflation)^((Revalue_at_date-Table1[[#This Row],[Loss date]])/365.25)</f>
        <v>8521.5</v>
      </c>
      <c r="R854" s="70">
        <f>INT(Table1[[#This Row],[Reporting date]])-INT(Table1[[#This Row],[Loss date]])</f>
        <v>117</v>
      </c>
      <c r="S854" s="69" t="s">
        <v>9</v>
      </c>
      <c r="T854" s="70">
        <f>VLOOKUP(Table1[[#This Row],[Policy Year]],exposure_table,3,FALSE)</f>
        <v>409.50481038040112</v>
      </c>
      <c r="U854" s="17">
        <f>IF(MONTH(Table1[[#This Row],[Reporting date]])&lt;Policy_Inception_Month,YEAR(Table1[[#This Row],[Reporting date]])-1,YEAR(Table1[[#This Row],[Reporting date]]))</f>
        <v>2005</v>
      </c>
      <c r="V854" s="17">
        <f>Table1[[#This Row],[Reporting year]]-Table1[[#This Row],[Policy Year]]</f>
        <v>0</v>
      </c>
      <c r="W854" s="17">
        <f>INT(Table1[[#This Row],[Reporting date]])-INT(Table1[[#This Row],[Loss date]])</f>
        <v>117</v>
      </c>
      <c r="X854" s="17">
        <f>INT((YEAR(Table1[[#This Row],[Loss date]])*12+MONTH(Table1[[#This Row],[Loss date]])-Earliest_Month)/4)</f>
        <v>1</v>
      </c>
      <c r="Y854" s="17">
        <f>INT((YEAR(Table1[[#This Row],[Reporting date]])*12+MONTH(Table1[[#This Row],[Reporting date]])-Earliest_Month)/4)</f>
        <v>2</v>
      </c>
      <c r="Z854" s="17">
        <f>Table1[[#This Row],[Reporting third]]-Table1[[#This Row],[Policy third]]</f>
        <v>1</v>
      </c>
      <c r="AA854" s="71">
        <f>IF(Table1[[#This Row],[Overall amount]]=0,"N/A",Table1[[#This Row],[Outstanding]]/Table1[[#This Row],[Overall amount]])</f>
        <v>0</v>
      </c>
      <c r="AB854" s="17">
        <f>IF(MONTH(Table1[[#This Row],[Loss date]])&lt;Pol_Inc_Month_Shifted,YEAR(Table1[[#This Row],[Loss date]])-1,YEAR(Table1[[#This Row],[Loss date]]))</f>
        <v>2004</v>
      </c>
      <c r="AC854" s="17">
        <f>IF(MONTH(Table1[[#This Row],[Reporting date]])&lt;Pol_Inc_Month_Shifted,YEAR(Table1[[#This Row],[Reporting date]])-1,YEAR(Table1[[#This Row],[Reporting date]]))</f>
        <v>2005</v>
      </c>
      <c r="AD854" s="17">
        <f>Table1[[#This Row],[Reporting year (shifted)]]-Table1[[#This Row],[Policy Year (shifted)]]</f>
        <v>1</v>
      </c>
    </row>
    <row r="855" spans="1:30" ht="13.9">
      <c r="A855" s="8" t="s">
        <v>2625</v>
      </c>
      <c r="B855" s="8" t="s">
        <v>907</v>
      </c>
      <c r="C855" s="8" t="s">
        <v>123</v>
      </c>
      <c r="D855" s="9">
        <v>38690</v>
      </c>
      <c r="E855" s="9">
        <v>38913</v>
      </c>
      <c r="F855" s="17">
        <f>IF(MONTH(Table1[[#This Row],[Loss date]])&lt;Policy_Inception_Month,YEAR(Table1[[#This Row],[Loss date]])-1,YEAR(Table1[[#This Row],[Loss date]]))</f>
        <v>2005</v>
      </c>
      <c r="G855" s="10" t="s">
        <v>125</v>
      </c>
      <c r="H855" s="10" t="s">
        <v>2</v>
      </c>
      <c r="I855" s="11">
        <v>1043.4569483838789</v>
      </c>
      <c r="J855" s="11">
        <v>0</v>
      </c>
      <c r="K855" s="11">
        <v>1043.4569483838789</v>
      </c>
      <c r="L855" s="12">
        <v>0</v>
      </c>
      <c r="M855" s="12">
        <v>0</v>
      </c>
      <c r="N855" s="12">
        <v>1043.4569483838789</v>
      </c>
      <c r="O855" s="70">
        <f>IF(Table1[[#This Row],[Overall amount]]=0,0,1)</f>
        <v>1</v>
      </c>
      <c r="P855" s="70">
        <f>Table1[[#This Row],[Overall amount]]*Exchange_Rate</f>
        <v>1043.4569483838789</v>
      </c>
      <c r="Q855" s="70">
        <f>Table1[[#This Row],[Overall (destination currency)]]*(1+Claims_Inflation)^((Revalue_at_date-Table1[[#This Row],[Loss date]])/365.25)</f>
        <v>1685.1000000000001</v>
      </c>
      <c r="R855" s="70">
        <f>INT(Table1[[#This Row],[Reporting date]])-INT(Table1[[#This Row],[Loss date]])</f>
        <v>223</v>
      </c>
      <c r="S855" s="69" t="s">
        <v>9</v>
      </c>
      <c r="T855" s="70">
        <f>VLOOKUP(Table1[[#This Row],[Policy Year]],exposure_table,3,FALSE)</f>
        <v>409.50481038040112</v>
      </c>
      <c r="U855" s="17">
        <f>IF(MONTH(Table1[[#This Row],[Reporting date]])&lt;Policy_Inception_Month,YEAR(Table1[[#This Row],[Reporting date]])-1,YEAR(Table1[[#This Row],[Reporting date]]))</f>
        <v>2006</v>
      </c>
      <c r="V855" s="17">
        <f>Table1[[#This Row],[Reporting year]]-Table1[[#This Row],[Policy Year]]</f>
        <v>1</v>
      </c>
      <c r="W855" s="17">
        <f>INT(Table1[[#This Row],[Reporting date]])-INT(Table1[[#This Row],[Loss date]])</f>
        <v>223</v>
      </c>
      <c r="X855" s="17">
        <f>INT((YEAR(Table1[[#This Row],[Loss date]])*12+MONTH(Table1[[#This Row],[Loss date]])-Earliest_Month)/4)</f>
        <v>2</v>
      </c>
      <c r="Y855" s="17">
        <f>INT((YEAR(Table1[[#This Row],[Reporting date]])*12+MONTH(Table1[[#This Row],[Reporting date]])-Earliest_Month)/4)</f>
        <v>3</v>
      </c>
      <c r="Z855" s="17">
        <f>Table1[[#This Row],[Reporting third]]-Table1[[#This Row],[Policy third]]</f>
        <v>1</v>
      </c>
      <c r="AA855" s="71">
        <f>IF(Table1[[#This Row],[Overall amount]]=0,"N/A",Table1[[#This Row],[Outstanding]]/Table1[[#This Row],[Overall amount]])</f>
        <v>0</v>
      </c>
      <c r="AB855" s="17">
        <f>IF(MONTH(Table1[[#This Row],[Loss date]])&lt;Pol_Inc_Month_Shifted,YEAR(Table1[[#This Row],[Loss date]])-1,YEAR(Table1[[#This Row],[Loss date]]))</f>
        <v>2005</v>
      </c>
      <c r="AC855" s="17">
        <f>IF(MONTH(Table1[[#This Row],[Reporting date]])&lt;Pol_Inc_Month_Shifted,YEAR(Table1[[#This Row],[Reporting date]])-1,YEAR(Table1[[#This Row],[Reporting date]]))</f>
        <v>2005</v>
      </c>
      <c r="AD855" s="17">
        <f>Table1[[#This Row],[Reporting year (shifted)]]-Table1[[#This Row],[Policy Year (shifted)]]</f>
        <v>0</v>
      </c>
    </row>
    <row r="856" spans="1:30" ht="13.9">
      <c r="A856" s="8" t="s">
        <v>2626</v>
      </c>
      <c r="B856" s="8" t="s">
        <v>908</v>
      </c>
      <c r="C856" s="8" t="s">
        <v>123</v>
      </c>
      <c r="D856" s="9">
        <v>38818</v>
      </c>
      <c r="E856" s="9">
        <v>39228</v>
      </c>
      <c r="F856" s="17">
        <f>IF(MONTH(Table1[[#This Row],[Loss date]])&lt;Policy_Inception_Month,YEAR(Table1[[#This Row],[Loss date]])-1,YEAR(Table1[[#This Row],[Loss date]]))</f>
        <v>2006</v>
      </c>
      <c r="G856" s="10" t="s">
        <v>125</v>
      </c>
      <c r="H856" s="10" t="s">
        <v>2</v>
      </c>
      <c r="I856" s="11">
        <v>19324.043846301091</v>
      </c>
      <c r="J856" s="11">
        <v>0</v>
      </c>
      <c r="K856" s="11">
        <v>19324.043846301091</v>
      </c>
      <c r="L856" s="12">
        <v>0</v>
      </c>
      <c r="M856" s="12">
        <v>0</v>
      </c>
      <c r="N856" s="12">
        <v>19324.043846301091</v>
      </c>
      <c r="O856" s="70">
        <f>IF(Table1[[#This Row],[Overall amount]]=0,0,1)</f>
        <v>1</v>
      </c>
      <c r="P856" s="70">
        <f>Table1[[#This Row],[Overall amount]]*Exchange_Rate</f>
        <v>19324.043846301091</v>
      </c>
      <c r="Q856" s="70">
        <f>Table1[[#This Row],[Overall (destination currency)]]*(1+Claims_Inflation)^((Revalue_at_date-Table1[[#This Row],[Loss date]])/365.25)</f>
        <v>30677.747999999996</v>
      </c>
      <c r="R856" s="70">
        <f>INT(Table1[[#This Row],[Reporting date]])-INT(Table1[[#This Row],[Loss date]])</f>
        <v>410</v>
      </c>
      <c r="S856" s="69" t="s">
        <v>9</v>
      </c>
      <c r="T856" s="70">
        <f>VLOOKUP(Table1[[#This Row],[Policy Year]],exposure_table,3,FALSE)</f>
        <v>483.32023209000977</v>
      </c>
      <c r="U856" s="17">
        <f>IF(MONTH(Table1[[#This Row],[Reporting date]])&lt;Policy_Inception_Month,YEAR(Table1[[#This Row],[Reporting date]])-1,YEAR(Table1[[#This Row],[Reporting date]]))</f>
        <v>2007</v>
      </c>
      <c r="V856" s="17">
        <f>Table1[[#This Row],[Reporting year]]-Table1[[#This Row],[Policy Year]]</f>
        <v>1</v>
      </c>
      <c r="W856" s="17">
        <f>INT(Table1[[#This Row],[Reporting date]])-INT(Table1[[#This Row],[Loss date]])</f>
        <v>410</v>
      </c>
      <c r="X856" s="17">
        <f>INT((YEAR(Table1[[#This Row],[Loss date]])*12+MONTH(Table1[[#This Row],[Loss date]])-Earliest_Month)/4)</f>
        <v>3</v>
      </c>
      <c r="Y856" s="17">
        <f>INT((YEAR(Table1[[#This Row],[Reporting date]])*12+MONTH(Table1[[#This Row],[Reporting date]])-Earliest_Month)/4)</f>
        <v>6</v>
      </c>
      <c r="Z856" s="17">
        <f>Table1[[#This Row],[Reporting third]]-Table1[[#This Row],[Policy third]]</f>
        <v>3</v>
      </c>
      <c r="AA856" s="71">
        <f>IF(Table1[[#This Row],[Overall amount]]=0,"N/A",Table1[[#This Row],[Outstanding]]/Table1[[#This Row],[Overall amount]])</f>
        <v>0</v>
      </c>
      <c r="AB856" s="17">
        <f>IF(MONTH(Table1[[#This Row],[Loss date]])&lt;Pol_Inc_Month_Shifted,YEAR(Table1[[#This Row],[Loss date]])-1,YEAR(Table1[[#This Row],[Loss date]]))</f>
        <v>2005</v>
      </c>
      <c r="AC856" s="17">
        <f>IF(MONTH(Table1[[#This Row],[Reporting date]])&lt;Pol_Inc_Month_Shifted,YEAR(Table1[[#This Row],[Reporting date]])-1,YEAR(Table1[[#This Row],[Reporting date]]))</f>
        <v>2006</v>
      </c>
      <c r="AD856" s="17">
        <f>Table1[[#This Row],[Reporting year (shifted)]]-Table1[[#This Row],[Policy Year (shifted)]]</f>
        <v>1</v>
      </c>
    </row>
    <row r="857" spans="1:30" ht="13.9">
      <c r="A857" s="8" t="s">
        <v>2627</v>
      </c>
      <c r="B857" s="8" t="s">
        <v>909</v>
      </c>
      <c r="C857" s="8" t="s">
        <v>123</v>
      </c>
      <c r="D857" s="9">
        <v>38950</v>
      </c>
      <c r="E857" s="9">
        <v>39178</v>
      </c>
      <c r="F857" s="17">
        <f>IF(MONTH(Table1[[#This Row],[Loss date]])&lt;Policy_Inception_Month,YEAR(Table1[[#This Row],[Loss date]])-1,YEAR(Table1[[#This Row],[Loss date]]))</f>
        <v>2006</v>
      </c>
      <c r="G857" s="10" t="s">
        <v>125</v>
      </c>
      <c r="H857" s="10" t="s">
        <v>2</v>
      </c>
      <c r="I857" s="11">
        <v>34638.189455398933</v>
      </c>
      <c r="J857" s="11">
        <v>0</v>
      </c>
      <c r="K857" s="11">
        <v>34638.189455398933</v>
      </c>
      <c r="L857" s="12">
        <v>0</v>
      </c>
      <c r="M857" s="12">
        <v>0</v>
      </c>
      <c r="N857" s="12">
        <v>34638.189455398933</v>
      </c>
      <c r="O857" s="70">
        <f>IF(Table1[[#This Row],[Overall amount]]=0,0,1)</f>
        <v>1</v>
      </c>
      <c r="P857" s="70">
        <f>Table1[[#This Row],[Overall amount]]*Exchange_Rate</f>
        <v>34638.189455398933</v>
      </c>
      <c r="Q857" s="70">
        <f>Table1[[#This Row],[Overall (destination currency)]]*(1+Claims_Inflation)^((Revalue_at_date-Table1[[#This Row],[Loss date]])/365.25)</f>
        <v>54028.500000000007</v>
      </c>
      <c r="R857" s="70">
        <f>INT(Table1[[#This Row],[Reporting date]])-INT(Table1[[#This Row],[Loss date]])</f>
        <v>228</v>
      </c>
      <c r="S857" s="69" t="s">
        <v>9</v>
      </c>
      <c r="T857" s="70">
        <f>VLOOKUP(Table1[[#This Row],[Policy Year]],exposure_table,3,FALSE)</f>
        <v>483.32023209000977</v>
      </c>
      <c r="U857" s="17">
        <f>IF(MONTH(Table1[[#This Row],[Reporting date]])&lt;Policy_Inception_Month,YEAR(Table1[[#This Row],[Reporting date]])-1,YEAR(Table1[[#This Row],[Reporting date]]))</f>
        <v>2007</v>
      </c>
      <c r="V857" s="17">
        <f>Table1[[#This Row],[Reporting year]]-Table1[[#This Row],[Policy Year]]</f>
        <v>1</v>
      </c>
      <c r="W857" s="17">
        <f>INT(Table1[[#This Row],[Reporting date]])-INT(Table1[[#This Row],[Loss date]])</f>
        <v>228</v>
      </c>
      <c r="X857" s="17">
        <f>INT((YEAR(Table1[[#This Row],[Loss date]])*12+MONTH(Table1[[#This Row],[Loss date]])-Earliest_Month)/4)</f>
        <v>4</v>
      </c>
      <c r="Y857" s="17">
        <f>INT((YEAR(Table1[[#This Row],[Reporting date]])*12+MONTH(Table1[[#This Row],[Reporting date]])-Earliest_Month)/4)</f>
        <v>6</v>
      </c>
      <c r="Z857" s="17">
        <f>Table1[[#This Row],[Reporting third]]-Table1[[#This Row],[Policy third]]</f>
        <v>2</v>
      </c>
      <c r="AA857" s="71">
        <f>IF(Table1[[#This Row],[Overall amount]]=0,"N/A",Table1[[#This Row],[Outstanding]]/Table1[[#This Row],[Overall amount]])</f>
        <v>0</v>
      </c>
      <c r="AB857" s="17">
        <f>IF(MONTH(Table1[[#This Row],[Loss date]])&lt;Pol_Inc_Month_Shifted,YEAR(Table1[[#This Row],[Loss date]])-1,YEAR(Table1[[#This Row],[Loss date]]))</f>
        <v>2005</v>
      </c>
      <c r="AC857" s="17">
        <f>IF(MONTH(Table1[[#This Row],[Reporting date]])&lt;Pol_Inc_Month_Shifted,YEAR(Table1[[#This Row],[Reporting date]])-1,YEAR(Table1[[#This Row],[Reporting date]]))</f>
        <v>2006</v>
      </c>
      <c r="AD857" s="17">
        <f>Table1[[#This Row],[Reporting year (shifted)]]-Table1[[#This Row],[Policy Year (shifted)]]</f>
        <v>1</v>
      </c>
    </row>
    <row r="858" spans="1:30" ht="13.9">
      <c r="A858" s="8" t="s">
        <v>2628</v>
      </c>
      <c r="B858" s="8" t="s">
        <v>910</v>
      </c>
      <c r="C858" s="8" t="s">
        <v>123</v>
      </c>
      <c r="D858" s="9">
        <v>39049</v>
      </c>
      <c r="E858" s="9">
        <v>39361</v>
      </c>
      <c r="F858" s="17">
        <f>IF(MONTH(Table1[[#This Row],[Loss date]])&lt;Policy_Inception_Month,YEAR(Table1[[#This Row],[Loss date]])-1,YEAR(Table1[[#This Row],[Loss date]]))</f>
        <v>2006</v>
      </c>
      <c r="G858" s="10" t="s">
        <v>142</v>
      </c>
      <c r="H858" s="10" t="s">
        <v>2</v>
      </c>
      <c r="I858" s="11">
        <v>2596.9371475984472</v>
      </c>
      <c r="J858" s="11">
        <v>0</v>
      </c>
      <c r="K858" s="11">
        <v>2596.9371475984472</v>
      </c>
      <c r="L858" s="12">
        <v>0</v>
      </c>
      <c r="M858" s="12">
        <v>0</v>
      </c>
      <c r="N858" s="12">
        <v>2596.9371475984472</v>
      </c>
      <c r="O858" s="70">
        <f>IF(Table1[[#This Row],[Overall amount]]=0,0,1)</f>
        <v>1</v>
      </c>
      <c r="P858" s="70">
        <f>Table1[[#This Row],[Overall amount]]*Exchange_Rate</f>
        <v>2596.9371475984472</v>
      </c>
      <c r="Q858" s="70">
        <f>Table1[[#This Row],[Overall (destination currency)]]*(1+Claims_Inflation)^((Revalue_at_date-Table1[[#This Row],[Loss date]])/365.25)</f>
        <v>3997.4759999999997</v>
      </c>
      <c r="R858" s="70">
        <f>INT(Table1[[#This Row],[Reporting date]])-INT(Table1[[#This Row],[Loss date]])</f>
        <v>312</v>
      </c>
      <c r="S858" s="69" t="s">
        <v>9</v>
      </c>
      <c r="T858" s="70">
        <f>VLOOKUP(Table1[[#This Row],[Policy Year]],exposure_table,3,FALSE)</f>
        <v>483.32023209000977</v>
      </c>
      <c r="U858" s="17">
        <f>IF(MONTH(Table1[[#This Row],[Reporting date]])&lt;Policy_Inception_Month,YEAR(Table1[[#This Row],[Reporting date]])-1,YEAR(Table1[[#This Row],[Reporting date]]))</f>
        <v>2007</v>
      </c>
      <c r="V858" s="17">
        <f>Table1[[#This Row],[Reporting year]]-Table1[[#This Row],[Policy Year]]</f>
        <v>1</v>
      </c>
      <c r="W858" s="17">
        <f>INT(Table1[[#This Row],[Reporting date]])-INT(Table1[[#This Row],[Loss date]])</f>
        <v>312</v>
      </c>
      <c r="X858" s="17">
        <f>INT((YEAR(Table1[[#This Row],[Loss date]])*12+MONTH(Table1[[#This Row],[Loss date]])-Earliest_Month)/4)</f>
        <v>4</v>
      </c>
      <c r="Y858" s="17">
        <f>INT((YEAR(Table1[[#This Row],[Reporting date]])*12+MONTH(Table1[[#This Row],[Reporting date]])-Earliest_Month)/4)</f>
        <v>7</v>
      </c>
      <c r="Z858" s="17">
        <f>Table1[[#This Row],[Reporting third]]-Table1[[#This Row],[Policy third]]</f>
        <v>3</v>
      </c>
      <c r="AA858" s="71">
        <f>IF(Table1[[#This Row],[Overall amount]]=0,"N/A",Table1[[#This Row],[Outstanding]]/Table1[[#This Row],[Overall amount]])</f>
        <v>0</v>
      </c>
      <c r="AB858" s="17">
        <f>IF(MONTH(Table1[[#This Row],[Loss date]])&lt;Pol_Inc_Month_Shifted,YEAR(Table1[[#This Row],[Loss date]])-1,YEAR(Table1[[#This Row],[Loss date]]))</f>
        <v>2005</v>
      </c>
      <c r="AC858" s="17">
        <f>IF(MONTH(Table1[[#This Row],[Reporting date]])&lt;Pol_Inc_Month_Shifted,YEAR(Table1[[#This Row],[Reporting date]])-1,YEAR(Table1[[#This Row],[Reporting date]]))</f>
        <v>2006</v>
      </c>
      <c r="AD858" s="17">
        <f>Table1[[#This Row],[Reporting year (shifted)]]-Table1[[#This Row],[Policy Year (shifted)]]</f>
        <v>1</v>
      </c>
    </row>
    <row r="859" spans="1:30" ht="13.9">
      <c r="A859" s="8" t="s">
        <v>2629</v>
      </c>
      <c r="B859" s="8" t="s">
        <v>911</v>
      </c>
      <c r="C859" s="8" t="s">
        <v>123</v>
      </c>
      <c r="D859" s="9">
        <v>38961</v>
      </c>
      <c r="E859" s="9">
        <v>39352</v>
      </c>
      <c r="F859" s="17">
        <f>IF(MONTH(Table1[[#This Row],[Loss date]])&lt;Policy_Inception_Month,YEAR(Table1[[#This Row],[Loss date]])-1,YEAR(Table1[[#This Row],[Loss date]]))</f>
        <v>2006</v>
      </c>
      <c r="G859" s="10" t="s">
        <v>147</v>
      </c>
      <c r="H859" s="10" t="s">
        <v>2</v>
      </c>
      <c r="I859" s="11">
        <v>3289.452317118722</v>
      </c>
      <c r="J859" s="11">
        <v>0</v>
      </c>
      <c r="K859" s="11">
        <v>3289.452317118722</v>
      </c>
      <c r="L859" s="12">
        <v>0</v>
      </c>
      <c r="M859" s="12">
        <v>0</v>
      </c>
      <c r="N859" s="12">
        <v>3289.452317118722</v>
      </c>
      <c r="O859" s="70">
        <f>IF(Table1[[#This Row],[Overall amount]]=0,0,1)</f>
        <v>1</v>
      </c>
      <c r="P859" s="70">
        <f>Table1[[#This Row],[Overall amount]]*Exchange_Rate</f>
        <v>3289.452317118722</v>
      </c>
      <c r="Q859" s="70">
        <f>Table1[[#This Row],[Overall (destination currency)]]*(1+Claims_Inflation)^((Revalue_at_date-Table1[[#This Row],[Loss date]])/365.25)</f>
        <v>5123.3399999999992</v>
      </c>
      <c r="R859" s="70">
        <f>INT(Table1[[#This Row],[Reporting date]])-INT(Table1[[#This Row],[Loss date]])</f>
        <v>391</v>
      </c>
      <c r="S859" s="69" t="s">
        <v>9</v>
      </c>
      <c r="T859" s="70">
        <f>VLOOKUP(Table1[[#This Row],[Policy Year]],exposure_table,3,FALSE)</f>
        <v>483.32023209000977</v>
      </c>
      <c r="U859" s="17">
        <f>IF(MONTH(Table1[[#This Row],[Reporting date]])&lt;Policy_Inception_Month,YEAR(Table1[[#This Row],[Reporting date]])-1,YEAR(Table1[[#This Row],[Reporting date]]))</f>
        <v>2007</v>
      </c>
      <c r="V859" s="17">
        <f>Table1[[#This Row],[Reporting year]]-Table1[[#This Row],[Policy Year]]</f>
        <v>1</v>
      </c>
      <c r="W859" s="17">
        <f>INT(Table1[[#This Row],[Reporting date]])-INT(Table1[[#This Row],[Loss date]])</f>
        <v>391</v>
      </c>
      <c r="X859" s="17">
        <f>INT((YEAR(Table1[[#This Row],[Loss date]])*12+MONTH(Table1[[#This Row],[Loss date]])-Earliest_Month)/4)</f>
        <v>4</v>
      </c>
      <c r="Y859" s="17">
        <f>INT((YEAR(Table1[[#This Row],[Reporting date]])*12+MONTH(Table1[[#This Row],[Reporting date]])-Earliest_Month)/4)</f>
        <v>7</v>
      </c>
      <c r="Z859" s="17">
        <f>Table1[[#This Row],[Reporting third]]-Table1[[#This Row],[Policy third]]</f>
        <v>3</v>
      </c>
      <c r="AA859" s="71">
        <f>IF(Table1[[#This Row],[Overall amount]]=0,"N/A",Table1[[#This Row],[Outstanding]]/Table1[[#This Row],[Overall amount]])</f>
        <v>0</v>
      </c>
      <c r="AB859" s="17">
        <f>IF(MONTH(Table1[[#This Row],[Loss date]])&lt;Pol_Inc_Month_Shifted,YEAR(Table1[[#This Row],[Loss date]])-1,YEAR(Table1[[#This Row],[Loss date]]))</f>
        <v>2005</v>
      </c>
      <c r="AC859" s="17">
        <f>IF(MONTH(Table1[[#This Row],[Reporting date]])&lt;Pol_Inc_Month_Shifted,YEAR(Table1[[#This Row],[Reporting date]])-1,YEAR(Table1[[#This Row],[Reporting date]]))</f>
        <v>2006</v>
      </c>
      <c r="AD859" s="17">
        <f>Table1[[#This Row],[Reporting year (shifted)]]-Table1[[#This Row],[Policy Year (shifted)]]</f>
        <v>1</v>
      </c>
    </row>
    <row r="860" spans="1:30" ht="13.9">
      <c r="A860" s="8" t="s">
        <v>2630</v>
      </c>
      <c r="B860" s="8" t="s">
        <v>912</v>
      </c>
      <c r="C860" s="8" t="s">
        <v>123</v>
      </c>
      <c r="D860" s="9">
        <v>39390</v>
      </c>
      <c r="E860" s="9">
        <v>39408</v>
      </c>
      <c r="F860" s="17">
        <f>IF(MONTH(Table1[[#This Row],[Loss date]])&lt;Policy_Inception_Month,YEAR(Table1[[#This Row],[Loss date]])-1,YEAR(Table1[[#This Row],[Loss date]]))</f>
        <v>2007</v>
      </c>
      <c r="G860" s="10" t="s">
        <v>125</v>
      </c>
      <c r="H860" s="10" t="s">
        <v>2</v>
      </c>
      <c r="I860" s="11">
        <v>520.13908497116461</v>
      </c>
      <c r="J860" s="11">
        <v>0</v>
      </c>
      <c r="K860" s="11">
        <v>520.13908497116461</v>
      </c>
      <c r="L860" s="12">
        <v>0</v>
      </c>
      <c r="M860" s="12">
        <v>0</v>
      </c>
      <c r="N860" s="12">
        <v>520.13908497116461</v>
      </c>
      <c r="O860" s="70">
        <f>IF(Table1[[#This Row],[Overall amount]]=0,0,1)</f>
        <v>1</v>
      </c>
      <c r="P860" s="70">
        <f>Table1[[#This Row],[Overall amount]]*Exchange_Rate</f>
        <v>520.13908497116461</v>
      </c>
      <c r="Q860" s="70">
        <f>Table1[[#This Row],[Overall (destination currency)]]*(1+Claims_Inflation)^((Revalue_at_date-Table1[[#This Row],[Loss date]])/365.25)</f>
        <v>765</v>
      </c>
      <c r="R860" s="70">
        <f>INT(Table1[[#This Row],[Reporting date]])-INT(Table1[[#This Row],[Loss date]])</f>
        <v>18</v>
      </c>
      <c r="S860" s="69" t="s">
        <v>9</v>
      </c>
      <c r="T860" s="70">
        <f>VLOOKUP(Table1[[#This Row],[Policy Year]],exposure_table,3,FALSE)</f>
        <v>547.7736362475523</v>
      </c>
      <c r="U860" s="17">
        <f>IF(MONTH(Table1[[#This Row],[Reporting date]])&lt;Policy_Inception_Month,YEAR(Table1[[#This Row],[Reporting date]])-1,YEAR(Table1[[#This Row],[Reporting date]]))</f>
        <v>2007</v>
      </c>
      <c r="V860" s="17">
        <f>Table1[[#This Row],[Reporting year]]-Table1[[#This Row],[Policy Year]]</f>
        <v>0</v>
      </c>
      <c r="W860" s="17">
        <f>INT(Table1[[#This Row],[Reporting date]])-INT(Table1[[#This Row],[Loss date]])</f>
        <v>18</v>
      </c>
      <c r="X860" s="17">
        <f>INT((YEAR(Table1[[#This Row],[Loss date]])*12+MONTH(Table1[[#This Row],[Loss date]])-Earliest_Month)/4)</f>
        <v>7</v>
      </c>
      <c r="Y860" s="17">
        <f>INT((YEAR(Table1[[#This Row],[Reporting date]])*12+MONTH(Table1[[#This Row],[Reporting date]])-Earliest_Month)/4)</f>
        <v>7</v>
      </c>
      <c r="Z860" s="17">
        <f>Table1[[#This Row],[Reporting third]]-Table1[[#This Row],[Policy third]]</f>
        <v>0</v>
      </c>
      <c r="AA860" s="71">
        <f>IF(Table1[[#This Row],[Overall amount]]=0,"N/A",Table1[[#This Row],[Outstanding]]/Table1[[#This Row],[Overall amount]])</f>
        <v>0</v>
      </c>
      <c r="AB860" s="17">
        <f>IF(MONTH(Table1[[#This Row],[Loss date]])&lt;Pol_Inc_Month_Shifted,YEAR(Table1[[#This Row],[Loss date]])-1,YEAR(Table1[[#This Row],[Loss date]]))</f>
        <v>2006</v>
      </c>
      <c r="AC860" s="17">
        <f>IF(MONTH(Table1[[#This Row],[Reporting date]])&lt;Pol_Inc_Month_Shifted,YEAR(Table1[[#This Row],[Reporting date]])-1,YEAR(Table1[[#This Row],[Reporting date]]))</f>
        <v>2006</v>
      </c>
      <c r="AD860" s="17">
        <f>Table1[[#This Row],[Reporting year (shifted)]]-Table1[[#This Row],[Policy Year (shifted)]]</f>
        <v>0</v>
      </c>
    </row>
    <row r="861" spans="1:30" ht="13.9">
      <c r="A861" s="8" t="s">
        <v>2631</v>
      </c>
      <c r="B861" s="8" t="s">
        <v>913</v>
      </c>
      <c r="C861" s="8" t="s">
        <v>123</v>
      </c>
      <c r="D861" s="9">
        <v>39670</v>
      </c>
      <c r="E861" s="9">
        <v>39936</v>
      </c>
      <c r="F861" s="17">
        <f>IF(MONTH(Table1[[#This Row],[Loss date]])&lt;Policy_Inception_Month,YEAR(Table1[[#This Row],[Loss date]])-1,YEAR(Table1[[#This Row],[Loss date]]))</f>
        <v>2008</v>
      </c>
      <c r="G861" s="10" t="s">
        <v>125</v>
      </c>
      <c r="H861" s="10" t="s">
        <v>2</v>
      </c>
      <c r="I861" s="11">
        <v>11290.473381179563</v>
      </c>
      <c r="J861" s="11">
        <v>0</v>
      </c>
      <c r="K861" s="11">
        <v>11290.473381179563</v>
      </c>
      <c r="L861" s="12">
        <v>0</v>
      </c>
      <c r="M861" s="12">
        <v>0</v>
      </c>
      <c r="N861" s="12">
        <v>11290.473381179563</v>
      </c>
      <c r="O861" s="70">
        <f>IF(Table1[[#This Row],[Overall amount]]=0,0,1)</f>
        <v>1</v>
      </c>
      <c r="P861" s="70">
        <f>Table1[[#This Row],[Overall amount]]*Exchange_Rate</f>
        <v>11290.473381179563</v>
      </c>
      <c r="Q861" s="70">
        <f>Table1[[#This Row],[Overall (destination currency)]]*(1+Claims_Inflation)^((Revalue_at_date-Table1[[#This Row],[Loss date]])/365.25)</f>
        <v>15995.964</v>
      </c>
      <c r="R861" s="70">
        <f>INT(Table1[[#This Row],[Reporting date]])-INT(Table1[[#This Row],[Loss date]])</f>
        <v>266</v>
      </c>
      <c r="S861" s="69" t="s">
        <v>9</v>
      </c>
      <c r="T861" s="70">
        <f>VLOOKUP(Table1[[#This Row],[Policy Year]],exposure_table,3,FALSE)</f>
        <v>601.98581780480015</v>
      </c>
      <c r="U861" s="17">
        <f>IF(MONTH(Table1[[#This Row],[Reporting date]])&lt;Policy_Inception_Month,YEAR(Table1[[#This Row],[Reporting date]])-1,YEAR(Table1[[#This Row],[Reporting date]]))</f>
        <v>2009</v>
      </c>
      <c r="V861" s="17">
        <f>Table1[[#This Row],[Reporting year]]-Table1[[#This Row],[Policy Year]]</f>
        <v>1</v>
      </c>
      <c r="W861" s="17">
        <f>INT(Table1[[#This Row],[Reporting date]])-INT(Table1[[#This Row],[Loss date]])</f>
        <v>266</v>
      </c>
      <c r="X861" s="17">
        <f>INT((YEAR(Table1[[#This Row],[Loss date]])*12+MONTH(Table1[[#This Row],[Loss date]])-Earliest_Month)/4)</f>
        <v>10</v>
      </c>
      <c r="Y861" s="17">
        <f>INT((YEAR(Table1[[#This Row],[Reporting date]])*12+MONTH(Table1[[#This Row],[Reporting date]])-Earliest_Month)/4)</f>
        <v>12</v>
      </c>
      <c r="Z861" s="17">
        <f>Table1[[#This Row],[Reporting third]]-Table1[[#This Row],[Policy third]]</f>
        <v>2</v>
      </c>
      <c r="AA861" s="71">
        <f>IF(Table1[[#This Row],[Overall amount]]=0,"N/A",Table1[[#This Row],[Outstanding]]/Table1[[#This Row],[Overall amount]])</f>
        <v>0</v>
      </c>
      <c r="AB861" s="17">
        <f>IF(MONTH(Table1[[#This Row],[Loss date]])&lt;Pol_Inc_Month_Shifted,YEAR(Table1[[#This Row],[Loss date]])-1,YEAR(Table1[[#This Row],[Loss date]]))</f>
        <v>2007</v>
      </c>
      <c r="AC861" s="17">
        <f>IF(MONTH(Table1[[#This Row],[Reporting date]])&lt;Pol_Inc_Month_Shifted,YEAR(Table1[[#This Row],[Reporting date]])-1,YEAR(Table1[[#This Row],[Reporting date]]))</f>
        <v>2008</v>
      </c>
      <c r="AD861" s="17">
        <f>Table1[[#This Row],[Reporting year (shifted)]]-Table1[[#This Row],[Policy Year (shifted)]]</f>
        <v>1</v>
      </c>
    </row>
    <row r="862" spans="1:30" ht="13.9">
      <c r="A862" s="8" t="s">
        <v>2632</v>
      </c>
      <c r="B862" s="8" t="s">
        <v>914</v>
      </c>
      <c r="C862" s="8" t="s">
        <v>123</v>
      </c>
      <c r="D862" s="9">
        <v>39861</v>
      </c>
      <c r="E862" s="9">
        <v>40027</v>
      </c>
      <c r="F862" s="17">
        <f>IF(MONTH(Table1[[#This Row],[Loss date]])&lt;Policy_Inception_Month,YEAR(Table1[[#This Row],[Loss date]])-1,YEAR(Table1[[#This Row],[Loss date]]))</f>
        <v>2008</v>
      </c>
      <c r="G862" s="10" t="s">
        <v>125</v>
      </c>
      <c r="H862" s="10" t="s">
        <v>2</v>
      </c>
      <c r="I862" s="11">
        <v>8512.2029156312074</v>
      </c>
      <c r="J862" s="11">
        <v>0</v>
      </c>
      <c r="K862" s="11">
        <v>8512.2029156312074</v>
      </c>
      <c r="L862" s="12">
        <v>0</v>
      </c>
      <c r="M862" s="12">
        <v>195.78066705951778</v>
      </c>
      <c r="N862" s="12">
        <v>8316.4222485716891</v>
      </c>
      <c r="O862" s="70">
        <f>IF(Table1[[#This Row],[Overall amount]]=0,0,1)</f>
        <v>1</v>
      </c>
      <c r="P862" s="70">
        <f>Table1[[#This Row],[Overall amount]]*Exchange_Rate</f>
        <v>8316.4222485716891</v>
      </c>
      <c r="Q862" s="70">
        <f>Table1[[#This Row],[Overall (destination currency)]]*(1+Claims_Inflation)^((Revalue_at_date-Table1[[#This Row],[Loss date]])/365.25)</f>
        <v>11485.615907999998</v>
      </c>
      <c r="R862" s="70">
        <f>INT(Table1[[#This Row],[Reporting date]])-INT(Table1[[#This Row],[Loss date]])</f>
        <v>166</v>
      </c>
      <c r="S862" s="69" t="s">
        <v>9</v>
      </c>
      <c r="T862" s="70">
        <f>VLOOKUP(Table1[[#This Row],[Policy Year]],exposure_table,3,FALSE)</f>
        <v>601.98581780480015</v>
      </c>
      <c r="U862" s="17">
        <f>IF(MONTH(Table1[[#This Row],[Reporting date]])&lt;Policy_Inception_Month,YEAR(Table1[[#This Row],[Reporting date]])-1,YEAR(Table1[[#This Row],[Reporting date]]))</f>
        <v>2009</v>
      </c>
      <c r="V862" s="17">
        <f>Table1[[#This Row],[Reporting year]]-Table1[[#This Row],[Policy Year]]</f>
        <v>1</v>
      </c>
      <c r="W862" s="17">
        <f>INT(Table1[[#This Row],[Reporting date]])-INT(Table1[[#This Row],[Loss date]])</f>
        <v>166</v>
      </c>
      <c r="X862" s="17">
        <f>INT((YEAR(Table1[[#This Row],[Loss date]])*12+MONTH(Table1[[#This Row],[Loss date]])-Earliest_Month)/4)</f>
        <v>11</v>
      </c>
      <c r="Y862" s="17">
        <f>INT((YEAR(Table1[[#This Row],[Reporting date]])*12+MONTH(Table1[[#This Row],[Reporting date]])-Earliest_Month)/4)</f>
        <v>13</v>
      </c>
      <c r="Z862" s="17">
        <f>Table1[[#This Row],[Reporting third]]-Table1[[#This Row],[Policy third]]</f>
        <v>2</v>
      </c>
      <c r="AA862" s="71">
        <f>IF(Table1[[#This Row],[Overall amount]]=0,"N/A",Table1[[#This Row],[Outstanding]]/Table1[[#This Row],[Overall amount]])</f>
        <v>0</v>
      </c>
      <c r="AB862" s="17">
        <f>IF(MONTH(Table1[[#This Row],[Loss date]])&lt;Pol_Inc_Month_Shifted,YEAR(Table1[[#This Row],[Loss date]])-1,YEAR(Table1[[#This Row],[Loss date]]))</f>
        <v>2008</v>
      </c>
      <c r="AC862" s="17">
        <f>IF(MONTH(Table1[[#This Row],[Reporting date]])&lt;Pol_Inc_Month_Shifted,YEAR(Table1[[#This Row],[Reporting date]])-1,YEAR(Table1[[#This Row],[Reporting date]]))</f>
        <v>2008</v>
      </c>
      <c r="AD862" s="17">
        <f>Table1[[#This Row],[Reporting year (shifted)]]-Table1[[#This Row],[Policy Year (shifted)]]</f>
        <v>0</v>
      </c>
    </row>
    <row r="863" spans="1:30" ht="13.9">
      <c r="A863" s="8" t="s">
        <v>2633</v>
      </c>
      <c r="B863" s="8" t="s">
        <v>915</v>
      </c>
      <c r="C863" s="8" t="s">
        <v>123</v>
      </c>
      <c r="D863" s="9">
        <v>40097</v>
      </c>
      <c r="E863" s="9">
        <v>40231</v>
      </c>
      <c r="F863" s="17">
        <f>IF(MONTH(Table1[[#This Row],[Loss date]])&lt;Policy_Inception_Month,YEAR(Table1[[#This Row],[Loss date]])-1,YEAR(Table1[[#This Row],[Loss date]]))</f>
        <v>2009</v>
      </c>
      <c r="G863" s="10" t="s">
        <v>126</v>
      </c>
      <c r="H863" s="10" t="s">
        <v>2</v>
      </c>
      <c r="I863" s="11">
        <v>884.16130558114173</v>
      </c>
      <c r="J863" s="11">
        <v>0</v>
      </c>
      <c r="K863" s="11">
        <v>884.16130558114173</v>
      </c>
      <c r="L863" s="12">
        <v>0</v>
      </c>
      <c r="M863" s="12">
        <v>0</v>
      </c>
      <c r="N863" s="12">
        <v>884.16130558114173</v>
      </c>
      <c r="O863" s="70">
        <f>IF(Table1[[#This Row],[Overall amount]]=0,0,1)</f>
        <v>1</v>
      </c>
      <c r="P863" s="70">
        <f>Table1[[#This Row],[Overall amount]]*Exchange_Rate</f>
        <v>884.16130558114173</v>
      </c>
      <c r="Q863" s="70">
        <f>Table1[[#This Row],[Overall (destination currency)]]*(1+Claims_Inflation)^((Revalue_at_date-Table1[[#This Row],[Loss date]])/365.25)</f>
        <v>1183.2</v>
      </c>
      <c r="R863" s="70">
        <f>INT(Table1[[#This Row],[Reporting date]])-INT(Table1[[#This Row],[Loss date]])</f>
        <v>134</v>
      </c>
      <c r="S863" s="69" t="s">
        <v>9</v>
      </c>
      <c r="T863" s="70">
        <f>VLOOKUP(Table1[[#This Row],[Policy Year]],exposure_table,3,FALSE)</f>
        <v>760.22808576000011</v>
      </c>
      <c r="U863" s="17">
        <f>IF(MONTH(Table1[[#This Row],[Reporting date]])&lt;Policy_Inception_Month,YEAR(Table1[[#This Row],[Reporting date]])-1,YEAR(Table1[[#This Row],[Reporting date]]))</f>
        <v>2009</v>
      </c>
      <c r="V863" s="17">
        <f>Table1[[#This Row],[Reporting year]]-Table1[[#This Row],[Policy Year]]</f>
        <v>0</v>
      </c>
      <c r="W863" s="17">
        <f>INT(Table1[[#This Row],[Reporting date]])-INT(Table1[[#This Row],[Loss date]])</f>
        <v>134</v>
      </c>
      <c r="X863" s="17">
        <f>INT((YEAR(Table1[[#This Row],[Loss date]])*12+MONTH(Table1[[#This Row],[Loss date]])-Earliest_Month)/4)</f>
        <v>13</v>
      </c>
      <c r="Y863" s="17">
        <f>INT((YEAR(Table1[[#This Row],[Reporting date]])*12+MONTH(Table1[[#This Row],[Reporting date]])-Earliest_Month)/4)</f>
        <v>14</v>
      </c>
      <c r="Z863" s="17">
        <f>Table1[[#This Row],[Reporting third]]-Table1[[#This Row],[Policy third]]</f>
        <v>1</v>
      </c>
      <c r="AA863" s="71">
        <f>IF(Table1[[#This Row],[Overall amount]]=0,"N/A",Table1[[#This Row],[Outstanding]]/Table1[[#This Row],[Overall amount]])</f>
        <v>0</v>
      </c>
      <c r="AB863" s="17">
        <f>IF(MONTH(Table1[[#This Row],[Loss date]])&lt;Pol_Inc_Month_Shifted,YEAR(Table1[[#This Row],[Loss date]])-1,YEAR(Table1[[#This Row],[Loss date]]))</f>
        <v>2008</v>
      </c>
      <c r="AC863" s="17">
        <f>IF(MONTH(Table1[[#This Row],[Reporting date]])&lt;Pol_Inc_Month_Shifted,YEAR(Table1[[#This Row],[Reporting date]])-1,YEAR(Table1[[#This Row],[Reporting date]]))</f>
        <v>2009</v>
      </c>
      <c r="AD863" s="17">
        <f>Table1[[#This Row],[Reporting year (shifted)]]-Table1[[#This Row],[Policy Year (shifted)]]</f>
        <v>1</v>
      </c>
    </row>
    <row r="864" spans="1:30" ht="13.9">
      <c r="A864" s="8" t="s">
        <v>2634</v>
      </c>
      <c r="B864" s="8" t="s">
        <v>916</v>
      </c>
      <c r="C864" s="8" t="s">
        <v>123</v>
      </c>
      <c r="D864" s="9">
        <v>40134</v>
      </c>
      <c r="E864" s="9">
        <v>40287</v>
      </c>
      <c r="F864" s="17">
        <f>IF(MONTH(Table1[[#This Row],[Loss date]])&lt;Policy_Inception_Month,YEAR(Table1[[#This Row],[Loss date]])-1,YEAR(Table1[[#This Row],[Loss date]]))</f>
        <v>2009</v>
      </c>
      <c r="G864" s="10" t="s">
        <v>125</v>
      </c>
      <c r="H864" s="10" t="s">
        <v>2</v>
      </c>
      <c r="I864" s="11">
        <v>744.80731551435088</v>
      </c>
      <c r="J864" s="11">
        <v>0</v>
      </c>
      <c r="K864" s="11">
        <v>744.80731551435088</v>
      </c>
      <c r="L864" s="12">
        <v>0</v>
      </c>
      <c r="M864" s="12">
        <v>0</v>
      </c>
      <c r="N864" s="12">
        <v>744.80731551435088</v>
      </c>
      <c r="O864" s="70">
        <f>IF(Table1[[#This Row],[Overall amount]]=0,0,1)</f>
        <v>1</v>
      </c>
      <c r="P864" s="70">
        <f>Table1[[#This Row],[Overall amount]]*Exchange_Rate</f>
        <v>744.80731551435088</v>
      </c>
      <c r="Q864" s="70">
        <f>Table1[[#This Row],[Overall (destination currency)]]*(1+Claims_Inflation)^((Revalue_at_date-Table1[[#This Row],[Loss date]])/365.25)</f>
        <v>991.8</v>
      </c>
      <c r="R864" s="70">
        <f>INT(Table1[[#This Row],[Reporting date]])-INT(Table1[[#This Row],[Loss date]])</f>
        <v>153</v>
      </c>
      <c r="S864" s="69" t="s">
        <v>9</v>
      </c>
      <c r="T864" s="70">
        <f>VLOOKUP(Table1[[#This Row],[Policy Year]],exposure_table,3,FALSE)</f>
        <v>760.22808576000011</v>
      </c>
      <c r="U864" s="17">
        <f>IF(MONTH(Table1[[#This Row],[Reporting date]])&lt;Policy_Inception_Month,YEAR(Table1[[#This Row],[Reporting date]])-1,YEAR(Table1[[#This Row],[Reporting date]]))</f>
        <v>2010</v>
      </c>
      <c r="V864" s="17">
        <f>Table1[[#This Row],[Reporting year]]-Table1[[#This Row],[Policy Year]]</f>
        <v>1</v>
      </c>
      <c r="W864" s="17">
        <f>INT(Table1[[#This Row],[Reporting date]])-INT(Table1[[#This Row],[Loss date]])</f>
        <v>153</v>
      </c>
      <c r="X864" s="17">
        <f>INT((YEAR(Table1[[#This Row],[Loss date]])*12+MONTH(Table1[[#This Row],[Loss date]])-Earliest_Month)/4)</f>
        <v>13</v>
      </c>
      <c r="Y864" s="17">
        <f>INT((YEAR(Table1[[#This Row],[Reporting date]])*12+MONTH(Table1[[#This Row],[Reporting date]])-Earliest_Month)/4)</f>
        <v>15</v>
      </c>
      <c r="Z864" s="17">
        <f>Table1[[#This Row],[Reporting third]]-Table1[[#This Row],[Policy third]]</f>
        <v>2</v>
      </c>
      <c r="AA864" s="71">
        <f>IF(Table1[[#This Row],[Overall amount]]=0,"N/A",Table1[[#This Row],[Outstanding]]/Table1[[#This Row],[Overall amount]])</f>
        <v>0</v>
      </c>
      <c r="AB864" s="17">
        <f>IF(MONTH(Table1[[#This Row],[Loss date]])&lt;Pol_Inc_Month_Shifted,YEAR(Table1[[#This Row],[Loss date]])-1,YEAR(Table1[[#This Row],[Loss date]]))</f>
        <v>2008</v>
      </c>
      <c r="AC864" s="17">
        <f>IF(MONTH(Table1[[#This Row],[Reporting date]])&lt;Pol_Inc_Month_Shifted,YEAR(Table1[[#This Row],[Reporting date]])-1,YEAR(Table1[[#This Row],[Reporting date]]))</f>
        <v>2009</v>
      </c>
      <c r="AD864" s="17">
        <f>Table1[[#This Row],[Reporting year (shifted)]]-Table1[[#This Row],[Policy Year (shifted)]]</f>
        <v>1</v>
      </c>
    </row>
    <row r="865" spans="1:30" ht="13.9">
      <c r="A865" s="8" t="s">
        <v>2635</v>
      </c>
      <c r="B865" s="8" t="s">
        <v>917</v>
      </c>
      <c r="C865" s="8" t="s">
        <v>123</v>
      </c>
      <c r="D865" s="9">
        <v>39741</v>
      </c>
      <c r="E865" s="9">
        <v>40292</v>
      </c>
      <c r="F865" s="17">
        <f>IF(MONTH(Table1[[#This Row],[Loss date]])&lt;Policy_Inception_Month,YEAR(Table1[[#This Row],[Loss date]])-1,YEAR(Table1[[#This Row],[Loss date]]))</f>
        <v>2008</v>
      </c>
      <c r="G865" s="10" t="s">
        <v>125</v>
      </c>
      <c r="H865" s="10" t="s">
        <v>2</v>
      </c>
      <c r="I865" s="11">
        <v>654.128915265302</v>
      </c>
      <c r="J865" s="11">
        <v>0</v>
      </c>
      <c r="K865" s="11">
        <v>654.128915265302</v>
      </c>
      <c r="L865" s="12">
        <v>0</v>
      </c>
      <c r="M865" s="12">
        <v>0</v>
      </c>
      <c r="N865" s="12">
        <v>654.128915265302</v>
      </c>
      <c r="O865" s="70">
        <f>IF(Table1[[#This Row],[Overall amount]]=0,0,1)</f>
        <v>1</v>
      </c>
      <c r="P865" s="70">
        <f>Table1[[#This Row],[Overall amount]]*Exchange_Rate</f>
        <v>654.128915265302</v>
      </c>
      <c r="Q865" s="70">
        <f>Table1[[#This Row],[Overall (destination currency)]]*(1+Claims_Inflation)^((Revalue_at_date-Table1[[#This Row],[Loss date]])/365.25)</f>
        <v>918</v>
      </c>
      <c r="R865" s="70">
        <f>INT(Table1[[#This Row],[Reporting date]])-INT(Table1[[#This Row],[Loss date]])</f>
        <v>551</v>
      </c>
      <c r="S865" s="69" t="s">
        <v>9</v>
      </c>
      <c r="T865" s="70">
        <f>VLOOKUP(Table1[[#This Row],[Policy Year]],exposure_table,3,FALSE)</f>
        <v>601.98581780480015</v>
      </c>
      <c r="U865" s="17">
        <f>IF(MONTH(Table1[[#This Row],[Reporting date]])&lt;Policy_Inception_Month,YEAR(Table1[[#This Row],[Reporting date]])-1,YEAR(Table1[[#This Row],[Reporting date]]))</f>
        <v>2010</v>
      </c>
      <c r="V865" s="17">
        <f>Table1[[#This Row],[Reporting year]]-Table1[[#This Row],[Policy Year]]</f>
        <v>2</v>
      </c>
      <c r="W865" s="17">
        <f>INT(Table1[[#This Row],[Reporting date]])-INT(Table1[[#This Row],[Loss date]])</f>
        <v>551</v>
      </c>
      <c r="X865" s="17">
        <f>INT((YEAR(Table1[[#This Row],[Loss date]])*12+MONTH(Table1[[#This Row],[Loss date]])-Earliest_Month)/4)</f>
        <v>10</v>
      </c>
      <c r="Y865" s="17">
        <f>INT((YEAR(Table1[[#This Row],[Reporting date]])*12+MONTH(Table1[[#This Row],[Reporting date]])-Earliest_Month)/4)</f>
        <v>15</v>
      </c>
      <c r="Z865" s="17">
        <f>Table1[[#This Row],[Reporting third]]-Table1[[#This Row],[Policy third]]</f>
        <v>5</v>
      </c>
      <c r="AA865" s="71">
        <f>IF(Table1[[#This Row],[Overall amount]]=0,"N/A",Table1[[#This Row],[Outstanding]]/Table1[[#This Row],[Overall amount]])</f>
        <v>0</v>
      </c>
      <c r="AB865" s="17">
        <f>IF(MONTH(Table1[[#This Row],[Loss date]])&lt;Pol_Inc_Month_Shifted,YEAR(Table1[[#This Row],[Loss date]])-1,YEAR(Table1[[#This Row],[Loss date]]))</f>
        <v>2007</v>
      </c>
      <c r="AC865" s="17">
        <f>IF(MONTH(Table1[[#This Row],[Reporting date]])&lt;Pol_Inc_Month_Shifted,YEAR(Table1[[#This Row],[Reporting date]])-1,YEAR(Table1[[#This Row],[Reporting date]]))</f>
        <v>2009</v>
      </c>
      <c r="AD865" s="17">
        <f>Table1[[#This Row],[Reporting year (shifted)]]-Table1[[#This Row],[Policy Year (shifted)]]</f>
        <v>2</v>
      </c>
    </row>
    <row r="866" spans="1:30" ht="13.9">
      <c r="A866" s="8" t="s">
        <v>2636</v>
      </c>
      <c r="B866" s="8" t="s">
        <v>918</v>
      </c>
      <c r="C866" s="8" t="s">
        <v>123</v>
      </c>
      <c r="D866" s="9">
        <v>39980</v>
      </c>
      <c r="E866" s="9">
        <v>40246</v>
      </c>
      <c r="F866" s="17">
        <f>IF(MONTH(Table1[[#This Row],[Loss date]])&lt;Policy_Inception_Month,YEAR(Table1[[#This Row],[Loss date]])-1,YEAR(Table1[[#This Row],[Loss date]]))</f>
        <v>2009</v>
      </c>
      <c r="G866" s="10" t="s">
        <v>125</v>
      </c>
      <c r="H866" s="10" t="s">
        <v>2</v>
      </c>
      <c r="I866" s="11">
        <v>1088.0628448144284</v>
      </c>
      <c r="J866" s="11">
        <v>0</v>
      </c>
      <c r="K866" s="11">
        <v>1088.0628448144284</v>
      </c>
      <c r="L866" s="12">
        <v>0</v>
      </c>
      <c r="M866" s="12">
        <v>0</v>
      </c>
      <c r="N866" s="12">
        <v>1088.0628448144284</v>
      </c>
      <c r="O866" s="70">
        <f>IF(Table1[[#This Row],[Overall amount]]=0,0,1)</f>
        <v>1</v>
      </c>
      <c r="P866" s="70">
        <f>Table1[[#This Row],[Overall amount]]*Exchange_Rate</f>
        <v>1088.0628448144284</v>
      </c>
      <c r="Q866" s="70">
        <f>Table1[[#This Row],[Overall (destination currency)]]*(1+Claims_Inflation)^((Revalue_at_date-Table1[[#This Row],[Loss date]])/365.25)</f>
        <v>1479.0000000000002</v>
      </c>
      <c r="R866" s="70">
        <f>INT(Table1[[#This Row],[Reporting date]])-INT(Table1[[#This Row],[Loss date]])</f>
        <v>266</v>
      </c>
      <c r="S866" s="69" t="s">
        <v>9</v>
      </c>
      <c r="T866" s="70">
        <f>VLOOKUP(Table1[[#This Row],[Policy Year]],exposure_table,3,FALSE)</f>
        <v>760.22808576000011</v>
      </c>
      <c r="U866" s="17">
        <f>IF(MONTH(Table1[[#This Row],[Reporting date]])&lt;Policy_Inception_Month,YEAR(Table1[[#This Row],[Reporting date]])-1,YEAR(Table1[[#This Row],[Reporting date]]))</f>
        <v>2009</v>
      </c>
      <c r="V866" s="17">
        <f>Table1[[#This Row],[Reporting year]]-Table1[[#This Row],[Policy Year]]</f>
        <v>0</v>
      </c>
      <c r="W866" s="17">
        <f>INT(Table1[[#This Row],[Reporting date]])-INT(Table1[[#This Row],[Loss date]])</f>
        <v>266</v>
      </c>
      <c r="X866" s="17">
        <f>INT((YEAR(Table1[[#This Row],[Loss date]])*12+MONTH(Table1[[#This Row],[Loss date]])-Earliest_Month)/4)</f>
        <v>12</v>
      </c>
      <c r="Y866" s="17">
        <f>INT((YEAR(Table1[[#This Row],[Reporting date]])*12+MONTH(Table1[[#This Row],[Reporting date]])-Earliest_Month)/4)</f>
        <v>14</v>
      </c>
      <c r="Z866" s="17">
        <f>Table1[[#This Row],[Reporting third]]-Table1[[#This Row],[Policy third]]</f>
        <v>2</v>
      </c>
      <c r="AA866" s="71">
        <f>IF(Table1[[#This Row],[Overall amount]]=0,"N/A",Table1[[#This Row],[Outstanding]]/Table1[[#This Row],[Overall amount]])</f>
        <v>0</v>
      </c>
      <c r="AB866" s="17">
        <f>IF(MONTH(Table1[[#This Row],[Loss date]])&lt;Pol_Inc_Month_Shifted,YEAR(Table1[[#This Row],[Loss date]])-1,YEAR(Table1[[#This Row],[Loss date]]))</f>
        <v>2008</v>
      </c>
      <c r="AC866" s="17">
        <f>IF(MONTH(Table1[[#This Row],[Reporting date]])&lt;Pol_Inc_Month_Shifted,YEAR(Table1[[#This Row],[Reporting date]])-1,YEAR(Table1[[#This Row],[Reporting date]]))</f>
        <v>2009</v>
      </c>
      <c r="AD866" s="17">
        <f>Table1[[#This Row],[Reporting year (shifted)]]-Table1[[#This Row],[Policy Year (shifted)]]</f>
        <v>1</v>
      </c>
    </row>
    <row r="867" spans="1:30" ht="13.9">
      <c r="A867" s="8" t="s">
        <v>2637</v>
      </c>
      <c r="B867" s="8" t="s">
        <v>919</v>
      </c>
      <c r="C867" s="8" t="s">
        <v>123</v>
      </c>
      <c r="D867" s="9">
        <v>39750</v>
      </c>
      <c r="E867" s="9">
        <v>40264</v>
      </c>
      <c r="F867" s="17">
        <f>IF(MONTH(Table1[[#This Row],[Loss date]])&lt;Policy_Inception_Month,YEAR(Table1[[#This Row],[Loss date]])-1,YEAR(Table1[[#This Row],[Loss date]]))</f>
        <v>2008</v>
      </c>
      <c r="G867" s="10" t="s">
        <v>125</v>
      </c>
      <c r="H867" s="10" t="s">
        <v>2</v>
      </c>
      <c r="I867" s="11">
        <v>836.83685063938447</v>
      </c>
      <c r="J867" s="11">
        <v>0</v>
      </c>
      <c r="K867" s="11">
        <v>836.83685063938447</v>
      </c>
      <c r="L867" s="12">
        <v>0</v>
      </c>
      <c r="M867" s="12">
        <v>0</v>
      </c>
      <c r="N867" s="12">
        <v>836.83685063938447</v>
      </c>
      <c r="O867" s="70">
        <f>IF(Table1[[#This Row],[Overall amount]]=0,0,1)</f>
        <v>1</v>
      </c>
      <c r="P867" s="70">
        <f>Table1[[#This Row],[Overall amount]]*Exchange_Rate</f>
        <v>836.83685063938447</v>
      </c>
      <c r="Q867" s="70">
        <f>Table1[[#This Row],[Overall (destination currency)]]*(1+Claims_Inflation)^((Revalue_at_date-Table1[[#This Row],[Loss date]])/365.25)</f>
        <v>1173</v>
      </c>
      <c r="R867" s="70">
        <f>INT(Table1[[#This Row],[Reporting date]])-INT(Table1[[#This Row],[Loss date]])</f>
        <v>514</v>
      </c>
      <c r="S867" s="69" t="s">
        <v>9</v>
      </c>
      <c r="T867" s="70">
        <f>VLOOKUP(Table1[[#This Row],[Policy Year]],exposure_table,3,FALSE)</f>
        <v>601.98581780480015</v>
      </c>
      <c r="U867" s="17">
        <f>IF(MONTH(Table1[[#This Row],[Reporting date]])&lt;Policy_Inception_Month,YEAR(Table1[[#This Row],[Reporting date]])-1,YEAR(Table1[[#This Row],[Reporting date]]))</f>
        <v>2009</v>
      </c>
      <c r="V867" s="17">
        <f>Table1[[#This Row],[Reporting year]]-Table1[[#This Row],[Policy Year]]</f>
        <v>1</v>
      </c>
      <c r="W867" s="17">
        <f>INT(Table1[[#This Row],[Reporting date]])-INT(Table1[[#This Row],[Loss date]])</f>
        <v>514</v>
      </c>
      <c r="X867" s="17">
        <f>INT((YEAR(Table1[[#This Row],[Loss date]])*12+MONTH(Table1[[#This Row],[Loss date]])-Earliest_Month)/4)</f>
        <v>10</v>
      </c>
      <c r="Y867" s="17">
        <f>INT((YEAR(Table1[[#This Row],[Reporting date]])*12+MONTH(Table1[[#This Row],[Reporting date]])-Earliest_Month)/4)</f>
        <v>14</v>
      </c>
      <c r="Z867" s="17">
        <f>Table1[[#This Row],[Reporting third]]-Table1[[#This Row],[Policy third]]</f>
        <v>4</v>
      </c>
      <c r="AA867" s="71">
        <f>IF(Table1[[#This Row],[Overall amount]]=0,"N/A",Table1[[#This Row],[Outstanding]]/Table1[[#This Row],[Overall amount]])</f>
        <v>0</v>
      </c>
      <c r="AB867" s="17">
        <f>IF(MONTH(Table1[[#This Row],[Loss date]])&lt;Pol_Inc_Month_Shifted,YEAR(Table1[[#This Row],[Loss date]])-1,YEAR(Table1[[#This Row],[Loss date]]))</f>
        <v>2007</v>
      </c>
      <c r="AC867" s="17">
        <f>IF(MONTH(Table1[[#This Row],[Reporting date]])&lt;Pol_Inc_Month_Shifted,YEAR(Table1[[#This Row],[Reporting date]])-1,YEAR(Table1[[#This Row],[Reporting date]]))</f>
        <v>2009</v>
      </c>
      <c r="AD867" s="17">
        <f>Table1[[#This Row],[Reporting year (shifted)]]-Table1[[#This Row],[Policy Year (shifted)]]</f>
        <v>2</v>
      </c>
    </row>
    <row r="868" spans="1:30" ht="13.9">
      <c r="A868" s="8" t="s">
        <v>2638</v>
      </c>
      <c r="B868" s="8" t="s">
        <v>920</v>
      </c>
      <c r="C868" s="8" t="s">
        <v>123</v>
      </c>
      <c r="D868" s="9">
        <v>40281</v>
      </c>
      <c r="E868" s="9">
        <v>40347</v>
      </c>
      <c r="F868" s="17">
        <f>IF(MONTH(Table1[[#This Row],[Loss date]])&lt;Policy_Inception_Month,YEAR(Table1[[#This Row],[Loss date]])-1,YEAR(Table1[[#This Row],[Loss date]]))</f>
        <v>2010</v>
      </c>
      <c r="G868" s="10" t="s">
        <v>125</v>
      </c>
      <c r="H868" s="10" t="s">
        <v>2</v>
      </c>
      <c r="I868" s="11">
        <v>1279.287753552919</v>
      </c>
      <c r="J868" s="11">
        <v>0</v>
      </c>
      <c r="K868" s="11">
        <v>1279.287753552919</v>
      </c>
      <c r="L868" s="12">
        <v>0</v>
      </c>
      <c r="M868" s="12">
        <v>0</v>
      </c>
      <c r="N868" s="12">
        <v>1279.287753552919</v>
      </c>
      <c r="O868" s="70">
        <f>IF(Table1[[#This Row],[Overall amount]]=0,0,1)</f>
        <v>1</v>
      </c>
      <c r="P868" s="70">
        <f>Table1[[#This Row],[Overall amount]]*Exchange_Rate</f>
        <v>1279.287753552919</v>
      </c>
      <c r="Q868" s="70">
        <f>Table1[[#This Row],[Overall (destination currency)]]*(1+Claims_Inflation)^((Revalue_at_date-Table1[[#This Row],[Loss date]])/365.25)</f>
        <v>1670.4</v>
      </c>
      <c r="R868" s="70">
        <f>INT(Table1[[#This Row],[Reporting date]])-INT(Table1[[#This Row],[Loss date]])</f>
        <v>66</v>
      </c>
      <c r="S868" s="69" t="s">
        <v>9</v>
      </c>
      <c r="T868" s="70">
        <f>VLOOKUP(Table1[[#This Row],[Policy Year]],exposure_table,3,FALSE)</f>
        <v>837.11513600000012</v>
      </c>
      <c r="U868" s="17">
        <f>IF(MONTH(Table1[[#This Row],[Reporting date]])&lt;Policy_Inception_Month,YEAR(Table1[[#This Row],[Reporting date]])-1,YEAR(Table1[[#This Row],[Reporting date]]))</f>
        <v>2010</v>
      </c>
      <c r="V868" s="17">
        <f>Table1[[#This Row],[Reporting year]]-Table1[[#This Row],[Policy Year]]</f>
        <v>0</v>
      </c>
      <c r="W868" s="17">
        <f>INT(Table1[[#This Row],[Reporting date]])-INT(Table1[[#This Row],[Loss date]])</f>
        <v>66</v>
      </c>
      <c r="X868" s="17">
        <f>INT((YEAR(Table1[[#This Row],[Loss date]])*12+MONTH(Table1[[#This Row],[Loss date]])-Earliest_Month)/4)</f>
        <v>15</v>
      </c>
      <c r="Y868" s="17">
        <f>INT((YEAR(Table1[[#This Row],[Reporting date]])*12+MONTH(Table1[[#This Row],[Reporting date]])-Earliest_Month)/4)</f>
        <v>15</v>
      </c>
      <c r="Z868" s="17">
        <f>Table1[[#This Row],[Reporting third]]-Table1[[#This Row],[Policy third]]</f>
        <v>0</v>
      </c>
      <c r="AA868" s="71">
        <f>IF(Table1[[#This Row],[Overall amount]]=0,"N/A",Table1[[#This Row],[Outstanding]]/Table1[[#This Row],[Overall amount]])</f>
        <v>0</v>
      </c>
      <c r="AB868" s="17">
        <f>IF(MONTH(Table1[[#This Row],[Loss date]])&lt;Pol_Inc_Month_Shifted,YEAR(Table1[[#This Row],[Loss date]])-1,YEAR(Table1[[#This Row],[Loss date]]))</f>
        <v>2009</v>
      </c>
      <c r="AC868" s="17">
        <f>IF(MONTH(Table1[[#This Row],[Reporting date]])&lt;Pol_Inc_Month_Shifted,YEAR(Table1[[#This Row],[Reporting date]])-1,YEAR(Table1[[#This Row],[Reporting date]]))</f>
        <v>2009</v>
      </c>
      <c r="AD868" s="17">
        <f>Table1[[#This Row],[Reporting year (shifted)]]-Table1[[#This Row],[Policy Year (shifted)]]</f>
        <v>0</v>
      </c>
    </row>
    <row r="869" spans="1:30" ht="13.9">
      <c r="A869" s="8" t="s">
        <v>2639</v>
      </c>
      <c r="B869" s="8" t="s">
        <v>921</v>
      </c>
      <c r="C869" s="8" t="s">
        <v>123</v>
      </c>
      <c r="D869" s="9">
        <v>40320</v>
      </c>
      <c r="E869" s="9">
        <v>40399</v>
      </c>
      <c r="F869" s="17">
        <f>IF(MONTH(Table1[[#This Row],[Loss date]])&lt;Policy_Inception_Month,YEAR(Table1[[#This Row],[Loss date]])-1,YEAR(Table1[[#This Row],[Loss date]]))</f>
        <v>2010</v>
      </c>
      <c r="G869" s="10" t="s">
        <v>125</v>
      </c>
      <c r="H869" s="10" t="s">
        <v>2</v>
      </c>
      <c r="I869" s="11">
        <v>750.14902452449064</v>
      </c>
      <c r="J869" s="11">
        <v>0</v>
      </c>
      <c r="K869" s="11">
        <v>750.14902452449064</v>
      </c>
      <c r="L869" s="12">
        <v>0</v>
      </c>
      <c r="M869" s="12">
        <v>0</v>
      </c>
      <c r="N869" s="12">
        <v>750.14902452449064</v>
      </c>
      <c r="O869" s="70">
        <f>IF(Table1[[#This Row],[Overall amount]]=0,0,1)</f>
        <v>1</v>
      </c>
      <c r="P869" s="70">
        <f>Table1[[#This Row],[Overall amount]]*Exchange_Rate</f>
        <v>750.14902452449064</v>
      </c>
      <c r="Q869" s="70">
        <f>Table1[[#This Row],[Overall (destination currency)]]*(1+Claims_Inflation)^((Revalue_at_date-Table1[[#This Row],[Loss date]])/365.25)</f>
        <v>974.40000000000009</v>
      </c>
      <c r="R869" s="70">
        <f>INT(Table1[[#This Row],[Reporting date]])-INT(Table1[[#This Row],[Loss date]])</f>
        <v>79</v>
      </c>
      <c r="S869" s="69" t="s">
        <v>9</v>
      </c>
      <c r="T869" s="70">
        <f>VLOOKUP(Table1[[#This Row],[Policy Year]],exposure_table,3,FALSE)</f>
        <v>837.11513600000012</v>
      </c>
      <c r="U869" s="17">
        <f>IF(MONTH(Table1[[#This Row],[Reporting date]])&lt;Policy_Inception_Month,YEAR(Table1[[#This Row],[Reporting date]])-1,YEAR(Table1[[#This Row],[Reporting date]]))</f>
        <v>2010</v>
      </c>
      <c r="V869" s="17">
        <f>Table1[[#This Row],[Reporting year]]-Table1[[#This Row],[Policy Year]]</f>
        <v>0</v>
      </c>
      <c r="W869" s="17">
        <f>INT(Table1[[#This Row],[Reporting date]])-INT(Table1[[#This Row],[Loss date]])</f>
        <v>79</v>
      </c>
      <c r="X869" s="17">
        <f>INT((YEAR(Table1[[#This Row],[Loss date]])*12+MONTH(Table1[[#This Row],[Loss date]])-Earliest_Month)/4)</f>
        <v>15</v>
      </c>
      <c r="Y869" s="17">
        <f>INT((YEAR(Table1[[#This Row],[Reporting date]])*12+MONTH(Table1[[#This Row],[Reporting date]])-Earliest_Month)/4)</f>
        <v>16</v>
      </c>
      <c r="Z869" s="17">
        <f>Table1[[#This Row],[Reporting third]]-Table1[[#This Row],[Policy third]]</f>
        <v>1</v>
      </c>
      <c r="AA869" s="71">
        <f>IF(Table1[[#This Row],[Overall amount]]=0,"N/A",Table1[[#This Row],[Outstanding]]/Table1[[#This Row],[Overall amount]])</f>
        <v>0</v>
      </c>
      <c r="AB869" s="17">
        <f>IF(MONTH(Table1[[#This Row],[Loss date]])&lt;Pol_Inc_Month_Shifted,YEAR(Table1[[#This Row],[Loss date]])-1,YEAR(Table1[[#This Row],[Loss date]]))</f>
        <v>2009</v>
      </c>
      <c r="AC869" s="17">
        <f>IF(MONTH(Table1[[#This Row],[Reporting date]])&lt;Pol_Inc_Month_Shifted,YEAR(Table1[[#This Row],[Reporting date]])-1,YEAR(Table1[[#This Row],[Reporting date]]))</f>
        <v>2009</v>
      </c>
      <c r="AD869" s="17">
        <f>Table1[[#This Row],[Reporting year (shifted)]]-Table1[[#This Row],[Policy Year (shifted)]]</f>
        <v>0</v>
      </c>
    </row>
    <row r="870" spans="1:30" ht="13.9">
      <c r="A870" s="8" t="s">
        <v>2640</v>
      </c>
      <c r="B870" s="8" t="s">
        <v>922</v>
      </c>
      <c r="C870" s="8" t="s">
        <v>123</v>
      </c>
      <c r="D870" s="9">
        <v>40335</v>
      </c>
      <c r="E870" s="9">
        <v>40377</v>
      </c>
      <c r="F870" s="17">
        <f>IF(MONTH(Table1[[#This Row],[Loss date]])&lt;Policy_Inception_Month,YEAR(Table1[[#This Row],[Loss date]])-1,YEAR(Table1[[#This Row],[Loss date]]))</f>
        <v>2010</v>
      </c>
      <c r="G870" s="10" t="s">
        <v>125</v>
      </c>
      <c r="H870" s="10" t="s">
        <v>2</v>
      </c>
      <c r="I870" s="11">
        <v>7957.5123585958672</v>
      </c>
      <c r="J870" s="11">
        <v>0</v>
      </c>
      <c r="K870" s="11">
        <v>7957.5123585958672</v>
      </c>
      <c r="L870" s="12">
        <v>0</v>
      </c>
      <c r="M870" s="12">
        <v>0</v>
      </c>
      <c r="N870" s="12">
        <v>7957.5123585958672</v>
      </c>
      <c r="O870" s="70">
        <f>IF(Table1[[#This Row],[Overall amount]]=0,0,1)</f>
        <v>1</v>
      </c>
      <c r="P870" s="70">
        <f>Table1[[#This Row],[Overall amount]]*Exchange_Rate</f>
        <v>7957.5123585958672</v>
      </c>
      <c r="Q870" s="70">
        <f>Table1[[#This Row],[Overall (destination currency)]]*(1+Claims_Inflation)^((Revalue_at_date-Table1[[#This Row],[Loss date]])/365.25)</f>
        <v>10315.655999999999</v>
      </c>
      <c r="R870" s="70">
        <f>INT(Table1[[#This Row],[Reporting date]])-INT(Table1[[#This Row],[Loss date]])</f>
        <v>42</v>
      </c>
      <c r="S870" s="69" t="s">
        <v>9</v>
      </c>
      <c r="T870" s="70">
        <f>VLOOKUP(Table1[[#This Row],[Policy Year]],exposure_table,3,FALSE)</f>
        <v>837.11513600000012</v>
      </c>
      <c r="U870" s="17">
        <f>IF(MONTH(Table1[[#This Row],[Reporting date]])&lt;Policy_Inception_Month,YEAR(Table1[[#This Row],[Reporting date]])-1,YEAR(Table1[[#This Row],[Reporting date]]))</f>
        <v>2010</v>
      </c>
      <c r="V870" s="17">
        <f>Table1[[#This Row],[Reporting year]]-Table1[[#This Row],[Policy Year]]</f>
        <v>0</v>
      </c>
      <c r="W870" s="17">
        <f>INT(Table1[[#This Row],[Reporting date]])-INT(Table1[[#This Row],[Loss date]])</f>
        <v>42</v>
      </c>
      <c r="X870" s="17">
        <f>INT((YEAR(Table1[[#This Row],[Loss date]])*12+MONTH(Table1[[#This Row],[Loss date]])-Earliest_Month)/4)</f>
        <v>15</v>
      </c>
      <c r="Y870" s="17">
        <f>INT((YEAR(Table1[[#This Row],[Reporting date]])*12+MONTH(Table1[[#This Row],[Reporting date]])-Earliest_Month)/4)</f>
        <v>15</v>
      </c>
      <c r="Z870" s="17">
        <f>Table1[[#This Row],[Reporting third]]-Table1[[#This Row],[Policy third]]</f>
        <v>0</v>
      </c>
      <c r="AA870" s="71">
        <f>IF(Table1[[#This Row],[Overall amount]]=0,"N/A",Table1[[#This Row],[Outstanding]]/Table1[[#This Row],[Overall amount]])</f>
        <v>0</v>
      </c>
      <c r="AB870" s="17">
        <f>IF(MONTH(Table1[[#This Row],[Loss date]])&lt;Pol_Inc_Month_Shifted,YEAR(Table1[[#This Row],[Loss date]])-1,YEAR(Table1[[#This Row],[Loss date]]))</f>
        <v>2009</v>
      </c>
      <c r="AC870" s="17">
        <f>IF(MONTH(Table1[[#This Row],[Reporting date]])&lt;Pol_Inc_Month_Shifted,YEAR(Table1[[#This Row],[Reporting date]])-1,YEAR(Table1[[#This Row],[Reporting date]]))</f>
        <v>2009</v>
      </c>
      <c r="AD870" s="17">
        <f>Table1[[#This Row],[Reporting year (shifted)]]-Table1[[#This Row],[Policy Year (shifted)]]</f>
        <v>0</v>
      </c>
    </row>
    <row r="871" spans="1:30" ht="13.9">
      <c r="A871" s="8" t="s">
        <v>2641</v>
      </c>
      <c r="B871" s="8" t="s">
        <v>923</v>
      </c>
      <c r="C871" s="8" t="s">
        <v>123</v>
      </c>
      <c r="D871" s="9">
        <v>40019</v>
      </c>
      <c r="E871" s="9">
        <v>40491</v>
      </c>
      <c r="F871" s="17">
        <f>IF(MONTH(Table1[[#This Row],[Loss date]])&lt;Policy_Inception_Month,YEAR(Table1[[#This Row],[Loss date]])-1,YEAR(Table1[[#This Row],[Loss date]]))</f>
        <v>2009</v>
      </c>
      <c r="G871" s="10" t="s">
        <v>125</v>
      </c>
      <c r="H871" s="10" t="s">
        <v>2</v>
      </c>
      <c r="I871" s="11">
        <v>450.36601548767084</v>
      </c>
      <c r="J871" s="11">
        <v>0</v>
      </c>
      <c r="K871" s="11">
        <v>450.36601548767084</v>
      </c>
      <c r="L871" s="12">
        <v>0</v>
      </c>
      <c r="M871" s="12">
        <v>41.884039440353376</v>
      </c>
      <c r="N871" s="12">
        <v>408.48197604731746</v>
      </c>
      <c r="O871" s="70">
        <f>IF(Table1[[#This Row],[Overall amount]]=0,0,1)</f>
        <v>1</v>
      </c>
      <c r="P871" s="70">
        <f>Table1[[#This Row],[Overall amount]]*Exchange_Rate</f>
        <v>408.48197604731746</v>
      </c>
      <c r="Q871" s="70">
        <f>Table1[[#This Row],[Overall (destination currency)]]*(1+Claims_Inflation)^((Revalue_at_date-Table1[[#This Row],[Loss date]])/365.25)</f>
        <v>552.36300000000006</v>
      </c>
      <c r="R871" s="70">
        <f>INT(Table1[[#This Row],[Reporting date]])-INT(Table1[[#This Row],[Loss date]])</f>
        <v>472</v>
      </c>
      <c r="S871" s="69" t="s">
        <v>9</v>
      </c>
      <c r="T871" s="70">
        <f>VLOOKUP(Table1[[#This Row],[Policy Year]],exposure_table,3,FALSE)</f>
        <v>760.22808576000011</v>
      </c>
      <c r="U871" s="17">
        <f>IF(MONTH(Table1[[#This Row],[Reporting date]])&lt;Policy_Inception_Month,YEAR(Table1[[#This Row],[Reporting date]])-1,YEAR(Table1[[#This Row],[Reporting date]]))</f>
        <v>2010</v>
      </c>
      <c r="V871" s="17">
        <f>Table1[[#This Row],[Reporting year]]-Table1[[#This Row],[Policy Year]]</f>
        <v>1</v>
      </c>
      <c r="W871" s="17">
        <f>INT(Table1[[#This Row],[Reporting date]])-INT(Table1[[#This Row],[Loss date]])</f>
        <v>472</v>
      </c>
      <c r="X871" s="17">
        <f>INT((YEAR(Table1[[#This Row],[Loss date]])*12+MONTH(Table1[[#This Row],[Loss date]])-Earliest_Month)/4)</f>
        <v>12</v>
      </c>
      <c r="Y871" s="17">
        <f>INT((YEAR(Table1[[#This Row],[Reporting date]])*12+MONTH(Table1[[#This Row],[Reporting date]])-Earliest_Month)/4)</f>
        <v>16</v>
      </c>
      <c r="Z871" s="17">
        <f>Table1[[#This Row],[Reporting third]]-Table1[[#This Row],[Policy third]]</f>
        <v>4</v>
      </c>
      <c r="AA871" s="71">
        <f>IF(Table1[[#This Row],[Overall amount]]=0,"N/A",Table1[[#This Row],[Outstanding]]/Table1[[#This Row],[Overall amount]])</f>
        <v>0</v>
      </c>
      <c r="AB871" s="17">
        <f>IF(MONTH(Table1[[#This Row],[Loss date]])&lt;Pol_Inc_Month_Shifted,YEAR(Table1[[#This Row],[Loss date]])-1,YEAR(Table1[[#This Row],[Loss date]]))</f>
        <v>2008</v>
      </c>
      <c r="AC871" s="17">
        <f>IF(MONTH(Table1[[#This Row],[Reporting date]])&lt;Pol_Inc_Month_Shifted,YEAR(Table1[[#This Row],[Reporting date]])-1,YEAR(Table1[[#This Row],[Reporting date]]))</f>
        <v>2009</v>
      </c>
      <c r="AD871" s="17">
        <f>Table1[[#This Row],[Reporting year (shifted)]]-Table1[[#This Row],[Policy Year (shifted)]]</f>
        <v>1</v>
      </c>
    </row>
    <row r="872" spans="1:30" ht="13.9">
      <c r="A872" s="8" t="s">
        <v>2642</v>
      </c>
      <c r="B872" s="8" t="s">
        <v>924</v>
      </c>
      <c r="C872" s="8" t="s">
        <v>123</v>
      </c>
      <c r="D872" s="9">
        <v>40356</v>
      </c>
      <c r="E872" s="9">
        <v>40390</v>
      </c>
      <c r="F872" s="17">
        <f>IF(MONTH(Table1[[#This Row],[Loss date]])&lt;Policy_Inception_Month,YEAR(Table1[[#This Row],[Loss date]])-1,YEAR(Table1[[#This Row],[Loss date]]))</f>
        <v>2010</v>
      </c>
      <c r="G872" s="10" t="s">
        <v>125</v>
      </c>
      <c r="H872" s="10" t="s">
        <v>2</v>
      </c>
      <c r="I872" s="11">
        <v>619.1641843122967</v>
      </c>
      <c r="J872" s="11">
        <v>0</v>
      </c>
      <c r="K872" s="11">
        <v>619.1641843122967</v>
      </c>
      <c r="L872" s="12">
        <v>0</v>
      </c>
      <c r="M872" s="12">
        <v>0</v>
      </c>
      <c r="N872" s="12">
        <v>619.1641843122967</v>
      </c>
      <c r="O872" s="70">
        <f>IF(Table1[[#This Row],[Overall amount]]=0,0,1)</f>
        <v>1</v>
      </c>
      <c r="P872" s="70">
        <f>Table1[[#This Row],[Overall amount]]*Exchange_Rate</f>
        <v>619.1641843122967</v>
      </c>
      <c r="Q872" s="70">
        <f>Table1[[#This Row],[Overall (destination currency)]]*(1+Claims_Inflation)^((Revalue_at_date-Table1[[#This Row],[Loss date]])/365.25)</f>
        <v>800.4</v>
      </c>
      <c r="R872" s="70">
        <f>INT(Table1[[#This Row],[Reporting date]])-INT(Table1[[#This Row],[Loss date]])</f>
        <v>34</v>
      </c>
      <c r="S872" s="69" t="s">
        <v>9</v>
      </c>
      <c r="T872" s="70">
        <f>VLOOKUP(Table1[[#This Row],[Policy Year]],exposure_table,3,FALSE)</f>
        <v>837.11513600000012</v>
      </c>
      <c r="U872" s="17">
        <f>IF(MONTH(Table1[[#This Row],[Reporting date]])&lt;Policy_Inception_Month,YEAR(Table1[[#This Row],[Reporting date]])-1,YEAR(Table1[[#This Row],[Reporting date]]))</f>
        <v>2010</v>
      </c>
      <c r="V872" s="17">
        <f>Table1[[#This Row],[Reporting year]]-Table1[[#This Row],[Policy Year]]</f>
        <v>0</v>
      </c>
      <c r="W872" s="17">
        <f>INT(Table1[[#This Row],[Reporting date]])-INT(Table1[[#This Row],[Loss date]])</f>
        <v>34</v>
      </c>
      <c r="X872" s="17">
        <f>INT((YEAR(Table1[[#This Row],[Loss date]])*12+MONTH(Table1[[#This Row],[Loss date]])-Earliest_Month)/4)</f>
        <v>15</v>
      </c>
      <c r="Y872" s="17">
        <f>INT((YEAR(Table1[[#This Row],[Reporting date]])*12+MONTH(Table1[[#This Row],[Reporting date]])-Earliest_Month)/4)</f>
        <v>15</v>
      </c>
      <c r="Z872" s="17">
        <f>Table1[[#This Row],[Reporting third]]-Table1[[#This Row],[Policy third]]</f>
        <v>0</v>
      </c>
      <c r="AA872" s="71">
        <f>IF(Table1[[#This Row],[Overall amount]]=0,"N/A",Table1[[#This Row],[Outstanding]]/Table1[[#This Row],[Overall amount]])</f>
        <v>0</v>
      </c>
      <c r="AB872" s="17">
        <f>IF(MONTH(Table1[[#This Row],[Loss date]])&lt;Pol_Inc_Month_Shifted,YEAR(Table1[[#This Row],[Loss date]])-1,YEAR(Table1[[#This Row],[Loss date]]))</f>
        <v>2009</v>
      </c>
      <c r="AC872" s="17">
        <f>IF(MONTH(Table1[[#This Row],[Reporting date]])&lt;Pol_Inc_Month_Shifted,YEAR(Table1[[#This Row],[Reporting date]])-1,YEAR(Table1[[#This Row],[Reporting date]]))</f>
        <v>2009</v>
      </c>
      <c r="AD872" s="17">
        <f>Table1[[#This Row],[Reporting year (shifted)]]-Table1[[#This Row],[Policy Year (shifted)]]</f>
        <v>0</v>
      </c>
    </row>
    <row r="873" spans="1:30" ht="13.9">
      <c r="A873" s="8" t="s">
        <v>2643</v>
      </c>
      <c r="B873" s="8" t="s">
        <v>925</v>
      </c>
      <c r="C873" s="8" t="s">
        <v>123</v>
      </c>
      <c r="D873" s="9">
        <v>40211</v>
      </c>
      <c r="E873" s="9">
        <v>40266</v>
      </c>
      <c r="F873" s="17">
        <f>IF(MONTH(Table1[[#This Row],[Loss date]])&lt;Policy_Inception_Month,YEAR(Table1[[#This Row],[Loss date]])-1,YEAR(Table1[[#This Row],[Loss date]]))</f>
        <v>2009</v>
      </c>
      <c r="G873" s="10" t="s">
        <v>125</v>
      </c>
      <c r="H873" s="10" t="s">
        <v>2</v>
      </c>
      <c r="I873" s="11">
        <v>712.90202693573315</v>
      </c>
      <c r="J873" s="11">
        <v>0</v>
      </c>
      <c r="K873" s="11">
        <v>712.90202693573315</v>
      </c>
      <c r="L873" s="12">
        <v>0</v>
      </c>
      <c r="M873" s="12">
        <v>0</v>
      </c>
      <c r="N873" s="12">
        <v>712.90202693573315</v>
      </c>
      <c r="O873" s="70">
        <f>IF(Table1[[#This Row],[Overall amount]]=0,0,1)</f>
        <v>1</v>
      </c>
      <c r="P873" s="70">
        <f>Table1[[#This Row],[Overall amount]]*Exchange_Rate</f>
        <v>712.90202693573315</v>
      </c>
      <c r="Q873" s="70">
        <f>Table1[[#This Row],[Overall (destination currency)]]*(1+Claims_Inflation)^((Revalue_at_date-Table1[[#This Row],[Loss date]])/365.25)</f>
        <v>939.5999999999998</v>
      </c>
      <c r="R873" s="70">
        <f>INT(Table1[[#This Row],[Reporting date]])-INT(Table1[[#This Row],[Loss date]])</f>
        <v>55</v>
      </c>
      <c r="S873" s="69" t="s">
        <v>9</v>
      </c>
      <c r="T873" s="70">
        <f>VLOOKUP(Table1[[#This Row],[Policy Year]],exposure_table,3,FALSE)</f>
        <v>760.22808576000011</v>
      </c>
      <c r="U873" s="17">
        <f>IF(MONTH(Table1[[#This Row],[Reporting date]])&lt;Policy_Inception_Month,YEAR(Table1[[#This Row],[Reporting date]])-1,YEAR(Table1[[#This Row],[Reporting date]]))</f>
        <v>2009</v>
      </c>
      <c r="V873" s="17">
        <f>Table1[[#This Row],[Reporting year]]-Table1[[#This Row],[Policy Year]]</f>
        <v>0</v>
      </c>
      <c r="W873" s="17">
        <f>INT(Table1[[#This Row],[Reporting date]])-INT(Table1[[#This Row],[Loss date]])</f>
        <v>55</v>
      </c>
      <c r="X873" s="17">
        <f>INT((YEAR(Table1[[#This Row],[Loss date]])*12+MONTH(Table1[[#This Row],[Loss date]])-Earliest_Month)/4)</f>
        <v>14</v>
      </c>
      <c r="Y873" s="17">
        <f>INT((YEAR(Table1[[#This Row],[Reporting date]])*12+MONTH(Table1[[#This Row],[Reporting date]])-Earliest_Month)/4)</f>
        <v>14</v>
      </c>
      <c r="Z873" s="17">
        <f>Table1[[#This Row],[Reporting third]]-Table1[[#This Row],[Policy third]]</f>
        <v>0</v>
      </c>
      <c r="AA873" s="71">
        <f>IF(Table1[[#This Row],[Overall amount]]=0,"N/A",Table1[[#This Row],[Outstanding]]/Table1[[#This Row],[Overall amount]])</f>
        <v>0</v>
      </c>
      <c r="AB873" s="17">
        <f>IF(MONTH(Table1[[#This Row],[Loss date]])&lt;Pol_Inc_Month_Shifted,YEAR(Table1[[#This Row],[Loss date]])-1,YEAR(Table1[[#This Row],[Loss date]]))</f>
        <v>2009</v>
      </c>
      <c r="AC873" s="17">
        <f>IF(MONTH(Table1[[#This Row],[Reporting date]])&lt;Pol_Inc_Month_Shifted,YEAR(Table1[[#This Row],[Reporting date]])-1,YEAR(Table1[[#This Row],[Reporting date]]))</f>
        <v>2009</v>
      </c>
      <c r="AD873" s="17">
        <f>Table1[[#This Row],[Reporting year (shifted)]]-Table1[[#This Row],[Policy Year (shifted)]]</f>
        <v>0</v>
      </c>
    </row>
    <row r="874" spans="1:30" ht="13.9">
      <c r="A874" s="8" t="s">
        <v>2644</v>
      </c>
      <c r="B874" s="8" t="s">
        <v>926</v>
      </c>
      <c r="C874" s="8" t="s">
        <v>123</v>
      </c>
      <c r="D874" s="9">
        <v>40245</v>
      </c>
      <c r="E874" s="9">
        <v>40505</v>
      </c>
      <c r="F874" s="17">
        <f>IF(MONTH(Table1[[#This Row],[Loss date]])&lt;Policy_Inception_Month,YEAR(Table1[[#This Row],[Loss date]])-1,YEAR(Table1[[#This Row],[Loss date]]))</f>
        <v>2009</v>
      </c>
      <c r="G874" s="10" t="s">
        <v>125</v>
      </c>
      <c r="H874" s="10" t="s">
        <v>2</v>
      </c>
      <c r="I874" s="11">
        <v>8044.537252084343</v>
      </c>
      <c r="J874" s="11">
        <v>0</v>
      </c>
      <c r="K874" s="11">
        <v>8044.537252084343</v>
      </c>
      <c r="L874" s="12">
        <v>0</v>
      </c>
      <c r="M874" s="12">
        <v>0</v>
      </c>
      <c r="N874" s="12">
        <v>8044.537252084343</v>
      </c>
      <c r="O874" s="70">
        <f>IF(Table1[[#This Row],[Overall amount]]=0,0,1)</f>
        <v>1</v>
      </c>
      <c r="P874" s="70">
        <f>Table1[[#This Row],[Overall amount]]*Exchange_Rate</f>
        <v>8044.537252084343</v>
      </c>
      <c r="Q874" s="70">
        <f>Table1[[#This Row],[Overall (destination currency)]]*(1+Claims_Inflation)^((Revalue_at_date-Table1[[#This Row],[Loss date]])/365.25)</f>
        <v>10554.6</v>
      </c>
      <c r="R874" s="70">
        <f>INT(Table1[[#This Row],[Reporting date]])-INT(Table1[[#This Row],[Loss date]])</f>
        <v>260</v>
      </c>
      <c r="S874" s="69" t="s">
        <v>9</v>
      </c>
      <c r="T874" s="70">
        <f>VLOOKUP(Table1[[#This Row],[Policy Year]],exposure_table,3,FALSE)</f>
        <v>760.22808576000011</v>
      </c>
      <c r="U874" s="17">
        <f>IF(MONTH(Table1[[#This Row],[Reporting date]])&lt;Policy_Inception_Month,YEAR(Table1[[#This Row],[Reporting date]])-1,YEAR(Table1[[#This Row],[Reporting date]]))</f>
        <v>2010</v>
      </c>
      <c r="V874" s="17">
        <f>Table1[[#This Row],[Reporting year]]-Table1[[#This Row],[Policy Year]]</f>
        <v>1</v>
      </c>
      <c r="W874" s="17">
        <f>INT(Table1[[#This Row],[Reporting date]])-INT(Table1[[#This Row],[Loss date]])</f>
        <v>260</v>
      </c>
      <c r="X874" s="17">
        <f>INT((YEAR(Table1[[#This Row],[Loss date]])*12+MONTH(Table1[[#This Row],[Loss date]])-Earliest_Month)/4)</f>
        <v>14</v>
      </c>
      <c r="Y874" s="17">
        <f>INT((YEAR(Table1[[#This Row],[Reporting date]])*12+MONTH(Table1[[#This Row],[Reporting date]])-Earliest_Month)/4)</f>
        <v>16</v>
      </c>
      <c r="Z874" s="17">
        <f>Table1[[#This Row],[Reporting third]]-Table1[[#This Row],[Policy third]]</f>
        <v>2</v>
      </c>
      <c r="AA874" s="71">
        <f>IF(Table1[[#This Row],[Overall amount]]=0,"N/A",Table1[[#This Row],[Outstanding]]/Table1[[#This Row],[Overall amount]])</f>
        <v>0</v>
      </c>
      <c r="AB874" s="17">
        <f>IF(MONTH(Table1[[#This Row],[Loss date]])&lt;Pol_Inc_Month_Shifted,YEAR(Table1[[#This Row],[Loss date]])-1,YEAR(Table1[[#This Row],[Loss date]]))</f>
        <v>2009</v>
      </c>
      <c r="AC874" s="17">
        <f>IF(MONTH(Table1[[#This Row],[Reporting date]])&lt;Pol_Inc_Month_Shifted,YEAR(Table1[[#This Row],[Reporting date]])-1,YEAR(Table1[[#This Row],[Reporting date]]))</f>
        <v>2009</v>
      </c>
      <c r="AD874" s="17">
        <f>Table1[[#This Row],[Reporting year (shifted)]]-Table1[[#This Row],[Policy Year (shifted)]]</f>
        <v>0</v>
      </c>
    </row>
    <row r="875" spans="1:30" ht="13.9">
      <c r="A875" s="8" t="s">
        <v>2645</v>
      </c>
      <c r="B875" s="8" t="s">
        <v>927</v>
      </c>
      <c r="C875" s="8" t="s">
        <v>123</v>
      </c>
      <c r="D875" s="9">
        <v>40490</v>
      </c>
      <c r="E875" s="9">
        <v>40573</v>
      </c>
      <c r="F875" s="17">
        <f>IF(MONTH(Table1[[#This Row],[Loss date]])&lt;Policy_Inception_Month,YEAR(Table1[[#This Row],[Loss date]])-1,YEAR(Table1[[#This Row],[Loss date]]))</f>
        <v>2010</v>
      </c>
      <c r="G875" s="10" t="s">
        <v>126</v>
      </c>
      <c r="H875" s="10" t="s">
        <v>2</v>
      </c>
      <c r="I875" s="11">
        <v>10304.101349777333</v>
      </c>
      <c r="J875" s="11">
        <v>0</v>
      </c>
      <c r="K875" s="11">
        <v>10304.101349777333</v>
      </c>
      <c r="L875" s="12">
        <v>0</v>
      </c>
      <c r="M875" s="12">
        <v>0</v>
      </c>
      <c r="N875" s="12">
        <v>10304.101349777333</v>
      </c>
      <c r="O875" s="70">
        <f>IF(Table1[[#This Row],[Overall amount]]=0,0,1)</f>
        <v>1</v>
      </c>
      <c r="P875" s="70">
        <f>Table1[[#This Row],[Overall amount]]*Exchange_Rate</f>
        <v>10304.101349777333</v>
      </c>
      <c r="Q875" s="70">
        <f>Table1[[#This Row],[Overall (destination currency)]]*(1+Claims_Inflation)^((Revalue_at_date-Table1[[#This Row],[Loss date]])/365.25)</f>
        <v>13083.912</v>
      </c>
      <c r="R875" s="70">
        <f>INT(Table1[[#This Row],[Reporting date]])-INT(Table1[[#This Row],[Loss date]])</f>
        <v>83</v>
      </c>
      <c r="S875" s="69" t="s">
        <v>9</v>
      </c>
      <c r="T875" s="70">
        <f>VLOOKUP(Table1[[#This Row],[Policy Year]],exposure_table,3,FALSE)</f>
        <v>837.11513600000012</v>
      </c>
      <c r="U875" s="17">
        <f>IF(MONTH(Table1[[#This Row],[Reporting date]])&lt;Policy_Inception_Month,YEAR(Table1[[#This Row],[Reporting date]])-1,YEAR(Table1[[#This Row],[Reporting date]]))</f>
        <v>2010</v>
      </c>
      <c r="V875" s="17">
        <f>Table1[[#This Row],[Reporting year]]-Table1[[#This Row],[Policy Year]]</f>
        <v>0</v>
      </c>
      <c r="W875" s="17">
        <f>INT(Table1[[#This Row],[Reporting date]])-INT(Table1[[#This Row],[Loss date]])</f>
        <v>83</v>
      </c>
      <c r="X875" s="17">
        <f>INT((YEAR(Table1[[#This Row],[Loss date]])*12+MONTH(Table1[[#This Row],[Loss date]])-Earliest_Month)/4)</f>
        <v>16</v>
      </c>
      <c r="Y875" s="17">
        <f>INT((YEAR(Table1[[#This Row],[Reporting date]])*12+MONTH(Table1[[#This Row],[Reporting date]])-Earliest_Month)/4)</f>
        <v>17</v>
      </c>
      <c r="Z875" s="17">
        <f>Table1[[#This Row],[Reporting third]]-Table1[[#This Row],[Policy third]]</f>
        <v>1</v>
      </c>
      <c r="AA875" s="71">
        <f>IF(Table1[[#This Row],[Overall amount]]=0,"N/A",Table1[[#This Row],[Outstanding]]/Table1[[#This Row],[Overall amount]])</f>
        <v>0</v>
      </c>
      <c r="AB875" s="17">
        <f>IF(MONTH(Table1[[#This Row],[Loss date]])&lt;Pol_Inc_Month_Shifted,YEAR(Table1[[#This Row],[Loss date]])-1,YEAR(Table1[[#This Row],[Loss date]]))</f>
        <v>2009</v>
      </c>
      <c r="AC875" s="17">
        <f>IF(MONTH(Table1[[#This Row],[Reporting date]])&lt;Pol_Inc_Month_Shifted,YEAR(Table1[[#This Row],[Reporting date]])-1,YEAR(Table1[[#This Row],[Reporting date]]))</f>
        <v>2010</v>
      </c>
      <c r="AD875" s="17">
        <f>Table1[[#This Row],[Reporting year (shifted)]]-Table1[[#This Row],[Policy Year (shifted)]]</f>
        <v>1</v>
      </c>
    </row>
    <row r="876" spans="1:30" ht="13.9">
      <c r="A876" s="8" t="s">
        <v>2646</v>
      </c>
      <c r="B876" s="8" t="s">
        <v>928</v>
      </c>
      <c r="C876" s="8" t="s">
        <v>123</v>
      </c>
      <c r="D876" s="9">
        <v>40664</v>
      </c>
      <c r="E876" s="9">
        <v>40669</v>
      </c>
      <c r="F876" s="17">
        <f>IF(MONTH(Table1[[#This Row],[Loss date]])&lt;Policy_Inception_Month,YEAR(Table1[[#This Row],[Loss date]])-1,YEAR(Table1[[#This Row],[Loss date]]))</f>
        <v>2011</v>
      </c>
      <c r="G876" s="10" t="s">
        <v>125</v>
      </c>
      <c r="H876" s="10" t="s">
        <v>2</v>
      </c>
      <c r="I876" s="11">
        <v>210.38138059369484</v>
      </c>
      <c r="J876" s="11">
        <v>0</v>
      </c>
      <c r="K876" s="11">
        <v>210.38138059369484</v>
      </c>
      <c r="L876" s="12">
        <v>0</v>
      </c>
      <c r="M876" s="12">
        <v>0</v>
      </c>
      <c r="N876" s="12">
        <v>210.38138059369484</v>
      </c>
      <c r="O876" s="70">
        <f>IF(Table1[[#This Row],[Overall amount]]=0,0,1)</f>
        <v>1</v>
      </c>
      <c r="P876" s="70">
        <f>Table1[[#This Row],[Overall amount]]*Exchange_Rate</f>
        <v>210.38138059369484</v>
      </c>
      <c r="Q876" s="70">
        <f>Table1[[#This Row],[Overall (destination currency)]]*(1+Claims_Inflation)^((Revalue_at_date-Table1[[#This Row],[Loss date]])/365.25)</f>
        <v>261</v>
      </c>
      <c r="R876" s="70">
        <f>INT(Table1[[#This Row],[Reporting date]])-INT(Table1[[#This Row],[Loss date]])</f>
        <v>5</v>
      </c>
      <c r="S876" s="69" t="s">
        <v>9</v>
      </c>
      <c r="T876" s="70">
        <f>VLOOKUP(Table1[[#This Row],[Policy Year]],exposure_table,3,FALSE)</f>
        <v>870.52680000000009</v>
      </c>
      <c r="U876" s="17">
        <f>IF(MONTH(Table1[[#This Row],[Reporting date]])&lt;Policy_Inception_Month,YEAR(Table1[[#This Row],[Reporting date]])-1,YEAR(Table1[[#This Row],[Reporting date]]))</f>
        <v>2011</v>
      </c>
      <c r="V876" s="17">
        <f>Table1[[#This Row],[Reporting year]]-Table1[[#This Row],[Policy Year]]</f>
        <v>0</v>
      </c>
      <c r="W876" s="17">
        <f>INT(Table1[[#This Row],[Reporting date]])-INT(Table1[[#This Row],[Loss date]])</f>
        <v>5</v>
      </c>
      <c r="X876" s="17">
        <f>INT((YEAR(Table1[[#This Row],[Loss date]])*12+MONTH(Table1[[#This Row],[Loss date]])-Earliest_Month)/4)</f>
        <v>18</v>
      </c>
      <c r="Y876" s="17">
        <f>INT((YEAR(Table1[[#This Row],[Reporting date]])*12+MONTH(Table1[[#This Row],[Reporting date]])-Earliest_Month)/4)</f>
        <v>18</v>
      </c>
      <c r="Z876" s="17">
        <f>Table1[[#This Row],[Reporting third]]-Table1[[#This Row],[Policy third]]</f>
        <v>0</v>
      </c>
      <c r="AA876" s="71">
        <f>IF(Table1[[#This Row],[Overall amount]]=0,"N/A",Table1[[#This Row],[Outstanding]]/Table1[[#This Row],[Overall amount]])</f>
        <v>0</v>
      </c>
      <c r="AB876" s="17">
        <f>IF(MONTH(Table1[[#This Row],[Loss date]])&lt;Pol_Inc_Month_Shifted,YEAR(Table1[[#This Row],[Loss date]])-1,YEAR(Table1[[#This Row],[Loss date]]))</f>
        <v>2010</v>
      </c>
      <c r="AC876" s="17">
        <f>IF(MONTH(Table1[[#This Row],[Reporting date]])&lt;Pol_Inc_Month_Shifted,YEAR(Table1[[#This Row],[Reporting date]])-1,YEAR(Table1[[#This Row],[Reporting date]]))</f>
        <v>2010</v>
      </c>
      <c r="AD876" s="17">
        <f>Table1[[#This Row],[Reporting year (shifted)]]-Table1[[#This Row],[Policy Year (shifted)]]</f>
        <v>0</v>
      </c>
    </row>
    <row r="877" spans="1:30" ht="13.9">
      <c r="A877" s="8" t="s">
        <v>2647</v>
      </c>
      <c r="B877" s="8" t="s">
        <v>929</v>
      </c>
      <c r="C877" s="8" t="s">
        <v>123</v>
      </c>
      <c r="D877" s="9">
        <v>40531</v>
      </c>
      <c r="E877" s="9">
        <v>40675</v>
      </c>
      <c r="F877" s="17">
        <f>IF(MONTH(Table1[[#This Row],[Loss date]])&lt;Policy_Inception_Month,YEAR(Table1[[#This Row],[Loss date]])-1,YEAR(Table1[[#This Row],[Loss date]]))</f>
        <v>2010</v>
      </c>
      <c r="G877" s="10" t="s">
        <v>125</v>
      </c>
      <c r="H877" s="10" t="s">
        <v>2</v>
      </c>
      <c r="I877" s="11">
        <v>1060.940478106568</v>
      </c>
      <c r="J877" s="11">
        <v>0</v>
      </c>
      <c r="K877" s="11">
        <v>1060.940478106568</v>
      </c>
      <c r="L877" s="12">
        <v>0</v>
      </c>
      <c r="M877" s="12">
        <v>0</v>
      </c>
      <c r="N877" s="12">
        <v>1060.940478106568</v>
      </c>
      <c r="O877" s="70">
        <f>IF(Table1[[#This Row],[Overall amount]]=0,0,1)</f>
        <v>1</v>
      </c>
      <c r="P877" s="70">
        <f>Table1[[#This Row],[Overall amount]]*Exchange_Rate</f>
        <v>1060.940478106568</v>
      </c>
      <c r="Q877" s="70">
        <f>Table1[[#This Row],[Overall (destination currency)]]*(1+Claims_Inflation)^((Revalue_at_date-Table1[[#This Row],[Loss date]])/365.25)</f>
        <v>1339.8</v>
      </c>
      <c r="R877" s="70">
        <f>INT(Table1[[#This Row],[Reporting date]])-INT(Table1[[#This Row],[Loss date]])</f>
        <v>144</v>
      </c>
      <c r="S877" s="69" t="s">
        <v>9</v>
      </c>
      <c r="T877" s="70">
        <f>VLOOKUP(Table1[[#This Row],[Policy Year]],exposure_table,3,FALSE)</f>
        <v>837.11513600000012</v>
      </c>
      <c r="U877" s="17">
        <f>IF(MONTH(Table1[[#This Row],[Reporting date]])&lt;Policy_Inception_Month,YEAR(Table1[[#This Row],[Reporting date]])-1,YEAR(Table1[[#This Row],[Reporting date]]))</f>
        <v>2011</v>
      </c>
      <c r="V877" s="17">
        <f>Table1[[#This Row],[Reporting year]]-Table1[[#This Row],[Policy Year]]</f>
        <v>1</v>
      </c>
      <c r="W877" s="17">
        <f>INT(Table1[[#This Row],[Reporting date]])-INT(Table1[[#This Row],[Loss date]])</f>
        <v>144</v>
      </c>
      <c r="X877" s="17">
        <f>INT((YEAR(Table1[[#This Row],[Loss date]])*12+MONTH(Table1[[#This Row],[Loss date]])-Earliest_Month)/4)</f>
        <v>17</v>
      </c>
      <c r="Y877" s="17">
        <f>INT((YEAR(Table1[[#This Row],[Reporting date]])*12+MONTH(Table1[[#This Row],[Reporting date]])-Earliest_Month)/4)</f>
        <v>18</v>
      </c>
      <c r="Z877" s="17">
        <f>Table1[[#This Row],[Reporting third]]-Table1[[#This Row],[Policy third]]</f>
        <v>1</v>
      </c>
      <c r="AA877" s="71">
        <f>IF(Table1[[#This Row],[Overall amount]]=0,"N/A",Table1[[#This Row],[Outstanding]]/Table1[[#This Row],[Overall amount]])</f>
        <v>0</v>
      </c>
      <c r="AB877" s="17">
        <f>IF(MONTH(Table1[[#This Row],[Loss date]])&lt;Pol_Inc_Month_Shifted,YEAR(Table1[[#This Row],[Loss date]])-1,YEAR(Table1[[#This Row],[Loss date]]))</f>
        <v>2010</v>
      </c>
      <c r="AC877" s="17">
        <f>IF(MONTH(Table1[[#This Row],[Reporting date]])&lt;Pol_Inc_Month_Shifted,YEAR(Table1[[#This Row],[Reporting date]])-1,YEAR(Table1[[#This Row],[Reporting date]]))</f>
        <v>2010</v>
      </c>
      <c r="AD877" s="17">
        <f>Table1[[#This Row],[Reporting year (shifted)]]-Table1[[#This Row],[Policy Year (shifted)]]</f>
        <v>0</v>
      </c>
    </row>
    <row r="878" spans="1:30" ht="13.9">
      <c r="A878" s="8" t="s">
        <v>2648</v>
      </c>
      <c r="B878" s="8" t="s">
        <v>930</v>
      </c>
      <c r="C878" s="8" t="s">
        <v>123</v>
      </c>
      <c r="D878" s="9">
        <v>40589</v>
      </c>
      <c r="E878" s="9">
        <v>40682</v>
      </c>
      <c r="F878" s="17">
        <f>IF(MONTH(Table1[[#This Row],[Loss date]])&lt;Policy_Inception_Month,YEAR(Table1[[#This Row],[Loss date]])-1,YEAR(Table1[[#This Row],[Loss date]]))</f>
        <v>2010</v>
      </c>
      <c r="G878" s="10" t="s">
        <v>125</v>
      </c>
      <c r="H878" s="10" t="s">
        <v>2</v>
      </c>
      <c r="I878" s="11">
        <v>805.36555256590816</v>
      </c>
      <c r="J878" s="11">
        <v>0</v>
      </c>
      <c r="K878" s="11">
        <v>805.36555256590816</v>
      </c>
      <c r="L878" s="12">
        <v>0</v>
      </c>
      <c r="M878" s="12">
        <v>0</v>
      </c>
      <c r="N878" s="12">
        <v>805.36555256590816</v>
      </c>
      <c r="O878" s="70">
        <f>IF(Table1[[#This Row],[Overall amount]]=0,0,1)</f>
        <v>1</v>
      </c>
      <c r="P878" s="70">
        <f>Table1[[#This Row],[Overall amount]]*Exchange_Rate</f>
        <v>805.36555256590816</v>
      </c>
      <c r="Q878" s="70">
        <f>Table1[[#This Row],[Overall (destination currency)]]*(1+Claims_Inflation)^((Revalue_at_date-Table1[[#This Row],[Loss date]])/365.25)</f>
        <v>1009.1999999999999</v>
      </c>
      <c r="R878" s="70">
        <f>INT(Table1[[#This Row],[Reporting date]])-INT(Table1[[#This Row],[Loss date]])</f>
        <v>93</v>
      </c>
      <c r="S878" s="69" t="s">
        <v>9</v>
      </c>
      <c r="T878" s="70">
        <f>VLOOKUP(Table1[[#This Row],[Policy Year]],exposure_table,3,FALSE)</f>
        <v>837.11513600000012</v>
      </c>
      <c r="U878" s="17">
        <f>IF(MONTH(Table1[[#This Row],[Reporting date]])&lt;Policy_Inception_Month,YEAR(Table1[[#This Row],[Reporting date]])-1,YEAR(Table1[[#This Row],[Reporting date]]))</f>
        <v>2011</v>
      </c>
      <c r="V878" s="17">
        <f>Table1[[#This Row],[Reporting year]]-Table1[[#This Row],[Policy Year]]</f>
        <v>1</v>
      </c>
      <c r="W878" s="17">
        <f>INT(Table1[[#This Row],[Reporting date]])-INT(Table1[[#This Row],[Loss date]])</f>
        <v>93</v>
      </c>
      <c r="X878" s="17">
        <f>INT((YEAR(Table1[[#This Row],[Loss date]])*12+MONTH(Table1[[#This Row],[Loss date]])-Earliest_Month)/4)</f>
        <v>17</v>
      </c>
      <c r="Y878" s="17">
        <f>INT((YEAR(Table1[[#This Row],[Reporting date]])*12+MONTH(Table1[[#This Row],[Reporting date]])-Earliest_Month)/4)</f>
        <v>18</v>
      </c>
      <c r="Z878" s="17">
        <f>Table1[[#This Row],[Reporting third]]-Table1[[#This Row],[Policy third]]</f>
        <v>1</v>
      </c>
      <c r="AA878" s="71">
        <f>IF(Table1[[#This Row],[Overall amount]]=0,"N/A",Table1[[#This Row],[Outstanding]]/Table1[[#This Row],[Overall amount]])</f>
        <v>0</v>
      </c>
      <c r="AB878" s="17">
        <f>IF(MONTH(Table1[[#This Row],[Loss date]])&lt;Pol_Inc_Month_Shifted,YEAR(Table1[[#This Row],[Loss date]])-1,YEAR(Table1[[#This Row],[Loss date]]))</f>
        <v>2010</v>
      </c>
      <c r="AC878" s="17">
        <f>IF(MONTH(Table1[[#This Row],[Reporting date]])&lt;Pol_Inc_Month_Shifted,YEAR(Table1[[#This Row],[Reporting date]])-1,YEAR(Table1[[#This Row],[Reporting date]]))</f>
        <v>2010</v>
      </c>
      <c r="AD878" s="17">
        <f>Table1[[#This Row],[Reporting year (shifted)]]-Table1[[#This Row],[Policy Year (shifted)]]</f>
        <v>0</v>
      </c>
    </row>
    <row r="879" spans="1:30" ht="13.9">
      <c r="A879" s="8" t="s">
        <v>2649</v>
      </c>
      <c r="B879" s="8" t="s">
        <v>931</v>
      </c>
      <c r="C879" s="8" t="s">
        <v>123</v>
      </c>
      <c r="D879" s="9">
        <v>40337</v>
      </c>
      <c r="E879" s="9">
        <v>40679</v>
      </c>
      <c r="F879" s="17">
        <f>IF(MONTH(Table1[[#This Row],[Loss date]])&lt;Policy_Inception_Month,YEAR(Table1[[#This Row],[Loss date]])-1,YEAR(Table1[[#This Row],[Loss date]]))</f>
        <v>2010</v>
      </c>
      <c r="G879" s="10" t="s">
        <v>125</v>
      </c>
      <c r="H879" s="10" t="s">
        <v>2</v>
      </c>
      <c r="I879" s="11">
        <v>698.15055700921505</v>
      </c>
      <c r="J879" s="11">
        <v>0</v>
      </c>
      <c r="K879" s="11">
        <v>698.15055700921505</v>
      </c>
      <c r="L879" s="12">
        <v>0</v>
      </c>
      <c r="M879" s="12">
        <v>0</v>
      </c>
      <c r="N879" s="12">
        <v>698.15055700921505</v>
      </c>
      <c r="O879" s="70">
        <f>IF(Table1[[#This Row],[Overall amount]]=0,0,1)</f>
        <v>1</v>
      </c>
      <c r="P879" s="70">
        <f>Table1[[#This Row],[Overall amount]]*Exchange_Rate</f>
        <v>698.15055700921505</v>
      </c>
      <c r="Q879" s="70">
        <f>Table1[[#This Row],[Overall (destination currency)]]*(1+Claims_Inflation)^((Revalue_at_date-Table1[[#This Row],[Loss date]])/365.25)</f>
        <v>904.8</v>
      </c>
      <c r="R879" s="70">
        <f>INT(Table1[[#This Row],[Reporting date]])-INT(Table1[[#This Row],[Loss date]])</f>
        <v>342</v>
      </c>
      <c r="S879" s="69" t="s">
        <v>9</v>
      </c>
      <c r="T879" s="70">
        <f>VLOOKUP(Table1[[#This Row],[Policy Year]],exposure_table,3,FALSE)</f>
        <v>837.11513600000012</v>
      </c>
      <c r="U879" s="17">
        <f>IF(MONTH(Table1[[#This Row],[Reporting date]])&lt;Policy_Inception_Month,YEAR(Table1[[#This Row],[Reporting date]])-1,YEAR(Table1[[#This Row],[Reporting date]]))</f>
        <v>2011</v>
      </c>
      <c r="V879" s="17">
        <f>Table1[[#This Row],[Reporting year]]-Table1[[#This Row],[Policy Year]]</f>
        <v>1</v>
      </c>
      <c r="W879" s="17">
        <f>INT(Table1[[#This Row],[Reporting date]])-INT(Table1[[#This Row],[Loss date]])</f>
        <v>342</v>
      </c>
      <c r="X879" s="17">
        <f>INT((YEAR(Table1[[#This Row],[Loss date]])*12+MONTH(Table1[[#This Row],[Loss date]])-Earliest_Month)/4)</f>
        <v>15</v>
      </c>
      <c r="Y879" s="17">
        <f>INT((YEAR(Table1[[#This Row],[Reporting date]])*12+MONTH(Table1[[#This Row],[Reporting date]])-Earliest_Month)/4)</f>
        <v>18</v>
      </c>
      <c r="Z879" s="17">
        <f>Table1[[#This Row],[Reporting third]]-Table1[[#This Row],[Policy third]]</f>
        <v>3</v>
      </c>
      <c r="AA879" s="71">
        <f>IF(Table1[[#This Row],[Overall amount]]=0,"N/A",Table1[[#This Row],[Outstanding]]/Table1[[#This Row],[Overall amount]])</f>
        <v>0</v>
      </c>
      <c r="AB879" s="17">
        <f>IF(MONTH(Table1[[#This Row],[Loss date]])&lt;Pol_Inc_Month_Shifted,YEAR(Table1[[#This Row],[Loss date]])-1,YEAR(Table1[[#This Row],[Loss date]]))</f>
        <v>2009</v>
      </c>
      <c r="AC879" s="17">
        <f>IF(MONTH(Table1[[#This Row],[Reporting date]])&lt;Pol_Inc_Month_Shifted,YEAR(Table1[[#This Row],[Reporting date]])-1,YEAR(Table1[[#This Row],[Reporting date]]))</f>
        <v>2010</v>
      </c>
      <c r="AD879" s="17">
        <f>Table1[[#This Row],[Reporting year (shifted)]]-Table1[[#This Row],[Policy Year (shifted)]]</f>
        <v>1</v>
      </c>
    </row>
    <row r="880" spans="1:30" ht="13.9">
      <c r="A880" s="8" t="s">
        <v>2650</v>
      </c>
      <c r="B880" s="8" t="s">
        <v>932</v>
      </c>
      <c r="C880" s="8" t="s">
        <v>123</v>
      </c>
      <c r="D880" s="9">
        <v>39828</v>
      </c>
      <c r="E880" s="9">
        <v>40699</v>
      </c>
      <c r="F880" s="17">
        <f>IF(MONTH(Table1[[#This Row],[Loss date]])&lt;Policy_Inception_Month,YEAR(Table1[[#This Row],[Loss date]])-1,YEAR(Table1[[#This Row],[Loss date]]))</f>
        <v>2008</v>
      </c>
      <c r="G880" s="10" t="s">
        <v>126</v>
      </c>
      <c r="H880" s="10" t="s">
        <v>2</v>
      </c>
      <c r="I880" s="11">
        <v>1115.2166525616426</v>
      </c>
      <c r="J880" s="11">
        <v>0</v>
      </c>
      <c r="K880" s="11">
        <v>1115.2166525616426</v>
      </c>
      <c r="L880" s="12">
        <v>0</v>
      </c>
      <c r="M880" s="12">
        <v>0</v>
      </c>
      <c r="N880" s="12">
        <v>1115.2166525616426</v>
      </c>
      <c r="O880" s="70">
        <f>IF(Table1[[#This Row],[Overall amount]]=0,0,1)</f>
        <v>1</v>
      </c>
      <c r="P880" s="70">
        <f>Table1[[#This Row],[Overall amount]]*Exchange_Rate</f>
        <v>1115.2166525616426</v>
      </c>
      <c r="Q880" s="70">
        <f>Table1[[#This Row],[Overall (destination currency)]]*(1+Claims_Inflation)^((Revalue_at_date-Table1[[#This Row],[Loss date]])/365.25)</f>
        <v>1547.0039999999999</v>
      </c>
      <c r="R880" s="70">
        <f>INT(Table1[[#This Row],[Reporting date]])-INT(Table1[[#This Row],[Loss date]])</f>
        <v>871</v>
      </c>
      <c r="S880" s="69" t="s">
        <v>9</v>
      </c>
      <c r="T880" s="70">
        <f>VLOOKUP(Table1[[#This Row],[Policy Year]],exposure_table,3,FALSE)</f>
        <v>601.98581780480015</v>
      </c>
      <c r="U880" s="17">
        <f>IF(MONTH(Table1[[#This Row],[Reporting date]])&lt;Policy_Inception_Month,YEAR(Table1[[#This Row],[Reporting date]])-1,YEAR(Table1[[#This Row],[Reporting date]]))</f>
        <v>2011</v>
      </c>
      <c r="V880" s="17">
        <f>Table1[[#This Row],[Reporting year]]-Table1[[#This Row],[Policy Year]]</f>
        <v>3</v>
      </c>
      <c r="W880" s="17">
        <f>INT(Table1[[#This Row],[Reporting date]])-INT(Table1[[#This Row],[Loss date]])</f>
        <v>871</v>
      </c>
      <c r="X880" s="17">
        <f>INT((YEAR(Table1[[#This Row],[Loss date]])*12+MONTH(Table1[[#This Row],[Loss date]])-Earliest_Month)/4)</f>
        <v>11</v>
      </c>
      <c r="Y880" s="17">
        <f>INT((YEAR(Table1[[#This Row],[Reporting date]])*12+MONTH(Table1[[#This Row],[Reporting date]])-Earliest_Month)/4)</f>
        <v>18</v>
      </c>
      <c r="Z880" s="17">
        <f>Table1[[#This Row],[Reporting third]]-Table1[[#This Row],[Policy third]]</f>
        <v>7</v>
      </c>
      <c r="AA880" s="71">
        <f>IF(Table1[[#This Row],[Overall amount]]=0,"N/A",Table1[[#This Row],[Outstanding]]/Table1[[#This Row],[Overall amount]])</f>
        <v>0</v>
      </c>
      <c r="AB880" s="17">
        <f>IF(MONTH(Table1[[#This Row],[Loss date]])&lt;Pol_Inc_Month_Shifted,YEAR(Table1[[#This Row],[Loss date]])-1,YEAR(Table1[[#This Row],[Loss date]]))</f>
        <v>2008</v>
      </c>
      <c r="AC880" s="17">
        <f>IF(MONTH(Table1[[#This Row],[Reporting date]])&lt;Pol_Inc_Month_Shifted,YEAR(Table1[[#This Row],[Reporting date]])-1,YEAR(Table1[[#This Row],[Reporting date]]))</f>
        <v>2010</v>
      </c>
      <c r="AD880" s="17">
        <f>Table1[[#This Row],[Reporting year (shifted)]]-Table1[[#This Row],[Policy Year (shifted)]]</f>
        <v>2</v>
      </c>
    </row>
    <row r="881" spans="1:30" ht="13.9">
      <c r="A881" s="8" t="s">
        <v>2651</v>
      </c>
      <c r="B881" s="8" t="s">
        <v>933</v>
      </c>
      <c r="C881" s="8" t="s">
        <v>123</v>
      </c>
      <c r="D881" s="9">
        <v>40579</v>
      </c>
      <c r="E881" s="9">
        <v>40717</v>
      </c>
      <c r="F881" s="17">
        <f>IF(MONTH(Table1[[#This Row],[Loss date]])&lt;Policy_Inception_Month,YEAR(Table1[[#This Row],[Loss date]])-1,YEAR(Table1[[#This Row],[Loss date]]))</f>
        <v>2010</v>
      </c>
      <c r="G881" s="10" t="s">
        <v>125</v>
      </c>
      <c r="H881" s="10" t="s">
        <v>2</v>
      </c>
      <c r="I881" s="11">
        <v>221.87323088262855</v>
      </c>
      <c r="J881" s="11">
        <v>0</v>
      </c>
      <c r="K881" s="11">
        <v>221.87323088262855</v>
      </c>
      <c r="L881" s="12">
        <v>0</v>
      </c>
      <c r="M881" s="12">
        <v>0</v>
      </c>
      <c r="N881" s="12">
        <v>221.87323088262855</v>
      </c>
      <c r="O881" s="70">
        <f>IF(Table1[[#This Row],[Overall amount]]=0,0,1)</f>
        <v>1</v>
      </c>
      <c r="P881" s="70">
        <f>Table1[[#This Row],[Overall amount]]*Exchange_Rate</f>
        <v>221.87323088262855</v>
      </c>
      <c r="Q881" s="70">
        <f>Table1[[#This Row],[Overall (destination currency)]]*(1+Claims_Inflation)^((Revalue_at_date-Table1[[#This Row],[Loss date]])/365.25)</f>
        <v>278.39999999999998</v>
      </c>
      <c r="R881" s="70">
        <f>INT(Table1[[#This Row],[Reporting date]])-INT(Table1[[#This Row],[Loss date]])</f>
        <v>138</v>
      </c>
      <c r="S881" s="69" t="s">
        <v>9</v>
      </c>
      <c r="T881" s="70">
        <f>VLOOKUP(Table1[[#This Row],[Policy Year]],exposure_table,3,FALSE)</f>
        <v>837.11513600000012</v>
      </c>
      <c r="U881" s="17">
        <f>IF(MONTH(Table1[[#This Row],[Reporting date]])&lt;Policy_Inception_Month,YEAR(Table1[[#This Row],[Reporting date]])-1,YEAR(Table1[[#This Row],[Reporting date]]))</f>
        <v>2011</v>
      </c>
      <c r="V881" s="17">
        <f>Table1[[#This Row],[Reporting year]]-Table1[[#This Row],[Policy Year]]</f>
        <v>1</v>
      </c>
      <c r="W881" s="17">
        <f>INT(Table1[[#This Row],[Reporting date]])-INT(Table1[[#This Row],[Loss date]])</f>
        <v>138</v>
      </c>
      <c r="X881" s="17">
        <f>INT((YEAR(Table1[[#This Row],[Loss date]])*12+MONTH(Table1[[#This Row],[Loss date]])-Earliest_Month)/4)</f>
        <v>17</v>
      </c>
      <c r="Y881" s="17">
        <f>INT((YEAR(Table1[[#This Row],[Reporting date]])*12+MONTH(Table1[[#This Row],[Reporting date]])-Earliest_Month)/4)</f>
        <v>18</v>
      </c>
      <c r="Z881" s="17">
        <f>Table1[[#This Row],[Reporting third]]-Table1[[#This Row],[Policy third]]</f>
        <v>1</v>
      </c>
      <c r="AA881" s="71">
        <f>IF(Table1[[#This Row],[Overall amount]]=0,"N/A",Table1[[#This Row],[Outstanding]]/Table1[[#This Row],[Overall amount]])</f>
        <v>0</v>
      </c>
      <c r="AB881" s="17">
        <f>IF(MONTH(Table1[[#This Row],[Loss date]])&lt;Pol_Inc_Month_Shifted,YEAR(Table1[[#This Row],[Loss date]])-1,YEAR(Table1[[#This Row],[Loss date]]))</f>
        <v>2010</v>
      </c>
      <c r="AC881" s="17">
        <f>IF(MONTH(Table1[[#This Row],[Reporting date]])&lt;Pol_Inc_Month_Shifted,YEAR(Table1[[#This Row],[Reporting date]])-1,YEAR(Table1[[#This Row],[Reporting date]]))</f>
        <v>2010</v>
      </c>
      <c r="AD881" s="17">
        <f>Table1[[#This Row],[Reporting year (shifted)]]-Table1[[#This Row],[Policy Year (shifted)]]</f>
        <v>0</v>
      </c>
    </row>
    <row r="882" spans="1:30" ht="13.9">
      <c r="A882" s="8" t="s">
        <v>2652</v>
      </c>
      <c r="B882" s="8" t="s">
        <v>934</v>
      </c>
      <c r="C882" s="8" t="s">
        <v>123</v>
      </c>
      <c r="D882" s="9">
        <v>40147</v>
      </c>
      <c r="E882" s="9">
        <v>40714</v>
      </c>
      <c r="F882" s="17">
        <f>IF(MONTH(Table1[[#This Row],[Loss date]])&lt;Policy_Inception_Month,YEAR(Table1[[#This Row],[Loss date]])-1,YEAR(Table1[[#This Row],[Loss date]]))</f>
        <v>2009</v>
      </c>
      <c r="G882" s="10" t="s">
        <v>125</v>
      </c>
      <c r="H882" s="10" t="s">
        <v>2</v>
      </c>
      <c r="I882" s="11">
        <v>890.08639214158472</v>
      </c>
      <c r="J882" s="11">
        <v>0</v>
      </c>
      <c r="K882" s="11">
        <v>890.08639214158472</v>
      </c>
      <c r="L882" s="12">
        <v>0</v>
      </c>
      <c r="M882" s="12">
        <v>0</v>
      </c>
      <c r="N882" s="12">
        <v>890.08639214158472</v>
      </c>
      <c r="O882" s="70">
        <f>IF(Table1[[#This Row],[Overall amount]]=0,0,1)</f>
        <v>1</v>
      </c>
      <c r="P882" s="70">
        <f>Table1[[#This Row],[Overall amount]]*Exchange_Rate</f>
        <v>890.08639214158472</v>
      </c>
      <c r="Q882" s="70">
        <f>Table1[[#This Row],[Overall (destination currency)]]*(1+Claims_Inflation)^((Revalue_at_date-Table1[[#This Row],[Loss date]])/365.25)</f>
        <v>1183.2</v>
      </c>
      <c r="R882" s="70">
        <f>INT(Table1[[#This Row],[Reporting date]])-INT(Table1[[#This Row],[Loss date]])</f>
        <v>567</v>
      </c>
      <c r="S882" s="69" t="s">
        <v>9</v>
      </c>
      <c r="T882" s="70">
        <f>VLOOKUP(Table1[[#This Row],[Policy Year]],exposure_table,3,FALSE)</f>
        <v>760.22808576000011</v>
      </c>
      <c r="U882" s="17">
        <f>IF(MONTH(Table1[[#This Row],[Reporting date]])&lt;Policy_Inception_Month,YEAR(Table1[[#This Row],[Reporting date]])-1,YEAR(Table1[[#This Row],[Reporting date]]))</f>
        <v>2011</v>
      </c>
      <c r="V882" s="17">
        <f>Table1[[#This Row],[Reporting year]]-Table1[[#This Row],[Policy Year]]</f>
        <v>2</v>
      </c>
      <c r="W882" s="17">
        <f>INT(Table1[[#This Row],[Reporting date]])-INT(Table1[[#This Row],[Loss date]])</f>
        <v>567</v>
      </c>
      <c r="X882" s="17">
        <f>INT((YEAR(Table1[[#This Row],[Loss date]])*12+MONTH(Table1[[#This Row],[Loss date]])-Earliest_Month)/4)</f>
        <v>13</v>
      </c>
      <c r="Y882" s="17">
        <f>INT((YEAR(Table1[[#This Row],[Reporting date]])*12+MONTH(Table1[[#This Row],[Reporting date]])-Earliest_Month)/4)</f>
        <v>18</v>
      </c>
      <c r="Z882" s="17">
        <f>Table1[[#This Row],[Reporting third]]-Table1[[#This Row],[Policy third]]</f>
        <v>5</v>
      </c>
      <c r="AA882" s="71">
        <f>IF(Table1[[#This Row],[Overall amount]]=0,"N/A",Table1[[#This Row],[Outstanding]]/Table1[[#This Row],[Overall amount]])</f>
        <v>0</v>
      </c>
      <c r="AB882" s="17">
        <f>IF(MONTH(Table1[[#This Row],[Loss date]])&lt;Pol_Inc_Month_Shifted,YEAR(Table1[[#This Row],[Loss date]])-1,YEAR(Table1[[#This Row],[Loss date]]))</f>
        <v>2008</v>
      </c>
      <c r="AC882" s="17">
        <f>IF(MONTH(Table1[[#This Row],[Reporting date]])&lt;Pol_Inc_Month_Shifted,YEAR(Table1[[#This Row],[Reporting date]])-1,YEAR(Table1[[#This Row],[Reporting date]]))</f>
        <v>2010</v>
      </c>
      <c r="AD882" s="17">
        <f>Table1[[#This Row],[Reporting year (shifted)]]-Table1[[#This Row],[Policy Year (shifted)]]</f>
        <v>2</v>
      </c>
    </row>
    <row r="883" spans="1:30" ht="13.9">
      <c r="A883" s="8" t="s">
        <v>2653</v>
      </c>
      <c r="B883" s="8" t="s">
        <v>935</v>
      </c>
      <c r="C883" s="8" t="s">
        <v>123</v>
      </c>
      <c r="D883" s="9">
        <v>40630</v>
      </c>
      <c r="E883" s="9">
        <v>40700</v>
      </c>
      <c r="F883" s="17">
        <f>IF(MONTH(Table1[[#This Row],[Loss date]])&lt;Policy_Inception_Month,YEAR(Table1[[#This Row],[Loss date]])-1,YEAR(Table1[[#This Row],[Loss date]]))</f>
        <v>2010</v>
      </c>
      <c r="G883" s="10" t="s">
        <v>125</v>
      </c>
      <c r="H883" s="10" t="s">
        <v>2</v>
      </c>
      <c r="I883" s="11">
        <v>4904.4679772936624</v>
      </c>
      <c r="J883" s="11">
        <v>0</v>
      </c>
      <c r="K883" s="11">
        <v>4904.4679772936624</v>
      </c>
      <c r="L883" s="12">
        <v>0</v>
      </c>
      <c r="M883" s="12">
        <v>0</v>
      </c>
      <c r="N883" s="12">
        <v>4904.4679772936624</v>
      </c>
      <c r="O883" s="70">
        <f>IF(Table1[[#This Row],[Overall amount]]=0,0,1)</f>
        <v>1</v>
      </c>
      <c r="P883" s="70">
        <f>Table1[[#This Row],[Overall amount]]*Exchange_Rate</f>
        <v>4904.4679772936624</v>
      </c>
      <c r="Q883" s="70">
        <f>Table1[[#This Row],[Overall (destination currency)]]*(1+Claims_Inflation)^((Revalue_at_date-Table1[[#This Row],[Loss date]])/365.25)</f>
        <v>6112.2000000000007</v>
      </c>
      <c r="R883" s="70">
        <f>INT(Table1[[#This Row],[Reporting date]])-INT(Table1[[#This Row],[Loss date]])</f>
        <v>70</v>
      </c>
      <c r="S883" s="69" t="s">
        <v>9</v>
      </c>
      <c r="T883" s="70">
        <f>VLOOKUP(Table1[[#This Row],[Policy Year]],exposure_table,3,FALSE)</f>
        <v>837.11513600000012</v>
      </c>
      <c r="U883" s="17">
        <f>IF(MONTH(Table1[[#This Row],[Reporting date]])&lt;Policy_Inception_Month,YEAR(Table1[[#This Row],[Reporting date]])-1,YEAR(Table1[[#This Row],[Reporting date]]))</f>
        <v>2011</v>
      </c>
      <c r="V883" s="17">
        <f>Table1[[#This Row],[Reporting year]]-Table1[[#This Row],[Policy Year]]</f>
        <v>1</v>
      </c>
      <c r="W883" s="17">
        <f>INT(Table1[[#This Row],[Reporting date]])-INT(Table1[[#This Row],[Loss date]])</f>
        <v>70</v>
      </c>
      <c r="X883" s="17">
        <f>INT((YEAR(Table1[[#This Row],[Loss date]])*12+MONTH(Table1[[#This Row],[Loss date]])-Earliest_Month)/4)</f>
        <v>17</v>
      </c>
      <c r="Y883" s="17">
        <f>INT((YEAR(Table1[[#This Row],[Reporting date]])*12+MONTH(Table1[[#This Row],[Reporting date]])-Earliest_Month)/4)</f>
        <v>18</v>
      </c>
      <c r="Z883" s="17">
        <f>Table1[[#This Row],[Reporting third]]-Table1[[#This Row],[Policy third]]</f>
        <v>1</v>
      </c>
      <c r="AA883" s="71">
        <f>IF(Table1[[#This Row],[Overall amount]]=0,"N/A",Table1[[#This Row],[Outstanding]]/Table1[[#This Row],[Overall amount]])</f>
        <v>0</v>
      </c>
      <c r="AB883" s="17">
        <f>IF(MONTH(Table1[[#This Row],[Loss date]])&lt;Pol_Inc_Month_Shifted,YEAR(Table1[[#This Row],[Loss date]])-1,YEAR(Table1[[#This Row],[Loss date]]))</f>
        <v>2010</v>
      </c>
      <c r="AC883" s="17">
        <f>IF(MONTH(Table1[[#This Row],[Reporting date]])&lt;Pol_Inc_Month_Shifted,YEAR(Table1[[#This Row],[Reporting date]])-1,YEAR(Table1[[#This Row],[Reporting date]]))</f>
        <v>2010</v>
      </c>
      <c r="AD883" s="17">
        <f>Table1[[#This Row],[Reporting year (shifted)]]-Table1[[#This Row],[Policy Year (shifted)]]</f>
        <v>0</v>
      </c>
    </row>
    <row r="884" spans="1:30" ht="13.9">
      <c r="A884" s="8" t="s">
        <v>2654</v>
      </c>
      <c r="B884" s="8" t="s">
        <v>936</v>
      </c>
      <c r="C884" s="8" t="s">
        <v>123</v>
      </c>
      <c r="D884" s="9">
        <v>40456</v>
      </c>
      <c r="E884" s="9">
        <v>40607</v>
      </c>
      <c r="F884" s="17">
        <f>IF(MONTH(Table1[[#This Row],[Loss date]])&lt;Policy_Inception_Month,YEAR(Table1[[#This Row],[Loss date]])-1,YEAR(Table1[[#This Row],[Loss date]]))</f>
        <v>2010</v>
      </c>
      <c r="G884" s="10" t="s">
        <v>125</v>
      </c>
      <c r="H884" s="10" t="s">
        <v>2</v>
      </c>
      <c r="I884" s="11">
        <v>1459.5974180834157</v>
      </c>
      <c r="J884" s="11">
        <v>0</v>
      </c>
      <c r="K884" s="11">
        <v>1459.5974180834157</v>
      </c>
      <c r="L884" s="12">
        <v>0</v>
      </c>
      <c r="M884" s="12">
        <v>121.14658570092351</v>
      </c>
      <c r="N884" s="12">
        <v>1338.4508323824923</v>
      </c>
      <c r="O884" s="70">
        <f>IF(Table1[[#This Row],[Overall amount]]=0,0,1)</f>
        <v>1</v>
      </c>
      <c r="P884" s="70">
        <f>Table1[[#This Row],[Overall amount]]*Exchange_Rate</f>
        <v>1338.4508323824923</v>
      </c>
      <c r="Q884" s="70">
        <f>Table1[[#This Row],[Overall (destination currency)]]*(1+Claims_Inflation)^((Revalue_at_date-Table1[[#This Row],[Loss date]])/365.25)</f>
        <v>1707.2706000000005</v>
      </c>
      <c r="R884" s="70">
        <f>INT(Table1[[#This Row],[Reporting date]])-INT(Table1[[#This Row],[Loss date]])</f>
        <v>151</v>
      </c>
      <c r="S884" s="69" t="s">
        <v>9</v>
      </c>
      <c r="T884" s="70">
        <f>VLOOKUP(Table1[[#This Row],[Policy Year]],exposure_table,3,FALSE)</f>
        <v>837.11513600000012</v>
      </c>
      <c r="U884" s="17">
        <f>IF(MONTH(Table1[[#This Row],[Reporting date]])&lt;Policy_Inception_Month,YEAR(Table1[[#This Row],[Reporting date]])-1,YEAR(Table1[[#This Row],[Reporting date]]))</f>
        <v>2010</v>
      </c>
      <c r="V884" s="17">
        <f>Table1[[#This Row],[Reporting year]]-Table1[[#This Row],[Policy Year]]</f>
        <v>0</v>
      </c>
      <c r="W884" s="17">
        <f>INT(Table1[[#This Row],[Reporting date]])-INT(Table1[[#This Row],[Loss date]])</f>
        <v>151</v>
      </c>
      <c r="X884" s="17">
        <f>INT((YEAR(Table1[[#This Row],[Loss date]])*12+MONTH(Table1[[#This Row],[Loss date]])-Earliest_Month)/4)</f>
        <v>16</v>
      </c>
      <c r="Y884" s="17">
        <f>INT((YEAR(Table1[[#This Row],[Reporting date]])*12+MONTH(Table1[[#This Row],[Reporting date]])-Earliest_Month)/4)</f>
        <v>17</v>
      </c>
      <c r="Z884" s="17">
        <f>Table1[[#This Row],[Reporting third]]-Table1[[#This Row],[Policy third]]</f>
        <v>1</v>
      </c>
      <c r="AA884" s="71">
        <f>IF(Table1[[#This Row],[Overall amount]]=0,"N/A",Table1[[#This Row],[Outstanding]]/Table1[[#This Row],[Overall amount]])</f>
        <v>0</v>
      </c>
      <c r="AB884" s="17">
        <f>IF(MONTH(Table1[[#This Row],[Loss date]])&lt;Pol_Inc_Month_Shifted,YEAR(Table1[[#This Row],[Loss date]])-1,YEAR(Table1[[#This Row],[Loss date]]))</f>
        <v>2009</v>
      </c>
      <c r="AC884" s="17">
        <f>IF(MONTH(Table1[[#This Row],[Reporting date]])&lt;Pol_Inc_Month_Shifted,YEAR(Table1[[#This Row],[Reporting date]])-1,YEAR(Table1[[#This Row],[Reporting date]]))</f>
        <v>2010</v>
      </c>
      <c r="AD884" s="17">
        <f>Table1[[#This Row],[Reporting year (shifted)]]-Table1[[#This Row],[Policy Year (shifted)]]</f>
        <v>1</v>
      </c>
    </row>
    <row r="885" spans="1:30" ht="13.9">
      <c r="A885" s="8" t="s">
        <v>2655</v>
      </c>
      <c r="B885" s="8" t="s">
        <v>937</v>
      </c>
      <c r="C885" s="8" t="s">
        <v>123</v>
      </c>
      <c r="D885" s="9">
        <v>40852</v>
      </c>
      <c r="E885" s="9">
        <v>40924</v>
      </c>
      <c r="F885" s="17">
        <f>IF(MONTH(Table1[[#This Row],[Loss date]])&lt;Policy_Inception_Month,YEAR(Table1[[#This Row],[Loss date]])-1,YEAR(Table1[[#This Row],[Loss date]]))</f>
        <v>2011</v>
      </c>
      <c r="G885" s="10" t="s">
        <v>124</v>
      </c>
      <c r="H885" s="10" t="s">
        <v>2</v>
      </c>
      <c r="I885" s="11">
        <v>1481.3570086497773</v>
      </c>
      <c r="J885" s="11">
        <v>0</v>
      </c>
      <c r="K885" s="11">
        <v>1481.3570086497773</v>
      </c>
      <c r="L885" s="12">
        <v>0</v>
      </c>
      <c r="M885" s="12">
        <v>0</v>
      </c>
      <c r="N885" s="12">
        <v>1481.3570086497773</v>
      </c>
      <c r="O885" s="70">
        <f>IF(Table1[[#This Row],[Overall amount]]=0,0,1)</f>
        <v>1</v>
      </c>
      <c r="P885" s="70">
        <f>Table1[[#This Row],[Overall amount]]*Exchange_Rate</f>
        <v>1481.3570086497773</v>
      </c>
      <c r="Q885" s="70">
        <f>Table1[[#This Row],[Overall (destination currency)]]*(1+Claims_Inflation)^((Revalue_at_date-Table1[[#This Row],[Loss date]])/365.25)</f>
        <v>1792.2000000000005</v>
      </c>
      <c r="R885" s="70">
        <f>INT(Table1[[#This Row],[Reporting date]])-INT(Table1[[#This Row],[Loss date]])</f>
        <v>72</v>
      </c>
      <c r="S885" s="69" t="s">
        <v>9</v>
      </c>
      <c r="T885" s="70">
        <f>VLOOKUP(Table1[[#This Row],[Policy Year]],exposure_table,3,FALSE)</f>
        <v>870.52680000000009</v>
      </c>
      <c r="U885" s="17">
        <f>IF(MONTH(Table1[[#This Row],[Reporting date]])&lt;Policy_Inception_Month,YEAR(Table1[[#This Row],[Reporting date]])-1,YEAR(Table1[[#This Row],[Reporting date]]))</f>
        <v>2011</v>
      </c>
      <c r="V885" s="17">
        <f>Table1[[#This Row],[Reporting year]]-Table1[[#This Row],[Policy Year]]</f>
        <v>0</v>
      </c>
      <c r="W885" s="17">
        <f>INT(Table1[[#This Row],[Reporting date]])-INT(Table1[[#This Row],[Loss date]])</f>
        <v>72</v>
      </c>
      <c r="X885" s="17">
        <f>INT((YEAR(Table1[[#This Row],[Loss date]])*12+MONTH(Table1[[#This Row],[Loss date]])-Earliest_Month)/4)</f>
        <v>19</v>
      </c>
      <c r="Y885" s="17">
        <f>INT((YEAR(Table1[[#This Row],[Reporting date]])*12+MONTH(Table1[[#This Row],[Reporting date]])-Earliest_Month)/4)</f>
        <v>20</v>
      </c>
      <c r="Z885" s="17">
        <f>Table1[[#This Row],[Reporting third]]-Table1[[#This Row],[Policy third]]</f>
        <v>1</v>
      </c>
      <c r="AA885" s="71">
        <f>IF(Table1[[#This Row],[Overall amount]]=0,"N/A",Table1[[#This Row],[Outstanding]]/Table1[[#This Row],[Overall amount]])</f>
        <v>0</v>
      </c>
      <c r="AB885" s="17">
        <f>IF(MONTH(Table1[[#This Row],[Loss date]])&lt;Pol_Inc_Month_Shifted,YEAR(Table1[[#This Row],[Loss date]])-1,YEAR(Table1[[#This Row],[Loss date]]))</f>
        <v>2010</v>
      </c>
      <c r="AC885" s="17">
        <f>IF(MONTH(Table1[[#This Row],[Reporting date]])&lt;Pol_Inc_Month_Shifted,YEAR(Table1[[#This Row],[Reporting date]])-1,YEAR(Table1[[#This Row],[Reporting date]]))</f>
        <v>2011</v>
      </c>
      <c r="AD885" s="17">
        <f>Table1[[#This Row],[Reporting year (shifted)]]-Table1[[#This Row],[Policy Year (shifted)]]</f>
        <v>1</v>
      </c>
    </row>
    <row r="886" spans="1:30" ht="13.9">
      <c r="A886" s="8" t="s">
        <v>2656</v>
      </c>
      <c r="B886" s="8" t="s">
        <v>938</v>
      </c>
      <c r="C886" s="8" t="s">
        <v>123</v>
      </c>
      <c r="D886" s="9">
        <v>38684</v>
      </c>
      <c r="E886" s="9">
        <v>38871</v>
      </c>
      <c r="F886" s="17">
        <f>IF(MONTH(Table1[[#This Row],[Loss date]])&lt;Policy_Inception_Month,YEAR(Table1[[#This Row],[Loss date]])-1,YEAR(Table1[[#This Row],[Loss date]]))</f>
        <v>2005</v>
      </c>
      <c r="G886" s="10" t="s">
        <v>125</v>
      </c>
      <c r="H886" s="10" t="s">
        <v>2</v>
      </c>
      <c r="I886" s="11">
        <v>563.16753252507669</v>
      </c>
      <c r="J886" s="11">
        <v>0</v>
      </c>
      <c r="K886" s="11">
        <v>563.16753252507669</v>
      </c>
      <c r="L886" s="12">
        <v>0</v>
      </c>
      <c r="M886" s="12">
        <v>0</v>
      </c>
      <c r="N886" s="12">
        <v>563.16753252507669</v>
      </c>
      <c r="O886" s="70">
        <f>IF(Table1[[#This Row],[Overall amount]]=0,0,1)</f>
        <v>1</v>
      </c>
      <c r="P886" s="70">
        <f>Table1[[#This Row],[Overall amount]]*Exchange_Rate</f>
        <v>563.16753252507669</v>
      </c>
      <c r="Q886" s="70">
        <f>Table1[[#This Row],[Overall (destination currency)]]*(1+Claims_Inflation)^((Revalue_at_date-Table1[[#This Row],[Loss date]])/365.25)</f>
        <v>910.19999999999993</v>
      </c>
      <c r="R886" s="70">
        <f>INT(Table1[[#This Row],[Reporting date]])-INT(Table1[[#This Row],[Loss date]])</f>
        <v>187</v>
      </c>
      <c r="S886" s="69" t="s">
        <v>9</v>
      </c>
      <c r="T886" s="70">
        <f>VLOOKUP(Table1[[#This Row],[Policy Year]],exposure_table,3,FALSE)</f>
        <v>409.50481038040112</v>
      </c>
      <c r="U886" s="17">
        <f>IF(MONTH(Table1[[#This Row],[Reporting date]])&lt;Policy_Inception_Month,YEAR(Table1[[#This Row],[Reporting date]])-1,YEAR(Table1[[#This Row],[Reporting date]]))</f>
        <v>2006</v>
      </c>
      <c r="V886" s="17">
        <f>Table1[[#This Row],[Reporting year]]-Table1[[#This Row],[Policy Year]]</f>
        <v>1</v>
      </c>
      <c r="W886" s="17">
        <f>INT(Table1[[#This Row],[Reporting date]])-INT(Table1[[#This Row],[Loss date]])</f>
        <v>187</v>
      </c>
      <c r="X886" s="17">
        <f>INT((YEAR(Table1[[#This Row],[Loss date]])*12+MONTH(Table1[[#This Row],[Loss date]])-Earliest_Month)/4)</f>
        <v>1</v>
      </c>
      <c r="Y886" s="17">
        <f>INT((YEAR(Table1[[#This Row],[Reporting date]])*12+MONTH(Table1[[#This Row],[Reporting date]])-Earliest_Month)/4)</f>
        <v>3</v>
      </c>
      <c r="Z886" s="17">
        <f>Table1[[#This Row],[Reporting third]]-Table1[[#This Row],[Policy third]]</f>
        <v>2</v>
      </c>
      <c r="AA886" s="71">
        <f>IF(Table1[[#This Row],[Overall amount]]=0,"N/A",Table1[[#This Row],[Outstanding]]/Table1[[#This Row],[Overall amount]])</f>
        <v>0</v>
      </c>
      <c r="AB886" s="17">
        <f>IF(MONTH(Table1[[#This Row],[Loss date]])&lt;Pol_Inc_Month_Shifted,YEAR(Table1[[#This Row],[Loss date]])-1,YEAR(Table1[[#This Row],[Loss date]]))</f>
        <v>2004</v>
      </c>
      <c r="AC886" s="17">
        <f>IF(MONTH(Table1[[#This Row],[Reporting date]])&lt;Pol_Inc_Month_Shifted,YEAR(Table1[[#This Row],[Reporting date]])-1,YEAR(Table1[[#This Row],[Reporting date]]))</f>
        <v>2005</v>
      </c>
      <c r="AD886" s="17">
        <f>Table1[[#This Row],[Reporting year (shifted)]]-Table1[[#This Row],[Policy Year (shifted)]]</f>
        <v>1</v>
      </c>
    </row>
    <row r="887" spans="1:30" ht="13.9">
      <c r="A887" s="8" t="s">
        <v>2657</v>
      </c>
      <c r="B887" s="8" t="s">
        <v>939</v>
      </c>
      <c r="C887" s="8" t="s">
        <v>123</v>
      </c>
      <c r="D887" s="9">
        <v>39469</v>
      </c>
      <c r="E887" s="9">
        <v>39546</v>
      </c>
      <c r="F887" s="17">
        <f>IF(MONTH(Table1[[#This Row],[Loss date]])&lt;Policy_Inception_Month,YEAR(Table1[[#This Row],[Loss date]])-1,YEAR(Table1[[#This Row],[Loss date]]))</f>
        <v>2007</v>
      </c>
      <c r="G887" s="10" t="s">
        <v>125</v>
      </c>
      <c r="H887" s="10" t="s">
        <v>2</v>
      </c>
      <c r="I887" s="11">
        <v>630.78850918414435</v>
      </c>
      <c r="J887" s="11">
        <v>0</v>
      </c>
      <c r="K887" s="11">
        <v>630.78850918414435</v>
      </c>
      <c r="L887" s="12">
        <v>0</v>
      </c>
      <c r="M887" s="12">
        <v>0</v>
      </c>
      <c r="N887" s="12">
        <v>630.78850918414435</v>
      </c>
      <c r="O887" s="70">
        <f>IF(Table1[[#This Row],[Overall amount]]=0,0,1)</f>
        <v>1</v>
      </c>
      <c r="P887" s="70">
        <f>Table1[[#This Row],[Overall amount]]*Exchange_Rate</f>
        <v>630.78850918414435</v>
      </c>
      <c r="Q887" s="70">
        <f>Table1[[#This Row],[Overall (destination currency)]]*(1+Claims_Inflation)^((Revalue_at_date-Table1[[#This Row],[Loss date]])/365.25)</f>
        <v>917.99999999999989</v>
      </c>
      <c r="R887" s="70">
        <f>INT(Table1[[#This Row],[Reporting date]])-INT(Table1[[#This Row],[Loss date]])</f>
        <v>77</v>
      </c>
      <c r="S887" s="69" t="s">
        <v>9</v>
      </c>
      <c r="T887" s="70">
        <f>VLOOKUP(Table1[[#This Row],[Policy Year]],exposure_table,3,FALSE)</f>
        <v>547.7736362475523</v>
      </c>
      <c r="U887" s="17">
        <f>IF(MONTH(Table1[[#This Row],[Reporting date]])&lt;Policy_Inception_Month,YEAR(Table1[[#This Row],[Reporting date]])-1,YEAR(Table1[[#This Row],[Reporting date]]))</f>
        <v>2008</v>
      </c>
      <c r="V887" s="17">
        <f>Table1[[#This Row],[Reporting year]]-Table1[[#This Row],[Policy Year]]</f>
        <v>1</v>
      </c>
      <c r="W887" s="17">
        <f>INT(Table1[[#This Row],[Reporting date]])-INT(Table1[[#This Row],[Loss date]])</f>
        <v>77</v>
      </c>
      <c r="X887" s="17">
        <f>INT((YEAR(Table1[[#This Row],[Loss date]])*12+MONTH(Table1[[#This Row],[Loss date]])-Earliest_Month)/4)</f>
        <v>8</v>
      </c>
      <c r="Y887" s="17">
        <f>INT((YEAR(Table1[[#This Row],[Reporting date]])*12+MONTH(Table1[[#This Row],[Reporting date]])-Earliest_Month)/4)</f>
        <v>9</v>
      </c>
      <c r="Z887" s="17">
        <f>Table1[[#This Row],[Reporting third]]-Table1[[#This Row],[Policy third]]</f>
        <v>1</v>
      </c>
      <c r="AA887" s="71">
        <f>IF(Table1[[#This Row],[Overall amount]]=0,"N/A",Table1[[#This Row],[Outstanding]]/Table1[[#This Row],[Overall amount]])</f>
        <v>0</v>
      </c>
      <c r="AB887" s="17">
        <f>IF(MONTH(Table1[[#This Row],[Loss date]])&lt;Pol_Inc_Month_Shifted,YEAR(Table1[[#This Row],[Loss date]])-1,YEAR(Table1[[#This Row],[Loss date]]))</f>
        <v>2007</v>
      </c>
      <c r="AC887" s="17">
        <f>IF(MONTH(Table1[[#This Row],[Reporting date]])&lt;Pol_Inc_Month_Shifted,YEAR(Table1[[#This Row],[Reporting date]])-1,YEAR(Table1[[#This Row],[Reporting date]]))</f>
        <v>2007</v>
      </c>
      <c r="AD887" s="17">
        <f>Table1[[#This Row],[Reporting year (shifted)]]-Table1[[#This Row],[Policy Year (shifted)]]</f>
        <v>0</v>
      </c>
    </row>
    <row r="888" spans="1:30" ht="13.9">
      <c r="A888" s="8" t="s">
        <v>2658</v>
      </c>
      <c r="B888" s="8" t="s">
        <v>940</v>
      </c>
      <c r="C888" s="8" t="s">
        <v>123</v>
      </c>
      <c r="D888" s="9">
        <v>39624</v>
      </c>
      <c r="E888" s="9">
        <v>39641</v>
      </c>
      <c r="F888" s="17">
        <f>IF(MONTH(Table1[[#This Row],[Loss date]])&lt;Policy_Inception_Month,YEAR(Table1[[#This Row],[Loss date]])-1,YEAR(Table1[[#This Row],[Loss date]]))</f>
        <v>2008</v>
      </c>
      <c r="G888" s="10" t="s">
        <v>125</v>
      </c>
      <c r="H888" s="10" t="s">
        <v>2</v>
      </c>
      <c r="I888" s="11">
        <v>518.76576401614955</v>
      </c>
      <c r="J888" s="11">
        <v>0</v>
      </c>
      <c r="K888" s="11">
        <v>518.76576401614955</v>
      </c>
      <c r="L888" s="12">
        <v>0</v>
      </c>
      <c r="M888" s="12">
        <v>0</v>
      </c>
      <c r="N888" s="12">
        <v>518.76576401614955</v>
      </c>
      <c r="O888" s="70">
        <f>IF(Table1[[#This Row],[Overall amount]]=0,0,1)</f>
        <v>1</v>
      </c>
      <c r="P888" s="70">
        <f>Table1[[#This Row],[Overall amount]]*Exchange_Rate</f>
        <v>518.76576401614955</v>
      </c>
      <c r="Q888" s="70">
        <f>Table1[[#This Row],[Overall (destination currency)]]*(1+Claims_Inflation)^((Revalue_at_date-Table1[[#This Row],[Loss date]])/365.25)</f>
        <v>739.5</v>
      </c>
      <c r="R888" s="70">
        <f>INT(Table1[[#This Row],[Reporting date]])-INT(Table1[[#This Row],[Loss date]])</f>
        <v>17</v>
      </c>
      <c r="S888" s="69" t="s">
        <v>9</v>
      </c>
      <c r="T888" s="70">
        <f>VLOOKUP(Table1[[#This Row],[Policy Year]],exposure_table,3,FALSE)</f>
        <v>601.98581780480015</v>
      </c>
      <c r="U888" s="17">
        <f>IF(MONTH(Table1[[#This Row],[Reporting date]])&lt;Policy_Inception_Month,YEAR(Table1[[#This Row],[Reporting date]])-1,YEAR(Table1[[#This Row],[Reporting date]]))</f>
        <v>2008</v>
      </c>
      <c r="V888" s="17">
        <f>Table1[[#This Row],[Reporting year]]-Table1[[#This Row],[Policy Year]]</f>
        <v>0</v>
      </c>
      <c r="W888" s="17">
        <f>INT(Table1[[#This Row],[Reporting date]])-INT(Table1[[#This Row],[Loss date]])</f>
        <v>17</v>
      </c>
      <c r="X888" s="17">
        <f>INT((YEAR(Table1[[#This Row],[Loss date]])*12+MONTH(Table1[[#This Row],[Loss date]])-Earliest_Month)/4)</f>
        <v>9</v>
      </c>
      <c r="Y888" s="17">
        <f>INT((YEAR(Table1[[#This Row],[Reporting date]])*12+MONTH(Table1[[#This Row],[Reporting date]])-Earliest_Month)/4)</f>
        <v>9</v>
      </c>
      <c r="Z888" s="17">
        <f>Table1[[#This Row],[Reporting third]]-Table1[[#This Row],[Policy third]]</f>
        <v>0</v>
      </c>
      <c r="AA888" s="71">
        <f>IF(Table1[[#This Row],[Overall amount]]=0,"N/A",Table1[[#This Row],[Outstanding]]/Table1[[#This Row],[Overall amount]])</f>
        <v>0</v>
      </c>
      <c r="AB888" s="17">
        <f>IF(MONTH(Table1[[#This Row],[Loss date]])&lt;Pol_Inc_Month_Shifted,YEAR(Table1[[#This Row],[Loss date]])-1,YEAR(Table1[[#This Row],[Loss date]]))</f>
        <v>2007</v>
      </c>
      <c r="AC888" s="17">
        <f>IF(MONTH(Table1[[#This Row],[Reporting date]])&lt;Pol_Inc_Month_Shifted,YEAR(Table1[[#This Row],[Reporting date]])-1,YEAR(Table1[[#This Row],[Reporting date]]))</f>
        <v>2007</v>
      </c>
      <c r="AD888" s="17">
        <f>Table1[[#This Row],[Reporting year (shifted)]]-Table1[[#This Row],[Policy Year (shifted)]]</f>
        <v>0</v>
      </c>
    </row>
    <row r="889" spans="1:30" ht="13.9">
      <c r="A889" s="8" t="s">
        <v>2659</v>
      </c>
      <c r="B889" s="8" t="s">
        <v>941</v>
      </c>
      <c r="C889" s="8" t="s">
        <v>123</v>
      </c>
      <c r="D889" s="9">
        <v>39124</v>
      </c>
      <c r="E889" s="9">
        <v>39636</v>
      </c>
      <c r="F889" s="17">
        <f>IF(MONTH(Table1[[#This Row],[Loss date]])&lt;Policy_Inception_Month,YEAR(Table1[[#This Row],[Loss date]])-1,YEAR(Table1[[#This Row],[Loss date]]))</f>
        <v>2006</v>
      </c>
      <c r="G889" s="10" t="s">
        <v>125</v>
      </c>
      <c r="H889" s="10" t="s">
        <v>2</v>
      </c>
      <c r="I889" s="11">
        <v>14646.380835390613</v>
      </c>
      <c r="J889" s="11">
        <v>0</v>
      </c>
      <c r="K889" s="11">
        <v>14646.380835390613</v>
      </c>
      <c r="L889" s="12">
        <v>0</v>
      </c>
      <c r="M889" s="12">
        <v>0</v>
      </c>
      <c r="N889" s="12">
        <v>14646.380835390613</v>
      </c>
      <c r="O889" s="70">
        <f>IF(Table1[[#This Row],[Overall amount]]=0,0,1)</f>
        <v>1</v>
      </c>
      <c r="P889" s="70">
        <f>Table1[[#This Row],[Overall amount]]*Exchange_Rate</f>
        <v>14646.380835390613</v>
      </c>
      <c r="Q889" s="70">
        <f>Table1[[#This Row],[Overall (destination currency)]]*(1+Claims_Inflation)^((Revalue_at_date-Table1[[#This Row],[Loss date]])/365.25)</f>
        <v>22320.491999999998</v>
      </c>
      <c r="R889" s="70">
        <f>INT(Table1[[#This Row],[Reporting date]])-INT(Table1[[#This Row],[Loss date]])</f>
        <v>512</v>
      </c>
      <c r="S889" s="69" t="s">
        <v>9</v>
      </c>
      <c r="T889" s="70">
        <f>VLOOKUP(Table1[[#This Row],[Policy Year]],exposure_table,3,FALSE)</f>
        <v>483.32023209000977</v>
      </c>
      <c r="U889" s="17">
        <f>IF(MONTH(Table1[[#This Row],[Reporting date]])&lt;Policy_Inception_Month,YEAR(Table1[[#This Row],[Reporting date]])-1,YEAR(Table1[[#This Row],[Reporting date]]))</f>
        <v>2008</v>
      </c>
      <c r="V889" s="17">
        <f>Table1[[#This Row],[Reporting year]]-Table1[[#This Row],[Policy Year]]</f>
        <v>2</v>
      </c>
      <c r="W889" s="17">
        <f>INT(Table1[[#This Row],[Reporting date]])-INT(Table1[[#This Row],[Loss date]])</f>
        <v>512</v>
      </c>
      <c r="X889" s="17">
        <f>INT((YEAR(Table1[[#This Row],[Loss date]])*12+MONTH(Table1[[#This Row],[Loss date]])-Earliest_Month)/4)</f>
        <v>5</v>
      </c>
      <c r="Y889" s="17">
        <f>INT((YEAR(Table1[[#This Row],[Reporting date]])*12+MONTH(Table1[[#This Row],[Reporting date]])-Earliest_Month)/4)</f>
        <v>9</v>
      </c>
      <c r="Z889" s="17">
        <f>Table1[[#This Row],[Reporting third]]-Table1[[#This Row],[Policy third]]</f>
        <v>4</v>
      </c>
      <c r="AA889" s="71">
        <f>IF(Table1[[#This Row],[Overall amount]]=0,"N/A",Table1[[#This Row],[Outstanding]]/Table1[[#This Row],[Overall amount]])</f>
        <v>0</v>
      </c>
      <c r="AB889" s="17">
        <f>IF(MONTH(Table1[[#This Row],[Loss date]])&lt;Pol_Inc_Month_Shifted,YEAR(Table1[[#This Row],[Loss date]])-1,YEAR(Table1[[#This Row],[Loss date]]))</f>
        <v>2006</v>
      </c>
      <c r="AC889" s="17">
        <f>IF(MONTH(Table1[[#This Row],[Reporting date]])&lt;Pol_Inc_Month_Shifted,YEAR(Table1[[#This Row],[Reporting date]])-1,YEAR(Table1[[#This Row],[Reporting date]]))</f>
        <v>2007</v>
      </c>
      <c r="AD889" s="17">
        <f>Table1[[#This Row],[Reporting year (shifted)]]-Table1[[#This Row],[Policy Year (shifted)]]</f>
        <v>1</v>
      </c>
    </row>
    <row r="890" spans="1:30" ht="13.9">
      <c r="A890" s="8" t="s">
        <v>2660</v>
      </c>
      <c r="B890" s="8" t="s">
        <v>942</v>
      </c>
      <c r="C890" s="8" t="s">
        <v>123</v>
      </c>
      <c r="D890" s="9">
        <v>39624</v>
      </c>
      <c r="E890" s="9">
        <v>39654</v>
      </c>
      <c r="F890" s="17">
        <f>IF(MONTH(Table1[[#This Row],[Loss date]])&lt;Policy_Inception_Month,YEAR(Table1[[#This Row],[Loss date]])-1,YEAR(Table1[[#This Row],[Loss date]]))</f>
        <v>2008</v>
      </c>
      <c r="G890" s="10" t="s">
        <v>124</v>
      </c>
      <c r="H890" s="10" t="s">
        <v>2</v>
      </c>
      <c r="I890" s="11">
        <v>518.76576401614955</v>
      </c>
      <c r="J890" s="11">
        <v>0</v>
      </c>
      <c r="K890" s="11">
        <v>518.76576401614955</v>
      </c>
      <c r="L890" s="12">
        <v>0</v>
      </c>
      <c r="M890" s="12">
        <v>0</v>
      </c>
      <c r="N890" s="12">
        <v>518.76576401614955</v>
      </c>
      <c r="O890" s="70">
        <f>IF(Table1[[#This Row],[Overall amount]]=0,0,1)</f>
        <v>1</v>
      </c>
      <c r="P890" s="70">
        <f>Table1[[#This Row],[Overall amount]]*Exchange_Rate</f>
        <v>518.76576401614955</v>
      </c>
      <c r="Q890" s="70">
        <f>Table1[[#This Row],[Overall (destination currency)]]*(1+Claims_Inflation)^((Revalue_at_date-Table1[[#This Row],[Loss date]])/365.25)</f>
        <v>739.5</v>
      </c>
      <c r="R890" s="70">
        <f>INT(Table1[[#This Row],[Reporting date]])-INT(Table1[[#This Row],[Loss date]])</f>
        <v>30</v>
      </c>
      <c r="S890" s="69" t="s">
        <v>9</v>
      </c>
      <c r="T890" s="70">
        <f>VLOOKUP(Table1[[#This Row],[Policy Year]],exposure_table,3,FALSE)</f>
        <v>601.98581780480015</v>
      </c>
      <c r="U890" s="17">
        <f>IF(MONTH(Table1[[#This Row],[Reporting date]])&lt;Policy_Inception_Month,YEAR(Table1[[#This Row],[Reporting date]])-1,YEAR(Table1[[#This Row],[Reporting date]]))</f>
        <v>2008</v>
      </c>
      <c r="V890" s="17">
        <f>Table1[[#This Row],[Reporting year]]-Table1[[#This Row],[Policy Year]]</f>
        <v>0</v>
      </c>
      <c r="W890" s="17">
        <f>INT(Table1[[#This Row],[Reporting date]])-INT(Table1[[#This Row],[Loss date]])</f>
        <v>30</v>
      </c>
      <c r="X890" s="17">
        <f>INT((YEAR(Table1[[#This Row],[Loss date]])*12+MONTH(Table1[[#This Row],[Loss date]])-Earliest_Month)/4)</f>
        <v>9</v>
      </c>
      <c r="Y890" s="17">
        <f>INT((YEAR(Table1[[#This Row],[Reporting date]])*12+MONTH(Table1[[#This Row],[Reporting date]])-Earliest_Month)/4)</f>
        <v>9</v>
      </c>
      <c r="Z890" s="17">
        <f>Table1[[#This Row],[Reporting third]]-Table1[[#This Row],[Policy third]]</f>
        <v>0</v>
      </c>
      <c r="AA890" s="71">
        <f>IF(Table1[[#This Row],[Overall amount]]=0,"N/A",Table1[[#This Row],[Outstanding]]/Table1[[#This Row],[Overall amount]])</f>
        <v>0</v>
      </c>
      <c r="AB890" s="17">
        <f>IF(MONTH(Table1[[#This Row],[Loss date]])&lt;Pol_Inc_Month_Shifted,YEAR(Table1[[#This Row],[Loss date]])-1,YEAR(Table1[[#This Row],[Loss date]]))</f>
        <v>2007</v>
      </c>
      <c r="AC890" s="17">
        <f>IF(MONTH(Table1[[#This Row],[Reporting date]])&lt;Pol_Inc_Month_Shifted,YEAR(Table1[[#This Row],[Reporting date]])-1,YEAR(Table1[[#This Row],[Reporting date]]))</f>
        <v>2007</v>
      </c>
      <c r="AD890" s="17">
        <f>Table1[[#This Row],[Reporting year (shifted)]]-Table1[[#This Row],[Policy Year (shifted)]]</f>
        <v>0</v>
      </c>
    </row>
    <row r="891" spans="1:30" ht="13.9">
      <c r="A891" s="8" t="s">
        <v>2661</v>
      </c>
      <c r="B891" s="8" t="s">
        <v>943</v>
      </c>
      <c r="C891" s="8" t="s">
        <v>123</v>
      </c>
      <c r="D891" s="9">
        <v>39720</v>
      </c>
      <c r="E891" s="9">
        <v>39727</v>
      </c>
      <c r="F891" s="17">
        <f>IF(MONTH(Table1[[#This Row],[Loss date]])&lt;Policy_Inception_Month,YEAR(Table1[[#This Row],[Loss date]])-1,YEAR(Table1[[#This Row],[Loss date]]))</f>
        <v>2008</v>
      </c>
      <c r="G891" s="10" t="s">
        <v>131</v>
      </c>
      <c r="H891" s="10" t="s">
        <v>2</v>
      </c>
      <c r="I891" s="11">
        <v>10763.600541280552</v>
      </c>
      <c r="J891" s="11">
        <v>0</v>
      </c>
      <c r="K891" s="11">
        <v>10763.600541280552</v>
      </c>
      <c r="L891" s="12">
        <v>0</v>
      </c>
      <c r="M891" s="12">
        <v>0</v>
      </c>
      <c r="N891" s="12">
        <v>10763.600541280552</v>
      </c>
      <c r="O891" s="70">
        <f>IF(Table1[[#This Row],[Overall amount]]=0,0,1)</f>
        <v>1</v>
      </c>
      <c r="P891" s="70">
        <f>Table1[[#This Row],[Overall amount]]*Exchange_Rate</f>
        <v>10763.600541280552</v>
      </c>
      <c r="Q891" s="70">
        <f>Table1[[#This Row],[Overall (destination currency)]]*(1+Claims_Inflation)^((Revalue_at_date-Table1[[#This Row],[Loss date]])/365.25)</f>
        <v>15147.995999999999</v>
      </c>
      <c r="R891" s="70">
        <f>INT(Table1[[#This Row],[Reporting date]])-INT(Table1[[#This Row],[Loss date]])</f>
        <v>7</v>
      </c>
      <c r="S891" s="69" t="s">
        <v>9</v>
      </c>
      <c r="T891" s="70">
        <f>VLOOKUP(Table1[[#This Row],[Policy Year]],exposure_table,3,FALSE)</f>
        <v>601.98581780480015</v>
      </c>
      <c r="U891" s="17">
        <f>IF(MONTH(Table1[[#This Row],[Reporting date]])&lt;Policy_Inception_Month,YEAR(Table1[[#This Row],[Reporting date]])-1,YEAR(Table1[[#This Row],[Reporting date]]))</f>
        <v>2008</v>
      </c>
      <c r="V891" s="17">
        <f>Table1[[#This Row],[Reporting year]]-Table1[[#This Row],[Policy Year]]</f>
        <v>0</v>
      </c>
      <c r="W891" s="17">
        <f>INT(Table1[[#This Row],[Reporting date]])-INT(Table1[[#This Row],[Loss date]])</f>
        <v>7</v>
      </c>
      <c r="X891" s="17">
        <f>INT((YEAR(Table1[[#This Row],[Loss date]])*12+MONTH(Table1[[#This Row],[Loss date]])-Earliest_Month)/4)</f>
        <v>10</v>
      </c>
      <c r="Y891" s="17">
        <f>INT((YEAR(Table1[[#This Row],[Reporting date]])*12+MONTH(Table1[[#This Row],[Reporting date]])-Earliest_Month)/4)</f>
        <v>10</v>
      </c>
      <c r="Z891" s="17">
        <f>Table1[[#This Row],[Reporting third]]-Table1[[#This Row],[Policy third]]</f>
        <v>0</v>
      </c>
      <c r="AA891" s="71">
        <f>IF(Table1[[#This Row],[Overall amount]]=0,"N/A",Table1[[#This Row],[Outstanding]]/Table1[[#This Row],[Overall amount]])</f>
        <v>0</v>
      </c>
      <c r="AB891" s="17">
        <f>IF(MONTH(Table1[[#This Row],[Loss date]])&lt;Pol_Inc_Month_Shifted,YEAR(Table1[[#This Row],[Loss date]])-1,YEAR(Table1[[#This Row],[Loss date]]))</f>
        <v>2007</v>
      </c>
      <c r="AC891" s="17">
        <f>IF(MONTH(Table1[[#This Row],[Reporting date]])&lt;Pol_Inc_Month_Shifted,YEAR(Table1[[#This Row],[Reporting date]])-1,YEAR(Table1[[#This Row],[Reporting date]]))</f>
        <v>2007</v>
      </c>
      <c r="AD891" s="17">
        <f>Table1[[#This Row],[Reporting year (shifted)]]-Table1[[#This Row],[Policy Year (shifted)]]</f>
        <v>0</v>
      </c>
    </row>
    <row r="892" spans="1:30" ht="13.9">
      <c r="A892" s="8" t="s">
        <v>2662</v>
      </c>
      <c r="B892" s="8" t="s">
        <v>944</v>
      </c>
      <c r="C892" s="8" t="s">
        <v>123</v>
      </c>
      <c r="D892" s="9">
        <v>39439</v>
      </c>
      <c r="E892" s="9">
        <v>39763</v>
      </c>
      <c r="F892" s="17">
        <f>IF(MONTH(Table1[[#This Row],[Loss date]])&lt;Policy_Inception_Month,YEAR(Table1[[#This Row],[Loss date]])-1,YEAR(Table1[[#This Row],[Loss date]]))</f>
        <v>2007</v>
      </c>
      <c r="G892" s="10" t="s">
        <v>125</v>
      </c>
      <c r="H892" s="10" t="s">
        <v>2</v>
      </c>
      <c r="I892" s="11">
        <v>1303.0724246125005</v>
      </c>
      <c r="J892" s="11">
        <v>0</v>
      </c>
      <c r="K892" s="11">
        <v>1303.0724246125005</v>
      </c>
      <c r="L892" s="12">
        <v>0</v>
      </c>
      <c r="M892" s="12">
        <v>0</v>
      </c>
      <c r="N892" s="12">
        <v>1303.0724246125005</v>
      </c>
      <c r="O892" s="70">
        <f>IF(Table1[[#This Row],[Overall amount]]=0,0,1)</f>
        <v>1</v>
      </c>
      <c r="P892" s="70">
        <f>Table1[[#This Row],[Overall amount]]*Exchange_Rate</f>
        <v>1303.0724246125005</v>
      </c>
      <c r="Q892" s="70">
        <f>Table1[[#This Row],[Overall (destination currency)]]*(1+Claims_Inflation)^((Revalue_at_date-Table1[[#This Row],[Loss date]])/365.25)</f>
        <v>1904.0039999999999</v>
      </c>
      <c r="R892" s="70">
        <f>INT(Table1[[#This Row],[Reporting date]])-INT(Table1[[#This Row],[Loss date]])</f>
        <v>324</v>
      </c>
      <c r="S892" s="69" t="s">
        <v>9</v>
      </c>
      <c r="T892" s="70">
        <f>VLOOKUP(Table1[[#This Row],[Policy Year]],exposure_table,3,FALSE)</f>
        <v>547.7736362475523</v>
      </c>
      <c r="U892" s="17">
        <f>IF(MONTH(Table1[[#This Row],[Reporting date]])&lt;Policy_Inception_Month,YEAR(Table1[[#This Row],[Reporting date]])-1,YEAR(Table1[[#This Row],[Reporting date]]))</f>
        <v>2008</v>
      </c>
      <c r="V892" s="17">
        <f>Table1[[#This Row],[Reporting year]]-Table1[[#This Row],[Policy Year]]</f>
        <v>1</v>
      </c>
      <c r="W892" s="17">
        <f>INT(Table1[[#This Row],[Reporting date]])-INT(Table1[[#This Row],[Loss date]])</f>
        <v>324</v>
      </c>
      <c r="X892" s="17">
        <f>INT((YEAR(Table1[[#This Row],[Loss date]])*12+MONTH(Table1[[#This Row],[Loss date]])-Earliest_Month)/4)</f>
        <v>8</v>
      </c>
      <c r="Y892" s="17">
        <f>INT((YEAR(Table1[[#This Row],[Reporting date]])*12+MONTH(Table1[[#This Row],[Reporting date]])-Earliest_Month)/4)</f>
        <v>10</v>
      </c>
      <c r="Z892" s="17">
        <f>Table1[[#This Row],[Reporting third]]-Table1[[#This Row],[Policy third]]</f>
        <v>2</v>
      </c>
      <c r="AA892" s="71">
        <f>IF(Table1[[#This Row],[Overall amount]]=0,"N/A",Table1[[#This Row],[Outstanding]]/Table1[[#This Row],[Overall amount]])</f>
        <v>0</v>
      </c>
      <c r="AB892" s="17">
        <f>IF(MONTH(Table1[[#This Row],[Loss date]])&lt;Pol_Inc_Month_Shifted,YEAR(Table1[[#This Row],[Loss date]])-1,YEAR(Table1[[#This Row],[Loss date]]))</f>
        <v>2007</v>
      </c>
      <c r="AC892" s="17">
        <f>IF(MONTH(Table1[[#This Row],[Reporting date]])&lt;Pol_Inc_Month_Shifted,YEAR(Table1[[#This Row],[Reporting date]])-1,YEAR(Table1[[#This Row],[Reporting date]]))</f>
        <v>2007</v>
      </c>
      <c r="AD892" s="17">
        <f>Table1[[#This Row],[Reporting year (shifted)]]-Table1[[#This Row],[Policy Year (shifted)]]</f>
        <v>0</v>
      </c>
    </row>
    <row r="893" spans="1:30" ht="13.9">
      <c r="A893" s="8" t="s">
        <v>2663</v>
      </c>
      <c r="B893" s="8" t="s">
        <v>945</v>
      </c>
      <c r="C893" s="8" t="s">
        <v>123</v>
      </c>
      <c r="D893" s="9">
        <v>39326</v>
      </c>
      <c r="E893" s="9">
        <v>39353</v>
      </c>
      <c r="F893" s="17">
        <f>IF(MONTH(Table1[[#This Row],[Loss date]])&lt;Policy_Inception_Month,YEAR(Table1[[#This Row],[Loss date]])-1,YEAR(Table1[[#This Row],[Loss date]]))</f>
        <v>2007</v>
      </c>
      <c r="G893" s="10" t="s">
        <v>125</v>
      </c>
      <c r="H893" s="10" t="s">
        <v>2</v>
      </c>
      <c r="I893" s="11">
        <v>1008.5047963331763</v>
      </c>
      <c r="J893" s="11">
        <v>0</v>
      </c>
      <c r="K893" s="11">
        <v>1008.5047963331763</v>
      </c>
      <c r="L893" s="12">
        <v>0</v>
      </c>
      <c r="M893" s="12">
        <v>0</v>
      </c>
      <c r="N893" s="12">
        <v>1008.5047963331763</v>
      </c>
      <c r="O893" s="70">
        <f>IF(Table1[[#This Row],[Overall amount]]=0,0,1)</f>
        <v>1</v>
      </c>
      <c r="P893" s="70">
        <f>Table1[[#This Row],[Overall amount]]*Exchange_Rate</f>
        <v>1008.5047963331763</v>
      </c>
      <c r="Q893" s="70">
        <f>Table1[[#This Row],[Overall (destination currency)]]*(1+Claims_Inflation)^((Revalue_at_date-Table1[[#This Row],[Loss date]])/365.25)</f>
        <v>1496.0040000000004</v>
      </c>
      <c r="R893" s="70">
        <f>INT(Table1[[#This Row],[Reporting date]])-INT(Table1[[#This Row],[Loss date]])</f>
        <v>27</v>
      </c>
      <c r="S893" s="69" t="s">
        <v>9</v>
      </c>
      <c r="T893" s="70">
        <f>VLOOKUP(Table1[[#This Row],[Policy Year]],exposure_table,3,FALSE)</f>
        <v>547.7736362475523</v>
      </c>
      <c r="U893" s="17">
        <f>IF(MONTH(Table1[[#This Row],[Reporting date]])&lt;Policy_Inception_Month,YEAR(Table1[[#This Row],[Reporting date]])-1,YEAR(Table1[[#This Row],[Reporting date]]))</f>
        <v>2007</v>
      </c>
      <c r="V893" s="17">
        <f>Table1[[#This Row],[Reporting year]]-Table1[[#This Row],[Policy Year]]</f>
        <v>0</v>
      </c>
      <c r="W893" s="17">
        <f>INT(Table1[[#This Row],[Reporting date]])-INT(Table1[[#This Row],[Loss date]])</f>
        <v>27</v>
      </c>
      <c r="X893" s="17">
        <f>INT((YEAR(Table1[[#This Row],[Loss date]])*12+MONTH(Table1[[#This Row],[Loss date]])-Earliest_Month)/4)</f>
        <v>7</v>
      </c>
      <c r="Y893" s="17">
        <f>INT((YEAR(Table1[[#This Row],[Reporting date]])*12+MONTH(Table1[[#This Row],[Reporting date]])-Earliest_Month)/4)</f>
        <v>7</v>
      </c>
      <c r="Z893" s="17">
        <f>Table1[[#This Row],[Reporting third]]-Table1[[#This Row],[Policy third]]</f>
        <v>0</v>
      </c>
      <c r="AA893" s="71">
        <f>IF(Table1[[#This Row],[Overall amount]]=0,"N/A",Table1[[#This Row],[Outstanding]]/Table1[[#This Row],[Overall amount]])</f>
        <v>0</v>
      </c>
      <c r="AB893" s="17">
        <f>IF(MONTH(Table1[[#This Row],[Loss date]])&lt;Pol_Inc_Month_Shifted,YEAR(Table1[[#This Row],[Loss date]])-1,YEAR(Table1[[#This Row],[Loss date]]))</f>
        <v>2006</v>
      </c>
      <c r="AC893" s="17">
        <f>IF(MONTH(Table1[[#This Row],[Reporting date]])&lt;Pol_Inc_Month_Shifted,YEAR(Table1[[#This Row],[Reporting date]])-1,YEAR(Table1[[#This Row],[Reporting date]]))</f>
        <v>2006</v>
      </c>
      <c r="AD893" s="17">
        <f>Table1[[#This Row],[Reporting year (shifted)]]-Table1[[#This Row],[Policy Year (shifted)]]</f>
        <v>0</v>
      </c>
    </row>
    <row r="894" spans="1:30" ht="13.9">
      <c r="A894" s="8" t="s">
        <v>2664</v>
      </c>
      <c r="B894" s="8" t="s">
        <v>946</v>
      </c>
      <c r="C894" s="8" t="s">
        <v>123</v>
      </c>
      <c r="D894" s="9">
        <v>39706</v>
      </c>
      <c r="E894" s="9">
        <v>39955</v>
      </c>
      <c r="F894" s="17">
        <f>IF(MONTH(Table1[[#This Row],[Loss date]])&lt;Policy_Inception_Month,YEAR(Table1[[#This Row],[Loss date]])-1,YEAR(Table1[[#This Row],[Loss date]]))</f>
        <v>2008</v>
      </c>
      <c r="G894" s="10" t="s">
        <v>125</v>
      </c>
      <c r="H894" s="10" t="s">
        <v>2</v>
      </c>
      <c r="I894" s="11">
        <v>4805.0648048157791</v>
      </c>
      <c r="J894" s="11">
        <v>0</v>
      </c>
      <c r="K894" s="11">
        <v>4805.0648048157791</v>
      </c>
      <c r="L894" s="12">
        <v>0</v>
      </c>
      <c r="M894" s="12">
        <v>0</v>
      </c>
      <c r="N894" s="12">
        <v>4805.0648048157791</v>
      </c>
      <c r="O894" s="70">
        <f>IF(Table1[[#This Row],[Overall amount]]=0,0,1)</f>
        <v>1</v>
      </c>
      <c r="P894" s="70">
        <f>Table1[[#This Row],[Overall amount]]*Exchange_Rate</f>
        <v>4805.0648048157791</v>
      </c>
      <c r="Q894" s="70">
        <f>Table1[[#This Row],[Overall (destination currency)]]*(1+Claims_Inflation)^((Revalue_at_date-Table1[[#This Row],[Loss date]])/365.25)</f>
        <v>6774.9960000000001</v>
      </c>
      <c r="R894" s="70">
        <f>INT(Table1[[#This Row],[Reporting date]])-INT(Table1[[#This Row],[Loss date]])</f>
        <v>249</v>
      </c>
      <c r="S894" s="69" t="s">
        <v>9</v>
      </c>
      <c r="T894" s="70">
        <f>VLOOKUP(Table1[[#This Row],[Policy Year]],exposure_table,3,FALSE)</f>
        <v>601.98581780480015</v>
      </c>
      <c r="U894" s="17">
        <f>IF(MONTH(Table1[[#This Row],[Reporting date]])&lt;Policy_Inception_Month,YEAR(Table1[[#This Row],[Reporting date]])-1,YEAR(Table1[[#This Row],[Reporting date]]))</f>
        <v>2009</v>
      </c>
      <c r="V894" s="17">
        <f>Table1[[#This Row],[Reporting year]]-Table1[[#This Row],[Policy Year]]</f>
        <v>1</v>
      </c>
      <c r="W894" s="17">
        <f>INT(Table1[[#This Row],[Reporting date]])-INT(Table1[[#This Row],[Loss date]])</f>
        <v>249</v>
      </c>
      <c r="X894" s="17">
        <f>INT((YEAR(Table1[[#This Row],[Loss date]])*12+MONTH(Table1[[#This Row],[Loss date]])-Earliest_Month)/4)</f>
        <v>10</v>
      </c>
      <c r="Y894" s="17">
        <f>INT((YEAR(Table1[[#This Row],[Reporting date]])*12+MONTH(Table1[[#This Row],[Reporting date]])-Earliest_Month)/4)</f>
        <v>12</v>
      </c>
      <c r="Z894" s="17">
        <f>Table1[[#This Row],[Reporting third]]-Table1[[#This Row],[Policy third]]</f>
        <v>2</v>
      </c>
      <c r="AA894" s="71">
        <f>IF(Table1[[#This Row],[Overall amount]]=0,"N/A",Table1[[#This Row],[Outstanding]]/Table1[[#This Row],[Overall amount]])</f>
        <v>0</v>
      </c>
      <c r="AB894" s="17">
        <f>IF(MONTH(Table1[[#This Row],[Loss date]])&lt;Pol_Inc_Month_Shifted,YEAR(Table1[[#This Row],[Loss date]])-1,YEAR(Table1[[#This Row],[Loss date]]))</f>
        <v>2007</v>
      </c>
      <c r="AC894" s="17">
        <f>IF(MONTH(Table1[[#This Row],[Reporting date]])&lt;Pol_Inc_Month_Shifted,YEAR(Table1[[#This Row],[Reporting date]])-1,YEAR(Table1[[#This Row],[Reporting date]]))</f>
        <v>2008</v>
      </c>
      <c r="AD894" s="17">
        <f>Table1[[#This Row],[Reporting year (shifted)]]-Table1[[#This Row],[Policy Year (shifted)]]</f>
        <v>1</v>
      </c>
    </row>
    <row r="895" spans="1:30" ht="13.9">
      <c r="A895" s="8" t="s">
        <v>2665</v>
      </c>
      <c r="B895" s="8" t="s">
        <v>947</v>
      </c>
      <c r="C895" s="8" t="s">
        <v>123</v>
      </c>
      <c r="D895" s="9">
        <v>39179</v>
      </c>
      <c r="E895" s="9">
        <v>40061</v>
      </c>
      <c r="F895" s="17">
        <f>IF(MONTH(Table1[[#This Row],[Loss date]])&lt;Policy_Inception_Month,YEAR(Table1[[#This Row],[Loss date]])-1,YEAR(Table1[[#This Row],[Loss date]]))</f>
        <v>2007</v>
      </c>
      <c r="G895" s="10" t="s">
        <v>125</v>
      </c>
      <c r="H895" s="10" t="s">
        <v>2</v>
      </c>
      <c r="I895" s="11">
        <v>5009.8988745911056</v>
      </c>
      <c r="J895" s="11">
        <v>0</v>
      </c>
      <c r="K895" s="11">
        <v>5009.8988745911056</v>
      </c>
      <c r="L895" s="12">
        <v>0</v>
      </c>
      <c r="M895" s="12">
        <v>105.20787636641322</v>
      </c>
      <c r="N895" s="12">
        <v>4904.6909982246925</v>
      </c>
      <c r="O895" s="70">
        <f>IF(Table1[[#This Row],[Overall amount]]=0,0,1)</f>
        <v>1</v>
      </c>
      <c r="P895" s="70">
        <f>Table1[[#This Row],[Overall amount]]*Exchange_Rate</f>
        <v>4904.6909982246925</v>
      </c>
      <c r="Q895" s="70">
        <f>Table1[[#This Row],[Overall (destination currency)]]*(1+Claims_Inflation)^((Revalue_at_date-Table1[[#This Row],[Loss date]])/365.25)</f>
        <v>7419.8370839999989</v>
      </c>
      <c r="R895" s="70">
        <f>INT(Table1[[#This Row],[Reporting date]])-INT(Table1[[#This Row],[Loss date]])</f>
        <v>882</v>
      </c>
      <c r="S895" s="69" t="s">
        <v>9</v>
      </c>
      <c r="T895" s="70">
        <f>VLOOKUP(Table1[[#This Row],[Policy Year]],exposure_table,3,FALSE)</f>
        <v>547.7736362475523</v>
      </c>
      <c r="U895" s="17">
        <f>IF(MONTH(Table1[[#This Row],[Reporting date]])&lt;Policy_Inception_Month,YEAR(Table1[[#This Row],[Reporting date]])-1,YEAR(Table1[[#This Row],[Reporting date]]))</f>
        <v>2009</v>
      </c>
      <c r="V895" s="17">
        <f>Table1[[#This Row],[Reporting year]]-Table1[[#This Row],[Policy Year]]</f>
        <v>2</v>
      </c>
      <c r="W895" s="17">
        <f>INT(Table1[[#This Row],[Reporting date]])-INT(Table1[[#This Row],[Loss date]])</f>
        <v>882</v>
      </c>
      <c r="X895" s="17">
        <f>INT((YEAR(Table1[[#This Row],[Loss date]])*12+MONTH(Table1[[#This Row],[Loss date]])-Earliest_Month)/4)</f>
        <v>6</v>
      </c>
      <c r="Y895" s="17">
        <f>INT((YEAR(Table1[[#This Row],[Reporting date]])*12+MONTH(Table1[[#This Row],[Reporting date]])-Earliest_Month)/4)</f>
        <v>13</v>
      </c>
      <c r="Z895" s="17">
        <f>Table1[[#This Row],[Reporting third]]-Table1[[#This Row],[Policy third]]</f>
        <v>7</v>
      </c>
      <c r="AA895" s="71">
        <f>IF(Table1[[#This Row],[Overall amount]]=0,"N/A",Table1[[#This Row],[Outstanding]]/Table1[[#This Row],[Overall amount]])</f>
        <v>0</v>
      </c>
      <c r="AB895" s="17">
        <f>IF(MONTH(Table1[[#This Row],[Loss date]])&lt;Pol_Inc_Month_Shifted,YEAR(Table1[[#This Row],[Loss date]])-1,YEAR(Table1[[#This Row],[Loss date]]))</f>
        <v>2006</v>
      </c>
      <c r="AC895" s="17">
        <f>IF(MONTH(Table1[[#This Row],[Reporting date]])&lt;Pol_Inc_Month_Shifted,YEAR(Table1[[#This Row],[Reporting date]])-1,YEAR(Table1[[#This Row],[Reporting date]]))</f>
        <v>2008</v>
      </c>
      <c r="AD895" s="17">
        <f>Table1[[#This Row],[Reporting year (shifted)]]-Table1[[#This Row],[Policy Year (shifted)]]</f>
        <v>2</v>
      </c>
    </row>
    <row r="896" spans="1:30" ht="13.9">
      <c r="A896" s="8" t="s">
        <v>2666</v>
      </c>
      <c r="B896" s="8" t="s">
        <v>948</v>
      </c>
      <c r="C896" s="8" t="s">
        <v>123</v>
      </c>
      <c r="D896" s="9">
        <v>40073</v>
      </c>
      <c r="E896" s="9">
        <v>40166</v>
      </c>
      <c r="F896" s="17">
        <f>IF(MONTH(Table1[[#This Row],[Loss date]])&lt;Policy_Inception_Month,YEAR(Table1[[#This Row],[Loss date]])-1,YEAR(Table1[[#This Row],[Loss date]]))</f>
        <v>2009</v>
      </c>
      <c r="G896" s="10" t="s">
        <v>126</v>
      </c>
      <c r="H896" s="10" t="s">
        <v>2</v>
      </c>
      <c r="I896" s="11">
        <v>1101.6641124774505</v>
      </c>
      <c r="J896" s="11">
        <v>0</v>
      </c>
      <c r="K896" s="11">
        <v>1101.6641124774505</v>
      </c>
      <c r="L896" s="12">
        <v>0</v>
      </c>
      <c r="M896" s="12">
        <v>0</v>
      </c>
      <c r="N896" s="12">
        <v>1101.6641124774505</v>
      </c>
      <c r="O896" s="70">
        <f>IF(Table1[[#This Row],[Overall amount]]=0,0,1)</f>
        <v>1</v>
      </c>
      <c r="P896" s="70">
        <f>Table1[[#This Row],[Overall amount]]*Exchange_Rate</f>
        <v>1101.6641124774505</v>
      </c>
      <c r="Q896" s="70">
        <f>Table1[[#This Row],[Overall (destination currency)]]*(1+Claims_Inflation)^((Revalue_at_date-Table1[[#This Row],[Loss date]])/365.25)</f>
        <v>1479.0000000000002</v>
      </c>
      <c r="R896" s="70">
        <f>INT(Table1[[#This Row],[Reporting date]])-INT(Table1[[#This Row],[Loss date]])</f>
        <v>93</v>
      </c>
      <c r="S896" s="69" t="s">
        <v>9</v>
      </c>
      <c r="T896" s="70">
        <f>VLOOKUP(Table1[[#This Row],[Policy Year]],exposure_table,3,FALSE)</f>
        <v>760.22808576000011</v>
      </c>
      <c r="U896" s="17">
        <f>IF(MONTH(Table1[[#This Row],[Reporting date]])&lt;Policy_Inception_Month,YEAR(Table1[[#This Row],[Reporting date]])-1,YEAR(Table1[[#This Row],[Reporting date]]))</f>
        <v>2009</v>
      </c>
      <c r="V896" s="17">
        <f>Table1[[#This Row],[Reporting year]]-Table1[[#This Row],[Policy Year]]</f>
        <v>0</v>
      </c>
      <c r="W896" s="17">
        <f>INT(Table1[[#This Row],[Reporting date]])-INT(Table1[[#This Row],[Loss date]])</f>
        <v>93</v>
      </c>
      <c r="X896" s="17">
        <f>INT((YEAR(Table1[[#This Row],[Loss date]])*12+MONTH(Table1[[#This Row],[Loss date]])-Earliest_Month)/4)</f>
        <v>13</v>
      </c>
      <c r="Y896" s="17">
        <f>INT((YEAR(Table1[[#This Row],[Reporting date]])*12+MONTH(Table1[[#This Row],[Reporting date]])-Earliest_Month)/4)</f>
        <v>14</v>
      </c>
      <c r="Z896" s="17">
        <f>Table1[[#This Row],[Reporting third]]-Table1[[#This Row],[Policy third]]</f>
        <v>1</v>
      </c>
      <c r="AA896" s="71">
        <f>IF(Table1[[#This Row],[Overall amount]]=0,"N/A",Table1[[#This Row],[Outstanding]]/Table1[[#This Row],[Overall amount]])</f>
        <v>0</v>
      </c>
      <c r="AB896" s="17">
        <f>IF(MONTH(Table1[[#This Row],[Loss date]])&lt;Pol_Inc_Month_Shifted,YEAR(Table1[[#This Row],[Loss date]])-1,YEAR(Table1[[#This Row],[Loss date]]))</f>
        <v>2008</v>
      </c>
      <c r="AC896" s="17">
        <f>IF(MONTH(Table1[[#This Row],[Reporting date]])&lt;Pol_Inc_Month_Shifted,YEAR(Table1[[#This Row],[Reporting date]])-1,YEAR(Table1[[#This Row],[Reporting date]]))</f>
        <v>2009</v>
      </c>
      <c r="AD896" s="17">
        <f>Table1[[#This Row],[Reporting year (shifted)]]-Table1[[#This Row],[Policy Year (shifted)]]</f>
        <v>1</v>
      </c>
    </row>
    <row r="897" spans="1:30" ht="13.9">
      <c r="A897" s="8" t="s">
        <v>2667</v>
      </c>
      <c r="B897" s="8" t="s">
        <v>949</v>
      </c>
      <c r="C897" s="8" t="s">
        <v>123</v>
      </c>
      <c r="D897" s="9">
        <v>39972</v>
      </c>
      <c r="E897" s="9">
        <v>40008</v>
      </c>
      <c r="F897" s="17">
        <f>IF(MONTH(Table1[[#This Row],[Loss date]])&lt;Policy_Inception_Month,YEAR(Table1[[#This Row],[Loss date]])-1,YEAR(Table1[[#This Row],[Loss date]]))</f>
        <v>2009</v>
      </c>
      <c r="G897" s="10" t="s">
        <v>145</v>
      </c>
      <c r="H897" s="10" t="s">
        <v>2</v>
      </c>
      <c r="I897" s="11">
        <v>1010.1783132121685</v>
      </c>
      <c r="J897" s="11">
        <v>0</v>
      </c>
      <c r="K897" s="11">
        <v>1010.1783132121685</v>
      </c>
      <c r="L897" s="12">
        <v>0</v>
      </c>
      <c r="M897" s="12">
        <v>0</v>
      </c>
      <c r="N897" s="12">
        <v>1010.1783132121685</v>
      </c>
      <c r="O897" s="70">
        <f>IF(Table1[[#This Row],[Overall amount]]=0,0,1)</f>
        <v>1</v>
      </c>
      <c r="P897" s="70">
        <f>Table1[[#This Row],[Overall amount]]*Exchange_Rate</f>
        <v>1010.1783132121685</v>
      </c>
      <c r="Q897" s="70">
        <f>Table1[[#This Row],[Overall (destination currency)]]*(1+Claims_Inflation)^((Revalue_at_date-Table1[[#This Row],[Loss date]])/365.25)</f>
        <v>1374.6</v>
      </c>
      <c r="R897" s="70">
        <f>INT(Table1[[#This Row],[Reporting date]])-INT(Table1[[#This Row],[Loss date]])</f>
        <v>36</v>
      </c>
      <c r="S897" s="69" t="s">
        <v>9</v>
      </c>
      <c r="T897" s="70">
        <f>VLOOKUP(Table1[[#This Row],[Policy Year]],exposure_table,3,FALSE)</f>
        <v>760.22808576000011</v>
      </c>
      <c r="U897" s="17">
        <f>IF(MONTH(Table1[[#This Row],[Reporting date]])&lt;Policy_Inception_Month,YEAR(Table1[[#This Row],[Reporting date]])-1,YEAR(Table1[[#This Row],[Reporting date]]))</f>
        <v>2009</v>
      </c>
      <c r="V897" s="17">
        <f>Table1[[#This Row],[Reporting year]]-Table1[[#This Row],[Policy Year]]</f>
        <v>0</v>
      </c>
      <c r="W897" s="17">
        <f>INT(Table1[[#This Row],[Reporting date]])-INT(Table1[[#This Row],[Loss date]])</f>
        <v>36</v>
      </c>
      <c r="X897" s="17">
        <f>INT((YEAR(Table1[[#This Row],[Loss date]])*12+MONTH(Table1[[#This Row],[Loss date]])-Earliest_Month)/4)</f>
        <v>12</v>
      </c>
      <c r="Y897" s="17">
        <f>INT((YEAR(Table1[[#This Row],[Reporting date]])*12+MONTH(Table1[[#This Row],[Reporting date]])-Earliest_Month)/4)</f>
        <v>12</v>
      </c>
      <c r="Z897" s="17">
        <f>Table1[[#This Row],[Reporting third]]-Table1[[#This Row],[Policy third]]</f>
        <v>0</v>
      </c>
      <c r="AA897" s="71">
        <f>IF(Table1[[#This Row],[Overall amount]]=0,"N/A",Table1[[#This Row],[Outstanding]]/Table1[[#This Row],[Overall amount]])</f>
        <v>0</v>
      </c>
      <c r="AB897" s="17">
        <f>IF(MONTH(Table1[[#This Row],[Loss date]])&lt;Pol_Inc_Month_Shifted,YEAR(Table1[[#This Row],[Loss date]])-1,YEAR(Table1[[#This Row],[Loss date]]))</f>
        <v>2008</v>
      </c>
      <c r="AC897" s="17">
        <f>IF(MONTH(Table1[[#This Row],[Reporting date]])&lt;Pol_Inc_Month_Shifted,YEAR(Table1[[#This Row],[Reporting date]])-1,YEAR(Table1[[#This Row],[Reporting date]]))</f>
        <v>2008</v>
      </c>
      <c r="AD897" s="17">
        <f>Table1[[#This Row],[Reporting year (shifted)]]-Table1[[#This Row],[Policy Year (shifted)]]</f>
        <v>0</v>
      </c>
    </row>
    <row r="898" spans="1:30" ht="13.9">
      <c r="A898" s="8" t="s">
        <v>2668</v>
      </c>
      <c r="B898" s="8" t="s">
        <v>950</v>
      </c>
      <c r="C898" s="8" t="s">
        <v>123</v>
      </c>
      <c r="D898" s="9">
        <v>40032</v>
      </c>
      <c r="E898" s="9">
        <v>40209</v>
      </c>
      <c r="F898" s="17">
        <f>IF(MONTH(Table1[[#This Row],[Loss date]])&lt;Policy_Inception_Month,YEAR(Table1[[#This Row],[Loss date]])-1,YEAR(Table1[[#This Row],[Loss date]]))</f>
        <v>2009</v>
      </c>
      <c r="G898" s="10" t="s">
        <v>125</v>
      </c>
      <c r="H898" s="10" t="s">
        <v>2</v>
      </c>
      <c r="I898" s="11">
        <v>451.1487746475072</v>
      </c>
      <c r="J898" s="11">
        <v>0</v>
      </c>
      <c r="K898" s="11">
        <v>451.1487746475072</v>
      </c>
      <c r="L898" s="12">
        <v>0</v>
      </c>
      <c r="M898" s="12">
        <v>0</v>
      </c>
      <c r="N898" s="12">
        <v>451.1487746475072</v>
      </c>
      <c r="O898" s="70">
        <f>IF(Table1[[#This Row],[Overall amount]]=0,0,1)</f>
        <v>1</v>
      </c>
      <c r="P898" s="70">
        <f>Table1[[#This Row],[Overall amount]]*Exchange_Rate</f>
        <v>451.1487746475072</v>
      </c>
      <c r="Q898" s="70">
        <f>Table1[[#This Row],[Overall (destination currency)]]*(1+Claims_Inflation)^((Revalue_at_date-Table1[[#This Row],[Loss date]])/365.25)</f>
        <v>609</v>
      </c>
      <c r="R898" s="70">
        <f>INT(Table1[[#This Row],[Reporting date]])-INT(Table1[[#This Row],[Loss date]])</f>
        <v>177</v>
      </c>
      <c r="S898" s="69" t="s">
        <v>9</v>
      </c>
      <c r="T898" s="70">
        <f>VLOOKUP(Table1[[#This Row],[Policy Year]],exposure_table,3,FALSE)</f>
        <v>760.22808576000011</v>
      </c>
      <c r="U898" s="17">
        <f>IF(MONTH(Table1[[#This Row],[Reporting date]])&lt;Policy_Inception_Month,YEAR(Table1[[#This Row],[Reporting date]])-1,YEAR(Table1[[#This Row],[Reporting date]]))</f>
        <v>2009</v>
      </c>
      <c r="V898" s="17">
        <f>Table1[[#This Row],[Reporting year]]-Table1[[#This Row],[Policy Year]]</f>
        <v>0</v>
      </c>
      <c r="W898" s="17">
        <f>INT(Table1[[#This Row],[Reporting date]])-INT(Table1[[#This Row],[Loss date]])</f>
        <v>177</v>
      </c>
      <c r="X898" s="17">
        <f>INT((YEAR(Table1[[#This Row],[Loss date]])*12+MONTH(Table1[[#This Row],[Loss date]])-Earliest_Month)/4)</f>
        <v>13</v>
      </c>
      <c r="Y898" s="17">
        <f>INT((YEAR(Table1[[#This Row],[Reporting date]])*12+MONTH(Table1[[#This Row],[Reporting date]])-Earliest_Month)/4)</f>
        <v>14</v>
      </c>
      <c r="Z898" s="17">
        <f>Table1[[#This Row],[Reporting third]]-Table1[[#This Row],[Policy third]]</f>
        <v>1</v>
      </c>
      <c r="AA898" s="71">
        <f>IF(Table1[[#This Row],[Overall amount]]=0,"N/A",Table1[[#This Row],[Outstanding]]/Table1[[#This Row],[Overall amount]])</f>
        <v>0</v>
      </c>
      <c r="AB898" s="17">
        <f>IF(MONTH(Table1[[#This Row],[Loss date]])&lt;Pol_Inc_Month_Shifted,YEAR(Table1[[#This Row],[Loss date]])-1,YEAR(Table1[[#This Row],[Loss date]]))</f>
        <v>2008</v>
      </c>
      <c r="AC898" s="17">
        <f>IF(MONTH(Table1[[#This Row],[Reporting date]])&lt;Pol_Inc_Month_Shifted,YEAR(Table1[[#This Row],[Reporting date]])-1,YEAR(Table1[[#This Row],[Reporting date]]))</f>
        <v>2009</v>
      </c>
      <c r="AD898" s="17">
        <f>Table1[[#This Row],[Reporting year (shifted)]]-Table1[[#This Row],[Policy Year (shifted)]]</f>
        <v>1</v>
      </c>
    </row>
    <row r="899" spans="1:30" ht="13.9">
      <c r="A899" s="8" t="s">
        <v>2669</v>
      </c>
      <c r="B899" s="8" t="s">
        <v>951</v>
      </c>
      <c r="C899" s="8" t="s">
        <v>123</v>
      </c>
      <c r="D899" s="9">
        <v>40271</v>
      </c>
      <c r="E899" s="9">
        <v>40301</v>
      </c>
      <c r="F899" s="17">
        <f>IF(MONTH(Table1[[#This Row],[Loss date]])&lt;Policy_Inception_Month,YEAR(Table1[[#This Row],[Loss date]])-1,YEAR(Table1[[#This Row],[Loss date]]))</f>
        <v>2010</v>
      </c>
      <c r="G899" s="10" t="s">
        <v>125</v>
      </c>
      <c r="H899" s="10" t="s">
        <v>2</v>
      </c>
      <c r="I899" s="11">
        <v>1091.2662665710532</v>
      </c>
      <c r="J899" s="11">
        <v>0</v>
      </c>
      <c r="K899" s="11">
        <v>1091.2662665710532</v>
      </c>
      <c r="L899" s="12">
        <v>0</v>
      </c>
      <c r="M899" s="12">
        <v>78.571171193115831</v>
      </c>
      <c r="N899" s="12">
        <v>1012.6950953779374</v>
      </c>
      <c r="O899" s="70">
        <f>IF(Table1[[#This Row],[Overall amount]]=0,0,1)</f>
        <v>1</v>
      </c>
      <c r="P899" s="70">
        <f>Table1[[#This Row],[Overall amount]]*Exchange_Rate</f>
        <v>1012.6950953779374</v>
      </c>
      <c r="Q899" s="70">
        <f>Table1[[#This Row],[Overall (destination currency)]]*(1+Claims_Inflation)^((Revalue_at_date-Table1[[#This Row],[Loss date]])/365.25)</f>
        <v>1324.0704000000003</v>
      </c>
      <c r="R899" s="70">
        <f>INT(Table1[[#This Row],[Reporting date]])-INT(Table1[[#This Row],[Loss date]])</f>
        <v>30</v>
      </c>
      <c r="S899" s="69" t="s">
        <v>9</v>
      </c>
      <c r="T899" s="70">
        <f>VLOOKUP(Table1[[#This Row],[Policy Year]],exposure_table,3,FALSE)</f>
        <v>837.11513600000012</v>
      </c>
      <c r="U899" s="17">
        <f>IF(MONTH(Table1[[#This Row],[Reporting date]])&lt;Policy_Inception_Month,YEAR(Table1[[#This Row],[Reporting date]])-1,YEAR(Table1[[#This Row],[Reporting date]]))</f>
        <v>2010</v>
      </c>
      <c r="V899" s="17">
        <f>Table1[[#This Row],[Reporting year]]-Table1[[#This Row],[Policy Year]]</f>
        <v>0</v>
      </c>
      <c r="W899" s="17">
        <f>INT(Table1[[#This Row],[Reporting date]])-INT(Table1[[#This Row],[Loss date]])</f>
        <v>30</v>
      </c>
      <c r="X899" s="17">
        <f>INT((YEAR(Table1[[#This Row],[Loss date]])*12+MONTH(Table1[[#This Row],[Loss date]])-Earliest_Month)/4)</f>
        <v>15</v>
      </c>
      <c r="Y899" s="17">
        <f>INT((YEAR(Table1[[#This Row],[Reporting date]])*12+MONTH(Table1[[#This Row],[Reporting date]])-Earliest_Month)/4)</f>
        <v>15</v>
      </c>
      <c r="Z899" s="17">
        <f>Table1[[#This Row],[Reporting third]]-Table1[[#This Row],[Policy third]]</f>
        <v>0</v>
      </c>
      <c r="AA899" s="71">
        <f>IF(Table1[[#This Row],[Overall amount]]=0,"N/A",Table1[[#This Row],[Outstanding]]/Table1[[#This Row],[Overall amount]])</f>
        <v>0</v>
      </c>
      <c r="AB899" s="17">
        <f>IF(MONTH(Table1[[#This Row],[Loss date]])&lt;Pol_Inc_Month_Shifted,YEAR(Table1[[#This Row],[Loss date]])-1,YEAR(Table1[[#This Row],[Loss date]]))</f>
        <v>2009</v>
      </c>
      <c r="AC899" s="17">
        <f>IF(MONTH(Table1[[#This Row],[Reporting date]])&lt;Pol_Inc_Month_Shifted,YEAR(Table1[[#This Row],[Reporting date]])-1,YEAR(Table1[[#This Row],[Reporting date]]))</f>
        <v>2009</v>
      </c>
      <c r="AD899" s="17">
        <f>Table1[[#This Row],[Reporting year (shifted)]]-Table1[[#This Row],[Policy Year (shifted)]]</f>
        <v>0</v>
      </c>
    </row>
    <row r="900" spans="1:30" ht="13.9">
      <c r="A900" s="8" t="s">
        <v>2670</v>
      </c>
      <c r="B900" s="8" t="s">
        <v>952</v>
      </c>
      <c r="C900" s="8" t="s">
        <v>123</v>
      </c>
      <c r="D900" s="9">
        <v>40345</v>
      </c>
      <c r="E900" s="9">
        <v>40461</v>
      </c>
      <c r="F900" s="17">
        <f>IF(MONTH(Table1[[#This Row],[Loss date]])&lt;Policy_Inception_Month,YEAR(Table1[[#This Row],[Loss date]])-1,YEAR(Table1[[#This Row],[Loss date]]))</f>
        <v>2010</v>
      </c>
      <c r="G900" s="10" t="s">
        <v>125</v>
      </c>
      <c r="H900" s="10" t="s">
        <v>2</v>
      </c>
      <c r="I900" s="11">
        <v>766.0986658144576</v>
      </c>
      <c r="J900" s="11">
        <v>0</v>
      </c>
      <c r="K900" s="11">
        <v>766.0986658144576</v>
      </c>
      <c r="L900" s="12">
        <v>0</v>
      </c>
      <c r="M900" s="12">
        <v>0</v>
      </c>
      <c r="N900" s="12">
        <v>766.0986658144576</v>
      </c>
      <c r="O900" s="70">
        <f>IF(Table1[[#This Row],[Overall amount]]=0,0,1)</f>
        <v>1</v>
      </c>
      <c r="P900" s="70">
        <f>Table1[[#This Row],[Overall amount]]*Exchange_Rate</f>
        <v>766.0986658144576</v>
      </c>
      <c r="Q900" s="70">
        <f>Table1[[#This Row],[Overall (destination currency)]]*(1+Claims_Inflation)^((Revalue_at_date-Table1[[#This Row],[Loss date]])/365.25)</f>
        <v>991.8</v>
      </c>
      <c r="R900" s="70">
        <f>INT(Table1[[#This Row],[Reporting date]])-INT(Table1[[#This Row],[Loss date]])</f>
        <v>116</v>
      </c>
      <c r="S900" s="69" t="s">
        <v>9</v>
      </c>
      <c r="T900" s="70">
        <f>VLOOKUP(Table1[[#This Row],[Policy Year]],exposure_table,3,FALSE)</f>
        <v>837.11513600000012</v>
      </c>
      <c r="U900" s="17">
        <f>IF(MONTH(Table1[[#This Row],[Reporting date]])&lt;Policy_Inception_Month,YEAR(Table1[[#This Row],[Reporting date]])-1,YEAR(Table1[[#This Row],[Reporting date]]))</f>
        <v>2010</v>
      </c>
      <c r="V900" s="17">
        <f>Table1[[#This Row],[Reporting year]]-Table1[[#This Row],[Policy Year]]</f>
        <v>0</v>
      </c>
      <c r="W900" s="17">
        <f>INT(Table1[[#This Row],[Reporting date]])-INT(Table1[[#This Row],[Loss date]])</f>
        <v>116</v>
      </c>
      <c r="X900" s="17">
        <f>INT((YEAR(Table1[[#This Row],[Loss date]])*12+MONTH(Table1[[#This Row],[Loss date]])-Earliest_Month)/4)</f>
        <v>15</v>
      </c>
      <c r="Y900" s="17">
        <f>INT((YEAR(Table1[[#This Row],[Reporting date]])*12+MONTH(Table1[[#This Row],[Reporting date]])-Earliest_Month)/4)</f>
        <v>16</v>
      </c>
      <c r="Z900" s="17">
        <f>Table1[[#This Row],[Reporting third]]-Table1[[#This Row],[Policy third]]</f>
        <v>1</v>
      </c>
      <c r="AA900" s="71">
        <f>IF(Table1[[#This Row],[Overall amount]]=0,"N/A",Table1[[#This Row],[Outstanding]]/Table1[[#This Row],[Overall amount]])</f>
        <v>0</v>
      </c>
      <c r="AB900" s="17">
        <f>IF(MONTH(Table1[[#This Row],[Loss date]])&lt;Pol_Inc_Month_Shifted,YEAR(Table1[[#This Row],[Loss date]])-1,YEAR(Table1[[#This Row],[Loss date]]))</f>
        <v>2009</v>
      </c>
      <c r="AC900" s="17">
        <f>IF(MONTH(Table1[[#This Row],[Reporting date]])&lt;Pol_Inc_Month_Shifted,YEAR(Table1[[#This Row],[Reporting date]])-1,YEAR(Table1[[#This Row],[Reporting date]]))</f>
        <v>2009</v>
      </c>
      <c r="AD900" s="17">
        <f>Table1[[#This Row],[Reporting year (shifted)]]-Table1[[#This Row],[Policy Year (shifted)]]</f>
        <v>0</v>
      </c>
    </row>
    <row r="901" spans="1:30" ht="13.9">
      <c r="A901" s="8" t="s">
        <v>2671</v>
      </c>
      <c r="B901" s="8" t="s">
        <v>953</v>
      </c>
      <c r="C901" s="8" t="s">
        <v>123</v>
      </c>
      <c r="D901" s="9">
        <v>40414</v>
      </c>
      <c r="E901" s="9">
        <v>40467</v>
      </c>
      <c r="F901" s="17">
        <f>IF(MONTH(Table1[[#This Row],[Loss date]])&lt;Policy_Inception_Month,YEAR(Table1[[#This Row],[Loss date]])-1,YEAR(Table1[[#This Row],[Loss date]]))</f>
        <v>2010</v>
      </c>
      <c r="G901" s="10" t="s">
        <v>125</v>
      </c>
      <c r="H901" s="10" t="s">
        <v>2</v>
      </c>
      <c r="I901" s="11">
        <v>20940.951987418241</v>
      </c>
      <c r="J901" s="11">
        <v>0</v>
      </c>
      <c r="K901" s="11">
        <v>20940.951987418241</v>
      </c>
      <c r="L901" s="12">
        <v>0</v>
      </c>
      <c r="M901" s="12">
        <v>1707.5834611807966</v>
      </c>
      <c r="N901" s="12">
        <v>19233.368526237446</v>
      </c>
      <c r="O901" s="70">
        <f>IF(Table1[[#This Row],[Overall amount]]=0,0,1)</f>
        <v>1</v>
      </c>
      <c r="P901" s="70">
        <f>Table1[[#This Row],[Overall amount]]*Exchange_Rate</f>
        <v>19233.368526237446</v>
      </c>
      <c r="Q901" s="70">
        <f>Table1[[#This Row],[Overall (destination currency)]]*(1+Claims_Inflation)^((Revalue_at_date-Table1[[#This Row],[Loss date]])/365.25)</f>
        <v>24671.289216000008</v>
      </c>
      <c r="R901" s="70">
        <f>INT(Table1[[#This Row],[Reporting date]])-INT(Table1[[#This Row],[Loss date]])</f>
        <v>53</v>
      </c>
      <c r="S901" s="69" t="s">
        <v>9</v>
      </c>
      <c r="T901" s="70">
        <f>VLOOKUP(Table1[[#This Row],[Policy Year]],exposure_table,3,FALSE)</f>
        <v>837.11513600000012</v>
      </c>
      <c r="U901" s="17">
        <f>IF(MONTH(Table1[[#This Row],[Reporting date]])&lt;Policy_Inception_Month,YEAR(Table1[[#This Row],[Reporting date]])-1,YEAR(Table1[[#This Row],[Reporting date]]))</f>
        <v>2010</v>
      </c>
      <c r="V901" s="17">
        <f>Table1[[#This Row],[Reporting year]]-Table1[[#This Row],[Policy Year]]</f>
        <v>0</v>
      </c>
      <c r="W901" s="17">
        <f>INT(Table1[[#This Row],[Reporting date]])-INT(Table1[[#This Row],[Loss date]])</f>
        <v>53</v>
      </c>
      <c r="X901" s="17">
        <f>INT((YEAR(Table1[[#This Row],[Loss date]])*12+MONTH(Table1[[#This Row],[Loss date]])-Earliest_Month)/4)</f>
        <v>16</v>
      </c>
      <c r="Y901" s="17">
        <f>INT((YEAR(Table1[[#This Row],[Reporting date]])*12+MONTH(Table1[[#This Row],[Reporting date]])-Earliest_Month)/4)</f>
        <v>16</v>
      </c>
      <c r="Z901" s="17">
        <f>Table1[[#This Row],[Reporting third]]-Table1[[#This Row],[Policy third]]</f>
        <v>0</v>
      </c>
      <c r="AA901" s="71">
        <f>IF(Table1[[#This Row],[Overall amount]]=0,"N/A",Table1[[#This Row],[Outstanding]]/Table1[[#This Row],[Overall amount]])</f>
        <v>0</v>
      </c>
      <c r="AB901" s="17">
        <f>IF(MONTH(Table1[[#This Row],[Loss date]])&lt;Pol_Inc_Month_Shifted,YEAR(Table1[[#This Row],[Loss date]])-1,YEAR(Table1[[#This Row],[Loss date]]))</f>
        <v>2009</v>
      </c>
      <c r="AC901" s="17">
        <f>IF(MONTH(Table1[[#This Row],[Reporting date]])&lt;Pol_Inc_Month_Shifted,YEAR(Table1[[#This Row],[Reporting date]])-1,YEAR(Table1[[#This Row],[Reporting date]]))</f>
        <v>2009</v>
      </c>
      <c r="AD901" s="17">
        <f>Table1[[#This Row],[Reporting year (shifted)]]-Table1[[#This Row],[Policy Year (shifted)]]</f>
        <v>0</v>
      </c>
    </row>
    <row r="902" spans="1:30" ht="13.9">
      <c r="A902" s="8" t="s">
        <v>2672</v>
      </c>
      <c r="B902" s="8" t="s">
        <v>954</v>
      </c>
      <c r="C902" s="8" t="s">
        <v>123</v>
      </c>
      <c r="D902" s="9">
        <v>40442</v>
      </c>
      <c r="E902" s="9">
        <v>40576</v>
      </c>
      <c r="F902" s="17">
        <f>IF(MONTH(Table1[[#This Row],[Loss date]])&lt;Policy_Inception_Month,YEAR(Table1[[#This Row],[Loss date]])-1,YEAR(Table1[[#This Row],[Loss date]]))</f>
        <v>2010</v>
      </c>
      <c r="G902" s="10" t="s">
        <v>125</v>
      </c>
      <c r="H902" s="10" t="s">
        <v>2</v>
      </c>
      <c r="I902" s="11">
        <v>1375.176678592866</v>
      </c>
      <c r="J902" s="11">
        <v>0</v>
      </c>
      <c r="K902" s="11">
        <v>1375.176678592866</v>
      </c>
      <c r="L902" s="12">
        <v>0</v>
      </c>
      <c r="M902" s="12">
        <v>0</v>
      </c>
      <c r="N902" s="12">
        <v>1375.176678592866</v>
      </c>
      <c r="O902" s="70">
        <f>IF(Table1[[#This Row],[Overall amount]]=0,0,1)</f>
        <v>1</v>
      </c>
      <c r="P902" s="70">
        <f>Table1[[#This Row],[Overall amount]]*Exchange_Rate</f>
        <v>1375.176678592866</v>
      </c>
      <c r="Q902" s="70">
        <f>Table1[[#This Row],[Overall (destination currency)]]*(1+Claims_Inflation)^((Revalue_at_date-Table1[[#This Row],[Loss date]])/365.25)</f>
        <v>1757.3999999999999</v>
      </c>
      <c r="R902" s="70">
        <f>INT(Table1[[#This Row],[Reporting date]])-INT(Table1[[#This Row],[Loss date]])</f>
        <v>134</v>
      </c>
      <c r="S902" s="69" t="s">
        <v>9</v>
      </c>
      <c r="T902" s="70">
        <f>VLOOKUP(Table1[[#This Row],[Policy Year]],exposure_table,3,FALSE)</f>
        <v>837.11513600000012</v>
      </c>
      <c r="U902" s="17">
        <f>IF(MONTH(Table1[[#This Row],[Reporting date]])&lt;Policy_Inception_Month,YEAR(Table1[[#This Row],[Reporting date]])-1,YEAR(Table1[[#This Row],[Reporting date]]))</f>
        <v>2010</v>
      </c>
      <c r="V902" s="17">
        <f>Table1[[#This Row],[Reporting year]]-Table1[[#This Row],[Policy Year]]</f>
        <v>0</v>
      </c>
      <c r="W902" s="17">
        <f>INT(Table1[[#This Row],[Reporting date]])-INT(Table1[[#This Row],[Loss date]])</f>
        <v>134</v>
      </c>
      <c r="X902" s="17">
        <f>INT((YEAR(Table1[[#This Row],[Loss date]])*12+MONTH(Table1[[#This Row],[Loss date]])-Earliest_Month)/4)</f>
        <v>16</v>
      </c>
      <c r="Y902" s="17">
        <f>INT((YEAR(Table1[[#This Row],[Reporting date]])*12+MONTH(Table1[[#This Row],[Reporting date]])-Earliest_Month)/4)</f>
        <v>17</v>
      </c>
      <c r="Z902" s="17">
        <f>Table1[[#This Row],[Reporting third]]-Table1[[#This Row],[Policy third]]</f>
        <v>1</v>
      </c>
      <c r="AA902" s="71">
        <f>IF(Table1[[#This Row],[Overall amount]]=0,"N/A",Table1[[#This Row],[Outstanding]]/Table1[[#This Row],[Overall amount]])</f>
        <v>0</v>
      </c>
      <c r="AB902" s="17">
        <f>IF(MONTH(Table1[[#This Row],[Loss date]])&lt;Pol_Inc_Month_Shifted,YEAR(Table1[[#This Row],[Loss date]])-1,YEAR(Table1[[#This Row],[Loss date]]))</f>
        <v>2009</v>
      </c>
      <c r="AC902" s="17">
        <f>IF(MONTH(Table1[[#This Row],[Reporting date]])&lt;Pol_Inc_Month_Shifted,YEAR(Table1[[#This Row],[Reporting date]])-1,YEAR(Table1[[#This Row],[Reporting date]]))</f>
        <v>2010</v>
      </c>
      <c r="AD902" s="17">
        <f>Table1[[#This Row],[Reporting year (shifted)]]-Table1[[#This Row],[Policy Year (shifted)]]</f>
        <v>1</v>
      </c>
    </row>
    <row r="903" spans="1:30" ht="13.9">
      <c r="A903" s="8" t="s">
        <v>2673</v>
      </c>
      <c r="B903" s="8" t="s">
        <v>955</v>
      </c>
      <c r="C903" s="8" t="s">
        <v>123</v>
      </c>
      <c r="D903" s="9">
        <v>39907</v>
      </c>
      <c r="E903" s="9">
        <v>40579</v>
      </c>
      <c r="F903" s="17">
        <f>IF(MONTH(Table1[[#This Row],[Loss date]])&lt;Policy_Inception_Month,YEAR(Table1[[#This Row],[Loss date]])-1,YEAR(Table1[[#This Row],[Loss date]]))</f>
        <v>2009</v>
      </c>
      <c r="G903" s="10" t="s">
        <v>124</v>
      </c>
      <c r="H903" s="10" t="s">
        <v>2</v>
      </c>
      <c r="I903" s="11">
        <v>874.67997955532712</v>
      </c>
      <c r="J903" s="11">
        <v>0</v>
      </c>
      <c r="K903" s="11">
        <v>874.67997955532712</v>
      </c>
      <c r="L903" s="12">
        <v>0</v>
      </c>
      <c r="M903" s="12">
        <v>0</v>
      </c>
      <c r="N903" s="12">
        <v>874.67997955532712</v>
      </c>
      <c r="O903" s="70">
        <f>IF(Table1[[#This Row],[Overall amount]]=0,0,1)</f>
        <v>1</v>
      </c>
      <c r="P903" s="70">
        <f>Table1[[#This Row],[Overall amount]]*Exchange_Rate</f>
        <v>874.67997955532712</v>
      </c>
      <c r="Q903" s="70">
        <f>Table1[[#This Row],[Overall (destination currency)]]*(1+Claims_Inflation)^((Revalue_at_date-Table1[[#This Row],[Loss date]])/365.25)</f>
        <v>1200.5999999999999</v>
      </c>
      <c r="R903" s="70">
        <f>INT(Table1[[#This Row],[Reporting date]])-INT(Table1[[#This Row],[Loss date]])</f>
        <v>672</v>
      </c>
      <c r="S903" s="69" t="s">
        <v>9</v>
      </c>
      <c r="T903" s="70">
        <f>VLOOKUP(Table1[[#This Row],[Policy Year]],exposure_table,3,FALSE)</f>
        <v>760.22808576000011</v>
      </c>
      <c r="U903" s="17">
        <f>IF(MONTH(Table1[[#This Row],[Reporting date]])&lt;Policy_Inception_Month,YEAR(Table1[[#This Row],[Reporting date]])-1,YEAR(Table1[[#This Row],[Reporting date]]))</f>
        <v>2010</v>
      </c>
      <c r="V903" s="17">
        <f>Table1[[#This Row],[Reporting year]]-Table1[[#This Row],[Policy Year]]</f>
        <v>1</v>
      </c>
      <c r="W903" s="17">
        <f>INT(Table1[[#This Row],[Reporting date]])-INT(Table1[[#This Row],[Loss date]])</f>
        <v>672</v>
      </c>
      <c r="X903" s="17">
        <f>INT((YEAR(Table1[[#This Row],[Loss date]])*12+MONTH(Table1[[#This Row],[Loss date]])-Earliest_Month)/4)</f>
        <v>12</v>
      </c>
      <c r="Y903" s="17">
        <f>INT((YEAR(Table1[[#This Row],[Reporting date]])*12+MONTH(Table1[[#This Row],[Reporting date]])-Earliest_Month)/4)</f>
        <v>17</v>
      </c>
      <c r="Z903" s="17">
        <f>Table1[[#This Row],[Reporting third]]-Table1[[#This Row],[Policy third]]</f>
        <v>5</v>
      </c>
      <c r="AA903" s="71">
        <f>IF(Table1[[#This Row],[Overall amount]]=0,"N/A",Table1[[#This Row],[Outstanding]]/Table1[[#This Row],[Overall amount]])</f>
        <v>0</v>
      </c>
      <c r="AB903" s="17">
        <f>IF(MONTH(Table1[[#This Row],[Loss date]])&lt;Pol_Inc_Month_Shifted,YEAR(Table1[[#This Row],[Loss date]])-1,YEAR(Table1[[#This Row],[Loss date]]))</f>
        <v>2008</v>
      </c>
      <c r="AC903" s="17">
        <f>IF(MONTH(Table1[[#This Row],[Reporting date]])&lt;Pol_Inc_Month_Shifted,YEAR(Table1[[#This Row],[Reporting date]])-1,YEAR(Table1[[#This Row],[Reporting date]]))</f>
        <v>2010</v>
      </c>
      <c r="AD903" s="17">
        <f>Table1[[#This Row],[Reporting year (shifted)]]-Table1[[#This Row],[Policy Year (shifted)]]</f>
        <v>2</v>
      </c>
    </row>
    <row r="904" spans="1:30" ht="13.9">
      <c r="A904" s="8" t="s">
        <v>2674</v>
      </c>
      <c r="B904" s="8" t="s">
        <v>956</v>
      </c>
      <c r="C904" s="8" t="s">
        <v>118</v>
      </c>
      <c r="D904" s="9">
        <v>40468</v>
      </c>
      <c r="E904" s="9">
        <v>40620</v>
      </c>
      <c r="F904" s="17">
        <f>IF(MONTH(Table1[[#This Row],[Loss date]])&lt;Policy_Inception_Month,YEAR(Table1[[#This Row],[Loss date]])-1,YEAR(Table1[[#This Row],[Loss date]]))</f>
        <v>2010</v>
      </c>
      <c r="G904" s="10" t="s">
        <v>125</v>
      </c>
      <c r="H904" s="10" t="s">
        <v>2</v>
      </c>
      <c r="I904" s="11">
        <v>2369.7262812978656</v>
      </c>
      <c r="J904" s="11">
        <v>0</v>
      </c>
      <c r="K904" s="11">
        <v>2369.7262812978656</v>
      </c>
      <c r="L904" s="12">
        <v>0</v>
      </c>
      <c r="M904" s="12">
        <v>0</v>
      </c>
      <c r="N904" s="12">
        <v>2369.7262812978656</v>
      </c>
      <c r="O904" s="70">
        <f>IF(Table1[[#This Row],[Overall amount]]=0,0,1)</f>
        <v>1</v>
      </c>
      <c r="P904" s="70">
        <f>Table1[[#This Row],[Overall amount]]*Exchange_Rate</f>
        <v>2369.7262812978656</v>
      </c>
      <c r="Q904" s="70">
        <f>Table1[[#This Row],[Overall (destination currency)]]*(1+Claims_Inflation)^((Revalue_at_date-Table1[[#This Row],[Loss date]])/365.25)</f>
        <v>3017.88</v>
      </c>
      <c r="R904" s="70">
        <f>INT(Table1[[#This Row],[Reporting date]])-INT(Table1[[#This Row],[Loss date]])</f>
        <v>152</v>
      </c>
      <c r="S904" s="69" t="s">
        <v>9</v>
      </c>
      <c r="T904" s="70">
        <f>VLOOKUP(Table1[[#This Row],[Policy Year]],exposure_table,3,FALSE)</f>
        <v>837.11513600000012</v>
      </c>
      <c r="U904" s="17">
        <f>IF(MONTH(Table1[[#This Row],[Reporting date]])&lt;Policy_Inception_Month,YEAR(Table1[[#This Row],[Reporting date]])-1,YEAR(Table1[[#This Row],[Reporting date]]))</f>
        <v>2010</v>
      </c>
      <c r="V904" s="17">
        <f>Table1[[#This Row],[Reporting year]]-Table1[[#This Row],[Policy Year]]</f>
        <v>0</v>
      </c>
      <c r="W904" s="17">
        <f>INT(Table1[[#This Row],[Reporting date]])-INT(Table1[[#This Row],[Loss date]])</f>
        <v>152</v>
      </c>
      <c r="X904" s="17">
        <f>INT((YEAR(Table1[[#This Row],[Loss date]])*12+MONTH(Table1[[#This Row],[Loss date]])-Earliest_Month)/4)</f>
        <v>16</v>
      </c>
      <c r="Y904" s="17">
        <f>INT((YEAR(Table1[[#This Row],[Reporting date]])*12+MONTH(Table1[[#This Row],[Reporting date]])-Earliest_Month)/4)</f>
        <v>17</v>
      </c>
      <c r="Z904" s="17">
        <f>Table1[[#This Row],[Reporting third]]-Table1[[#This Row],[Policy third]]</f>
        <v>1</v>
      </c>
      <c r="AA904" s="71">
        <f>IF(Table1[[#This Row],[Overall amount]]=0,"N/A",Table1[[#This Row],[Outstanding]]/Table1[[#This Row],[Overall amount]])</f>
        <v>0</v>
      </c>
      <c r="AB904" s="17">
        <f>IF(MONTH(Table1[[#This Row],[Loss date]])&lt;Pol_Inc_Month_Shifted,YEAR(Table1[[#This Row],[Loss date]])-1,YEAR(Table1[[#This Row],[Loss date]]))</f>
        <v>2009</v>
      </c>
      <c r="AC904" s="17">
        <f>IF(MONTH(Table1[[#This Row],[Reporting date]])&lt;Pol_Inc_Month_Shifted,YEAR(Table1[[#This Row],[Reporting date]])-1,YEAR(Table1[[#This Row],[Reporting date]]))</f>
        <v>2010</v>
      </c>
      <c r="AD904" s="17">
        <f>Table1[[#This Row],[Reporting year (shifted)]]-Table1[[#This Row],[Policy Year (shifted)]]</f>
        <v>1</v>
      </c>
    </row>
    <row r="905" spans="1:30" ht="13.9">
      <c r="A905" s="8" t="s">
        <v>2675</v>
      </c>
      <c r="B905" s="8" t="s">
        <v>957</v>
      </c>
      <c r="C905" s="8" t="s">
        <v>118</v>
      </c>
      <c r="D905" s="9">
        <v>40176</v>
      </c>
      <c r="E905" s="9">
        <v>40201</v>
      </c>
      <c r="F905" s="17">
        <f>IF(MONTH(Table1[[#This Row],[Loss date]])&lt;Policy_Inception_Month,YEAR(Table1[[#This Row],[Loss date]])-1,YEAR(Table1[[#This Row],[Loss date]]))</f>
        <v>2009</v>
      </c>
      <c r="G905" s="10" t="s">
        <v>126</v>
      </c>
      <c r="H905" s="10" t="s">
        <v>2</v>
      </c>
      <c r="I905" s="11">
        <v>262.80621137677406</v>
      </c>
      <c r="J905" s="11">
        <v>0</v>
      </c>
      <c r="K905" s="11">
        <v>262.80621137677406</v>
      </c>
      <c r="L905" s="12">
        <v>0</v>
      </c>
      <c r="M905" s="12">
        <v>0</v>
      </c>
      <c r="N905" s="12">
        <v>262.80621137677406</v>
      </c>
      <c r="O905" s="70">
        <f>IF(Table1[[#This Row],[Overall amount]]=0,0,1)</f>
        <v>1</v>
      </c>
      <c r="P905" s="70">
        <f>Table1[[#This Row],[Overall amount]]*Exchange_Rate</f>
        <v>262.80621137677406</v>
      </c>
      <c r="Q905" s="70">
        <f>Table1[[#This Row],[Overall (destination currency)]]*(1+Claims_Inflation)^((Revalue_at_date-Table1[[#This Row],[Loss date]])/365.25)</f>
        <v>348</v>
      </c>
      <c r="R905" s="70">
        <f>INT(Table1[[#This Row],[Reporting date]])-INT(Table1[[#This Row],[Loss date]])</f>
        <v>25</v>
      </c>
      <c r="S905" s="69" t="s">
        <v>9</v>
      </c>
      <c r="T905" s="70">
        <f>VLOOKUP(Table1[[#This Row],[Policy Year]],exposure_table,3,FALSE)</f>
        <v>760.22808576000011</v>
      </c>
      <c r="U905" s="17">
        <f>IF(MONTH(Table1[[#This Row],[Reporting date]])&lt;Policy_Inception_Month,YEAR(Table1[[#This Row],[Reporting date]])-1,YEAR(Table1[[#This Row],[Reporting date]]))</f>
        <v>2009</v>
      </c>
      <c r="V905" s="17">
        <f>Table1[[#This Row],[Reporting year]]-Table1[[#This Row],[Policy Year]]</f>
        <v>0</v>
      </c>
      <c r="W905" s="17">
        <f>INT(Table1[[#This Row],[Reporting date]])-INT(Table1[[#This Row],[Loss date]])</f>
        <v>25</v>
      </c>
      <c r="X905" s="17">
        <f>INT((YEAR(Table1[[#This Row],[Loss date]])*12+MONTH(Table1[[#This Row],[Loss date]])-Earliest_Month)/4)</f>
        <v>14</v>
      </c>
      <c r="Y905" s="17">
        <f>INT((YEAR(Table1[[#This Row],[Reporting date]])*12+MONTH(Table1[[#This Row],[Reporting date]])-Earliest_Month)/4)</f>
        <v>14</v>
      </c>
      <c r="Z905" s="17">
        <f>Table1[[#This Row],[Reporting third]]-Table1[[#This Row],[Policy third]]</f>
        <v>0</v>
      </c>
      <c r="AA905" s="71">
        <f>IF(Table1[[#This Row],[Overall amount]]=0,"N/A",Table1[[#This Row],[Outstanding]]/Table1[[#This Row],[Overall amount]])</f>
        <v>0</v>
      </c>
      <c r="AB905" s="17">
        <f>IF(MONTH(Table1[[#This Row],[Loss date]])&lt;Pol_Inc_Month_Shifted,YEAR(Table1[[#This Row],[Loss date]])-1,YEAR(Table1[[#This Row],[Loss date]]))</f>
        <v>2009</v>
      </c>
      <c r="AC905" s="17">
        <f>IF(MONTH(Table1[[#This Row],[Reporting date]])&lt;Pol_Inc_Month_Shifted,YEAR(Table1[[#This Row],[Reporting date]])-1,YEAR(Table1[[#This Row],[Reporting date]]))</f>
        <v>2009</v>
      </c>
      <c r="AD905" s="17">
        <f>Table1[[#This Row],[Reporting year (shifted)]]-Table1[[#This Row],[Policy Year (shifted)]]</f>
        <v>0</v>
      </c>
    </row>
    <row r="906" spans="1:30" ht="13.9">
      <c r="A906" s="8" t="s">
        <v>2676</v>
      </c>
      <c r="B906" s="8" t="s">
        <v>958</v>
      </c>
      <c r="C906" s="8" t="s">
        <v>118</v>
      </c>
      <c r="D906" s="9">
        <v>40843</v>
      </c>
      <c r="E906" s="9">
        <v>40945</v>
      </c>
      <c r="F906" s="17">
        <f>IF(MONTH(Table1[[#This Row],[Loss date]])&lt;Policy_Inception_Month,YEAR(Table1[[#This Row],[Loss date]])-1,YEAR(Table1[[#This Row],[Loss date]]))</f>
        <v>2011</v>
      </c>
      <c r="G906" s="10" t="s">
        <v>131</v>
      </c>
      <c r="H906" s="10" t="s">
        <v>2</v>
      </c>
      <c r="I906" s="11">
        <v>0</v>
      </c>
      <c r="J906" s="11">
        <v>0</v>
      </c>
      <c r="K906" s="11">
        <v>0</v>
      </c>
      <c r="L906" s="12">
        <v>0</v>
      </c>
      <c r="M906" s="12">
        <v>0</v>
      </c>
      <c r="N906" s="12">
        <v>0</v>
      </c>
      <c r="O906" s="70">
        <f>IF(Table1[[#This Row],[Overall amount]]=0,0,1)</f>
        <v>0</v>
      </c>
      <c r="P906" s="70">
        <f>Table1[[#This Row],[Overall amount]]*Exchange_Rate</f>
        <v>0</v>
      </c>
      <c r="Q906" s="70">
        <f>Table1[[#This Row],[Overall (destination currency)]]*(1+Claims_Inflation)^((Revalue_at_date-Table1[[#This Row],[Loss date]])/365.25)</f>
        <v>0</v>
      </c>
      <c r="R906" s="70">
        <f>INT(Table1[[#This Row],[Reporting date]])-INT(Table1[[#This Row],[Loss date]])</f>
        <v>102</v>
      </c>
      <c r="S906" s="69" t="s">
        <v>9</v>
      </c>
      <c r="T906" s="70">
        <f>VLOOKUP(Table1[[#This Row],[Policy Year]],exposure_table,3,FALSE)</f>
        <v>870.52680000000009</v>
      </c>
      <c r="U906" s="17">
        <f>IF(MONTH(Table1[[#This Row],[Reporting date]])&lt;Policy_Inception_Month,YEAR(Table1[[#This Row],[Reporting date]])-1,YEAR(Table1[[#This Row],[Reporting date]]))</f>
        <v>2011</v>
      </c>
      <c r="V906" s="17">
        <f>Table1[[#This Row],[Reporting year]]-Table1[[#This Row],[Policy Year]]</f>
        <v>0</v>
      </c>
      <c r="W906" s="17">
        <f>INT(Table1[[#This Row],[Reporting date]])-INT(Table1[[#This Row],[Loss date]])</f>
        <v>102</v>
      </c>
      <c r="X906" s="17">
        <f>INT((YEAR(Table1[[#This Row],[Loss date]])*12+MONTH(Table1[[#This Row],[Loss date]])-Earliest_Month)/4)</f>
        <v>19</v>
      </c>
      <c r="Y906" s="17">
        <f>INT((YEAR(Table1[[#This Row],[Reporting date]])*12+MONTH(Table1[[#This Row],[Reporting date]])-Earliest_Month)/4)</f>
        <v>20</v>
      </c>
      <c r="Z906" s="17">
        <f>Table1[[#This Row],[Reporting third]]-Table1[[#This Row],[Policy third]]</f>
        <v>1</v>
      </c>
      <c r="AA906" s="71" t="str">
        <f>IF(Table1[[#This Row],[Overall amount]]=0,"N/A",Table1[[#This Row],[Outstanding]]/Table1[[#This Row],[Overall amount]])</f>
        <v>N/A</v>
      </c>
      <c r="AB906" s="17">
        <f>IF(MONTH(Table1[[#This Row],[Loss date]])&lt;Pol_Inc_Month_Shifted,YEAR(Table1[[#This Row],[Loss date]])-1,YEAR(Table1[[#This Row],[Loss date]]))</f>
        <v>2010</v>
      </c>
      <c r="AC906" s="17">
        <f>IF(MONTH(Table1[[#This Row],[Reporting date]])&lt;Pol_Inc_Month_Shifted,YEAR(Table1[[#This Row],[Reporting date]])-1,YEAR(Table1[[#This Row],[Reporting date]]))</f>
        <v>2011</v>
      </c>
      <c r="AD906" s="17">
        <f>Table1[[#This Row],[Reporting year (shifted)]]-Table1[[#This Row],[Policy Year (shifted)]]</f>
        <v>1</v>
      </c>
    </row>
    <row r="907" spans="1:30" ht="13.9">
      <c r="A907" s="8" t="s">
        <v>2677</v>
      </c>
      <c r="B907" s="8" t="s">
        <v>959</v>
      </c>
      <c r="C907" s="8" t="s">
        <v>118</v>
      </c>
      <c r="D907" s="9">
        <v>39033</v>
      </c>
      <c r="E907" s="9">
        <v>39087</v>
      </c>
      <c r="F907" s="17">
        <f>IF(MONTH(Table1[[#This Row],[Loss date]])&lt;Policy_Inception_Month,YEAR(Table1[[#This Row],[Loss date]])-1,YEAR(Table1[[#This Row],[Loss date]]))</f>
        <v>2006</v>
      </c>
      <c r="G907" s="10" t="s">
        <v>131</v>
      </c>
      <c r="H907" s="10" t="s">
        <v>2</v>
      </c>
      <c r="I907" s="11">
        <v>558.14946777253681</v>
      </c>
      <c r="J907" s="11">
        <v>0</v>
      </c>
      <c r="K907" s="11">
        <v>558.14946777253681</v>
      </c>
      <c r="L907" s="12">
        <v>0</v>
      </c>
      <c r="M907" s="12">
        <v>0</v>
      </c>
      <c r="N907" s="12">
        <v>558.14946777253681</v>
      </c>
      <c r="O907" s="70">
        <f>IF(Table1[[#This Row],[Overall amount]]=0,0,1)</f>
        <v>1</v>
      </c>
      <c r="P907" s="70">
        <f>Table1[[#This Row],[Overall amount]]*Exchange_Rate</f>
        <v>558.14946777253681</v>
      </c>
      <c r="Q907" s="70">
        <f>Table1[[#This Row],[Overall (destination currency)]]*(1+Claims_Inflation)^((Revalue_at_date-Table1[[#This Row],[Loss date]])/365.25)</f>
        <v>861</v>
      </c>
      <c r="R907" s="70">
        <f>INT(Table1[[#This Row],[Reporting date]])-INT(Table1[[#This Row],[Loss date]])</f>
        <v>54</v>
      </c>
      <c r="S907" s="69" t="s">
        <v>9</v>
      </c>
      <c r="T907" s="70">
        <f>VLOOKUP(Table1[[#This Row],[Policy Year]],exposure_table,3,FALSE)</f>
        <v>483.32023209000977</v>
      </c>
      <c r="U907" s="17">
        <f>IF(MONTH(Table1[[#This Row],[Reporting date]])&lt;Policy_Inception_Month,YEAR(Table1[[#This Row],[Reporting date]])-1,YEAR(Table1[[#This Row],[Reporting date]]))</f>
        <v>2006</v>
      </c>
      <c r="V907" s="17">
        <f>Table1[[#This Row],[Reporting year]]-Table1[[#This Row],[Policy Year]]</f>
        <v>0</v>
      </c>
      <c r="W907" s="17">
        <f>INT(Table1[[#This Row],[Reporting date]])-INT(Table1[[#This Row],[Loss date]])</f>
        <v>54</v>
      </c>
      <c r="X907" s="17">
        <f>INT((YEAR(Table1[[#This Row],[Loss date]])*12+MONTH(Table1[[#This Row],[Loss date]])-Earliest_Month)/4)</f>
        <v>4</v>
      </c>
      <c r="Y907" s="17">
        <f>INT((YEAR(Table1[[#This Row],[Reporting date]])*12+MONTH(Table1[[#This Row],[Reporting date]])-Earliest_Month)/4)</f>
        <v>5</v>
      </c>
      <c r="Z907" s="17">
        <f>Table1[[#This Row],[Reporting third]]-Table1[[#This Row],[Policy third]]</f>
        <v>1</v>
      </c>
      <c r="AA907" s="71">
        <f>IF(Table1[[#This Row],[Overall amount]]=0,"N/A",Table1[[#This Row],[Outstanding]]/Table1[[#This Row],[Overall amount]])</f>
        <v>0</v>
      </c>
      <c r="AB907" s="17">
        <f>IF(MONTH(Table1[[#This Row],[Loss date]])&lt;Pol_Inc_Month_Shifted,YEAR(Table1[[#This Row],[Loss date]])-1,YEAR(Table1[[#This Row],[Loss date]]))</f>
        <v>2005</v>
      </c>
      <c r="AC907" s="17">
        <f>IF(MONTH(Table1[[#This Row],[Reporting date]])&lt;Pol_Inc_Month_Shifted,YEAR(Table1[[#This Row],[Reporting date]])-1,YEAR(Table1[[#This Row],[Reporting date]]))</f>
        <v>2006</v>
      </c>
      <c r="AD907" s="17">
        <f>Table1[[#This Row],[Reporting year (shifted)]]-Table1[[#This Row],[Policy Year (shifted)]]</f>
        <v>1</v>
      </c>
    </row>
    <row r="908" spans="1:30" ht="13.9">
      <c r="A908" s="8" t="s">
        <v>2678</v>
      </c>
      <c r="B908" s="8" t="s">
        <v>960</v>
      </c>
      <c r="C908" s="8" t="s">
        <v>118</v>
      </c>
      <c r="D908" s="9">
        <v>39122</v>
      </c>
      <c r="E908" s="9">
        <v>39349</v>
      </c>
      <c r="F908" s="17">
        <f>IF(MONTH(Table1[[#This Row],[Loss date]])&lt;Policy_Inception_Month,YEAR(Table1[[#This Row],[Loss date]])-1,YEAR(Table1[[#This Row],[Loss date]]))</f>
        <v>2006</v>
      </c>
      <c r="G908" s="10" t="s">
        <v>131</v>
      </c>
      <c r="H908" s="10" t="s">
        <v>2</v>
      </c>
      <c r="I908" s="11">
        <v>920.0541801049776</v>
      </c>
      <c r="J908" s="11">
        <v>0</v>
      </c>
      <c r="K908" s="11">
        <v>920.0541801049776</v>
      </c>
      <c r="L908" s="12">
        <v>0</v>
      </c>
      <c r="M908" s="12">
        <v>0</v>
      </c>
      <c r="N908" s="12">
        <v>920.0541801049776</v>
      </c>
      <c r="O908" s="70">
        <f>IF(Table1[[#This Row],[Overall amount]]=0,0,1)</f>
        <v>1</v>
      </c>
      <c r="P908" s="70">
        <f>Table1[[#This Row],[Overall amount]]*Exchange_Rate</f>
        <v>920.0541801049776</v>
      </c>
      <c r="Q908" s="70">
        <f>Table1[[#This Row],[Overall (destination currency)]]*(1+Claims_Inflation)^((Revalue_at_date-Table1[[#This Row],[Loss date]])/365.25)</f>
        <v>1402.5</v>
      </c>
      <c r="R908" s="70">
        <f>INT(Table1[[#This Row],[Reporting date]])-INT(Table1[[#This Row],[Loss date]])</f>
        <v>227</v>
      </c>
      <c r="S908" s="69" t="s">
        <v>9</v>
      </c>
      <c r="T908" s="70">
        <f>VLOOKUP(Table1[[#This Row],[Policy Year]],exposure_table,3,FALSE)</f>
        <v>483.32023209000977</v>
      </c>
      <c r="U908" s="17">
        <f>IF(MONTH(Table1[[#This Row],[Reporting date]])&lt;Policy_Inception_Month,YEAR(Table1[[#This Row],[Reporting date]])-1,YEAR(Table1[[#This Row],[Reporting date]]))</f>
        <v>2007</v>
      </c>
      <c r="V908" s="17">
        <f>Table1[[#This Row],[Reporting year]]-Table1[[#This Row],[Policy Year]]</f>
        <v>1</v>
      </c>
      <c r="W908" s="17">
        <f>INT(Table1[[#This Row],[Reporting date]])-INT(Table1[[#This Row],[Loss date]])</f>
        <v>227</v>
      </c>
      <c r="X908" s="17">
        <f>INT((YEAR(Table1[[#This Row],[Loss date]])*12+MONTH(Table1[[#This Row],[Loss date]])-Earliest_Month)/4)</f>
        <v>5</v>
      </c>
      <c r="Y908" s="17">
        <f>INT((YEAR(Table1[[#This Row],[Reporting date]])*12+MONTH(Table1[[#This Row],[Reporting date]])-Earliest_Month)/4)</f>
        <v>7</v>
      </c>
      <c r="Z908" s="17">
        <f>Table1[[#This Row],[Reporting third]]-Table1[[#This Row],[Policy third]]</f>
        <v>2</v>
      </c>
      <c r="AA908" s="71">
        <f>IF(Table1[[#This Row],[Overall amount]]=0,"N/A",Table1[[#This Row],[Outstanding]]/Table1[[#This Row],[Overall amount]])</f>
        <v>0</v>
      </c>
      <c r="AB908" s="17">
        <f>IF(MONTH(Table1[[#This Row],[Loss date]])&lt;Pol_Inc_Month_Shifted,YEAR(Table1[[#This Row],[Loss date]])-1,YEAR(Table1[[#This Row],[Loss date]]))</f>
        <v>2006</v>
      </c>
      <c r="AC908" s="17">
        <f>IF(MONTH(Table1[[#This Row],[Reporting date]])&lt;Pol_Inc_Month_Shifted,YEAR(Table1[[#This Row],[Reporting date]])-1,YEAR(Table1[[#This Row],[Reporting date]]))</f>
        <v>2006</v>
      </c>
      <c r="AD908" s="17">
        <f>Table1[[#This Row],[Reporting year (shifted)]]-Table1[[#This Row],[Policy Year (shifted)]]</f>
        <v>0</v>
      </c>
    </row>
    <row r="909" spans="1:30" ht="13.9">
      <c r="A909" s="8" t="s">
        <v>2679</v>
      </c>
      <c r="B909" s="8" t="s">
        <v>961</v>
      </c>
      <c r="C909" s="8" t="s">
        <v>118</v>
      </c>
      <c r="D909" s="9">
        <v>39472</v>
      </c>
      <c r="E909" s="9">
        <v>39517</v>
      </c>
      <c r="F909" s="17">
        <f>IF(MONTH(Table1[[#This Row],[Loss date]])&lt;Policy_Inception_Month,YEAR(Table1[[#This Row],[Loss date]])-1,YEAR(Table1[[#This Row],[Loss date]]))</f>
        <v>2007</v>
      </c>
      <c r="G909" s="10" t="s">
        <v>144</v>
      </c>
      <c r="H909" s="10" t="s">
        <v>2</v>
      </c>
      <c r="I909" s="11">
        <v>689.46834667576229</v>
      </c>
      <c r="J909" s="11">
        <v>0</v>
      </c>
      <c r="K909" s="11">
        <v>689.46834667576229</v>
      </c>
      <c r="L909" s="12">
        <v>0</v>
      </c>
      <c r="M909" s="12">
        <v>0</v>
      </c>
      <c r="N909" s="12">
        <v>689.46834667576229</v>
      </c>
      <c r="O909" s="70">
        <f>IF(Table1[[#This Row],[Overall amount]]=0,0,1)</f>
        <v>1</v>
      </c>
      <c r="P909" s="70">
        <f>Table1[[#This Row],[Overall amount]]*Exchange_Rate</f>
        <v>689.46834667576229</v>
      </c>
      <c r="Q909" s="70">
        <f>Table1[[#This Row],[Overall (destination currency)]]*(1+Claims_Inflation)^((Revalue_at_date-Table1[[#This Row],[Loss date]])/365.25)</f>
        <v>1002.996</v>
      </c>
      <c r="R909" s="70">
        <f>INT(Table1[[#This Row],[Reporting date]])-INT(Table1[[#This Row],[Loss date]])</f>
        <v>45</v>
      </c>
      <c r="S909" s="69" t="s">
        <v>9</v>
      </c>
      <c r="T909" s="70">
        <f>VLOOKUP(Table1[[#This Row],[Policy Year]],exposure_table,3,FALSE)</f>
        <v>547.7736362475523</v>
      </c>
      <c r="U909" s="17">
        <f>IF(MONTH(Table1[[#This Row],[Reporting date]])&lt;Policy_Inception_Month,YEAR(Table1[[#This Row],[Reporting date]])-1,YEAR(Table1[[#This Row],[Reporting date]]))</f>
        <v>2007</v>
      </c>
      <c r="V909" s="17">
        <f>Table1[[#This Row],[Reporting year]]-Table1[[#This Row],[Policy Year]]</f>
        <v>0</v>
      </c>
      <c r="W909" s="17">
        <f>INT(Table1[[#This Row],[Reporting date]])-INT(Table1[[#This Row],[Loss date]])</f>
        <v>45</v>
      </c>
      <c r="X909" s="17">
        <f>INT((YEAR(Table1[[#This Row],[Loss date]])*12+MONTH(Table1[[#This Row],[Loss date]])-Earliest_Month)/4)</f>
        <v>8</v>
      </c>
      <c r="Y909" s="17">
        <f>INT((YEAR(Table1[[#This Row],[Reporting date]])*12+MONTH(Table1[[#This Row],[Reporting date]])-Earliest_Month)/4)</f>
        <v>8</v>
      </c>
      <c r="Z909" s="17">
        <f>Table1[[#This Row],[Reporting third]]-Table1[[#This Row],[Policy third]]</f>
        <v>0</v>
      </c>
      <c r="AA909" s="71">
        <f>IF(Table1[[#This Row],[Overall amount]]=0,"N/A",Table1[[#This Row],[Outstanding]]/Table1[[#This Row],[Overall amount]])</f>
        <v>0</v>
      </c>
      <c r="AB909" s="17">
        <f>IF(MONTH(Table1[[#This Row],[Loss date]])&lt;Pol_Inc_Month_Shifted,YEAR(Table1[[#This Row],[Loss date]])-1,YEAR(Table1[[#This Row],[Loss date]]))</f>
        <v>2007</v>
      </c>
      <c r="AC909" s="17">
        <f>IF(MONTH(Table1[[#This Row],[Reporting date]])&lt;Pol_Inc_Month_Shifted,YEAR(Table1[[#This Row],[Reporting date]])-1,YEAR(Table1[[#This Row],[Reporting date]]))</f>
        <v>2007</v>
      </c>
      <c r="AD909" s="17">
        <f>Table1[[#This Row],[Reporting year (shifted)]]-Table1[[#This Row],[Policy Year (shifted)]]</f>
        <v>0</v>
      </c>
    </row>
    <row r="910" spans="1:30" ht="13.9">
      <c r="A910" s="8" t="s">
        <v>2680</v>
      </c>
      <c r="B910" s="8" t="s">
        <v>962</v>
      </c>
      <c r="C910" s="8" t="s">
        <v>118</v>
      </c>
      <c r="D910" s="9">
        <v>39299</v>
      </c>
      <c r="E910" s="9">
        <v>39303</v>
      </c>
      <c r="F910" s="17">
        <f>IF(MONTH(Table1[[#This Row],[Loss date]])&lt;Policy_Inception_Month,YEAR(Table1[[#This Row],[Loss date]])-1,YEAR(Table1[[#This Row],[Loss date]]))</f>
        <v>2007</v>
      </c>
      <c r="G910" s="10" t="s">
        <v>124</v>
      </c>
      <c r="H910" s="10" t="s">
        <v>2</v>
      </c>
      <c r="I910" s="11">
        <v>10701.202499155881</v>
      </c>
      <c r="J910" s="11">
        <v>0</v>
      </c>
      <c r="K910" s="11">
        <v>10701.202499155881</v>
      </c>
      <c r="L910" s="12">
        <v>0</v>
      </c>
      <c r="M910" s="12">
        <v>813.29138993584706</v>
      </c>
      <c r="N910" s="12">
        <v>9887.9111092200346</v>
      </c>
      <c r="O910" s="70">
        <f>IF(Table1[[#This Row],[Overall amount]]=0,0,1)</f>
        <v>1</v>
      </c>
      <c r="P910" s="70">
        <f>Table1[[#This Row],[Overall amount]]*Exchange_Rate</f>
        <v>9887.9111092200346</v>
      </c>
      <c r="Q910" s="70">
        <f>Table1[[#This Row],[Overall (destination currency)]]*(1+Claims_Inflation)^((Revalue_at_date-Table1[[#This Row],[Loss date]])/365.25)</f>
        <v>14720.606208000001</v>
      </c>
      <c r="R910" s="70">
        <f>INT(Table1[[#This Row],[Reporting date]])-INT(Table1[[#This Row],[Loss date]])</f>
        <v>4</v>
      </c>
      <c r="S910" s="69" t="s">
        <v>9</v>
      </c>
      <c r="T910" s="70">
        <f>VLOOKUP(Table1[[#This Row],[Policy Year]],exposure_table,3,FALSE)</f>
        <v>547.7736362475523</v>
      </c>
      <c r="U910" s="17">
        <f>IF(MONTH(Table1[[#This Row],[Reporting date]])&lt;Policy_Inception_Month,YEAR(Table1[[#This Row],[Reporting date]])-1,YEAR(Table1[[#This Row],[Reporting date]]))</f>
        <v>2007</v>
      </c>
      <c r="V910" s="17">
        <f>Table1[[#This Row],[Reporting year]]-Table1[[#This Row],[Policy Year]]</f>
        <v>0</v>
      </c>
      <c r="W910" s="17">
        <f>INT(Table1[[#This Row],[Reporting date]])-INT(Table1[[#This Row],[Loss date]])</f>
        <v>4</v>
      </c>
      <c r="X910" s="17">
        <f>INT((YEAR(Table1[[#This Row],[Loss date]])*12+MONTH(Table1[[#This Row],[Loss date]])-Earliest_Month)/4)</f>
        <v>7</v>
      </c>
      <c r="Y910" s="17">
        <f>INT((YEAR(Table1[[#This Row],[Reporting date]])*12+MONTH(Table1[[#This Row],[Reporting date]])-Earliest_Month)/4)</f>
        <v>7</v>
      </c>
      <c r="Z910" s="17">
        <f>Table1[[#This Row],[Reporting third]]-Table1[[#This Row],[Policy third]]</f>
        <v>0</v>
      </c>
      <c r="AA910" s="71">
        <f>IF(Table1[[#This Row],[Overall amount]]=0,"N/A",Table1[[#This Row],[Outstanding]]/Table1[[#This Row],[Overall amount]])</f>
        <v>0</v>
      </c>
      <c r="AB910" s="17">
        <f>IF(MONTH(Table1[[#This Row],[Loss date]])&lt;Pol_Inc_Month_Shifted,YEAR(Table1[[#This Row],[Loss date]])-1,YEAR(Table1[[#This Row],[Loss date]]))</f>
        <v>2006</v>
      </c>
      <c r="AC910" s="17">
        <f>IF(MONTH(Table1[[#This Row],[Reporting date]])&lt;Pol_Inc_Month_Shifted,YEAR(Table1[[#This Row],[Reporting date]])-1,YEAR(Table1[[#This Row],[Reporting date]]))</f>
        <v>2006</v>
      </c>
      <c r="AD910" s="17">
        <f>Table1[[#This Row],[Reporting year (shifted)]]-Table1[[#This Row],[Policy Year (shifted)]]</f>
        <v>0</v>
      </c>
    </row>
    <row r="911" spans="1:30" ht="13.9">
      <c r="A911" s="8" t="s">
        <v>2681</v>
      </c>
      <c r="B911" s="8" t="s">
        <v>963</v>
      </c>
      <c r="C911" s="8" t="s">
        <v>118</v>
      </c>
      <c r="D911" s="9">
        <v>39550</v>
      </c>
      <c r="E911" s="9">
        <v>39605</v>
      </c>
      <c r="F911" s="17">
        <f>IF(MONTH(Table1[[#This Row],[Loss date]])&lt;Policy_Inception_Month,YEAR(Table1[[#This Row],[Loss date]])-1,YEAR(Table1[[#This Row],[Loss date]]))</f>
        <v>2008</v>
      </c>
      <c r="G911" s="10" t="s">
        <v>144</v>
      </c>
      <c r="H911" s="10" t="s">
        <v>2</v>
      </c>
      <c r="I911" s="11">
        <v>35.425038632081339</v>
      </c>
      <c r="J911" s="11">
        <v>0</v>
      </c>
      <c r="K911" s="11">
        <v>35.425038632081339</v>
      </c>
      <c r="L911" s="12">
        <v>0</v>
      </c>
      <c r="M911" s="12">
        <v>0</v>
      </c>
      <c r="N911" s="12">
        <v>35.425038632081339</v>
      </c>
      <c r="O911" s="70">
        <f>IF(Table1[[#This Row],[Overall amount]]=0,0,1)</f>
        <v>1</v>
      </c>
      <c r="P911" s="70">
        <f>Table1[[#This Row],[Overall amount]]*Exchange_Rate</f>
        <v>35.425038632081339</v>
      </c>
      <c r="Q911" s="70">
        <f>Table1[[#This Row],[Overall (destination currency)]]*(1+Claims_Inflation)^((Revalue_at_date-Table1[[#This Row],[Loss date]])/365.25)</f>
        <v>51.000000000000007</v>
      </c>
      <c r="R911" s="70">
        <f>INT(Table1[[#This Row],[Reporting date]])-INT(Table1[[#This Row],[Loss date]])</f>
        <v>55</v>
      </c>
      <c r="S911" s="69" t="s">
        <v>9</v>
      </c>
      <c r="T911" s="70">
        <f>VLOOKUP(Table1[[#This Row],[Policy Year]],exposure_table,3,FALSE)</f>
        <v>601.98581780480015</v>
      </c>
      <c r="U911" s="17">
        <f>IF(MONTH(Table1[[#This Row],[Reporting date]])&lt;Policy_Inception_Month,YEAR(Table1[[#This Row],[Reporting date]])-1,YEAR(Table1[[#This Row],[Reporting date]]))</f>
        <v>2008</v>
      </c>
      <c r="V911" s="17">
        <f>Table1[[#This Row],[Reporting year]]-Table1[[#This Row],[Policy Year]]</f>
        <v>0</v>
      </c>
      <c r="W911" s="17">
        <f>INT(Table1[[#This Row],[Reporting date]])-INT(Table1[[#This Row],[Loss date]])</f>
        <v>55</v>
      </c>
      <c r="X911" s="17">
        <f>INT((YEAR(Table1[[#This Row],[Loss date]])*12+MONTH(Table1[[#This Row],[Loss date]])-Earliest_Month)/4)</f>
        <v>9</v>
      </c>
      <c r="Y911" s="17">
        <f>INT((YEAR(Table1[[#This Row],[Reporting date]])*12+MONTH(Table1[[#This Row],[Reporting date]])-Earliest_Month)/4)</f>
        <v>9</v>
      </c>
      <c r="Z911" s="17">
        <f>Table1[[#This Row],[Reporting third]]-Table1[[#This Row],[Policy third]]</f>
        <v>0</v>
      </c>
      <c r="AA911" s="71">
        <f>IF(Table1[[#This Row],[Overall amount]]=0,"N/A",Table1[[#This Row],[Outstanding]]/Table1[[#This Row],[Overall amount]])</f>
        <v>0</v>
      </c>
      <c r="AB911" s="17">
        <f>IF(MONTH(Table1[[#This Row],[Loss date]])&lt;Pol_Inc_Month_Shifted,YEAR(Table1[[#This Row],[Loss date]])-1,YEAR(Table1[[#This Row],[Loss date]]))</f>
        <v>2007</v>
      </c>
      <c r="AC911" s="17">
        <f>IF(MONTH(Table1[[#This Row],[Reporting date]])&lt;Pol_Inc_Month_Shifted,YEAR(Table1[[#This Row],[Reporting date]])-1,YEAR(Table1[[#This Row],[Reporting date]]))</f>
        <v>2007</v>
      </c>
      <c r="AD911" s="17">
        <f>Table1[[#This Row],[Reporting year (shifted)]]-Table1[[#This Row],[Policy Year (shifted)]]</f>
        <v>0</v>
      </c>
    </row>
    <row r="912" spans="1:30" ht="13.9">
      <c r="A912" s="8" t="s">
        <v>2682</v>
      </c>
      <c r="B912" s="8" t="s">
        <v>964</v>
      </c>
      <c r="C912" s="8" t="s">
        <v>118</v>
      </c>
      <c r="D912" s="9">
        <v>40365</v>
      </c>
      <c r="E912" s="9">
        <v>40390</v>
      </c>
      <c r="F912" s="17">
        <f>IF(MONTH(Table1[[#This Row],[Loss date]])&lt;Policy_Inception_Month,YEAR(Table1[[#This Row],[Loss date]])-1,YEAR(Table1[[#This Row],[Loss date]]))</f>
        <v>2010</v>
      </c>
      <c r="G912" s="10" t="s">
        <v>145</v>
      </c>
      <c r="H912" s="10" t="s">
        <v>2</v>
      </c>
      <c r="I912" s="11">
        <v>835.52952788936591</v>
      </c>
      <c r="J912" s="11">
        <v>0</v>
      </c>
      <c r="K912" s="11">
        <v>835.52952788936591</v>
      </c>
      <c r="L912" s="12">
        <v>0</v>
      </c>
      <c r="M912" s="12">
        <v>0</v>
      </c>
      <c r="N912" s="12">
        <v>835.52952788936591</v>
      </c>
      <c r="O912" s="70">
        <f>IF(Table1[[#This Row],[Overall amount]]=0,0,1)</f>
        <v>1</v>
      </c>
      <c r="P912" s="70">
        <f>Table1[[#This Row],[Overall amount]]*Exchange_Rate</f>
        <v>835.52952788936591</v>
      </c>
      <c r="Q912" s="70">
        <f>Table1[[#This Row],[Overall (destination currency)]]*(1+Claims_Inflation)^((Revalue_at_date-Table1[[#This Row],[Loss date]])/365.25)</f>
        <v>1078.8000000000002</v>
      </c>
      <c r="R912" s="70">
        <f>INT(Table1[[#This Row],[Reporting date]])-INT(Table1[[#This Row],[Loss date]])</f>
        <v>25</v>
      </c>
      <c r="S912" s="69" t="s">
        <v>9</v>
      </c>
      <c r="T912" s="70">
        <f>VLOOKUP(Table1[[#This Row],[Policy Year]],exposure_table,3,FALSE)</f>
        <v>837.11513600000012</v>
      </c>
      <c r="U912" s="17">
        <f>IF(MONTH(Table1[[#This Row],[Reporting date]])&lt;Policy_Inception_Month,YEAR(Table1[[#This Row],[Reporting date]])-1,YEAR(Table1[[#This Row],[Reporting date]]))</f>
        <v>2010</v>
      </c>
      <c r="V912" s="17">
        <f>Table1[[#This Row],[Reporting year]]-Table1[[#This Row],[Policy Year]]</f>
        <v>0</v>
      </c>
      <c r="W912" s="17">
        <f>INT(Table1[[#This Row],[Reporting date]])-INT(Table1[[#This Row],[Loss date]])</f>
        <v>25</v>
      </c>
      <c r="X912" s="17">
        <f>INT((YEAR(Table1[[#This Row],[Loss date]])*12+MONTH(Table1[[#This Row],[Loss date]])-Earliest_Month)/4)</f>
        <v>15</v>
      </c>
      <c r="Y912" s="17">
        <f>INT((YEAR(Table1[[#This Row],[Reporting date]])*12+MONTH(Table1[[#This Row],[Reporting date]])-Earliest_Month)/4)</f>
        <v>15</v>
      </c>
      <c r="Z912" s="17">
        <f>Table1[[#This Row],[Reporting third]]-Table1[[#This Row],[Policy third]]</f>
        <v>0</v>
      </c>
      <c r="AA912" s="71">
        <f>IF(Table1[[#This Row],[Overall amount]]=0,"N/A",Table1[[#This Row],[Outstanding]]/Table1[[#This Row],[Overall amount]])</f>
        <v>0</v>
      </c>
      <c r="AB912" s="17">
        <f>IF(MONTH(Table1[[#This Row],[Loss date]])&lt;Pol_Inc_Month_Shifted,YEAR(Table1[[#This Row],[Loss date]])-1,YEAR(Table1[[#This Row],[Loss date]]))</f>
        <v>2009</v>
      </c>
      <c r="AC912" s="17">
        <f>IF(MONTH(Table1[[#This Row],[Reporting date]])&lt;Pol_Inc_Month_Shifted,YEAR(Table1[[#This Row],[Reporting date]])-1,YEAR(Table1[[#This Row],[Reporting date]]))</f>
        <v>2009</v>
      </c>
      <c r="AD912" s="17">
        <f>Table1[[#This Row],[Reporting year (shifted)]]-Table1[[#This Row],[Policy Year (shifted)]]</f>
        <v>0</v>
      </c>
    </row>
    <row r="913" spans="1:30" ht="13.9">
      <c r="A913" s="8" t="s">
        <v>2683</v>
      </c>
      <c r="B913" s="8" t="s">
        <v>965</v>
      </c>
      <c r="C913" s="8" t="s">
        <v>118</v>
      </c>
      <c r="D913" s="9">
        <v>39250</v>
      </c>
      <c r="E913" s="9">
        <v>39264</v>
      </c>
      <c r="F913" s="17">
        <f>IF(MONTH(Table1[[#This Row],[Loss date]])&lt;Policy_Inception_Month,YEAR(Table1[[#This Row],[Loss date]])-1,YEAR(Table1[[#This Row],[Loss date]]))</f>
        <v>2007</v>
      </c>
      <c r="G913" s="10" t="s">
        <v>129</v>
      </c>
      <c r="H913" s="10" t="s">
        <v>2</v>
      </c>
      <c r="I913" s="11">
        <v>10774.768329353199</v>
      </c>
      <c r="J913" s="11">
        <v>0</v>
      </c>
      <c r="K913" s="11">
        <v>10774.768329353199</v>
      </c>
      <c r="L913" s="12">
        <v>0</v>
      </c>
      <c r="M913" s="12">
        <v>0</v>
      </c>
      <c r="N913" s="12">
        <v>10774.768329353199</v>
      </c>
      <c r="O913" s="70">
        <f>IF(Table1[[#This Row],[Overall amount]]=0,0,1)</f>
        <v>1</v>
      </c>
      <c r="P913" s="70">
        <f>Table1[[#This Row],[Overall amount]]*Exchange_Rate</f>
        <v>10774.768329353199</v>
      </c>
      <c r="Q913" s="70">
        <f>Table1[[#This Row],[Overall (destination currency)]]*(1+Claims_Inflation)^((Revalue_at_date-Table1[[#This Row],[Loss date]])/365.25)</f>
        <v>16146.251999999997</v>
      </c>
      <c r="R913" s="70">
        <f>INT(Table1[[#This Row],[Reporting date]])-INT(Table1[[#This Row],[Loss date]])</f>
        <v>14</v>
      </c>
      <c r="S913" s="69" t="s">
        <v>9</v>
      </c>
      <c r="T913" s="70">
        <f>VLOOKUP(Table1[[#This Row],[Policy Year]],exposure_table,3,FALSE)</f>
        <v>547.7736362475523</v>
      </c>
      <c r="U913" s="17">
        <f>IF(MONTH(Table1[[#This Row],[Reporting date]])&lt;Policy_Inception_Month,YEAR(Table1[[#This Row],[Reporting date]])-1,YEAR(Table1[[#This Row],[Reporting date]]))</f>
        <v>2007</v>
      </c>
      <c r="V913" s="17">
        <f>Table1[[#This Row],[Reporting year]]-Table1[[#This Row],[Policy Year]]</f>
        <v>0</v>
      </c>
      <c r="W913" s="17">
        <f>INT(Table1[[#This Row],[Reporting date]])-INT(Table1[[#This Row],[Loss date]])</f>
        <v>14</v>
      </c>
      <c r="X913" s="17">
        <f>INT((YEAR(Table1[[#This Row],[Loss date]])*12+MONTH(Table1[[#This Row],[Loss date]])-Earliest_Month)/4)</f>
        <v>6</v>
      </c>
      <c r="Y913" s="17">
        <f>INT((YEAR(Table1[[#This Row],[Reporting date]])*12+MONTH(Table1[[#This Row],[Reporting date]])-Earliest_Month)/4)</f>
        <v>6</v>
      </c>
      <c r="Z913" s="17">
        <f>Table1[[#This Row],[Reporting third]]-Table1[[#This Row],[Policy third]]</f>
        <v>0</v>
      </c>
      <c r="AA913" s="71">
        <f>IF(Table1[[#This Row],[Overall amount]]=0,"N/A",Table1[[#This Row],[Outstanding]]/Table1[[#This Row],[Overall amount]])</f>
        <v>0</v>
      </c>
      <c r="AB913" s="17">
        <f>IF(MONTH(Table1[[#This Row],[Loss date]])&lt;Pol_Inc_Month_Shifted,YEAR(Table1[[#This Row],[Loss date]])-1,YEAR(Table1[[#This Row],[Loss date]]))</f>
        <v>2006</v>
      </c>
      <c r="AC913" s="17">
        <f>IF(MONTH(Table1[[#This Row],[Reporting date]])&lt;Pol_Inc_Month_Shifted,YEAR(Table1[[#This Row],[Reporting date]])-1,YEAR(Table1[[#This Row],[Reporting date]]))</f>
        <v>2006</v>
      </c>
      <c r="AD913" s="17">
        <f>Table1[[#This Row],[Reporting year (shifted)]]-Table1[[#This Row],[Policy Year (shifted)]]</f>
        <v>0</v>
      </c>
    </row>
    <row r="914" spans="1:30" ht="13.9">
      <c r="A914" s="8" t="s">
        <v>2684</v>
      </c>
      <c r="B914" s="8" t="s">
        <v>966</v>
      </c>
      <c r="C914" s="8" t="s">
        <v>118</v>
      </c>
      <c r="D914" s="9">
        <v>39832</v>
      </c>
      <c r="E914" s="9">
        <v>39833</v>
      </c>
      <c r="F914" s="17">
        <f>IF(MONTH(Table1[[#This Row],[Loss date]])&lt;Policy_Inception_Month,YEAR(Table1[[#This Row],[Loss date]])-1,YEAR(Table1[[#This Row],[Loss date]]))</f>
        <v>2008</v>
      </c>
      <c r="G914" s="10" t="s">
        <v>131</v>
      </c>
      <c r="H914" s="10" t="s">
        <v>2</v>
      </c>
      <c r="I914" s="11">
        <v>637.5998355848219</v>
      </c>
      <c r="J914" s="11">
        <v>0</v>
      </c>
      <c r="K914" s="11">
        <v>637.5998355848219</v>
      </c>
      <c r="L914" s="12">
        <v>0</v>
      </c>
      <c r="M914" s="12">
        <v>0</v>
      </c>
      <c r="N914" s="12">
        <v>637.5998355848219</v>
      </c>
      <c r="O914" s="70">
        <f>IF(Table1[[#This Row],[Overall amount]]=0,0,1)</f>
        <v>1</v>
      </c>
      <c r="P914" s="70">
        <f>Table1[[#This Row],[Overall amount]]*Exchange_Rate</f>
        <v>637.5998355848219</v>
      </c>
      <c r="Q914" s="70">
        <f>Table1[[#This Row],[Overall (destination currency)]]*(1+Claims_Inflation)^((Revalue_at_date-Table1[[#This Row],[Loss date]])/365.25)</f>
        <v>883.99199999999996</v>
      </c>
      <c r="R914" s="70">
        <f>INT(Table1[[#This Row],[Reporting date]])-INT(Table1[[#This Row],[Loss date]])</f>
        <v>1</v>
      </c>
      <c r="S914" s="69" t="s">
        <v>9</v>
      </c>
      <c r="T914" s="70">
        <f>VLOOKUP(Table1[[#This Row],[Policy Year]],exposure_table,3,FALSE)</f>
        <v>601.98581780480015</v>
      </c>
      <c r="U914" s="17">
        <f>IF(MONTH(Table1[[#This Row],[Reporting date]])&lt;Policy_Inception_Month,YEAR(Table1[[#This Row],[Reporting date]])-1,YEAR(Table1[[#This Row],[Reporting date]]))</f>
        <v>2008</v>
      </c>
      <c r="V914" s="17">
        <f>Table1[[#This Row],[Reporting year]]-Table1[[#This Row],[Policy Year]]</f>
        <v>0</v>
      </c>
      <c r="W914" s="17">
        <f>INT(Table1[[#This Row],[Reporting date]])-INT(Table1[[#This Row],[Loss date]])</f>
        <v>1</v>
      </c>
      <c r="X914" s="17">
        <f>INT((YEAR(Table1[[#This Row],[Loss date]])*12+MONTH(Table1[[#This Row],[Loss date]])-Earliest_Month)/4)</f>
        <v>11</v>
      </c>
      <c r="Y914" s="17">
        <f>INT((YEAR(Table1[[#This Row],[Reporting date]])*12+MONTH(Table1[[#This Row],[Reporting date]])-Earliest_Month)/4)</f>
        <v>11</v>
      </c>
      <c r="Z914" s="17">
        <f>Table1[[#This Row],[Reporting third]]-Table1[[#This Row],[Policy third]]</f>
        <v>0</v>
      </c>
      <c r="AA914" s="71">
        <f>IF(Table1[[#This Row],[Overall amount]]=0,"N/A",Table1[[#This Row],[Outstanding]]/Table1[[#This Row],[Overall amount]])</f>
        <v>0</v>
      </c>
      <c r="AB914" s="17">
        <f>IF(MONTH(Table1[[#This Row],[Loss date]])&lt;Pol_Inc_Month_Shifted,YEAR(Table1[[#This Row],[Loss date]])-1,YEAR(Table1[[#This Row],[Loss date]]))</f>
        <v>2008</v>
      </c>
      <c r="AC914" s="17">
        <f>IF(MONTH(Table1[[#This Row],[Reporting date]])&lt;Pol_Inc_Month_Shifted,YEAR(Table1[[#This Row],[Reporting date]])-1,YEAR(Table1[[#This Row],[Reporting date]]))</f>
        <v>2008</v>
      </c>
      <c r="AD914" s="17">
        <f>Table1[[#This Row],[Reporting year (shifted)]]-Table1[[#This Row],[Policy Year (shifted)]]</f>
        <v>0</v>
      </c>
    </row>
    <row r="915" spans="1:30" ht="13.9">
      <c r="A915" s="8" t="s">
        <v>2685</v>
      </c>
      <c r="B915" s="8" t="s">
        <v>967</v>
      </c>
      <c r="C915" s="8" t="s">
        <v>118</v>
      </c>
      <c r="D915" s="9">
        <v>39783</v>
      </c>
      <c r="E915" s="9">
        <v>39784</v>
      </c>
      <c r="F915" s="17">
        <f>IF(MONTH(Table1[[#This Row],[Loss date]])&lt;Policy_Inception_Month,YEAR(Table1[[#This Row],[Loss date]])-1,YEAR(Table1[[#This Row],[Loss date]]))</f>
        <v>2008</v>
      </c>
      <c r="G915" s="10" t="s">
        <v>132</v>
      </c>
      <c r="H915" s="10" t="s">
        <v>2</v>
      </c>
      <c r="I915" s="11">
        <v>743.08355377924977</v>
      </c>
      <c r="J915" s="11">
        <v>0</v>
      </c>
      <c r="K915" s="11">
        <v>743.08355377924977</v>
      </c>
      <c r="L915" s="12">
        <v>0</v>
      </c>
      <c r="M915" s="12">
        <v>0</v>
      </c>
      <c r="N915" s="12">
        <v>743.08355377924977</v>
      </c>
      <c r="O915" s="70">
        <f>IF(Table1[[#This Row],[Overall amount]]=0,0,1)</f>
        <v>1</v>
      </c>
      <c r="P915" s="70">
        <f>Table1[[#This Row],[Overall amount]]*Exchange_Rate</f>
        <v>743.08355377924977</v>
      </c>
      <c r="Q915" s="70">
        <f>Table1[[#This Row],[Overall (destination currency)]]*(1+Claims_Inflation)^((Revalue_at_date-Table1[[#This Row],[Loss date]])/365.25)</f>
        <v>1037.0039999999999</v>
      </c>
      <c r="R915" s="70">
        <f>INT(Table1[[#This Row],[Reporting date]])-INT(Table1[[#This Row],[Loss date]])</f>
        <v>1</v>
      </c>
      <c r="S915" s="69" t="s">
        <v>9</v>
      </c>
      <c r="T915" s="70">
        <f>VLOOKUP(Table1[[#This Row],[Policy Year]],exposure_table,3,FALSE)</f>
        <v>601.98581780480015</v>
      </c>
      <c r="U915" s="17">
        <f>IF(MONTH(Table1[[#This Row],[Reporting date]])&lt;Policy_Inception_Month,YEAR(Table1[[#This Row],[Reporting date]])-1,YEAR(Table1[[#This Row],[Reporting date]]))</f>
        <v>2008</v>
      </c>
      <c r="V915" s="17">
        <f>Table1[[#This Row],[Reporting year]]-Table1[[#This Row],[Policy Year]]</f>
        <v>0</v>
      </c>
      <c r="W915" s="17">
        <f>INT(Table1[[#This Row],[Reporting date]])-INT(Table1[[#This Row],[Loss date]])</f>
        <v>1</v>
      </c>
      <c r="X915" s="17">
        <f>INT((YEAR(Table1[[#This Row],[Loss date]])*12+MONTH(Table1[[#This Row],[Loss date]])-Earliest_Month)/4)</f>
        <v>11</v>
      </c>
      <c r="Y915" s="17">
        <f>INT((YEAR(Table1[[#This Row],[Reporting date]])*12+MONTH(Table1[[#This Row],[Reporting date]])-Earliest_Month)/4)</f>
        <v>11</v>
      </c>
      <c r="Z915" s="17">
        <f>Table1[[#This Row],[Reporting third]]-Table1[[#This Row],[Policy third]]</f>
        <v>0</v>
      </c>
      <c r="AA915" s="71">
        <f>IF(Table1[[#This Row],[Overall amount]]=0,"N/A",Table1[[#This Row],[Outstanding]]/Table1[[#This Row],[Overall amount]])</f>
        <v>0</v>
      </c>
      <c r="AB915" s="17">
        <f>IF(MONTH(Table1[[#This Row],[Loss date]])&lt;Pol_Inc_Month_Shifted,YEAR(Table1[[#This Row],[Loss date]])-1,YEAR(Table1[[#This Row],[Loss date]]))</f>
        <v>2008</v>
      </c>
      <c r="AC915" s="17">
        <f>IF(MONTH(Table1[[#This Row],[Reporting date]])&lt;Pol_Inc_Month_Shifted,YEAR(Table1[[#This Row],[Reporting date]])-1,YEAR(Table1[[#This Row],[Reporting date]]))</f>
        <v>2008</v>
      </c>
      <c r="AD915" s="17">
        <f>Table1[[#This Row],[Reporting year (shifted)]]-Table1[[#This Row],[Policy Year (shifted)]]</f>
        <v>0</v>
      </c>
    </row>
    <row r="916" spans="1:30" ht="13.9">
      <c r="A916" s="8" t="s">
        <v>2686</v>
      </c>
      <c r="B916" s="8" t="s">
        <v>968</v>
      </c>
      <c r="C916" s="8" t="s">
        <v>118</v>
      </c>
      <c r="D916" s="9">
        <v>38747</v>
      </c>
      <c r="E916" s="9">
        <v>38753</v>
      </c>
      <c r="F916" s="17">
        <f>IF(MONTH(Table1[[#This Row],[Loss date]])&lt;Policy_Inception_Month,YEAR(Table1[[#This Row],[Loss date]])-1,YEAR(Table1[[#This Row],[Loss date]]))</f>
        <v>2005</v>
      </c>
      <c r="G916" s="10" t="s">
        <v>126</v>
      </c>
      <c r="H916" s="10" t="s">
        <v>2</v>
      </c>
      <c r="I916" s="11">
        <v>92.096253468459551</v>
      </c>
      <c r="J916" s="11">
        <v>0</v>
      </c>
      <c r="K916" s="11">
        <v>92.096253468459551</v>
      </c>
      <c r="L916" s="12">
        <v>0</v>
      </c>
      <c r="M916" s="12">
        <v>0</v>
      </c>
      <c r="N916" s="12">
        <v>92.096253468459551</v>
      </c>
      <c r="O916" s="70">
        <f>IF(Table1[[#This Row],[Overall amount]]=0,0,1)</f>
        <v>1</v>
      </c>
      <c r="P916" s="70">
        <f>Table1[[#This Row],[Overall amount]]*Exchange_Rate</f>
        <v>92.096253468459551</v>
      </c>
      <c r="Q916" s="70">
        <f>Table1[[#This Row],[Overall (destination currency)]]*(1+Claims_Inflation)^((Revalue_at_date-Table1[[#This Row],[Loss date]])/365.25)</f>
        <v>147.6</v>
      </c>
      <c r="R916" s="70">
        <f>INT(Table1[[#This Row],[Reporting date]])-INT(Table1[[#This Row],[Loss date]])</f>
        <v>6</v>
      </c>
      <c r="S916" s="69" t="s">
        <v>9</v>
      </c>
      <c r="T916" s="70">
        <f>VLOOKUP(Table1[[#This Row],[Policy Year]],exposure_table,3,FALSE)</f>
        <v>409.50481038040112</v>
      </c>
      <c r="U916" s="17">
        <f>IF(MONTH(Table1[[#This Row],[Reporting date]])&lt;Policy_Inception_Month,YEAR(Table1[[#This Row],[Reporting date]])-1,YEAR(Table1[[#This Row],[Reporting date]]))</f>
        <v>2005</v>
      </c>
      <c r="V916" s="17">
        <f>Table1[[#This Row],[Reporting year]]-Table1[[#This Row],[Policy Year]]</f>
        <v>0</v>
      </c>
      <c r="W916" s="17">
        <f>INT(Table1[[#This Row],[Reporting date]])-INT(Table1[[#This Row],[Loss date]])</f>
        <v>6</v>
      </c>
      <c r="X916" s="17">
        <f>INT((YEAR(Table1[[#This Row],[Loss date]])*12+MONTH(Table1[[#This Row],[Loss date]])-Earliest_Month)/4)</f>
        <v>2</v>
      </c>
      <c r="Y916" s="17">
        <f>INT((YEAR(Table1[[#This Row],[Reporting date]])*12+MONTH(Table1[[#This Row],[Reporting date]])-Earliest_Month)/4)</f>
        <v>2</v>
      </c>
      <c r="Z916" s="17">
        <f>Table1[[#This Row],[Reporting third]]-Table1[[#This Row],[Policy third]]</f>
        <v>0</v>
      </c>
      <c r="AA916" s="71">
        <f>IF(Table1[[#This Row],[Overall amount]]=0,"N/A",Table1[[#This Row],[Outstanding]]/Table1[[#This Row],[Overall amount]])</f>
        <v>0</v>
      </c>
      <c r="AB916" s="17">
        <f>IF(MONTH(Table1[[#This Row],[Loss date]])&lt;Pol_Inc_Month_Shifted,YEAR(Table1[[#This Row],[Loss date]])-1,YEAR(Table1[[#This Row],[Loss date]]))</f>
        <v>2005</v>
      </c>
      <c r="AC916" s="17">
        <f>IF(MONTH(Table1[[#This Row],[Reporting date]])&lt;Pol_Inc_Month_Shifted,YEAR(Table1[[#This Row],[Reporting date]])-1,YEAR(Table1[[#This Row],[Reporting date]]))</f>
        <v>2005</v>
      </c>
      <c r="AD916" s="17">
        <f>Table1[[#This Row],[Reporting year (shifted)]]-Table1[[#This Row],[Policy Year (shifted)]]</f>
        <v>0</v>
      </c>
    </row>
    <row r="917" spans="1:30" ht="13.9">
      <c r="A917" s="8" t="s">
        <v>2687</v>
      </c>
      <c r="B917" s="8" t="s">
        <v>969</v>
      </c>
      <c r="C917" s="8" t="s">
        <v>118</v>
      </c>
      <c r="D917" s="9">
        <v>39753</v>
      </c>
      <c r="E917" s="9">
        <v>39776</v>
      </c>
      <c r="F917" s="17">
        <f>IF(MONTH(Table1[[#This Row],[Loss date]])&lt;Policy_Inception_Month,YEAR(Table1[[#This Row],[Loss date]])-1,YEAR(Table1[[#This Row],[Loss date]]))</f>
        <v>2008</v>
      </c>
      <c r="G917" s="10" t="s">
        <v>145</v>
      </c>
      <c r="H917" s="10" t="s">
        <v>2</v>
      </c>
      <c r="I917" s="11">
        <v>934.23286937398086</v>
      </c>
      <c r="J917" s="11">
        <v>0</v>
      </c>
      <c r="K917" s="11">
        <v>934.23286937398086</v>
      </c>
      <c r="L917" s="12">
        <v>0</v>
      </c>
      <c r="M917" s="12">
        <v>0</v>
      </c>
      <c r="N917" s="12">
        <v>934.23286937398086</v>
      </c>
      <c r="O917" s="70">
        <f>IF(Table1[[#This Row],[Overall amount]]=0,0,1)</f>
        <v>1</v>
      </c>
      <c r="P917" s="70">
        <f>Table1[[#This Row],[Overall amount]]*Exchange_Rate</f>
        <v>934.23286937398086</v>
      </c>
      <c r="Q917" s="70">
        <f>Table1[[#This Row],[Overall (destination currency)]]*(1+Claims_Inflation)^((Revalue_at_date-Table1[[#This Row],[Loss date]])/365.25)</f>
        <v>1308.9959999999999</v>
      </c>
      <c r="R917" s="70">
        <f>INT(Table1[[#This Row],[Reporting date]])-INT(Table1[[#This Row],[Loss date]])</f>
        <v>23</v>
      </c>
      <c r="S917" s="69" t="s">
        <v>9</v>
      </c>
      <c r="T917" s="70">
        <f>VLOOKUP(Table1[[#This Row],[Policy Year]],exposure_table,3,FALSE)</f>
        <v>601.98581780480015</v>
      </c>
      <c r="U917" s="17">
        <f>IF(MONTH(Table1[[#This Row],[Reporting date]])&lt;Policy_Inception_Month,YEAR(Table1[[#This Row],[Reporting date]])-1,YEAR(Table1[[#This Row],[Reporting date]]))</f>
        <v>2008</v>
      </c>
      <c r="V917" s="17">
        <f>Table1[[#This Row],[Reporting year]]-Table1[[#This Row],[Policy Year]]</f>
        <v>0</v>
      </c>
      <c r="W917" s="17">
        <f>INT(Table1[[#This Row],[Reporting date]])-INT(Table1[[#This Row],[Loss date]])</f>
        <v>23</v>
      </c>
      <c r="X917" s="17">
        <f>INT((YEAR(Table1[[#This Row],[Loss date]])*12+MONTH(Table1[[#This Row],[Loss date]])-Earliest_Month)/4)</f>
        <v>10</v>
      </c>
      <c r="Y917" s="17">
        <f>INT((YEAR(Table1[[#This Row],[Reporting date]])*12+MONTH(Table1[[#This Row],[Reporting date]])-Earliest_Month)/4)</f>
        <v>10</v>
      </c>
      <c r="Z917" s="17">
        <f>Table1[[#This Row],[Reporting third]]-Table1[[#This Row],[Policy third]]</f>
        <v>0</v>
      </c>
      <c r="AA917" s="71">
        <f>IF(Table1[[#This Row],[Overall amount]]=0,"N/A",Table1[[#This Row],[Outstanding]]/Table1[[#This Row],[Overall amount]])</f>
        <v>0</v>
      </c>
      <c r="AB917" s="17">
        <f>IF(MONTH(Table1[[#This Row],[Loss date]])&lt;Pol_Inc_Month_Shifted,YEAR(Table1[[#This Row],[Loss date]])-1,YEAR(Table1[[#This Row],[Loss date]]))</f>
        <v>2007</v>
      </c>
      <c r="AC917" s="17">
        <f>IF(MONTH(Table1[[#This Row],[Reporting date]])&lt;Pol_Inc_Month_Shifted,YEAR(Table1[[#This Row],[Reporting date]])-1,YEAR(Table1[[#This Row],[Reporting date]]))</f>
        <v>2007</v>
      </c>
      <c r="AD917" s="17">
        <f>Table1[[#This Row],[Reporting year (shifted)]]-Table1[[#This Row],[Policy Year (shifted)]]</f>
        <v>0</v>
      </c>
    </row>
    <row r="918" spans="1:30" ht="13.9">
      <c r="A918" s="8" t="s">
        <v>2688</v>
      </c>
      <c r="B918" s="8" t="s">
        <v>970</v>
      </c>
      <c r="C918" s="8" t="s">
        <v>118</v>
      </c>
      <c r="D918" s="9">
        <v>39800</v>
      </c>
      <c r="E918" s="9">
        <v>39812</v>
      </c>
      <c r="F918" s="17">
        <f>IF(MONTH(Table1[[#This Row],[Loss date]])&lt;Policy_Inception_Month,YEAR(Table1[[#This Row],[Loss date]])-1,YEAR(Table1[[#This Row],[Loss date]]))</f>
        <v>2008</v>
      </c>
      <c r="G918" s="10" t="s">
        <v>145</v>
      </c>
      <c r="H918" s="10" t="s">
        <v>2</v>
      </c>
      <c r="I918" s="11">
        <v>891.28505123920729</v>
      </c>
      <c r="J918" s="11">
        <v>0</v>
      </c>
      <c r="K918" s="11">
        <v>891.28505123920729</v>
      </c>
      <c r="L918" s="12">
        <v>0</v>
      </c>
      <c r="M918" s="12">
        <v>0</v>
      </c>
      <c r="N918" s="12">
        <v>891.28505123920729</v>
      </c>
      <c r="O918" s="70">
        <f>IF(Table1[[#This Row],[Overall amount]]=0,0,1)</f>
        <v>1</v>
      </c>
      <c r="P918" s="70">
        <f>Table1[[#This Row],[Overall amount]]*Exchange_Rate</f>
        <v>891.28505123920729</v>
      </c>
      <c r="Q918" s="70">
        <f>Table1[[#This Row],[Overall (destination currency)]]*(1+Claims_Inflation)^((Revalue_at_date-Table1[[#This Row],[Loss date]])/365.25)</f>
        <v>1241.0040000000004</v>
      </c>
      <c r="R918" s="70">
        <f>INT(Table1[[#This Row],[Reporting date]])-INT(Table1[[#This Row],[Loss date]])</f>
        <v>12</v>
      </c>
      <c r="S918" s="69" t="s">
        <v>9</v>
      </c>
      <c r="T918" s="70">
        <f>VLOOKUP(Table1[[#This Row],[Policy Year]],exposure_table,3,FALSE)</f>
        <v>601.98581780480015</v>
      </c>
      <c r="U918" s="17">
        <f>IF(MONTH(Table1[[#This Row],[Reporting date]])&lt;Policy_Inception_Month,YEAR(Table1[[#This Row],[Reporting date]])-1,YEAR(Table1[[#This Row],[Reporting date]]))</f>
        <v>2008</v>
      </c>
      <c r="V918" s="17">
        <f>Table1[[#This Row],[Reporting year]]-Table1[[#This Row],[Policy Year]]</f>
        <v>0</v>
      </c>
      <c r="W918" s="17">
        <f>INT(Table1[[#This Row],[Reporting date]])-INT(Table1[[#This Row],[Loss date]])</f>
        <v>12</v>
      </c>
      <c r="X918" s="17">
        <f>INT((YEAR(Table1[[#This Row],[Loss date]])*12+MONTH(Table1[[#This Row],[Loss date]])-Earliest_Month)/4)</f>
        <v>11</v>
      </c>
      <c r="Y918" s="17">
        <f>INT((YEAR(Table1[[#This Row],[Reporting date]])*12+MONTH(Table1[[#This Row],[Reporting date]])-Earliest_Month)/4)</f>
        <v>11</v>
      </c>
      <c r="Z918" s="17">
        <f>Table1[[#This Row],[Reporting third]]-Table1[[#This Row],[Policy third]]</f>
        <v>0</v>
      </c>
      <c r="AA918" s="71">
        <f>IF(Table1[[#This Row],[Overall amount]]=0,"N/A",Table1[[#This Row],[Outstanding]]/Table1[[#This Row],[Overall amount]])</f>
        <v>0</v>
      </c>
      <c r="AB918" s="17">
        <f>IF(MONTH(Table1[[#This Row],[Loss date]])&lt;Pol_Inc_Month_Shifted,YEAR(Table1[[#This Row],[Loss date]])-1,YEAR(Table1[[#This Row],[Loss date]]))</f>
        <v>2008</v>
      </c>
      <c r="AC918" s="17">
        <f>IF(MONTH(Table1[[#This Row],[Reporting date]])&lt;Pol_Inc_Month_Shifted,YEAR(Table1[[#This Row],[Reporting date]])-1,YEAR(Table1[[#This Row],[Reporting date]]))</f>
        <v>2008</v>
      </c>
      <c r="AD918" s="17">
        <f>Table1[[#This Row],[Reporting year (shifted)]]-Table1[[#This Row],[Policy Year (shifted)]]</f>
        <v>0</v>
      </c>
    </row>
    <row r="919" spans="1:30" ht="13.9">
      <c r="A919" s="8" t="s">
        <v>2689</v>
      </c>
      <c r="B919" s="8" t="s">
        <v>971</v>
      </c>
      <c r="C919" s="8" t="s">
        <v>118</v>
      </c>
      <c r="D919" s="9">
        <v>40175</v>
      </c>
      <c r="E919" s="9">
        <v>40284</v>
      </c>
      <c r="F919" s="17">
        <f>IF(MONTH(Table1[[#This Row],[Loss date]])&lt;Policy_Inception_Month,YEAR(Table1[[#This Row],[Loss date]])-1,YEAR(Table1[[#This Row],[Loss date]]))</f>
        <v>2009</v>
      </c>
      <c r="G919" s="10" t="s">
        <v>145</v>
      </c>
      <c r="H919" s="10" t="s">
        <v>2</v>
      </c>
      <c r="I919" s="11">
        <v>1313.8555400894907</v>
      </c>
      <c r="J919" s="11">
        <v>0</v>
      </c>
      <c r="K919" s="11">
        <v>1313.8555400894907</v>
      </c>
      <c r="L919" s="12">
        <v>0</v>
      </c>
      <c r="M919" s="12">
        <v>0</v>
      </c>
      <c r="N919" s="12">
        <v>1313.8555400894907</v>
      </c>
      <c r="O919" s="70">
        <f>IF(Table1[[#This Row],[Overall amount]]=0,0,1)</f>
        <v>1</v>
      </c>
      <c r="P919" s="70">
        <f>Table1[[#This Row],[Overall amount]]*Exchange_Rate</f>
        <v>1313.8555400894907</v>
      </c>
      <c r="Q919" s="70">
        <f>Table1[[#This Row],[Overall (destination currency)]]*(1+Claims_Inflation)^((Revalue_at_date-Table1[[#This Row],[Loss date]])/365.25)</f>
        <v>1740.0000000000002</v>
      </c>
      <c r="R919" s="70">
        <f>INT(Table1[[#This Row],[Reporting date]])-INT(Table1[[#This Row],[Loss date]])</f>
        <v>109</v>
      </c>
      <c r="S919" s="69" t="s">
        <v>9</v>
      </c>
      <c r="T919" s="70">
        <f>VLOOKUP(Table1[[#This Row],[Policy Year]],exposure_table,3,FALSE)</f>
        <v>760.22808576000011</v>
      </c>
      <c r="U919" s="17">
        <f>IF(MONTH(Table1[[#This Row],[Reporting date]])&lt;Policy_Inception_Month,YEAR(Table1[[#This Row],[Reporting date]])-1,YEAR(Table1[[#This Row],[Reporting date]]))</f>
        <v>2010</v>
      </c>
      <c r="V919" s="17">
        <f>Table1[[#This Row],[Reporting year]]-Table1[[#This Row],[Policy Year]]</f>
        <v>1</v>
      </c>
      <c r="W919" s="17">
        <f>INT(Table1[[#This Row],[Reporting date]])-INT(Table1[[#This Row],[Loss date]])</f>
        <v>109</v>
      </c>
      <c r="X919" s="17">
        <f>INT((YEAR(Table1[[#This Row],[Loss date]])*12+MONTH(Table1[[#This Row],[Loss date]])-Earliest_Month)/4)</f>
        <v>14</v>
      </c>
      <c r="Y919" s="17">
        <f>INT((YEAR(Table1[[#This Row],[Reporting date]])*12+MONTH(Table1[[#This Row],[Reporting date]])-Earliest_Month)/4)</f>
        <v>15</v>
      </c>
      <c r="Z919" s="17">
        <f>Table1[[#This Row],[Reporting third]]-Table1[[#This Row],[Policy third]]</f>
        <v>1</v>
      </c>
      <c r="AA919" s="71">
        <f>IF(Table1[[#This Row],[Overall amount]]=0,"N/A",Table1[[#This Row],[Outstanding]]/Table1[[#This Row],[Overall amount]])</f>
        <v>0</v>
      </c>
      <c r="AB919" s="17">
        <f>IF(MONTH(Table1[[#This Row],[Loss date]])&lt;Pol_Inc_Month_Shifted,YEAR(Table1[[#This Row],[Loss date]])-1,YEAR(Table1[[#This Row],[Loss date]]))</f>
        <v>2009</v>
      </c>
      <c r="AC919" s="17">
        <f>IF(MONTH(Table1[[#This Row],[Reporting date]])&lt;Pol_Inc_Month_Shifted,YEAR(Table1[[#This Row],[Reporting date]])-1,YEAR(Table1[[#This Row],[Reporting date]]))</f>
        <v>2009</v>
      </c>
      <c r="AD919" s="17">
        <f>Table1[[#This Row],[Reporting year (shifted)]]-Table1[[#This Row],[Policy Year (shifted)]]</f>
        <v>0</v>
      </c>
    </row>
    <row r="920" spans="1:30" ht="13.9">
      <c r="A920" s="8" t="s">
        <v>2690</v>
      </c>
      <c r="B920" s="8" t="s">
        <v>972</v>
      </c>
      <c r="C920" s="8" t="s">
        <v>118</v>
      </c>
      <c r="D920" s="9">
        <v>40668</v>
      </c>
      <c r="E920" s="9">
        <v>40670</v>
      </c>
      <c r="F920" s="17">
        <f>IF(MONTH(Table1[[#This Row],[Loss date]])&lt;Policy_Inception_Month,YEAR(Table1[[#This Row],[Loss date]])-1,YEAR(Table1[[#This Row],[Loss date]]))</f>
        <v>2011</v>
      </c>
      <c r="G920" s="10" t="s">
        <v>145</v>
      </c>
      <c r="H920" s="10" t="s">
        <v>2</v>
      </c>
      <c r="I920" s="11">
        <v>1712.0164170585183</v>
      </c>
      <c r="J920" s="11">
        <v>0</v>
      </c>
      <c r="K920" s="11">
        <v>1712.0164170585183</v>
      </c>
      <c r="L920" s="12">
        <v>0</v>
      </c>
      <c r="M920" s="12">
        <v>0</v>
      </c>
      <c r="N920" s="12">
        <v>1712.0164170585183</v>
      </c>
      <c r="O920" s="70">
        <f>IF(Table1[[#This Row],[Overall amount]]=0,0,1)</f>
        <v>1</v>
      </c>
      <c r="P920" s="70">
        <f>Table1[[#This Row],[Overall amount]]*Exchange_Rate</f>
        <v>1712.0164170585183</v>
      </c>
      <c r="Q920" s="70">
        <f>Table1[[#This Row],[Overall (destination currency)]]*(1+Claims_Inflation)^((Revalue_at_date-Table1[[#This Row],[Loss date]])/365.25)</f>
        <v>2122.7999999999997</v>
      </c>
      <c r="R920" s="70">
        <f>INT(Table1[[#This Row],[Reporting date]])-INT(Table1[[#This Row],[Loss date]])</f>
        <v>2</v>
      </c>
      <c r="S920" s="69" t="s">
        <v>9</v>
      </c>
      <c r="T920" s="70">
        <f>VLOOKUP(Table1[[#This Row],[Policy Year]],exposure_table,3,FALSE)</f>
        <v>870.52680000000009</v>
      </c>
      <c r="U920" s="17">
        <f>IF(MONTH(Table1[[#This Row],[Reporting date]])&lt;Policy_Inception_Month,YEAR(Table1[[#This Row],[Reporting date]])-1,YEAR(Table1[[#This Row],[Reporting date]]))</f>
        <v>2011</v>
      </c>
      <c r="V920" s="17">
        <f>Table1[[#This Row],[Reporting year]]-Table1[[#This Row],[Policy Year]]</f>
        <v>0</v>
      </c>
      <c r="W920" s="17">
        <f>INT(Table1[[#This Row],[Reporting date]])-INT(Table1[[#This Row],[Loss date]])</f>
        <v>2</v>
      </c>
      <c r="X920" s="17">
        <f>INT((YEAR(Table1[[#This Row],[Loss date]])*12+MONTH(Table1[[#This Row],[Loss date]])-Earliest_Month)/4)</f>
        <v>18</v>
      </c>
      <c r="Y920" s="17">
        <f>INT((YEAR(Table1[[#This Row],[Reporting date]])*12+MONTH(Table1[[#This Row],[Reporting date]])-Earliest_Month)/4)</f>
        <v>18</v>
      </c>
      <c r="Z920" s="17">
        <f>Table1[[#This Row],[Reporting third]]-Table1[[#This Row],[Policy third]]</f>
        <v>0</v>
      </c>
      <c r="AA920" s="71">
        <f>IF(Table1[[#This Row],[Overall amount]]=0,"N/A",Table1[[#This Row],[Outstanding]]/Table1[[#This Row],[Overall amount]])</f>
        <v>0</v>
      </c>
      <c r="AB920" s="17">
        <f>IF(MONTH(Table1[[#This Row],[Loss date]])&lt;Pol_Inc_Month_Shifted,YEAR(Table1[[#This Row],[Loss date]])-1,YEAR(Table1[[#This Row],[Loss date]]))</f>
        <v>2010</v>
      </c>
      <c r="AC920" s="17">
        <f>IF(MONTH(Table1[[#This Row],[Reporting date]])&lt;Pol_Inc_Month_Shifted,YEAR(Table1[[#This Row],[Reporting date]])-1,YEAR(Table1[[#This Row],[Reporting date]]))</f>
        <v>2010</v>
      </c>
      <c r="AD920" s="17">
        <f>Table1[[#This Row],[Reporting year (shifted)]]-Table1[[#This Row],[Policy Year (shifted)]]</f>
        <v>0</v>
      </c>
    </row>
    <row r="921" spans="1:30" ht="13.9">
      <c r="A921" s="8" t="s">
        <v>2691</v>
      </c>
      <c r="B921" s="8" t="s">
        <v>973</v>
      </c>
      <c r="C921" s="8" t="s">
        <v>118</v>
      </c>
      <c r="D921" s="9">
        <v>40043</v>
      </c>
      <c r="E921" s="9">
        <v>40043</v>
      </c>
      <c r="F921" s="17">
        <f>IF(MONTH(Table1[[#This Row],[Loss date]])&lt;Policy_Inception_Month,YEAR(Table1[[#This Row],[Loss date]])-1,YEAR(Table1[[#This Row],[Loss date]]))</f>
        <v>2009</v>
      </c>
      <c r="G921" s="10" t="s">
        <v>145</v>
      </c>
      <c r="H921" s="10" t="s">
        <v>2</v>
      </c>
      <c r="I921" s="11">
        <v>2416.1935653028213</v>
      </c>
      <c r="J921" s="11">
        <v>0</v>
      </c>
      <c r="K921" s="11">
        <v>2416.1935653028213</v>
      </c>
      <c r="L921" s="12">
        <v>0</v>
      </c>
      <c r="M921" s="12">
        <v>0</v>
      </c>
      <c r="N921" s="12">
        <v>2416.1935653028213</v>
      </c>
      <c r="O921" s="70">
        <f>IF(Table1[[#This Row],[Overall amount]]=0,0,1)</f>
        <v>1</v>
      </c>
      <c r="P921" s="70">
        <f>Table1[[#This Row],[Overall amount]]*Exchange_Rate</f>
        <v>2416.1935653028213</v>
      </c>
      <c r="Q921" s="70">
        <f>Table1[[#This Row],[Overall (destination currency)]]*(1+Claims_Inflation)^((Revalue_at_date-Table1[[#This Row],[Loss date]])/365.25)</f>
        <v>3256.8000000000006</v>
      </c>
      <c r="R921" s="70">
        <f>INT(Table1[[#This Row],[Reporting date]])-INT(Table1[[#This Row],[Loss date]])</f>
        <v>0</v>
      </c>
      <c r="S921" s="69" t="s">
        <v>9</v>
      </c>
      <c r="T921" s="70">
        <f>VLOOKUP(Table1[[#This Row],[Policy Year]],exposure_table,3,FALSE)</f>
        <v>760.22808576000011</v>
      </c>
      <c r="U921" s="17">
        <f>IF(MONTH(Table1[[#This Row],[Reporting date]])&lt;Policy_Inception_Month,YEAR(Table1[[#This Row],[Reporting date]])-1,YEAR(Table1[[#This Row],[Reporting date]]))</f>
        <v>2009</v>
      </c>
      <c r="V921" s="17">
        <f>Table1[[#This Row],[Reporting year]]-Table1[[#This Row],[Policy Year]]</f>
        <v>0</v>
      </c>
      <c r="W921" s="17">
        <f>INT(Table1[[#This Row],[Reporting date]])-INT(Table1[[#This Row],[Loss date]])</f>
        <v>0</v>
      </c>
      <c r="X921" s="17">
        <f>INT((YEAR(Table1[[#This Row],[Loss date]])*12+MONTH(Table1[[#This Row],[Loss date]])-Earliest_Month)/4)</f>
        <v>13</v>
      </c>
      <c r="Y921" s="17">
        <f>INT((YEAR(Table1[[#This Row],[Reporting date]])*12+MONTH(Table1[[#This Row],[Reporting date]])-Earliest_Month)/4)</f>
        <v>13</v>
      </c>
      <c r="Z921" s="17">
        <f>Table1[[#This Row],[Reporting third]]-Table1[[#This Row],[Policy third]]</f>
        <v>0</v>
      </c>
      <c r="AA921" s="71">
        <f>IF(Table1[[#This Row],[Overall amount]]=0,"N/A",Table1[[#This Row],[Outstanding]]/Table1[[#This Row],[Overall amount]])</f>
        <v>0</v>
      </c>
      <c r="AB921" s="17">
        <f>IF(MONTH(Table1[[#This Row],[Loss date]])&lt;Pol_Inc_Month_Shifted,YEAR(Table1[[#This Row],[Loss date]])-1,YEAR(Table1[[#This Row],[Loss date]]))</f>
        <v>2008</v>
      </c>
      <c r="AC921" s="17">
        <f>IF(MONTH(Table1[[#This Row],[Reporting date]])&lt;Pol_Inc_Month_Shifted,YEAR(Table1[[#This Row],[Reporting date]])-1,YEAR(Table1[[#This Row],[Reporting date]]))</f>
        <v>2008</v>
      </c>
      <c r="AD921" s="17">
        <f>Table1[[#This Row],[Reporting year (shifted)]]-Table1[[#This Row],[Policy Year (shifted)]]</f>
        <v>0</v>
      </c>
    </row>
    <row r="922" spans="1:30" ht="13.9">
      <c r="A922" s="8" t="s">
        <v>2692</v>
      </c>
      <c r="B922" s="8" t="s">
        <v>974</v>
      </c>
      <c r="C922" s="8" t="s">
        <v>118</v>
      </c>
      <c r="D922" s="9">
        <v>40116</v>
      </c>
      <c r="E922" s="9">
        <v>40118</v>
      </c>
      <c r="F922" s="17">
        <f>IF(MONTH(Table1[[#This Row],[Loss date]])&lt;Policy_Inception_Month,YEAR(Table1[[#This Row],[Loss date]])-1,YEAR(Table1[[#This Row],[Loss date]]))</f>
        <v>2009</v>
      </c>
      <c r="G922" s="10" t="s">
        <v>145</v>
      </c>
      <c r="H922" s="10" t="s">
        <v>2</v>
      </c>
      <c r="I922" s="11">
        <v>5992.2451420523803</v>
      </c>
      <c r="J922" s="11">
        <v>0</v>
      </c>
      <c r="K922" s="11">
        <v>5992.2451420523803</v>
      </c>
      <c r="L922" s="12">
        <v>0</v>
      </c>
      <c r="M922" s="12">
        <v>0</v>
      </c>
      <c r="N922" s="12">
        <v>5992.2451420523803</v>
      </c>
      <c r="O922" s="70">
        <f>IF(Table1[[#This Row],[Overall amount]]=0,0,1)</f>
        <v>1</v>
      </c>
      <c r="P922" s="70">
        <f>Table1[[#This Row],[Overall amount]]*Exchange_Rate</f>
        <v>5992.2451420523803</v>
      </c>
      <c r="Q922" s="70">
        <f>Table1[[#This Row],[Overall (destination currency)]]*(1+Claims_Inflation)^((Revalue_at_date-Table1[[#This Row],[Loss date]])/365.25)</f>
        <v>7998.6</v>
      </c>
      <c r="R922" s="70">
        <f>INT(Table1[[#This Row],[Reporting date]])-INT(Table1[[#This Row],[Loss date]])</f>
        <v>2</v>
      </c>
      <c r="S922" s="69" t="s">
        <v>9</v>
      </c>
      <c r="T922" s="70">
        <f>VLOOKUP(Table1[[#This Row],[Policy Year]],exposure_table,3,FALSE)</f>
        <v>760.22808576000011</v>
      </c>
      <c r="U922" s="17">
        <f>IF(MONTH(Table1[[#This Row],[Reporting date]])&lt;Policy_Inception_Month,YEAR(Table1[[#This Row],[Reporting date]])-1,YEAR(Table1[[#This Row],[Reporting date]]))</f>
        <v>2009</v>
      </c>
      <c r="V922" s="17">
        <f>Table1[[#This Row],[Reporting year]]-Table1[[#This Row],[Policy Year]]</f>
        <v>0</v>
      </c>
      <c r="W922" s="17">
        <f>INT(Table1[[#This Row],[Reporting date]])-INT(Table1[[#This Row],[Loss date]])</f>
        <v>2</v>
      </c>
      <c r="X922" s="17">
        <f>INT((YEAR(Table1[[#This Row],[Loss date]])*12+MONTH(Table1[[#This Row],[Loss date]])-Earliest_Month)/4)</f>
        <v>13</v>
      </c>
      <c r="Y922" s="17">
        <f>INT((YEAR(Table1[[#This Row],[Reporting date]])*12+MONTH(Table1[[#This Row],[Reporting date]])-Earliest_Month)/4)</f>
        <v>13</v>
      </c>
      <c r="Z922" s="17">
        <f>Table1[[#This Row],[Reporting third]]-Table1[[#This Row],[Policy third]]</f>
        <v>0</v>
      </c>
      <c r="AA922" s="71">
        <f>IF(Table1[[#This Row],[Overall amount]]=0,"N/A",Table1[[#This Row],[Outstanding]]/Table1[[#This Row],[Overall amount]])</f>
        <v>0</v>
      </c>
      <c r="AB922" s="17">
        <f>IF(MONTH(Table1[[#This Row],[Loss date]])&lt;Pol_Inc_Month_Shifted,YEAR(Table1[[#This Row],[Loss date]])-1,YEAR(Table1[[#This Row],[Loss date]]))</f>
        <v>2008</v>
      </c>
      <c r="AC922" s="17">
        <f>IF(MONTH(Table1[[#This Row],[Reporting date]])&lt;Pol_Inc_Month_Shifted,YEAR(Table1[[#This Row],[Reporting date]])-1,YEAR(Table1[[#This Row],[Reporting date]]))</f>
        <v>2008</v>
      </c>
      <c r="AD922" s="17">
        <f>Table1[[#This Row],[Reporting year (shifted)]]-Table1[[#This Row],[Policy Year (shifted)]]</f>
        <v>0</v>
      </c>
    </row>
    <row r="923" spans="1:30" ht="13.9">
      <c r="A923" s="8" t="s">
        <v>2693</v>
      </c>
      <c r="B923" s="8" t="s">
        <v>975</v>
      </c>
      <c r="C923" s="8" t="s">
        <v>118</v>
      </c>
      <c r="D923" s="9">
        <v>40084</v>
      </c>
      <c r="E923" s="9">
        <v>40189</v>
      </c>
      <c r="F923" s="17">
        <f>IF(MONTH(Table1[[#This Row],[Loss date]])&lt;Policy_Inception_Month,YEAR(Table1[[#This Row],[Loss date]])-1,YEAR(Table1[[#This Row],[Loss date]]))</f>
        <v>2009</v>
      </c>
      <c r="G923" s="10" t="s">
        <v>145</v>
      </c>
      <c r="H923" s="10" t="s">
        <v>2</v>
      </c>
      <c r="I923" s="11">
        <v>1051.3648176089021</v>
      </c>
      <c r="J923" s="11">
        <v>0</v>
      </c>
      <c r="K923" s="11">
        <v>1051.3648176089021</v>
      </c>
      <c r="L923" s="12">
        <v>0</v>
      </c>
      <c r="M923" s="12">
        <v>0</v>
      </c>
      <c r="N923" s="12">
        <v>1051.3648176089021</v>
      </c>
      <c r="O923" s="70">
        <f>IF(Table1[[#This Row],[Overall amount]]=0,0,1)</f>
        <v>1</v>
      </c>
      <c r="P923" s="70">
        <f>Table1[[#This Row],[Overall amount]]*Exchange_Rate</f>
        <v>1051.3648176089021</v>
      </c>
      <c r="Q923" s="70">
        <f>Table1[[#This Row],[Overall (destination currency)]]*(1+Claims_Inflation)^((Revalue_at_date-Table1[[#This Row],[Loss date]])/365.25)</f>
        <v>1409.4</v>
      </c>
      <c r="R923" s="70">
        <f>INT(Table1[[#This Row],[Reporting date]])-INT(Table1[[#This Row],[Loss date]])</f>
        <v>105</v>
      </c>
      <c r="S923" s="69" t="s">
        <v>9</v>
      </c>
      <c r="T923" s="70">
        <f>VLOOKUP(Table1[[#This Row],[Policy Year]],exposure_table,3,FALSE)</f>
        <v>760.22808576000011</v>
      </c>
      <c r="U923" s="17">
        <f>IF(MONTH(Table1[[#This Row],[Reporting date]])&lt;Policy_Inception_Month,YEAR(Table1[[#This Row],[Reporting date]])-1,YEAR(Table1[[#This Row],[Reporting date]]))</f>
        <v>2009</v>
      </c>
      <c r="V923" s="17">
        <f>Table1[[#This Row],[Reporting year]]-Table1[[#This Row],[Policy Year]]</f>
        <v>0</v>
      </c>
      <c r="W923" s="17">
        <f>INT(Table1[[#This Row],[Reporting date]])-INT(Table1[[#This Row],[Loss date]])</f>
        <v>105</v>
      </c>
      <c r="X923" s="17">
        <f>INT((YEAR(Table1[[#This Row],[Loss date]])*12+MONTH(Table1[[#This Row],[Loss date]])-Earliest_Month)/4)</f>
        <v>13</v>
      </c>
      <c r="Y923" s="17">
        <f>INT((YEAR(Table1[[#This Row],[Reporting date]])*12+MONTH(Table1[[#This Row],[Reporting date]])-Earliest_Month)/4)</f>
        <v>14</v>
      </c>
      <c r="Z923" s="17">
        <f>Table1[[#This Row],[Reporting third]]-Table1[[#This Row],[Policy third]]</f>
        <v>1</v>
      </c>
      <c r="AA923" s="71">
        <f>IF(Table1[[#This Row],[Overall amount]]=0,"N/A",Table1[[#This Row],[Outstanding]]/Table1[[#This Row],[Overall amount]])</f>
        <v>0</v>
      </c>
      <c r="AB923" s="17">
        <f>IF(MONTH(Table1[[#This Row],[Loss date]])&lt;Pol_Inc_Month_Shifted,YEAR(Table1[[#This Row],[Loss date]])-1,YEAR(Table1[[#This Row],[Loss date]]))</f>
        <v>2008</v>
      </c>
      <c r="AC923" s="17">
        <f>IF(MONTH(Table1[[#This Row],[Reporting date]])&lt;Pol_Inc_Month_Shifted,YEAR(Table1[[#This Row],[Reporting date]])-1,YEAR(Table1[[#This Row],[Reporting date]]))</f>
        <v>2009</v>
      </c>
      <c r="AD923" s="17">
        <f>Table1[[#This Row],[Reporting year (shifted)]]-Table1[[#This Row],[Policy Year (shifted)]]</f>
        <v>1</v>
      </c>
    </row>
    <row r="924" spans="1:30" ht="13.9">
      <c r="A924" s="8" t="s">
        <v>2694</v>
      </c>
      <c r="B924" s="8" t="s">
        <v>976</v>
      </c>
      <c r="C924" s="8" t="s">
        <v>118</v>
      </c>
      <c r="D924" s="9">
        <v>40228</v>
      </c>
      <c r="E924" s="9">
        <v>40235</v>
      </c>
      <c r="F924" s="17">
        <f>IF(MONTH(Table1[[#This Row],[Loss date]])&lt;Policy_Inception_Month,YEAR(Table1[[#This Row],[Loss date]])-1,YEAR(Table1[[#This Row],[Loss date]]))</f>
        <v>2009</v>
      </c>
      <c r="G924" s="10" t="s">
        <v>145</v>
      </c>
      <c r="H924" s="10" t="s">
        <v>2</v>
      </c>
      <c r="I924" s="11">
        <v>555.73993181275762</v>
      </c>
      <c r="J924" s="11">
        <v>0</v>
      </c>
      <c r="K924" s="11">
        <v>555.73993181275762</v>
      </c>
      <c r="L924" s="12">
        <v>0</v>
      </c>
      <c r="M924" s="12">
        <v>0</v>
      </c>
      <c r="N924" s="12">
        <v>555.73993181275762</v>
      </c>
      <c r="O924" s="70">
        <f>IF(Table1[[#This Row],[Overall amount]]=0,0,1)</f>
        <v>1</v>
      </c>
      <c r="P924" s="70">
        <f>Table1[[#This Row],[Overall amount]]*Exchange_Rate</f>
        <v>555.73993181275762</v>
      </c>
      <c r="Q924" s="70">
        <f>Table1[[#This Row],[Overall (destination currency)]]*(1+Claims_Inflation)^((Revalue_at_date-Table1[[#This Row],[Loss date]])/365.25)</f>
        <v>730.8</v>
      </c>
      <c r="R924" s="70">
        <f>INT(Table1[[#This Row],[Reporting date]])-INT(Table1[[#This Row],[Loss date]])</f>
        <v>7</v>
      </c>
      <c r="S924" s="69" t="s">
        <v>9</v>
      </c>
      <c r="T924" s="70">
        <f>VLOOKUP(Table1[[#This Row],[Policy Year]],exposure_table,3,FALSE)</f>
        <v>760.22808576000011</v>
      </c>
      <c r="U924" s="17">
        <f>IF(MONTH(Table1[[#This Row],[Reporting date]])&lt;Policy_Inception_Month,YEAR(Table1[[#This Row],[Reporting date]])-1,YEAR(Table1[[#This Row],[Reporting date]]))</f>
        <v>2009</v>
      </c>
      <c r="V924" s="17">
        <f>Table1[[#This Row],[Reporting year]]-Table1[[#This Row],[Policy Year]]</f>
        <v>0</v>
      </c>
      <c r="W924" s="17">
        <f>INT(Table1[[#This Row],[Reporting date]])-INT(Table1[[#This Row],[Loss date]])</f>
        <v>7</v>
      </c>
      <c r="X924" s="17">
        <f>INT((YEAR(Table1[[#This Row],[Loss date]])*12+MONTH(Table1[[#This Row],[Loss date]])-Earliest_Month)/4)</f>
        <v>14</v>
      </c>
      <c r="Y924" s="17">
        <f>INT((YEAR(Table1[[#This Row],[Reporting date]])*12+MONTH(Table1[[#This Row],[Reporting date]])-Earliest_Month)/4)</f>
        <v>14</v>
      </c>
      <c r="Z924" s="17">
        <f>Table1[[#This Row],[Reporting third]]-Table1[[#This Row],[Policy third]]</f>
        <v>0</v>
      </c>
      <c r="AA924" s="71">
        <f>IF(Table1[[#This Row],[Overall amount]]=0,"N/A",Table1[[#This Row],[Outstanding]]/Table1[[#This Row],[Overall amount]])</f>
        <v>0</v>
      </c>
      <c r="AB924" s="17">
        <f>IF(MONTH(Table1[[#This Row],[Loss date]])&lt;Pol_Inc_Month_Shifted,YEAR(Table1[[#This Row],[Loss date]])-1,YEAR(Table1[[#This Row],[Loss date]]))</f>
        <v>2009</v>
      </c>
      <c r="AC924" s="17">
        <f>IF(MONTH(Table1[[#This Row],[Reporting date]])&lt;Pol_Inc_Month_Shifted,YEAR(Table1[[#This Row],[Reporting date]])-1,YEAR(Table1[[#This Row],[Reporting date]]))</f>
        <v>2009</v>
      </c>
      <c r="AD924" s="17">
        <f>Table1[[#This Row],[Reporting year (shifted)]]-Table1[[#This Row],[Policy Year (shifted)]]</f>
        <v>0</v>
      </c>
    </row>
    <row r="925" spans="1:30" ht="13.9">
      <c r="A925" s="8" t="s">
        <v>2695</v>
      </c>
      <c r="B925" s="8" t="s">
        <v>977</v>
      </c>
      <c r="C925" s="8" t="s">
        <v>118</v>
      </c>
      <c r="D925" s="9">
        <v>40526</v>
      </c>
      <c r="E925" s="9">
        <v>40614</v>
      </c>
      <c r="F925" s="17">
        <f>IF(MONTH(Table1[[#This Row],[Loss date]])&lt;Policy_Inception_Month,YEAR(Table1[[#This Row],[Loss date]])-1,YEAR(Table1[[#This Row],[Loss date]]))</f>
        <v>2010</v>
      </c>
      <c r="G925" s="10" t="s">
        <v>145</v>
      </c>
      <c r="H925" s="10" t="s">
        <v>2</v>
      </c>
      <c r="I925" s="11">
        <v>3193.0411778424768</v>
      </c>
      <c r="J925" s="11">
        <v>0</v>
      </c>
      <c r="K925" s="11">
        <v>3193.0411778424768</v>
      </c>
      <c r="L925" s="12">
        <v>0</v>
      </c>
      <c r="M925" s="12">
        <v>0</v>
      </c>
      <c r="N925" s="12">
        <v>3193.0411778424768</v>
      </c>
      <c r="O925" s="70">
        <f>IF(Table1[[#This Row],[Overall amount]]=0,0,1)</f>
        <v>1</v>
      </c>
      <c r="P925" s="70">
        <f>Table1[[#This Row],[Overall amount]]*Exchange_Rate</f>
        <v>3193.0411778424768</v>
      </c>
      <c r="Q925" s="70">
        <f>Table1[[#This Row],[Overall (destination currency)]]*(1+Claims_Inflation)^((Revalue_at_date-Table1[[#This Row],[Loss date]])/365.25)</f>
        <v>4035.0000000000005</v>
      </c>
      <c r="R925" s="70">
        <f>INT(Table1[[#This Row],[Reporting date]])-INT(Table1[[#This Row],[Loss date]])</f>
        <v>88</v>
      </c>
      <c r="S925" s="69" t="s">
        <v>9</v>
      </c>
      <c r="T925" s="70">
        <f>VLOOKUP(Table1[[#This Row],[Policy Year]],exposure_table,3,FALSE)</f>
        <v>837.11513600000012</v>
      </c>
      <c r="U925" s="17">
        <f>IF(MONTH(Table1[[#This Row],[Reporting date]])&lt;Policy_Inception_Month,YEAR(Table1[[#This Row],[Reporting date]])-1,YEAR(Table1[[#This Row],[Reporting date]]))</f>
        <v>2010</v>
      </c>
      <c r="V925" s="17">
        <f>Table1[[#This Row],[Reporting year]]-Table1[[#This Row],[Policy Year]]</f>
        <v>0</v>
      </c>
      <c r="W925" s="17">
        <f>INT(Table1[[#This Row],[Reporting date]])-INT(Table1[[#This Row],[Loss date]])</f>
        <v>88</v>
      </c>
      <c r="X925" s="17">
        <f>INT((YEAR(Table1[[#This Row],[Loss date]])*12+MONTH(Table1[[#This Row],[Loss date]])-Earliest_Month)/4)</f>
        <v>17</v>
      </c>
      <c r="Y925" s="17">
        <f>INT((YEAR(Table1[[#This Row],[Reporting date]])*12+MONTH(Table1[[#This Row],[Reporting date]])-Earliest_Month)/4)</f>
        <v>17</v>
      </c>
      <c r="Z925" s="17">
        <f>Table1[[#This Row],[Reporting third]]-Table1[[#This Row],[Policy third]]</f>
        <v>0</v>
      </c>
      <c r="AA925" s="71">
        <f>IF(Table1[[#This Row],[Overall amount]]=0,"N/A",Table1[[#This Row],[Outstanding]]/Table1[[#This Row],[Overall amount]])</f>
        <v>0</v>
      </c>
      <c r="AB925" s="17">
        <f>IF(MONTH(Table1[[#This Row],[Loss date]])&lt;Pol_Inc_Month_Shifted,YEAR(Table1[[#This Row],[Loss date]])-1,YEAR(Table1[[#This Row],[Loss date]]))</f>
        <v>2010</v>
      </c>
      <c r="AC925" s="17">
        <f>IF(MONTH(Table1[[#This Row],[Reporting date]])&lt;Pol_Inc_Month_Shifted,YEAR(Table1[[#This Row],[Reporting date]])-1,YEAR(Table1[[#This Row],[Reporting date]]))</f>
        <v>2010</v>
      </c>
      <c r="AD925" s="17">
        <f>Table1[[#This Row],[Reporting year (shifted)]]-Table1[[#This Row],[Policy Year (shifted)]]</f>
        <v>0</v>
      </c>
    </row>
    <row r="926" spans="1:30" ht="13.9">
      <c r="A926" s="8" t="s">
        <v>2696</v>
      </c>
      <c r="B926" s="8" t="s">
        <v>978</v>
      </c>
      <c r="C926" s="8" t="s">
        <v>118</v>
      </c>
      <c r="D926" s="9">
        <v>40864</v>
      </c>
      <c r="E926" s="9">
        <v>40878</v>
      </c>
      <c r="F926" s="17">
        <f>IF(MONTH(Table1[[#This Row],[Loss date]])&lt;Policy_Inception_Month,YEAR(Table1[[#This Row],[Loss date]])-1,YEAR(Table1[[#This Row],[Loss date]]))</f>
        <v>2011</v>
      </c>
      <c r="G926" s="10" t="s">
        <v>145</v>
      </c>
      <c r="H926" s="10" t="s">
        <v>2</v>
      </c>
      <c r="I926" s="11">
        <v>10851.570617444462</v>
      </c>
      <c r="J926" s="11">
        <v>0</v>
      </c>
      <c r="K926" s="11">
        <v>10851.570617444462</v>
      </c>
      <c r="L926" s="12">
        <v>0</v>
      </c>
      <c r="M926" s="12">
        <v>0</v>
      </c>
      <c r="N926" s="12">
        <v>10851.570617444462</v>
      </c>
      <c r="O926" s="70">
        <f>IF(Table1[[#This Row],[Overall amount]]=0,0,1)</f>
        <v>1</v>
      </c>
      <c r="P926" s="70">
        <f>Table1[[#This Row],[Overall amount]]*Exchange_Rate</f>
        <v>10851.570617444462</v>
      </c>
      <c r="Q926" s="70">
        <f>Table1[[#This Row],[Overall (destination currency)]]*(1+Claims_Inflation)^((Revalue_at_date-Table1[[#This Row],[Loss date]])/365.25)</f>
        <v>13107.6</v>
      </c>
      <c r="R926" s="70">
        <f>INT(Table1[[#This Row],[Reporting date]])-INT(Table1[[#This Row],[Loss date]])</f>
        <v>14</v>
      </c>
      <c r="S926" s="69" t="s">
        <v>9</v>
      </c>
      <c r="T926" s="70">
        <f>VLOOKUP(Table1[[#This Row],[Policy Year]],exposure_table,3,FALSE)</f>
        <v>870.52680000000009</v>
      </c>
      <c r="U926" s="17">
        <f>IF(MONTH(Table1[[#This Row],[Reporting date]])&lt;Policy_Inception_Month,YEAR(Table1[[#This Row],[Reporting date]])-1,YEAR(Table1[[#This Row],[Reporting date]]))</f>
        <v>2011</v>
      </c>
      <c r="V926" s="17">
        <f>Table1[[#This Row],[Reporting year]]-Table1[[#This Row],[Policy Year]]</f>
        <v>0</v>
      </c>
      <c r="W926" s="17">
        <f>INT(Table1[[#This Row],[Reporting date]])-INT(Table1[[#This Row],[Loss date]])</f>
        <v>14</v>
      </c>
      <c r="X926" s="17">
        <f>INT((YEAR(Table1[[#This Row],[Loss date]])*12+MONTH(Table1[[#This Row],[Loss date]])-Earliest_Month)/4)</f>
        <v>19</v>
      </c>
      <c r="Y926" s="17">
        <f>INT((YEAR(Table1[[#This Row],[Reporting date]])*12+MONTH(Table1[[#This Row],[Reporting date]])-Earliest_Month)/4)</f>
        <v>20</v>
      </c>
      <c r="Z926" s="17">
        <f>Table1[[#This Row],[Reporting third]]-Table1[[#This Row],[Policy third]]</f>
        <v>1</v>
      </c>
      <c r="AA926" s="71">
        <f>IF(Table1[[#This Row],[Overall amount]]=0,"N/A",Table1[[#This Row],[Outstanding]]/Table1[[#This Row],[Overall amount]])</f>
        <v>0</v>
      </c>
      <c r="AB926" s="17">
        <f>IF(MONTH(Table1[[#This Row],[Loss date]])&lt;Pol_Inc_Month_Shifted,YEAR(Table1[[#This Row],[Loss date]])-1,YEAR(Table1[[#This Row],[Loss date]]))</f>
        <v>2010</v>
      </c>
      <c r="AC926" s="17">
        <f>IF(MONTH(Table1[[#This Row],[Reporting date]])&lt;Pol_Inc_Month_Shifted,YEAR(Table1[[#This Row],[Reporting date]])-1,YEAR(Table1[[#This Row],[Reporting date]]))</f>
        <v>2011</v>
      </c>
      <c r="AD926" s="17">
        <f>Table1[[#This Row],[Reporting year (shifted)]]-Table1[[#This Row],[Policy Year (shifted)]]</f>
        <v>1</v>
      </c>
    </row>
    <row r="927" spans="1:30" ht="13.9">
      <c r="A927" s="8" t="s">
        <v>2697</v>
      </c>
      <c r="B927" s="8" t="s">
        <v>979</v>
      </c>
      <c r="C927" s="8" t="s">
        <v>118</v>
      </c>
      <c r="D927" s="9">
        <v>40482</v>
      </c>
      <c r="E927" s="9">
        <v>40482</v>
      </c>
      <c r="F927" s="17">
        <f>IF(MONTH(Table1[[#This Row],[Loss date]])&lt;Policy_Inception_Month,YEAR(Table1[[#This Row],[Loss date]])-1,YEAR(Table1[[#This Row],[Loss date]]))</f>
        <v>2010</v>
      </c>
      <c r="G927" s="10" t="s">
        <v>124</v>
      </c>
      <c r="H927" s="10" t="s">
        <v>2</v>
      </c>
      <c r="I927" s="11">
        <v>27.377112843659784</v>
      </c>
      <c r="J927" s="11">
        <v>0</v>
      </c>
      <c r="K927" s="11">
        <v>27.377112843659784</v>
      </c>
      <c r="L927" s="12">
        <v>0</v>
      </c>
      <c r="M927" s="12">
        <v>0</v>
      </c>
      <c r="N927" s="12">
        <v>27.377112843659784</v>
      </c>
      <c r="O927" s="70">
        <f>IF(Table1[[#This Row],[Overall amount]]=0,0,1)</f>
        <v>1</v>
      </c>
      <c r="P927" s="70">
        <f>Table1[[#This Row],[Overall amount]]*Exchange_Rate</f>
        <v>27.377112843659784</v>
      </c>
      <c r="Q927" s="70">
        <f>Table1[[#This Row],[Overall (destination currency)]]*(1+Claims_Inflation)^((Revalue_at_date-Table1[[#This Row],[Loss date]])/365.25)</f>
        <v>34.799999999999997</v>
      </c>
      <c r="R927" s="70">
        <f>INT(Table1[[#This Row],[Reporting date]])-INT(Table1[[#This Row],[Loss date]])</f>
        <v>0</v>
      </c>
      <c r="S927" s="69" t="s">
        <v>9</v>
      </c>
      <c r="T927" s="70">
        <f>VLOOKUP(Table1[[#This Row],[Policy Year]],exposure_table,3,FALSE)</f>
        <v>837.11513600000012</v>
      </c>
      <c r="U927" s="17">
        <f>IF(MONTH(Table1[[#This Row],[Reporting date]])&lt;Policy_Inception_Month,YEAR(Table1[[#This Row],[Reporting date]])-1,YEAR(Table1[[#This Row],[Reporting date]]))</f>
        <v>2010</v>
      </c>
      <c r="V927" s="17">
        <f>Table1[[#This Row],[Reporting year]]-Table1[[#This Row],[Policy Year]]</f>
        <v>0</v>
      </c>
      <c r="W927" s="17">
        <f>INT(Table1[[#This Row],[Reporting date]])-INT(Table1[[#This Row],[Loss date]])</f>
        <v>0</v>
      </c>
      <c r="X927" s="17">
        <f>INT((YEAR(Table1[[#This Row],[Loss date]])*12+MONTH(Table1[[#This Row],[Loss date]])-Earliest_Month)/4)</f>
        <v>16</v>
      </c>
      <c r="Y927" s="17">
        <f>INT((YEAR(Table1[[#This Row],[Reporting date]])*12+MONTH(Table1[[#This Row],[Reporting date]])-Earliest_Month)/4)</f>
        <v>16</v>
      </c>
      <c r="Z927" s="17">
        <f>Table1[[#This Row],[Reporting third]]-Table1[[#This Row],[Policy third]]</f>
        <v>0</v>
      </c>
      <c r="AA927" s="71">
        <f>IF(Table1[[#This Row],[Overall amount]]=0,"N/A",Table1[[#This Row],[Outstanding]]/Table1[[#This Row],[Overall amount]])</f>
        <v>0</v>
      </c>
      <c r="AB927" s="17">
        <f>IF(MONTH(Table1[[#This Row],[Loss date]])&lt;Pol_Inc_Month_Shifted,YEAR(Table1[[#This Row],[Loss date]])-1,YEAR(Table1[[#This Row],[Loss date]]))</f>
        <v>2009</v>
      </c>
      <c r="AC927" s="17">
        <f>IF(MONTH(Table1[[#This Row],[Reporting date]])&lt;Pol_Inc_Month_Shifted,YEAR(Table1[[#This Row],[Reporting date]])-1,YEAR(Table1[[#This Row],[Reporting date]]))</f>
        <v>2009</v>
      </c>
      <c r="AD927" s="17">
        <f>Table1[[#This Row],[Reporting year (shifted)]]-Table1[[#This Row],[Policy Year (shifted)]]</f>
        <v>0</v>
      </c>
    </row>
    <row r="928" spans="1:30" ht="13.9">
      <c r="A928" s="8" t="s">
        <v>2698</v>
      </c>
      <c r="B928" s="8" t="s">
        <v>980</v>
      </c>
      <c r="C928" s="8" t="s">
        <v>118</v>
      </c>
      <c r="D928" s="9">
        <v>40621</v>
      </c>
      <c r="E928" s="9">
        <v>40652</v>
      </c>
      <c r="F928" s="17">
        <f>IF(MONTH(Table1[[#This Row],[Loss date]])&lt;Policy_Inception_Month,YEAR(Table1[[#This Row],[Loss date]])-1,YEAR(Table1[[#This Row],[Loss date]]))</f>
        <v>2010</v>
      </c>
      <c r="G928" s="10" t="s">
        <v>131</v>
      </c>
      <c r="H928" s="10" t="s">
        <v>2</v>
      </c>
      <c r="I928" s="11">
        <v>61318.679219919584</v>
      </c>
      <c r="J928" s="11">
        <v>0</v>
      </c>
      <c r="K928" s="11">
        <v>61318.679219919584</v>
      </c>
      <c r="L928" s="12">
        <v>0</v>
      </c>
      <c r="M928" s="12">
        <v>0</v>
      </c>
      <c r="N928" s="12">
        <v>61318.679219919584</v>
      </c>
      <c r="O928" s="70">
        <f>IF(Table1[[#This Row],[Overall amount]]=0,0,1)</f>
        <v>1</v>
      </c>
      <c r="P928" s="70">
        <f>Table1[[#This Row],[Overall amount]]*Exchange_Rate</f>
        <v>61318.679219919584</v>
      </c>
      <c r="Q928" s="70">
        <f>Table1[[#This Row],[Overall (destination currency)]]*(1+Claims_Inflation)^((Revalue_at_date-Table1[[#This Row],[Loss date]])/365.25)</f>
        <v>76510.415999999997</v>
      </c>
      <c r="R928" s="70">
        <f>INT(Table1[[#This Row],[Reporting date]])-INT(Table1[[#This Row],[Loss date]])</f>
        <v>31</v>
      </c>
      <c r="S928" s="69" t="s">
        <v>9</v>
      </c>
      <c r="T928" s="70">
        <f>VLOOKUP(Table1[[#This Row],[Policy Year]],exposure_table,3,FALSE)</f>
        <v>837.11513600000012</v>
      </c>
      <c r="U928" s="17">
        <f>IF(MONTH(Table1[[#This Row],[Reporting date]])&lt;Policy_Inception_Month,YEAR(Table1[[#This Row],[Reporting date]])-1,YEAR(Table1[[#This Row],[Reporting date]]))</f>
        <v>2011</v>
      </c>
      <c r="V928" s="17">
        <f>Table1[[#This Row],[Reporting year]]-Table1[[#This Row],[Policy Year]]</f>
        <v>1</v>
      </c>
      <c r="W928" s="17">
        <f>INT(Table1[[#This Row],[Reporting date]])-INT(Table1[[#This Row],[Loss date]])</f>
        <v>31</v>
      </c>
      <c r="X928" s="17">
        <f>INT((YEAR(Table1[[#This Row],[Loss date]])*12+MONTH(Table1[[#This Row],[Loss date]])-Earliest_Month)/4)</f>
        <v>17</v>
      </c>
      <c r="Y928" s="17">
        <f>INT((YEAR(Table1[[#This Row],[Reporting date]])*12+MONTH(Table1[[#This Row],[Reporting date]])-Earliest_Month)/4)</f>
        <v>18</v>
      </c>
      <c r="Z928" s="17">
        <f>Table1[[#This Row],[Reporting third]]-Table1[[#This Row],[Policy third]]</f>
        <v>1</v>
      </c>
      <c r="AA928" s="71">
        <f>IF(Table1[[#This Row],[Overall amount]]=0,"N/A",Table1[[#This Row],[Outstanding]]/Table1[[#This Row],[Overall amount]])</f>
        <v>0</v>
      </c>
      <c r="AB928" s="17">
        <f>IF(MONTH(Table1[[#This Row],[Loss date]])&lt;Pol_Inc_Month_Shifted,YEAR(Table1[[#This Row],[Loss date]])-1,YEAR(Table1[[#This Row],[Loss date]]))</f>
        <v>2010</v>
      </c>
      <c r="AC928" s="17">
        <f>IF(MONTH(Table1[[#This Row],[Reporting date]])&lt;Pol_Inc_Month_Shifted,YEAR(Table1[[#This Row],[Reporting date]])-1,YEAR(Table1[[#This Row],[Reporting date]]))</f>
        <v>2010</v>
      </c>
      <c r="AD928" s="17">
        <f>Table1[[#This Row],[Reporting year (shifted)]]-Table1[[#This Row],[Policy Year (shifted)]]</f>
        <v>0</v>
      </c>
    </row>
    <row r="929" spans="1:30" ht="13.9">
      <c r="A929" s="8" t="s">
        <v>2699</v>
      </c>
      <c r="B929" s="8" t="s">
        <v>981</v>
      </c>
      <c r="C929" s="8" t="s">
        <v>118</v>
      </c>
      <c r="D929" s="9">
        <v>39895</v>
      </c>
      <c r="E929" s="9">
        <v>39896</v>
      </c>
      <c r="F929" s="17">
        <f>IF(MONTH(Table1[[#This Row],[Loss date]])&lt;Policy_Inception_Month,YEAR(Table1[[#This Row],[Loss date]])-1,YEAR(Table1[[#This Row],[Loss date]]))</f>
        <v>2008</v>
      </c>
      <c r="G929" s="10" t="s">
        <v>131</v>
      </c>
      <c r="H929" s="10" t="s">
        <v>2</v>
      </c>
      <c r="I929" s="11">
        <v>1525.4757446161573</v>
      </c>
      <c r="J929" s="11">
        <v>0</v>
      </c>
      <c r="K929" s="11">
        <v>1525.4757446161573</v>
      </c>
      <c r="L929" s="12">
        <v>0</v>
      </c>
      <c r="M929" s="12">
        <v>0</v>
      </c>
      <c r="N929" s="12">
        <v>1525.4757446161573</v>
      </c>
      <c r="O929" s="70">
        <f>IF(Table1[[#This Row],[Overall amount]]=0,0,1)</f>
        <v>1</v>
      </c>
      <c r="P929" s="70">
        <f>Table1[[#This Row],[Overall amount]]*Exchange_Rate</f>
        <v>1525.4757446161573</v>
      </c>
      <c r="Q929" s="70">
        <f>Table1[[#This Row],[Overall (destination currency)]]*(1+Claims_Inflation)^((Revalue_at_date-Table1[[#This Row],[Loss date]])/365.25)</f>
        <v>2097.2520000000009</v>
      </c>
      <c r="R929" s="70">
        <f>INT(Table1[[#This Row],[Reporting date]])-INT(Table1[[#This Row],[Loss date]])</f>
        <v>1</v>
      </c>
      <c r="S929" s="69" t="s">
        <v>9</v>
      </c>
      <c r="T929" s="70">
        <f>VLOOKUP(Table1[[#This Row],[Policy Year]],exposure_table,3,FALSE)</f>
        <v>601.98581780480015</v>
      </c>
      <c r="U929" s="17">
        <f>IF(MONTH(Table1[[#This Row],[Reporting date]])&lt;Policy_Inception_Month,YEAR(Table1[[#This Row],[Reporting date]])-1,YEAR(Table1[[#This Row],[Reporting date]]))</f>
        <v>2008</v>
      </c>
      <c r="V929" s="17">
        <f>Table1[[#This Row],[Reporting year]]-Table1[[#This Row],[Policy Year]]</f>
        <v>0</v>
      </c>
      <c r="W929" s="17">
        <f>INT(Table1[[#This Row],[Reporting date]])-INT(Table1[[#This Row],[Loss date]])</f>
        <v>1</v>
      </c>
      <c r="X929" s="17">
        <f>INT((YEAR(Table1[[#This Row],[Loss date]])*12+MONTH(Table1[[#This Row],[Loss date]])-Earliest_Month)/4)</f>
        <v>11</v>
      </c>
      <c r="Y929" s="17">
        <f>INT((YEAR(Table1[[#This Row],[Reporting date]])*12+MONTH(Table1[[#This Row],[Reporting date]])-Earliest_Month)/4)</f>
        <v>11</v>
      </c>
      <c r="Z929" s="17">
        <f>Table1[[#This Row],[Reporting third]]-Table1[[#This Row],[Policy third]]</f>
        <v>0</v>
      </c>
      <c r="AA929" s="71">
        <f>IF(Table1[[#This Row],[Overall amount]]=0,"N/A",Table1[[#This Row],[Outstanding]]/Table1[[#This Row],[Overall amount]])</f>
        <v>0</v>
      </c>
      <c r="AB929" s="17">
        <f>IF(MONTH(Table1[[#This Row],[Loss date]])&lt;Pol_Inc_Month_Shifted,YEAR(Table1[[#This Row],[Loss date]])-1,YEAR(Table1[[#This Row],[Loss date]]))</f>
        <v>2008</v>
      </c>
      <c r="AC929" s="17">
        <f>IF(MONTH(Table1[[#This Row],[Reporting date]])&lt;Pol_Inc_Month_Shifted,YEAR(Table1[[#This Row],[Reporting date]])-1,YEAR(Table1[[#This Row],[Reporting date]]))</f>
        <v>2008</v>
      </c>
      <c r="AD929" s="17">
        <f>Table1[[#This Row],[Reporting year (shifted)]]-Table1[[#This Row],[Policy Year (shifted)]]</f>
        <v>0</v>
      </c>
    </row>
    <row r="930" spans="1:30" ht="13.9">
      <c r="A930" s="8" t="s">
        <v>2700</v>
      </c>
      <c r="B930" s="8" t="s">
        <v>982</v>
      </c>
      <c r="C930" s="8" t="s">
        <v>118</v>
      </c>
      <c r="D930" s="9">
        <v>39703</v>
      </c>
      <c r="E930" s="9">
        <v>39894</v>
      </c>
      <c r="F930" s="17">
        <f>IF(MONTH(Table1[[#This Row],[Loss date]])&lt;Policy_Inception_Month,YEAR(Table1[[#This Row],[Loss date]])-1,YEAR(Table1[[#This Row],[Loss date]]))</f>
        <v>2008</v>
      </c>
      <c r="G930" s="10" t="s">
        <v>121</v>
      </c>
      <c r="H930" s="10" t="s">
        <v>2</v>
      </c>
      <c r="I930" s="11">
        <v>578.50394578160751</v>
      </c>
      <c r="J930" s="11">
        <v>0</v>
      </c>
      <c r="K930" s="11">
        <v>578.50394578160751</v>
      </c>
      <c r="L930" s="12">
        <v>0</v>
      </c>
      <c r="M930" s="12">
        <v>0</v>
      </c>
      <c r="N930" s="12">
        <v>578.50394578160751</v>
      </c>
      <c r="O930" s="70">
        <f>IF(Table1[[#This Row],[Overall amount]]=0,0,1)</f>
        <v>1</v>
      </c>
      <c r="P930" s="70">
        <f>Table1[[#This Row],[Overall amount]]*Exchange_Rate</f>
        <v>578.50394578160751</v>
      </c>
      <c r="Q930" s="70">
        <f>Table1[[#This Row],[Overall (destination currency)]]*(1+Claims_Inflation)^((Revalue_at_date-Table1[[#This Row],[Loss date]])/365.25)</f>
        <v>816.00000000000023</v>
      </c>
      <c r="R930" s="70">
        <f>INT(Table1[[#This Row],[Reporting date]])-INT(Table1[[#This Row],[Loss date]])</f>
        <v>191</v>
      </c>
      <c r="S930" s="69" t="s">
        <v>9</v>
      </c>
      <c r="T930" s="70">
        <f>VLOOKUP(Table1[[#This Row],[Policy Year]],exposure_table,3,FALSE)</f>
        <v>601.98581780480015</v>
      </c>
      <c r="U930" s="17">
        <f>IF(MONTH(Table1[[#This Row],[Reporting date]])&lt;Policy_Inception_Month,YEAR(Table1[[#This Row],[Reporting date]])-1,YEAR(Table1[[#This Row],[Reporting date]]))</f>
        <v>2008</v>
      </c>
      <c r="V930" s="17">
        <f>Table1[[#This Row],[Reporting year]]-Table1[[#This Row],[Policy Year]]</f>
        <v>0</v>
      </c>
      <c r="W930" s="17">
        <f>INT(Table1[[#This Row],[Reporting date]])-INT(Table1[[#This Row],[Loss date]])</f>
        <v>191</v>
      </c>
      <c r="X930" s="17">
        <f>INT((YEAR(Table1[[#This Row],[Loss date]])*12+MONTH(Table1[[#This Row],[Loss date]])-Earliest_Month)/4)</f>
        <v>10</v>
      </c>
      <c r="Y930" s="17">
        <f>INT((YEAR(Table1[[#This Row],[Reporting date]])*12+MONTH(Table1[[#This Row],[Reporting date]])-Earliest_Month)/4)</f>
        <v>11</v>
      </c>
      <c r="Z930" s="17">
        <f>Table1[[#This Row],[Reporting third]]-Table1[[#This Row],[Policy third]]</f>
        <v>1</v>
      </c>
      <c r="AA930" s="71">
        <f>IF(Table1[[#This Row],[Overall amount]]=0,"N/A",Table1[[#This Row],[Outstanding]]/Table1[[#This Row],[Overall amount]])</f>
        <v>0</v>
      </c>
      <c r="AB930" s="17">
        <f>IF(MONTH(Table1[[#This Row],[Loss date]])&lt;Pol_Inc_Month_Shifted,YEAR(Table1[[#This Row],[Loss date]])-1,YEAR(Table1[[#This Row],[Loss date]]))</f>
        <v>2007</v>
      </c>
      <c r="AC930" s="17">
        <f>IF(MONTH(Table1[[#This Row],[Reporting date]])&lt;Pol_Inc_Month_Shifted,YEAR(Table1[[#This Row],[Reporting date]])-1,YEAR(Table1[[#This Row],[Reporting date]]))</f>
        <v>2008</v>
      </c>
      <c r="AD930" s="17">
        <f>Table1[[#This Row],[Reporting year (shifted)]]-Table1[[#This Row],[Policy Year (shifted)]]</f>
        <v>1</v>
      </c>
    </row>
    <row r="931" spans="1:30" ht="13.9">
      <c r="A931" s="8" t="s">
        <v>2701</v>
      </c>
      <c r="B931" s="8" t="s">
        <v>983</v>
      </c>
      <c r="C931" s="8" t="s">
        <v>118</v>
      </c>
      <c r="D931" s="9">
        <v>40178</v>
      </c>
      <c r="E931" s="9">
        <v>40181</v>
      </c>
      <c r="F931" s="17">
        <f>IF(MONTH(Table1[[#This Row],[Loss date]])&lt;Policy_Inception_Month,YEAR(Table1[[#This Row],[Loss date]])-1,YEAR(Table1[[#This Row],[Loss date]]))</f>
        <v>2009</v>
      </c>
      <c r="G931" s="10" t="s">
        <v>132</v>
      </c>
      <c r="H931" s="10" t="s">
        <v>2</v>
      </c>
      <c r="I931" s="11">
        <v>565.18432915137862</v>
      </c>
      <c r="J931" s="11">
        <v>0</v>
      </c>
      <c r="K931" s="11">
        <v>565.18432915137862</v>
      </c>
      <c r="L931" s="12">
        <v>0</v>
      </c>
      <c r="M931" s="12">
        <v>0</v>
      </c>
      <c r="N931" s="12">
        <v>565.18432915137862</v>
      </c>
      <c r="O931" s="70">
        <f>IF(Table1[[#This Row],[Overall amount]]=0,0,1)</f>
        <v>1</v>
      </c>
      <c r="P931" s="70">
        <f>Table1[[#This Row],[Overall amount]]*Exchange_Rate</f>
        <v>565.18432915137862</v>
      </c>
      <c r="Q931" s="70">
        <f>Table1[[#This Row],[Overall (destination currency)]]*(1+Claims_Inflation)^((Revalue_at_date-Table1[[#This Row],[Loss date]])/365.25)</f>
        <v>748.19999999999993</v>
      </c>
      <c r="R931" s="70">
        <f>INT(Table1[[#This Row],[Reporting date]])-INT(Table1[[#This Row],[Loss date]])</f>
        <v>3</v>
      </c>
      <c r="S931" s="69" t="s">
        <v>9</v>
      </c>
      <c r="T931" s="70">
        <f>VLOOKUP(Table1[[#This Row],[Policy Year]],exposure_table,3,FALSE)</f>
        <v>760.22808576000011</v>
      </c>
      <c r="U931" s="17">
        <f>IF(MONTH(Table1[[#This Row],[Reporting date]])&lt;Policy_Inception_Month,YEAR(Table1[[#This Row],[Reporting date]])-1,YEAR(Table1[[#This Row],[Reporting date]]))</f>
        <v>2009</v>
      </c>
      <c r="V931" s="17">
        <f>Table1[[#This Row],[Reporting year]]-Table1[[#This Row],[Policy Year]]</f>
        <v>0</v>
      </c>
      <c r="W931" s="17">
        <f>INT(Table1[[#This Row],[Reporting date]])-INT(Table1[[#This Row],[Loss date]])</f>
        <v>3</v>
      </c>
      <c r="X931" s="17">
        <f>INT((YEAR(Table1[[#This Row],[Loss date]])*12+MONTH(Table1[[#This Row],[Loss date]])-Earliest_Month)/4)</f>
        <v>14</v>
      </c>
      <c r="Y931" s="17">
        <f>INT((YEAR(Table1[[#This Row],[Reporting date]])*12+MONTH(Table1[[#This Row],[Reporting date]])-Earliest_Month)/4)</f>
        <v>14</v>
      </c>
      <c r="Z931" s="17">
        <f>Table1[[#This Row],[Reporting third]]-Table1[[#This Row],[Policy third]]</f>
        <v>0</v>
      </c>
      <c r="AA931" s="71">
        <f>IF(Table1[[#This Row],[Overall amount]]=0,"N/A",Table1[[#This Row],[Outstanding]]/Table1[[#This Row],[Overall amount]])</f>
        <v>0</v>
      </c>
      <c r="AB931" s="17">
        <f>IF(MONTH(Table1[[#This Row],[Loss date]])&lt;Pol_Inc_Month_Shifted,YEAR(Table1[[#This Row],[Loss date]])-1,YEAR(Table1[[#This Row],[Loss date]]))</f>
        <v>2009</v>
      </c>
      <c r="AC931" s="17">
        <f>IF(MONTH(Table1[[#This Row],[Reporting date]])&lt;Pol_Inc_Month_Shifted,YEAR(Table1[[#This Row],[Reporting date]])-1,YEAR(Table1[[#This Row],[Reporting date]]))</f>
        <v>2009</v>
      </c>
      <c r="AD931" s="17">
        <f>Table1[[#This Row],[Reporting year (shifted)]]-Table1[[#This Row],[Policy Year (shifted)]]</f>
        <v>0</v>
      </c>
    </row>
    <row r="932" spans="1:30" ht="13.9">
      <c r="A932" s="8" t="s">
        <v>2702</v>
      </c>
      <c r="B932" s="8" t="s">
        <v>984</v>
      </c>
      <c r="C932" s="8" t="s">
        <v>118</v>
      </c>
      <c r="D932" s="9">
        <v>40370</v>
      </c>
      <c r="E932" s="9">
        <v>40377</v>
      </c>
      <c r="F932" s="17">
        <f>IF(MONTH(Table1[[#This Row],[Loss date]])&lt;Policy_Inception_Month,YEAR(Table1[[#This Row],[Loss date]])-1,YEAR(Table1[[#This Row],[Loss date]]))</f>
        <v>2010</v>
      </c>
      <c r="G932" s="10" t="s">
        <v>132</v>
      </c>
      <c r="H932" s="10" t="s">
        <v>2</v>
      </c>
      <c r="I932" s="11">
        <v>485.47031530939438</v>
      </c>
      <c r="J932" s="11">
        <v>0</v>
      </c>
      <c r="K932" s="11">
        <v>485.47031530939438</v>
      </c>
      <c r="L932" s="12">
        <v>0</v>
      </c>
      <c r="M932" s="12">
        <v>0</v>
      </c>
      <c r="N932" s="12">
        <v>485.47031530939438</v>
      </c>
      <c r="O932" s="70">
        <f>IF(Table1[[#This Row],[Overall amount]]=0,0,1)</f>
        <v>1</v>
      </c>
      <c r="P932" s="70">
        <f>Table1[[#This Row],[Overall amount]]*Exchange_Rate</f>
        <v>485.47031530939438</v>
      </c>
      <c r="Q932" s="70">
        <f>Table1[[#This Row],[Overall (destination currency)]]*(1+Claims_Inflation)^((Revalue_at_date-Table1[[#This Row],[Loss date]])/365.25)</f>
        <v>626.4</v>
      </c>
      <c r="R932" s="70">
        <f>INT(Table1[[#This Row],[Reporting date]])-INT(Table1[[#This Row],[Loss date]])</f>
        <v>7</v>
      </c>
      <c r="S932" s="69" t="s">
        <v>9</v>
      </c>
      <c r="T932" s="70">
        <f>VLOOKUP(Table1[[#This Row],[Policy Year]],exposure_table,3,FALSE)</f>
        <v>837.11513600000012</v>
      </c>
      <c r="U932" s="17">
        <f>IF(MONTH(Table1[[#This Row],[Reporting date]])&lt;Policy_Inception_Month,YEAR(Table1[[#This Row],[Reporting date]])-1,YEAR(Table1[[#This Row],[Reporting date]]))</f>
        <v>2010</v>
      </c>
      <c r="V932" s="17">
        <f>Table1[[#This Row],[Reporting year]]-Table1[[#This Row],[Policy Year]]</f>
        <v>0</v>
      </c>
      <c r="W932" s="17">
        <f>INT(Table1[[#This Row],[Reporting date]])-INT(Table1[[#This Row],[Loss date]])</f>
        <v>7</v>
      </c>
      <c r="X932" s="17">
        <f>INT((YEAR(Table1[[#This Row],[Loss date]])*12+MONTH(Table1[[#This Row],[Loss date]])-Earliest_Month)/4)</f>
        <v>15</v>
      </c>
      <c r="Y932" s="17">
        <f>INT((YEAR(Table1[[#This Row],[Reporting date]])*12+MONTH(Table1[[#This Row],[Reporting date]])-Earliest_Month)/4)</f>
        <v>15</v>
      </c>
      <c r="Z932" s="17">
        <f>Table1[[#This Row],[Reporting third]]-Table1[[#This Row],[Policy third]]</f>
        <v>0</v>
      </c>
      <c r="AA932" s="71">
        <f>IF(Table1[[#This Row],[Overall amount]]=0,"N/A",Table1[[#This Row],[Outstanding]]/Table1[[#This Row],[Overall amount]])</f>
        <v>0</v>
      </c>
      <c r="AB932" s="17">
        <f>IF(MONTH(Table1[[#This Row],[Loss date]])&lt;Pol_Inc_Month_Shifted,YEAR(Table1[[#This Row],[Loss date]])-1,YEAR(Table1[[#This Row],[Loss date]]))</f>
        <v>2009</v>
      </c>
      <c r="AC932" s="17">
        <f>IF(MONTH(Table1[[#This Row],[Reporting date]])&lt;Pol_Inc_Month_Shifted,YEAR(Table1[[#This Row],[Reporting date]])-1,YEAR(Table1[[#This Row],[Reporting date]]))</f>
        <v>2009</v>
      </c>
      <c r="AD932" s="17">
        <f>Table1[[#This Row],[Reporting year (shifted)]]-Table1[[#This Row],[Policy Year (shifted)]]</f>
        <v>0</v>
      </c>
    </row>
    <row r="933" spans="1:30" ht="13.9">
      <c r="A933" s="8" t="s">
        <v>2703</v>
      </c>
      <c r="B933" s="8" t="s">
        <v>985</v>
      </c>
      <c r="C933" s="8" t="s">
        <v>118</v>
      </c>
      <c r="D933" s="9">
        <v>40478</v>
      </c>
      <c r="E933" s="9">
        <v>40483</v>
      </c>
      <c r="F933" s="17">
        <f>IF(MONTH(Table1[[#This Row],[Loss date]])&lt;Policy_Inception_Month,YEAR(Table1[[#This Row],[Loss date]])-1,YEAR(Table1[[#This Row],[Loss date]]))</f>
        <v>2010</v>
      </c>
      <c r="G933" s="10" t="s">
        <v>145</v>
      </c>
      <c r="H933" s="10" t="s">
        <v>2</v>
      </c>
      <c r="I933" s="11">
        <v>465.16230605304611</v>
      </c>
      <c r="J933" s="11">
        <v>0</v>
      </c>
      <c r="K933" s="11">
        <v>465.16230605304611</v>
      </c>
      <c r="L933" s="12">
        <v>0</v>
      </c>
      <c r="M933" s="12">
        <v>0.46516230605304609</v>
      </c>
      <c r="N933" s="12">
        <v>464.69714374699305</v>
      </c>
      <c r="O933" s="70">
        <f>IF(Table1[[#This Row],[Overall amount]]=0,0,1)</f>
        <v>1</v>
      </c>
      <c r="P933" s="70">
        <f>Table1[[#This Row],[Overall amount]]*Exchange_Rate</f>
        <v>464.69714374699305</v>
      </c>
      <c r="Q933" s="70">
        <f>Table1[[#This Row],[Overall (destination currency)]]*(1+Claims_Inflation)^((Revalue_at_date-Table1[[#This Row],[Loss date]])/365.25)</f>
        <v>591.00839999999994</v>
      </c>
      <c r="R933" s="70">
        <f>INT(Table1[[#This Row],[Reporting date]])-INT(Table1[[#This Row],[Loss date]])</f>
        <v>5</v>
      </c>
      <c r="S933" s="69" t="s">
        <v>9</v>
      </c>
      <c r="T933" s="70">
        <f>VLOOKUP(Table1[[#This Row],[Policy Year]],exposure_table,3,FALSE)</f>
        <v>837.11513600000012</v>
      </c>
      <c r="U933" s="17">
        <f>IF(MONTH(Table1[[#This Row],[Reporting date]])&lt;Policy_Inception_Month,YEAR(Table1[[#This Row],[Reporting date]])-1,YEAR(Table1[[#This Row],[Reporting date]]))</f>
        <v>2010</v>
      </c>
      <c r="V933" s="17">
        <f>Table1[[#This Row],[Reporting year]]-Table1[[#This Row],[Policy Year]]</f>
        <v>0</v>
      </c>
      <c r="W933" s="17">
        <f>INT(Table1[[#This Row],[Reporting date]])-INT(Table1[[#This Row],[Loss date]])</f>
        <v>5</v>
      </c>
      <c r="X933" s="17">
        <f>INT((YEAR(Table1[[#This Row],[Loss date]])*12+MONTH(Table1[[#This Row],[Loss date]])-Earliest_Month)/4)</f>
        <v>16</v>
      </c>
      <c r="Y933" s="17">
        <f>INT((YEAR(Table1[[#This Row],[Reporting date]])*12+MONTH(Table1[[#This Row],[Reporting date]])-Earliest_Month)/4)</f>
        <v>16</v>
      </c>
      <c r="Z933" s="17">
        <f>Table1[[#This Row],[Reporting third]]-Table1[[#This Row],[Policy third]]</f>
        <v>0</v>
      </c>
      <c r="AA933" s="71">
        <f>IF(Table1[[#This Row],[Overall amount]]=0,"N/A",Table1[[#This Row],[Outstanding]]/Table1[[#This Row],[Overall amount]])</f>
        <v>0</v>
      </c>
      <c r="AB933" s="17">
        <f>IF(MONTH(Table1[[#This Row],[Loss date]])&lt;Pol_Inc_Month_Shifted,YEAR(Table1[[#This Row],[Loss date]])-1,YEAR(Table1[[#This Row],[Loss date]]))</f>
        <v>2009</v>
      </c>
      <c r="AC933" s="17">
        <f>IF(MONTH(Table1[[#This Row],[Reporting date]])&lt;Pol_Inc_Month_Shifted,YEAR(Table1[[#This Row],[Reporting date]])-1,YEAR(Table1[[#This Row],[Reporting date]]))</f>
        <v>2009</v>
      </c>
      <c r="AD933" s="17">
        <f>Table1[[#This Row],[Reporting year (shifted)]]-Table1[[#This Row],[Policy Year (shifted)]]</f>
        <v>0</v>
      </c>
    </row>
    <row r="934" spans="1:30" ht="13.9">
      <c r="A934" s="8" t="s">
        <v>2704</v>
      </c>
      <c r="B934" s="8" t="s">
        <v>986</v>
      </c>
      <c r="C934" s="8" t="s">
        <v>118</v>
      </c>
      <c r="D934" s="9">
        <v>39890</v>
      </c>
      <c r="E934" s="9">
        <v>39901</v>
      </c>
      <c r="F934" s="17">
        <f>IF(MONTH(Table1[[#This Row],[Loss date]])&lt;Policy_Inception_Month,YEAR(Table1[[#This Row],[Loss date]])-1,YEAR(Table1[[#This Row],[Loss date]]))</f>
        <v>2008</v>
      </c>
      <c r="G934" s="10" t="s">
        <v>130</v>
      </c>
      <c r="H934" s="10" t="s">
        <v>2</v>
      </c>
      <c r="I934" s="11">
        <v>642.56764500725978</v>
      </c>
      <c r="J934" s="11">
        <v>0</v>
      </c>
      <c r="K934" s="11">
        <v>642.56764500725978</v>
      </c>
      <c r="L934" s="12">
        <v>0</v>
      </c>
      <c r="M934" s="12">
        <v>43.052032215486413</v>
      </c>
      <c r="N934" s="12">
        <v>599.51561279177338</v>
      </c>
      <c r="O934" s="70">
        <f>IF(Table1[[#This Row],[Overall amount]]=0,0,1)</f>
        <v>1</v>
      </c>
      <c r="P934" s="70">
        <f>Table1[[#This Row],[Overall amount]]*Exchange_Rate</f>
        <v>599.51561279177338</v>
      </c>
      <c r="Q934" s="70">
        <f>Table1[[#This Row],[Overall (destination currency)]]*(1+Claims_Inflation)^((Revalue_at_date-Table1[[#This Row],[Loss date]])/365.25)</f>
        <v>824.77573199999983</v>
      </c>
      <c r="R934" s="70">
        <f>INT(Table1[[#This Row],[Reporting date]])-INT(Table1[[#This Row],[Loss date]])</f>
        <v>11</v>
      </c>
      <c r="S934" s="69" t="s">
        <v>9</v>
      </c>
      <c r="T934" s="70">
        <f>VLOOKUP(Table1[[#This Row],[Policy Year]],exposure_table,3,FALSE)</f>
        <v>601.98581780480015</v>
      </c>
      <c r="U934" s="17">
        <f>IF(MONTH(Table1[[#This Row],[Reporting date]])&lt;Policy_Inception_Month,YEAR(Table1[[#This Row],[Reporting date]])-1,YEAR(Table1[[#This Row],[Reporting date]]))</f>
        <v>2008</v>
      </c>
      <c r="V934" s="17">
        <f>Table1[[#This Row],[Reporting year]]-Table1[[#This Row],[Policy Year]]</f>
        <v>0</v>
      </c>
      <c r="W934" s="17">
        <f>INT(Table1[[#This Row],[Reporting date]])-INT(Table1[[#This Row],[Loss date]])</f>
        <v>11</v>
      </c>
      <c r="X934" s="17">
        <f>INT((YEAR(Table1[[#This Row],[Loss date]])*12+MONTH(Table1[[#This Row],[Loss date]])-Earliest_Month)/4)</f>
        <v>11</v>
      </c>
      <c r="Y934" s="17">
        <f>INT((YEAR(Table1[[#This Row],[Reporting date]])*12+MONTH(Table1[[#This Row],[Reporting date]])-Earliest_Month)/4)</f>
        <v>11</v>
      </c>
      <c r="Z934" s="17">
        <f>Table1[[#This Row],[Reporting third]]-Table1[[#This Row],[Policy third]]</f>
        <v>0</v>
      </c>
      <c r="AA934" s="71">
        <f>IF(Table1[[#This Row],[Overall amount]]=0,"N/A",Table1[[#This Row],[Outstanding]]/Table1[[#This Row],[Overall amount]])</f>
        <v>0</v>
      </c>
      <c r="AB934" s="17">
        <f>IF(MONTH(Table1[[#This Row],[Loss date]])&lt;Pol_Inc_Month_Shifted,YEAR(Table1[[#This Row],[Loss date]])-1,YEAR(Table1[[#This Row],[Loss date]]))</f>
        <v>2008</v>
      </c>
      <c r="AC934" s="17">
        <f>IF(MONTH(Table1[[#This Row],[Reporting date]])&lt;Pol_Inc_Month_Shifted,YEAR(Table1[[#This Row],[Reporting date]])-1,YEAR(Table1[[#This Row],[Reporting date]]))</f>
        <v>2008</v>
      </c>
      <c r="AD934" s="17">
        <f>Table1[[#This Row],[Reporting year (shifted)]]-Table1[[#This Row],[Policy Year (shifted)]]</f>
        <v>0</v>
      </c>
    </row>
    <row r="935" spans="1:30" ht="13.9">
      <c r="A935" s="8" t="s">
        <v>2705</v>
      </c>
      <c r="B935" s="8" t="s">
        <v>987</v>
      </c>
      <c r="C935" s="8" t="s">
        <v>118</v>
      </c>
      <c r="D935" s="9">
        <v>40610</v>
      </c>
      <c r="E935" s="9">
        <v>40614</v>
      </c>
      <c r="F935" s="17">
        <f>IF(MONTH(Table1[[#This Row],[Loss date]])&lt;Policy_Inception_Month,YEAR(Table1[[#This Row],[Loss date]])-1,YEAR(Table1[[#This Row],[Loss date]]))</f>
        <v>2010</v>
      </c>
      <c r="G935" s="10" t="s">
        <v>132</v>
      </c>
      <c r="H935" s="10" t="s">
        <v>2</v>
      </c>
      <c r="I935" s="11">
        <v>5742.1288961237451</v>
      </c>
      <c r="J935" s="11">
        <v>0</v>
      </c>
      <c r="K935" s="11">
        <v>5742.1288961237451</v>
      </c>
      <c r="L935" s="12">
        <v>0</v>
      </c>
      <c r="M935" s="12">
        <v>0</v>
      </c>
      <c r="N935" s="12">
        <v>5742.1288961237451</v>
      </c>
      <c r="O935" s="70">
        <f>IF(Table1[[#This Row],[Overall amount]]=0,0,1)</f>
        <v>1</v>
      </c>
      <c r="P935" s="70">
        <f>Table1[[#This Row],[Overall amount]]*Exchange_Rate</f>
        <v>5742.1288961237451</v>
      </c>
      <c r="Q935" s="70">
        <f>Table1[[#This Row],[Overall (destination currency)]]*(1+Claims_Inflation)^((Revalue_at_date-Table1[[#This Row],[Loss date]])/365.25)</f>
        <v>7175.2800000000007</v>
      </c>
      <c r="R935" s="70">
        <f>INT(Table1[[#This Row],[Reporting date]])-INT(Table1[[#This Row],[Loss date]])</f>
        <v>4</v>
      </c>
      <c r="S935" s="69" t="s">
        <v>9</v>
      </c>
      <c r="T935" s="70">
        <f>VLOOKUP(Table1[[#This Row],[Policy Year]],exposure_table,3,FALSE)</f>
        <v>837.11513600000012</v>
      </c>
      <c r="U935" s="17">
        <f>IF(MONTH(Table1[[#This Row],[Reporting date]])&lt;Policy_Inception_Month,YEAR(Table1[[#This Row],[Reporting date]])-1,YEAR(Table1[[#This Row],[Reporting date]]))</f>
        <v>2010</v>
      </c>
      <c r="V935" s="17">
        <f>Table1[[#This Row],[Reporting year]]-Table1[[#This Row],[Policy Year]]</f>
        <v>0</v>
      </c>
      <c r="W935" s="17">
        <f>INT(Table1[[#This Row],[Reporting date]])-INT(Table1[[#This Row],[Loss date]])</f>
        <v>4</v>
      </c>
      <c r="X935" s="17">
        <f>INT((YEAR(Table1[[#This Row],[Loss date]])*12+MONTH(Table1[[#This Row],[Loss date]])-Earliest_Month)/4)</f>
        <v>17</v>
      </c>
      <c r="Y935" s="17">
        <f>INT((YEAR(Table1[[#This Row],[Reporting date]])*12+MONTH(Table1[[#This Row],[Reporting date]])-Earliest_Month)/4)</f>
        <v>17</v>
      </c>
      <c r="Z935" s="17">
        <f>Table1[[#This Row],[Reporting third]]-Table1[[#This Row],[Policy third]]</f>
        <v>0</v>
      </c>
      <c r="AA935" s="71">
        <f>IF(Table1[[#This Row],[Overall amount]]=0,"N/A",Table1[[#This Row],[Outstanding]]/Table1[[#This Row],[Overall amount]])</f>
        <v>0</v>
      </c>
      <c r="AB935" s="17">
        <f>IF(MONTH(Table1[[#This Row],[Loss date]])&lt;Pol_Inc_Month_Shifted,YEAR(Table1[[#This Row],[Loss date]])-1,YEAR(Table1[[#This Row],[Loss date]]))</f>
        <v>2010</v>
      </c>
      <c r="AC935" s="17">
        <f>IF(MONTH(Table1[[#This Row],[Reporting date]])&lt;Pol_Inc_Month_Shifted,YEAR(Table1[[#This Row],[Reporting date]])-1,YEAR(Table1[[#This Row],[Reporting date]]))</f>
        <v>2010</v>
      </c>
      <c r="AD935" s="17">
        <f>Table1[[#This Row],[Reporting year (shifted)]]-Table1[[#This Row],[Policy Year (shifted)]]</f>
        <v>0</v>
      </c>
    </row>
    <row r="936" spans="1:30" ht="13.9">
      <c r="A936" s="8" t="s">
        <v>2706</v>
      </c>
      <c r="B936" s="8" t="s">
        <v>988</v>
      </c>
      <c r="C936" s="8" t="s">
        <v>118</v>
      </c>
      <c r="D936" s="9">
        <v>40884</v>
      </c>
      <c r="E936" s="9">
        <v>40892</v>
      </c>
      <c r="F936" s="17">
        <f>IF(MONTH(Table1[[#This Row],[Loss date]])&lt;Policy_Inception_Month,YEAR(Table1[[#This Row],[Loss date]])-1,YEAR(Table1[[#This Row],[Loss date]]))</f>
        <v>2011</v>
      </c>
      <c r="G936" s="10" t="s">
        <v>132</v>
      </c>
      <c r="H936" s="10" t="s">
        <v>2</v>
      </c>
      <c r="I936" s="11">
        <v>823.29179648297554</v>
      </c>
      <c r="J936" s="11">
        <v>0</v>
      </c>
      <c r="K936" s="11">
        <v>823.29179648297554</v>
      </c>
      <c r="L936" s="12">
        <v>149.41774890798104</v>
      </c>
      <c r="M936" s="12">
        <v>0</v>
      </c>
      <c r="N936" s="12">
        <v>972.70954539095658</v>
      </c>
      <c r="O936" s="70">
        <f>IF(Table1[[#This Row],[Overall amount]]=0,0,1)</f>
        <v>1</v>
      </c>
      <c r="P936" s="70">
        <f>Table1[[#This Row],[Overall amount]]*Exchange_Rate</f>
        <v>972.70954539095658</v>
      </c>
      <c r="Q936" s="70">
        <f>Table1[[#This Row],[Overall (destination currency)]]*(1+Claims_Inflation)^((Revalue_at_date-Table1[[#This Row],[Loss date]])/365.25)</f>
        <v>1171.8</v>
      </c>
      <c r="R936" s="70">
        <f>INT(Table1[[#This Row],[Reporting date]])-INT(Table1[[#This Row],[Loss date]])</f>
        <v>8</v>
      </c>
      <c r="S936" s="69" t="s">
        <v>9</v>
      </c>
      <c r="T936" s="70">
        <f>VLOOKUP(Table1[[#This Row],[Policy Year]],exposure_table,3,FALSE)</f>
        <v>870.52680000000009</v>
      </c>
      <c r="U936" s="17">
        <f>IF(MONTH(Table1[[#This Row],[Reporting date]])&lt;Policy_Inception_Month,YEAR(Table1[[#This Row],[Reporting date]])-1,YEAR(Table1[[#This Row],[Reporting date]]))</f>
        <v>2011</v>
      </c>
      <c r="V936" s="17">
        <f>Table1[[#This Row],[Reporting year]]-Table1[[#This Row],[Policy Year]]</f>
        <v>0</v>
      </c>
      <c r="W936" s="17">
        <f>INT(Table1[[#This Row],[Reporting date]])-INT(Table1[[#This Row],[Loss date]])</f>
        <v>8</v>
      </c>
      <c r="X936" s="17">
        <f>INT((YEAR(Table1[[#This Row],[Loss date]])*12+MONTH(Table1[[#This Row],[Loss date]])-Earliest_Month)/4)</f>
        <v>20</v>
      </c>
      <c r="Y936" s="17">
        <f>INT((YEAR(Table1[[#This Row],[Reporting date]])*12+MONTH(Table1[[#This Row],[Reporting date]])-Earliest_Month)/4)</f>
        <v>20</v>
      </c>
      <c r="Z936" s="17">
        <f>Table1[[#This Row],[Reporting third]]-Table1[[#This Row],[Policy third]]</f>
        <v>0</v>
      </c>
      <c r="AA936" s="71">
        <f>IF(Table1[[#This Row],[Overall amount]]=0,"N/A",Table1[[#This Row],[Outstanding]]/Table1[[#This Row],[Overall amount]])</f>
        <v>0</v>
      </c>
      <c r="AB936" s="17">
        <f>IF(MONTH(Table1[[#This Row],[Loss date]])&lt;Pol_Inc_Month_Shifted,YEAR(Table1[[#This Row],[Loss date]])-1,YEAR(Table1[[#This Row],[Loss date]]))</f>
        <v>2011</v>
      </c>
      <c r="AC936" s="17">
        <f>IF(MONTH(Table1[[#This Row],[Reporting date]])&lt;Pol_Inc_Month_Shifted,YEAR(Table1[[#This Row],[Reporting date]])-1,YEAR(Table1[[#This Row],[Reporting date]]))</f>
        <v>2011</v>
      </c>
      <c r="AD936" s="17">
        <f>Table1[[#This Row],[Reporting year (shifted)]]-Table1[[#This Row],[Policy Year (shifted)]]</f>
        <v>0</v>
      </c>
    </row>
    <row r="937" spans="1:30" ht="13.9">
      <c r="A937" s="8" t="s">
        <v>2707</v>
      </c>
      <c r="B937" s="8" t="s">
        <v>989</v>
      </c>
      <c r="C937" s="8" t="s">
        <v>118</v>
      </c>
      <c r="D937" s="9">
        <v>40053</v>
      </c>
      <c r="E937" s="9">
        <v>40053</v>
      </c>
      <c r="F937" s="17">
        <f>IF(MONTH(Table1[[#This Row],[Loss date]])&lt;Policy_Inception_Month,YEAR(Table1[[#This Row],[Loss date]])-1,YEAR(Table1[[#This Row],[Loss date]]))</f>
        <v>2009</v>
      </c>
      <c r="G937" s="10" t="s">
        <v>145</v>
      </c>
      <c r="H937" s="10" t="s">
        <v>2</v>
      </c>
      <c r="I937" s="11">
        <v>1137.5033539383799</v>
      </c>
      <c r="J937" s="11">
        <v>0</v>
      </c>
      <c r="K937" s="11">
        <v>1137.5033539383799</v>
      </c>
      <c r="L937" s="12">
        <v>0</v>
      </c>
      <c r="M937" s="12">
        <v>0</v>
      </c>
      <c r="N937" s="12">
        <v>1137.5033539383799</v>
      </c>
      <c r="O937" s="70">
        <f>IF(Table1[[#This Row],[Overall amount]]=0,0,1)</f>
        <v>1</v>
      </c>
      <c r="P937" s="70">
        <f>Table1[[#This Row],[Overall amount]]*Exchange_Rate</f>
        <v>1137.5033539383799</v>
      </c>
      <c r="Q937" s="70">
        <f>Table1[[#This Row],[Overall (destination currency)]]*(1+Claims_Inflation)^((Revalue_at_date-Table1[[#This Row],[Loss date]])/365.25)</f>
        <v>1531.2000000000003</v>
      </c>
      <c r="R937" s="70">
        <f>INT(Table1[[#This Row],[Reporting date]])-INT(Table1[[#This Row],[Loss date]])</f>
        <v>0</v>
      </c>
      <c r="S937" s="69" t="s">
        <v>9</v>
      </c>
      <c r="T937" s="70">
        <f>VLOOKUP(Table1[[#This Row],[Policy Year]],exposure_table,3,FALSE)</f>
        <v>760.22808576000011</v>
      </c>
      <c r="U937" s="17">
        <f>IF(MONTH(Table1[[#This Row],[Reporting date]])&lt;Policy_Inception_Month,YEAR(Table1[[#This Row],[Reporting date]])-1,YEAR(Table1[[#This Row],[Reporting date]]))</f>
        <v>2009</v>
      </c>
      <c r="V937" s="17">
        <f>Table1[[#This Row],[Reporting year]]-Table1[[#This Row],[Policy Year]]</f>
        <v>0</v>
      </c>
      <c r="W937" s="17">
        <f>INT(Table1[[#This Row],[Reporting date]])-INT(Table1[[#This Row],[Loss date]])</f>
        <v>0</v>
      </c>
      <c r="X937" s="17">
        <f>INT((YEAR(Table1[[#This Row],[Loss date]])*12+MONTH(Table1[[#This Row],[Loss date]])-Earliest_Month)/4)</f>
        <v>13</v>
      </c>
      <c r="Y937" s="17">
        <f>INT((YEAR(Table1[[#This Row],[Reporting date]])*12+MONTH(Table1[[#This Row],[Reporting date]])-Earliest_Month)/4)</f>
        <v>13</v>
      </c>
      <c r="Z937" s="17">
        <f>Table1[[#This Row],[Reporting third]]-Table1[[#This Row],[Policy third]]</f>
        <v>0</v>
      </c>
      <c r="AA937" s="71">
        <f>IF(Table1[[#This Row],[Overall amount]]=0,"N/A",Table1[[#This Row],[Outstanding]]/Table1[[#This Row],[Overall amount]])</f>
        <v>0</v>
      </c>
      <c r="AB937" s="17">
        <f>IF(MONTH(Table1[[#This Row],[Loss date]])&lt;Pol_Inc_Month_Shifted,YEAR(Table1[[#This Row],[Loss date]])-1,YEAR(Table1[[#This Row],[Loss date]]))</f>
        <v>2008</v>
      </c>
      <c r="AC937" s="17">
        <f>IF(MONTH(Table1[[#This Row],[Reporting date]])&lt;Pol_Inc_Month_Shifted,YEAR(Table1[[#This Row],[Reporting date]])-1,YEAR(Table1[[#This Row],[Reporting date]]))</f>
        <v>2008</v>
      </c>
      <c r="AD937" s="17">
        <f>Table1[[#This Row],[Reporting year (shifted)]]-Table1[[#This Row],[Policy Year (shifted)]]</f>
        <v>0</v>
      </c>
    </row>
    <row r="938" spans="1:30" ht="13.9">
      <c r="A938" s="8" t="s">
        <v>2708</v>
      </c>
      <c r="B938" s="8" t="s">
        <v>990</v>
      </c>
      <c r="C938" s="8" t="s">
        <v>118</v>
      </c>
      <c r="D938" s="9">
        <v>40184</v>
      </c>
      <c r="E938" s="9">
        <v>40194</v>
      </c>
      <c r="F938" s="17">
        <f>IF(MONTH(Table1[[#This Row],[Loss date]])&lt;Policy_Inception_Month,YEAR(Table1[[#This Row],[Loss date]])-1,YEAR(Table1[[#This Row],[Loss date]]))</f>
        <v>2009</v>
      </c>
      <c r="G938" s="10" t="s">
        <v>145</v>
      </c>
      <c r="H938" s="10" t="s">
        <v>2</v>
      </c>
      <c r="I938" s="11">
        <v>618.25493673145786</v>
      </c>
      <c r="J938" s="11">
        <v>0</v>
      </c>
      <c r="K938" s="11">
        <v>618.25493673145786</v>
      </c>
      <c r="L938" s="12">
        <v>0</v>
      </c>
      <c r="M938" s="12">
        <v>0</v>
      </c>
      <c r="N938" s="12">
        <v>618.25493673145786</v>
      </c>
      <c r="O938" s="70">
        <f>IF(Table1[[#This Row],[Overall amount]]=0,0,1)</f>
        <v>1</v>
      </c>
      <c r="P938" s="70">
        <f>Table1[[#This Row],[Overall amount]]*Exchange_Rate</f>
        <v>618.25493673145786</v>
      </c>
      <c r="Q938" s="70">
        <f>Table1[[#This Row],[Overall (destination currency)]]*(1+Claims_Inflation)^((Revalue_at_date-Table1[[#This Row],[Loss date]])/365.25)</f>
        <v>817.80000000000007</v>
      </c>
      <c r="R938" s="70">
        <f>INT(Table1[[#This Row],[Reporting date]])-INT(Table1[[#This Row],[Loss date]])</f>
        <v>10</v>
      </c>
      <c r="S938" s="69" t="s">
        <v>9</v>
      </c>
      <c r="T938" s="70">
        <f>VLOOKUP(Table1[[#This Row],[Policy Year]],exposure_table,3,FALSE)</f>
        <v>760.22808576000011</v>
      </c>
      <c r="U938" s="17">
        <f>IF(MONTH(Table1[[#This Row],[Reporting date]])&lt;Policy_Inception_Month,YEAR(Table1[[#This Row],[Reporting date]])-1,YEAR(Table1[[#This Row],[Reporting date]]))</f>
        <v>2009</v>
      </c>
      <c r="V938" s="17">
        <f>Table1[[#This Row],[Reporting year]]-Table1[[#This Row],[Policy Year]]</f>
        <v>0</v>
      </c>
      <c r="W938" s="17">
        <f>INT(Table1[[#This Row],[Reporting date]])-INT(Table1[[#This Row],[Loss date]])</f>
        <v>10</v>
      </c>
      <c r="X938" s="17">
        <f>INT((YEAR(Table1[[#This Row],[Loss date]])*12+MONTH(Table1[[#This Row],[Loss date]])-Earliest_Month)/4)</f>
        <v>14</v>
      </c>
      <c r="Y938" s="17">
        <f>INT((YEAR(Table1[[#This Row],[Reporting date]])*12+MONTH(Table1[[#This Row],[Reporting date]])-Earliest_Month)/4)</f>
        <v>14</v>
      </c>
      <c r="Z938" s="17">
        <f>Table1[[#This Row],[Reporting third]]-Table1[[#This Row],[Policy third]]</f>
        <v>0</v>
      </c>
      <c r="AA938" s="71">
        <f>IF(Table1[[#This Row],[Overall amount]]=0,"N/A",Table1[[#This Row],[Outstanding]]/Table1[[#This Row],[Overall amount]])</f>
        <v>0</v>
      </c>
      <c r="AB938" s="17">
        <f>IF(MONTH(Table1[[#This Row],[Loss date]])&lt;Pol_Inc_Month_Shifted,YEAR(Table1[[#This Row],[Loss date]])-1,YEAR(Table1[[#This Row],[Loss date]]))</f>
        <v>2009</v>
      </c>
      <c r="AC938" s="17">
        <f>IF(MONTH(Table1[[#This Row],[Reporting date]])&lt;Pol_Inc_Month_Shifted,YEAR(Table1[[#This Row],[Reporting date]])-1,YEAR(Table1[[#This Row],[Reporting date]]))</f>
        <v>2009</v>
      </c>
      <c r="AD938" s="17">
        <f>Table1[[#This Row],[Reporting year (shifted)]]-Table1[[#This Row],[Policy Year (shifted)]]</f>
        <v>0</v>
      </c>
    </row>
    <row r="939" spans="1:30" ht="13.9">
      <c r="A939" s="8" t="s">
        <v>2709</v>
      </c>
      <c r="B939" s="8" t="s">
        <v>991</v>
      </c>
      <c r="C939" s="8" t="s">
        <v>118</v>
      </c>
      <c r="D939" s="9">
        <v>40512</v>
      </c>
      <c r="E939" s="9">
        <v>40552</v>
      </c>
      <c r="F939" s="17">
        <f>IF(MONTH(Table1[[#This Row],[Loss date]])&lt;Policy_Inception_Month,YEAR(Table1[[#This Row],[Loss date]])-1,YEAR(Table1[[#This Row],[Loss date]]))</f>
        <v>2010</v>
      </c>
      <c r="G939" s="10" t="s">
        <v>145</v>
      </c>
      <c r="H939" s="10" t="s">
        <v>2</v>
      </c>
      <c r="I939" s="11">
        <v>810.86780283169549</v>
      </c>
      <c r="J939" s="11">
        <v>0</v>
      </c>
      <c r="K939" s="11">
        <v>810.86780283169549</v>
      </c>
      <c r="L939" s="12">
        <v>0</v>
      </c>
      <c r="M939" s="12">
        <v>0</v>
      </c>
      <c r="N939" s="12">
        <v>810.86780283169549</v>
      </c>
      <c r="O939" s="70">
        <f>IF(Table1[[#This Row],[Overall amount]]=0,0,1)</f>
        <v>1</v>
      </c>
      <c r="P939" s="70">
        <f>Table1[[#This Row],[Overall amount]]*Exchange_Rate</f>
        <v>810.86780283169549</v>
      </c>
      <c r="Q939" s="70">
        <f>Table1[[#This Row],[Overall (destination currency)]]*(1+Claims_Inflation)^((Revalue_at_date-Table1[[#This Row],[Loss date]])/365.25)</f>
        <v>1026.6000000000001</v>
      </c>
      <c r="R939" s="70">
        <f>INT(Table1[[#This Row],[Reporting date]])-INT(Table1[[#This Row],[Loss date]])</f>
        <v>40</v>
      </c>
      <c r="S939" s="69" t="s">
        <v>9</v>
      </c>
      <c r="T939" s="70">
        <f>VLOOKUP(Table1[[#This Row],[Policy Year]],exposure_table,3,FALSE)</f>
        <v>837.11513600000012</v>
      </c>
      <c r="U939" s="17">
        <f>IF(MONTH(Table1[[#This Row],[Reporting date]])&lt;Policy_Inception_Month,YEAR(Table1[[#This Row],[Reporting date]])-1,YEAR(Table1[[#This Row],[Reporting date]]))</f>
        <v>2010</v>
      </c>
      <c r="V939" s="17">
        <f>Table1[[#This Row],[Reporting year]]-Table1[[#This Row],[Policy Year]]</f>
        <v>0</v>
      </c>
      <c r="W939" s="17">
        <f>INT(Table1[[#This Row],[Reporting date]])-INT(Table1[[#This Row],[Loss date]])</f>
        <v>40</v>
      </c>
      <c r="X939" s="17">
        <f>INT((YEAR(Table1[[#This Row],[Loss date]])*12+MONTH(Table1[[#This Row],[Loss date]])-Earliest_Month)/4)</f>
        <v>16</v>
      </c>
      <c r="Y939" s="17">
        <f>INT((YEAR(Table1[[#This Row],[Reporting date]])*12+MONTH(Table1[[#This Row],[Reporting date]])-Earliest_Month)/4)</f>
        <v>17</v>
      </c>
      <c r="Z939" s="17">
        <f>Table1[[#This Row],[Reporting third]]-Table1[[#This Row],[Policy third]]</f>
        <v>1</v>
      </c>
      <c r="AA939" s="71">
        <f>IF(Table1[[#This Row],[Overall amount]]=0,"N/A",Table1[[#This Row],[Outstanding]]/Table1[[#This Row],[Overall amount]])</f>
        <v>0</v>
      </c>
      <c r="AB939" s="17">
        <f>IF(MONTH(Table1[[#This Row],[Loss date]])&lt;Pol_Inc_Month_Shifted,YEAR(Table1[[#This Row],[Loss date]])-1,YEAR(Table1[[#This Row],[Loss date]]))</f>
        <v>2009</v>
      </c>
      <c r="AC939" s="17">
        <f>IF(MONTH(Table1[[#This Row],[Reporting date]])&lt;Pol_Inc_Month_Shifted,YEAR(Table1[[#This Row],[Reporting date]])-1,YEAR(Table1[[#This Row],[Reporting date]]))</f>
        <v>2010</v>
      </c>
      <c r="AD939" s="17">
        <f>Table1[[#This Row],[Reporting year (shifted)]]-Table1[[#This Row],[Policy Year (shifted)]]</f>
        <v>1</v>
      </c>
    </row>
    <row r="940" spans="1:30" ht="13.9">
      <c r="A940" s="8" t="s">
        <v>2710</v>
      </c>
      <c r="B940" s="8" t="s">
        <v>992</v>
      </c>
      <c r="C940" s="8" t="s">
        <v>118</v>
      </c>
      <c r="D940" s="9">
        <v>40127</v>
      </c>
      <c r="E940" s="9">
        <v>40131</v>
      </c>
      <c r="F940" s="17">
        <f>IF(MONTH(Table1[[#This Row],[Loss date]])&lt;Policy_Inception_Month,YEAR(Table1[[#This Row],[Loss date]])-1,YEAR(Table1[[#This Row],[Loss date]]))</f>
        <v>2009</v>
      </c>
      <c r="G940" s="10" t="s">
        <v>130</v>
      </c>
      <c r="H940" s="10" t="s">
        <v>2</v>
      </c>
      <c r="I940" s="11">
        <v>757.1657829693894</v>
      </c>
      <c r="J940" s="11">
        <v>0</v>
      </c>
      <c r="K940" s="11">
        <v>757.1657829693894</v>
      </c>
      <c r="L940" s="12">
        <v>0</v>
      </c>
      <c r="M940" s="12">
        <v>0</v>
      </c>
      <c r="N940" s="12">
        <v>757.1657829693894</v>
      </c>
      <c r="O940" s="70">
        <f>IF(Table1[[#This Row],[Overall amount]]=0,0,1)</f>
        <v>1</v>
      </c>
      <c r="P940" s="70">
        <f>Table1[[#This Row],[Overall amount]]*Exchange_Rate</f>
        <v>757.1657829693894</v>
      </c>
      <c r="Q940" s="70">
        <f>Table1[[#This Row],[Overall (destination currency)]]*(1+Claims_Inflation)^((Revalue_at_date-Table1[[#This Row],[Loss date]])/365.25)</f>
        <v>1009.1999999999999</v>
      </c>
      <c r="R940" s="70">
        <f>INT(Table1[[#This Row],[Reporting date]])-INT(Table1[[#This Row],[Loss date]])</f>
        <v>4</v>
      </c>
      <c r="S940" s="69" t="s">
        <v>9</v>
      </c>
      <c r="T940" s="70">
        <f>VLOOKUP(Table1[[#This Row],[Policy Year]],exposure_table,3,FALSE)</f>
        <v>760.22808576000011</v>
      </c>
      <c r="U940" s="17">
        <f>IF(MONTH(Table1[[#This Row],[Reporting date]])&lt;Policy_Inception_Month,YEAR(Table1[[#This Row],[Reporting date]])-1,YEAR(Table1[[#This Row],[Reporting date]]))</f>
        <v>2009</v>
      </c>
      <c r="V940" s="17">
        <f>Table1[[#This Row],[Reporting year]]-Table1[[#This Row],[Policy Year]]</f>
        <v>0</v>
      </c>
      <c r="W940" s="17">
        <f>INT(Table1[[#This Row],[Reporting date]])-INT(Table1[[#This Row],[Loss date]])</f>
        <v>4</v>
      </c>
      <c r="X940" s="17">
        <f>INT((YEAR(Table1[[#This Row],[Loss date]])*12+MONTH(Table1[[#This Row],[Loss date]])-Earliest_Month)/4)</f>
        <v>13</v>
      </c>
      <c r="Y940" s="17">
        <f>INT((YEAR(Table1[[#This Row],[Reporting date]])*12+MONTH(Table1[[#This Row],[Reporting date]])-Earliest_Month)/4)</f>
        <v>13</v>
      </c>
      <c r="Z940" s="17">
        <f>Table1[[#This Row],[Reporting third]]-Table1[[#This Row],[Policy third]]</f>
        <v>0</v>
      </c>
      <c r="AA940" s="71">
        <f>IF(Table1[[#This Row],[Overall amount]]=0,"N/A",Table1[[#This Row],[Outstanding]]/Table1[[#This Row],[Overall amount]])</f>
        <v>0</v>
      </c>
      <c r="AB940" s="17">
        <f>IF(MONTH(Table1[[#This Row],[Loss date]])&lt;Pol_Inc_Month_Shifted,YEAR(Table1[[#This Row],[Loss date]])-1,YEAR(Table1[[#This Row],[Loss date]]))</f>
        <v>2008</v>
      </c>
      <c r="AC940" s="17">
        <f>IF(MONTH(Table1[[#This Row],[Reporting date]])&lt;Pol_Inc_Month_Shifted,YEAR(Table1[[#This Row],[Reporting date]])-1,YEAR(Table1[[#This Row],[Reporting date]]))</f>
        <v>2008</v>
      </c>
      <c r="AD940" s="17">
        <f>Table1[[#This Row],[Reporting year (shifted)]]-Table1[[#This Row],[Policy Year (shifted)]]</f>
        <v>0</v>
      </c>
    </row>
    <row r="941" spans="1:30" ht="13.9">
      <c r="A941" s="8" t="s">
        <v>2711</v>
      </c>
      <c r="B941" s="8" t="s">
        <v>993</v>
      </c>
      <c r="C941" s="8" t="s">
        <v>118</v>
      </c>
      <c r="D941" s="9">
        <v>40303</v>
      </c>
      <c r="E941" s="9">
        <v>40309</v>
      </c>
      <c r="F941" s="17">
        <f>IF(MONTH(Table1[[#This Row],[Loss date]])&lt;Policy_Inception_Month,YEAR(Table1[[#This Row],[Loss date]])-1,YEAR(Table1[[#This Row],[Loss date]]))</f>
        <v>2010</v>
      </c>
      <c r="G941" s="10" t="s">
        <v>130</v>
      </c>
      <c r="H941" s="10" t="s">
        <v>2</v>
      </c>
      <c r="I941" s="11">
        <v>347.49346887544397</v>
      </c>
      <c r="J941" s="11">
        <v>0</v>
      </c>
      <c r="K941" s="11">
        <v>347.49346887544397</v>
      </c>
      <c r="L941" s="12">
        <v>0</v>
      </c>
      <c r="M941" s="12">
        <v>0</v>
      </c>
      <c r="N941" s="12">
        <v>347.49346887544397</v>
      </c>
      <c r="O941" s="70">
        <f>IF(Table1[[#This Row],[Overall amount]]=0,0,1)</f>
        <v>1</v>
      </c>
      <c r="P941" s="70">
        <f>Table1[[#This Row],[Overall amount]]*Exchange_Rate</f>
        <v>347.49346887544397</v>
      </c>
      <c r="Q941" s="70">
        <f>Table1[[#This Row],[Overall (destination currency)]]*(1+Claims_Inflation)^((Revalue_at_date-Table1[[#This Row],[Loss date]])/365.25)</f>
        <v>452.4</v>
      </c>
      <c r="R941" s="70">
        <f>INT(Table1[[#This Row],[Reporting date]])-INT(Table1[[#This Row],[Loss date]])</f>
        <v>6</v>
      </c>
      <c r="S941" s="69" t="s">
        <v>9</v>
      </c>
      <c r="T941" s="70">
        <f>VLOOKUP(Table1[[#This Row],[Policy Year]],exposure_table,3,FALSE)</f>
        <v>837.11513600000012</v>
      </c>
      <c r="U941" s="17">
        <f>IF(MONTH(Table1[[#This Row],[Reporting date]])&lt;Policy_Inception_Month,YEAR(Table1[[#This Row],[Reporting date]])-1,YEAR(Table1[[#This Row],[Reporting date]]))</f>
        <v>2010</v>
      </c>
      <c r="V941" s="17">
        <f>Table1[[#This Row],[Reporting year]]-Table1[[#This Row],[Policy Year]]</f>
        <v>0</v>
      </c>
      <c r="W941" s="17">
        <f>INT(Table1[[#This Row],[Reporting date]])-INT(Table1[[#This Row],[Loss date]])</f>
        <v>6</v>
      </c>
      <c r="X941" s="17">
        <f>INT((YEAR(Table1[[#This Row],[Loss date]])*12+MONTH(Table1[[#This Row],[Loss date]])-Earliest_Month)/4)</f>
        <v>15</v>
      </c>
      <c r="Y941" s="17">
        <f>INT((YEAR(Table1[[#This Row],[Reporting date]])*12+MONTH(Table1[[#This Row],[Reporting date]])-Earliest_Month)/4)</f>
        <v>15</v>
      </c>
      <c r="Z941" s="17">
        <f>Table1[[#This Row],[Reporting third]]-Table1[[#This Row],[Policy third]]</f>
        <v>0</v>
      </c>
      <c r="AA941" s="71">
        <f>IF(Table1[[#This Row],[Overall amount]]=0,"N/A",Table1[[#This Row],[Outstanding]]/Table1[[#This Row],[Overall amount]])</f>
        <v>0</v>
      </c>
      <c r="AB941" s="17">
        <f>IF(MONTH(Table1[[#This Row],[Loss date]])&lt;Pol_Inc_Month_Shifted,YEAR(Table1[[#This Row],[Loss date]])-1,YEAR(Table1[[#This Row],[Loss date]]))</f>
        <v>2009</v>
      </c>
      <c r="AC941" s="17">
        <f>IF(MONTH(Table1[[#This Row],[Reporting date]])&lt;Pol_Inc_Month_Shifted,YEAR(Table1[[#This Row],[Reporting date]])-1,YEAR(Table1[[#This Row],[Reporting date]]))</f>
        <v>2009</v>
      </c>
      <c r="AD941" s="17">
        <f>Table1[[#This Row],[Reporting year (shifted)]]-Table1[[#This Row],[Policy Year (shifted)]]</f>
        <v>0</v>
      </c>
    </row>
    <row r="942" spans="1:30" ht="13.9">
      <c r="A942" s="8" t="s">
        <v>2712</v>
      </c>
      <c r="B942" s="8" t="s">
        <v>994</v>
      </c>
      <c r="C942" s="8" t="s">
        <v>118</v>
      </c>
      <c r="D942" s="9">
        <v>40354</v>
      </c>
      <c r="E942" s="9">
        <v>40438</v>
      </c>
      <c r="F942" s="17">
        <f>IF(MONTH(Table1[[#This Row],[Loss date]])&lt;Policy_Inception_Month,YEAR(Table1[[#This Row],[Loss date]])-1,YEAR(Table1[[#This Row],[Loss date]]))</f>
        <v>2010</v>
      </c>
      <c r="G942" s="10" t="s">
        <v>130</v>
      </c>
      <c r="H942" s="10" t="s">
        <v>2</v>
      </c>
      <c r="I942" s="11">
        <v>6644.724645162808</v>
      </c>
      <c r="J942" s="11">
        <v>0</v>
      </c>
      <c r="K942" s="11">
        <v>6644.724645162808</v>
      </c>
      <c r="L942" s="12">
        <v>0</v>
      </c>
      <c r="M942" s="12">
        <v>0</v>
      </c>
      <c r="N942" s="12">
        <v>6644.724645162808</v>
      </c>
      <c r="O942" s="70">
        <f>IF(Table1[[#This Row],[Overall amount]]=0,0,1)</f>
        <v>1</v>
      </c>
      <c r="P942" s="70">
        <f>Table1[[#This Row],[Overall amount]]*Exchange_Rate</f>
        <v>6644.724645162808</v>
      </c>
      <c r="Q942" s="70">
        <f>Table1[[#This Row],[Overall (destination currency)]]*(1+Claims_Inflation)^((Revalue_at_date-Table1[[#This Row],[Loss date]])/365.25)</f>
        <v>8592</v>
      </c>
      <c r="R942" s="70">
        <f>INT(Table1[[#This Row],[Reporting date]])-INT(Table1[[#This Row],[Loss date]])</f>
        <v>84</v>
      </c>
      <c r="S942" s="69" t="s">
        <v>9</v>
      </c>
      <c r="T942" s="70">
        <f>VLOOKUP(Table1[[#This Row],[Policy Year]],exposure_table,3,FALSE)</f>
        <v>837.11513600000012</v>
      </c>
      <c r="U942" s="17">
        <f>IF(MONTH(Table1[[#This Row],[Reporting date]])&lt;Policy_Inception_Month,YEAR(Table1[[#This Row],[Reporting date]])-1,YEAR(Table1[[#This Row],[Reporting date]]))</f>
        <v>2010</v>
      </c>
      <c r="V942" s="17">
        <f>Table1[[#This Row],[Reporting year]]-Table1[[#This Row],[Policy Year]]</f>
        <v>0</v>
      </c>
      <c r="W942" s="17">
        <f>INT(Table1[[#This Row],[Reporting date]])-INT(Table1[[#This Row],[Loss date]])</f>
        <v>84</v>
      </c>
      <c r="X942" s="17">
        <f>INT((YEAR(Table1[[#This Row],[Loss date]])*12+MONTH(Table1[[#This Row],[Loss date]])-Earliest_Month)/4)</f>
        <v>15</v>
      </c>
      <c r="Y942" s="17">
        <f>INT((YEAR(Table1[[#This Row],[Reporting date]])*12+MONTH(Table1[[#This Row],[Reporting date]])-Earliest_Month)/4)</f>
        <v>16</v>
      </c>
      <c r="Z942" s="17">
        <f>Table1[[#This Row],[Reporting third]]-Table1[[#This Row],[Policy third]]</f>
        <v>1</v>
      </c>
      <c r="AA942" s="71">
        <f>IF(Table1[[#This Row],[Overall amount]]=0,"N/A",Table1[[#This Row],[Outstanding]]/Table1[[#This Row],[Overall amount]])</f>
        <v>0</v>
      </c>
      <c r="AB942" s="17">
        <f>IF(MONTH(Table1[[#This Row],[Loss date]])&lt;Pol_Inc_Month_Shifted,YEAR(Table1[[#This Row],[Loss date]])-1,YEAR(Table1[[#This Row],[Loss date]]))</f>
        <v>2009</v>
      </c>
      <c r="AC942" s="17">
        <f>IF(MONTH(Table1[[#This Row],[Reporting date]])&lt;Pol_Inc_Month_Shifted,YEAR(Table1[[#This Row],[Reporting date]])-1,YEAR(Table1[[#This Row],[Reporting date]]))</f>
        <v>2009</v>
      </c>
      <c r="AD942" s="17">
        <f>Table1[[#This Row],[Reporting year (shifted)]]-Table1[[#This Row],[Policy Year (shifted)]]</f>
        <v>0</v>
      </c>
    </row>
    <row r="943" spans="1:30" ht="13.9">
      <c r="A943" s="8" t="s">
        <v>2713</v>
      </c>
      <c r="B943" s="8" t="s">
        <v>995</v>
      </c>
      <c r="C943" s="8" t="s">
        <v>118</v>
      </c>
      <c r="D943" s="9">
        <v>40435</v>
      </c>
      <c r="E943" s="9">
        <v>40452</v>
      </c>
      <c r="F943" s="17">
        <f>IF(MONTH(Table1[[#This Row],[Loss date]])&lt;Policy_Inception_Month,YEAR(Table1[[#This Row],[Loss date]])-1,YEAR(Table1[[#This Row],[Loss date]]))</f>
        <v>2010</v>
      </c>
      <c r="G943" s="10" t="s">
        <v>130</v>
      </c>
      <c r="H943" s="10" t="s">
        <v>2</v>
      </c>
      <c r="I943" s="11">
        <v>3049.3916095309382</v>
      </c>
      <c r="J943" s="11">
        <v>0</v>
      </c>
      <c r="K943" s="11">
        <v>3049.3916095309382</v>
      </c>
      <c r="L943" s="12">
        <v>0</v>
      </c>
      <c r="M943" s="12">
        <v>259.19828681012973</v>
      </c>
      <c r="N943" s="12">
        <v>2790.1933227208083</v>
      </c>
      <c r="O943" s="70">
        <f>IF(Table1[[#This Row],[Overall amount]]=0,0,1)</f>
        <v>1</v>
      </c>
      <c r="P943" s="70">
        <f>Table1[[#This Row],[Overall amount]]*Exchange_Rate</f>
        <v>2790.1933227208083</v>
      </c>
      <c r="Q943" s="70">
        <f>Table1[[#This Row],[Overall (destination currency)]]*(1+Claims_Inflation)^((Revalue_at_date-Table1[[#This Row],[Loss date]])/365.25)</f>
        <v>3569.0489999999995</v>
      </c>
      <c r="R943" s="70">
        <f>INT(Table1[[#This Row],[Reporting date]])-INT(Table1[[#This Row],[Loss date]])</f>
        <v>17</v>
      </c>
      <c r="S943" s="69" t="s">
        <v>9</v>
      </c>
      <c r="T943" s="70">
        <f>VLOOKUP(Table1[[#This Row],[Policy Year]],exposure_table,3,FALSE)</f>
        <v>837.11513600000012</v>
      </c>
      <c r="U943" s="17">
        <f>IF(MONTH(Table1[[#This Row],[Reporting date]])&lt;Policy_Inception_Month,YEAR(Table1[[#This Row],[Reporting date]])-1,YEAR(Table1[[#This Row],[Reporting date]]))</f>
        <v>2010</v>
      </c>
      <c r="V943" s="17">
        <f>Table1[[#This Row],[Reporting year]]-Table1[[#This Row],[Policy Year]]</f>
        <v>0</v>
      </c>
      <c r="W943" s="17">
        <f>INT(Table1[[#This Row],[Reporting date]])-INT(Table1[[#This Row],[Loss date]])</f>
        <v>17</v>
      </c>
      <c r="X943" s="17">
        <f>INT((YEAR(Table1[[#This Row],[Loss date]])*12+MONTH(Table1[[#This Row],[Loss date]])-Earliest_Month)/4)</f>
        <v>16</v>
      </c>
      <c r="Y943" s="17">
        <f>INT((YEAR(Table1[[#This Row],[Reporting date]])*12+MONTH(Table1[[#This Row],[Reporting date]])-Earliest_Month)/4)</f>
        <v>16</v>
      </c>
      <c r="Z943" s="17">
        <f>Table1[[#This Row],[Reporting third]]-Table1[[#This Row],[Policy third]]</f>
        <v>0</v>
      </c>
      <c r="AA943" s="71">
        <f>IF(Table1[[#This Row],[Overall amount]]=0,"N/A",Table1[[#This Row],[Outstanding]]/Table1[[#This Row],[Overall amount]])</f>
        <v>0</v>
      </c>
      <c r="AB943" s="17">
        <f>IF(MONTH(Table1[[#This Row],[Loss date]])&lt;Pol_Inc_Month_Shifted,YEAR(Table1[[#This Row],[Loss date]])-1,YEAR(Table1[[#This Row],[Loss date]]))</f>
        <v>2009</v>
      </c>
      <c r="AC943" s="17">
        <f>IF(MONTH(Table1[[#This Row],[Reporting date]])&lt;Pol_Inc_Month_Shifted,YEAR(Table1[[#This Row],[Reporting date]])-1,YEAR(Table1[[#This Row],[Reporting date]]))</f>
        <v>2009</v>
      </c>
      <c r="AD943" s="17">
        <f>Table1[[#This Row],[Reporting year (shifted)]]-Table1[[#This Row],[Policy Year (shifted)]]</f>
        <v>0</v>
      </c>
    </row>
    <row r="944" spans="1:30" ht="13.9">
      <c r="A944" s="8" t="s">
        <v>2714</v>
      </c>
      <c r="B944" s="8" t="s">
        <v>996</v>
      </c>
      <c r="C944" s="8" t="s">
        <v>118</v>
      </c>
      <c r="D944" s="9">
        <v>40531</v>
      </c>
      <c r="E944" s="9">
        <v>40552</v>
      </c>
      <c r="F944" s="17">
        <f>IF(MONTH(Table1[[#This Row],[Loss date]])&lt;Policy_Inception_Month,YEAR(Table1[[#This Row],[Loss date]])-1,YEAR(Table1[[#This Row],[Loss date]]))</f>
        <v>2010</v>
      </c>
      <c r="G944" s="10" t="s">
        <v>130</v>
      </c>
      <c r="H944" s="10" t="s">
        <v>2</v>
      </c>
      <c r="I944" s="11">
        <v>785.37152275421261</v>
      </c>
      <c r="J944" s="11">
        <v>0</v>
      </c>
      <c r="K944" s="11">
        <v>785.37152275421261</v>
      </c>
      <c r="L944" s="12">
        <v>0</v>
      </c>
      <c r="M944" s="12">
        <v>0</v>
      </c>
      <c r="N944" s="12">
        <v>785.37152275421261</v>
      </c>
      <c r="O944" s="70">
        <f>IF(Table1[[#This Row],[Overall amount]]=0,0,1)</f>
        <v>1</v>
      </c>
      <c r="P944" s="70">
        <f>Table1[[#This Row],[Overall amount]]*Exchange_Rate</f>
        <v>785.37152275421261</v>
      </c>
      <c r="Q944" s="70">
        <f>Table1[[#This Row],[Overall (destination currency)]]*(1+Claims_Inflation)^((Revalue_at_date-Table1[[#This Row],[Loss date]])/365.25)</f>
        <v>991.8</v>
      </c>
      <c r="R944" s="70">
        <f>INT(Table1[[#This Row],[Reporting date]])-INT(Table1[[#This Row],[Loss date]])</f>
        <v>21</v>
      </c>
      <c r="S944" s="69" t="s">
        <v>9</v>
      </c>
      <c r="T944" s="70">
        <f>VLOOKUP(Table1[[#This Row],[Policy Year]],exposure_table,3,FALSE)</f>
        <v>837.11513600000012</v>
      </c>
      <c r="U944" s="17">
        <f>IF(MONTH(Table1[[#This Row],[Reporting date]])&lt;Policy_Inception_Month,YEAR(Table1[[#This Row],[Reporting date]])-1,YEAR(Table1[[#This Row],[Reporting date]]))</f>
        <v>2010</v>
      </c>
      <c r="V944" s="17">
        <f>Table1[[#This Row],[Reporting year]]-Table1[[#This Row],[Policy Year]]</f>
        <v>0</v>
      </c>
      <c r="W944" s="17">
        <f>INT(Table1[[#This Row],[Reporting date]])-INT(Table1[[#This Row],[Loss date]])</f>
        <v>21</v>
      </c>
      <c r="X944" s="17">
        <f>INT((YEAR(Table1[[#This Row],[Loss date]])*12+MONTH(Table1[[#This Row],[Loss date]])-Earliest_Month)/4)</f>
        <v>17</v>
      </c>
      <c r="Y944" s="17">
        <f>INT((YEAR(Table1[[#This Row],[Reporting date]])*12+MONTH(Table1[[#This Row],[Reporting date]])-Earliest_Month)/4)</f>
        <v>17</v>
      </c>
      <c r="Z944" s="17">
        <f>Table1[[#This Row],[Reporting third]]-Table1[[#This Row],[Policy third]]</f>
        <v>0</v>
      </c>
      <c r="AA944" s="71">
        <f>IF(Table1[[#This Row],[Overall amount]]=0,"N/A",Table1[[#This Row],[Outstanding]]/Table1[[#This Row],[Overall amount]])</f>
        <v>0</v>
      </c>
      <c r="AB944" s="17">
        <f>IF(MONTH(Table1[[#This Row],[Loss date]])&lt;Pol_Inc_Month_Shifted,YEAR(Table1[[#This Row],[Loss date]])-1,YEAR(Table1[[#This Row],[Loss date]]))</f>
        <v>2010</v>
      </c>
      <c r="AC944" s="17">
        <f>IF(MONTH(Table1[[#This Row],[Reporting date]])&lt;Pol_Inc_Month_Shifted,YEAR(Table1[[#This Row],[Reporting date]])-1,YEAR(Table1[[#This Row],[Reporting date]]))</f>
        <v>2010</v>
      </c>
      <c r="AD944" s="17">
        <f>Table1[[#This Row],[Reporting year (shifted)]]-Table1[[#This Row],[Policy Year (shifted)]]</f>
        <v>0</v>
      </c>
    </row>
    <row r="945" spans="1:30" ht="13.9">
      <c r="A945" s="8" t="s">
        <v>2715</v>
      </c>
      <c r="B945" s="8" t="s">
        <v>997</v>
      </c>
      <c r="C945" s="8" t="s">
        <v>118</v>
      </c>
      <c r="D945" s="9">
        <v>40631</v>
      </c>
      <c r="E945" s="9">
        <v>40637</v>
      </c>
      <c r="F945" s="17">
        <f>IF(MONTH(Table1[[#This Row],[Loss date]])&lt;Policy_Inception_Month,YEAR(Table1[[#This Row],[Loss date]])-1,YEAR(Table1[[#This Row],[Loss date]]))</f>
        <v>2010</v>
      </c>
      <c r="G945" s="10" t="s">
        <v>130</v>
      </c>
      <c r="H945" s="10" t="s">
        <v>2</v>
      </c>
      <c r="I945" s="11">
        <v>8186.7454124965079</v>
      </c>
      <c r="J945" s="11">
        <v>0</v>
      </c>
      <c r="K945" s="11">
        <v>8186.7454124965079</v>
      </c>
      <c r="L945" s="12">
        <v>0</v>
      </c>
      <c r="M945" s="12">
        <v>491.20472474979044</v>
      </c>
      <c r="N945" s="12">
        <v>7695.5406877467176</v>
      </c>
      <c r="O945" s="70">
        <f>IF(Table1[[#This Row],[Overall amount]]=0,0,1)</f>
        <v>1</v>
      </c>
      <c r="P945" s="70">
        <f>Table1[[#This Row],[Overall amount]]*Exchange_Rate</f>
        <v>7695.5406877467176</v>
      </c>
      <c r="Q945" s="70">
        <f>Table1[[#This Row],[Overall (destination currency)]]*(1+Claims_Inflation)^((Revalue_at_date-Table1[[#This Row],[Loss date]])/365.25)</f>
        <v>9589.2971999999991</v>
      </c>
      <c r="R945" s="70">
        <f>INT(Table1[[#This Row],[Reporting date]])-INT(Table1[[#This Row],[Loss date]])</f>
        <v>6</v>
      </c>
      <c r="S945" s="69" t="s">
        <v>9</v>
      </c>
      <c r="T945" s="70">
        <f>VLOOKUP(Table1[[#This Row],[Policy Year]],exposure_table,3,FALSE)</f>
        <v>837.11513600000012</v>
      </c>
      <c r="U945" s="17">
        <f>IF(MONTH(Table1[[#This Row],[Reporting date]])&lt;Policy_Inception_Month,YEAR(Table1[[#This Row],[Reporting date]])-1,YEAR(Table1[[#This Row],[Reporting date]]))</f>
        <v>2011</v>
      </c>
      <c r="V945" s="17">
        <f>Table1[[#This Row],[Reporting year]]-Table1[[#This Row],[Policy Year]]</f>
        <v>1</v>
      </c>
      <c r="W945" s="17">
        <f>INT(Table1[[#This Row],[Reporting date]])-INT(Table1[[#This Row],[Loss date]])</f>
        <v>6</v>
      </c>
      <c r="X945" s="17">
        <f>INT((YEAR(Table1[[#This Row],[Loss date]])*12+MONTH(Table1[[#This Row],[Loss date]])-Earliest_Month)/4)</f>
        <v>17</v>
      </c>
      <c r="Y945" s="17">
        <f>INT((YEAR(Table1[[#This Row],[Reporting date]])*12+MONTH(Table1[[#This Row],[Reporting date]])-Earliest_Month)/4)</f>
        <v>18</v>
      </c>
      <c r="Z945" s="17">
        <f>Table1[[#This Row],[Reporting third]]-Table1[[#This Row],[Policy third]]</f>
        <v>1</v>
      </c>
      <c r="AA945" s="71">
        <f>IF(Table1[[#This Row],[Overall amount]]=0,"N/A",Table1[[#This Row],[Outstanding]]/Table1[[#This Row],[Overall amount]])</f>
        <v>0</v>
      </c>
      <c r="AB945" s="17">
        <f>IF(MONTH(Table1[[#This Row],[Loss date]])&lt;Pol_Inc_Month_Shifted,YEAR(Table1[[#This Row],[Loss date]])-1,YEAR(Table1[[#This Row],[Loss date]]))</f>
        <v>2010</v>
      </c>
      <c r="AC945" s="17">
        <f>IF(MONTH(Table1[[#This Row],[Reporting date]])&lt;Pol_Inc_Month_Shifted,YEAR(Table1[[#This Row],[Reporting date]])-1,YEAR(Table1[[#This Row],[Reporting date]]))</f>
        <v>2010</v>
      </c>
      <c r="AD945" s="17">
        <f>Table1[[#This Row],[Reporting year (shifted)]]-Table1[[#This Row],[Policy Year (shifted)]]</f>
        <v>0</v>
      </c>
    </row>
    <row r="946" spans="1:30" ht="13.9">
      <c r="A946" s="8" t="s">
        <v>2716</v>
      </c>
      <c r="B946" s="8" t="s">
        <v>998</v>
      </c>
      <c r="C946" s="8" t="s">
        <v>118</v>
      </c>
      <c r="D946" s="9">
        <v>40392</v>
      </c>
      <c r="E946" s="9">
        <v>40852</v>
      </c>
      <c r="F946" s="17">
        <f>IF(MONTH(Table1[[#This Row],[Loss date]])&lt;Policy_Inception_Month,YEAR(Table1[[#This Row],[Loss date]])-1,YEAR(Table1[[#This Row],[Loss date]]))</f>
        <v>2010</v>
      </c>
      <c r="G946" s="10" t="s">
        <v>130</v>
      </c>
      <c r="H946" s="10" t="s">
        <v>2</v>
      </c>
      <c r="I946" s="11">
        <v>216.39959843242954</v>
      </c>
      <c r="J946" s="11">
        <v>0</v>
      </c>
      <c r="K946" s="11">
        <v>216.39959843242954</v>
      </c>
      <c r="L946" s="12">
        <v>0</v>
      </c>
      <c r="M946" s="12">
        <v>0</v>
      </c>
      <c r="N946" s="12">
        <v>216.39959843242954</v>
      </c>
      <c r="O946" s="70">
        <f>IF(Table1[[#This Row],[Overall amount]]=0,0,1)</f>
        <v>1</v>
      </c>
      <c r="P946" s="70">
        <f>Table1[[#This Row],[Overall amount]]*Exchange_Rate</f>
        <v>216.39959843242954</v>
      </c>
      <c r="Q946" s="70">
        <f>Table1[[#This Row],[Overall (destination currency)]]*(1+Claims_Inflation)^((Revalue_at_date-Table1[[#This Row],[Loss date]])/365.25)</f>
        <v>278.39999999999998</v>
      </c>
      <c r="R946" s="70">
        <f>INT(Table1[[#This Row],[Reporting date]])-INT(Table1[[#This Row],[Loss date]])</f>
        <v>460</v>
      </c>
      <c r="S946" s="69" t="s">
        <v>9</v>
      </c>
      <c r="T946" s="70">
        <f>VLOOKUP(Table1[[#This Row],[Policy Year]],exposure_table,3,FALSE)</f>
        <v>837.11513600000012</v>
      </c>
      <c r="U946" s="17">
        <f>IF(MONTH(Table1[[#This Row],[Reporting date]])&lt;Policy_Inception_Month,YEAR(Table1[[#This Row],[Reporting date]])-1,YEAR(Table1[[#This Row],[Reporting date]]))</f>
        <v>2011</v>
      </c>
      <c r="V946" s="17">
        <f>Table1[[#This Row],[Reporting year]]-Table1[[#This Row],[Policy Year]]</f>
        <v>1</v>
      </c>
      <c r="W946" s="17">
        <f>INT(Table1[[#This Row],[Reporting date]])-INT(Table1[[#This Row],[Loss date]])</f>
        <v>460</v>
      </c>
      <c r="X946" s="17">
        <f>INT((YEAR(Table1[[#This Row],[Loss date]])*12+MONTH(Table1[[#This Row],[Loss date]])-Earliest_Month)/4)</f>
        <v>16</v>
      </c>
      <c r="Y946" s="17">
        <f>INT((YEAR(Table1[[#This Row],[Reporting date]])*12+MONTH(Table1[[#This Row],[Reporting date]])-Earliest_Month)/4)</f>
        <v>19</v>
      </c>
      <c r="Z946" s="17">
        <f>Table1[[#This Row],[Reporting third]]-Table1[[#This Row],[Policy third]]</f>
        <v>3</v>
      </c>
      <c r="AA946" s="71">
        <f>IF(Table1[[#This Row],[Overall amount]]=0,"N/A",Table1[[#This Row],[Outstanding]]/Table1[[#This Row],[Overall amount]])</f>
        <v>0</v>
      </c>
      <c r="AB946" s="17">
        <f>IF(MONTH(Table1[[#This Row],[Loss date]])&lt;Pol_Inc_Month_Shifted,YEAR(Table1[[#This Row],[Loss date]])-1,YEAR(Table1[[#This Row],[Loss date]]))</f>
        <v>2009</v>
      </c>
      <c r="AC946" s="17">
        <f>IF(MONTH(Table1[[#This Row],[Reporting date]])&lt;Pol_Inc_Month_Shifted,YEAR(Table1[[#This Row],[Reporting date]])-1,YEAR(Table1[[#This Row],[Reporting date]]))</f>
        <v>2010</v>
      </c>
      <c r="AD946" s="17">
        <f>Table1[[#This Row],[Reporting year (shifted)]]-Table1[[#This Row],[Policy Year (shifted)]]</f>
        <v>1</v>
      </c>
    </row>
    <row r="947" spans="1:30" ht="13.9">
      <c r="A947" s="8" t="s">
        <v>2717</v>
      </c>
      <c r="B947" s="8" t="s">
        <v>999</v>
      </c>
      <c r="C947" s="8" t="s">
        <v>118</v>
      </c>
      <c r="D947" s="9">
        <v>39691</v>
      </c>
      <c r="E947" s="9">
        <v>39767</v>
      </c>
      <c r="F947" s="17">
        <f>IF(MONTH(Table1[[#This Row],[Loss date]])&lt;Policy_Inception_Month,YEAR(Table1[[#This Row],[Loss date]])-1,YEAR(Table1[[#This Row],[Loss date]]))</f>
        <v>2008</v>
      </c>
      <c r="G947" s="10" t="s">
        <v>142</v>
      </c>
      <c r="H947" s="10" t="s">
        <v>2</v>
      </c>
      <c r="I947" s="11">
        <v>5400.9854304084483</v>
      </c>
      <c r="J947" s="11">
        <v>0</v>
      </c>
      <c r="K947" s="11">
        <v>5400.9854304084483</v>
      </c>
      <c r="L947" s="12">
        <v>0</v>
      </c>
      <c r="M947" s="12">
        <v>372.66799469818295</v>
      </c>
      <c r="N947" s="12">
        <v>5028.3174357102653</v>
      </c>
      <c r="O947" s="70">
        <f>IF(Table1[[#This Row],[Overall amount]]=0,0,1)</f>
        <v>1</v>
      </c>
      <c r="P947" s="70">
        <f>Table1[[#This Row],[Overall amount]]*Exchange_Rate</f>
        <v>5028.3174357102653</v>
      </c>
      <c r="Q947" s="70">
        <f>Table1[[#This Row],[Overall (destination currency)]]*(1+Claims_Inflation)^((Revalue_at_date-Table1[[#This Row],[Loss date]])/365.25)</f>
        <v>7103.9955</v>
      </c>
      <c r="R947" s="70">
        <f>INT(Table1[[#This Row],[Reporting date]])-INT(Table1[[#This Row],[Loss date]])</f>
        <v>76</v>
      </c>
      <c r="S947" s="69" t="s">
        <v>9</v>
      </c>
      <c r="T947" s="70">
        <f>VLOOKUP(Table1[[#This Row],[Policy Year]],exposure_table,3,FALSE)</f>
        <v>601.98581780480015</v>
      </c>
      <c r="U947" s="17">
        <f>IF(MONTH(Table1[[#This Row],[Reporting date]])&lt;Policy_Inception_Month,YEAR(Table1[[#This Row],[Reporting date]])-1,YEAR(Table1[[#This Row],[Reporting date]]))</f>
        <v>2008</v>
      </c>
      <c r="V947" s="17">
        <f>Table1[[#This Row],[Reporting year]]-Table1[[#This Row],[Policy Year]]</f>
        <v>0</v>
      </c>
      <c r="W947" s="17">
        <f>INT(Table1[[#This Row],[Reporting date]])-INT(Table1[[#This Row],[Loss date]])</f>
        <v>76</v>
      </c>
      <c r="X947" s="17">
        <f>INT((YEAR(Table1[[#This Row],[Loss date]])*12+MONTH(Table1[[#This Row],[Loss date]])-Earliest_Month)/4)</f>
        <v>10</v>
      </c>
      <c r="Y947" s="17">
        <f>INT((YEAR(Table1[[#This Row],[Reporting date]])*12+MONTH(Table1[[#This Row],[Reporting date]])-Earliest_Month)/4)</f>
        <v>10</v>
      </c>
      <c r="Z947" s="17">
        <f>Table1[[#This Row],[Reporting third]]-Table1[[#This Row],[Policy third]]</f>
        <v>0</v>
      </c>
      <c r="AA947" s="71">
        <f>IF(Table1[[#This Row],[Overall amount]]=0,"N/A",Table1[[#This Row],[Outstanding]]/Table1[[#This Row],[Overall amount]])</f>
        <v>0</v>
      </c>
      <c r="AB947" s="17">
        <f>IF(MONTH(Table1[[#This Row],[Loss date]])&lt;Pol_Inc_Month_Shifted,YEAR(Table1[[#This Row],[Loss date]])-1,YEAR(Table1[[#This Row],[Loss date]]))</f>
        <v>2007</v>
      </c>
      <c r="AC947" s="17">
        <f>IF(MONTH(Table1[[#This Row],[Reporting date]])&lt;Pol_Inc_Month_Shifted,YEAR(Table1[[#This Row],[Reporting date]])-1,YEAR(Table1[[#This Row],[Reporting date]]))</f>
        <v>2007</v>
      </c>
      <c r="AD947" s="17">
        <f>Table1[[#This Row],[Reporting year (shifted)]]-Table1[[#This Row],[Policy Year (shifted)]]</f>
        <v>0</v>
      </c>
    </row>
    <row r="948" spans="1:30" ht="13.9">
      <c r="A948" s="8" t="s">
        <v>2718</v>
      </c>
      <c r="B948" s="8" t="s">
        <v>1000</v>
      </c>
      <c r="C948" s="8" t="s">
        <v>118</v>
      </c>
      <c r="D948" s="9">
        <v>39959</v>
      </c>
      <c r="E948" s="9">
        <v>39965</v>
      </c>
      <c r="F948" s="17">
        <f>IF(MONTH(Table1[[#This Row],[Loss date]])&lt;Policy_Inception_Month,YEAR(Table1[[#This Row],[Loss date]])-1,YEAR(Table1[[#This Row],[Loss date]]))</f>
        <v>2009</v>
      </c>
      <c r="G948" s="10" t="s">
        <v>145</v>
      </c>
      <c r="H948" s="10" t="s">
        <v>2</v>
      </c>
      <c r="I948" s="11">
        <v>1199.898836527326</v>
      </c>
      <c r="J948" s="11">
        <v>0</v>
      </c>
      <c r="K948" s="11">
        <v>1199.898836527326</v>
      </c>
      <c r="L948" s="12">
        <v>0</v>
      </c>
      <c r="M948" s="12">
        <v>0</v>
      </c>
      <c r="N948" s="12">
        <v>1199.898836527326</v>
      </c>
      <c r="O948" s="70">
        <f>IF(Table1[[#This Row],[Overall amount]]=0,0,1)</f>
        <v>1</v>
      </c>
      <c r="P948" s="70">
        <f>Table1[[#This Row],[Overall amount]]*Exchange_Rate</f>
        <v>1199.898836527326</v>
      </c>
      <c r="Q948" s="70">
        <f>Table1[[#This Row],[Overall (destination currency)]]*(1+Claims_Inflation)^((Revalue_at_date-Table1[[#This Row],[Loss date]])/365.25)</f>
        <v>1635.6000000000001</v>
      </c>
      <c r="R948" s="70">
        <f>INT(Table1[[#This Row],[Reporting date]])-INT(Table1[[#This Row],[Loss date]])</f>
        <v>6</v>
      </c>
      <c r="S948" s="69" t="s">
        <v>9</v>
      </c>
      <c r="T948" s="70">
        <f>VLOOKUP(Table1[[#This Row],[Policy Year]],exposure_table,3,FALSE)</f>
        <v>760.22808576000011</v>
      </c>
      <c r="U948" s="17">
        <f>IF(MONTH(Table1[[#This Row],[Reporting date]])&lt;Policy_Inception_Month,YEAR(Table1[[#This Row],[Reporting date]])-1,YEAR(Table1[[#This Row],[Reporting date]]))</f>
        <v>2009</v>
      </c>
      <c r="V948" s="17">
        <f>Table1[[#This Row],[Reporting year]]-Table1[[#This Row],[Policy Year]]</f>
        <v>0</v>
      </c>
      <c r="W948" s="17">
        <f>INT(Table1[[#This Row],[Reporting date]])-INT(Table1[[#This Row],[Loss date]])</f>
        <v>6</v>
      </c>
      <c r="X948" s="17">
        <f>INT((YEAR(Table1[[#This Row],[Loss date]])*12+MONTH(Table1[[#This Row],[Loss date]])-Earliest_Month)/4)</f>
        <v>12</v>
      </c>
      <c r="Y948" s="17">
        <f>INT((YEAR(Table1[[#This Row],[Reporting date]])*12+MONTH(Table1[[#This Row],[Reporting date]])-Earliest_Month)/4)</f>
        <v>12</v>
      </c>
      <c r="Z948" s="17">
        <f>Table1[[#This Row],[Reporting third]]-Table1[[#This Row],[Policy third]]</f>
        <v>0</v>
      </c>
      <c r="AA948" s="71">
        <f>IF(Table1[[#This Row],[Overall amount]]=0,"N/A",Table1[[#This Row],[Outstanding]]/Table1[[#This Row],[Overall amount]])</f>
        <v>0</v>
      </c>
      <c r="AB948" s="17">
        <f>IF(MONTH(Table1[[#This Row],[Loss date]])&lt;Pol_Inc_Month_Shifted,YEAR(Table1[[#This Row],[Loss date]])-1,YEAR(Table1[[#This Row],[Loss date]]))</f>
        <v>2008</v>
      </c>
      <c r="AC948" s="17">
        <f>IF(MONTH(Table1[[#This Row],[Reporting date]])&lt;Pol_Inc_Month_Shifted,YEAR(Table1[[#This Row],[Reporting date]])-1,YEAR(Table1[[#This Row],[Reporting date]]))</f>
        <v>2008</v>
      </c>
      <c r="AD948" s="17">
        <f>Table1[[#This Row],[Reporting year (shifted)]]-Table1[[#This Row],[Policy Year (shifted)]]</f>
        <v>0</v>
      </c>
    </row>
    <row r="949" spans="1:30" ht="13.9">
      <c r="A949" s="8" t="s">
        <v>2719</v>
      </c>
      <c r="B949" s="8" t="s">
        <v>1001</v>
      </c>
      <c r="C949" s="8" t="s">
        <v>118</v>
      </c>
      <c r="D949" s="9">
        <v>40243</v>
      </c>
      <c r="E949" s="9">
        <v>40931</v>
      </c>
      <c r="F949" s="17">
        <f>IF(MONTH(Table1[[#This Row],[Loss date]])&lt;Policy_Inception_Month,YEAR(Table1[[#This Row],[Loss date]])-1,YEAR(Table1[[#This Row],[Loss date]]))</f>
        <v>2009</v>
      </c>
      <c r="G949" s="10" t="s">
        <v>125</v>
      </c>
      <c r="H949" s="10" t="s">
        <v>2</v>
      </c>
      <c r="I949" s="11">
        <v>768.98966615664972</v>
      </c>
      <c r="J949" s="11">
        <v>0</v>
      </c>
      <c r="K949" s="11">
        <v>768.98966615664972</v>
      </c>
      <c r="L949" s="12">
        <v>0</v>
      </c>
      <c r="M949" s="12">
        <v>0</v>
      </c>
      <c r="N949" s="12">
        <v>768.98966615664972</v>
      </c>
      <c r="O949" s="70">
        <f>IF(Table1[[#This Row],[Overall amount]]=0,0,1)</f>
        <v>1</v>
      </c>
      <c r="P949" s="70">
        <f>Table1[[#This Row],[Overall amount]]*Exchange_Rate</f>
        <v>768.98966615664972</v>
      </c>
      <c r="Q949" s="70">
        <f>Table1[[#This Row],[Overall (destination currency)]]*(1+Claims_Inflation)^((Revalue_at_date-Table1[[#This Row],[Loss date]])/365.25)</f>
        <v>1009.1999999999999</v>
      </c>
      <c r="R949" s="70">
        <f>INT(Table1[[#This Row],[Reporting date]])-INT(Table1[[#This Row],[Loss date]])</f>
        <v>688</v>
      </c>
      <c r="S949" s="69" t="s">
        <v>9</v>
      </c>
      <c r="T949" s="70">
        <f>VLOOKUP(Table1[[#This Row],[Policy Year]],exposure_table,3,FALSE)</f>
        <v>760.22808576000011</v>
      </c>
      <c r="U949" s="17">
        <f>IF(MONTH(Table1[[#This Row],[Reporting date]])&lt;Policy_Inception_Month,YEAR(Table1[[#This Row],[Reporting date]])-1,YEAR(Table1[[#This Row],[Reporting date]]))</f>
        <v>2011</v>
      </c>
      <c r="V949" s="17">
        <f>Table1[[#This Row],[Reporting year]]-Table1[[#This Row],[Policy Year]]</f>
        <v>2</v>
      </c>
      <c r="W949" s="17">
        <f>INT(Table1[[#This Row],[Reporting date]])-INT(Table1[[#This Row],[Loss date]])</f>
        <v>688</v>
      </c>
      <c r="X949" s="17">
        <f>INT((YEAR(Table1[[#This Row],[Loss date]])*12+MONTH(Table1[[#This Row],[Loss date]])-Earliest_Month)/4)</f>
        <v>14</v>
      </c>
      <c r="Y949" s="17">
        <f>INT((YEAR(Table1[[#This Row],[Reporting date]])*12+MONTH(Table1[[#This Row],[Reporting date]])-Earliest_Month)/4)</f>
        <v>20</v>
      </c>
      <c r="Z949" s="17">
        <f>Table1[[#This Row],[Reporting third]]-Table1[[#This Row],[Policy third]]</f>
        <v>6</v>
      </c>
      <c r="AA949" s="71">
        <f>IF(Table1[[#This Row],[Overall amount]]=0,"N/A",Table1[[#This Row],[Outstanding]]/Table1[[#This Row],[Overall amount]])</f>
        <v>0</v>
      </c>
      <c r="AB949" s="17">
        <f>IF(MONTH(Table1[[#This Row],[Loss date]])&lt;Pol_Inc_Month_Shifted,YEAR(Table1[[#This Row],[Loss date]])-1,YEAR(Table1[[#This Row],[Loss date]]))</f>
        <v>2009</v>
      </c>
      <c r="AC949" s="17">
        <f>IF(MONTH(Table1[[#This Row],[Reporting date]])&lt;Pol_Inc_Month_Shifted,YEAR(Table1[[#This Row],[Reporting date]])-1,YEAR(Table1[[#This Row],[Reporting date]]))</f>
        <v>2011</v>
      </c>
      <c r="AD949" s="17">
        <f>Table1[[#This Row],[Reporting year (shifted)]]-Table1[[#This Row],[Policy Year (shifted)]]</f>
        <v>2</v>
      </c>
    </row>
    <row r="950" spans="1:30" ht="13.9">
      <c r="A950" s="8" t="s">
        <v>2720</v>
      </c>
      <c r="B950" s="8" t="s">
        <v>1002</v>
      </c>
      <c r="C950" s="8" t="s">
        <v>118</v>
      </c>
      <c r="D950" s="9">
        <v>40524</v>
      </c>
      <c r="E950" s="9">
        <v>40524</v>
      </c>
      <c r="F950" s="17">
        <f>IF(MONTH(Table1[[#This Row],[Loss date]])&lt;Policy_Inception_Month,YEAR(Table1[[#This Row],[Loss date]])-1,YEAR(Table1[[#This Row],[Loss date]]))</f>
        <v>2010</v>
      </c>
      <c r="G950" s="10" t="s">
        <v>131</v>
      </c>
      <c r="H950" s="10" t="s">
        <v>2</v>
      </c>
      <c r="I950" s="11">
        <v>688.27850478139396</v>
      </c>
      <c r="J950" s="11">
        <v>0</v>
      </c>
      <c r="K950" s="11">
        <v>688.27850478139396</v>
      </c>
      <c r="L950" s="12">
        <v>0</v>
      </c>
      <c r="M950" s="12">
        <v>0</v>
      </c>
      <c r="N950" s="12">
        <v>688.27850478139396</v>
      </c>
      <c r="O950" s="70">
        <f>IF(Table1[[#This Row],[Overall amount]]=0,0,1)</f>
        <v>1</v>
      </c>
      <c r="P950" s="70">
        <f>Table1[[#This Row],[Overall amount]]*Exchange_Rate</f>
        <v>688.27850478139396</v>
      </c>
      <c r="Q950" s="70">
        <f>Table1[[#This Row],[Overall (destination currency)]]*(1+Claims_Inflation)^((Revalue_at_date-Table1[[#This Row],[Loss date]])/365.25)</f>
        <v>870.00000000000023</v>
      </c>
      <c r="R950" s="70">
        <f>INT(Table1[[#This Row],[Reporting date]])-INT(Table1[[#This Row],[Loss date]])</f>
        <v>0</v>
      </c>
      <c r="S950" s="69" t="s">
        <v>9</v>
      </c>
      <c r="T950" s="70">
        <f>VLOOKUP(Table1[[#This Row],[Policy Year]],exposure_table,3,FALSE)</f>
        <v>837.11513600000012</v>
      </c>
      <c r="U950" s="17">
        <f>IF(MONTH(Table1[[#This Row],[Reporting date]])&lt;Policy_Inception_Month,YEAR(Table1[[#This Row],[Reporting date]])-1,YEAR(Table1[[#This Row],[Reporting date]]))</f>
        <v>2010</v>
      </c>
      <c r="V950" s="17">
        <f>Table1[[#This Row],[Reporting year]]-Table1[[#This Row],[Policy Year]]</f>
        <v>0</v>
      </c>
      <c r="W950" s="17">
        <f>INT(Table1[[#This Row],[Reporting date]])-INT(Table1[[#This Row],[Loss date]])</f>
        <v>0</v>
      </c>
      <c r="X950" s="17">
        <f>INT((YEAR(Table1[[#This Row],[Loss date]])*12+MONTH(Table1[[#This Row],[Loss date]])-Earliest_Month)/4)</f>
        <v>17</v>
      </c>
      <c r="Y950" s="17">
        <f>INT((YEAR(Table1[[#This Row],[Reporting date]])*12+MONTH(Table1[[#This Row],[Reporting date]])-Earliest_Month)/4)</f>
        <v>17</v>
      </c>
      <c r="Z950" s="17">
        <f>Table1[[#This Row],[Reporting third]]-Table1[[#This Row],[Policy third]]</f>
        <v>0</v>
      </c>
      <c r="AA950" s="71">
        <f>IF(Table1[[#This Row],[Overall amount]]=0,"N/A",Table1[[#This Row],[Outstanding]]/Table1[[#This Row],[Overall amount]])</f>
        <v>0</v>
      </c>
      <c r="AB950" s="17">
        <f>IF(MONTH(Table1[[#This Row],[Loss date]])&lt;Pol_Inc_Month_Shifted,YEAR(Table1[[#This Row],[Loss date]])-1,YEAR(Table1[[#This Row],[Loss date]]))</f>
        <v>2010</v>
      </c>
      <c r="AC950" s="17">
        <f>IF(MONTH(Table1[[#This Row],[Reporting date]])&lt;Pol_Inc_Month_Shifted,YEAR(Table1[[#This Row],[Reporting date]])-1,YEAR(Table1[[#This Row],[Reporting date]]))</f>
        <v>2010</v>
      </c>
      <c r="AD950" s="17">
        <f>Table1[[#This Row],[Reporting year (shifted)]]-Table1[[#This Row],[Policy Year (shifted)]]</f>
        <v>0</v>
      </c>
    </row>
    <row r="951" spans="1:30" ht="13.9">
      <c r="A951" s="8" t="s">
        <v>2721</v>
      </c>
      <c r="B951" s="8" t="s">
        <v>1003</v>
      </c>
      <c r="C951" s="8" t="s">
        <v>118</v>
      </c>
      <c r="D951" s="9">
        <v>38951</v>
      </c>
      <c r="E951" s="9">
        <v>38969</v>
      </c>
      <c r="F951" s="17">
        <f>IF(MONTH(Table1[[#This Row],[Loss date]])&lt;Policy_Inception_Month,YEAR(Table1[[#This Row],[Loss date]])-1,YEAR(Table1[[#This Row],[Loss date]]))</f>
        <v>2006</v>
      </c>
      <c r="G951" s="10" t="s">
        <v>126</v>
      </c>
      <c r="H951" s="10" t="s">
        <v>2</v>
      </c>
      <c r="I951" s="11">
        <v>362.78826381804754</v>
      </c>
      <c r="J951" s="11">
        <v>0</v>
      </c>
      <c r="K951" s="11">
        <v>362.78826381804754</v>
      </c>
      <c r="L951" s="12">
        <v>0</v>
      </c>
      <c r="M951" s="12">
        <v>0</v>
      </c>
      <c r="N951" s="12">
        <v>362.78826381804754</v>
      </c>
      <c r="O951" s="70">
        <f>IF(Table1[[#This Row],[Overall amount]]=0,0,1)</f>
        <v>1</v>
      </c>
      <c r="P951" s="70">
        <f>Table1[[#This Row],[Overall amount]]*Exchange_Rate</f>
        <v>362.78826381804754</v>
      </c>
      <c r="Q951" s="70">
        <f>Table1[[#This Row],[Overall (destination currency)]]*(1+Claims_Inflation)^((Revalue_at_date-Table1[[#This Row],[Loss date]])/365.25)</f>
        <v>565.79999999999984</v>
      </c>
      <c r="R951" s="70">
        <f>INT(Table1[[#This Row],[Reporting date]])-INT(Table1[[#This Row],[Loss date]])</f>
        <v>18</v>
      </c>
      <c r="S951" s="69" t="s">
        <v>9</v>
      </c>
      <c r="T951" s="70">
        <f>VLOOKUP(Table1[[#This Row],[Policy Year]],exposure_table,3,FALSE)</f>
        <v>483.32023209000977</v>
      </c>
      <c r="U951" s="17">
        <f>IF(MONTH(Table1[[#This Row],[Reporting date]])&lt;Policy_Inception_Month,YEAR(Table1[[#This Row],[Reporting date]])-1,YEAR(Table1[[#This Row],[Reporting date]]))</f>
        <v>2006</v>
      </c>
      <c r="V951" s="17">
        <f>Table1[[#This Row],[Reporting year]]-Table1[[#This Row],[Policy Year]]</f>
        <v>0</v>
      </c>
      <c r="W951" s="17">
        <f>INT(Table1[[#This Row],[Reporting date]])-INT(Table1[[#This Row],[Loss date]])</f>
        <v>18</v>
      </c>
      <c r="X951" s="17">
        <f>INT((YEAR(Table1[[#This Row],[Loss date]])*12+MONTH(Table1[[#This Row],[Loss date]])-Earliest_Month)/4)</f>
        <v>4</v>
      </c>
      <c r="Y951" s="17">
        <f>INT((YEAR(Table1[[#This Row],[Reporting date]])*12+MONTH(Table1[[#This Row],[Reporting date]])-Earliest_Month)/4)</f>
        <v>4</v>
      </c>
      <c r="Z951" s="17">
        <f>Table1[[#This Row],[Reporting third]]-Table1[[#This Row],[Policy third]]</f>
        <v>0</v>
      </c>
      <c r="AA951" s="71">
        <f>IF(Table1[[#This Row],[Overall amount]]=0,"N/A",Table1[[#This Row],[Outstanding]]/Table1[[#This Row],[Overall amount]])</f>
        <v>0</v>
      </c>
      <c r="AB951" s="17">
        <f>IF(MONTH(Table1[[#This Row],[Loss date]])&lt;Pol_Inc_Month_Shifted,YEAR(Table1[[#This Row],[Loss date]])-1,YEAR(Table1[[#This Row],[Loss date]]))</f>
        <v>2005</v>
      </c>
      <c r="AC951" s="17">
        <f>IF(MONTH(Table1[[#This Row],[Reporting date]])&lt;Pol_Inc_Month_Shifted,YEAR(Table1[[#This Row],[Reporting date]])-1,YEAR(Table1[[#This Row],[Reporting date]]))</f>
        <v>2005</v>
      </c>
      <c r="AD951" s="17">
        <f>Table1[[#This Row],[Reporting year (shifted)]]-Table1[[#This Row],[Policy Year (shifted)]]</f>
        <v>0</v>
      </c>
    </row>
    <row r="952" spans="1:30" ht="13.9">
      <c r="A952" s="8" t="s">
        <v>2722</v>
      </c>
      <c r="B952" s="8" t="s">
        <v>1004</v>
      </c>
      <c r="C952" s="8" t="s">
        <v>118</v>
      </c>
      <c r="D952" s="9">
        <v>40725</v>
      </c>
      <c r="E952" s="9">
        <v>40745</v>
      </c>
      <c r="F952" s="17">
        <f>IF(MONTH(Table1[[#This Row],[Loss date]])&lt;Policy_Inception_Month,YEAR(Table1[[#This Row],[Loss date]])-1,YEAR(Table1[[#This Row],[Loss date]]))</f>
        <v>2011</v>
      </c>
      <c r="G952" s="10" t="s">
        <v>141</v>
      </c>
      <c r="H952" s="10" t="s">
        <v>2</v>
      </c>
      <c r="I952" s="11">
        <v>268.66336140139407</v>
      </c>
      <c r="J952" s="11">
        <v>0</v>
      </c>
      <c r="K952" s="11">
        <v>268.66336140139407</v>
      </c>
      <c r="L952" s="12">
        <v>0</v>
      </c>
      <c r="M952" s="12">
        <v>0</v>
      </c>
      <c r="N952" s="12">
        <v>268.66336140139407</v>
      </c>
      <c r="O952" s="70">
        <f>IF(Table1[[#This Row],[Overall amount]]=0,0,1)</f>
        <v>1</v>
      </c>
      <c r="P952" s="70">
        <f>Table1[[#This Row],[Overall amount]]*Exchange_Rate</f>
        <v>268.66336140139407</v>
      </c>
      <c r="Q952" s="70">
        <f>Table1[[#This Row],[Overall (destination currency)]]*(1+Claims_Inflation)^((Revalue_at_date-Table1[[#This Row],[Loss date]])/365.25)</f>
        <v>330.59999999999997</v>
      </c>
      <c r="R952" s="70">
        <f>INT(Table1[[#This Row],[Reporting date]])-INT(Table1[[#This Row],[Loss date]])</f>
        <v>20</v>
      </c>
      <c r="S952" s="69" t="s">
        <v>9</v>
      </c>
      <c r="T952" s="70">
        <f>VLOOKUP(Table1[[#This Row],[Policy Year]],exposure_table,3,FALSE)</f>
        <v>870.52680000000009</v>
      </c>
      <c r="U952" s="17">
        <f>IF(MONTH(Table1[[#This Row],[Reporting date]])&lt;Policy_Inception_Month,YEAR(Table1[[#This Row],[Reporting date]])-1,YEAR(Table1[[#This Row],[Reporting date]]))</f>
        <v>2011</v>
      </c>
      <c r="V952" s="17">
        <f>Table1[[#This Row],[Reporting year]]-Table1[[#This Row],[Policy Year]]</f>
        <v>0</v>
      </c>
      <c r="W952" s="17">
        <f>INT(Table1[[#This Row],[Reporting date]])-INT(Table1[[#This Row],[Loss date]])</f>
        <v>20</v>
      </c>
      <c r="X952" s="17">
        <f>INT((YEAR(Table1[[#This Row],[Loss date]])*12+MONTH(Table1[[#This Row],[Loss date]])-Earliest_Month)/4)</f>
        <v>18</v>
      </c>
      <c r="Y952" s="17">
        <f>INT((YEAR(Table1[[#This Row],[Reporting date]])*12+MONTH(Table1[[#This Row],[Reporting date]])-Earliest_Month)/4)</f>
        <v>18</v>
      </c>
      <c r="Z952" s="17">
        <f>Table1[[#This Row],[Reporting third]]-Table1[[#This Row],[Policy third]]</f>
        <v>0</v>
      </c>
      <c r="AA952" s="71">
        <f>IF(Table1[[#This Row],[Overall amount]]=0,"N/A",Table1[[#This Row],[Outstanding]]/Table1[[#This Row],[Overall amount]])</f>
        <v>0</v>
      </c>
      <c r="AB952" s="17">
        <f>IF(MONTH(Table1[[#This Row],[Loss date]])&lt;Pol_Inc_Month_Shifted,YEAR(Table1[[#This Row],[Loss date]])-1,YEAR(Table1[[#This Row],[Loss date]]))</f>
        <v>2010</v>
      </c>
      <c r="AC952" s="17">
        <f>IF(MONTH(Table1[[#This Row],[Reporting date]])&lt;Pol_Inc_Month_Shifted,YEAR(Table1[[#This Row],[Reporting date]])-1,YEAR(Table1[[#This Row],[Reporting date]]))</f>
        <v>2010</v>
      </c>
      <c r="AD952" s="17">
        <f>Table1[[#This Row],[Reporting year (shifted)]]-Table1[[#This Row],[Policy Year (shifted)]]</f>
        <v>0</v>
      </c>
    </row>
    <row r="953" spans="1:30" ht="13.9">
      <c r="A953" s="8" t="s">
        <v>2723</v>
      </c>
      <c r="B953" s="8" t="s">
        <v>1005</v>
      </c>
      <c r="C953" s="8" t="s">
        <v>118</v>
      </c>
      <c r="D953" s="9">
        <v>38798</v>
      </c>
      <c r="E953" s="9">
        <v>38801</v>
      </c>
      <c r="F953" s="17">
        <f>IF(MONTH(Table1[[#This Row],[Loss date]])&lt;Policy_Inception_Month,YEAR(Table1[[#This Row],[Loss date]])-1,YEAR(Table1[[#This Row],[Loss date]]))</f>
        <v>2005</v>
      </c>
      <c r="G953" s="10" t="s">
        <v>132</v>
      </c>
      <c r="H953" s="10" t="s">
        <v>2</v>
      </c>
      <c r="I953" s="11">
        <v>21260.218827583474</v>
      </c>
      <c r="J953" s="11">
        <v>0</v>
      </c>
      <c r="K953" s="11">
        <v>21260.218827583474</v>
      </c>
      <c r="L953" s="12">
        <v>0</v>
      </c>
      <c r="M953" s="12">
        <v>1296.8733484825921</v>
      </c>
      <c r="N953" s="12">
        <v>19963.345479100881</v>
      </c>
      <c r="O953" s="70">
        <f>IF(Table1[[#This Row],[Overall amount]]=0,0,1)</f>
        <v>1</v>
      </c>
      <c r="P953" s="70">
        <f>Table1[[#This Row],[Overall amount]]*Exchange_Rate</f>
        <v>19963.345479100881</v>
      </c>
      <c r="Q953" s="70">
        <f>Table1[[#This Row],[Overall (destination currency)]]*(1+Claims_Inflation)^((Revalue_at_date-Table1[[#This Row],[Loss date]])/365.25)</f>
        <v>31777.450199999996</v>
      </c>
      <c r="R953" s="70">
        <f>INT(Table1[[#This Row],[Reporting date]])-INT(Table1[[#This Row],[Loss date]])</f>
        <v>3</v>
      </c>
      <c r="S953" s="69" t="s">
        <v>9</v>
      </c>
      <c r="T953" s="70">
        <f>VLOOKUP(Table1[[#This Row],[Policy Year]],exposure_table,3,FALSE)</f>
        <v>409.50481038040112</v>
      </c>
      <c r="U953" s="17">
        <f>IF(MONTH(Table1[[#This Row],[Reporting date]])&lt;Policy_Inception_Month,YEAR(Table1[[#This Row],[Reporting date]])-1,YEAR(Table1[[#This Row],[Reporting date]]))</f>
        <v>2005</v>
      </c>
      <c r="V953" s="17">
        <f>Table1[[#This Row],[Reporting year]]-Table1[[#This Row],[Policy Year]]</f>
        <v>0</v>
      </c>
      <c r="W953" s="17">
        <f>INT(Table1[[#This Row],[Reporting date]])-INT(Table1[[#This Row],[Loss date]])</f>
        <v>3</v>
      </c>
      <c r="X953" s="17">
        <f>INT((YEAR(Table1[[#This Row],[Loss date]])*12+MONTH(Table1[[#This Row],[Loss date]])-Earliest_Month)/4)</f>
        <v>2</v>
      </c>
      <c r="Y953" s="17">
        <f>INT((YEAR(Table1[[#This Row],[Reporting date]])*12+MONTH(Table1[[#This Row],[Reporting date]])-Earliest_Month)/4)</f>
        <v>2</v>
      </c>
      <c r="Z953" s="17">
        <f>Table1[[#This Row],[Reporting third]]-Table1[[#This Row],[Policy third]]</f>
        <v>0</v>
      </c>
      <c r="AA953" s="71">
        <f>IF(Table1[[#This Row],[Overall amount]]=0,"N/A",Table1[[#This Row],[Outstanding]]/Table1[[#This Row],[Overall amount]])</f>
        <v>0</v>
      </c>
      <c r="AB953" s="17">
        <f>IF(MONTH(Table1[[#This Row],[Loss date]])&lt;Pol_Inc_Month_Shifted,YEAR(Table1[[#This Row],[Loss date]])-1,YEAR(Table1[[#This Row],[Loss date]]))</f>
        <v>2005</v>
      </c>
      <c r="AC953" s="17">
        <f>IF(MONTH(Table1[[#This Row],[Reporting date]])&lt;Pol_Inc_Month_Shifted,YEAR(Table1[[#This Row],[Reporting date]])-1,YEAR(Table1[[#This Row],[Reporting date]]))</f>
        <v>2005</v>
      </c>
      <c r="AD953" s="17">
        <f>Table1[[#This Row],[Reporting year (shifted)]]-Table1[[#This Row],[Policy Year (shifted)]]</f>
        <v>0</v>
      </c>
    </row>
    <row r="954" spans="1:30" ht="13.9">
      <c r="A954" s="8" t="s">
        <v>2724</v>
      </c>
      <c r="B954" s="8" t="s">
        <v>1006</v>
      </c>
      <c r="C954" s="8" t="s">
        <v>118</v>
      </c>
      <c r="D954" s="9">
        <v>39990</v>
      </c>
      <c r="E954" s="9">
        <v>40245</v>
      </c>
      <c r="F954" s="17">
        <f>IF(MONTH(Table1[[#This Row],[Loss date]])&lt;Policy_Inception_Month,YEAR(Table1[[#This Row],[Loss date]])-1,YEAR(Table1[[#This Row],[Loss date]]))</f>
        <v>2009</v>
      </c>
      <c r="G954" s="10" t="s">
        <v>135</v>
      </c>
      <c r="H954" s="10" t="s">
        <v>2</v>
      </c>
      <c r="I954" s="11">
        <v>14831.879023732608</v>
      </c>
      <c r="J954" s="11">
        <v>0</v>
      </c>
      <c r="K954" s="11">
        <v>14831.879023732608</v>
      </c>
      <c r="L954" s="12">
        <v>0</v>
      </c>
      <c r="M954" s="12">
        <v>430.12449168824566</v>
      </c>
      <c r="N954" s="12">
        <v>14401.754532044362</v>
      </c>
      <c r="O954" s="70">
        <f>IF(Table1[[#This Row],[Overall amount]]=0,0,1)</f>
        <v>1</v>
      </c>
      <c r="P954" s="70">
        <f>Table1[[#This Row],[Overall amount]]*Exchange_Rate</f>
        <v>14401.754532044362</v>
      </c>
      <c r="Q954" s="70">
        <f>Table1[[#This Row],[Overall (destination currency)]]*(1+Claims_Inflation)^((Revalue_at_date-Table1[[#This Row],[Loss date]])/365.25)</f>
        <v>19550.121767999997</v>
      </c>
      <c r="R954" s="70">
        <f>INT(Table1[[#This Row],[Reporting date]])-INT(Table1[[#This Row],[Loss date]])</f>
        <v>255</v>
      </c>
      <c r="S954" s="69" t="s">
        <v>9</v>
      </c>
      <c r="T954" s="70">
        <f>VLOOKUP(Table1[[#This Row],[Policy Year]],exposure_table,3,FALSE)</f>
        <v>760.22808576000011</v>
      </c>
      <c r="U954" s="17">
        <f>IF(MONTH(Table1[[#This Row],[Reporting date]])&lt;Policy_Inception_Month,YEAR(Table1[[#This Row],[Reporting date]])-1,YEAR(Table1[[#This Row],[Reporting date]]))</f>
        <v>2009</v>
      </c>
      <c r="V954" s="17">
        <f>Table1[[#This Row],[Reporting year]]-Table1[[#This Row],[Policy Year]]</f>
        <v>0</v>
      </c>
      <c r="W954" s="17">
        <f>INT(Table1[[#This Row],[Reporting date]])-INT(Table1[[#This Row],[Loss date]])</f>
        <v>255</v>
      </c>
      <c r="X954" s="17">
        <f>INT((YEAR(Table1[[#This Row],[Loss date]])*12+MONTH(Table1[[#This Row],[Loss date]])-Earliest_Month)/4)</f>
        <v>12</v>
      </c>
      <c r="Y954" s="17">
        <f>INT((YEAR(Table1[[#This Row],[Reporting date]])*12+MONTH(Table1[[#This Row],[Reporting date]])-Earliest_Month)/4)</f>
        <v>14</v>
      </c>
      <c r="Z954" s="17">
        <f>Table1[[#This Row],[Reporting third]]-Table1[[#This Row],[Policy third]]</f>
        <v>2</v>
      </c>
      <c r="AA954" s="71">
        <f>IF(Table1[[#This Row],[Overall amount]]=0,"N/A",Table1[[#This Row],[Outstanding]]/Table1[[#This Row],[Overall amount]])</f>
        <v>0</v>
      </c>
      <c r="AB954" s="17">
        <f>IF(MONTH(Table1[[#This Row],[Loss date]])&lt;Pol_Inc_Month_Shifted,YEAR(Table1[[#This Row],[Loss date]])-1,YEAR(Table1[[#This Row],[Loss date]]))</f>
        <v>2008</v>
      </c>
      <c r="AC954" s="17">
        <f>IF(MONTH(Table1[[#This Row],[Reporting date]])&lt;Pol_Inc_Month_Shifted,YEAR(Table1[[#This Row],[Reporting date]])-1,YEAR(Table1[[#This Row],[Reporting date]]))</f>
        <v>2009</v>
      </c>
      <c r="AD954" s="17">
        <f>Table1[[#This Row],[Reporting year (shifted)]]-Table1[[#This Row],[Policy Year (shifted)]]</f>
        <v>1</v>
      </c>
    </row>
    <row r="955" spans="1:30" ht="13.9">
      <c r="A955" s="8" t="s">
        <v>2725</v>
      </c>
      <c r="B955" s="8" t="s">
        <v>1007</v>
      </c>
      <c r="C955" s="8" t="s">
        <v>118</v>
      </c>
      <c r="D955" s="9">
        <v>40539</v>
      </c>
      <c r="E955" s="9">
        <v>40557</v>
      </c>
      <c r="F955" s="17">
        <f>IF(MONTH(Table1[[#This Row],[Loss date]])&lt;Policy_Inception_Month,YEAR(Table1[[#This Row],[Loss date]])-1,YEAR(Table1[[#This Row],[Loss date]]))</f>
        <v>2010</v>
      </c>
      <c r="G955" s="10" t="s">
        <v>131</v>
      </c>
      <c r="H955" s="10" t="s">
        <v>2</v>
      </c>
      <c r="I955" s="11">
        <v>5959.1293260552475</v>
      </c>
      <c r="J955" s="11">
        <v>0</v>
      </c>
      <c r="K955" s="11">
        <v>5959.1293260552475</v>
      </c>
      <c r="L955" s="12">
        <v>0</v>
      </c>
      <c r="M955" s="12">
        <v>0</v>
      </c>
      <c r="N955" s="12">
        <v>5959.1293260552475</v>
      </c>
      <c r="O955" s="70">
        <f>IF(Table1[[#This Row],[Overall amount]]=0,0,1)</f>
        <v>1</v>
      </c>
      <c r="P955" s="70">
        <f>Table1[[#This Row],[Overall amount]]*Exchange_Rate</f>
        <v>5959.1293260552475</v>
      </c>
      <c r="Q955" s="70">
        <f>Table1[[#This Row],[Overall (destination currency)]]*(1+Claims_Inflation)^((Revalue_at_date-Table1[[#This Row],[Loss date]])/365.25)</f>
        <v>7517.4</v>
      </c>
      <c r="R955" s="70">
        <f>INT(Table1[[#This Row],[Reporting date]])-INT(Table1[[#This Row],[Loss date]])</f>
        <v>18</v>
      </c>
      <c r="S955" s="69" t="s">
        <v>9</v>
      </c>
      <c r="T955" s="70">
        <f>VLOOKUP(Table1[[#This Row],[Policy Year]],exposure_table,3,FALSE)</f>
        <v>837.11513600000012</v>
      </c>
      <c r="U955" s="17">
        <f>IF(MONTH(Table1[[#This Row],[Reporting date]])&lt;Policy_Inception_Month,YEAR(Table1[[#This Row],[Reporting date]])-1,YEAR(Table1[[#This Row],[Reporting date]]))</f>
        <v>2010</v>
      </c>
      <c r="V955" s="17">
        <f>Table1[[#This Row],[Reporting year]]-Table1[[#This Row],[Policy Year]]</f>
        <v>0</v>
      </c>
      <c r="W955" s="17">
        <f>INT(Table1[[#This Row],[Reporting date]])-INT(Table1[[#This Row],[Loss date]])</f>
        <v>18</v>
      </c>
      <c r="X955" s="17">
        <f>INT((YEAR(Table1[[#This Row],[Loss date]])*12+MONTH(Table1[[#This Row],[Loss date]])-Earliest_Month)/4)</f>
        <v>17</v>
      </c>
      <c r="Y955" s="17">
        <f>INT((YEAR(Table1[[#This Row],[Reporting date]])*12+MONTH(Table1[[#This Row],[Reporting date]])-Earliest_Month)/4)</f>
        <v>17</v>
      </c>
      <c r="Z955" s="17">
        <f>Table1[[#This Row],[Reporting third]]-Table1[[#This Row],[Policy third]]</f>
        <v>0</v>
      </c>
      <c r="AA955" s="71">
        <f>IF(Table1[[#This Row],[Overall amount]]=0,"N/A",Table1[[#This Row],[Outstanding]]/Table1[[#This Row],[Overall amount]])</f>
        <v>0</v>
      </c>
      <c r="AB955" s="17">
        <f>IF(MONTH(Table1[[#This Row],[Loss date]])&lt;Pol_Inc_Month_Shifted,YEAR(Table1[[#This Row],[Loss date]])-1,YEAR(Table1[[#This Row],[Loss date]]))</f>
        <v>2010</v>
      </c>
      <c r="AC955" s="17">
        <f>IF(MONTH(Table1[[#This Row],[Reporting date]])&lt;Pol_Inc_Month_Shifted,YEAR(Table1[[#This Row],[Reporting date]])-1,YEAR(Table1[[#This Row],[Reporting date]]))</f>
        <v>2010</v>
      </c>
      <c r="AD955" s="17">
        <f>Table1[[#This Row],[Reporting year (shifted)]]-Table1[[#This Row],[Policy Year (shifted)]]</f>
        <v>0</v>
      </c>
    </row>
    <row r="956" spans="1:30" ht="13.9">
      <c r="A956" s="8" t="s">
        <v>2726</v>
      </c>
      <c r="B956" s="8" t="s">
        <v>1008</v>
      </c>
      <c r="C956" s="8" t="s">
        <v>118</v>
      </c>
      <c r="D956" s="9">
        <v>40531</v>
      </c>
      <c r="E956" s="9">
        <v>40571</v>
      </c>
      <c r="F956" s="17">
        <f>IF(MONTH(Table1[[#This Row],[Loss date]])&lt;Policy_Inception_Month,YEAR(Table1[[#This Row],[Loss date]])-1,YEAR(Table1[[#This Row],[Loss date]]))</f>
        <v>2010</v>
      </c>
      <c r="G956" s="10" t="s">
        <v>125</v>
      </c>
      <c r="H956" s="10" t="s">
        <v>2</v>
      </c>
      <c r="I956" s="11">
        <v>531.65803627463038</v>
      </c>
      <c r="J956" s="11">
        <v>0</v>
      </c>
      <c r="K956" s="11">
        <v>531.65803627463038</v>
      </c>
      <c r="L956" s="12">
        <v>0</v>
      </c>
      <c r="M956" s="12">
        <v>0</v>
      </c>
      <c r="N956" s="12">
        <v>531.65803627463038</v>
      </c>
      <c r="O956" s="70">
        <f>IF(Table1[[#This Row],[Overall amount]]=0,0,1)</f>
        <v>1</v>
      </c>
      <c r="P956" s="70">
        <f>Table1[[#This Row],[Overall amount]]*Exchange_Rate</f>
        <v>531.65803627463038</v>
      </c>
      <c r="Q956" s="70">
        <f>Table1[[#This Row],[Overall (destination currency)]]*(1+Claims_Inflation)^((Revalue_at_date-Table1[[#This Row],[Loss date]])/365.25)</f>
        <v>671.4</v>
      </c>
      <c r="R956" s="70">
        <f>INT(Table1[[#This Row],[Reporting date]])-INT(Table1[[#This Row],[Loss date]])</f>
        <v>40</v>
      </c>
      <c r="S956" s="69" t="s">
        <v>9</v>
      </c>
      <c r="T956" s="70">
        <f>VLOOKUP(Table1[[#This Row],[Policy Year]],exposure_table,3,FALSE)</f>
        <v>837.11513600000012</v>
      </c>
      <c r="U956" s="17">
        <f>IF(MONTH(Table1[[#This Row],[Reporting date]])&lt;Policy_Inception_Month,YEAR(Table1[[#This Row],[Reporting date]])-1,YEAR(Table1[[#This Row],[Reporting date]]))</f>
        <v>2010</v>
      </c>
      <c r="V956" s="17">
        <f>Table1[[#This Row],[Reporting year]]-Table1[[#This Row],[Policy Year]]</f>
        <v>0</v>
      </c>
      <c r="W956" s="17">
        <f>INT(Table1[[#This Row],[Reporting date]])-INT(Table1[[#This Row],[Loss date]])</f>
        <v>40</v>
      </c>
      <c r="X956" s="17">
        <f>INT((YEAR(Table1[[#This Row],[Loss date]])*12+MONTH(Table1[[#This Row],[Loss date]])-Earliest_Month)/4)</f>
        <v>17</v>
      </c>
      <c r="Y956" s="17">
        <f>INT((YEAR(Table1[[#This Row],[Reporting date]])*12+MONTH(Table1[[#This Row],[Reporting date]])-Earliest_Month)/4)</f>
        <v>17</v>
      </c>
      <c r="Z956" s="17">
        <f>Table1[[#This Row],[Reporting third]]-Table1[[#This Row],[Policy third]]</f>
        <v>0</v>
      </c>
      <c r="AA956" s="71">
        <f>IF(Table1[[#This Row],[Overall amount]]=0,"N/A",Table1[[#This Row],[Outstanding]]/Table1[[#This Row],[Overall amount]])</f>
        <v>0</v>
      </c>
      <c r="AB956" s="17">
        <f>IF(MONTH(Table1[[#This Row],[Loss date]])&lt;Pol_Inc_Month_Shifted,YEAR(Table1[[#This Row],[Loss date]])-1,YEAR(Table1[[#This Row],[Loss date]]))</f>
        <v>2010</v>
      </c>
      <c r="AC956" s="17">
        <f>IF(MONTH(Table1[[#This Row],[Reporting date]])&lt;Pol_Inc_Month_Shifted,YEAR(Table1[[#This Row],[Reporting date]])-1,YEAR(Table1[[#This Row],[Reporting date]]))</f>
        <v>2010</v>
      </c>
      <c r="AD956" s="17">
        <f>Table1[[#This Row],[Reporting year (shifted)]]-Table1[[#This Row],[Policy Year (shifted)]]</f>
        <v>0</v>
      </c>
    </row>
    <row r="957" spans="1:30" ht="13.9">
      <c r="A957" s="8" t="s">
        <v>2727</v>
      </c>
      <c r="B957" s="8" t="s">
        <v>1009</v>
      </c>
      <c r="C957" s="8" t="s">
        <v>118</v>
      </c>
      <c r="D957" s="9">
        <v>40568</v>
      </c>
      <c r="E957" s="9">
        <v>40627</v>
      </c>
      <c r="F957" s="17">
        <f>IF(MONTH(Table1[[#This Row],[Loss date]])&lt;Policy_Inception_Month,YEAR(Table1[[#This Row],[Loss date]])-1,YEAR(Table1[[#This Row],[Loss date]]))</f>
        <v>2010</v>
      </c>
      <c r="G957" s="10" t="s">
        <v>125</v>
      </c>
      <c r="H957" s="10" t="s">
        <v>2</v>
      </c>
      <c r="I957" s="11">
        <v>3920.053006848188</v>
      </c>
      <c r="J957" s="11">
        <v>0</v>
      </c>
      <c r="K957" s="11">
        <v>3920.053006848188</v>
      </c>
      <c r="L957" s="12">
        <v>0</v>
      </c>
      <c r="M957" s="12">
        <v>0</v>
      </c>
      <c r="N957" s="12">
        <v>3920.053006848188</v>
      </c>
      <c r="O957" s="70">
        <f>IF(Table1[[#This Row],[Overall amount]]=0,0,1)</f>
        <v>1</v>
      </c>
      <c r="P957" s="70">
        <f>Table1[[#This Row],[Overall amount]]*Exchange_Rate</f>
        <v>3920.053006848188</v>
      </c>
      <c r="Q957" s="70">
        <f>Table1[[#This Row],[Overall (destination currency)]]*(1+Claims_Inflation)^((Revalue_at_date-Table1[[#This Row],[Loss date]])/365.25)</f>
        <v>4926</v>
      </c>
      <c r="R957" s="70">
        <f>INT(Table1[[#This Row],[Reporting date]])-INT(Table1[[#This Row],[Loss date]])</f>
        <v>59</v>
      </c>
      <c r="S957" s="69" t="s">
        <v>9</v>
      </c>
      <c r="T957" s="70">
        <f>VLOOKUP(Table1[[#This Row],[Policy Year]],exposure_table,3,FALSE)</f>
        <v>837.11513600000012</v>
      </c>
      <c r="U957" s="17">
        <f>IF(MONTH(Table1[[#This Row],[Reporting date]])&lt;Policy_Inception_Month,YEAR(Table1[[#This Row],[Reporting date]])-1,YEAR(Table1[[#This Row],[Reporting date]]))</f>
        <v>2010</v>
      </c>
      <c r="V957" s="17">
        <f>Table1[[#This Row],[Reporting year]]-Table1[[#This Row],[Policy Year]]</f>
        <v>0</v>
      </c>
      <c r="W957" s="17">
        <f>INT(Table1[[#This Row],[Reporting date]])-INT(Table1[[#This Row],[Loss date]])</f>
        <v>59</v>
      </c>
      <c r="X957" s="17">
        <f>INT((YEAR(Table1[[#This Row],[Loss date]])*12+MONTH(Table1[[#This Row],[Loss date]])-Earliest_Month)/4)</f>
        <v>17</v>
      </c>
      <c r="Y957" s="17">
        <f>INT((YEAR(Table1[[#This Row],[Reporting date]])*12+MONTH(Table1[[#This Row],[Reporting date]])-Earliest_Month)/4)</f>
        <v>17</v>
      </c>
      <c r="Z957" s="17">
        <f>Table1[[#This Row],[Reporting third]]-Table1[[#This Row],[Policy third]]</f>
        <v>0</v>
      </c>
      <c r="AA957" s="71">
        <f>IF(Table1[[#This Row],[Overall amount]]=0,"N/A",Table1[[#This Row],[Outstanding]]/Table1[[#This Row],[Overall amount]])</f>
        <v>0</v>
      </c>
      <c r="AB957" s="17">
        <f>IF(MONTH(Table1[[#This Row],[Loss date]])&lt;Pol_Inc_Month_Shifted,YEAR(Table1[[#This Row],[Loss date]])-1,YEAR(Table1[[#This Row],[Loss date]]))</f>
        <v>2010</v>
      </c>
      <c r="AC957" s="17">
        <f>IF(MONTH(Table1[[#This Row],[Reporting date]])&lt;Pol_Inc_Month_Shifted,YEAR(Table1[[#This Row],[Reporting date]])-1,YEAR(Table1[[#This Row],[Reporting date]]))</f>
        <v>2010</v>
      </c>
      <c r="AD957" s="17">
        <f>Table1[[#This Row],[Reporting year (shifted)]]-Table1[[#This Row],[Policy Year (shifted)]]</f>
        <v>0</v>
      </c>
    </row>
    <row r="958" spans="1:30" ht="13.9">
      <c r="A958" s="8" t="s">
        <v>2728</v>
      </c>
      <c r="B958" s="8" t="s">
        <v>1010</v>
      </c>
      <c r="C958" s="8" t="s">
        <v>118</v>
      </c>
      <c r="D958" s="9">
        <v>40068</v>
      </c>
      <c r="E958" s="9">
        <v>40717</v>
      </c>
      <c r="F958" s="17">
        <f>IF(MONTH(Table1[[#This Row],[Loss date]])&lt;Policy_Inception_Month,YEAR(Table1[[#This Row],[Loss date]])-1,YEAR(Table1[[#This Row],[Loss date]]))</f>
        <v>2009</v>
      </c>
      <c r="G958" s="10" t="s">
        <v>135</v>
      </c>
      <c r="H958" s="10" t="s">
        <v>2</v>
      </c>
      <c r="I958" s="11">
        <v>2382.2932721242742</v>
      </c>
      <c r="J958" s="11">
        <v>0</v>
      </c>
      <c r="K958" s="11">
        <v>2382.2932721242742</v>
      </c>
      <c r="L958" s="12">
        <v>0</v>
      </c>
      <c r="M958" s="12">
        <v>0</v>
      </c>
      <c r="N958" s="12">
        <v>2382.2932721242742</v>
      </c>
      <c r="O958" s="70">
        <f>IF(Table1[[#This Row],[Overall amount]]=0,0,1)</f>
        <v>1</v>
      </c>
      <c r="P958" s="70">
        <f>Table1[[#This Row],[Overall amount]]*Exchange_Rate</f>
        <v>2382.2932721242742</v>
      </c>
      <c r="Q958" s="70">
        <f>Table1[[#This Row],[Overall (destination currency)]]*(1+Claims_Inflation)^((Revalue_at_date-Table1[[#This Row],[Loss date]])/365.25)</f>
        <v>3200.3999999999996</v>
      </c>
      <c r="R958" s="70">
        <f>INT(Table1[[#This Row],[Reporting date]])-INT(Table1[[#This Row],[Loss date]])</f>
        <v>649</v>
      </c>
      <c r="S958" s="69" t="s">
        <v>9</v>
      </c>
      <c r="T958" s="70">
        <f>VLOOKUP(Table1[[#This Row],[Policy Year]],exposure_table,3,FALSE)</f>
        <v>760.22808576000011</v>
      </c>
      <c r="U958" s="17">
        <f>IF(MONTH(Table1[[#This Row],[Reporting date]])&lt;Policy_Inception_Month,YEAR(Table1[[#This Row],[Reporting date]])-1,YEAR(Table1[[#This Row],[Reporting date]]))</f>
        <v>2011</v>
      </c>
      <c r="V958" s="17">
        <f>Table1[[#This Row],[Reporting year]]-Table1[[#This Row],[Policy Year]]</f>
        <v>2</v>
      </c>
      <c r="W958" s="17">
        <f>INT(Table1[[#This Row],[Reporting date]])-INT(Table1[[#This Row],[Loss date]])</f>
        <v>649</v>
      </c>
      <c r="X958" s="17">
        <f>INT((YEAR(Table1[[#This Row],[Loss date]])*12+MONTH(Table1[[#This Row],[Loss date]])-Earliest_Month)/4)</f>
        <v>13</v>
      </c>
      <c r="Y958" s="17">
        <f>INT((YEAR(Table1[[#This Row],[Reporting date]])*12+MONTH(Table1[[#This Row],[Reporting date]])-Earliest_Month)/4)</f>
        <v>18</v>
      </c>
      <c r="Z958" s="17">
        <f>Table1[[#This Row],[Reporting third]]-Table1[[#This Row],[Policy third]]</f>
        <v>5</v>
      </c>
      <c r="AA958" s="71">
        <f>IF(Table1[[#This Row],[Overall amount]]=0,"N/A",Table1[[#This Row],[Outstanding]]/Table1[[#This Row],[Overall amount]])</f>
        <v>0</v>
      </c>
      <c r="AB958" s="17">
        <f>IF(MONTH(Table1[[#This Row],[Loss date]])&lt;Pol_Inc_Month_Shifted,YEAR(Table1[[#This Row],[Loss date]])-1,YEAR(Table1[[#This Row],[Loss date]]))</f>
        <v>2008</v>
      </c>
      <c r="AC958" s="17">
        <f>IF(MONTH(Table1[[#This Row],[Reporting date]])&lt;Pol_Inc_Month_Shifted,YEAR(Table1[[#This Row],[Reporting date]])-1,YEAR(Table1[[#This Row],[Reporting date]]))</f>
        <v>2010</v>
      </c>
      <c r="AD958" s="17">
        <f>Table1[[#This Row],[Reporting year (shifted)]]-Table1[[#This Row],[Policy Year (shifted)]]</f>
        <v>2</v>
      </c>
    </row>
    <row r="959" spans="1:30" ht="13.9">
      <c r="A959" s="8" t="s">
        <v>2729</v>
      </c>
      <c r="B959" s="8" t="s">
        <v>1011</v>
      </c>
      <c r="C959" s="8" t="s">
        <v>118</v>
      </c>
      <c r="D959" s="9">
        <v>40746</v>
      </c>
      <c r="E959" s="9">
        <v>40791</v>
      </c>
      <c r="F959" s="17">
        <f>IF(MONTH(Table1[[#This Row],[Loss date]])&lt;Policy_Inception_Month,YEAR(Table1[[#This Row],[Loss date]])-1,YEAR(Table1[[#This Row],[Loss date]]))</f>
        <v>2011</v>
      </c>
      <c r="G959" s="10" t="s">
        <v>131</v>
      </c>
      <c r="H959" s="10" t="s">
        <v>2</v>
      </c>
      <c r="I959" s="11">
        <v>269.41806961075855</v>
      </c>
      <c r="J959" s="11">
        <v>0</v>
      </c>
      <c r="K959" s="11">
        <v>269.41806961075855</v>
      </c>
      <c r="L959" s="12">
        <v>0</v>
      </c>
      <c r="M959" s="12">
        <v>0</v>
      </c>
      <c r="N959" s="12">
        <v>269.41806961075855</v>
      </c>
      <c r="O959" s="70">
        <f>IF(Table1[[#This Row],[Overall amount]]=0,0,1)</f>
        <v>1</v>
      </c>
      <c r="P959" s="70">
        <f>Table1[[#This Row],[Overall amount]]*Exchange_Rate</f>
        <v>269.41806961075855</v>
      </c>
      <c r="Q959" s="70">
        <f>Table1[[#This Row],[Overall (destination currency)]]*(1+Claims_Inflation)^((Revalue_at_date-Table1[[#This Row],[Loss date]])/365.25)</f>
        <v>330.59999999999997</v>
      </c>
      <c r="R959" s="70">
        <f>INT(Table1[[#This Row],[Reporting date]])-INT(Table1[[#This Row],[Loss date]])</f>
        <v>45</v>
      </c>
      <c r="S959" s="69" t="s">
        <v>9</v>
      </c>
      <c r="T959" s="70">
        <f>VLOOKUP(Table1[[#This Row],[Policy Year]],exposure_table,3,FALSE)</f>
        <v>870.52680000000009</v>
      </c>
      <c r="U959" s="17">
        <f>IF(MONTH(Table1[[#This Row],[Reporting date]])&lt;Policy_Inception_Month,YEAR(Table1[[#This Row],[Reporting date]])-1,YEAR(Table1[[#This Row],[Reporting date]]))</f>
        <v>2011</v>
      </c>
      <c r="V959" s="17">
        <f>Table1[[#This Row],[Reporting year]]-Table1[[#This Row],[Policy Year]]</f>
        <v>0</v>
      </c>
      <c r="W959" s="17">
        <f>INT(Table1[[#This Row],[Reporting date]])-INT(Table1[[#This Row],[Loss date]])</f>
        <v>45</v>
      </c>
      <c r="X959" s="17">
        <f>INT((YEAR(Table1[[#This Row],[Loss date]])*12+MONTH(Table1[[#This Row],[Loss date]])-Earliest_Month)/4)</f>
        <v>18</v>
      </c>
      <c r="Y959" s="17">
        <f>INT((YEAR(Table1[[#This Row],[Reporting date]])*12+MONTH(Table1[[#This Row],[Reporting date]])-Earliest_Month)/4)</f>
        <v>19</v>
      </c>
      <c r="Z959" s="17">
        <f>Table1[[#This Row],[Reporting third]]-Table1[[#This Row],[Policy third]]</f>
        <v>1</v>
      </c>
      <c r="AA959" s="71">
        <f>IF(Table1[[#This Row],[Overall amount]]=0,"N/A",Table1[[#This Row],[Outstanding]]/Table1[[#This Row],[Overall amount]])</f>
        <v>0</v>
      </c>
      <c r="AB959" s="17">
        <f>IF(MONTH(Table1[[#This Row],[Loss date]])&lt;Pol_Inc_Month_Shifted,YEAR(Table1[[#This Row],[Loss date]])-1,YEAR(Table1[[#This Row],[Loss date]]))</f>
        <v>2010</v>
      </c>
      <c r="AC959" s="17">
        <f>IF(MONTH(Table1[[#This Row],[Reporting date]])&lt;Pol_Inc_Month_Shifted,YEAR(Table1[[#This Row],[Reporting date]])-1,YEAR(Table1[[#This Row],[Reporting date]]))</f>
        <v>2010</v>
      </c>
      <c r="AD959" s="17">
        <f>Table1[[#This Row],[Reporting year (shifted)]]-Table1[[#This Row],[Policy Year (shifted)]]</f>
        <v>0</v>
      </c>
    </row>
    <row r="960" spans="1:30" ht="13.9">
      <c r="A960" s="8" t="s">
        <v>2730</v>
      </c>
      <c r="B960" s="8" t="s">
        <v>1012</v>
      </c>
      <c r="C960" s="8" t="s">
        <v>118</v>
      </c>
      <c r="D960" s="9">
        <v>39752</v>
      </c>
      <c r="E960" s="9">
        <v>39972</v>
      </c>
      <c r="F960" s="17">
        <f>IF(MONTH(Table1[[#This Row],[Loss date]])&lt;Policy_Inception_Month,YEAR(Table1[[#This Row],[Loss date]])-1,YEAR(Table1[[#This Row],[Loss date]]))</f>
        <v>2008</v>
      </c>
      <c r="G960" s="10" t="s">
        <v>124</v>
      </c>
      <c r="H960" s="10" t="s">
        <v>2</v>
      </c>
      <c r="I960" s="11">
        <v>8649.4847847387773</v>
      </c>
      <c r="J960" s="11">
        <v>0</v>
      </c>
      <c r="K960" s="11">
        <v>8649.4847847387773</v>
      </c>
      <c r="L960" s="12">
        <v>0</v>
      </c>
      <c r="M960" s="12">
        <v>0</v>
      </c>
      <c r="N960" s="12">
        <v>8649.4847847387773</v>
      </c>
      <c r="O960" s="70">
        <f>IF(Table1[[#This Row],[Overall amount]]=0,0,1)</f>
        <v>1</v>
      </c>
      <c r="P960" s="70">
        <f>Table1[[#This Row],[Overall amount]]*Exchange_Rate</f>
        <v>8649.4847847387773</v>
      </c>
      <c r="Q960" s="70">
        <f>Table1[[#This Row],[Overall (destination currency)]]*(1+Claims_Inflation)^((Revalue_at_date-Table1[[#This Row],[Loss date]])/365.25)</f>
        <v>12120.804</v>
      </c>
      <c r="R960" s="70">
        <f>INT(Table1[[#This Row],[Reporting date]])-INT(Table1[[#This Row],[Loss date]])</f>
        <v>220</v>
      </c>
      <c r="S960" s="69" t="s">
        <v>9</v>
      </c>
      <c r="T960" s="70">
        <f>VLOOKUP(Table1[[#This Row],[Policy Year]],exposure_table,3,FALSE)</f>
        <v>601.98581780480015</v>
      </c>
      <c r="U960" s="17">
        <f>IF(MONTH(Table1[[#This Row],[Reporting date]])&lt;Policy_Inception_Month,YEAR(Table1[[#This Row],[Reporting date]])-1,YEAR(Table1[[#This Row],[Reporting date]]))</f>
        <v>2009</v>
      </c>
      <c r="V960" s="17">
        <f>Table1[[#This Row],[Reporting year]]-Table1[[#This Row],[Policy Year]]</f>
        <v>1</v>
      </c>
      <c r="W960" s="17">
        <f>INT(Table1[[#This Row],[Reporting date]])-INT(Table1[[#This Row],[Loss date]])</f>
        <v>220</v>
      </c>
      <c r="X960" s="17">
        <f>INT((YEAR(Table1[[#This Row],[Loss date]])*12+MONTH(Table1[[#This Row],[Loss date]])-Earliest_Month)/4)</f>
        <v>10</v>
      </c>
      <c r="Y960" s="17">
        <f>INT((YEAR(Table1[[#This Row],[Reporting date]])*12+MONTH(Table1[[#This Row],[Reporting date]])-Earliest_Month)/4)</f>
        <v>12</v>
      </c>
      <c r="Z960" s="17">
        <f>Table1[[#This Row],[Reporting third]]-Table1[[#This Row],[Policy third]]</f>
        <v>2</v>
      </c>
      <c r="AA960" s="71">
        <f>IF(Table1[[#This Row],[Overall amount]]=0,"N/A",Table1[[#This Row],[Outstanding]]/Table1[[#This Row],[Overall amount]])</f>
        <v>0</v>
      </c>
      <c r="AB960" s="17">
        <f>IF(MONTH(Table1[[#This Row],[Loss date]])&lt;Pol_Inc_Month_Shifted,YEAR(Table1[[#This Row],[Loss date]])-1,YEAR(Table1[[#This Row],[Loss date]]))</f>
        <v>2007</v>
      </c>
      <c r="AC960" s="17">
        <f>IF(MONTH(Table1[[#This Row],[Reporting date]])&lt;Pol_Inc_Month_Shifted,YEAR(Table1[[#This Row],[Reporting date]])-1,YEAR(Table1[[#This Row],[Reporting date]]))</f>
        <v>2008</v>
      </c>
      <c r="AD960" s="17">
        <f>Table1[[#This Row],[Reporting year (shifted)]]-Table1[[#This Row],[Policy Year (shifted)]]</f>
        <v>1</v>
      </c>
    </row>
    <row r="961" spans="1:30" ht="13.9">
      <c r="A961" s="8" t="s">
        <v>2731</v>
      </c>
      <c r="B961" s="8" t="s">
        <v>1013</v>
      </c>
      <c r="C961" s="8" t="s">
        <v>118</v>
      </c>
      <c r="D961" s="9">
        <v>40197</v>
      </c>
      <c r="E961" s="9">
        <v>40197</v>
      </c>
      <c r="F961" s="17">
        <f>IF(MONTH(Table1[[#This Row],[Loss date]])&lt;Policy_Inception_Month,YEAR(Table1[[#This Row],[Loss date]])-1,YEAR(Table1[[#This Row],[Loss date]]))</f>
        <v>2009</v>
      </c>
      <c r="G961" s="10" t="s">
        <v>124</v>
      </c>
      <c r="H961" s="10" t="s">
        <v>2</v>
      </c>
      <c r="I961" s="11">
        <v>4228.5255204518862</v>
      </c>
      <c r="J961" s="11">
        <v>0</v>
      </c>
      <c r="K961" s="11">
        <v>4228.5255204518862</v>
      </c>
      <c r="L961" s="12">
        <v>0</v>
      </c>
      <c r="M961" s="12">
        <v>0</v>
      </c>
      <c r="N961" s="12">
        <v>4228.5255204518862</v>
      </c>
      <c r="O961" s="70">
        <f>IF(Table1[[#This Row],[Overall amount]]=0,0,1)</f>
        <v>1</v>
      </c>
      <c r="P961" s="70">
        <f>Table1[[#This Row],[Overall amount]]*Exchange_Rate</f>
        <v>4228.5255204518862</v>
      </c>
      <c r="Q961" s="70">
        <f>Table1[[#This Row],[Overall (destination currency)]]*(1+Claims_Inflation)^((Revalue_at_date-Table1[[#This Row],[Loss date]])/365.25)</f>
        <v>5583.6</v>
      </c>
      <c r="R961" s="70">
        <f>INT(Table1[[#This Row],[Reporting date]])-INT(Table1[[#This Row],[Loss date]])</f>
        <v>0</v>
      </c>
      <c r="S961" s="69" t="s">
        <v>9</v>
      </c>
      <c r="T961" s="70">
        <f>VLOOKUP(Table1[[#This Row],[Policy Year]],exposure_table,3,FALSE)</f>
        <v>760.22808576000011</v>
      </c>
      <c r="U961" s="17">
        <f>IF(MONTH(Table1[[#This Row],[Reporting date]])&lt;Policy_Inception_Month,YEAR(Table1[[#This Row],[Reporting date]])-1,YEAR(Table1[[#This Row],[Reporting date]]))</f>
        <v>2009</v>
      </c>
      <c r="V961" s="17">
        <f>Table1[[#This Row],[Reporting year]]-Table1[[#This Row],[Policy Year]]</f>
        <v>0</v>
      </c>
      <c r="W961" s="17">
        <f>INT(Table1[[#This Row],[Reporting date]])-INT(Table1[[#This Row],[Loss date]])</f>
        <v>0</v>
      </c>
      <c r="X961" s="17">
        <f>INT((YEAR(Table1[[#This Row],[Loss date]])*12+MONTH(Table1[[#This Row],[Loss date]])-Earliest_Month)/4)</f>
        <v>14</v>
      </c>
      <c r="Y961" s="17">
        <f>INT((YEAR(Table1[[#This Row],[Reporting date]])*12+MONTH(Table1[[#This Row],[Reporting date]])-Earliest_Month)/4)</f>
        <v>14</v>
      </c>
      <c r="Z961" s="17">
        <f>Table1[[#This Row],[Reporting third]]-Table1[[#This Row],[Policy third]]</f>
        <v>0</v>
      </c>
      <c r="AA961" s="71">
        <f>IF(Table1[[#This Row],[Overall amount]]=0,"N/A",Table1[[#This Row],[Outstanding]]/Table1[[#This Row],[Overall amount]])</f>
        <v>0</v>
      </c>
      <c r="AB961" s="17">
        <f>IF(MONTH(Table1[[#This Row],[Loss date]])&lt;Pol_Inc_Month_Shifted,YEAR(Table1[[#This Row],[Loss date]])-1,YEAR(Table1[[#This Row],[Loss date]]))</f>
        <v>2009</v>
      </c>
      <c r="AC961" s="17">
        <f>IF(MONTH(Table1[[#This Row],[Reporting date]])&lt;Pol_Inc_Month_Shifted,YEAR(Table1[[#This Row],[Reporting date]])-1,YEAR(Table1[[#This Row],[Reporting date]]))</f>
        <v>2009</v>
      </c>
      <c r="AD961" s="17">
        <f>Table1[[#This Row],[Reporting year (shifted)]]-Table1[[#This Row],[Policy Year (shifted)]]</f>
        <v>0</v>
      </c>
    </row>
    <row r="962" spans="1:30" ht="13.9">
      <c r="A962" s="8" t="s">
        <v>2732</v>
      </c>
      <c r="B962" s="8" t="s">
        <v>1014</v>
      </c>
      <c r="C962" s="8" t="s">
        <v>118</v>
      </c>
      <c r="D962" s="9">
        <v>40354</v>
      </c>
      <c r="E962" s="9">
        <v>40550</v>
      </c>
      <c r="F962" s="17">
        <f>IF(MONTH(Table1[[#This Row],[Loss date]])&lt;Policy_Inception_Month,YEAR(Table1[[#This Row],[Loss date]])-1,YEAR(Table1[[#This Row],[Loss date]]))</f>
        <v>2010</v>
      </c>
      <c r="G962" s="10" t="s">
        <v>140</v>
      </c>
      <c r="H962" s="10" t="s">
        <v>2</v>
      </c>
      <c r="I962" s="11">
        <v>6990.8813899457309</v>
      </c>
      <c r="J962" s="11">
        <v>0</v>
      </c>
      <c r="K962" s="11">
        <v>6990.8813899457309</v>
      </c>
      <c r="L962" s="12">
        <v>0</v>
      </c>
      <c r="M962" s="12">
        <v>0</v>
      </c>
      <c r="N962" s="12">
        <v>6990.8813899457309</v>
      </c>
      <c r="O962" s="70">
        <f>IF(Table1[[#This Row],[Overall amount]]=0,0,1)</f>
        <v>1</v>
      </c>
      <c r="P962" s="70">
        <f>Table1[[#This Row],[Overall amount]]*Exchange_Rate</f>
        <v>6990.8813899457309</v>
      </c>
      <c r="Q962" s="70">
        <f>Table1[[#This Row],[Overall (destination currency)]]*(1+Claims_Inflation)^((Revalue_at_date-Table1[[#This Row],[Loss date]])/365.25)</f>
        <v>9039.6</v>
      </c>
      <c r="R962" s="70">
        <f>INT(Table1[[#This Row],[Reporting date]])-INT(Table1[[#This Row],[Loss date]])</f>
        <v>196</v>
      </c>
      <c r="S962" s="69" t="s">
        <v>9</v>
      </c>
      <c r="T962" s="70">
        <f>VLOOKUP(Table1[[#This Row],[Policy Year]],exposure_table,3,FALSE)</f>
        <v>837.11513600000012</v>
      </c>
      <c r="U962" s="17">
        <f>IF(MONTH(Table1[[#This Row],[Reporting date]])&lt;Policy_Inception_Month,YEAR(Table1[[#This Row],[Reporting date]])-1,YEAR(Table1[[#This Row],[Reporting date]]))</f>
        <v>2010</v>
      </c>
      <c r="V962" s="17">
        <f>Table1[[#This Row],[Reporting year]]-Table1[[#This Row],[Policy Year]]</f>
        <v>0</v>
      </c>
      <c r="W962" s="17">
        <f>INT(Table1[[#This Row],[Reporting date]])-INT(Table1[[#This Row],[Loss date]])</f>
        <v>196</v>
      </c>
      <c r="X962" s="17">
        <f>INT((YEAR(Table1[[#This Row],[Loss date]])*12+MONTH(Table1[[#This Row],[Loss date]])-Earliest_Month)/4)</f>
        <v>15</v>
      </c>
      <c r="Y962" s="17">
        <f>INT((YEAR(Table1[[#This Row],[Reporting date]])*12+MONTH(Table1[[#This Row],[Reporting date]])-Earliest_Month)/4)</f>
        <v>17</v>
      </c>
      <c r="Z962" s="17">
        <f>Table1[[#This Row],[Reporting third]]-Table1[[#This Row],[Policy third]]</f>
        <v>2</v>
      </c>
      <c r="AA962" s="71">
        <f>IF(Table1[[#This Row],[Overall amount]]=0,"N/A",Table1[[#This Row],[Outstanding]]/Table1[[#This Row],[Overall amount]])</f>
        <v>0</v>
      </c>
      <c r="AB962" s="17">
        <f>IF(MONTH(Table1[[#This Row],[Loss date]])&lt;Pol_Inc_Month_Shifted,YEAR(Table1[[#This Row],[Loss date]])-1,YEAR(Table1[[#This Row],[Loss date]]))</f>
        <v>2009</v>
      </c>
      <c r="AC962" s="17">
        <f>IF(MONTH(Table1[[#This Row],[Reporting date]])&lt;Pol_Inc_Month_Shifted,YEAR(Table1[[#This Row],[Reporting date]])-1,YEAR(Table1[[#This Row],[Reporting date]]))</f>
        <v>2010</v>
      </c>
      <c r="AD962" s="17">
        <f>Table1[[#This Row],[Reporting year (shifted)]]-Table1[[#This Row],[Policy Year (shifted)]]</f>
        <v>1</v>
      </c>
    </row>
    <row r="963" spans="1:30" ht="13.9">
      <c r="A963" s="8" t="s">
        <v>2733</v>
      </c>
      <c r="B963" s="8" t="s">
        <v>1015</v>
      </c>
      <c r="C963" s="8" t="s">
        <v>118</v>
      </c>
      <c r="D963" s="9">
        <v>40703</v>
      </c>
      <c r="E963" s="9">
        <v>40703</v>
      </c>
      <c r="F963" s="17">
        <f>IF(MONTH(Table1[[#This Row],[Loss date]])&lt;Policy_Inception_Month,YEAR(Table1[[#This Row],[Loss date]])-1,YEAR(Table1[[#This Row],[Loss date]]))</f>
        <v>2011</v>
      </c>
      <c r="G963" s="10" t="s">
        <v>131</v>
      </c>
      <c r="H963" s="10" t="s">
        <v>2</v>
      </c>
      <c r="I963" s="11">
        <v>3917.4893032361201</v>
      </c>
      <c r="J963" s="11">
        <v>0</v>
      </c>
      <c r="K963" s="11">
        <v>3917.4893032361201</v>
      </c>
      <c r="L963" s="12">
        <v>0</v>
      </c>
      <c r="M963" s="12">
        <v>152.78208282620869</v>
      </c>
      <c r="N963" s="12">
        <v>3764.7072204099113</v>
      </c>
      <c r="O963" s="70">
        <f>IF(Table1[[#This Row],[Overall amount]]=0,0,1)</f>
        <v>1</v>
      </c>
      <c r="P963" s="70">
        <f>Table1[[#This Row],[Overall amount]]*Exchange_Rate</f>
        <v>3764.7072204099113</v>
      </c>
      <c r="Q963" s="70">
        <f>Table1[[#This Row],[Overall (destination currency)]]*(1+Claims_Inflation)^((Revalue_at_date-Table1[[#This Row],[Loss date]])/365.25)</f>
        <v>4646.2427999999991</v>
      </c>
      <c r="R963" s="70">
        <f>INT(Table1[[#This Row],[Reporting date]])-INT(Table1[[#This Row],[Loss date]])</f>
        <v>0</v>
      </c>
      <c r="S963" s="69" t="s">
        <v>9</v>
      </c>
      <c r="T963" s="70">
        <f>VLOOKUP(Table1[[#This Row],[Policy Year]],exposure_table,3,FALSE)</f>
        <v>870.52680000000009</v>
      </c>
      <c r="U963" s="17">
        <f>IF(MONTH(Table1[[#This Row],[Reporting date]])&lt;Policy_Inception_Month,YEAR(Table1[[#This Row],[Reporting date]])-1,YEAR(Table1[[#This Row],[Reporting date]]))</f>
        <v>2011</v>
      </c>
      <c r="V963" s="17">
        <f>Table1[[#This Row],[Reporting year]]-Table1[[#This Row],[Policy Year]]</f>
        <v>0</v>
      </c>
      <c r="W963" s="17">
        <f>INT(Table1[[#This Row],[Reporting date]])-INT(Table1[[#This Row],[Loss date]])</f>
        <v>0</v>
      </c>
      <c r="X963" s="17">
        <f>INT((YEAR(Table1[[#This Row],[Loss date]])*12+MONTH(Table1[[#This Row],[Loss date]])-Earliest_Month)/4)</f>
        <v>18</v>
      </c>
      <c r="Y963" s="17">
        <f>INT((YEAR(Table1[[#This Row],[Reporting date]])*12+MONTH(Table1[[#This Row],[Reporting date]])-Earliest_Month)/4)</f>
        <v>18</v>
      </c>
      <c r="Z963" s="17">
        <f>Table1[[#This Row],[Reporting third]]-Table1[[#This Row],[Policy third]]</f>
        <v>0</v>
      </c>
      <c r="AA963" s="71">
        <f>IF(Table1[[#This Row],[Overall amount]]=0,"N/A",Table1[[#This Row],[Outstanding]]/Table1[[#This Row],[Overall amount]])</f>
        <v>0</v>
      </c>
      <c r="AB963" s="17">
        <f>IF(MONTH(Table1[[#This Row],[Loss date]])&lt;Pol_Inc_Month_Shifted,YEAR(Table1[[#This Row],[Loss date]])-1,YEAR(Table1[[#This Row],[Loss date]]))</f>
        <v>2010</v>
      </c>
      <c r="AC963" s="17">
        <f>IF(MONTH(Table1[[#This Row],[Reporting date]])&lt;Pol_Inc_Month_Shifted,YEAR(Table1[[#This Row],[Reporting date]])-1,YEAR(Table1[[#This Row],[Reporting date]]))</f>
        <v>2010</v>
      </c>
      <c r="AD963" s="17">
        <f>Table1[[#This Row],[Reporting year (shifted)]]-Table1[[#This Row],[Policy Year (shifted)]]</f>
        <v>0</v>
      </c>
    </row>
    <row r="964" spans="1:30" ht="13.9">
      <c r="A964" s="8" t="s">
        <v>2734</v>
      </c>
      <c r="B964" s="8" t="s">
        <v>1016</v>
      </c>
      <c r="C964" s="8" t="s">
        <v>118</v>
      </c>
      <c r="D964" s="9">
        <v>40748</v>
      </c>
      <c r="E964" s="9">
        <v>40889</v>
      </c>
      <c r="F964" s="17">
        <f>IF(MONTH(Table1[[#This Row],[Loss date]])&lt;Policy_Inception_Month,YEAR(Table1[[#This Row],[Loss date]])-1,YEAR(Table1[[#This Row],[Loss date]]))</f>
        <v>2011</v>
      </c>
      <c r="G964" s="10" t="s">
        <v>124</v>
      </c>
      <c r="H964" s="10" t="s">
        <v>2</v>
      </c>
      <c r="I964" s="11">
        <v>4526.0634991519973</v>
      </c>
      <c r="J964" s="11">
        <v>0</v>
      </c>
      <c r="K964" s="11">
        <v>4526.0634991519973</v>
      </c>
      <c r="L964" s="12">
        <v>0</v>
      </c>
      <c r="M964" s="12">
        <v>0</v>
      </c>
      <c r="N964" s="12">
        <v>4526.0634991519973</v>
      </c>
      <c r="O964" s="70">
        <f>IF(Table1[[#This Row],[Overall amount]]=0,0,1)</f>
        <v>1</v>
      </c>
      <c r="P964" s="70">
        <f>Table1[[#This Row],[Overall amount]]*Exchange_Rate</f>
        <v>4526.0634991519973</v>
      </c>
      <c r="Q964" s="70">
        <f>Table1[[#This Row],[Overall (destination currency)]]*(1+Claims_Inflation)^((Revalue_at_date-Table1[[#This Row],[Loss date]])/365.25)</f>
        <v>5552.4</v>
      </c>
      <c r="R964" s="70">
        <f>INT(Table1[[#This Row],[Reporting date]])-INT(Table1[[#This Row],[Loss date]])</f>
        <v>141</v>
      </c>
      <c r="S964" s="69" t="s">
        <v>9</v>
      </c>
      <c r="T964" s="70">
        <f>VLOOKUP(Table1[[#This Row],[Policy Year]],exposure_table,3,FALSE)</f>
        <v>870.52680000000009</v>
      </c>
      <c r="U964" s="17">
        <f>IF(MONTH(Table1[[#This Row],[Reporting date]])&lt;Policy_Inception_Month,YEAR(Table1[[#This Row],[Reporting date]])-1,YEAR(Table1[[#This Row],[Reporting date]]))</f>
        <v>2011</v>
      </c>
      <c r="V964" s="17">
        <f>Table1[[#This Row],[Reporting year]]-Table1[[#This Row],[Policy Year]]</f>
        <v>0</v>
      </c>
      <c r="W964" s="17">
        <f>INT(Table1[[#This Row],[Reporting date]])-INT(Table1[[#This Row],[Loss date]])</f>
        <v>141</v>
      </c>
      <c r="X964" s="17">
        <f>INT((YEAR(Table1[[#This Row],[Loss date]])*12+MONTH(Table1[[#This Row],[Loss date]])-Earliest_Month)/4)</f>
        <v>18</v>
      </c>
      <c r="Y964" s="17">
        <f>INT((YEAR(Table1[[#This Row],[Reporting date]])*12+MONTH(Table1[[#This Row],[Reporting date]])-Earliest_Month)/4)</f>
        <v>20</v>
      </c>
      <c r="Z964" s="17">
        <f>Table1[[#This Row],[Reporting third]]-Table1[[#This Row],[Policy third]]</f>
        <v>2</v>
      </c>
      <c r="AA964" s="71">
        <f>IF(Table1[[#This Row],[Overall amount]]=0,"N/A",Table1[[#This Row],[Outstanding]]/Table1[[#This Row],[Overall amount]])</f>
        <v>0</v>
      </c>
      <c r="AB964" s="17">
        <f>IF(MONTH(Table1[[#This Row],[Loss date]])&lt;Pol_Inc_Month_Shifted,YEAR(Table1[[#This Row],[Loss date]])-1,YEAR(Table1[[#This Row],[Loss date]]))</f>
        <v>2010</v>
      </c>
      <c r="AC964" s="17">
        <f>IF(MONTH(Table1[[#This Row],[Reporting date]])&lt;Pol_Inc_Month_Shifted,YEAR(Table1[[#This Row],[Reporting date]])-1,YEAR(Table1[[#This Row],[Reporting date]]))</f>
        <v>2011</v>
      </c>
      <c r="AD964" s="17">
        <f>Table1[[#This Row],[Reporting year (shifted)]]-Table1[[#This Row],[Policy Year (shifted)]]</f>
        <v>1</v>
      </c>
    </row>
    <row r="965" spans="1:30" ht="13.9">
      <c r="A965" s="8" t="s">
        <v>2735</v>
      </c>
      <c r="B965" s="8" t="s">
        <v>1017</v>
      </c>
      <c r="C965" s="8" t="s">
        <v>118</v>
      </c>
      <c r="D965" s="9">
        <v>38713</v>
      </c>
      <c r="E965" s="9">
        <v>38748</v>
      </c>
      <c r="F965" s="17">
        <f>IF(MONTH(Table1[[#This Row],[Loss date]])&lt;Policy_Inception_Month,YEAR(Table1[[#This Row],[Loss date]])-1,YEAR(Table1[[#This Row],[Loss date]]))</f>
        <v>2005</v>
      </c>
      <c r="G965" s="10" t="s">
        <v>132</v>
      </c>
      <c r="H965" s="10" t="s">
        <v>2</v>
      </c>
      <c r="I965" s="11">
        <v>2353.8377883074413</v>
      </c>
      <c r="J965" s="11">
        <v>0</v>
      </c>
      <c r="K965" s="11">
        <v>2353.8377883074413</v>
      </c>
      <c r="L965" s="12">
        <v>0</v>
      </c>
      <c r="M965" s="12">
        <v>0</v>
      </c>
      <c r="N965" s="12">
        <v>2353.8377883074413</v>
      </c>
      <c r="O965" s="70">
        <f>IF(Table1[[#This Row],[Overall amount]]=0,0,1)</f>
        <v>1</v>
      </c>
      <c r="P965" s="70">
        <f>Table1[[#This Row],[Overall amount]]*Exchange_Rate</f>
        <v>2353.8377883074413</v>
      </c>
      <c r="Q965" s="70">
        <f>Table1[[#This Row],[Overall (destination currency)]]*(1+Claims_Inflation)^((Revalue_at_date-Table1[[#This Row],[Loss date]])/365.25)</f>
        <v>3789.6000000000008</v>
      </c>
      <c r="R965" s="70">
        <f>INT(Table1[[#This Row],[Reporting date]])-INT(Table1[[#This Row],[Loss date]])</f>
        <v>35</v>
      </c>
      <c r="S965" s="69" t="s">
        <v>9</v>
      </c>
      <c r="T965" s="70">
        <f>VLOOKUP(Table1[[#This Row],[Policy Year]],exposure_table,3,FALSE)</f>
        <v>409.50481038040112</v>
      </c>
      <c r="U965" s="17">
        <f>IF(MONTH(Table1[[#This Row],[Reporting date]])&lt;Policy_Inception_Month,YEAR(Table1[[#This Row],[Reporting date]])-1,YEAR(Table1[[#This Row],[Reporting date]]))</f>
        <v>2005</v>
      </c>
      <c r="V965" s="17">
        <f>Table1[[#This Row],[Reporting year]]-Table1[[#This Row],[Policy Year]]</f>
        <v>0</v>
      </c>
      <c r="W965" s="17">
        <f>INT(Table1[[#This Row],[Reporting date]])-INT(Table1[[#This Row],[Loss date]])</f>
        <v>35</v>
      </c>
      <c r="X965" s="17">
        <f>INT((YEAR(Table1[[#This Row],[Loss date]])*12+MONTH(Table1[[#This Row],[Loss date]])-Earliest_Month)/4)</f>
        <v>2</v>
      </c>
      <c r="Y965" s="17">
        <f>INT((YEAR(Table1[[#This Row],[Reporting date]])*12+MONTH(Table1[[#This Row],[Reporting date]])-Earliest_Month)/4)</f>
        <v>2</v>
      </c>
      <c r="Z965" s="17">
        <f>Table1[[#This Row],[Reporting third]]-Table1[[#This Row],[Policy third]]</f>
        <v>0</v>
      </c>
      <c r="AA965" s="71">
        <f>IF(Table1[[#This Row],[Overall amount]]=0,"N/A",Table1[[#This Row],[Outstanding]]/Table1[[#This Row],[Overall amount]])</f>
        <v>0</v>
      </c>
      <c r="AB965" s="17">
        <f>IF(MONTH(Table1[[#This Row],[Loss date]])&lt;Pol_Inc_Month_Shifted,YEAR(Table1[[#This Row],[Loss date]])-1,YEAR(Table1[[#This Row],[Loss date]]))</f>
        <v>2005</v>
      </c>
      <c r="AC965" s="17">
        <f>IF(MONTH(Table1[[#This Row],[Reporting date]])&lt;Pol_Inc_Month_Shifted,YEAR(Table1[[#This Row],[Reporting date]])-1,YEAR(Table1[[#This Row],[Reporting date]]))</f>
        <v>2005</v>
      </c>
      <c r="AD965" s="17">
        <f>Table1[[#This Row],[Reporting year (shifted)]]-Table1[[#This Row],[Policy Year (shifted)]]</f>
        <v>0</v>
      </c>
    </row>
    <row r="966" spans="1:30" ht="13.9">
      <c r="A966" s="8" t="s">
        <v>2736</v>
      </c>
      <c r="B966" s="8" t="s">
        <v>1018</v>
      </c>
      <c r="C966" s="8" t="s">
        <v>118</v>
      </c>
      <c r="D966" s="9">
        <v>39356</v>
      </c>
      <c r="E966" s="9">
        <v>39466</v>
      </c>
      <c r="F966" s="17">
        <f>IF(MONTH(Table1[[#This Row],[Loss date]])&lt;Policy_Inception_Month,YEAR(Table1[[#This Row],[Loss date]])-1,YEAR(Table1[[#This Row],[Loss date]]))</f>
        <v>2007</v>
      </c>
      <c r="G966" s="10" t="s">
        <v>131</v>
      </c>
      <c r="H966" s="10" t="s">
        <v>2</v>
      </c>
      <c r="I966" s="11">
        <v>4364.8016778505989</v>
      </c>
      <c r="J966" s="11">
        <v>0</v>
      </c>
      <c r="K966" s="11">
        <v>4364.8016778505989</v>
      </c>
      <c r="L966" s="12">
        <v>0</v>
      </c>
      <c r="M966" s="12">
        <v>0</v>
      </c>
      <c r="N966" s="12">
        <v>4364.8016778505989</v>
      </c>
      <c r="O966" s="70">
        <f>IF(Table1[[#This Row],[Overall amount]]=0,0,1)</f>
        <v>1</v>
      </c>
      <c r="P966" s="70">
        <f>Table1[[#This Row],[Overall amount]]*Exchange_Rate</f>
        <v>4364.8016778505989</v>
      </c>
      <c r="Q966" s="70">
        <f>Table1[[#This Row],[Overall (destination currency)]]*(1+Claims_Inflation)^((Revalue_at_date-Table1[[#This Row],[Loss date]])/365.25)</f>
        <v>6448.800000000002</v>
      </c>
      <c r="R966" s="70">
        <f>INT(Table1[[#This Row],[Reporting date]])-INT(Table1[[#This Row],[Loss date]])</f>
        <v>110</v>
      </c>
      <c r="S966" s="69" t="s">
        <v>9</v>
      </c>
      <c r="T966" s="70">
        <f>VLOOKUP(Table1[[#This Row],[Policy Year]],exposure_table,3,FALSE)</f>
        <v>547.7736362475523</v>
      </c>
      <c r="U966" s="17">
        <f>IF(MONTH(Table1[[#This Row],[Reporting date]])&lt;Policy_Inception_Month,YEAR(Table1[[#This Row],[Reporting date]])-1,YEAR(Table1[[#This Row],[Reporting date]]))</f>
        <v>2007</v>
      </c>
      <c r="V966" s="17">
        <f>Table1[[#This Row],[Reporting year]]-Table1[[#This Row],[Policy Year]]</f>
        <v>0</v>
      </c>
      <c r="W966" s="17">
        <f>INT(Table1[[#This Row],[Reporting date]])-INT(Table1[[#This Row],[Loss date]])</f>
        <v>110</v>
      </c>
      <c r="X966" s="17">
        <f>INT((YEAR(Table1[[#This Row],[Loss date]])*12+MONTH(Table1[[#This Row],[Loss date]])-Earliest_Month)/4)</f>
        <v>7</v>
      </c>
      <c r="Y966" s="17">
        <f>INT((YEAR(Table1[[#This Row],[Reporting date]])*12+MONTH(Table1[[#This Row],[Reporting date]])-Earliest_Month)/4)</f>
        <v>8</v>
      </c>
      <c r="Z966" s="17">
        <f>Table1[[#This Row],[Reporting third]]-Table1[[#This Row],[Policy third]]</f>
        <v>1</v>
      </c>
      <c r="AA966" s="71">
        <f>IF(Table1[[#This Row],[Overall amount]]=0,"N/A",Table1[[#This Row],[Outstanding]]/Table1[[#This Row],[Overall amount]])</f>
        <v>0</v>
      </c>
      <c r="AB966" s="17">
        <f>IF(MONTH(Table1[[#This Row],[Loss date]])&lt;Pol_Inc_Month_Shifted,YEAR(Table1[[#This Row],[Loss date]])-1,YEAR(Table1[[#This Row],[Loss date]]))</f>
        <v>2006</v>
      </c>
      <c r="AC966" s="17">
        <f>IF(MONTH(Table1[[#This Row],[Reporting date]])&lt;Pol_Inc_Month_Shifted,YEAR(Table1[[#This Row],[Reporting date]])-1,YEAR(Table1[[#This Row],[Reporting date]]))</f>
        <v>2007</v>
      </c>
      <c r="AD966" s="17">
        <f>Table1[[#This Row],[Reporting year (shifted)]]-Table1[[#This Row],[Policy Year (shifted)]]</f>
        <v>1</v>
      </c>
    </row>
    <row r="967" spans="1:30" ht="13.9">
      <c r="A967" s="8" t="s">
        <v>2737</v>
      </c>
      <c r="B967" s="8" t="s">
        <v>1019</v>
      </c>
      <c r="C967" s="8" t="s">
        <v>118</v>
      </c>
      <c r="D967" s="9">
        <v>39723</v>
      </c>
      <c r="E967" s="9">
        <v>39741</v>
      </c>
      <c r="F967" s="17">
        <f>IF(MONTH(Table1[[#This Row],[Loss date]])&lt;Policy_Inception_Month,YEAR(Table1[[#This Row],[Loss date]])-1,YEAR(Table1[[#This Row],[Loss date]]))</f>
        <v>2008</v>
      </c>
      <c r="G967" s="10" t="s">
        <v>119</v>
      </c>
      <c r="H967" s="10" t="s">
        <v>2</v>
      </c>
      <c r="I967" s="11">
        <v>2527.958467071066</v>
      </c>
      <c r="J967" s="11">
        <v>0</v>
      </c>
      <c r="K967" s="11">
        <v>2527.958467071066</v>
      </c>
      <c r="L967" s="12">
        <v>0</v>
      </c>
      <c r="M967" s="12">
        <v>0</v>
      </c>
      <c r="N967" s="12">
        <v>2527.958467071066</v>
      </c>
      <c r="O967" s="70">
        <f>IF(Table1[[#This Row],[Overall amount]]=0,0,1)</f>
        <v>1</v>
      </c>
      <c r="P967" s="70">
        <f>Table1[[#This Row],[Overall amount]]*Exchange_Rate</f>
        <v>2527.958467071066</v>
      </c>
      <c r="Q967" s="70">
        <f>Table1[[#This Row],[Overall (destination currency)]]*(1+Claims_Inflation)^((Revalue_at_date-Table1[[#This Row],[Loss date]])/365.25)</f>
        <v>3556.2600000000007</v>
      </c>
      <c r="R967" s="70">
        <f>INT(Table1[[#This Row],[Reporting date]])-INT(Table1[[#This Row],[Loss date]])</f>
        <v>18</v>
      </c>
      <c r="S967" s="69" t="s">
        <v>9</v>
      </c>
      <c r="T967" s="70">
        <f>VLOOKUP(Table1[[#This Row],[Policy Year]],exposure_table,3,FALSE)</f>
        <v>601.98581780480015</v>
      </c>
      <c r="U967" s="17">
        <f>IF(MONTH(Table1[[#This Row],[Reporting date]])&lt;Policy_Inception_Month,YEAR(Table1[[#This Row],[Reporting date]])-1,YEAR(Table1[[#This Row],[Reporting date]]))</f>
        <v>2008</v>
      </c>
      <c r="V967" s="17">
        <f>Table1[[#This Row],[Reporting year]]-Table1[[#This Row],[Policy Year]]</f>
        <v>0</v>
      </c>
      <c r="W967" s="17">
        <f>INT(Table1[[#This Row],[Reporting date]])-INT(Table1[[#This Row],[Loss date]])</f>
        <v>18</v>
      </c>
      <c r="X967" s="17">
        <f>INT((YEAR(Table1[[#This Row],[Loss date]])*12+MONTH(Table1[[#This Row],[Loss date]])-Earliest_Month)/4)</f>
        <v>10</v>
      </c>
      <c r="Y967" s="17">
        <f>INT((YEAR(Table1[[#This Row],[Reporting date]])*12+MONTH(Table1[[#This Row],[Reporting date]])-Earliest_Month)/4)</f>
        <v>10</v>
      </c>
      <c r="Z967" s="17">
        <f>Table1[[#This Row],[Reporting third]]-Table1[[#This Row],[Policy third]]</f>
        <v>0</v>
      </c>
      <c r="AA967" s="71">
        <f>IF(Table1[[#This Row],[Overall amount]]=0,"N/A",Table1[[#This Row],[Outstanding]]/Table1[[#This Row],[Overall amount]])</f>
        <v>0</v>
      </c>
      <c r="AB967" s="17">
        <f>IF(MONTH(Table1[[#This Row],[Loss date]])&lt;Pol_Inc_Month_Shifted,YEAR(Table1[[#This Row],[Loss date]])-1,YEAR(Table1[[#This Row],[Loss date]]))</f>
        <v>2007</v>
      </c>
      <c r="AC967" s="17">
        <f>IF(MONTH(Table1[[#This Row],[Reporting date]])&lt;Pol_Inc_Month_Shifted,YEAR(Table1[[#This Row],[Reporting date]])-1,YEAR(Table1[[#This Row],[Reporting date]]))</f>
        <v>2007</v>
      </c>
      <c r="AD967" s="17">
        <f>Table1[[#This Row],[Reporting year (shifted)]]-Table1[[#This Row],[Policy Year (shifted)]]</f>
        <v>0</v>
      </c>
    </row>
    <row r="968" spans="1:30" ht="13.9">
      <c r="A968" s="8" t="s">
        <v>2738</v>
      </c>
      <c r="B968" s="8" t="s">
        <v>1020</v>
      </c>
      <c r="C968" s="8" t="s">
        <v>118</v>
      </c>
      <c r="D968" s="9">
        <v>40697</v>
      </c>
      <c r="E968" s="9">
        <v>40710</v>
      </c>
      <c r="F968" s="17">
        <f>IF(MONTH(Table1[[#This Row],[Loss date]])&lt;Policy_Inception_Month,YEAR(Table1[[#This Row],[Loss date]])-1,YEAR(Table1[[#This Row],[Loss date]]))</f>
        <v>2011</v>
      </c>
      <c r="G968" s="10" t="s">
        <v>132</v>
      </c>
      <c r="H968" s="10" t="s">
        <v>2</v>
      </c>
      <c r="I968" s="11">
        <v>6466.1110777354561</v>
      </c>
      <c r="J968" s="11">
        <v>0</v>
      </c>
      <c r="K968" s="11">
        <v>6466.1110777354561</v>
      </c>
      <c r="L968" s="12">
        <v>0</v>
      </c>
      <c r="M968" s="12">
        <v>0</v>
      </c>
      <c r="N968" s="12">
        <v>6466.1110777354561</v>
      </c>
      <c r="O968" s="70">
        <f>IF(Table1[[#This Row],[Overall amount]]=0,0,1)</f>
        <v>1</v>
      </c>
      <c r="P968" s="70">
        <f>Table1[[#This Row],[Overall amount]]*Exchange_Rate</f>
        <v>6466.1110777354561</v>
      </c>
      <c r="Q968" s="70">
        <f>Table1[[#This Row],[Overall (destination currency)]]*(1+Claims_Inflation)^((Revalue_at_date-Table1[[#This Row],[Loss date]])/365.25)</f>
        <v>7986.5999999999995</v>
      </c>
      <c r="R968" s="70">
        <f>INT(Table1[[#This Row],[Reporting date]])-INT(Table1[[#This Row],[Loss date]])</f>
        <v>13</v>
      </c>
      <c r="S968" s="69" t="s">
        <v>9</v>
      </c>
      <c r="T968" s="70">
        <f>VLOOKUP(Table1[[#This Row],[Policy Year]],exposure_table,3,FALSE)</f>
        <v>870.52680000000009</v>
      </c>
      <c r="U968" s="17">
        <f>IF(MONTH(Table1[[#This Row],[Reporting date]])&lt;Policy_Inception_Month,YEAR(Table1[[#This Row],[Reporting date]])-1,YEAR(Table1[[#This Row],[Reporting date]]))</f>
        <v>2011</v>
      </c>
      <c r="V968" s="17">
        <f>Table1[[#This Row],[Reporting year]]-Table1[[#This Row],[Policy Year]]</f>
        <v>0</v>
      </c>
      <c r="W968" s="17">
        <f>INT(Table1[[#This Row],[Reporting date]])-INT(Table1[[#This Row],[Loss date]])</f>
        <v>13</v>
      </c>
      <c r="X968" s="17">
        <f>INT((YEAR(Table1[[#This Row],[Loss date]])*12+MONTH(Table1[[#This Row],[Loss date]])-Earliest_Month)/4)</f>
        <v>18</v>
      </c>
      <c r="Y968" s="17">
        <f>INT((YEAR(Table1[[#This Row],[Reporting date]])*12+MONTH(Table1[[#This Row],[Reporting date]])-Earliest_Month)/4)</f>
        <v>18</v>
      </c>
      <c r="Z968" s="17">
        <f>Table1[[#This Row],[Reporting third]]-Table1[[#This Row],[Policy third]]</f>
        <v>0</v>
      </c>
      <c r="AA968" s="71">
        <f>IF(Table1[[#This Row],[Overall amount]]=0,"N/A",Table1[[#This Row],[Outstanding]]/Table1[[#This Row],[Overall amount]])</f>
        <v>0</v>
      </c>
      <c r="AB968" s="17">
        <f>IF(MONTH(Table1[[#This Row],[Loss date]])&lt;Pol_Inc_Month_Shifted,YEAR(Table1[[#This Row],[Loss date]])-1,YEAR(Table1[[#This Row],[Loss date]]))</f>
        <v>2010</v>
      </c>
      <c r="AC968" s="17">
        <f>IF(MONTH(Table1[[#This Row],[Reporting date]])&lt;Pol_Inc_Month_Shifted,YEAR(Table1[[#This Row],[Reporting date]])-1,YEAR(Table1[[#This Row],[Reporting date]]))</f>
        <v>2010</v>
      </c>
      <c r="AD968" s="17">
        <f>Table1[[#This Row],[Reporting year (shifted)]]-Table1[[#This Row],[Policy Year (shifted)]]</f>
        <v>0</v>
      </c>
    </row>
    <row r="969" spans="1:30" ht="13.9">
      <c r="A969" s="8" t="s">
        <v>2739</v>
      </c>
      <c r="B969" s="8" t="s">
        <v>1021</v>
      </c>
      <c r="C969" s="8" t="s">
        <v>118</v>
      </c>
      <c r="D969" s="9">
        <v>40861</v>
      </c>
      <c r="E969" s="9">
        <v>40888</v>
      </c>
      <c r="F969" s="17">
        <f>IF(MONTH(Table1[[#This Row],[Loss date]])&lt;Policy_Inception_Month,YEAR(Table1[[#This Row],[Loss date]])-1,YEAR(Table1[[#This Row],[Loss date]]))</f>
        <v>2011</v>
      </c>
      <c r="G969" s="10" t="s">
        <v>131</v>
      </c>
      <c r="H969" s="10" t="s">
        <v>2</v>
      </c>
      <c r="I969" s="11">
        <v>4268.3916153768814</v>
      </c>
      <c r="J969" s="11">
        <v>0</v>
      </c>
      <c r="K969" s="11">
        <v>4268.3916153768814</v>
      </c>
      <c r="L969" s="12">
        <v>0</v>
      </c>
      <c r="M969" s="12">
        <v>277.44545499949737</v>
      </c>
      <c r="N969" s="12">
        <v>3990.9461603773839</v>
      </c>
      <c r="O969" s="70">
        <f>IF(Table1[[#This Row],[Overall amount]]=0,0,1)</f>
        <v>1</v>
      </c>
      <c r="P969" s="70">
        <f>Table1[[#This Row],[Overall amount]]*Exchange_Rate</f>
        <v>3990.9461603773839</v>
      </c>
      <c r="Q969" s="70">
        <f>Table1[[#This Row],[Overall (destination currency)]]*(1+Claims_Inflation)^((Revalue_at_date-Table1[[#This Row],[Loss date]])/365.25)</f>
        <v>4822.5916199999992</v>
      </c>
      <c r="R969" s="70">
        <f>INT(Table1[[#This Row],[Reporting date]])-INT(Table1[[#This Row],[Loss date]])</f>
        <v>27</v>
      </c>
      <c r="S969" s="69" t="s">
        <v>9</v>
      </c>
      <c r="T969" s="70">
        <f>VLOOKUP(Table1[[#This Row],[Policy Year]],exposure_table,3,FALSE)</f>
        <v>870.52680000000009</v>
      </c>
      <c r="U969" s="17">
        <f>IF(MONTH(Table1[[#This Row],[Reporting date]])&lt;Policy_Inception_Month,YEAR(Table1[[#This Row],[Reporting date]])-1,YEAR(Table1[[#This Row],[Reporting date]]))</f>
        <v>2011</v>
      </c>
      <c r="V969" s="17">
        <f>Table1[[#This Row],[Reporting year]]-Table1[[#This Row],[Policy Year]]</f>
        <v>0</v>
      </c>
      <c r="W969" s="17">
        <f>INT(Table1[[#This Row],[Reporting date]])-INT(Table1[[#This Row],[Loss date]])</f>
        <v>27</v>
      </c>
      <c r="X969" s="17">
        <f>INT((YEAR(Table1[[#This Row],[Loss date]])*12+MONTH(Table1[[#This Row],[Loss date]])-Earliest_Month)/4)</f>
        <v>19</v>
      </c>
      <c r="Y969" s="17">
        <f>INT((YEAR(Table1[[#This Row],[Reporting date]])*12+MONTH(Table1[[#This Row],[Reporting date]])-Earliest_Month)/4)</f>
        <v>20</v>
      </c>
      <c r="Z969" s="17">
        <f>Table1[[#This Row],[Reporting third]]-Table1[[#This Row],[Policy third]]</f>
        <v>1</v>
      </c>
      <c r="AA969" s="71">
        <f>IF(Table1[[#This Row],[Overall amount]]=0,"N/A",Table1[[#This Row],[Outstanding]]/Table1[[#This Row],[Overall amount]])</f>
        <v>0</v>
      </c>
      <c r="AB969" s="17">
        <f>IF(MONTH(Table1[[#This Row],[Loss date]])&lt;Pol_Inc_Month_Shifted,YEAR(Table1[[#This Row],[Loss date]])-1,YEAR(Table1[[#This Row],[Loss date]]))</f>
        <v>2010</v>
      </c>
      <c r="AC969" s="17">
        <f>IF(MONTH(Table1[[#This Row],[Reporting date]])&lt;Pol_Inc_Month_Shifted,YEAR(Table1[[#This Row],[Reporting date]])-1,YEAR(Table1[[#This Row],[Reporting date]]))</f>
        <v>2011</v>
      </c>
      <c r="AD969" s="17">
        <f>Table1[[#This Row],[Reporting year (shifted)]]-Table1[[#This Row],[Policy Year (shifted)]]</f>
        <v>1</v>
      </c>
    </row>
    <row r="970" spans="1:30" ht="13.9">
      <c r="A970" s="8" t="s">
        <v>2740</v>
      </c>
      <c r="B970" s="8" t="s">
        <v>1022</v>
      </c>
      <c r="C970" s="8" t="s">
        <v>118</v>
      </c>
      <c r="D970" s="9">
        <v>39719</v>
      </c>
      <c r="E970" s="9">
        <v>39742</v>
      </c>
      <c r="F970" s="17">
        <f>IF(MONTH(Table1[[#This Row],[Loss date]])&lt;Policy_Inception_Month,YEAR(Table1[[#This Row],[Loss date]])-1,YEAR(Table1[[#This Row],[Loss date]]))</f>
        <v>2008</v>
      </c>
      <c r="G970" s="10" t="s">
        <v>124</v>
      </c>
      <c r="H970" s="10" t="s">
        <v>2</v>
      </c>
      <c r="I970" s="11">
        <v>477.07626104797839</v>
      </c>
      <c r="J970" s="11">
        <v>0</v>
      </c>
      <c r="K970" s="11">
        <v>477.07626104797839</v>
      </c>
      <c r="L970" s="12">
        <v>0</v>
      </c>
      <c r="M970" s="12">
        <v>0</v>
      </c>
      <c r="N970" s="12">
        <v>477.07626104797839</v>
      </c>
      <c r="O970" s="70">
        <f>IF(Table1[[#This Row],[Overall amount]]=0,0,1)</f>
        <v>1</v>
      </c>
      <c r="P970" s="70">
        <f>Table1[[#This Row],[Overall amount]]*Exchange_Rate</f>
        <v>477.07626104797839</v>
      </c>
      <c r="Q970" s="70">
        <f>Table1[[#This Row],[Overall (destination currency)]]*(1+Claims_Inflation)^((Revalue_at_date-Table1[[#This Row],[Loss date]])/365.25)</f>
        <v>671.49599999999998</v>
      </c>
      <c r="R970" s="70">
        <f>INT(Table1[[#This Row],[Reporting date]])-INT(Table1[[#This Row],[Loss date]])</f>
        <v>23</v>
      </c>
      <c r="S970" s="69" t="s">
        <v>9</v>
      </c>
      <c r="T970" s="70">
        <f>VLOOKUP(Table1[[#This Row],[Policy Year]],exposure_table,3,FALSE)</f>
        <v>601.98581780480015</v>
      </c>
      <c r="U970" s="17">
        <f>IF(MONTH(Table1[[#This Row],[Reporting date]])&lt;Policy_Inception_Month,YEAR(Table1[[#This Row],[Reporting date]])-1,YEAR(Table1[[#This Row],[Reporting date]]))</f>
        <v>2008</v>
      </c>
      <c r="V970" s="17">
        <f>Table1[[#This Row],[Reporting year]]-Table1[[#This Row],[Policy Year]]</f>
        <v>0</v>
      </c>
      <c r="W970" s="17">
        <f>INT(Table1[[#This Row],[Reporting date]])-INT(Table1[[#This Row],[Loss date]])</f>
        <v>23</v>
      </c>
      <c r="X970" s="17">
        <f>INT((YEAR(Table1[[#This Row],[Loss date]])*12+MONTH(Table1[[#This Row],[Loss date]])-Earliest_Month)/4)</f>
        <v>10</v>
      </c>
      <c r="Y970" s="17">
        <f>INT((YEAR(Table1[[#This Row],[Reporting date]])*12+MONTH(Table1[[#This Row],[Reporting date]])-Earliest_Month)/4)</f>
        <v>10</v>
      </c>
      <c r="Z970" s="17">
        <f>Table1[[#This Row],[Reporting third]]-Table1[[#This Row],[Policy third]]</f>
        <v>0</v>
      </c>
      <c r="AA970" s="71">
        <f>IF(Table1[[#This Row],[Overall amount]]=0,"N/A",Table1[[#This Row],[Outstanding]]/Table1[[#This Row],[Overall amount]])</f>
        <v>0</v>
      </c>
      <c r="AB970" s="17">
        <f>IF(MONTH(Table1[[#This Row],[Loss date]])&lt;Pol_Inc_Month_Shifted,YEAR(Table1[[#This Row],[Loss date]])-1,YEAR(Table1[[#This Row],[Loss date]]))</f>
        <v>2007</v>
      </c>
      <c r="AC970" s="17">
        <f>IF(MONTH(Table1[[#This Row],[Reporting date]])&lt;Pol_Inc_Month_Shifted,YEAR(Table1[[#This Row],[Reporting date]])-1,YEAR(Table1[[#This Row],[Reporting date]]))</f>
        <v>2007</v>
      </c>
      <c r="AD970" s="17">
        <f>Table1[[#This Row],[Reporting year (shifted)]]-Table1[[#This Row],[Policy Year (shifted)]]</f>
        <v>0</v>
      </c>
    </row>
    <row r="971" spans="1:30" ht="13.9">
      <c r="A971" s="8" t="s">
        <v>2741</v>
      </c>
      <c r="B971" s="8" t="s">
        <v>1023</v>
      </c>
      <c r="C971" s="8" t="s">
        <v>118</v>
      </c>
      <c r="D971" s="9">
        <v>40510</v>
      </c>
      <c r="E971" s="9">
        <v>40512</v>
      </c>
      <c r="F971" s="17">
        <f>IF(MONTH(Table1[[#This Row],[Loss date]])&lt;Policy_Inception_Month,YEAR(Table1[[#This Row],[Loss date]])-1,YEAR(Table1[[#This Row],[Loss date]]))</f>
        <v>2010</v>
      </c>
      <c r="G971" s="10" t="s">
        <v>124</v>
      </c>
      <c r="H971" s="10" t="s">
        <v>2</v>
      </c>
      <c r="I971" s="11">
        <v>480.89477967140243</v>
      </c>
      <c r="J971" s="11">
        <v>0</v>
      </c>
      <c r="K971" s="11">
        <v>480.89477967140243</v>
      </c>
      <c r="L971" s="12">
        <v>0</v>
      </c>
      <c r="M971" s="12">
        <v>0</v>
      </c>
      <c r="N971" s="12">
        <v>480.89477967140243</v>
      </c>
      <c r="O971" s="70">
        <f>IF(Table1[[#This Row],[Overall amount]]=0,0,1)</f>
        <v>1</v>
      </c>
      <c r="P971" s="70">
        <f>Table1[[#This Row],[Overall amount]]*Exchange_Rate</f>
        <v>480.89477967140243</v>
      </c>
      <c r="Q971" s="70">
        <f>Table1[[#This Row],[Overall (destination currency)]]*(1+Claims_Inflation)^((Revalue_at_date-Table1[[#This Row],[Loss date]])/365.25)</f>
        <v>609</v>
      </c>
      <c r="R971" s="70">
        <f>INT(Table1[[#This Row],[Reporting date]])-INT(Table1[[#This Row],[Loss date]])</f>
        <v>2</v>
      </c>
      <c r="S971" s="69" t="s">
        <v>9</v>
      </c>
      <c r="T971" s="70">
        <f>VLOOKUP(Table1[[#This Row],[Policy Year]],exposure_table,3,FALSE)</f>
        <v>837.11513600000012</v>
      </c>
      <c r="U971" s="17">
        <f>IF(MONTH(Table1[[#This Row],[Reporting date]])&lt;Policy_Inception_Month,YEAR(Table1[[#This Row],[Reporting date]])-1,YEAR(Table1[[#This Row],[Reporting date]]))</f>
        <v>2010</v>
      </c>
      <c r="V971" s="17">
        <f>Table1[[#This Row],[Reporting year]]-Table1[[#This Row],[Policy Year]]</f>
        <v>0</v>
      </c>
      <c r="W971" s="17">
        <f>INT(Table1[[#This Row],[Reporting date]])-INT(Table1[[#This Row],[Loss date]])</f>
        <v>2</v>
      </c>
      <c r="X971" s="17">
        <f>INT((YEAR(Table1[[#This Row],[Loss date]])*12+MONTH(Table1[[#This Row],[Loss date]])-Earliest_Month)/4)</f>
        <v>16</v>
      </c>
      <c r="Y971" s="17">
        <f>INT((YEAR(Table1[[#This Row],[Reporting date]])*12+MONTH(Table1[[#This Row],[Reporting date]])-Earliest_Month)/4)</f>
        <v>16</v>
      </c>
      <c r="Z971" s="17">
        <f>Table1[[#This Row],[Reporting third]]-Table1[[#This Row],[Policy third]]</f>
        <v>0</v>
      </c>
      <c r="AA971" s="71">
        <f>IF(Table1[[#This Row],[Overall amount]]=0,"N/A",Table1[[#This Row],[Outstanding]]/Table1[[#This Row],[Overall amount]])</f>
        <v>0</v>
      </c>
      <c r="AB971" s="17">
        <f>IF(MONTH(Table1[[#This Row],[Loss date]])&lt;Pol_Inc_Month_Shifted,YEAR(Table1[[#This Row],[Loss date]])-1,YEAR(Table1[[#This Row],[Loss date]]))</f>
        <v>2009</v>
      </c>
      <c r="AC971" s="17">
        <f>IF(MONTH(Table1[[#This Row],[Reporting date]])&lt;Pol_Inc_Month_Shifted,YEAR(Table1[[#This Row],[Reporting date]])-1,YEAR(Table1[[#This Row],[Reporting date]]))</f>
        <v>2009</v>
      </c>
      <c r="AD971" s="17">
        <f>Table1[[#This Row],[Reporting year (shifted)]]-Table1[[#This Row],[Policy Year (shifted)]]</f>
        <v>0</v>
      </c>
    </row>
    <row r="972" spans="1:30" ht="13.9">
      <c r="A972" s="8" t="s">
        <v>2742</v>
      </c>
      <c r="B972" s="8" t="s">
        <v>1024</v>
      </c>
      <c r="C972" s="8" t="s">
        <v>118</v>
      </c>
      <c r="D972" s="9">
        <v>38985</v>
      </c>
      <c r="E972" s="9">
        <v>39041</v>
      </c>
      <c r="F972" s="17">
        <f>IF(MONTH(Table1[[#This Row],[Loss date]])&lt;Policy_Inception_Month,YEAR(Table1[[#This Row],[Loss date]])-1,YEAR(Table1[[#This Row],[Loss date]]))</f>
        <v>2006</v>
      </c>
      <c r="G972" s="10" t="s">
        <v>124</v>
      </c>
      <c r="H972" s="10" t="s">
        <v>2</v>
      </c>
      <c r="I972" s="11">
        <v>10464.273324145726</v>
      </c>
      <c r="J972" s="11">
        <v>0</v>
      </c>
      <c r="K972" s="11">
        <v>10464.273324145726</v>
      </c>
      <c r="L972" s="12">
        <v>0</v>
      </c>
      <c r="M972" s="12">
        <v>0</v>
      </c>
      <c r="N972" s="12">
        <v>10464.273324145726</v>
      </c>
      <c r="O972" s="70">
        <f>IF(Table1[[#This Row],[Overall amount]]=0,0,1)</f>
        <v>1</v>
      </c>
      <c r="P972" s="70">
        <f>Table1[[#This Row],[Overall amount]]*Exchange_Rate</f>
        <v>10464.273324145726</v>
      </c>
      <c r="Q972" s="70">
        <f>Table1[[#This Row],[Overall (destination currency)]]*(1+Claims_Inflation)^((Revalue_at_date-Table1[[#This Row],[Loss date]])/365.25)</f>
        <v>16245.995999999997</v>
      </c>
      <c r="R972" s="70">
        <f>INT(Table1[[#This Row],[Reporting date]])-INT(Table1[[#This Row],[Loss date]])</f>
        <v>56</v>
      </c>
      <c r="S972" s="69" t="s">
        <v>9</v>
      </c>
      <c r="T972" s="70">
        <f>VLOOKUP(Table1[[#This Row],[Policy Year]],exposure_table,3,FALSE)</f>
        <v>483.32023209000977</v>
      </c>
      <c r="U972" s="17">
        <f>IF(MONTH(Table1[[#This Row],[Reporting date]])&lt;Policy_Inception_Month,YEAR(Table1[[#This Row],[Reporting date]])-1,YEAR(Table1[[#This Row],[Reporting date]]))</f>
        <v>2006</v>
      </c>
      <c r="V972" s="17">
        <f>Table1[[#This Row],[Reporting year]]-Table1[[#This Row],[Policy Year]]</f>
        <v>0</v>
      </c>
      <c r="W972" s="17">
        <f>INT(Table1[[#This Row],[Reporting date]])-INT(Table1[[#This Row],[Loss date]])</f>
        <v>56</v>
      </c>
      <c r="X972" s="17">
        <f>INT((YEAR(Table1[[#This Row],[Loss date]])*12+MONTH(Table1[[#This Row],[Loss date]])-Earliest_Month)/4)</f>
        <v>4</v>
      </c>
      <c r="Y972" s="17">
        <f>INT((YEAR(Table1[[#This Row],[Reporting date]])*12+MONTH(Table1[[#This Row],[Reporting date]])-Earliest_Month)/4)</f>
        <v>4</v>
      </c>
      <c r="Z972" s="17">
        <f>Table1[[#This Row],[Reporting third]]-Table1[[#This Row],[Policy third]]</f>
        <v>0</v>
      </c>
      <c r="AA972" s="71">
        <f>IF(Table1[[#This Row],[Overall amount]]=0,"N/A",Table1[[#This Row],[Outstanding]]/Table1[[#This Row],[Overall amount]])</f>
        <v>0</v>
      </c>
      <c r="AB972" s="17">
        <f>IF(MONTH(Table1[[#This Row],[Loss date]])&lt;Pol_Inc_Month_Shifted,YEAR(Table1[[#This Row],[Loss date]])-1,YEAR(Table1[[#This Row],[Loss date]]))</f>
        <v>2005</v>
      </c>
      <c r="AC972" s="17">
        <f>IF(MONTH(Table1[[#This Row],[Reporting date]])&lt;Pol_Inc_Month_Shifted,YEAR(Table1[[#This Row],[Reporting date]])-1,YEAR(Table1[[#This Row],[Reporting date]]))</f>
        <v>2005</v>
      </c>
      <c r="AD972" s="17">
        <f>Table1[[#This Row],[Reporting year (shifted)]]-Table1[[#This Row],[Policy Year (shifted)]]</f>
        <v>0</v>
      </c>
    </row>
    <row r="973" spans="1:30" ht="13.9">
      <c r="A973" s="8" t="s">
        <v>2743</v>
      </c>
      <c r="B973" s="8" t="s">
        <v>1025</v>
      </c>
      <c r="C973" s="8" t="s">
        <v>118</v>
      </c>
      <c r="D973" s="9">
        <v>39164</v>
      </c>
      <c r="E973" s="9">
        <v>39178</v>
      </c>
      <c r="F973" s="17">
        <f>IF(MONTH(Table1[[#This Row],[Loss date]])&lt;Policy_Inception_Month,YEAR(Table1[[#This Row],[Loss date]])-1,YEAR(Table1[[#This Row],[Loss date]]))</f>
        <v>2006</v>
      </c>
      <c r="G973" s="10" t="s">
        <v>131</v>
      </c>
      <c r="H973" s="10" t="s">
        <v>2</v>
      </c>
      <c r="I973" s="11">
        <v>13953.663848430415</v>
      </c>
      <c r="J973" s="11">
        <v>0</v>
      </c>
      <c r="K973" s="11">
        <v>13953.663848430415</v>
      </c>
      <c r="L973" s="12">
        <v>0</v>
      </c>
      <c r="M973" s="12">
        <v>0</v>
      </c>
      <c r="N973" s="12">
        <v>13953.663848430415</v>
      </c>
      <c r="O973" s="70">
        <f>IF(Table1[[#This Row],[Overall amount]]=0,0,1)</f>
        <v>1</v>
      </c>
      <c r="P973" s="70">
        <f>Table1[[#This Row],[Overall amount]]*Exchange_Rate</f>
        <v>13953.663848430415</v>
      </c>
      <c r="Q973" s="70">
        <f>Table1[[#This Row],[Overall (destination currency)]]*(1+Claims_Inflation)^((Revalue_at_date-Table1[[#This Row],[Loss date]])/365.25)</f>
        <v>21151.5</v>
      </c>
      <c r="R973" s="70">
        <f>INT(Table1[[#This Row],[Reporting date]])-INT(Table1[[#This Row],[Loss date]])</f>
        <v>14</v>
      </c>
      <c r="S973" s="69" t="s">
        <v>9</v>
      </c>
      <c r="T973" s="70">
        <f>VLOOKUP(Table1[[#This Row],[Policy Year]],exposure_table,3,FALSE)</f>
        <v>483.32023209000977</v>
      </c>
      <c r="U973" s="17">
        <f>IF(MONTH(Table1[[#This Row],[Reporting date]])&lt;Policy_Inception_Month,YEAR(Table1[[#This Row],[Reporting date]])-1,YEAR(Table1[[#This Row],[Reporting date]]))</f>
        <v>2007</v>
      </c>
      <c r="V973" s="17">
        <f>Table1[[#This Row],[Reporting year]]-Table1[[#This Row],[Policy Year]]</f>
        <v>1</v>
      </c>
      <c r="W973" s="17">
        <f>INT(Table1[[#This Row],[Reporting date]])-INT(Table1[[#This Row],[Loss date]])</f>
        <v>14</v>
      </c>
      <c r="X973" s="17">
        <f>INT((YEAR(Table1[[#This Row],[Loss date]])*12+MONTH(Table1[[#This Row],[Loss date]])-Earliest_Month)/4)</f>
        <v>5</v>
      </c>
      <c r="Y973" s="17">
        <f>INT((YEAR(Table1[[#This Row],[Reporting date]])*12+MONTH(Table1[[#This Row],[Reporting date]])-Earliest_Month)/4)</f>
        <v>6</v>
      </c>
      <c r="Z973" s="17">
        <f>Table1[[#This Row],[Reporting third]]-Table1[[#This Row],[Policy third]]</f>
        <v>1</v>
      </c>
      <c r="AA973" s="71">
        <f>IF(Table1[[#This Row],[Overall amount]]=0,"N/A",Table1[[#This Row],[Outstanding]]/Table1[[#This Row],[Overall amount]])</f>
        <v>0</v>
      </c>
      <c r="AB973" s="17">
        <f>IF(MONTH(Table1[[#This Row],[Loss date]])&lt;Pol_Inc_Month_Shifted,YEAR(Table1[[#This Row],[Loss date]])-1,YEAR(Table1[[#This Row],[Loss date]]))</f>
        <v>2006</v>
      </c>
      <c r="AC973" s="17">
        <f>IF(MONTH(Table1[[#This Row],[Reporting date]])&lt;Pol_Inc_Month_Shifted,YEAR(Table1[[#This Row],[Reporting date]])-1,YEAR(Table1[[#This Row],[Reporting date]]))</f>
        <v>2006</v>
      </c>
      <c r="AD973" s="17">
        <f>Table1[[#This Row],[Reporting year (shifted)]]-Table1[[#This Row],[Policy Year (shifted)]]</f>
        <v>0</v>
      </c>
    </row>
    <row r="974" spans="1:30" ht="13.9">
      <c r="A974" s="8" t="s">
        <v>2744</v>
      </c>
      <c r="B974" s="8" t="s">
        <v>1026</v>
      </c>
      <c r="C974" s="8" t="s">
        <v>118</v>
      </c>
      <c r="D974" s="9">
        <v>40220</v>
      </c>
      <c r="E974" s="9">
        <v>40232</v>
      </c>
      <c r="F974" s="17">
        <f>IF(MONTH(Table1[[#This Row],[Loss date]])&lt;Policy_Inception_Month,YEAR(Table1[[#This Row],[Loss date]])-1,YEAR(Table1[[#This Row],[Loss date]]))</f>
        <v>2009</v>
      </c>
      <c r="G974" s="10" t="s">
        <v>125</v>
      </c>
      <c r="H974" s="10" t="s">
        <v>2</v>
      </c>
      <c r="I974" s="11">
        <v>5907.6141706378403</v>
      </c>
      <c r="J974" s="11">
        <v>0</v>
      </c>
      <c r="K974" s="11">
        <v>5907.6141706378403</v>
      </c>
      <c r="L974" s="12">
        <v>0</v>
      </c>
      <c r="M974" s="12">
        <v>0</v>
      </c>
      <c r="N974" s="12">
        <v>5907.6141706378403</v>
      </c>
      <c r="O974" s="70">
        <f>IF(Table1[[#This Row],[Overall amount]]=0,0,1)</f>
        <v>1</v>
      </c>
      <c r="P974" s="70">
        <f>Table1[[#This Row],[Overall amount]]*Exchange_Rate</f>
        <v>5907.6141706378403</v>
      </c>
      <c r="Q974" s="70">
        <f>Table1[[#This Row],[Overall (destination currency)]]*(1+Claims_Inflation)^((Revalue_at_date-Table1[[#This Row],[Loss date]])/365.25)</f>
        <v>7776.8399999999992</v>
      </c>
      <c r="R974" s="70">
        <f>INT(Table1[[#This Row],[Reporting date]])-INT(Table1[[#This Row],[Loss date]])</f>
        <v>12</v>
      </c>
      <c r="S974" s="69" t="s">
        <v>9</v>
      </c>
      <c r="T974" s="70">
        <f>VLOOKUP(Table1[[#This Row],[Policy Year]],exposure_table,3,FALSE)</f>
        <v>760.22808576000011</v>
      </c>
      <c r="U974" s="17">
        <f>IF(MONTH(Table1[[#This Row],[Reporting date]])&lt;Policy_Inception_Month,YEAR(Table1[[#This Row],[Reporting date]])-1,YEAR(Table1[[#This Row],[Reporting date]]))</f>
        <v>2009</v>
      </c>
      <c r="V974" s="17">
        <f>Table1[[#This Row],[Reporting year]]-Table1[[#This Row],[Policy Year]]</f>
        <v>0</v>
      </c>
      <c r="W974" s="17">
        <f>INT(Table1[[#This Row],[Reporting date]])-INT(Table1[[#This Row],[Loss date]])</f>
        <v>12</v>
      </c>
      <c r="X974" s="17">
        <f>INT((YEAR(Table1[[#This Row],[Loss date]])*12+MONTH(Table1[[#This Row],[Loss date]])-Earliest_Month)/4)</f>
        <v>14</v>
      </c>
      <c r="Y974" s="17">
        <f>INT((YEAR(Table1[[#This Row],[Reporting date]])*12+MONTH(Table1[[#This Row],[Reporting date]])-Earliest_Month)/4)</f>
        <v>14</v>
      </c>
      <c r="Z974" s="17">
        <f>Table1[[#This Row],[Reporting third]]-Table1[[#This Row],[Policy third]]</f>
        <v>0</v>
      </c>
      <c r="AA974" s="71">
        <f>IF(Table1[[#This Row],[Overall amount]]=0,"N/A",Table1[[#This Row],[Outstanding]]/Table1[[#This Row],[Overall amount]])</f>
        <v>0</v>
      </c>
      <c r="AB974" s="17">
        <f>IF(MONTH(Table1[[#This Row],[Loss date]])&lt;Pol_Inc_Month_Shifted,YEAR(Table1[[#This Row],[Loss date]])-1,YEAR(Table1[[#This Row],[Loss date]]))</f>
        <v>2009</v>
      </c>
      <c r="AC974" s="17">
        <f>IF(MONTH(Table1[[#This Row],[Reporting date]])&lt;Pol_Inc_Month_Shifted,YEAR(Table1[[#This Row],[Reporting date]])-1,YEAR(Table1[[#This Row],[Reporting date]]))</f>
        <v>2009</v>
      </c>
      <c r="AD974" s="17">
        <f>Table1[[#This Row],[Reporting year (shifted)]]-Table1[[#This Row],[Policy Year (shifted)]]</f>
        <v>0</v>
      </c>
    </row>
    <row r="975" spans="1:30" ht="13.9">
      <c r="A975" s="8" t="s">
        <v>2745</v>
      </c>
      <c r="B975" s="8" t="s">
        <v>1027</v>
      </c>
      <c r="C975" s="8" t="s">
        <v>118</v>
      </c>
      <c r="D975" s="9">
        <v>40736</v>
      </c>
      <c r="E975" s="9">
        <v>40741</v>
      </c>
      <c r="F975" s="17">
        <f>IF(MONTH(Table1[[#This Row],[Loss date]])&lt;Policy_Inception_Month,YEAR(Table1[[#This Row],[Loss date]])-1,YEAR(Table1[[#This Row],[Loss date]]))</f>
        <v>2011</v>
      </c>
      <c r="G975" s="10" t="s">
        <v>145</v>
      </c>
      <c r="H975" s="10" t="s">
        <v>2</v>
      </c>
      <c r="I975" s="11">
        <v>10621.908841640861</v>
      </c>
      <c r="J975" s="11">
        <v>0</v>
      </c>
      <c r="K975" s="11">
        <v>10621.908841640861</v>
      </c>
      <c r="L975" s="12">
        <v>0</v>
      </c>
      <c r="M975" s="12">
        <v>0</v>
      </c>
      <c r="N975" s="12">
        <v>10621.908841640861</v>
      </c>
      <c r="O975" s="70">
        <f>IF(Table1[[#This Row],[Overall amount]]=0,0,1)</f>
        <v>1</v>
      </c>
      <c r="P975" s="70">
        <f>Table1[[#This Row],[Overall amount]]*Exchange_Rate</f>
        <v>10621.908841640861</v>
      </c>
      <c r="Q975" s="70">
        <f>Table1[[#This Row],[Overall (destination currency)]]*(1+Claims_Inflation)^((Revalue_at_date-Table1[[#This Row],[Loss date]])/365.25)</f>
        <v>13051.451999999999</v>
      </c>
      <c r="R975" s="70">
        <f>INT(Table1[[#This Row],[Reporting date]])-INT(Table1[[#This Row],[Loss date]])</f>
        <v>5</v>
      </c>
      <c r="S975" s="69" t="s">
        <v>9</v>
      </c>
      <c r="T975" s="70">
        <f>VLOOKUP(Table1[[#This Row],[Policy Year]],exposure_table,3,FALSE)</f>
        <v>870.52680000000009</v>
      </c>
      <c r="U975" s="17">
        <f>IF(MONTH(Table1[[#This Row],[Reporting date]])&lt;Policy_Inception_Month,YEAR(Table1[[#This Row],[Reporting date]])-1,YEAR(Table1[[#This Row],[Reporting date]]))</f>
        <v>2011</v>
      </c>
      <c r="V975" s="17">
        <f>Table1[[#This Row],[Reporting year]]-Table1[[#This Row],[Policy Year]]</f>
        <v>0</v>
      </c>
      <c r="W975" s="17">
        <f>INT(Table1[[#This Row],[Reporting date]])-INT(Table1[[#This Row],[Loss date]])</f>
        <v>5</v>
      </c>
      <c r="X975" s="17">
        <f>INT((YEAR(Table1[[#This Row],[Loss date]])*12+MONTH(Table1[[#This Row],[Loss date]])-Earliest_Month)/4)</f>
        <v>18</v>
      </c>
      <c r="Y975" s="17">
        <f>INT((YEAR(Table1[[#This Row],[Reporting date]])*12+MONTH(Table1[[#This Row],[Reporting date]])-Earliest_Month)/4)</f>
        <v>18</v>
      </c>
      <c r="Z975" s="17">
        <f>Table1[[#This Row],[Reporting third]]-Table1[[#This Row],[Policy third]]</f>
        <v>0</v>
      </c>
      <c r="AA975" s="71">
        <f>IF(Table1[[#This Row],[Overall amount]]=0,"N/A",Table1[[#This Row],[Outstanding]]/Table1[[#This Row],[Overall amount]])</f>
        <v>0</v>
      </c>
      <c r="AB975" s="17">
        <f>IF(MONTH(Table1[[#This Row],[Loss date]])&lt;Pol_Inc_Month_Shifted,YEAR(Table1[[#This Row],[Loss date]])-1,YEAR(Table1[[#This Row],[Loss date]]))</f>
        <v>2010</v>
      </c>
      <c r="AC975" s="17">
        <f>IF(MONTH(Table1[[#This Row],[Reporting date]])&lt;Pol_Inc_Month_Shifted,YEAR(Table1[[#This Row],[Reporting date]])-1,YEAR(Table1[[#This Row],[Reporting date]]))</f>
        <v>2010</v>
      </c>
      <c r="AD975" s="17">
        <f>Table1[[#This Row],[Reporting year (shifted)]]-Table1[[#This Row],[Policy Year (shifted)]]</f>
        <v>0</v>
      </c>
    </row>
    <row r="976" spans="1:30" ht="13.9">
      <c r="A976" s="8" t="s">
        <v>2746</v>
      </c>
      <c r="B976" s="8" t="s">
        <v>1028</v>
      </c>
      <c r="C976" s="8" t="s">
        <v>118</v>
      </c>
      <c r="D976" s="9">
        <v>40758</v>
      </c>
      <c r="E976" s="9">
        <v>40768</v>
      </c>
      <c r="F976" s="17">
        <f>IF(MONTH(Table1[[#This Row],[Loss date]])&lt;Policy_Inception_Month,YEAR(Table1[[#This Row],[Loss date]])-1,YEAR(Table1[[#This Row],[Loss date]]))</f>
        <v>2011</v>
      </c>
      <c r="G976" s="10" t="s">
        <v>131</v>
      </c>
      <c r="H976" s="10" t="s">
        <v>2</v>
      </c>
      <c r="I976" s="11">
        <v>36881.246249673291</v>
      </c>
      <c r="J976" s="11">
        <v>0</v>
      </c>
      <c r="K976" s="11">
        <v>36881.246249673291</v>
      </c>
      <c r="L976" s="12">
        <v>0</v>
      </c>
      <c r="M976" s="12">
        <v>0</v>
      </c>
      <c r="N976" s="12">
        <v>36881.246249673291</v>
      </c>
      <c r="O976" s="70">
        <f>IF(Table1[[#This Row],[Overall amount]]=0,0,1)</f>
        <v>1</v>
      </c>
      <c r="P976" s="70">
        <f>Table1[[#This Row],[Overall amount]]*Exchange_Rate</f>
        <v>36881.246249673291</v>
      </c>
      <c r="Q976" s="70">
        <f>Table1[[#This Row],[Overall (destination currency)]]*(1+Claims_Inflation)^((Revalue_at_date-Table1[[#This Row],[Loss date]])/365.25)</f>
        <v>45184.092000000004</v>
      </c>
      <c r="R976" s="70">
        <f>INT(Table1[[#This Row],[Reporting date]])-INT(Table1[[#This Row],[Loss date]])</f>
        <v>10</v>
      </c>
      <c r="S976" s="69" t="s">
        <v>9</v>
      </c>
      <c r="T976" s="70">
        <f>VLOOKUP(Table1[[#This Row],[Policy Year]],exposure_table,3,FALSE)</f>
        <v>870.52680000000009</v>
      </c>
      <c r="U976" s="17">
        <f>IF(MONTH(Table1[[#This Row],[Reporting date]])&lt;Policy_Inception_Month,YEAR(Table1[[#This Row],[Reporting date]])-1,YEAR(Table1[[#This Row],[Reporting date]]))</f>
        <v>2011</v>
      </c>
      <c r="V976" s="17">
        <f>Table1[[#This Row],[Reporting year]]-Table1[[#This Row],[Policy Year]]</f>
        <v>0</v>
      </c>
      <c r="W976" s="17">
        <f>INT(Table1[[#This Row],[Reporting date]])-INT(Table1[[#This Row],[Loss date]])</f>
        <v>10</v>
      </c>
      <c r="X976" s="17">
        <f>INT((YEAR(Table1[[#This Row],[Loss date]])*12+MONTH(Table1[[#This Row],[Loss date]])-Earliest_Month)/4)</f>
        <v>19</v>
      </c>
      <c r="Y976" s="17">
        <f>INT((YEAR(Table1[[#This Row],[Reporting date]])*12+MONTH(Table1[[#This Row],[Reporting date]])-Earliest_Month)/4)</f>
        <v>19</v>
      </c>
      <c r="Z976" s="17">
        <f>Table1[[#This Row],[Reporting third]]-Table1[[#This Row],[Policy third]]</f>
        <v>0</v>
      </c>
      <c r="AA976" s="71">
        <f>IF(Table1[[#This Row],[Overall amount]]=0,"N/A",Table1[[#This Row],[Outstanding]]/Table1[[#This Row],[Overall amount]])</f>
        <v>0</v>
      </c>
      <c r="AB976" s="17">
        <f>IF(MONTH(Table1[[#This Row],[Loss date]])&lt;Pol_Inc_Month_Shifted,YEAR(Table1[[#This Row],[Loss date]])-1,YEAR(Table1[[#This Row],[Loss date]]))</f>
        <v>2010</v>
      </c>
      <c r="AC976" s="17">
        <f>IF(MONTH(Table1[[#This Row],[Reporting date]])&lt;Pol_Inc_Month_Shifted,YEAR(Table1[[#This Row],[Reporting date]])-1,YEAR(Table1[[#This Row],[Reporting date]]))</f>
        <v>2010</v>
      </c>
      <c r="AD976" s="17">
        <f>Table1[[#This Row],[Reporting year (shifted)]]-Table1[[#This Row],[Policy Year (shifted)]]</f>
        <v>0</v>
      </c>
    </row>
    <row r="977" spans="1:30" ht="13.9">
      <c r="A977" s="8" t="s">
        <v>2747</v>
      </c>
      <c r="B977" s="8" t="s">
        <v>1029</v>
      </c>
      <c r="C977" s="8" t="s">
        <v>118</v>
      </c>
      <c r="D977" s="9">
        <v>39387</v>
      </c>
      <c r="E977" s="9">
        <v>39429</v>
      </c>
      <c r="F977" s="17">
        <f>IF(MONTH(Table1[[#This Row],[Loss date]])&lt;Policy_Inception_Month,YEAR(Table1[[#This Row],[Loss date]])-1,YEAR(Table1[[#This Row],[Loss date]]))</f>
        <v>2007</v>
      </c>
      <c r="G977" s="10" t="s">
        <v>124</v>
      </c>
      <c r="H977" s="10" t="s">
        <v>2</v>
      </c>
      <c r="I977" s="11">
        <v>6087.6747015184592</v>
      </c>
      <c r="J977" s="11">
        <v>0</v>
      </c>
      <c r="K977" s="11">
        <v>6087.6747015184592</v>
      </c>
      <c r="L977" s="12">
        <v>0</v>
      </c>
      <c r="M977" s="12">
        <v>0</v>
      </c>
      <c r="N977" s="12">
        <v>6087.6747015184592</v>
      </c>
      <c r="O977" s="70">
        <f>IF(Table1[[#This Row],[Overall amount]]=0,0,1)</f>
        <v>1</v>
      </c>
      <c r="P977" s="70">
        <f>Table1[[#This Row],[Overall amount]]*Exchange_Rate</f>
        <v>6087.6747015184592</v>
      </c>
      <c r="Q977" s="70">
        <f>Table1[[#This Row],[Overall (destination currency)]]*(1+Claims_Inflation)^((Revalue_at_date-Table1[[#This Row],[Loss date]])/365.25)</f>
        <v>8957.1</v>
      </c>
      <c r="R977" s="70">
        <f>INT(Table1[[#This Row],[Reporting date]])-INT(Table1[[#This Row],[Loss date]])</f>
        <v>42</v>
      </c>
      <c r="S977" s="69" t="s">
        <v>9</v>
      </c>
      <c r="T977" s="70">
        <f>VLOOKUP(Table1[[#This Row],[Policy Year]],exposure_table,3,FALSE)</f>
        <v>547.7736362475523</v>
      </c>
      <c r="U977" s="17">
        <f>IF(MONTH(Table1[[#This Row],[Reporting date]])&lt;Policy_Inception_Month,YEAR(Table1[[#This Row],[Reporting date]])-1,YEAR(Table1[[#This Row],[Reporting date]]))</f>
        <v>2007</v>
      </c>
      <c r="V977" s="17">
        <f>Table1[[#This Row],[Reporting year]]-Table1[[#This Row],[Policy Year]]</f>
        <v>0</v>
      </c>
      <c r="W977" s="17">
        <f>INT(Table1[[#This Row],[Reporting date]])-INT(Table1[[#This Row],[Loss date]])</f>
        <v>42</v>
      </c>
      <c r="X977" s="17">
        <f>INT((YEAR(Table1[[#This Row],[Loss date]])*12+MONTH(Table1[[#This Row],[Loss date]])-Earliest_Month)/4)</f>
        <v>7</v>
      </c>
      <c r="Y977" s="17">
        <f>INT((YEAR(Table1[[#This Row],[Reporting date]])*12+MONTH(Table1[[#This Row],[Reporting date]])-Earliest_Month)/4)</f>
        <v>8</v>
      </c>
      <c r="Z977" s="17">
        <f>Table1[[#This Row],[Reporting third]]-Table1[[#This Row],[Policy third]]</f>
        <v>1</v>
      </c>
      <c r="AA977" s="71">
        <f>IF(Table1[[#This Row],[Overall amount]]=0,"N/A",Table1[[#This Row],[Outstanding]]/Table1[[#This Row],[Overall amount]])</f>
        <v>0</v>
      </c>
      <c r="AB977" s="17">
        <f>IF(MONTH(Table1[[#This Row],[Loss date]])&lt;Pol_Inc_Month_Shifted,YEAR(Table1[[#This Row],[Loss date]])-1,YEAR(Table1[[#This Row],[Loss date]]))</f>
        <v>2006</v>
      </c>
      <c r="AC977" s="17">
        <f>IF(MONTH(Table1[[#This Row],[Reporting date]])&lt;Pol_Inc_Month_Shifted,YEAR(Table1[[#This Row],[Reporting date]])-1,YEAR(Table1[[#This Row],[Reporting date]]))</f>
        <v>2007</v>
      </c>
      <c r="AD977" s="17">
        <f>Table1[[#This Row],[Reporting year (shifted)]]-Table1[[#This Row],[Policy Year (shifted)]]</f>
        <v>1</v>
      </c>
    </row>
    <row r="978" spans="1:30" ht="13.9">
      <c r="A978" s="8" t="s">
        <v>2748</v>
      </c>
      <c r="B978" s="8" t="s">
        <v>1030</v>
      </c>
      <c r="C978" s="8" t="s">
        <v>118</v>
      </c>
      <c r="D978" s="9">
        <v>39471</v>
      </c>
      <c r="E978" s="9">
        <v>39488</v>
      </c>
      <c r="F978" s="17">
        <f>IF(MONTH(Table1[[#This Row],[Loss date]])&lt;Policy_Inception_Month,YEAR(Table1[[#This Row],[Loss date]])-1,YEAR(Table1[[#This Row],[Loss date]]))</f>
        <v>2007</v>
      </c>
      <c r="G978" s="10" t="s">
        <v>124</v>
      </c>
      <c r="H978" s="10" t="s">
        <v>2</v>
      </c>
      <c r="I978" s="11">
        <v>2673.9382576528551</v>
      </c>
      <c r="J978" s="11">
        <v>0</v>
      </c>
      <c r="K978" s="11">
        <v>2673.9382576528551</v>
      </c>
      <c r="L978" s="12">
        <v>0</v>
      </c>
      <c r="M978" s="12">
        <v>0</v>
      </c>
      <c r="N978" s="12">
        <v>2673.9382576528551</v>
      </c>
      <c r="O978" s="70">
        <f>IF(Table1[[#This Row],[Overall amount]]=0,0,1)</f>
        <v>1</v>
      </c>
      <c r="P978" s="70">
        <f>Table1[[#This Row],[Overall amount]]*Exchange_Rate</f>
        <v>2673.9382576528551</v>
      </c>
      <c r="Q978" s="70">
        <f>Table1[[#This Row],[Overall (destination currency)]]*(1+Claims_Inflation)^((Revalue_at_date-Table1[[#This Row],[Loss date]])/365.25)</f>
        <v>3890.4000000000005</v>
      </c>
      <c r="R978" s="70">
        <f>INT(Table1[[#This Row],[Reporting date]])-INT(Table1[[#This Row],[Loss date]])</f>
        <v>17</v>
      </c>
      <c r="S978" s="69" t="s">
        <v>9</v>
      </c>
      <c r="T978" s="70">
        <f>VLOOKUP(Table1[[#This Row],[Policy Year]],exposure_table,3,FALSE)</f>
        <v>547.7736362475523</v>
      </c>
      <c r="U978" s="17">
        <f>IF(MONTH(Table1[[#This Row],[Reporting date]])&lt;Policy_Inception_Month,YEAR(Table1[[#This Row],[Reporting date]])-1,YEAR(Table1[[#This Row],[Reporting date]]))</f>
        <v>2007</v>
      </c>
      <c r="V978" s="17">
        <f>Table1[[#This Row],[Reporting year]]-Table1[[#This Row],[Policy Year]]</f>
        <v>0</v>
      </c>
      <c r="W978" s="17">
        <f>INT(Table1[[#This Row],[Reporting date]])-INT(Table1[[#This Row],[Loss date]])</f>
        <v>17</v>
      </c>
      <c r="X978" s="17">
        <f>INT((YEAR(Table1[[#This Row],[Loss date]])*12+MONTH(Table1[[#This Row],[Loss date]])-Earliest_Month)/4)</f>
        <v>8</v>
      </c>
      <c r="Y978" s="17">
        <f>INT((YEAR(Table1[[#This Row],[Reporting date]])*12+MONTH(Table1[[#This Row],[Reporting date]])-Earliest_Month)/4)</f>
        <v>8</v>
      </c>
      <c r="Z978" s="17">
        <f>Table1[[#This Row],[Reporting third]]-Table1[[#This Row],[Policy third]]</f>
        <v>0</v>
      </c>
      <c r="AA978" s="71">
        <f>IF(Table1[[#This Row],[Overall amount]]=0,"N/A",Table1[[#This Row],[Outstanding]]/Table1[[#This Row],[Overall amount]])</f>
        <v>0</v>
      </c>
      <c r="AB978" s="17">
        <f>IF(MONTH(Table1[[#This Row],[Loss date]])&lt;Pol_Inc_Month_Shifted,YEAR(Table1[[#This Row],[Loss date]])-1,YEAR(Table1[[#This Row],[Loss date]]))</f>
        <v>2007</v>
      </c>
      <c r="AC978" s="17">
        <f>IF(MONTH(Table1[[#This Row],[Reporting date]])&lt;Pol_Inc_Month_Shifted,YEAR(Table1[[#This Row],[Reporting date]])-1,YEAR(Table1[[#This Row],[Reporting date]]))</f>
        <v>2007</v>
      </c>
      <c r="AD978" s="17">
        <f>Table1[[#This Row],[Reporting year (shifted)]]-Table1[[#This Row],[Policy Year (shifted)]]</f>
        <v>0</v>
      </c>
    </row>
    <row r="979" spans="1:30" ht="13.9">
      <c r="A979" s="8" t="s">
        <v>2749</v>
      </c>
      <c r="B979" s="8" t="s">
        <v>1031</v>
      </c>
      <c r="C979" s="8" t="s">
        <v>118</v>
      </c>
      <c r="D979" s="9">
        <v>40396</v>
      </c>
      <c r="E979" s="9">
        <v>40934</v>
      </c>
      <c r="F979" s="17">
        <f>IF(MONTH(Table1[[#This Row],[Loss date]])&lt;Policy_Inception_Month,YEAR(Table1[[#This Row],[Loss date]])-1,YEAR(Table1[[#This Row],[Loss date]]))</f>
        <v>2010</v>
      </c>
      <c r="G979" s="10" t="s">
        <v>124</v>
      </c>
      <c r="H979" s="10" t="s">
        <v>2</v>
      </c>
      <c r="I979" s="11">
        <v>514.22373329969821</v>
      </c>
      <c r="J979" s="11">
        <v>0</v>
      </c>
      <c r="K979" s="11">
        <v>514.22373329969821</v>
      </c>
      <c r="L979" s="12">
        <v>0</v>
      </c>
      <c r="M979" s="12">
        <v>0</v>
      </c>
      <c r="N979" s="12">
        <v>514.22373329969821</v>
      </c>
      <c r="O979" s="70">
        <f>IF(Table1[[#This Row],[Overall amount]]=0,0,1)</f>
        <v>1</v>
      </c>
      <c r="P979" s="70">
        <f>Table1[[#This Row],[Overall amount]]*Exchange_Rate</f>
        <v>514.22373329969821</v>
      </c>
      <c r="Q979" s="70">
        <f>Table1[[#This Row],[Overall (destination currency)]]*(1+Claims_Inflation)^((Revalue_at_date-Table1[[#This Row],[Loss date]])/365.25)</f>
        <v>661.19999999999993</v>
      </c>
      <c r="R979" s="70">
        <f>INT(Table1[[#This Row],[Reporting date]])-INT(Table1[[#This Row],[Loss date]])</f>
        <v>538</v>
      </c>
      <c r="S979" s="69" t="s">
        <v>9</v>
      </c>
      <c r="T979" s="70">
        <f>VLOOKUP(Table1[[#This Row],[Policy Year]],exposure_table,3,FALSE)</f>
        <v>837.11513600000012</v>
      </c>
      <c r="U979" s="17">
        <f>IF(MONTH(Table1[[#This Row],[Reporting date]])&lt;Policy_Inception_Month,YEAR(Table1[[#This Row],[Reporting date]])-1,YEAR(Table1[[#This Row],[Reporting date]]))</f>
        <v>2011</v>
      </c>
      <c r="V979" s="17">
        <f>Table1[[#This Row],[Reporting year]]-Table1[[#This Row],[Policy Year]]</f>
        <v>1</v>
      </c>
      <c r="W979" s="17">
        <f>INT(Table1[[#This Row],[Reporting date]])-INT(Table1[[#This Row],[Loss date]])</f>
        <v>538</v>
      </c>
      <c r="X979" s="17">
        <f>INT((YEAR(Table1[[#This Row],[Loss date]])*12+MONTH(Table1[[#This Row],[Loss date]])-Earliest_Month)/4)</f>
        <v>16</v>
      </c>
      <c r="Y979" s="17">
        <f>INT((YEAR(Table1[[#This Row],[Reporting date]])*12+MONTH(Table1[[#This Row],[Reporting date]])-Earliest_Month)/4)</f>
        <v>20</v>
      </c>
      <c r="Z979" s="17">
        <f>Table1[[#This Row],[Reporting third]]-Table1[[#This Row],[Policy third]]</f>
        <v>4</v>
      </c>
      <c r="AA979" s="71">
        <f>IF(Table1[[#This Row],[Overall amount]]=0,"N/A",Table1[[#This Row],[Outstanding]]/Table1[[#This Row],[Overall amount]])</f>
        <v>0</v>
      </c>
      <c r="AB979" s="17">
        <f>IF(MONTH(Table1[[#This Row],[Loss date]])&lt;Pol_Inc_Month_Shifted,YEAR(Table1[[#This Row],[Loss date]])-1,YEAR(Table1[[#This Row],[Loss date]]))</f>
        <v>2009</v>
      </c>
      <c r="AC979" s="17">
        <f>IF(MONTH(Table1[[#This Row],[Reporting date]])&lt;Pol_Inc_Month_Shifted,YEAR(Table1[[#This Row],[Reporting date]])-1,YEAR(Table1[[#This Row],[Reporting date]]))</f>
        <v>2011</v>
      </c>
      <c r="AD979" s="17">
        <f>Table1[[#This Row],[Reporting year (shifted)]]-Table1[[#This Row],[Policy Year (shifted)]]</f>
        <v>2</v>
      </c>
    </row>
    <row r="980" spans="1:30" ht="13.9">
      <c r="A980" s="8" t="s">
        <v>2750</v>
      </c>
      <c r="B980" s="8" t="s">
        <v>1032</v>
      </c>
      <c r="C980" s="8" t="s">
        <v>118</v>
      </c>
      <c r="D980" s="9">
        <v>40603</v>
      </c>
      <c r="E980" s="9">
        <v>40984</v>
      </c>
      <c r="F980" s="17">
        <f>IF(MONTH(Table1[[#This Row],[Loss date]])&lt;Policy_Inception_Month,YEAR(Table1[[#This Row],[Loss date]])-1,YEAR(Table1[[#This Row],[Loss date]]))</f>
        <v>2010</v>
      </c>
      <c r="G980" s="10" t="s">
        <v>125</v>
      </c>
      <c r="H980" s="10" t="s">
        <v>2</v>
      </c>
      <c r="I980" s="11">
        <v>486.90617749390259</v>
      </c>
      <c r="J980" s="11">
        <v>0</v>
      </c>
      <c r="K980" s="11">
        <v>486.90617749390259</v>
      </c>
      <c r="L980" s="12">
        <v>0</v>
      </c>
      <c r="M980" s="12">
        <v>0</v>
      </c>
      <c r="N980" s="12">
        <v>486.90617749390259</v>
      </c>
      <c r="O980" s="70">
        <f>IF(Table1[[#This Row],[Overall amount]]=0,0,1)</f>
        <v>1</v>
      </c>
      <c r="P980" s="70">
        <f>Table1[[#This Row],[Overall amount]]*Exchange_Rate</f>
        <v>486.90617749390259</v>
      </c>
      <c r="Q980" s="70">
        <f>Table1[[#This Row],[Overall (destination currency)]]*(1+Claims_Inflation)^((Revalue_at_date-Table1[[#This Row],[Loss date]])/365.25)</f>
        <v>609</v>
      </c>
      <c r="R980" s="70">
        <f>INT(Table1[[#This Row],[Reporting date]])-INT(Table1[[#This Row],[Loss date]])</f>
        <v>381</v>
      </c>
      <c r="S980" s="69" t="s">
        <v>9</v>
      </c>
      <c r="T980" s="70">
        <f>VLOOKUP(Table1[[#This Row],[Policy Year]],exposure_table,3,FALSE)</f>
        <v>837.11513600000012</v>
      </c>
      <c r="U980" s="17">
        <f>IF(MONTH(Table1[[#This Row],[Reporting date]])&lt;Policy_Inception_Month,YEAR(Table1[[#This Row],[Reporting date]])-1,YEAR(Table1[[#This Row],[Reporting date]]))</f>
        <v>2011</v>
      </c>
      <c r="V980" s="17">
        <f>Table1[[#This Row],[Reporting year]]-Table1[[#This Row],[Policy Year]]</f>
        <v>1</v>
      </c>
      <c r="W980" s="17">
        <f>INT(Table1[[#This Row],[Reporting date]])-INT(Table1[[#This Row],[Loss date]])</f>
        <v>381</v>
      </c>
      <c r="X980" s="17">
        <f>INT((YEAR(Table1[[#This Row],[Loss date]])*12+MONTH(Table1[[#This Row],[Loss date]])-Earliest_Month)/4)</f>
        <v>17</v>
      </c>
      <c r="Y980" s="17">
        <f>INT((YEAR(Table1[[#This Row],[Reporting date]])*12+MONTH(Table1[[#This Row],[Reporting date]])-Earliest_Month)/4)</f>
        <v>20</v>
      </c>
      <c r="Z980" s="17">
        <f>Table1[[#This Row],[Reporting third]]-Table1[[#This Row],[Policy third]]</f>
        <v>3</v>
      </c>
      <c r="AA980" s="71">
        <f>IF(Table1[[#This Row],[Overall amount]]=0,"N/A",Table1[[#This Row],[Outstanding]]/Table1[[#This Row],[Overall amount]])</f>
        <v>0</v>
      </c>
      <c r="AB980" s="17">
        <f>IF(MONTH(Table1[[#This Row],[Loss date]])&lt;Pol_Inc_Month_Shifted,YEAR(Table1[[#This Row],[Loss date]])-1,YEAR(Table1[[#This Row],[Loss date]]))</f>
        <v>2010</v>
      </c>
      <c r="AC980" s="17">
        <f>IF(MONTH(Table1[[#This Row],[Reporting date]])&lt;Pol_Inc_Month_Shifted,YEAR(Table1[[#This Row],[Reporting date]])-1,YEAR(Table1[[#This Row],[Reporting date]]))</f>
        <v>2011</v>
      </c>
      <c r="AD980" s="17">
        <f>Table1[[#This Row],[Reporting year (shifted)]]-Table1[[#This Row],[Policy Year (shifted)]]</f>
        <v>1</v>
      </c>
    </row>
    <row r="981" spans="1:30" ht="13.9">
      <c r="A981" s="8" t="s">
        <v>2751</v>
      </c>
      <c r="B981" s="8" t="s">
        <v>1033</v>
      </c>
      <c r="C981" s="8" t="s">
        <v>118</v>
      </c>
      <c r="D981" s="9">
        <v>40199</v>
      </c>
      <c r="E981" s="9">
        <v>40246</v>
      </c>
      <c r="F981" s="17">
        <f>IF(MONTH(Table1[[#This Row],[Loss date]])&lt;Policy_Inception_Month,YEAR(Table1[[#This Row],[Loss date]])-1,YEAR(Table1[[#This Row],[Loss date]]))</f>
        <v>2009</v>
      </c>
      <c r="G981" s="10" t="s">
        <v>125</v>
      </c>
      <c r="H981" s="10" t="s">
        <v>2</v>
      </c>
      <c r="I981" s="11">
        <v>962.1943272623987</v>
      </c>
      <c r="J981" s="11">
        <v>0</v>
      </c>
      <c r="K981" s="11">
        <v>962.1943272623987</v>
      </c>
      <c r="L981" s="12">
        <v>0</v>
      </c>
      <c r="M981" s="12">
        <v>0</v>
      </c>
      <c r="N981" s="12">
        <v>962.1943272623987</v>
      </c>
      <c r="O981" s="70">
        <f>IF(Table1[[#This Row],[Overall amount]]=0,0,1)</f>
        <v>1</v>
      </c>
      <c r="P981" s="70">
        <f>Table1[[#This Row],[Overall amount]]*Exchange_Rate</f>
        <v>962.1943272623987</v>
      </c>
      <c r="Q981" s="70">
        <f>Table1[[#This Row],[Overall (destination currency)]]*(1+Claims_Inflation)^((Revalue_at_date-Table1[[#This Row],[Loss date]])/365.25)</f>
        <v>1270.2</v>
      </c>
      <c r="R981" s="70">
        <f>INT(Table1[[#This Row],[Reporting date]])-INT(Table1[[#This Row],[Loss date]])</f>
        <v>47</v>
      </c>
      <c r="S981" s="69" t="s">
        <v>9</v>
      </c>
      <c r="T981" s="70">
        <f>VLOOKUP(Table1[[#This Row],[Policy Year]],exposure_table,3,FALSE)</f>
        <v>760.22808576000011</v>
      </c>
      <c r="U981" s="17">
        <f>IF(MONTH(Table1[[#This Row],[Reporting date]])&lt;Policy_Inception_Month,YEAR(Table1[[#This Row],[Reporting date]])-1,YEAR(Table1[[#This Row],[Reporting date]]))</f>
        <v>2009</v>
      </c>
      <c r="V981" s="17">
        <f>Table1[[#This Row],[Reporting year]]-Table1[[#This Row],[Policy Year]]</f>
        <v>0</v>
      </c>
      <c r="W981" s="17">
        <f>INT(Table1[[#This Row],[Reporting date]])-INT(Table1[[#This Row],[Loss date]])</f>
        <v>47</v>
      </c>
      <c r="X981" s="17">
        <f>INT((YEAR(Table1[[#This Row],[Loss date]])*12+MONTH(Table1[[#This Row],[Loss date]])-Earliest_Month)/4)</f>
        <v>14</v>
      </c>
      <c r="Y981" s="17">
        <f>INT((YEAR(Table1[[#This Row],[Reporting date]])*12+MONTH(Table1[[#This Row],[Reporting date]])-Earliest_Month)/4)</f>
        <v>14</v>
      </c>
      <c r="Z981" s="17">
        <f>Table1[[#This Row],[Reporting third]]-Table1[[#This Row],[Policy third]]</f>
        <v>0</v>
      </c>
      <c r="AA981" s="71">
        <f>IF(Table1[[#This Row],[Overall amount]]=0,"N/A",Table1[[#This Row],[Outstanding]]/Table1[[#This Row],[Overall amount]])</f>
        <v>0</v>
      </c>
      <c r="AB981" s="17">
        <f>IF(MONTH(Table1[[#This Row],[Loss date]])&lt;Pol_Inc_Month_Shifted,YEAR(Table1[[#This Row],[Loss date]])-1,YEAR(Table1[[#This Row],[Loss date]]))</f>
        <v>2009</v>
      </c>
      <c r="AC981" s="17">
        <f>IF(MONTH(Table1[[#This Row],[Reporting date]])&lt;Pol_Inc_Month_Shifted,YEAR(Table1[[#This Row],[Reporting date]])-1,YEAR(Table1[[#This Row],[Reporting date]]))</f>
        <v>2009</v>
      </c>
      <c r="AD981" s="17">
        <f>Table1[[#This Row],[Reporting year (shifted)]]-Table1[[#This Row],[Policy Year (shifted)]]</f>
        <v>0</v>
      </c>
    </row>
    <row r="982" spans="1:30" ht="13.9">
      <c r="A982" s="8" t="s">
        <v>2752</v>
      </c>
      <c r="B982" s="8" t="s">
        <v>1034</v>
      </c>
      <c r="C982" s="8" t="s">
        <v>118</v>
      </c>
      <c r="D982" s="9">
        <v>38446</v>
      </c>
      <c r="E982" s="9">
        <v>38468</v>
      </c>
      <c r="F982" s="17">
        <f>IF(MONTH(Table1[[#This Row],[Loss date]])&lt;Policy_Inception_Month,YEAR(Table1[[#This Row],[Loss date]])-1,YEAR(Table1[[#This Row],[Loss date]]))</f>
        <v>2005</v>
      </c>
      <c r="G982" s="10" t="s">
        <v>125</v>
      </c>
      <c r="H982" s="10" t="s">
        <v>2</v>
      </c>
      <c r="I982" s="11">
        <v>1965.1483068190596</v>
      </c>
      <c r="J982" s="11">
        <v>0</v>
      </c>
      <c r="K982" s="11">
        <v>1965.1483068190596</v>
      </c>
      <c r="L982" s="12">
        <v>0</v>
      </c>
      <c r="M982" s="12">
        <v>194.54968237508692</v>
      </c>
      <c r="N982" s="12">
        <v>1770.5986244439728</v>
      </c>
      <c r="O982" s="70">
        <f>IF(Table1[[#This Row],[Overall amount]]=0,0,1)</f>
        <v>1</v>
      </c>
      <c r="P982" s="70">
        <f>Table1[[#This Row],[Overall amount]]*Exchange_Rate</f>
        <v>1770.5986244439728</v>
      </c>
      <c r="Q982" s="70">
        <f>Table1[[#This Row],[Overall (destination currency)]]*(1+Claims_Inflation)^((Revalue_at_date-Table1[[#This Row],[Loss date]])/365.25)</f>
        <v>2954.1087000000002</v>
      </c>
      <c r="R982" s="70">
        <f>INT(Table1[[#This Row],[Reporting date]])-INT(Table1[[#This Row],[Loss date]])</f>
        <v>22</v>
      </c>
      <c r="S982" s="69" t="s">
        <v>9</v>
      </c>
      <c r="T982" s="70">
        <f>VLOOKUP(Table1[[#This Row],[Policy Year]],exposure_table,3,FALSE)</f>
        <v>409.50481038040112</v>
      </c>
      <c r="U982" s="17">
        <f>IF(MONTH(Table1[[#This Row],[Reporting date]])&lt;Policy_Inception_Month,YEAR(Table1[[#This Row],[Reporting date]])-1,YEAR(Table1[[#This Row],[Reporting date]]))</f>
        <v>2005</v>
      </c>
      <c r="V982" s="17">
        <f>Table1[[#This Row],[Reporting year]]-Table1[[#This Row],[Policy Year]]</f>
        <v>0</v>
      </c>
      <c r="W982" s="17">
        <f>INT(Table1[[#This Row],[Reporting date]])-INT(Table1[[#This Row],[Loss date]])</f>
        <v>22</v>
      </c>
      <c r="X982" s="17">
        <f>INT((YEAR(Table1[[#This Row],[Loss date]])*12+MONTH(Table1[[#This Row],[Loss date]])-Earliest_Month)/4)</f>
        <v>0</v>
      </c>
      <c r="Y982" s="17">
        <f>INT((YEAR(Table1[[#This Row],[Reporting date]])*12+MONTH(Table1[[#This Row],[Reporting date]])-Earliest_Month)/4)</f>
        <v>0</v>
      </c>
      <c r="Z982" s="17">
        <f>Table1[[#This Row],[Reporting third]]-Table1[[#This Row],[Policy third]]</f>
        <v>0</v>
      </c>
      <c r="AA982" s="71">
        <f>IF(Table1[[#This Row],[Overall amount]]=0,"N/A",Table1[[#This Row],[Outstanding]]/Table1[[#This Row],[Overall amount]])</f>
        <v>0</v>
      </c>
      <c r="AB982" s="17">
        <f>IF(MONTH(Table1[[#This Row],[Loss date]])&lt;Pol_Inc_Month_Shifted,YEAR(Table1[[#This Row],[Loss date]])-1,YEAR(Table1[[#This Row],[Loss date]]))</f>
        <v>2004</v>
      </c>
      <c r="AC982" s="17">
        <f>IF(MONTH(Table1[[#This Row],[Reporting date]])&lt;Pol_Inc_Month_Shifted,YEAR(Table1[[#This Row],[Reporting date]])-1,YEAR(Table1[[#This Row],[Reporting date]]))</f>
        <v>2004</v>
      </c>
      <c r="AD982" s="17">
        <f>Table1[[#This Row],[Reporting year (shifted)]]-Table1[[#This Row],[Policy Year (shifted)]]</f>
        <v>0</v>
      </c>
    </row>
    <row r="983" spans="1:30" ht="13.9">
      <c r="A983" s="8" t="s">
        <v>2753</v>
      </c>
      <c r="B983" s="8" t="s">
        <v>1035</v>
      </c>
      <c r="C983" s="8" t="s">
        <v>118</v>
      </c>
      <c r="D983" s="9">
        <v>39280</v>
      </c>
      <c r="E983" s="9">
        <v>39727</v>
      </c>
      <c r="F983" s="17">
        <f>IF(MONTH(Table1[[#This Row],[Loss date]])&lt;Policy_Inception_Month,YEAR(Table1[[#This Row],[Loss date]])-1,YEAR(Table1[[#This Row],[Loss date]]))</f>
        <v>2007</v>
      </c>
      <c r="G983" s="10" t="s">
        <v>131</v>
      </c>
      <c r="H983" s="10" t="s">
        <v>2</v>
      </c>
      <c r="I983" s="11">
        <v>3764.2069747363284</v>
      </c>
      <c r="J983" s="11">
        <v>0</v>
      </c>
      <c r="K983" s="11">
        <v>3764.2069747363284</v>
      </c>
      <c r="L983" s="12">
        <v>0</v>
      </c>
      <c r="M983" s="12">
        <v>0</v>
      </c>
      <c r="N983" s="12">
        <v>3764.2069747363284</v>
      </c>
      <c r="O983" s="70">
        <f>IF(Table1[[#This Row],[Overall amount]]=0,0,1)</f>
        <v>1</v>
      </c>
      <c r="P983" s="70">
        <f>Table1[[#This Row],[Overall amount]]*Exchange_Rate</f>
        <v>3764.2069747363284</v>
      </c>
      <c r="Q983" s="70">
        <f>Table1[[#This Row],[Overall (destination currency)]]*(1+Claims_Inflation)^((Revalue_at_date-Table1[[#This Row],[Loss date]])/365.25)</f>
        <v>5618.195999999999</v>
      </c>
      <c r="R983" s="70">
        <f>INT(Table1[[#This Row],[Reporting date]])-INT(Table1[[#This Row],[Loss date]])</f>
        <v>447</v>
      </c>
      <c r="S983" s="69" t="s">
        <v>9</v>
      </c>
      <c r="T983" s="70">
        <f>VLOOKUP(Table1[[#This Row],[Policy Year]],exposure_table,3,FALSE)</f>
        <v>547.7736362475523</v>
      </c>
      <c r="U983" s="17">
        <f>IF(MONTH(Table1[[#This Row],[Reporting date]])&lt;Policy_Inception_Month,YEAR(Table1[[#This Row],[Reporting date]])-1,YEAR(Table1[[#This Row],[Reporting date]]))</f>
        <v>2008</v>
      </c>
      <c r="V983" s="17">
        <f>Table1[[#This Row],[Reporting year]]-Table1[[#This Row],[Policy Year]]</f>
        <v>1</v>
      </c>
      <c r="W983" s="17">
        <f>INT(Table1[[#This Row],[Reporting date]])-INT(Table1[[#This Row],[Loss date]])</f>
        <v>447</v>
      </c>
      <c r="X983" s="17">
        <f>INT((YEAR(Table1[[#This Row],[Loss date]])*12+MONTH(Table1[[#This Row],[Loss date]])-Earliest_Month)/4)</f>
        <v>6</v>
      </c>
      <c r="Y983" s="17">
        <f>INT((YEAR(Table1[[#This Row],[Reporting date]])*12+MONTH(Table1[[#This Row],[Reporting date]])-Earliest_Month)/4)</f>
        <v>10</v>
      </c>
      <c r="Z983" s="17">
        <f>Table1[[#This Row],[Reporting third]]-Table1[[#This Row],[Policy third]]</f>
        <v>4</v>
      </c>
      <c r="AA983" s="71">
        <f>IF(Table1[[#This Row],[Overall amount]]=0,"N/A",Table1[[#This Row],[Outstanding]]/Table1[[#This Row],[Overall amount]])</f>
        <v>0</v>
      </c>
      <c r="AB983" s="17">
        <f>IF(MONTH(Table1[[#This Row],[Loss date]])&lt;Pol_Inc_Month_Shifted,YEAR(Table1[[#This Row],[Loss date]])-1,YEAR(Table1[[#This Row],[Loss date]]))</f>
        <v>2006</v>
      </c>
      <c r="AC983" s="17">
        <f>IF(MONTH(Table1[[#This Row],[Reporting date]])&lt;Pol_Inc_Month_Shifted,YEAR(Table1[[#This Row],[Reporting date]])-1,YEAR(Table1[[#This Row],[Reporting date]]))</f>
        <v>2007</v>
      </c>
      <c r="AD983" s="17">
        <f>Table1[[#This Row],[Reporting year (shifted)]]-Table1[[#This Row],[Policy Year (shifted)]]</f>
        <v>1</v>
      </c>
    </row>
    <row r="984" spans="1:30" ht="13.9">
      <c r="A984" s="8" t="s">
        <v>2754</v>
      </c>
      <c r="B984" s="8" t="s">
        <v>1036</v>
      </c>
      <c r="C984" s="8" t="s">
        <v>118</v>
      </c>
      <c r="D984" s="9">
        <v>40471</v>
      </c>
      <c r="E984" s="9">
        <v>40471</v>
      </c>
      <c r="F984" s="17">
        <f>IF(MONTH(Table1[[#This Row],[Loss date]])&lt;Policy_Inception_Month,YEAR(Table1[[#This Row],[Loss date]])-1,YEAR(Table1[[#This Row],[Loss date]]))</f>
        <v>2010</v>
      </c>
      <c r="G984" s="10" t="s">
        <v>125</v>
      </c>
      <c r="H984" s="10" t="s">
        <v>2</v>
      </c>
      <c r="I984" s="11">
        <v>5508.8596875026133</v>
      </c>
      <c r="J984" s="11">
        <v>0</v>
      </c>
      <c r="K984" s="11">
        <v>5508.8596875026133</v>
      </c>
      <c r="L984" s="12">
        <v>0</v>
      </c>
      <c r="M984" s="12">
        <v>0</v>
      </c>
      <c r="N984" s="12">
        <v>5508.8596875026133</v>
      </c>
      <c r="O984" s="70">
        <f>IF(Table1[[#This Row],[Overall amount]]=0,0,1)</f>
        <v>1</v>
      </c>
      <c r="P984" s="70">
        <f>Table1[[#This Row],[Overall amount]]*Exchange_Rate</f>
        <v>5508.8596875026133</v>
      </c>
      <c r="Q984" s="70">
        <f>Table1[[#This Row],[Overall (destination currency)]]*(1+Claims_Inflation)^((Revalue_at_date-Table1[[#This Row],[Loss date]])/365.25)</f>
        <v>7012.8</v>
      </c>
      <c r="R984" s="70">
        <f>INT(Table1[[#This Row],[Reporting date]])-INT(Table1[[#This Row],[Loss date]])</f>
        <v>0</v>
      </c>
      <c r="S984" s="69" t="s">
        <v>9</v>
      </c>
      <c r="T984" s="70">
        <f>VLOOKUP(Table1[[#This Row],[Policy Year]],exposure_table,3,FALSE)</f>
        <v>837.11513600000012</v>
      </c>
      <c r="U984" s="17">
        <f>IF(MONTH(Table1[[#This Row],[Reporting date]])&lt;Policy_Inception_Month,YEAR(Table1[[#This Row],[Reporting date]])-1,YEAR(Table1[[#This Row],[Reporting date]]))</f>
        <v>2010</v>
      </c>
      <c r="V984" s="17">
        <f>Table1[[#This Row],[Reporting year]]-Table1[[#This Row],[Policy Year]]</f>
        <v>0</v>
      </c>
      <c r="W984" s="17">
        <f>INT(Table1[[#This Row],[Reporting date]])-INT(Table1[[#This Row],[Loss date]])</f>
        <v>0</v>
      </c>
      <c r="X984" s="17">
        <f>INT((YEAR(Table1[[#This Row],[Loss date]])*12+MONTH(Table1[[#This Row],[Loss date]])-Earliest_Month)/4)</f>
        <v>16</v>
      </c>
      <c r="Y984" s="17">
        <f>INT((YEAR(Table1[[#This Row],[Reporting date]])*12+MONTH(Table1[[#This Row],[Reporting date]])-Earliest_Month)/4)</f>
        <v>16</v>
      </c>
      <c r="Z984" s="17">
        <f>Table1[[#This Row],[Reporting third]]-Table1[[#This Row],[Policy third]]</f>
        <v>0</v>
      </c>
      <c r="AA984" s="71">
        <f>IF(Table1[[#This Row],[Overall amount]]=0,"N/A",Table1[[#This Row],[Outstanding]]/Table1[[#This Row],[Overall amount]])</f>
        <v>0</v>
      </c>
      <c r="AB984" s="17">
        <f>IF(MONTH(Table1[[#This Row],[Loss date]])&lt;Pol_Inc_Month_Shifted,YEAR(Table1[[#This Row],[Loss date]])-1,YEAR(Table1[[#This Row],[Loss date]]))</f>
        <v>2009</v>
      </c>
      <c r="AC984" s="17">
        <f>IF(MONTH(Table1[[#This Row],[Reporting date]])&lt;Pol_Inc_Month_Shifted,YEAR(Table1[[#This Row],[Reporting date]])-1,YEAR(Table1[[#This Row],[Reporting date]]))</f>
        <v>2009</v>
      </c>
      <c r="AD984" s="17">
        <f>Table1[[#This Row],[Reporting year (shifted)]]-Table1[[#This Row],[Policy Year (shifted)]]</f>
        <v>0</v>
      </c>
    </row>
    <row r="985" spans="1:30" ht="13.9">
      <c r="A985" s="8" t="s">
        <v>2755</v>
      </c>
      <c r="B985" s="8" t="s">
        <v>1037</v>
      </c>
      <c r="C985" s="8" t="s">
        <v>118</v>
      </c>
      <c r="D985" s="9">
        <v>41030</v>
      </c>
      <c r="E985" s="9">
        <v>41042</v>
      </c>
      <c r="F985" s="17">
        <f>IF(MONTH(Table1[[#This Row],[Loss date]])&lt;Policy_Inception_Month,YEAR(Table1[[#This Row],[Loss date]])-1,YEAR(Table1[[#This Row],[Loss date]]))</f>
        <v>2012</v>
      </c>
      <c r="G985" s="10" t="s">
        <v>121</v>
      </c>
      <c r="H985" s="10" t="s">
        <v>2</v>
      </c>
      <c r="I985" s="11">
        <v>368.20430279155471</v>
      </c>
      <c r="J985" s="11">
        <v>0</v>
      </c>
      <c r="K985" s="11">
        <v>368.20430279155471</v>
      </c>
      <c r="L985" s="12">
        <v>0</v>
      </c>
      <c r="M985" s="12">
        <v>0</v>
      </c>
      <c r="N985" s="12">
        <v>368.20430279155471</v>
      </c>
      <c r="O985" s="70">
        <f>IF(Table1[[#This Row],[Overall amount]]=0,0,1)</f>
        <v>1</v>
      </c>
      <c r="P985" s="70">
        <f>Table1[[#This Row],[Overall amount]]*Exchange_Rate</f>
        <v>368.20430279155471</v>
      </c>
      <c r="Q985" s="70">
        <f>Table1[[#This Row],[Overall (destination currency)]]*(1+Claims_Inflation)^((Revalue_at_date-Table1[[#This Row],[Loss date]])/365.25)</f>
        <v>435.00000000000006</v>
      </c>
      <c r="R985" s="70">
        <f>INT(Table1[[#This Row],[Reporting date]])-INT(Table1[[#This Row],[Loss date]])</f>
        <v>12</v>
      </c>
      <c r="S985" s="69" t="s">
        <v>9</v>
      </c>
      <c r="T985" s="70">
        <f>VLOOKUP(Table1[[#This Row],[Policy Year]],exposure_table,3,FALSE)</f>
        <v>1057.54</v>
      </c>
      <c r="U985" s="17">
        <f>IF(MONTH(Table1[[#This Row],[Reporting date]])&lt;Policy_Inception_Month,YEAR(Table1[[#This Row],[Reporting date]])-1,YEAR(Table1[[#This Row],[Reporting date]]))</f>
        <v>2012</v>
      </c>
      <c r="V985" s="17">
        <f>Table1[[#This Row],[Reporting year]]-Table1[[#This Row],[Policy Year]]</f>
        <v>0</v>
      </c>
      <c r="W985" s="17">
        <f>INT(Table1[[#This Row],[Reporting date]])-INT(Table1[[#This Row],[Loss date]])</f>
        <v>12</v>
      </c>
      <c r="X985" s="17">
        <f>INT((YEAR(Table1[[#This Row],[Loss date]])*12+MONTH(Table1[[#This Row],[Loss date]])-Earliest_Month)/4)</f>
        <v>21</v>
      </c>
      <c r="Y985" s="17">
        <f>INT((YEAR(Table1[[#This Row],[Reporting date]])*12+MONTH(Table1[[#This Row],[Reporting date]])-Earliest_Month)/4)</f>
        <v>21</v>
      </c>
      <c r="Z985" s="17">
        <f>Table1[[#This Row],[Reporting third]]-Table1[[#This Row],[Policy third]]</f>
        <v>0</v>
      </c>
      <c r="AA985" s="71">
        <f>IF(Table1[[#This Row],[Overall amount]]=0,"N/A",Table1[[#This Row],[Outstanding]]/Table1[[#This Row],[Overall amount]])</f>
        <v>0</v>
      </c>
      <c r="AB985" s="17">
        <f>IF(MONTH(Table1[[#This Row],[Loss date]])&lt;Pol_Inc_Month_Shifted,YEAR(Table1[[#This Row],[Loss date]])-1,YEAR(Table1[[#This Row],[Loss date]]))</f>
        <v>2011</v>
      </c>
      <c r="AC985" s="17">
        <f>IF(MONTH(Table1[[#This Row],[Reporting date]])&lt;Pol_Inc_Month_Shifted,YEAR(Table1[[#This Row],[Reporting date]])-1,YEAR(Table1[[#This Row],[Reporting date]]))</f>
        <v>2011</v>
      </c>
      <c r="AD985" s="17">
        <f>Table1[[#This Row],[Reporting year (shifted)]]-Table1[[#This Row],[Policy Year (shifted)]]</f>
        <v>0</v>
      </c>
    </row>
    <row r="986" spans="1:30" ht="13.9">
      <c r="A986" s="8" t="s">
        <v>2756</v>
      </c>
      <c r="B986" s="8" t="s">
        <v>1038</v>
      </c>
      <c r="C986" s="8" t="s">
        <v>118</v>
      </c>
      <c r="D986" s="9">
        <v>41076</v>
      </c>
      <c r="E986" s="9">
        <v>41079</v>
      </c>
      <c r="F986" s="17">
        <f>IF(MONTH(Table1[[#This Row],[Loss date]])&lt;Policy_Inception_Month,YEAR(Table1[[#This Row],[Loss date]])-1,YEAR(Table1[[#This Row],[Loss date]]))</f>
        <v>2012</v>
      </c>
      <c r="G986" s="10" t="s">
        <v>121</v>
      </c>
      <c r="H986" s="10" t="s">
        <v>2</v>
      </c>
      <c r="I986" s="11">
        <v>29.63790152444065</v>
      </c>
      <c r="J986" s="11">
        <v>0</v>
      </c>
      <c r="K986" s="11">
        <v>29.63790152444065</v>
      </c>
      <c r="L986" s="12">
        <v>0</v>
      </c>
      <c r="M986" s="12">
        <v>0</v>
      </c>
      <c r="N986" s="12">
        <v>29.63790152444065</v>
      </c>
      <c r="O986" s="70">
        <f>IF(Table1[[#This Row],[Overall amount]]=0,0,1)</f>
        <v>1</v>
      </c>
      <c r="P986" s="70">
        <f>Table1[[#This Row],[Overall amount]]*Exchange_Rate</f>
        <v>29.63790152444065</v>
      </c>
      <c r="Q986" s="70">
        <f>Table1[[#This Row],[Overall (destination currency)]]*(1+Claims_Inflation)^((Revalue_at_date-Table1[[#This Row],[Loss date]])/365.25)</f>
        <v>34.79999999999999</v>
      </c>
      <c r="R986" s="70">
        <f>INT(Table1[[#This Row],[Reporting date]])-INT(Table1[[#This Row],[Loss date]])</f>
        <v>3</v>
      </c>
      <c r="S986" s="69" t="s">
        <v>9</v>
      </c>
      <c r="T986" s="70">
        <f>VLOOKUP(Table1[[#This Row],[Policy Year]],exposure_table,3,FALSE)</f>
        <v>1057.54</v>
      </c>
      <c r="U986" s="17">
        <f>IF(MONTH(Table1[[#This Row],[Reporting date]])&lt;Policy_Inception_Month,YEAR(Table1[[#This Row],[Reporting date]])-1,YEAR(Table1[[#This Row],[Reporting date]]))</f>
        <v>2012</v>
      </c>
      <c r="V986" s="17">
        <f>Table1[[#This Row],[Reporting year]]-Table1[[#This Row],[Policy Year]]</f>
        <v>0</v>
      </c>
      <c r="W986" s="17">
        <f>INT(Table1[[#This Row],[Reporting date]])-INT(Table1[[#This Row],[Loss date]])</f>
        <v>3</v>
      </c>
      <c r="X986" s="17">
        <f>INT((YEAR(Table1[[#This Row],[Loss date]])*12+MONTH(Table1[[#This Row],[Loss date]])-Earliest_Month)/4)</f>
        <v>21</v>
      </c>
      <c r="Y986" s="17">
        <f>INT((YEAR(Table1[[#This Row],[Reporting date]])*12+MONTH(Table1[[#This Row],[Reporting date]])-Earliest_Month)/4)</f>
        <v>21</v>
      </c>
      <c r="Z986" s="17">
        <f>Table1[[#This Row],[Reporting third]]-Table1[[#This Row],[Policy third]]</f>
        <v>0</v>
      </c>
      <c r="AA986" s="71">
        <f>IF(Table1[[#This Row],[Overall amount]]=0,"N/A",Table1[[#This Row],[Outstanding]]/Table1[[#This Row],[Overall amount]])</f>
        <v>0</v>
      </c>
      <c r="AB986" s="17">
        <f>IF(MONTH(Table1[[#This Row],[Loss date]])&lt;Pol_Inc_Month_Shifted,YEAR(Table1[[#This Row],[Loss date]])-1,YEAR(Table1[[#This Row],[Loss date]]))</f>
        <v>2011</v>
      </c>
      <c r="AC986" s="17">
        <f>IF(MONTH(Table1[[#This Row],[Reporting date]])&lt;Pol_Inc_Month_Shifted,YEAR(Table1[[#This Row],[Reporting date]])-1,YEAR(Table1[[#This Row],[Reporting date]]))</f>
        <v>2011</v>
      </c>
      <c r="AD986" s="17">
        <f>Table1[[#This Row],[Reporting year (shifted)]]-Table1[[#This Row],[Policy Year (shifted)]]</f>
        <v>0</v>
      </c>
    </row>
    <row r="987" spans="1:30" ht="13.9">
      <c r="A987" s="8" t="s">
        <v>2757</v>
      </c>
      <c r="B987" s="8" t="s">
        <v>1039</v>
      </c>
      <c r="C987" s="8" t="s">
        <v>118</v>
      </c>
      <c r="D987" s="9">
        <v>40712</v>
      </c>
      <c r="E987" s="9">
        <v>40717</v>
      </c>
      <c r="F987" s="17">
        <f>IF(MONTH(Table1[[#This Row],[Loss date]])&lt;Policy_Inception_Month,YEAR(Table1[[#This Row],[Loss date]])-1,YEAR(Table1[[#This Row],[Loss date]]))</f>
        <v>2011</v>
      </c>
      <c r="G987" s="10" t="s">
        <v>145</v>
      </c>
      <c r="H987" s="10" t="s">
        <v>2</v>
      </c>
      <c r="I987" s="11">
        <v>14729.917058942581</v>
      </c>
      <c r="J987" s="11">
        <v>0</v>
      </c>
      <c r="K987" s="11">
        <v>14729.917058942581</v>
      </c>
      <c r="L987" s="12">
        <v>0</v>
      </c>
      <c r="M987" s="12">
        <v>0</v>
      </c>
      <c r="N987" s="12">
        <v>14729.917058942581</v>
      </c>
      <c r="O987" s="70">
        <f>IF(Table1[[#This Row],[Overall amount]]=0,0,1)</f>
        <v>1</v>
      </c>
      <c r="P987" s="70">
        <f>Table1[[#This Row],[Overall amount]]*Exchange_Rate</f>
        <v>14729.917058942581</v>
      </c>
      <c r="Q987" s="70">
        <f>Table1[[#This Row],[Overall (destination currency)]]*(1+Claims_Inflation)^((Revalue_at_date-Table1[[#This Row],[Loss date]])/365.25)</f>
        <v>18157.2</v>
      </c>
      <c r="R987" s="70">
        <f>INT(Table1[[#This Row],[Reporting date]])-INT(Table1[[#This Row],[Loss date]])</f>
        <v>5</v>
      </c>
      <c r="S987" s="69" t="s">
        <v>9</v>
      </c>
      <c r="T987" s="70">
        <f>VLOOKUP(Table1[[#This Row],[Policy Year]],exposure_table,3,FALSE)</f>
        <v>870.52680000000009</v>
      </c>
      <c r="U987" s="17">
        <f>IF(MONTH(Table1[[#This Row],[Reporting date]])&lt;Policy_Inception_Month,YEAR(Table1[[#This Row],[Reporting date]])-1,YEAR(Table1[[#This Row],[Reporting date]]))</f>
        <v>2011</v>
      </c>
      <c r="V987" s="17">
        <f>Table1[[#This Row],[Reporting year]]-Table1[[#This Row],[Policy Year]]</f>
        <v>0</v>
      </c>
      <c r="W987" s="17">
        <f>INT(Table1[[#This Row],[Reporting date]])-INT(Table1[[#This Row],[Loss date]])</f>
        <v>5</v>
      </c>
      <c r="X987" s="17">
        <f>INT((YEAR(Table1[[#This Row],[Loss date]])*12+MONTH(Table1[[#This Row],[Loss date]])-Earliest_Month)/4)</f>
        <v>18</v>
      </c>
      <c r="Y987" s="17">
        <f>INT((YEAR(Table1[[#This Row],[Reporting date]])*12+MONTH(Table1[[#This Row],[Reporting date]])-Earliest_Month)/4)</f>
        <v>18</v>
      </c>
      <c r="Z987" s="17">
        <f>Table1[[#This Row],[Reporting third]]-Table1[[#This Row],[Policy third]]</f>
        <v>0</v>
      </c>
      <c r="AA987" s="71">
        <f>IF(Table1[[#This Row],[Overall amount]]=0,"N/A",Table1[[#This Row],[Outstanding]]/Table1[[#This Row],[Overall amount]])</f>
        <v>0</v>
      </c>
      <c r="AB987" s="17">
        <f>IF(MONTH(Table1[[#This Row],[Loss date]])&lt;Pol_Inc_Month_Shifted,YEAR(Table1[[#This Row],[Loss date]])-1,YEAR(Table1[[#This Row],[Loss date]]))</f>
        <v>2010</v>
      </c>
      <c r="AC987" s="17">
        <f>IF(MONTH(Table1[[#This Row],[Reporting date]])&lt;Pol_Inc_Month_Shifted,YEAR(Table1[[#This Row],[Reporting date]])-1,YEAR(Table1[[#This Row],[Reporting date]]))</f>
        <v>2010</v>
      </c>
      <c r="AD987" s="17">
        <f>Table1[[#This Row],[Reporting year (shifted)]]-Table1[[#This Row],[Policy Year (shifted)]]</f>
        <v>0</v>
      </c>
    </row>
    <row r="988" spans="1:30" ht="13.9">
      <c r="A988" s="8" t="s">
        <v>2758</v>
      </c>
      <c r="B988" s="8" t="s">
        <v>1040</v>
      </c>
      <c r="C988" s="8" t="s">
        <v>118</v>
      </c>
      <c r="D988" s="9">
        <v>40895</v>
      </c>
      <c r="E988" s="9">
        <v>40913</v>
      </c>
      <c r="F988" s="17">
        <f>IF(MONTH(Table1[[#This Row],[Loss date]])&lt;Policy_Inception_Month,YEAR(Table1[[#This Row],[Loss date]])-1,YEAR(Table1[[#This Row],[Loss date]]))</f>
        <v>2011</v>
      </c>
      <c r="G988" s="10" t="s">
        <v>121</v>
      </c>
      <c r="H988" s="10" t="s">
        <v>2</v>
      </c>
      <c r="I988" s="11">
        <v>16011.328149627367</v>
      </c>
      <c r="J988" s="11">
        <v>0</v>
      </c>
      <c r="K988" s="11">
        <v>16011.328149627367</v>
      </c>
      <c r="L988" s="12">
        <v>0</v>
      </c>
      <c r="M988" s="12">
        <v>0</v>
      </c>
      <c r="N988" s="12">
        <v>16011.328149627367</v>
      </c>
      <c r="O988" s="70">
        <f>IF(Table1[[#This Row],[Overall amount]]=0,0,1)</f>
        <v>1</v>
      </c>
      <c r="P988" s="70">
        <f>Table1[[#This Row],[Overall amount]]*Exchange_Rate</f>
        <v>16011.328149627367</v>
      </c>
      <c r="Q988" s="70">
        <f>Table1[[#This Row],[Overall (destination currency)]]*(1+Claims_Inflation)^((Revalue_at_date-Table1[[#This Row],[Loss date]])/365.25)</f>
        <v>19260.143999999997</v>
      </c>
      <c r="R988" s="70">
        <f>INT(Table1[[#This Row],[Reporting date]])-INT(Table1[[#This Row],[Loss date]])</f>
        <v>18</v>
      </c>
      <c r="S988" s="69" t="s">
        <v>9</v>
      </c>
      <c r="T988" s="70">
        <f>VLOOKUP(Table1[[#This Row],[Policy Year]],exposure_table,3,FALSE)</f>
        <v>870.52680000000009</v>
      </c>
      <c r="U988" s="17">
        <f>IF(MONTH(Table1[[#This Row],[Reporting date]])&lt;Policy_Inception_Month,YEAR(Table1[[#This Row],[Reporting date]])-1,YEAR(Table1[[#This Row],[Reporting date]]))</f>
        <v>2011</v>
      </c>
      <c r="V988" s="17">
        <f>Table1[[#This Row],[Reporting year]]-Table1[[#This Row],[Policy Year]]</f>
        <v>0</v>
      </c>
      <c r="W988" s="17">
        <f>INT(Table1[[#This Row],[Reporting date]])-INT(Table1[[#This Row],[Loss date]])</f>
        <v>18</v>
      </c>
      <c r="X988" s="17">
        <f>INT((YEAR(Table1[[#This Row],[Loss date]])*12+MONTH(Table1[[#This Row],[Loss date]])-Earliest_Month)/4)</f>
        <v>20</v>
      </c>
      <c r="Y988" s="17">
        <f>INT((YEAR(Table1[[#This Row],[Reporting date]])*12+MONTH(Table1[[#This Row],[Reporting date]])-Earliest_Month)/4)</f>
        <v>20</v>
      </c>
      <c r="Z988" s="17">
        <f>Table1[[#This Row],[Reporting third]]-Table1[[#This Row],[Policy third]]</f>
        <v>0</v>
      </c>
      <c r="AA988" s="71">
        <f>IF(Table1[[#This Row],[Overall amount]]=0,"N/A",Table1[[#This Row],[Outstanding]]/Table1[[#This Row],[Overall amount]])</f>
        <v>0</v>
      </c>
      <c r="AB988" s="17">
        <f>IF(MONTH(Table1[[#This Row],[Loss date]])&lt;Pol_Inc_Month_Shifted,YEAR(Table1[[#This Row],[Loss date]])-1,YEAR(Table1[[#This Row],[Loss date]]))</f>
        <v>2011</v>
      </c>
      <c r="AC988" s="17">
        <f>IF(MONTH(Table1[[#This Row],[Reporting date]])&lt;Pol_Inc_Month_Shifted,YEAR(Table1[[#This Row],[Reporting date]])-1,YEAR(Table1[[#This Row],[Reporting date]]))</f>
        <v>2011</v>
      </c>
      <c r="AD988" s="17">
        <f>Table1[[#This Row],[Reporting year (shifted)]]-Table1[[#This Row],[Policy Year (shifted)]]</f>
        <v>0</v>
      </c>
    </row>
    <row r="989" spans="1:30" ht="13.9">
      <c r="A989" s="8" t="s">
        <v>2759</v>
      </c>
      <c r="B989" s="8" t="s">
        <v>1041</v>
      </c>
      <c r="C989" s="8" t="s">
        <v>118</v>
      </c>
      <c r="D989" s="9">
        <v>40805</v>
      </c>
      <c r="E989" s="9">
        <v>40831</v>
      </c>
      <c r="F989" s="17">
        <f>IF(MONTH(Table1[[#This Row],[Loss date]])&lt;Policy_Inception_Month,YEAR(Table1[[#This Row],[Loss date]])-1,YEAR(Table1[[#This Row],[Loss date]]))</f>
        <v>2011</v>
      </c>
      <c r="G989" s="10" t="s">
        <v>121</v>
      </c>
      <c r="H989" s="10" t="s">
        <v>2</v>
      </c>
      <c r="I989" s="11">
        <v>614.56008503434748</v>
      </c>
      <c r="J989" s="11">
        <v>0</v>
      </c>
      <c r="K989" s="11">
        <v>614.56008503434748</v>
      </c>
      <c r="L989" s="12">
        <v>0</v>
      </c>
      <c r="M989" s="12">
        <v>0</v>
      </c>
      <c r="N989" s="12">
        <v>614.56008503434748</v>
      </c>
      <c r="O989" s="70">
        <f>IF(Table1[[#This Row],[Overall amount]]=0,0,1)</f>
        <v>1</v>
      </c>
      <c r="P989" s="70">
        <f>Table1[[#This Row],[Overall amount]]*Exchange_Rate</f>
        <v>614.56008503434748</v>
      </c>
      <c r="Q989" s="70">
        <f>Table1[[#This Row],[Overall (destination currency)]]*(1+Claims_Inflation)^((Revalue_at_date-Table1[[#This Row],[Loss date]])/365.25)</f>
        <v>748.19999999999993</v>
      </c>
      <c r="R989" s="70">
        <f>INT(Table1[[#This Row],[Reporting date]])-INT(Table1[[#This Row],[Loss date]])</f>
        <v>26</v>
      </c>
      <c r="S989" s="69" t="s">
        <v>9</v>
      </c>
      <c r="T989" s="70">
        <f>VLOOKUP(Table1[[#This Row],[Policy Year]],exposure_table,3,FALSE)</f>
        <v>870.52680000000009</v>
      </c>
      <c r="U989" s="17">
        <f>IF(MONTH(Table1[[#This Row],[Reporting date]])&lt;Policy_Inception_Month,YEAR(Table1[[#This Row],[Reporting date]])-1,YEAR(Table1[[#This Row],[Reporting date]]))</f>
        <v>2011</v>
      </c>
      <c r="V989" s="17">
        <f>Table1[[#This Row],[Reporting year]]-Table1[[#This Row],[Policy Year]]</f>
        <v>0</v>
      </c>
      <c r="W989" s="17">
        <f>INT(Table1[[#This Row],[Reporting date]])-INT(Table1[[#This Row],[Loss date]])</f>
        <v>26</v>
      </c>
      <c r="X989" s="17">
        <f>INT((YEAR(Table1[[#This Row],[Loss date]])*12+MONTH(Table1[[#This Row],[Loss date]])-Earliest_Month)/4)</f>
        <v>19</v>
      </c>
      <c r="Y989" s="17">
        <f>INT((YEAR(Table1[[#This Row],[Reporting date]])*12+MONTH(Table1[[#This Row],[Reporting date]])-Earliest_Month)/4)</f>
        <v>19</v>
      </c>
      <c r="Z989" s="17">
        <f>Table1[[#This Row],[Reporting third]]-Table1[[#This Row],[Policy third]]</f>
        <v>0</v>
      </c>
      <c r="AA989" s="71">
        <f>IF(Table1[[#This Row],[Overall amount]]=0,"N/A",Table1[[#This Row],[Outstanding]]/Table1[[#This Row],[Overall amount]])</f>
        <v>0</v>
      </c>
      <c r="AB989" s="17">
        <f>IF(MONTH(Table1[[#This Row],[Loss date]])&lt;Pol_Inc_Month_Shifted,YEAR(Table1[[#This Row],[Loss date]])-1,YEAR(Table1[[#This Row],[Loss date]]))</f>
        <v>2010</v>
      </c>
      <c r="AC989" s="17">
        <f>IF(MONTH(Table1[[#This Row],[Reporting date]])&lt;Pol_Inc_Month_Shifted,YEAR(Table1[[#This Row],[Reporting date]])-1,YEAR(Table1[[#This Row],[Reporting date]]))</f>
        <v>2010</v>
      </c>
      <c r="AD989" s="17">
        <f>Table1[[#This Row],[Reporting year (shifted)]]-Table1[[#This Row],[Policy Year (shifted)]]</f>
        <v>0</v>
      </c>
    </row>
    <row r="990" spans="1:30" ht="13.9">
      <c r="A990" s="8" t="s">
        <v>2760</v>
      </c>
      <c r="B990" s="8" t="s">
        <v>1042</v>
      </c>
      <c r="C990" s="8" t="s">
        <v>118</v>
      </c>
      <c r="D990" s="9">
        <v>40885</v>
      </c>
      <c r="E990" s="9">
        <v>40899</v>
      </c>
      <c r="F990" s="17">
        <f>IF(MONTH(Table1[[#This Row],[Loss date]])&lt;Policy_Inception_Month,YEAR(Table1[[#This Row],[Loss date]])-1,YEAR(Table1[[#This Row],[Loss date]]))</f>
        <v>2011</v>
      </c>
      <c r="G990" s="10" t="s">
        <v>145</v>
      </c>
      <c r="H990" s="10" t="s">
        <v>2</v>
      </c>
      <c r="I990" s="11">
        <v>1378.8418204576665</v>
      </c>
      <c r="J990" s="11">
        <v>0</v>
      </c>
      <c r="K990" s="11">
        <v>1378.8418204576665</v>
      </c>
      <c r="L990" s="12">
        <v>0</v>
      </c>
      <c r="M990" s="12">
        <v>0</v>
      </c>
      <c r="N990" s="12">
        <v>1378.8418204576665</v>
      </c>
      <c r="O990" s="70">
        <f>IF(Table1[[#This Row],[Overall amount]]=0,0,1)</f>
        <v>1</v>
      </c>
      <c r="P990" s="70">
        <f>Table1[[#This Row],[Overall amount]]*Exchange_Rate</f>
        <v>1378.8418204576665</v>
      </c>
      <c r="Q990" s="70">
        <f>Table1[[#This Row],[Overall (destination currency)]]*(1+Claims_Inflation)^((Revalue_at_date-Table1[[#This Row],[Loss date]])/365.25)</f>
        <v>1660.836</v>
      </c>
      <c r="R990" s="70">
        <f>INT(Table1[[#This Row],[Reporting date]])-INT(Table1[[#This Row],[Loss date]])</f>
        <v>14</v>
      </c>
      <c r="S990" s="69" t="s">
        <v>9</v>
      </c>
      <c r="T990" s="70">
        <f>VLOOKUP(Table1[[#This Row],[Policy Year]],exposure_table,3,FALSE)</f>
        <v>870.52680000000009</v>
      </c>
      <c r="U990" s="17">
        <f>IF(MONTH(Table1[[#This Row],[Reporting date]])&lt;Policy_Inception_Month,YEAR(Table1[[#This Row],[Reporting date]])-1,YEAR(Table1[[#This Row],[Reporting date]]))</f>
        <v>2011</v>
      </c>
      <c r="V990" s="17">
        <f>Table1[[#This Row],[Reporting year]]-Table1[[#This Row],[Policy Year]]</f>
        <v>0</v>
      </c>
      <c r="W990" s="17">
        <f>INT(Table1[[#This Row],[Reporting date]])-INT(Table1[[#This Row],[Loss date]])</f>
        <v>14</v>
      </c>
      <c r="X990" s="17">
        <f>INT((YEAR(Table1[[#This Row],[Loss date]])*12+MONTH(Table1[[#This Row],[Loss date]])-Earliest_Month)/4)</f>
        <v>20</v>
      </c>
      <c r="Y990" s="17">
        <f>INT((YEAR(Table1[[#This Row],[Reporting date]])*12+MONTH(Table1[[#This Row],[Reporting date]])-Earliest_Month)/4)</f>
        <v>20</v>
      </c>
      <c r="Z990" s="17">
        <f>Table1[[#This Row],[Reporting third]]-Table1[[#This Row],[Policy third]]</f>
        <v>0</v>
      </c>
      <c r="AA990" s="71">
        <f>IF(Table1[[#This Row],[Overall amount]]=0,"N/A",Table1[[#This Row],[Outstanding]]/Table1[[#This Row],[Overall amount]])</f>
        <v>0</v>
      </c>
      <c r="AB990" s="17">
        <f>IF(MONTH(Table1[[#This Row],[Loss date]])&lt;Pol_Inc_Month_Shifted,YEAR(Table1[[#This Row],[Loss date]])-1,YEAR(Table1[[#This Row],[Loss date]]))</f>
        <v>2011</v>
      </c>
      <c r="AC990" s="17">
        <f>IF(MONTH(Table1[[#This Row],[Reporting date]])&lt;Pol_Inc_Month_Shifted,YEAR(Table1[[#This Row],[Reporting date]])-1,YEAR(Table1[[#This Row],[Reporting date]]))</f>
        <v>2011</v>
      </c>
      <c r="AD990" s="17">
        <f>Table1[[#This Row],[Reporting year (shifted)]]-Table1[[#This Row],[Policy Year (shifted)]]</f>
        <v>0</v>
      </c>
    </row>
    <row r="991" spans="1:30" ht="13.9">
      <c r="A991" s="8" t="s">
        <v>2761</v>
      </c>
      <c r="B991" s="8" t="s">
        <v>1043</v>
      </c>
      <c r="C991" s="8" t="s">
        <v>118</v>
      </c>
      <c r="D991" s="9">
        <v>40725</v>
      </c>
      <c r="E991" s="9">
        <v>40726</v>
      </c>
      <c r="F991" s="17">
        <f>IF(MONTH(Table1[[#This Row],[Loss date]])&lt;Policy_Inception_Month,YEAR(Table1[[#This Row],[Loss date]])-1,YEAR(Table1[[#This Row],[Loss date]]))</f>
        <v>2011</v>
      </c>
      <c r="G991" s="10" t="s">
        <v>124</v>
      </c>
      <c r="H991" s="10" t="s">
        <v>2</v>
      </c>
      <c r="I991" s="11">
        <v>494.90619205519954</v>
      </c>
      <c r="J991" s="11">
        <v>0</v>
      </c>
      <c r="K991" s="11">
        <v>494.90619205519954</v>
      </c>
      <c r="L991" s="12">
        <v>146.2776922330639</v>
      </c>
      <c r="M991" s="12">
        <v>26.288539255818804</v>
      </c>
      <c r="N991" s="12">
        <v>614.89534503244465</v>
      </c>
      <c r="O991" s="70">
        <f>IF(Table1[[#This Row],[Overall amount]]=0,0,1)</f>
        <v>1</v>
      </c>
      <c r="P991" s="70">
        <f>Table1[[#This Row],[Overall amount]]*Exchange_Rate</f>
        <v>614.89534503244465</v>
      </c>
      <c r="Q991" s="70">
        <f>Table1[[#This Row],[Overall (destination currency)]]*(1+Claims_Inflation)^((Revalue_at_date-Table1[[#This Row],[Loss date]])/365.25)</f>
        <v>756.65099999999984</v>
      </c>
      <c r="R991" s="70">
        <f>INT(Table1[[#This Row],[Reporting date]])-INT(Table1[[#This Row],[Loss date]])</f>
        <v>1</v>
      </c>
      <c r="S991" s="69" t="s">
        <v>9</v>
      </c>
      <c r="T991" s="70">
        <f>VLOOKUP(Table1[[#This Row],[Policy Year]],exposure_table,3,FALSE)</f>
        <v>870.52680000000009</v>
      </c>
      <c r="U991" s="17">
        <f>IF(MONTH(Table1[[#This Row],[Reporting date]])&lt;Policy_Inception_Month,YEAR(Table1[[#This Row],[Reporting date]])-1,YEAR(Table1[[#This Row],[Reporting date]]))</f>
        <v>2011</v>
      </c>
      <c r="V991" s="17">
        <f>Table1[[#This Row],[Reporting year]]-Table1[[#This Row],[Policy Year]]</f>
        <v>0</v>
      </c>
      <c r="W991" s="17">
        <f>INT(Table1[[#This Row],[Reporting date]])-INT(Table1[[#This Row],[Loss date]])</f>
        <v>1</v>
      </c>
      <c r="X991" s="17">
        <f>INT((YEAR(Table1[[#This Row],[Loss date]])*12+MONTH(Table1[[#This Row],[Loss date]])-Earliest_Month)/4)</f>
        <v>18</v>
      </c>
      <c r="Y991" s="17">
        <f>INT((YEAR(Table1[[#This Row],[Reporting date]])*12+MONTH(Table1[[#This Row],[Reporting date]])-Earliest_Month)/4)</f>
        <v>18</v>
      </c>
      <c r="Z991" s="17">
        <f>Table1[[#This Row],[Reporting third]]-Table1[[#This Row],[Policy third]]</f>
        <v>0</v>
      </c>
      <c r="AA991" s="71">
        <f>IF(Table1[[#This Row],[Overall amount]]=0,"N/A",Table1[[#This Row],[Outstanding]]/Table1[[#This Row],[Overall amount]])</f>
        <v>0</v>
      </c>
      <c r="AB991" s="17">
        <f>IF(MONTH(Table1[[#This Row],[Loss date]])&lt;Pol_Inc_Month_Shifted,YEAR(Table1[[#This Row],[Loss date]])-1,YEAR(Table1[[#This Row],[Loss date]]))</f>
        <v>2010</v>
      </c>
      <c r="AC991" s="17">
        <f>IF(MONTH(Table1[[#This Row],[Reporting date]])&lt;Pol_Inc_Month_Shifted,YEAR(Table1[[#This Row],[Reporting date]])-1,YEAR(Table1[[#This Row],[Reporting date]]))</f>
        <v>2010</v>
      </c>
      <c r="AD991" s="17">
        <f>Table1[[#This Row],[Reporting year (shifted)]]-Table1[[#This Row],[Policy Year (shifted)]]</f>
        <v>0</v>
      </c>
    </row>
    <row r="992" spans="1:30" ht="13.9">
      <c r="A992" s="8" t="s">
        <v>2762</v>
      </c>
      <c r="B992" s="8" t="s">
        <v>1044</v>
      </c>
      <c r="C992" s="8" t="s">
        <v>118</v>
      </c>
      <c r="D992" s="9">
        <v>40840</v>
      </c>
      <c r="E992" s="9">
        <v>40973</v>
      </c>
      <c r="F992" s="17">
        <f>IF(MONTH(Table1[[#This Row],[Loss date]])&lt;Policy_Inception_Month,YEAR(Table1[[#This Row],[Loss date]])-1,YEAR(Table1[[#This Row],[Loss date]]))</f>
        <v>2011</v>
      </c>
      <c r="G992" s="10" t="s">
        <v>121</v>
      </c>
      <c r="H992" s="10" t="s">
        <v>2</v>
      </c>
      <c r="I992" s="11">
        <v>373.33585569342307</v>
      </c>
      <c r="J992" s="11">
        <v>0</v>
      </c>
      <c r="K992" s="11">
        <v>373.33585569342307</v>
      </c>
      <c r="L992" s="12">
        <v>0</v>
      </c>
      <c r="M992" s="12">
        <v>0</v>
      </c>
      <c r="N992" s="12">
        <v>373.33585569342307</v>
      </c>
      <c r="O992" s="70">
        <f>IF(Table1[[#This Row],[Overall amount]]=0,0,1)</f>
        <v>1</v>
      </c>
      <c r="P992" s="70">
        <f>Table1[[#This Row],[Overall amount]]*Exchange_Rate</f>
        <v>373.33585569342307</v>
      </c>
      <c r="Q992" s="70">
        <f>Table1[[#This Row],[Overall (destination currency)]]*(1+Claims_Inflation)^((Revalue_at_date-Table1[[#This Row],[Loss date]])/365.25)</f>
        <v>452.4</v>
      </c>
      <c r="R992" s="70">
        <f>INT(Table1[[#This Row],[Reporting date]])-INT(Table1[[#This Row],[Loss date]])</f>
        <v>133</v>
      </c>
      <c r="S992" s="69" t="s">
        <v>9</v>
      </c>
      <c r="T992" s="70">
        <f>VLOOKUP(Table1[[#This Row],[Policy Year]],exposure_table,3,FALSE)</f>
        <v>870.52680000000009</v>
      </c>
      <c r="U992" s="17">
        <f>IF(MONTH(Table1[[#This Row],[Reporting date]])&lt;Policy_Inception_Month,YEAR(Table1[[#This Row],[Reporting date]])-1,YEAR(Table1[[#This Row],[Reporting date]]))</f>
        <v>2011</v>
      </c>
      <c r="V992" s="17">
        <f>Table1[[#This Row],[Reporting year]]-Table1[[#This Row],[Policy Year]]</f>
        <v>0</v>
      </c>
      <c r="W992" s="17">
        <f>INT(Table1[[#This Row],[Reporting date]])-INT(Table1[[#This Row],[Loss date]])</f>
        <v>133</v>
      </c>
      <c r="X992" s="17">
        <f>INT((YEAR(Table1[[#This Row],[Loss date]])*12+MONTH(Table1[[#This Row],[Loss date]])-Earliest_Month)/4)</f>
        <v>19</v>
      </c>
      <c r="Y992" s="17">
        <f>INT((YEAR(Table1[[#This Row],[Reporting date]])*12+MONTH(Table1[[#This Row],[Reporting date]])-Earliest_Month)/4)</f>
        <v>20</v>
      </c>
      <c r="Z992" s="17">
        <f>Table1[[#This Row],[Reporting third]]-Table1[[#This Row],[Policy third]]</f>
        <v>1</v>
      </c>
      <c r="AA992" s="71">
        <f>IF(Table1[[#This Row],[Overall amount]]=0,"N/A",Table1[[#This Row],[Outstanding]]/Table1[[#This Row],[Overall amount]])</f>
        <v>0</v>
      </c>
      <c r="AB992" s="17">
        <f>IF(MONTH(Table1[[#This Row],[Loss date]])&lt;Pol_Inc_Month_Shifted,YEAR(Table1[[#This Row],[Loss date]])-1,YEAR(Table1[[#This Row],[Loss date]]))</f>
        <v>2010</v>
      </c>
      <c r="AC992" s="17">
        <f>IF(MONTH(Table1[[#This Row],[Reporting date]])&lt;Pol_Inc_Month_Shifted,YEAR(Table1[[#This Row],[Reporting date]])-1,YEAR(Table1[[#This Row],[Reporting date]]))</f>
        <v>2011</v>
      </c>
      <c r="AD992" s="17">
        <f>Table1[[#This Row],[Reporting year (shifted)]]-Table1[[#This Row],[Policy Year (shifted)]]</f>
        <v>1</v>
      </c>
    </row>
    <row r="993" spans="1:30" ht="13.9">
      <c r="A993" s="8" t="s">
        <v>2763</v>
      </c>
      <c r="B993" s="8" t="s">
        <v>1045</v>
      </c>
      <c r="C993" s="8" t="s">
        <v>118</v>
      </c>
      <c r="D993" s="9">
        <v>40796</v>
      </c>
      <c r="E993" s="9">
        <v>40801</v>
      </c>
      <c r="F993" s="17">
        <f>IF(MONTH(Table1[[#This Row],[Loss date]])&lt;Policy_Inception_Month,YEAR(Table1[[#This Row],[Loss date]])-1,YEAR(Table1[[#This Row],[Loss date]]))</f>
        <v>2011</v>
      </c>
      <c r="G993" s="10" t="s">
        <v>124</v>
      </c>
      <c r="H993" s="10" t="s">
        <v>2</v>
      </c>
      <c r="I993" s="11">
        <v>628.09661456506865</v>
      </c>
      <c r="J993" s="11">
        <v>0</v>
      </c>
      <c r="K993" s="11">
        <v>628.09661456506865</v>
      </c>
      <c r="L993" s="12">
        <v>147.67161784445184</v>
      </c>
      <c r="M993" s="12">
        <v>75.249518543723482</v>
      </c>
      <c r="N993" s="12">
        <v>700.51871386579694</v>
      </c>
      <c r="O993" s="70">
        <f>IF(Table1[[#This Row],[Overall amount]]=0,0,1)</f>
        <v>1</v>
      </c>
      <c r="P993" s="70">
        <f>Table1[[#This Row],[Overall amount]]*Exchange_Rate</f>
        <v>700.51871386579694</v>
      </c>
      <c r="Q993" s="70">
        <f>Table1[[#This Row],[Overall (destination currency)]]*(1+Claims_Inflation)^((Revalue_at_date-Table1[[#This Row],[Loss date]])/365.25)</f>
        <v>853.87679999999989</v>
      </c>
      <c r="R993" s="70">
        <f>INT(Table1[[#This Row],[Reporting date]])-INT(Table1[[#This Row],[Loss date]])</f>
        <v>5</v>
      </c>
      <c r="S993" s="69" t="s">
        <v>9</v>
      </c>
      <c r="T993" s="70">
        <f>VLOOKUP(Table1[[#This Row],[Policy Year]],exposure_table,3,FALSE)</f>
        <v>870.52680000000009</v>
      </c>
      <c r="U993" s="17">
        <f>IF(MONTH(Table1[[#This Row],[Reporting date]])&lt;Policy_Inception_Month,YEAR(Table1[[#This Row],[Reporting date]])-1,YEAR(Table1[[#This Row],[Reporting date]]))</f>
        <v>2011</v>
      </c>
      <c r="V993" s="17">
        <f>Table1[[#This Row],[Reporting year]]-Table1[[#This Row],[Policy Year]]</f>
        <v>0</v>
      </c>
      <c r="W993" s="17">
        <f>INT(Table1[[#This Row],[Reporting date]])-INT(Table1[[#This Row],[Loss date]])</f>
        <v>5</v>
      </c>
      <c r="X993" s="17">
        <f>INT((YEAR(Table1[[#This Row],[Loss date]])*12+MONTH(Table1[[#This Row],[Loss date]])-Earliest_Month)/4)</f>
        <v>19</v>
      </c>
      <c r="Y993" s="17">
        <f>INT((YEAR(Table1[[#This Row],[Reporting date]])*12+MONTH(Table1[[#This Row],[Reporting date]])-Earliest_Month)/4)</f>
        <v>19</v>
      </c>
      <c r="Z993" s="17">
        <f>Table1[[#This Row],[Reporting third]]-Table1[[#This Row],[Policy third]]</f>
        <v>0</v>
      </c>
      <c r="AA993" s="71">
        <f>IF(Table1[[#This Row],[Overall amount]]=0,"N/A",Table1[[#This Row],[Outstanding]]/Table1[[#This Row],[Overall amount]])</f>
        <v>0</v>
      </c>
      <c r="AB993" s="17">
        <f>IF(MONTH(Table1[[#This Row],[Loss date]])&lt;Pol_Inc_Month_Shifted,YEAR(Table1[[#This Row],[Loss date]])-1,YEAR(Table1[[#This Row],[Loss date]]))</f>
        <v>2010</v>
      </c>
      <c r="AC993" s="17">
        <f>IF(MONTH(Table1[[#This Row],[Reporting date]])&lt;Pol_Inc_Month_Shifted,YEAR(Table1[[#This Row],[Reporting date]])-1,YEAR(Table1[[#This Row],[Reporting date]]))</f>
        <v>2010</v>
      </c>
      <c r="AD993" s="17">
        <f>Table1[[#This Row],[Reporting year (shifted)]]-Table1[[#This Row],[Policy Year (shifted)]]</f>
        <v>0</v>
      </c>
    </row>
    <row r="994" spans="1:30" ht="13.9">
      <c r="A994" s="8" t="s">
        <v>2764</v>
      </c>
      <c r="B994" s="8" t="s">
        <v>1046</v>
      </c>
      <c r="C994" s="8" t="s">
        <v>118</v>
      </c>
      <c r="D994" s="9">
        <v>40960</v>
      </c>
      <c r="E994" s="9">
        <v>40977</v>
      </c>
      <c r="F994" s="17">
        <f>IF(MONTH(Table1[[#This Row],[Loss date]])&lt;Policy_Inception_Month,YEAR(Table1[[#This Row],[Loss date]])-1,YEAR(Table1[[#This Row],[Loss date]]))</f>
        <v>2011</v>
      </c>
      <c r="G994" s="10" t="s">
        <v>131</v>
      </c>
      <c r="H994" s="10" t="s">
        <v>2</v>
      </c>
      <c r="I994" s="11">
        <v>10734.055891669492</v>
      </c>
      <c r="J994" s="11">
        <v>0</v>
      </c>
      <c r="K994" s="11">
        <v>10734.055891669492</v>
      </c>
      <c r="L994" s="12">
        <v>0</v>
      </c>
      <c r="M994" s="12">
        <v>0</v>
      </c>
      <c r="N994" s="12">
        <v>10734.055891669492</v>
      </c>
      <c r="O994" s="70">
        <f>IF(Table1[[#This Row],[Overall amount]]=0,0,1)</f>
        <v>1</v>
      </c>
      <c r="P994" s="70">
        <f>Table1[[#This Row],[Overall amount]]*Exchange_Rate</f>
        <v>10734.055891669492</v>
      </c>
      <c r="Q994" s="70">
        <f>Table1[[#This Row],[Overall (destination currency)]]*(1+Claims_Inflation)^((Revalue_at_date-Table1[[#This Row],[Loss date]])/365.25)</f>
        <v>12800.448</v>
      </c>
      <c r="R994" s="70">
        <f>INT(Table1[[#This Row],[Reporting date]])-INT(Table1[[#This Row],[Loss date]])</f>
        <v>17</v>
      </c>
      <c r="S994" s="69" t="s">
        <v>9</v>
      </c>
      <c r="T994" s="70">
        <f>VLOOKUP(Table1[[#This Row],[Policy Year]],exposure_table,3,FALSE)</f>
        <v>870.52680000000009</v>
      </c>
      <c r="U994" s="17">
        <f>IF(MONTH(Table1[[#This Row],[Reporting date]])&lt;Policy_Inception_Month,YEAR(Table1[[#This Row],[Reporting date]])-1,YEAR(Table1[[#This Row],[Reporting date]]))</f>
        <v>2011</v>
      </c>
      <c r="V994" s="17">
        <f>Table1[[#This Row],[Reporting year]]-Table1[[#This Row],[Policy Year]]</f>
        <v>0</v>
      </c>
      <c r="W994" s="17">
        <f>INT(Table1[[#This Row],[Reporting date]])-INT(Table1[[#This Row],[Loss date]])</f>
        <v>17</v>
      </c>
      <c r="X994" s="17">
        <f>INT((YEAR(Table1[[#This Row],[Loss date]])*12+MONTH(Table1[[#This Row],[Loss date]])-Earliest_Month)/4)</f>
        <v>20</v>
      </c>
      <c r="Y994" s="17">
        <f>INT((YEAR(Table1[[#This Row],[Reporting date]])*12+MONTH(Table1[[#This Row],[Reporting date]])-Earliest_Month)/4)</f>
        <v>20</v>
      </c>
      <c r="Z994" s="17">
        <f>Table1[[#This Row],[Reporting third]]-Table1[[#This Row],[Policy third]]</f>
        <v>0</v>
      </c>
      <c r="AA994" s="71">
        <f>IF(Table1[[#This Row],[Overall amount]]=0,"N/A",Table1[[#This Row],[Outstanding]]/Table1[[#This Row],[Overall amount]])</f>
        <v>0</v>
      </c>
      <c r="AB994" s="17">
        <f>IF(MONTH(Table1[[#This Row],[Loss date]])&lt;Pol_Inc_Month_Shifted,YEAR(Table1[[#This Row],[Loss date]])-1,YEAR(Table1[[#This Row],[Loss date]]))</f>
        <v>2011</v>
      </c>
      <c r="AC994" s="17">
        <f>IF(MONTH(Table1[[#This Row],[Reporting date]])&lt;Pol_Inc_Month_Shifted,YEAR(Table1[[#This Row],[Reporting date]])-1,YEAR(Table1[[#This Row],[Reporting date]]))</f>
        <v>2011</v>
      </c>
      <c r="AD994" s="17">
        <f>Table1[[#This Row],[Reporting year (shifted)]]-Table1[[#This Row],[Policy Year (shifted)]]</f>
        <v>0</v>
      </c>
    </row>
    <row r="995" spans="1:30" ht="13.9">
      <c r="A995" s="8" t="s">
        <v>2765</v>
      </c>
      <c r="B995" s="8" t="s">
        <v>1047</v>
      </c>
      <c r="C995" s="8" t="s">
        <v>118</v>
      </c>
      <c r="D995" s="9">
        <v>40602</v>
      </c>
      <c r="E995" s="9">
        <v>40608</v>
      </c>
      <c r="F995" s="17">
        <f>IF(MONTH(Table1[[#This Row],[Loss date]])&lt;Policy_Inception_Month,YEAR(Table1[[#This Row],[Loss date]])-1,YEAR(Table1[[#This Row],[Loss date]]))</f>
        <v>2010</v>
      </c>
      <c r="G995" s="10" t="s">
        <v>131</v>
      </c>
      <c r="H995" s="10" t="s">
        <v>2</v>
      </c>
      <c r="I995" s="11">
        <v>208.64620320788885</v>
      </c>
      <c r="J995" s="11">
        <v>0</v>
      </c>
      <c r="K995" s="11">
        <v>208.64620320788885</v>
      </c>
      <c r="L995" s="12">
        <v>0</v>
      </c>
      <c r="M995" s="12">
        <v>0</v>
      </c>
      <c r="N995" s="12">
        <v>208.64620320788885</v>
      </c>
      <c r="O995" s="70">
        <f>IF(Table1[[#This Row],[Overall amount]]=0,0,1)</f>
        <v>1</v>
      </c>
      <c r="P995" s="70">
        <f>Table1[[#This Row],[Overall amount]]*Exchange_Rate</f>
        <v>208.64620320788885</v>
      </c>
      <c r="Q995" s="70">
        <f>Table1[[#This Row],[Overall (destination currency)]]*(1+Claims_Inflation)^((Revalue_at_date-Table1[[#This Row],[Loss date]])/365.25)</f>
        <v>261</v>
      </c>
      <c r="R995" s="70">
        <f>INT(Table1[[#This Row],[Reporting date]])-INT(Table1[[#This Row],[Loss date]])</f>
        <v>6</v>
      </c>
      <c r="S995" s="69" t="s">
        <v>9</v>
      </c>
      <c r="T995" s="70">
        <f>VLOOKUP(Table1[[#This Row],[Policy Year]],exposure_table,3,FALSE)</f>
        <v>837.11513600000012</v>
      </c>
      <c r="U995" s="17">
        <f>IF(MONTH(Table1[[#This Row],[Reporting date]])&lt;Policy_Inception_Month,YEAR(Table1[[#This Row],[Reporting date]])-1,YEAR(Table1[[#This Row],[Reporting date]]))</f>
        <v>2010</v>
      </c>
      <c r="V995" s="17">
        <f>Table1[[#This Row],[Reporting year]]-Table1[[#This Row],[Policy Year]]</f>
        <v>0</v>
      </c>
      <c r="W995" s="17">
        <f>INT(Table1[[#This Row],[Reporting date]])-INT(Table1[[#This Row],[Loss date]])</f>
        <v>6</v>
      </c>
      <c r="X995" s="17">
        <f>INT((YEAR(Table1[[#This Row],[Loss date]])*12+MONTH(Table1[[#This Row],[Loss date]])-Earliest_Month)/4)</f>
        <v>17</v>
      </c>
      <c r="Y995" s="17">
        <f>INT((YEAR(Table1[[#This Row],[Reporting date]])*12+MONTH(Table1[[#This Row],[Reporting date]])-Earliest_Month)/4)</f>
        <v>17</v>
      </c>
      <c r="Z995" s="17">
        <f>Table1[[#This Row],[Reporting third]]-Table1[[#This Row],[Policy third]]</f>
        <v>0</v>
      </c>
      <c r="AA995" s="71">
        <f>IF(Table1[[#This Row],[Overall amount]]=0,"N/A",Table1[[#This Row],[Outstanding]]/Table1[[#This Row],[Overall amount]])</f>
        <v>0</v>
      </c>
      <c r="AB995" s="17">
        <f>IF(MONTH(Table1[[#This Row],[Loss date]])&lt;Pol_Inc_Month_Shifted,YEAR(Table1[[#This Row],[Loss date]])-1,YEAR(Table1[[#This Row],[Loss date]]))</f>
        <v>2010</v>
      </c>
      <c r="AC995" s="17">
        <f>IF(MONTH(Table1[[#This Row],[Reporting date]])&lt;Pol_Inc_Month_Shifted,YEAR(Table1[[#This Row],[Reporting date]])-1,YEAR(Table1[[#This Row],[Reporting date]]))</f>
        <v>2010</v>
      </c>
      <c r="AD995" s="17">
        <f>Table1[[#This Row],[Reporting year (shifted)]]-Table1[[#This Row],[Policy Year (shifted)]]</f>
        <v>0</v>
      </c>
    </row>
    <row r="996" spans="1:30" ht="13.9">
      <c r="A996" s="8" t="s">
        <v>2766</v>
      </c>
      <c r="B996" s="8" t="s">
        <v>1048</v>
      </c>
      <c r="C996" s="8" t="s">
        <v>118</v>
      </c>
      <c r="D996" s="9">
        <v>40895</v>
      </c>
      <c r="E996" s="9">
        <v>41027</v>
      </c>
      <c r="F996" s="17">
        <f>IF(MONTH(Table1[[#This Row],[Loss date]])&lt;Policy_Inception_Month,YEAR(Table1[[#This Row],[Loss date]])-1,YEAR(Table1[[#This Row],[Loss date]]))</f>
        <v>2011</v>
      </c>
      <c r="G996" s="10" t="s">
        <v>121</v>
      </c>
      <c r="H996" s="10" t="s">
        <v>2</v>
      </c>
      <c r="I996" s="11">
        <v>6623.9516535406428</v>
      </c>
      <c r="J996" s="11">
        <v>0</v>
      </c>
      <c r="K996" s="11">
        <v>6623.9516535406428</v>
      </c>
      <c r="L996" s="12">
        <v>0</v>
      </c>
      <c r="M996" s="12">
        <v>0</v>
      </c>
      <c r="N996" s="12">
        <v>6623.9516535406428</v>
      </c>
      <c r="O996" s="70">
        <f>IF(Table1[[#This Row],[Overall amount]]=0,0,1)</f>
        <v>1</v>
      </c>
      <c r="P996" s="70">
        <f>Table1[[#This Row],[Overall amount]]*Exchange_Rate</f>
        <v>6623.9516535406428</v>
      </c>
      <c r="Q996" s="70">
        <f>Table1[[#This Row],[Overall (destination currency)]]*(1+Claims_Inflation)^((Revalue_at_date-Table1[[#This Row],[Loss date]])/365.25)</f>
        <v>7968.0000000000009</v>
      </c>
      <c r="R996" s="70">
        <f>INT(Table1[[#This Row],[Reporting date]])-INT(Table1[[#This Row],[Loss date]])</f>
        <v>132</v>
      </c>
      <c r="S996" s="69" t="s">
        <v>9</v>
      </c>
      <c r="T996" s="70">
        <f>VLOOKUP(Table1[[#This Row],[Policy Year]],exposure_table,3,FALSE)</f>
        <v>870.52680000000009</v>
      </c>
      <c r="U996" s="17">
        <f>IF(MONTH(Table1[[#This Row],[Reporting date]])&lt;Policy_Inception_Month,YEAR(Table1[[#This Row],[Reporting date]])-1,YEAR(Table1[[#This Row],[Reporting date]]))</f>
        <v>2012</v>
      </c>
      <c r="V996" s="17">
        <f>Table1[[#This Row],[Reporting year]]-Table1[[#This Row],[Policy Year]]</f>
        <v>1</v>
      </c>
      <c r="W996" s="17">
        <f>INT(Table1[[#This Row],[Reporting date]])-INT(Table1[[#This Row],[Loss date]])</f>
        <v>132</v>
      </c>
      <c r="X996" s="17">
        <f>INT((YEAR(Table1[[#This Row],[Loss date]])*12+MONTH(Table1[[#This Row],[Loss date]])-Earliest_Month)/4)</f>
        <v>20</v>
      </c>
      <c r="Y996" s="17">
        <f>INT((YEAR(Table1[[#This Row],[Reporting date]])*12+MONTH(Table1[[#This Row],[Reporting date]])-Earliest_Month)/4)</f>
        <v>21</v>
      </c>
      <c r="Z996" s="17">
        <f>Table1[[#This Row],[Reporting third]]-Table1[[#This Row],[Policy third]]</f>
        <v>1</v>
      </c>
      <c r="AA996" s="71">
        <f>IF(Table1[[#This Row],[Overall amount]]=0,"N/A",Table1[[#This Row],[Outstanding]]/Table1[[#This Row],[Overall amount]])</f>
        <v>0</v>
      </c>
      <c r="AB996" s="17">
        <f>IF(MONTH(Table1[[#This Row],[Loss date]])&lt;Pol_Inc_Month_Shifted,YEAR(Table1[[#This Row],[Loss date]])-1,YEAR(Table1[[#This Row],[Loss date]]))</f>
        <v>2011</v>
      </c>
      <c r="AC996" s="17">
        <f>IF(MONTH(Table1[[#This Row],[Reporting date]])&lt;Pol_Inc_Month_Shifted,YEAR(Table1[[#This Row],[Reporting date]])-1,YEAR(Table1[[#This Row],[Reporting date]]))</f>
        <v>2011</v>
      </c>
      <c r="AD996" s="17">
        <f>Table1[[#This Row],[Reporting year (shifted)]]-Table1[[#This Row],[Policy Year (shifted)]]</f>
        <v>0</v>
      </c>
    </row>
    <row r="997" spans="1:30" ht="13.9">
      <c r="A997" s="8" t="s">
        <v>2767</v>
      </c>
      <c r="B997" s="8" t="s">
        <v>1049</v>
      </c>
      <c r="C997" s="8" t="s">
        <v>118</v>
      </c>
      <c r="D997" s="9">
        <v>40756</v>
      </c>
      <c r="E997" s="9">
        <v>40774</v>
      </c>
      <c r="F997" s="17">
        <f>IF(MONTH(Table1[[#This Row],[Loss date]])&lt;Policy_Inception_Month,YEAR(Table1[[#This Row],[Loss date]])-1,YEAR(Table1[[#This Row],[Loss date]]))</f>
        <v>2011</v>
      </c>
      <c r="G997" s="10" t="s">
        <v>131</v>
      </c>
      <c r="H997" s="10" t="s">
        <v>2</v>
      </c>
      <c r="I997" s="11">
        <v>21941.144180122246</v>
      </c>
      <c r="J997" s="11">
        <v>0</v>
      </c>
      <c r="K997" s="11">
        <v>21941.144180122246</v>
      </c>
      <c r="L997" s="12">
        <v>0</v>
      </c>
      <c r="M997" s="12">
        <v>0</v>
      </c>
      <c r="N997" s="12">
        <v>21941.144180122246</v>
      </c>
      <c r="O997" s="70">
        <f>IF(Table1[[#This Row],[Overall amount]]=0,0,1)</f>
        <v>1</v>
      </c>
      <c r="P997" s="70">
        <f>Table1[[#This Row],[Overall amount]]*Exchange_Rate</f>
        <v>21941.144180122246</v>
      </c>
      <c r="Q997" s="70">
        <f>Table1[[#This Row],[Overall (destination currency)]]*(1+Claims_Inflation)^((Revalue_at_date-Table1[[#This Row],[Loss date]])/365.25)</f>
        <v>26887.800000000003</v>
      </c>
      <c r="R997" s="70">
        <f>INT(Table1[[#This Row],[Reporting date]])-INT(Table1[[#This Row],[Loss date]])</f>
        <v>18</v>
      </c>
      <c r="S997" s="69" t="s">
        <v>9</v>
      </c>
      <c r="T997" s="70">
        <f>VLOOKUP(Table1[[#This Row],[Policy Year]],exposure_table,3,FALSE)</f>
        <v>870.52680000000009</v>
      </c>
      <c r="U997" s="17">
        <f>IF(MONTH(Table1[[#This Row],[Reporting date]])&lt;Policy_Inception_Month,YEAR(Table1[[#This Row],[Reporting date]])-1,YEAR(Table1[[#This Row],[Reporting date]]))</f>
        <v>2011</v>
      </c>
      <c r="V997" s="17">
        <f>Table1[[#This Row],[Reporting year]]-Table1[[#This Row],[Policy Year]]</f>
        <v>0</v>
      </c>
      <c r="W997" s="17">
        <f>INT(Table1[[#This Row],[Reporting date]])-INT(Table1[[#This Row],[Loss date]])</f>
        <v>18</v>
      </c>
      <c r="X997" s="17">
        <f>INT((YEAR(Table1[[#This Row],[Loss date]])*12+MONTH(Table1[[#This Row],[Loss date]])-Earliest_Month)/4)</f>
        <v>19</v>
      </c>
      <c r="Y997" s="17">
        <f>INT((YEAR(Table1[[#This Row],[Reporting date]])*12+MONTH(Table1[[#This Row],[Reporting date]])-Earliest_Month)/4)</f>
        <v>19</v>
      </c>
      <c r="Z997" s="17">
        <f>Table1[[#This Row],[Reporting third]]-Table1[[#This Row],[Policy third]]</f>
        <v>0</v>
      </c>
      <c r="AA997" s="71">
        <f>IF(Table1[[#This Row],[Overall amount]]=0,"N/A",Table1[[#This Row],[Outstanding]]/Table1[[#This Row],[Overall amount]])</f>
        <v>0</v>
      </c>
      <c r="AB997" s="17">
        <f>IF(MONTH(Table1[[#This Row],[Loss date]])&lt;Pol_Inc_Month_Shifted,YEAR(Table1[[#This Row],[Loss date]])-1,YEAR(Table1[[#This Row],[Loss date]]))</f>
        <v>2010</v>
      </c>
      <c r="AC997" s="17">
        <f>IF(MONTH(Table1[[#This Row],[Reporting date]])&lt;Pol_Inc_Month_Shifted,YEAR(Table1[[#This Row],[Reporting date]])-1,YEAR(Table1[[#This Row],[Reporting date]]))</f>
        <v>2010</v>
      </c>
      <c r="AD997" s="17">
        <f>Table1[[#This Row],[Reporting year (shifted)]]-Table1[[#This Row],[Policy Year (shifted)]]</f>
        <v>0</v>
      </c>
    </row>
    <row r="998" spans="1:30" ht="13.9">
      <c r="A998" s="8" t="s">
        <v>2768</v>
      </c>
      <c r="B998" s="8" t="s">
        <v>1050</v>
      </c>
      <c r="C998" s="8" t="s">
        <v>118</v>
      </c>
      <c r="D998" s="9">
        <v>39753</v>
      </c>
      <c r="E998" s="9">
        <v>39760</v>
      </c>
      <c r="F998" s="17">
        <f>IF(MONTH(Table1[[#This Row],[Loss date]])&lt;Policy_Inception_Month,YEAR(Table1[[#This Row],[Loss date]])-1,YEAR(Table1[[#This Row],[Loss date]]))</f>
        <v>2008</v>
      </c>
      <c r="G998" s="10" t="s">
        <v>149</v>
      </c>
      <c r="H998" s="10" t="s">
        <v>2</v>
      </c>
      <c r="I998" s="11">
        <v>2914.7298152237008</v>
      </c>
      <c r="J998" s="11">
        <v>0</v>
      </c>
      <c r="K998" s="11">
        <v>2914.7298152237008</v>
      </c>
      <c r="L998" s="12">
        <v>0</v>
      </c>
      <c r="M998" s="12">
        <v>0</v>
      </c>
      <c r="N998" s="12">
        <v>2914.7298152237008</v>
      </c>
      <c r="O998" s="70">
        <f>IF(Table1[[#This Row],[Overall amount]]=0,0,1)</f>
        <v>1</v>
      </c>
      <c r="P998" s="70">
        <f>Table1[[#This Row],[Overall amount]]*Exchange_Rate</f>
        <v>2914.7298152237008</v>
      </c>
      <c r="Q998" s="70">
        <f>Table1[[#This Row],[Overall (destination currency)]]*(1+Claims_Inflation)^((Revalue_at_date-Table1[[#This Row],[Loss date]])/365.25)</f>
        <v>4083.96</v>
      </c>
      <c r="R998" s="70">
        <f>INT(Table1[[#This Row],[Reporting date]])-INT(Table1[[#This Row],[Loss date]])</f>
        <v>7</v>
      </c>
      <c r="S998" s="69" t="s">
        <v>9</v>
      </c>
      <c r="T998" s="70">
        <f>VLOOKUP(Table1[[#This Row],[Policy Year]],exposure_table,3,FALSE)</f>
        <v>601.98581780480015</v>
      </c>
      <c r="U998" s="17">
        <f>IF(MONTH(Table1[[#This Row],[Reporting date]])&lt;Policy_Inception_Month,YEAR(Table1[[#This Row],[Reporting date]])-1,YEAR(Table1[[#This Row],[Reporting date]]))</f>
        <v>2008</v>
      </c>
      <c r="V998" s="17">
        <f>Table1[[#This Row],[Reporting year]]-Table1[[#This Row],[Policy Year]]</f>
        <v>0</v>
      </c>
      <c r="W998" s="17">
        <f>INT(Table1[[#This Row],[Reporting date]])-INT(Table1[[#This Row],[Loss date]])</f>
        <v>7</v>
      </c>
      <c r="X998" s="17">
        <f>INT((YEAR(Table1[[#This Row],[Loss date]])*12+MONTH(Table1[[#This Row],[Loss date]])-Earliest_Month)/4)</f>
        <v>10</v>
      </c>
      <c r="Y998" s="17">
        <f>INT((YEAR(Table1[[#This Row],[Reporting date]])*12+MONTH(Table1[[#This Row],[Reporting date]])-Earliest_Month)/4)</f>
        <v>10</v>
      </c>
      <c r="Z998" s="17">
        <f>Table1[[#This Row],[Reporting third]]-Table1[[#This Row],[Policy third]]</f>
        <v>0</v>
      </c>
      <c r="AA998" s="71">
        <f>IF(Table1[[#This Row],[Overall amount]]=0,"N/A",Table1[[#This Row],[Outstanding]]/Table1[[#This Row],[Overall amount]])</f>
        <v>0</v>
      </c>
      <c r="AB998" s="17">
        <f>IF(MONTH(Table1[[#This Row],[Loss date]])&lt;Pol_Inc_Month_Shifted,YEAR(Table1[[#This Row],[Loss date]])-1,YEAR(Table1[[#This Row],[Loss date]]))</f>
        <v>2007</v>
      </c>
      <c r="AC998" s="17">
        <f>IF(MONTH(Table1[[#This Row],[Reporting date]])&lt;Pol_Inc_Month_Shifted,YEAR(Table1[[#This Row],[Reporting date]])-1,YEAR(Table1[[#This Row],[Reporting date]]))</f>
        <v>2007</v>
      </c>
      <c r="AD998" s="17">
        <f>Table1[[#This Row],[Reporting year (shifted)]]-Table1[[#This Row],[Policy Year (shifted)]]</f>
        <v>0</v>
      </c>
    </row>
    <row r="999" spans="1:30" ht="13.9">
      <c r="A999" s="8" t="s">
        <v>2769</v>
      </c>
      <c r="B999" s="8" t="s">
        <v>1051</v>
      </c>
      <c r="C999" s="8" t="s">
        <v>118</v>
      </c>
      <c r="D999" s="9">
        <v>39127</v>
      </c>
      <c r="E999" s="9">
        <v>39227</v>
      </c>
      <c r="F999" s="17">
        <f>IF(MONTH(Table1[[#This Row],[Loss date]])&lt;Policy_Inception_Month,YEAR(Table1[[#This Row],[Loss date]])-1,YEAR(Table1[[#This Row],[Loss date]]))</f>
        <v>2006</v>
      </c>
      <c r="G999" s="10" t="s">
        <v>119</v>
      </c>
      <c r="H999" s="10" t="s">
        <v>2</v>
      </c>
      <c r="I999" s="11">
        <v>569.14076862512661</v>
      </c>
      <c r="J999" s="11">
        <v>0</v>
      </c>
      <c r="K999" s="11">
        <v>569.14076862512661</v>
      </c>
      <c r="L999" s="12">
        <v>0</v>
      </c>
      <c r="M999" s="12">
        <v>0</v>
      </c>
      <c r="N999" s="12">
        <v>569.14076862512661</v>
      </c>
      <c r="O999" s="70">
        <f>IF(Table1[[#This Row],[Overall amount]]=0,0,1)</f>
        <v>1</v>
      </c>
      <c r="P999" s="70">
        <f>Table1[[#This Row],[Overall amount]]*Exchange_Rate</f>
        <v>569.14076862512661</v>
      </c>
      <c r="Q999" s="70">
        <f>Table1[[#This Row],[Overall (destination currency)]]*(1+Claims_Inflation)^((Revalue_at_date-Table1[[#This Row],[Loss date]])/365.25)</f>
        <v>867</v>
      </c>
      <c r="R999" s="70">
        <f>INT(Table1[[#This Row],[Reporting date]])-INT(Table1[[#This Row],[Loss date]])</f>
        <v>100</v>
      </c>
      <c r="S999" s="69" t="s">
        <v>9</v>
      </c>
      <c r="T999" s="70">
        <f>VLOOKUP(Table1[[#This Row],[Policy Year]],exposure_table,3,FALSE)</f>
        <v>483.32023209000977</v>
      </c>
      <c r="U999" s="17">
        <f>IF(MONTH(Table1[[#This Row],[Reporting date]])&lt;Policy_Inception_Month,YEAR(Table1[[#This Row],[Reporting date]])-1,YEAR(Table1[[#This Row],[Reporting date]]))</f>
        <v>2007</v>
      </c>
      <c r="V999" s="17">
        <f>Table1[[#This Row],[Reporting year]]-Table1[[#This Row],[Policy Year]]</f>
        <v>1</v>
      </c>
      <c r="W999" s="17">
        <f>INT(Table1[[#This Row],[Reporting date]])-INT(Table1[[#This Row],[Loss date]])</f>
        <v>100</v>
      </c>
      <c r="X999" s="17">
        <f>INT((YEAR(Table1[[#This Row],[Loss date]])*12+MONTH(Table1[[#This Row],[Loss date]])-Earliest_Month)/4)</f>
        <v>5</v>
      </c>
      <c r="Y999" s="17">
        <f>INT((YEAR(Table1[[#This Row],[Reporting date]])*12+MONTH(Table1[[#This Row],[Reporting date]])-Earliest_Month)/4)</f>
        <v>6</v>
      </c>
      <c r="Z999" s="17">
        <f>Table1[[#This Row],[Reporting third]]-Table1[[#This Row],[Policy third]]</f>
        <v>1</v>
      </c>
      <c r="AA999" s="71">
        <f>IF(Table1[[#This Row],[Overall amount]]=0,"N/A",Table1[[#This Row],[Outstanding]]/Table1[[#This Row],[Overall amount]])</f>
        <v>0</v>
      </c>
      <c r="AB999" s="17">
        <f>IF(MONTH(Table1[[#This Row],[Loss date]])&lt;Pol_Inc_Month_Shifted,YEAR(Table1[[#This Row],[Loss date]])-1,YEAR(Table1[[#This Row],[Loss date]]))</f>
        <v>2006</v>
      </c>
      <c r="AC999" s="17">
        <f>IF(MONTH(Table1[[#This Row],[Reporting date]])&lt;Pol_Inc_Month_Shifted,YEAR(Table1[[#This Row],[Reporting date]])-1,YEAR(Table1[[#This Row],[Reporting date]]))</f>
        <v>2006</v>
      </c>
      <c r="AD999" s="17">
        <f>Table1[[#This Row],[Reporting year (shifted)]]-Table1[[#This Row],[Policy Year (shifted)]]</f>
        <v>0</v>
      </c>
    </row>
    <row r="1000" spans="1:30" ht="13.9">
      <c r="A1000" s="8" t="s">
        <v>2770</v>
      </c>
      <c r="B1000" s="8" t="s">
        <v>1052</v>
      </c>
      <c r="C1000" s="8" t="s">
        <v>118</v>
      </c>
      <c r="D1000" s="9">
        <v>40136</v>
      </c>
      <c r="E1000" s="9">
        <v>40138</v>
      </c>
      <c r="F1000" s="17">
        <f>IF(MONTH(Table1[[#This Row],[Loss date]])&lt;Policy_Inception_Month,YEAR(Table1[[#This Row],[Loss date]])-1,YEAR(Table1[[#This Row],[Loss date]]))</f>
        <v>2009</v>
      </c>
      <c r="G1000" s="10" t="s">
        <v>119</v>
      </c>
      <c r="H1000" s="10" t="s">
        <v>2</v>
      </c>
      <c r="I1000" s="11">
        <v>627.37374745382306</v>
      </c>
      <c r="J1000" s="11">
        <v>0</v>
      </c>
      <c r="K1000" s="11">
        <v>627.37374745382306</v>
      </c>
      <c r="L1000" s="12">
        <v>0</v>
      </c>
      <c r="M1000" s="12">
        <v>3.764242484722939</v>
      </c>
      <c r="N1000" s="12">
        <v>623.60950496910016</v>
      </c>
      <c r="O1000" s="70">
        <f>IF(Table1[[#This Row],[Overall amount]]=0,0,1)</f>
        <v>1</v>
      </c>
      <c r="P1000" s="70">
        <f>Table1[[#This Row],[Overall amount]]*Exchange_Rate</f>
        <v>623.60950496910016</v>
      </c>
      <c r="Q1000" s="70">
        <f>Table1[[#This Row],[Overall (destination currency)]]*(1+Claims_Inflation)^((Revalue_at_date-Table1[[#This Row],[Loss date]])/365.25)</f>
        <v>830.1887999999999</v>
      </c>
      <c r="R1000" s="70">
        <f>INT(Table1[[#This Row],[Reporting date]])-INT(Table1[[#This Row],[Loss date]])</f>
        <v>2</v>
      </c>
      <c r="S1000" s="69" t="s">
        <v>9</v>
      </c>
      <c r="T1000" s="70">
        <f>VLOOKUP(Table1[[#This Row],[Policy Year]],exposure_table,3,FALSE)</f>
        <v>760.22808576000011</v>
      </c>
      <c r="U1000" s="17">
        <f>IF(MONTH(Table1[[#This Row],[Reporting date]])&lt;Policy_Inception_Month,YEAR(Table1[[#This Row],[Reporting date]])-1,YEAR(Table1[[#This Row],[Reporting date]]))</f>
        <v>2009</v>
      </c>
      <c r="V1000" s="17">
        <f>Table1[[#This Row],[Reporting year]]-Table1[[#This Row],[Policy Year]]</f>
        <v>0</v>
      </c>
      <c r="W1000" s="17">
        <f>INT(Table1[[#This Row],[Reporting date]])-INT(Table1[[#This Row],[Loss date]])</f>
        <v>2</v>
      </c>
      <c r="X1000" s="17">
        <f>INT((YEAR(Table1[[#This Row],[Loss date]])*12+MONTH(Table1[[#This Row],[Loss date]])-Earliest_Month)/4)</f>
        <v>13</v>
      </c>
      <c r="Y1000" s="17">
        <f>INT((YEAR(Table1[[#This Row],[Reporting date]])*12+MONTH(Table1[[#This Row],[Reporting date]])-Earliest_Month)/4)</f>
        <v>13</v>
      </c>
      <c r="Z1000" s="17">
        <f>Table1[[#This Row],[Reporting third]]-Table1[[#This Row],[Policy third]]</f>
        <v>0</v>
      </c>
      <c r="AA1000" s="71">
        <f>IF(Table1[[#This Row],[Overall amount]]=0,"N/A",Table1[[#This Row],[Outstanding]]/Table1[[#This Row],[Overall amount]])</f>
        <v>0</v>
      </c>
      <c r="AB1000" s="17">
        <f>IF(MONTH(Table1[[#This Row],[Loss date]])&lt;Pol_Inc_Month_Shifted,YEAR(Table1[[#This Row],[Loss date]])-1,YEAR(Table1[[#This Row],[Loss date]]))</f>
        <v>2008</v>
      </c>
      <c r="AC1000" s="17">
        <f>IF(MONTH(Table1[[#This Row],[Reporting date]])&lt;Pol_Inc_Month_Shifted,YEAR(Table1[[#This Row],[Reporting date]])-1,YEAR(Table1[[#This Row],[Reporting date]]))</f>
        <v>2008</v>
      </c>
      <c r="AD1000" s="17">
        <f>Table1[[#This Row],[Reporting year (shifted)]]-Table1[[#This Row],[Policy Year (shifted)]]</f>
        <v>0</v>
      </c>
    </row>
    <row r="1001" spans="1:30" ht="13.9">
      <c r="A1001" s="8" t="s">
        <v>2771</v>
      </c>
      <c r="B1001" s="8" t="s">
        <v>1053</v>
      </c>
      <c r="C1001" s="8" t="s">
        <v>118</v>
      </c>
      <c r="D1001" s="9">
        <v>40267</v>
      </c>
      <c r="E1001" s="9">
        <v>40267</v>
      </c>
      <c r="F1001" s="17">
        <f>IF(MONTH(Table1[[#This Row],[Loss date]])&lt;Policy_Inception_Month,YEAR(Table1[[#This Row],[Loss date]])-1,YEAR(Table1[[#This Row],[Loss date]]))</f>
        <v>2009</v>
      </c>
      <c r="G1001" s="10" t="s">
        <v>129</v>
      </c>
      <c r="H1001" s="10" t="s">
        <v>2</v>
      </c>
      <c r="I1001" s="11">
        <v>5041.0851754012992</v>
      </c>
      <c r="J1001" s="11">
        <v>0</v>
      </c>
      <c r="K1001" s="11">
        <v>5041.0851754012992</v>
      </c>
      <c r="L1001" s="12">
        <v>0</v>
      </c>
      <c r="M1001" s="12">
        <v>0</v>
      </c>
      <c r="N1001" s="12">
        <v>5041.0851754012992</v>
      </c>
      <c r="O1001" s="70">
        <f>IF(Table1[[#This Row],[Overall amount]]=0,0,1)</f>
        <v>1</v>
      </c>
      <c r="P1001" s="70">
        <f>Table1[[#This Row],[Overall amount]]*Exchange_Rate</f>
        <v>5041.0851754012992</v>
      </c>
      <c r="Q1001" s="70">
        <f>Table1[[#This Row],[Overall (destination currency)]]*(1+Claims_Inflation)^((Revalue_at_date-Table1[[#This Row],[Loss date]])/365.25)</f>
        <v>6594.6000000000013</v>
      </c>
      <c r="R1001" s="70">
        <f>INT(Table1[[#This Row],[Reporting date]])-INT(Table1[[#This Row],[Loss date]])</f>
        <v>0</v>
      </c>
      <c r="S1001" s="69" t="s">
        <v>9</v>
      </c>
      <c r="T1001" s="70">
        <f>VLOOKUP(Table1[[#This Row],[Policy Year]],exposure_table,3,FALSE)</f>
        <v>760.22808576000011</v>
      </c>
      <c r="U1001" s="17">
        <f>IF(MONTH(Table1[[#This Row],[Reporting date]])&lt;Policy_Inception_Month,YEAR(Table1[[#This Row],[Reporting date]])-1,YEAR(Table1[[#This Row],[Reporting date]]))</f>
        <v>2009</v>
      </c>
      <c r="V1001" s="17">
        <f>Table1[[#This Row],[Reporting year]]-Table1[[#This Row],[Policy Year]]</f>
        <v>0</v>
      </c>
      <c r="W1001" s="17">
        <f>INT(Table1[[#This Row],[Reporting date]])-INT(Table1[[#This Row],[Loss date]])</f>
        <v>0</v>
      </c>
      <c r="X1001" s="17">
        <f>INT((YEAR(Table1[[#This Row],[Loss date]])*12+MONTH(Table1[[#This Row],[Loss date]])-Earliest_Month)/4)</f>
        <v>14</v>
      </c>
      <c r="Y1001" s="17">
        <f>INT((YEAR(Table1[[#This Row],[Reporting date]])*12+MONTH(Table1[[#This Row],[Reporting date]])-Earliest_Month)/4)</f>
        <v>14</v>
      </c>
      <c r="Z1001" s="17">
        <f>Table1[[#This Row],[Reporting third]]-Table1[[#This Row],[Policy third]]</f>
        <v>0</v>
      </c>
      <c r="AA1001" s="71">
        <f>IF(Table1[[#This Row],[Overall amount]]=0,"N/A",Table1[[#This Row],[Outstanding]]/Table1[[#This Row],[Overall amount]])</f>
        <v>0</v>
      </c>
      <c r="AB1001" s="17">
        <f>IF(MONTH(Table1[[#This Row],[Loss date]])&lt;Pol_Inc_Month_Shifted,YEAR(Table1[[#This Row],[Loss date]])-1,YEAR(Table1[[#This Row],[Loss date]]))</f>
        <v>2009</v>
      </c>
      <c r="AC1001" s="17">
        <f>IF(MONTH(Table1[[#This Row],[Reporting date]])&lt;Pol_Inc_Month_Shifted,YEAR(Table1[[#This Row],[Reporting date]])-1,YEAR(Table1[[#This Row],[Reporting date]]))</f>
        <v>2009</v>
      </c>
      <c r="AD1001" s="17">
        <f>Table1[[#This Row],[Reporting year (shifted)]]-Table1[[#This Row],[Policy Year (shifted)]]</f>
        <v>0</v>
      </c>
    </row>
    <row r="1002" spans="1:30" ht="13.9">
      <c r="A1002" s="8" t="s">
        <v>2772</v>
      </c>
      <c r="B1002" s="8" t="s">
        <v>1054</v>
      </c>
      <c r="C1002" s="8" t="s">
        <v>118</v>
      </c>
      <c r="D1002" s="9">
        <v>40347</v>
      </c>
      <c r="E1002" s="9">
        <v>40354</v>
      </c>
      <c r="F1002" s="17">
        <f>IF(MONTH(Table1[[#This Row],[Loss date]])&lt;Policy_Inception_Month,YEAR(Table1[[#This Row],[Loss date]])-1,YEAR(Table1[[#This Row],[Loss date]]))</f>
        <v>2010</v>
      </c>
      <c r="G1002" s="10" t="s">
        <v>129</v>
      </c>
      <c r="H1002" s="10" t="s">
        <v>2</v>
      </c>
      <c r="I1002" s="11">
        <v>2258.5783370805966</v>
      </c>
      <c r="J1002" s="11">
        <v>0</v>
      </c>
      <c r="K1002" s="11">
        <v>2258.5783370805966</v>
      </c>
      <c r="L1002" s="12">
        <v>0</v>
      </c>
      <c r="M1002" s="12">
        <v>0</v>
      </c>
      <c r="N1002" s="12">
        <v>2258.5783370805966</v>
      </c>
      <c r="O1002" s="70">
        <f>IF(Table1[[#This Row],[Overall amount]]=0,0,1)</f>
        <v>1</v>
      </c>
      <c r="P1002" s="70">
        <f>Table1[[#This Row],[Overall amount]]*Exchange_Rate</f>
        <v>2258.5783370805966</v>
      </c>
      <c r="Q1002" s="70">
        <f>Table1[[#This Row],[Overall (destination currency)]]*(1+Claims_Inflation)^((Revalue_at_date-Table1[[#This Row],[Loss date]])/365.25)</f>
        <v>2923.2</v>
      </c>
      <c r="R1002" s="70">
        <f>INT(Table1[[#This Row],[Reporting date]])-INT(Table1[[#This Row],[Loss date]])</f>
        <v>7</v>
      </c>
      <c r="S1002" s="69" t="s">
        <v>9</v>
      </c>
      <c r="T1002" s="70">
        <f>VLOOKUP(Table1[[#This Row],[Policy Year]],exposure_table,3,FALSE)</f>
        <v>837.11513600000012</v>
      </c>
      <c r="U1002" s="17">
        <f>IF(MONTH(Table1[[#This Row],[Reporting date]])&lt;Policy_Inception_Month,YEAR(Table1[[#This Row],[Reporting date]])-1,YEAR(Table1[[#This Row],[Reporting date]]))</f>
        <v>2010</v>
      </c>
      <c r="V1002" s="17">
        <f>Table1[[#This Row],[Reporting year]]-Table1[[#This Row],[Policy Year]]</f>
        <v>0</v>
      </c>
      <c r="W1002" s="17">
        <f>INT(Table1[[#This Row],[Reporting date]])-INT(Table1[[#This Row],[Loss date]])</f>
        <v>7</v>
      </c>
      <c r="X1002" s="17">
        <f>INT((YEAR(Table1[[#This Row],[Loss date]])*12+MONTH(Table1[[#This Row],[Loss date]])-Earliest_Month)/4)</f>
        <v>15</v>
      </c>
      <c r="Y1002" s="17">
        <f>INT((YEAR(Table1[[#This Row],[Reporting date]])*12+MONTH(Table1[[#This Row],[Reporting date]])-Earliest_Month)/4)</f>
        <v>15</v>
      </c>
      <c r="Z1002" s="17">
        <f>Table1[[#This Row],[Reporting third]]-Table1[[#This Row],[Policy third]]</f>
        <v>0</v>
      </c>
      <c r="AA1002" s="71">
        <f>IF(Table1[[#This Row],[Overall amount]]=0,"N/A",Table1[[#This Row],[Outstanding]]/Table1[[#This Row],[Overall amount]])</f>
        <v>0</v>
      </c>
      <c r="AB1002" s="17">
        <f>IF(MONTH(Table1[[#This Row],[Loss date]])&lt;Pol_Inc_Month_Shifted,YEAR(Table1[[#This Row],[Loss date]])-1,YEAR(Table1[[#This Row],[Loss date]]))</f>
        <v>2009</v>
      </c>
      <c r="AC1002" s="17">
        <f>IF(MONTH(Table1[[#This Row],[Reporting date]])&lt;Pol_Inc_Month_Shifted,YEAR(Table1[[#This Row],[Reporting date]])-1,YEAR(Table1[[#This Row],[Reporting date]]))</f>
        <v>2009</v>
      </c>
      <c r="AD1002" s="17">
        <f>Table1[[#This Row],[Reporting year (shifted)]]-Table1[[#This Row],[Policy Year (shifted)]]</f>
        <v>0</v>
      </c>
    </row>
    <row r="1003" spans="1:30" ht="13.9">
      <c r="A1003" s="8" t="s">
        <v>2773</v>
      </c>
      <c r="B1003" s="8" t="s">
        <v>1055</v>
      </c>
      <c r="C1003" s="8" t="s">
        <v>118</v>
      </c>
      <c r="D1003" s="9">
        <v>40371</v>
      </c>
      <c r="E1003" s="9">
        <v>40376</v>
      </c>
      <c r="F1003" s="17">
        <f>IF(MONTH(Table1[[#This Row],[Loss date]])&lt;Policy_Inception_Month,YEAR(Table1[[#This Row],[Loss date]])-1,YEAR(Table1[[#This Row],[Loss date]]))</f>
        <v>2010</v>
      </c>
      <c r="G1003" s="10" t="s">
        <v>129</v>
      </c>
      <c r="H1003" s="10" t="s">
        <v>2</v>
      </c>
      <c r="I1003" s="11">
        <v>2225.3695239303361</v>
      </c>
      <c r="J1003" s="11">
        <v>0</v>
      </c>
      <c r="K1003" s="11">
        <v>2225.3695239303361</v>
      </c>
      <c r="L1003" s="12">
        <v>0</v>
      </c>
      <c r="M1003" s="12">
        <v>0</v>
      </c>
      <c r="N1003" s="12">
        <v>2225.3695239303361</v>
      </c>
      <c r="O1003" s="70">
        <f>IF(Table1[[#This Row],[Overall amount]]=0,0,1)</f>
        <v>1</v>
      </c>
      <c r="P1003" s="70">
        <f>Table1[[#This Row],[Overall amount]]*Exchange_Rate</f>
        <v>2225.3695239303361</v>
      </c>
      <c r="Q1003" s="70">
        <f>Table1[[#This Row],[Overall (destination currency)]]*(1+Claims_Inflation)^((Revalue_at_date-Table1[[#This Row],[Loss date]])/365.25)</f>
        <v>2871</v>
      </c>
      <c r="R1003" s="70">
        <f>INT(Table1[[#This Row],[Reporting date]])-INT(Table1[[#This Row],[Loss date]])</f>
        <v>5</v>
      </c>
      <c r="S1003" s="69" t="s">
        <v>9</v>
      </c>
      <c r="T1003" s="70">
        <f>VLOOKUP(Table1[[#This Row],[Policy Year]],exposure_table,3,FALSE)</f>
        <v>837.11513600000012</v>
      </c>
      <c r="U1003" s="17">
        <f>IF(MONTH(Table1[[#This Row],[Reporting date]])&lt;Policy_Inception_Month,YEAR(Table1[[#This Row],[Reporting date]])-1,YEAR(Table1[[#This Row],[Reporting date]]))</f>
        <v>2010</v>
      </c>
      <c r="V1003" s="17">
        <f>Table1[[#This Row],[Reporting year]]-Table1[[#This Row],[Policy Year]]</f>
        <v>0</v>
      </c>
      <c r="W1003" s="17">
        <f>INT(Table1[[#This Row],[Reporting date]])-INT(Table1[[#This Row],[Loss date]])</f>
        <v>5</v>
      </c>
      <c r="X1003" s="17">
        <f>INT((YEAR(Table1[[#This Row],[Loss date]])*12+MONTH(Table1[[#This Row],[Loss date]])-Earliest_Month)/4)</f>
        <v>15</v>
      </c>
      <c r="Y1003" s="17">
        <f>INT((YEAR(Table1[[#This Row],[Reporting date]])*12+MONTH(Table1[[#This Row],[Reporting date]])-Earliest_Month)/4)</f>
        <v>15</v>
      </c>
      <c r="Z1003" s="17">
        <f>Table1[[#This Row],[Reporting third]]-Table1[[#This Row],[Policy third]]</f>
        <v>0</v>
      </c>
      <c r="AA1003" s="71">
        <f>IF(Table1[[#This Row],[Overall amount]]=0,"N/A",Table1[[#This Row],[Outstanding]]/Table1[[#This Row],[Overall amount]])</f>
        <v>0</v>
      </c>
      <c r="AB1003" s="17">
        <f>IF(MONTH(Table1[[#This Row],[Loss date]])&lt;Pol_Inc_Month_Shifted,YEAR(Table1[[#This Row],[Loss date]])-1,YEAR(Table1[[#This Row],[Loss date]]))</f>
        <v>2009</v>
      </c>
      <c r="AC1003" s="17">
        <f>IF(MONTH(Table1[[#This Row],[Reporting date]])&lt;Pol_Inc_Month_Shifted,YEAR(Table1[[#This Row],[Reporting date]])-1,YEAR(Table1[[#This Row],[Reporting date]]))</f>
        <v>2009</v>
      </c>
      <c r="AD1003" s="17">
        <f>Table1[[#This Row],[Reporting year (shifted)]]-Table1[[#This Row],[Policy Year (shifted)]]</f>
        <v>0</v>
      </c>
    </row>
    <row r="1004" spans="1:30" ht="13.9">
      <c r="A1004" s="8" t="s">
        <v>2774</v>
      </c>
      <c r="B1004" s="8" t="s">
        <v>1056</v>
      </c>
      <c r="C1004" s="8" t="s">
        <v>118</v>
      </c>
      <c r="D1004" s="9">
        <v>40452</v>
      </c>
      <c r="E1004" s="9">
        <v>40453</v>
      </c>
      <c r="F1004" s="17">
        <f>IF(MONTH(Table1[[#This Row],[Loss date]])&lt;Policy_Inception_Month,YEAR(Table1[[#This Row],[Loss date]])-1,YEAR(Table1[[#This Row],[Loss date]]))</f>
        <v>2010</v>
      </c>
      <c r="G1004" s="10" t="s">
        <v>125</v>
      </c>
      <c r="H1004" s="10" t="s">
        <v>2</v>
      </c>
      <c r="I1004" s="11">
        <v>259.04240122328116</v>
      </c>
      <c r="J1004" s="11">
        <v>0</v>
      </c>
      <c r="K1004" s="11">
        <v>259.04240122328116</v>
      </c>
      <c r="L1004" s="12">
        <v>0</v>
      </c>
      <c r="M1004" s="12">
        <v>0</v>
      </c>
      <c r="N1004" s="12">
        <v>259.04240122328116</v>
      </c>
      <c r="O1004" s="70">
        <f>IF(Table1[[#This Row],[Overall amount]]=0,0,1)</f>
        <v>1</v>
      </c>
      <c r="P1004" s="70">
        <f>Table1[[#This Row],[Overall amount]]*Exchange_Rate</f>
        <v>259.04240122328116</v>
      </c>
      <c r="Q1004" s="70">
        <f>Table1[[#This Row],[Overall (destination currency)]]*(1+Claims_Inflation)^((Revalue_at_date-Table1[[#This Row],[Loss date]])/365.25)</f>
        <v>330.59999999999997</v>
      </c>
      <c r="R1004" s="70">
        <f>INT(Table1[[#This Row],[Reporting date]])-INT(Table1[[#This Row],[Loss date]])</f>
        <v>1</v>
      </c>
      <c r="S1004" s="69" t="s">
        <v>9</v>
      </c>
      <c r="T1004" s="70">
        <f>VLOOKUP(Table1[[#This Row],[Policy Year]],exposure_table,3,FALSE)</f>
        <v>837.11513600000012</v>
      </c>
      <c r="U1004" s="17">
        <f>IF(MONTH(Table1[[#This Row],[Reporting date]])&lt;Policy_Inception_Month,YEAR(Table1[[#This Row],[Reporting date]])-1,YEAR(Table1[[#This Row],[Reporting date]]))</f>
        <v>2010</v>
      </c>
      <c r="V1004" s="17">
        <f>Table1[[#This Row],[Reporting year]]-Table1[[#This Row],[Policy Year]]</f>
        <v>0</v>
      </c>
      <c r="W1004" s="17">
        <f>INT(Table1[[#This Row],[Reporting date]])-INT(Table1[[#This Row],[Loss date]])</f>
        <v>1</v>
      </c>
      <c r="X1004" s="17">
        <f>INT((YEAR(Table1[[#This Row],[Loss date]])*12+MONTH(Table1[[#This Row],[Loss date]])-Earliest_Month)/4)</f>
        <v>16</v>
      </c>
      <c r="Y1004" s="17">
        <f>INT((YEAR(Table1[[#This Row],[Reporting date]])*12+MONTH(Table1[[#This Row],[Reporting date]])-Earliest_Month)/4)</f>
        <v>16</v>
      </c>
      <c r="Z1004" s="17">
        <f>Table1[[#This Row],[Reporting third]]-Table1[[#This Row],[Policy third]]</f>
        <v>0</v>
      </c>
      <c r="AA1004" s="71">
        <f>IF(Table1[[#This Row],[Overall amount]]=0,"N/A",Table1[[#This Row],[Outstanding]]/Table1[[#This Row],[Overall amount]])</f>
        <v>0</v>
      </c>
      <c r="AB1004" s="17">
        <f>IF(MONTH(Table1[[#This Row],[Loss date]])&lt;Pol_Inc_Month_Shifted,YEAR(Table1[[#This Row],[Loss date]])-1,YEAR(Table1[[#This Row],[Loss date]]))</f>
        <v>2009</v>
      </c>
      <c r="AC1004" s="17">
        <f>IF(MONTH(Table1[[#This Row],[Reporting date]])&lt;Pol_Inc_Month_Shifted,YEAR(Table1[[#This Row],[Reporting date]])-1,YEAR(Table1[[#This Row],[Reporting date]]))</f>
        <v>2009</v>
      </c>
      <c r="AD1004" s="17">
        <f>Table1[[#This Row],[Reporting year (shifted)]]-Table1[[#This Row],[Policy Year (shifted)]]</f>
        <v>0</v>
      </c>
    </row>
    <row r="1005" spans="1:30" ht="13.9">
      <c r="A1005" s="8" t="s">
        <v>2775</v>
      </c>
      <c r="B1005" s="8" t="s">
        <v>1057</v>
      </c>
      <c r="C1005" s="8" t="s">
        <v>118</v>
      </c>
      <c r="D1005" s="9">
        <v>40735</v>
      </c>
      <c r="E1005" s="9">
        <v>40735</v>
      </c>
      <c r="F1005" s="17">
        <f>IF(MONTH(Table1[[#This Row],[Loss date]])&lt;Policy_Inception_Month,YEAR(Table1[[#This Row],[Loss date]])-1,YEAR(Table1[[#This Row],[Loss date]]))</f>
        <v>2011</v>
      </c>
      <c r="G1005" s="10" t="s">
        <v>128</v>
      </c>
      <c r="H1005" s="10" t="s">
        <v>2</v>
      </c>
      <c r="I1005" s="11">
        <v>325.65879428093831</v>
      </c>
      <c r="J1005" s="11">
        <v>0</v>
      </c>
      <c r="K1005" s="11">
        <v>325.65879428093831</v>
      </c>
      <c r="L1005" s="12">
        <v>0</v>
      </c>
      <c r="M1005" s="12">
        <v>0</v>
      </c>
      <c r="N1005" s="12">
        <v>325.65879428093831</v>
      </c>
      <c r="O1005" s="70">
        <f>IF(Table1[[#This Row],[Overall amount]]=0,0,1)</f>
        <v>1</v>
      </c>
      <c r="P1005" s="70">
        <f>Table1[[#This Row],[Overall amount]]*Exchange_Rate</f>
        <v>325.65879428093831</v>
      </c>
      <c r="Q1005" s="70">
        <f>Table1[[#This Row],[Overall (destination currency)]]*(1+Claims_Inflation)^((Revalue_at_date-Table1[[#This Row],[Loss date]])/365.25)</f>
        <v>400.20000000000005</v>
      </c>
      <c r="R1005" s="70">
        <f>INT(Table1[[#This Row],[Reporting date]])-INT(Table1[[#This Row],[Loss date]])</f>
        <v>0</v>
      </c>
      <c r="S1005" s="69" t="s">
        <v>9</v>
      </c>
      <c r="T1005" s="70">
        <f>VLOOKUP(Table1[[#This Row],[Policy Year]],exposure_table,3,FALSE)</f>
        <v>870.52680000000009</v>
      </c>
      <c r="U1005" s="17">
        <f>IF(MONTH(Table1[[#This Row],[Reporting date]])&lt;Policy_Inception_Month,YEAR(Table1[[#This Row],[Reporting date]])-1,YEAR(Table1[[#This Row],[Reporting date]]))</f>
        <v>2011</v>
      </c>
      <c r="V1005" s="17">
        <f>Table1[[#This Row],[Reporting year]]-Table1[[#This Row],[Policy Year]]</f>
        <v>0</v>
      </c>
      <c r="W1005" s="17">
        <f>INT(Table1[[#This Row],[Reporting date]])-INT(Table1[[#This Row],[Loss date]])</f>
        <v>0</v>
      </c>
      <c r="X1005" s="17">
        <f>INT((YEAR(Table1[[#This Row],[Loss date]])*12+MONTH(Table1[[#This Row],[Loss date]])-Earliest_Month)/4)</f>
        <v>18</v>
      </c>
      <c r="Y1005" s="17">
        <f>INT((YEAR(Table1[[#This Row],[Reporting date]])*12+MONTH(Table1[[#This Row],[Reporting date]])-Earliest_Month)/4)</f>
        <v>18</v>
      </c>
      <c r="Z1005" s="17">
        <f>Table1[[#This Row],[Reporting third]]-Table1[[#This Row],[Policy third]]</f>
        <v>0</v>
      </c>
      <c r="AA1005" s="71">
        <f>IF(Table1[[#This Row],[Overall amount]]=0,"N/A",Table1[[#This Row],[Outstanding]]/Table1[[#This Row],[Overall amount]])</f>
        <v>0</v>
      </c>
      <c r="AB1005" s="17">
        <f>IF(MONTH(Table1[[#This Row],[Loss date]])&lt;Pol_Inc_Month_Shifted,YEAR(Table1[[#This Row],[Loss date]])-1,YEAR(Table1[[#This Row],[Loss date]]))</f>
        <v>2010</v>
      </c>
      <c r="AC1005" s="17">
        <f>IF(MONTH(Table1[[#This Row],[Reporting date]])&lt;Pol_Inc_Month_Shifted,YEAR(Table1[[#This Row],[Reporting date]])-1,YEAR(Table1[[#This Row],[Reporting date]]))</f>
        <v>2010</v>
      </c>
      <c r="AD1005" s="17">
        <f>Table1[[#This Row],[Reporting year (shifted)]]-Table1[[#This Row],[Policy Year (shifted)]]</f>
        <v>0</v>
      </c>
    </row>
    <row r="1006" spans="1:30" ht="13.9">
      <c r="A1006" s="8" t="s">
        <v>2776</v>
      </c>
      <c r="B1006" s="8" t="s">
        <v>1058</v>
      </c>
      <c r="C1006" s="8" t="s">
        <v>118</v>
      </c>
      <c r="D1006" s="9">
        <v>39574</v>
      </c>
      <c r="E1006" s="9">
        <v>39795</v>
      </c>
      <c r="F1006" s="17">
        <f>IF(MONTH(Table1[[#This Row],[Loss date]])&lt;Policy_Inception_Month,YEAR(Table1[[#This Row],[Loss date]])-1,YEAR(Table1[[#This Row],[Loss date]]))</f>
        <v>2008</v>
      </c>
      <c r="G1006" s="10" t="s">
        <v>129</v>
      </c>
      <c r="H1006" s="10" t="s">
        <v>2</v>
      </c>
      <c r="I1006" s="11">
        <v>3505.7971940685102</v>
      </c>
      <c r="J1006" s="11">
        <v>0</v>
      </c>
      <c r="K1006" s="11">
        <v>3505.7971940685102</v>
      </c>
      <c r="L1006" s="12">
        <v>0</v>
      </c>
      <c r="M1006" s="12">
        <v>0</v>
      </c>
      <c r="N1006" s="12">
        <v>3505.7971940685102</v>
      </c>
      <c r="O1006" s="70">
        <f>IF(Table1[[#This Row],[Overall amount]]=0,0,1)</f>
        <v>1</v>
      </c>
      <c r="P1006" s="70">
        <f>Table1[[#This Row],[Overall amount]]*Exchange_Rate</f>
        <v>3505.7971940685102</v>
      </c>
      <c r="Q1006" s="70">
        <f>Table1[[#This Row],[Overall (destination currency)]]*(1+Claims_Inflation)^((Revalue_at_date-Table1[[#This Row],[Loss date]])/365.25)</f>
        <v>5031</v>
      </c>
      <c r="R1006" s="70">
        <f>INT(Table1[[#This Row],[Reporting date]])-INT(Table1[[#This Row],[Loss date]])</f>
        <v>221</v>
      </c>
      <c r="S1006" s="69" t="s">
        <v>9</v>
      </c>
      <c r="T1006" s="70">
        <f>VLOOKUP(Table1[[#This Row],[Policy Year]],exposure_table,3,FALSE)</f>
        <v>601.98581780480015</v>
      </c>
      <c r="U1006" s="17">
        <f>IF(MONTH(Table1[[#This Row],[Reporting date]])&lt;Policy_Inception_Month,YEAR(Table1[[#This Row],[Reporting date]])-1,YEAR(Table1[[#This Row],[Reporting date]]))</f>
        <v>2008</v>
      </c>
      <c r="V1006" s="17">
        <f>Table1[[#This Row],[Reporting year]]-Table1[[#This Row],[Policy Year]]</f>
        <v>0</v>
      </c>
      <c r="W1006" s="17">
        <f>INT(Table1[[#This Row],[Reporting date]])-INT(Table1[[#This Row],[Loss date]])</f>
        <v>221</v>
      </c>
      <c r="X1006" s="17">
        <f>INT((YEAR(Table1[[#This Row],[Loss date]])*12+MONTH(Table1[[#This Row],[Loss date]])-Earliest_Month)/4)</f>
        <v>9</v>
      </c>
      <c r="Y1006" s="17">
        <f>INT((YEAR(Table1[[#This Row],[Reporting date]])*12+MONTH(Table1[[#This Row],[Reporting date]])-Earliest_Month)/4)</f>
        <v>11</v>
      </c>
      <c r="Z1006" s="17">
        <f>Table1[[#This Row],[Reporting third]]-Table1[[#This Row],[Policy third]]</f>
        <v>2</v>
      </c>
      <c r="AA1006" s="71">
        <f>IF(Table1[[#This Row],[Overall amount]]=0,"N/A",Table1[[#This Row],[Outstanding]]/Table1[[#This Row],[Overall amount]])</f>
        <v>0</v>
      </c>
      <c r="AB1006" s="17">
        <f>IF(MONTH(Table1[[#This Row],[Loss date]])&lt;Pol_Inc_Month_Shifted,YEAR(Table1[[#This Row],[Loss date]])-1,YEAR(Table1[[#This Row],[Loss date]]))</f>
        <v>2007</v>
      </c>
      <c r="AC1006" s="17">
        <f>IF(MONTH(Table1[[#This Row],[Reporting date]])&lt;Pol_Inc_Month_Shifted,YEAR(Table1[[#This Row],[Reporting date]])-1,YEAR(Table1[[#This Row],[Reporting date]]))</f>
        <v>2008</v>
      </c>
      <c r="AD1006" s="17">
        <f>Table1[[#This Row],[Reporting year (shifted)]]-Table1[[#This Row],[Policy Year (shifted)]]</f>
        <v>1</v>
      </c>
    </row>
    <row r="1007" spans="1:30" ht="13.9">
      <c r="A1007" s="8" t="s">
        <v>2777</v>
      </c>
      <c r="B1007" s="8" t="s">
        <v>1059</v>
      </c>
      <c r="C1007" s="8" t="s">
        <v>118</v>
      </c>
      <c r="D1007" s="9">
        <v>39137</v>
      </c>
      <c r="E1007" s="9">
        <v>39138</v>
      </c>
      <c r="F1007" s="17">
        <f>IF(MONTH(Table1[[#This Row],[Loss date]])&lt;Policy_Inception_Month,YEAR(Table1[[#This Row],[Loss date]])-1,YEAR(Table1[[#This Row],[Loss date]]))</f>
        <v>2006</v>
      </c>
      <c r="G1007" s="10" t="s">
        <v>129</v>
      </c>
      <c r="H1007" s="10" t="s">
        <v>2</v>
      </c>
      <c r="I1007" s="11">
        <v>2146.0401547426295</v>
      </c>
      <c r="J1007" s="11">
        <v>0</v>
      </c>
      <c r="K1007" s="11">
        <v>2146.0401547426295</v>
      </c>
      <c r="L1007" s="12">
        <v>0</v>
      </c>
      <c r="M1007" s="12">
        <v>0</v>
      </c>
      <c r="N1007" s="12">
        <v>2146.0401547426295</v>
      </c>
      <c r="O1007" s="70">
        <f>IF(Table1[[#This Row],[Overall amount]]=0,0,1)</f>
        <v>1</v>
      </c>
      <c r="P1007" s="70">
        <f>Table1[[#This Row],[Overall amount]]*Exchange_Rate</f>
        <v>2146.0401547426295</v>
      </c>
      <c r="Q1007" s="70">
        <f>Table1[[#This Row],[Overall (destination currency)]]*(1+Claims_Inflation)^((Revalue_at_date-Table1[[#This Row],[Loss date]])/365.25)</f>
        <v>3264.8040000000005</v>
      </c>
      <c r="R1007" s="70">
        <f>INT(Table1[[#This Row],[Reporting date]])-INT(Table1[[#This Row],[Loss date]])</f>
        <v>1</v>
      </c>
      <c r="S1007" s="69" t="s">
        <v>9</v>
      </c>
      <c r="T1007" s="70">
        <f>VLOOKUP(Table1[[#This Row],[Policy Year]],exposure_table,3,FALSE)</f>
        <v>483.32023209000977</v>
      </c>
      <c r="U1007" s="17">
        <f>IF(MONTH(Table1[[#This Row],[Reporting date]])&lt;Policy_Inception_Month,YEAR(Table1[[#This Row],[Reporting date]])-1,YEAR(Table1[[#This Row],[Reporting date]]))</f>
        <v>2006</v>
      </c>
      <c r="V1007" s="17">
        <f>Table1[[#This Row],[Reporting year]]-Table1[[#This Row],[Policy Year]]</f>
        <v>0</v>
      </c>
      <c r="W1007" s="17">
        <f>INT(Table1[[#This Row],[Reporting date]])-INT(Table1[[#This Row],[Loss date]])</f>
        <v>1</v>
      </c>
      <c r="X1007" s="17">
        <f>INT((YEAR(Table1[[#This Row],[Loss date]])*12+MONTH(Table1[[#This Row],[Loss date]])-Earliest_Month)/4)</f>
        <v>5</v>
      </c>
      <c r="Y1007" s="17">
        <f>INT((YEAR(Table1[[#This Row],[Reporting date]])*12+MONTH(Table1[[#This Row],[Reporting date]])-Earliest_Month)/4)</f>
        <v>5</v>
      </c>
      <c r="Z1007" s="17">
        <f>Table1[[#This Row],[Reporting third]]-Table1[[#This Row],[Policy third]]</f>
        <v>0</v>
      </c>
      <c r="AA1007" s="71">
        <f>IF(Table1[[#This Row],[Overall amount]]=0,"N/A",Table1[[#This Row],[Outstanding]]/Table1[[#This Row],[Overall amount]])</f>
        <v>0</v>
      </c>
      <c r="AB1007" s="17">
        <f>IF(MONTH(Table1[[#This Row],[Loss date]])&lt;Pol_Inc_Month_Shifted,YEAR(Table1[[#This Row],[Loss date]])-1,YEAR(Table1[[#This Row],[Loss date]]))</f>
        <v>2006</v>
      </c>
      <c r="AC1007" s="17">
        <f>IF(MONTH(Table1[[#This Row],[Reporting date]])&lt;Pol_Inc_Month_Shifted,YEAR(Table1[[#This Row],[Reporting date]])-1,YEAR(Table1[[#This Row],[Reporting date]]))</f>
        <v>2006</v>
      </c>
      <c r="AD1007" s="17">
        <f>Table1[[#This Row],[Reporting year (shifted)]]-Table1[[#This Row],[Policy Year (shifted)]]</f>
        <v>0</v>
      </c>
    </row>
    <row r="1008" spans="1:30" ht="13.9">
      <c r="A1008" s="8" t="s">
        <v>2778</v>
      </c>
      <c r="B1008" s="8" t="s">
        <v>1060</v>
      </c>
      <c r="C1008" s="8" t="s">
        <v>118</v>
      </c>
      <c r="D1008" s="9">
        <v>40230</v>
      </c>
      <c r="E1008" s="9">
        <v>40231</v>
      </c>
      <c r="F1008" s="17">
        <f>IF(MONTH(Table1[[#This Row],[Loss date]])&lt;Policy_Inception_Month,YEAR(Table1[[#This Row],[Loss date]])-1,YEAR(Table1[[#This Row],[Loss date]]))</f>
        <v>2009</v>
      </c>
      <c r="G1008" s="10" t="s">
        <v>128</v>
      </c>
      <c r="H1008" s="10" t="s">
        <v>2</v>
      </c>
      <c r="I1008" s="11">
        <v>2253.7396213650745</v>
      </c>
      <c r="J1008" s="11">
        <v>0</v>
      </c>
      <c r="K1008" s="11">
        <v>2253.7396213650745</v>
      </c>
      <c r="L1008" s="12">
        <v>0</v>
      </c>
      <c r="M1008" s="12">
        <v>0</v>
      </c>
      <c r="N1008" s="12">
        <v>2253.7396213650745</v>
      </c>
      <c r="O1008" s="70">
        <f>IF(Table1[[#This Row],[Overall amount]]=0,0,1)</f>
        <v>1</v>
      </c>
      <c r="P1008" s="70">
        <f>Table1[[#This Row],[Overall amount]]*Exchange_Rate</f>
        <v>2253.7396213650745</v>
      </c>
      <c r="Q1008" s="70">
        <f>Table1[[#This Row],[Overall (destination currency)]]*(1+Claims_Inflation)^((Revalue_at_date-Table1[[#This Row],[Loss date]])/365.25)</f>
        <v>2962.8840000000005</v>
      </c>
      <c r="R1008" s="70">
        <f>INT(Table1[[#This Row],[Reporting date]])-INT(Table1[[#This Row],[Loss date]])</f>
        <v>1</v>
      </c>
      <c r="S1008" s="69" t="s">
        <v>9</v>
      </c>
      <c r="T1008" s="70">
        <f>VLOOKUP(Table1[[#This Row],[Policy Year]],exposure_table,3,FALSE)</f>
        <v>760.22808576000011</v>
      </c>
      <c r="U1008" s="17">
        <f>IF(MONTH(Table1[[#This Row],[Reporting date]])&lt;Policy_Inception_Month,YEAR(Table1[[#This Row],[Reporting date]])-1,YEAR(Table1[[#This Row],[Reporting date]]))</f>
        <v>2009</v>
      </c>
      <c r="V1008" s="17">
        <f>Table1[[#This Row],[Reporting year]]-Table1[[#This Row],[Policy Year]]</f>
        <v>0</v>
      </c>
      <c r="W1008" s="17">
        <f>INT(Table1[[#This Row],[Reporting date]])-INT(Table1[[#This Row],[Loss date]])</f>
        <v>1</v>
      </c>
      <c r="X1008" s="17">
        <f>INT((YEAR(Table1[[#This Row],[Loss date]])*12+MONTH(Table1[[#This Row],[Loss date]])-Earliest_Month)/4)</f>
        <v>14</v>
      </c>
      <c r="Y1008" s="17">
        <f>INT((YEAR(Table1[[#This Row],[Reporting date]])*12+MONTH(Table1[[#This Row],[Reporting date]])-Earliest_Month)/4)</f>
        <v>14</v>
      </c>
      <c r="Z1008" s="17">
        <f>Table1[[#This Row],[Reporting third]]-Table1[[#This Row],[Policy third]]</f>
        <v>0</v>
      </c>
      <c r="AA1008" s="71">
        <f>IF(Table1[[#This Row],[Overall amount]]=0,"N/A",Table1[[#This Row],[Outstanding]]/Table1[[#This Row],[Overall amount]])</f>
        <v>0</v>
      </c>
      <c r="AB1008" s="17">
        <f>IF(MONTH(Table1[[#This Row],[Loss date]])&lt;Pol_Inc_Month_Shifted,YEAR(Table1[[#This Row],[Loss date]])-1,YEAR(Table1[[#This Row],[Loss date]]))</f>
        <v>2009</v>
      </c>
      <c r="AC1008" s="17">
        <f>IF(MONTH(Table1[[#This Row],[Reporting date]])&lt;Pol_Inc_Month_Shifted,YEAR(Table1[[#This Row],[Reporting date]])-1,YEAR(Table1[[#This Row],[Reporting date]]))</f>
        <v>2009</v>
      </c>
      <c r="AD1008" s="17">
        <f>Table1[[#This Row],[Reporting year (shifted)]]-Table1[[#This Row],[Policy Year (shifted)]]</f>
        <v>0</v>
      </c>
    </row>
    <row r="1009" spans="1:30" ht="13.9">
      <c r="A1009" s="8" t="s">
        <v>2779</v>
      </c>
      <c r="B1009" s="8" t="s">
        <v>1061</v>
      </c>
      <c r="C1009" s="8" t="s">
        <v>118</v>
      </c>
      <c r="D1009" s="9">
        <v>41275</v>
      </c>
      <c r="E1009" s="9">
        <v>41489</v>
      </c>
      <c r="F1009" s="17">
        <f>IF(MONTH(Table1[[#This Row],[Loss date]])&lt;Policy_Inception_Month,YEAR(Table1[[#This Row],[Loss date]])-1,YEAR(Table1[[#This Row],[Loss date]]))</f>
        <v>2012</v>
      </c>
      <c r="G1009" s="10" t="s">
        <v>129</v>
      </c>
      <c r="H1009" s="10" t="s">
        <v>2</v>
      </c>
      <c r="I1009" s="11">
        <v>6336.777741545754</v>
      </c>
      <c r="J1009" s="11">
        <v>0</v>
      </c>
      <c r="K1009" s="11">
        <v>6336.777741545754</v>
      </c>
      <c r="L1009" s="12">
        <v>0</v>
      </c>
      <c r="M1009" s="12">
        <v>0</v>
      </c>
      <c r="N1009" s="12">
        <v>6336.777741545754</v>
      </c>
      <c r="O1009" s="70">
        <f>IF(Table1[[#This Row],[Overall amount]]=0,0,1)</f>
        <v>1</v>
      </c>
      <c r="P1009" s="70">
        <f>Table1[[#This Row],[Overall amount]]*Exchange_Rate</f>
        <v>6336.777741545754</v>
      </c>
      <c r="Q1009" s="70">
        <f>Table1[[#This Row],[Overall (destination currency)]]*(1+Claims_Inflation)^((Revalue_at_date-Table1[[#This Row],[Loss date]])/365.25)</f>
        <v>7245.2880000000005</v>
      </c>
      <c r="R1009" s="70">
        <f>INT(Table1[[#This Row],[Reporting date]])-INT(Table1[[#This Row],[Loss date]])</f>
        <v>214</v>
      </c>
      <c r="S1009" s="69" t="s">
        <v>9</v>
      </c>
      <c r="T1009" s="70">
        <f>VLOOKUP(Table1[[#This Row],[Policy Year]],exposure_table,3,FALSE)</f>
        <v>1057.54</v>
      </c>
      <c r="U1009" s="17">
        <f>IF(MONTH(Table1[[#This Row],[Reporting date]])&lt;Policy_Inception_Month,YEAR(Table1[[#This Row],[Reporting date]])-1,YEAR(Table1[[#This Row],[Reporting date]]))</f>
        <v>2013</v>
      </c>
      <c r="V1009" s="17">
        <f>Table1[[#This Row],[Reporting year]]-Table1[[#This Row],[Policy Year]]</f>
        <v>1</v>
      </c>
      <c r="W1009" s="17">
        <f>INT(Table1[[#This Row],[Reporting date]])-INT(Table1[[#This Row],[Loss date]])</f>
        <v>214</v>
      </c>
      <c r="X1009" s="17">
        <f>INT((YEAR(Table1[[#This Row],[Loss date]])*12+MONTH(Table1[[#This Row],[Loss date]])-Earliest_Month)/4)</f>
        <v>23</v>
      </c>
      <c r="Y1009" s="17">
        <f>INT((YEAR(Table1[[#This Row],[Reporting date]])*12+MONTH(Table1[[#This Row],[Reporting date]])-Earliest_Month)/4)</f>
        <v>25</v>
      </c>
      <c r="Z1009" s="17">
        <f>Table1[[#This Row],[Reporting third]]-Table1[[#This Row],[Policy third]]</f>
        <v>2</v>
      </c>
      <c r="AA1009" s="71">
        <f>IF(Table1[[#This Row],[Overall amount]]=0,"N/A",Table1[[#This Row],[Outstanding]]/Table1[[#This Row],[Overall amount]])</f>
        <v>0</v>
      </c>
      <c r="AB1009" s="17">
        <f>IF(MONTH(Table1[[#This Row],[Loss date]])&lt;Pol_Inc_Month_Shifted,YEAR(Table1[[#This Row],[Loss date]])-1,YEAR(Table1[[#This Row],[Loss date]]))</f>
        <v>2012</v>
      </c>
      <c r="AC1009" s="17">
        <f>IF(MONTH(Table1[[#This Row],[Reporting date]])&lt;Pol_Inc_Month_Shifted,YEAR(Table1[[#This Row],[Reporting date]])-1,YEAR(Table1[[#This Row],[Reporting date]]))</f>
        <v>2012</v>
      </c>
      <c r="AD1009" s="17">
        <f>Table1[[#This Row],[Reporting year (shifted)]]-Table1[[#This Row],[Policy Year (shifted)]]</f>
        <v>0</v>
      </c>
    </row>
    <row r="1010" spans="1:30" ht="13.9">
      <c r="A1010" s="8" t="s">
        <v>2780</v>
      </c>
      <c r="B1010" s="8" t="s">
        <v>1062</v>
      </c>
      <c r="C1010" s="8" t="s">
        <v>123</v>
      </c>
      <c r="D1010" s="9">
        <v>40242</v>
      </c>
      <c r="E1010" s="9">
        <v>41299</v>
      </c>
      <c r="F1010" s="17">
        <f>IF(MONTH(Table1[[#This Row],[Loss date]])&lt;Policy_Inception_Month,YEAR(Table1[[#This Row],[Loss date]])-1,YEAR(Table1[[#This Row],[Loss date]]))</f>
        <v>2009</v>
      </c>
      <c r="G1010" s="10" t="s">
        <v>126</v>
      </c>
      <c r="H1010" s="10" t="s">
        <v>2</v>
      </c>
      <c r="I1010" s="11">
        <v>19288.000012056582</v>
      </c>
      <c r="J1010" s="11">
        <v>0</v>
      </c>
      <c r="K1010" s="11">
        <v>19288.000012056582</v>
      </c>
      <c r="L1010" s="12">
        <v>0</v>
      </c>
      <c r="M1010" s="12">
        <v>0</v>
      </c>
      <c r="N1010" s="12">
        <v>19288.000012056582</v>
      </c>
      <c r="O1010" s="70">
        <f>IF(Table1[[#This Row],[Overall amount]]=0,0,1)</f>
        <v>1</v>
      </c>
      <c r="P1010" s="70">
        <f>Table1[[#This Row],[Overall amount]]*Exchange_Rate</f>
        <v>19288.000012056582</v>
      </c>
      <c r="Q1010" s="70">
        <f>Table1[[#This Row],[Overall (destination currency)]]*(1+Claims_Inflation)^((Revalue_at_date-Table1[[#This Row],[Loss date]])/365.25)</f>
        <v>25316.400000000001</v>
      </c>
      <c r="R1010" s="70">
        <f>INT(Table1[[#This Row],[Reporting date]])-INT(Table1[[#This Row],[Loss date]])</f>
        <v>1057</v>
      </c>
      <c r="S1010" s="69" t="s">
        <v>9</v>
      </c>
      <c r="T1010" s="70">
        <f>VLOOKUP(Table1[[#This Row],[Policy Year]],exposure_table,3,FALSE)</f>
        <v>760.22808576000011</v>
      </c>
      <c r="U1010" s="17">
        <f>IF(MONTH(Table1[[#This Row],[Reporting date]])&lt;Policy_Inception_Month,YEAR(Table1[[#This Row],[Reporting date]])-1,YEAR(Table1[[#This Row],[Reporting date]]))</f>
        <v>2012</v>
      </c>
      <c r="V1010" s="17">
        <f>Table1[[#This Row],[Reporting year]]-Table1[[#This Row],[Policy Year]]</f>
        <v>3</v>
      </c>
      <c r="W1010" s="17">
        <f>INT(Table1[[#This Row],[Reporting date]])-INT(Table1[[#This Row],[Loss date]])</f>
        <v>1057</v>
      </c>
      <c r="X1010" s="17">
        <f>INT((YEAR(Table1[[#This Row],[Loss date]])*12+MONTH(Table1[[#This Row],[Loss date]])-Earliest_Month)/4)</f>
        <v>14</v>
      </c>
      <c r="Y1010" s="17">
        <f>INT((YEAR(Table1[[#This Row],[Reporting date]])*12+MONTH(Table1[[#This Row],[Reporting date]])-Earliest_Month)/4)</f>
        <v>23</v>
      </c>
      <c r="Z1010" s="17">
        <f>Table1[[#This Row],[Reporting third]]-Table1[[#This Row],[Policy third]]</f>
        <v>9</v>
      </c>
      <c r="AA1010" s="71">
        <f>IF(Table1[[#This Row],[Overall amount]]=0,"N/A",Table1[[#This Row],[Outstanding]]/Table1[[#This Row],[Overall amount]])</f>
        <v>0</v>
      </c>
      <c r="AB1010" s="17">
        <f>IF(MONTH(Table1[[#This Row],[Loss date]])&lt;Pol_Inc_Month_Shifted,YEAR(Table1[[#This Row],[Loss date]])-1,YEAR(Table1[[#This Row],[Loss date]]))</f>
        <v>2009</v>
      </c>
      <c r="AC1010" s="17">
        <f>IF(MONTH(Table1[[#This Row],[Reporting date]])&lt;Pol_Inc_Month_Shifted,YEAR(Table1[[#This Row],[Reporting date]])-1,YEAR(Table1[[#This Row],[Reporting date]]))</f>
        <v>2012</v>
      </c>
      <c r="AD1010" s="17">
        <f>Table1[[#This Row],[Reporting year (shifted)]]-Table1[[#This Row],[Policy Year (shifted)]]</f>
        <v>3</v>
      </c>
    </row>
    <row r="1011" spans="1:30" ht="13.9">
      <c r="A1011" s="8" t="s">
        <v>2781</v>
      </c>
      <c r="B1011" s="8" t="s">
        <v>1063</v>
      </c>
      <c r="C1011" s="8" t="s">
        <v>123</v>
      </c>
      <c r="D1011" s="9">
        <v>40748</v>
      </c>
      <c r="E1011" s="9">
        <v>41180</v>
      </c>
      <c r="F1011" s="17">
        <f>IF(MONTH(Table1[[#This Row],[Loss date]])&lt;Policy_Inception_Month,YEAR(Table1[[#This Row],[Loss date]])-1,YEAR(Table1[[#This Row],[Loss date]]))</f>
        <v>2011</v>
      </c>
      <c r="G1011" s="10" t="s">
        <v>124</v>
      </c>
      <c r="H1011" s="10" t="s">
        <v>2</v>
      </c>
      <c r="I1011" s="11">
        <v>23467.741952562239</v>
      </c>
      <c r="J1011" s="11">
        <v>0</v>
      </c>
      <c r="K1011" s="11">
        <v>23467.741952562239</v>
      </c>
      <c r="L1011" s="12">
        <v>0</v>
      </c>
      <c r="M1011" s="12">
        <v>0</v>
      </c>
      <c r="N1011" s="12">
        <v>23467.741952562239</v>
      </c>
      <c r="O1011" s="70">
        <f>IF(Table1[[#This Row],[Overall amount]]=0,0,1)</f>
        <v>1</v>
      </c>
      <c r="P1011" s="70">
        <f>Table1[[#This Row],[Overall amount]]*Exchange_Rate</f>
        <v>23467.741952562239</v>
      </c>
      <c r="Q1011" s="70">
        <f>Table1[[#This Row],[Overall (destination currency)]]*(1+Claims_Inflation)^((Revalue_at_date-Table1[[#This Row],[Loss date]])/365.25)</f>
        <v>28789.319999999996</v>
      </c>
      <c r="R1011" s="70">
        <f>INT(Table1[[#This Row],[Reporting date]])-INT(Table1[[#This Row],[Loss date]])</f>
        <v>432</v>
      </c>
      <c r="S1011" s="69" t="s">
        <v>9</v>
      </c>
      <c r="T1011" s="70">
        <f>VLOOKUP(Table1[[#This Row],[Policy Year]],exposure_table,3,FALSE)</f>
        <v>870.52680000000009</v>
      </c>
      <c r="U1011" s="17">
        <f>IF(MONTH(Table1[[#This Row],[Reporting date]])&lt;Policy_Inception_Month,YEAR(Table1[[#This Row],[Reporting date]])-1,YEAR(Table1[[#This Row],[Reporting date]]))</f>
        <v>2012</v>
      </c>
      <c r="V1011" s="17">
        <f>Table1[[#This Row],[Reporting year]]-Table1[[#This Row],[Policy Year]]</f>
        <v>1</v>
      </c>
      <c r="W1011" s="17">
        <f>INT(Table1[[#This Row],[Reporting date]])-INT(Table1[[#This Row],[Loss date]])</f>
        <v>432</v>
      </c>
      <c r="X1011" s="17">
        <f>INT((YEAR(Table1[[#This Row],[Loss date]])*12+MONTH(Table1[[#This Row],[Loss date]])-Earliest_Month)/4)</f>
        <v>18</v>
      </c>
      <c r="Y1011" s="17">
        <f>INT((YEAR(Table1[[#This Row],[Reporting date]])*12+MONTH(Table1[[#This Row],[Reporting date]])-Earliest_Month)/4)</f>
        <v>22</v>
      </c>
      <c r="Z1011" s="17">
        <f>Table1[[#This Row],[Reporting third]]-Table1[[#This Row],[Policy third]]</f>
        <v>4</v>
      </c>
      <c r="AA1011" s="71">
        <f>IF(Table1[[#This Row],[Overall amount]]=0,"N/A",Table1[[#This Row],[Outstanding]]/Table1[[#This Row],[Overall amount]])</f>
        <v>0</v>
      </c>
      <c r="AB1011" s="17">
        <f>IF(MONTH(Table1[[#This Row],[Loss date]])&lt;Pol_Inc_Month_Shifted,YEAR(Table1[[#This Row],[Loss date]])-1,YEAR(Table1[[#This Row],[Loss date]]))</f>
        <v>2010</v>
      </c>
      <c r="AC1011" s="17">
        <f>IF(MONTH(Table1[[#This Row],[Reporting date]])&lt;Pol_Inc_Month_Shifted,YEAR(Table1[[#This Row],[Reporting date]])-1,YEAR(Table1[[#This Row],[Reporting date]]))</f>
        <v>2011</v>
      </c>
      <c r="AD1011" s="17">
        <f>Table1[[#This Row],[Reporting year (shifted)]]-Table1[[#This Row],[Policy Year (shifted)]]</f>
        <v>1</v>
      </c>
    </row>
    <row r="1012" spans="1:30" ht="13.9">
      <c r="A1012" s="8" t="s">
        <v>2782</v>
      </c>
      <c r="B1012" s="8" t="s">
        <v>1064</v>
      </c>
      <c r="C1012" s="8" t="s">
        <v>123</v>
      </c>
      <c r="D1012" s="9">
        <v>40572</v>
      </c>
      <c r="E1012" s="9">
        <v>41128</v>
      </c>
      <c r="F1012" s="17">
        <f>IF(MONTH(Table1[[#This Row],[Loss date]])&lt;Policy_Inception_Month,YEAR(Table1[[#This Row],[Loss date]])-1,YEAR(Table1[[#This Row],[Loss date]]))</f>
        <v>2010</v>
      </c>
      <c r="G1012" s="10" t="s">
        <v>125</v>
      </c>
      <c r="H1012" s="10" t="s">
        <v>2</v>
      </c>
      <c r="I1012" s="11">
        <v>10424.697107494814</v>
      </c>
      <c r="J1012" s="11">
        <v>0</v>
      </c>
      <c r="K1012" s="11">
        <v>10424.697107494814</v>
      </c>
      <c r="L1012" s="12">
        <v>0</v>
      </c>
      <c r="M1012" s="12">
        <v>0</v>
      </c>
      <c r="N1012" s="12">
        <v>10424.697107494814</v>
      </c>
      <c r="O1012" s="70">
        <f>IF(Table1[[#This Row],[Overall amount]]=0,0,1)</f>
        <v>1</v>
      </c>
      <c r="P1012" s="70">
        <f>Table1[[#This Row],[Overall amount]]*Exchange_Rate</f>
        <v>10424.697107494814</v>
      </c>
      <c r="Q1012" s="70">
        <f>Table1[[#This Row],[Overall (destination currency)]]*(1+Claims_Inflation)^((Revalue_at_date-Table1[[#This Row],[Loss date]])/365.25)</f>
        <v>13092.840000000002</v>
      </c>
      <c r="R1012" s="70">
        <f>INT(Table1[[#This Row],[Reporting date]])-INT(Table1[[#This Row],[Loss date]])</f>
        <v>556</v>
      </c>
      <c r="S1012" s="69" t="s">
        <v>9</v>
      </c>
      <c r="T1012" s="70">
        <f>VLOOKUP(Table1[[#This Row],[Policy Year]],exposure_table,3,FALSE)</f>
        <v>837.11513600000012</v>
      </c>
      <c r="U1012" s="17">
        <f>IF(MONTH(Table1[[#This Row],[Reporting date]])&lt;Policy_Inception_Month,YEAR(Table1[[#This Row],[Reporting date]])-1,YEAR(Table1[[#This Row],[Reporting date]]))</f>
        <v>2012</v>
      </c>
      <c r="V1012" s="17">
        <f>Table1[[#This Row],[Reporting year]]-Table1[[#This Row],[Policy Year]]</f>
        <v>2</v>
      </c>
      <c r="W1012" s="17">
        <f>INT(Table1[[#This Row],[Reporting date]])-INT(Table1[[#This Row],[Loss date]])</f>
        <v>556</v>
      </c>
      <c r="X1012" s="17">
        <f>INT((YEAR(Table1[[#This Row],[Loss date]])*12+MONTH(Table1[[#This Row],[Loss date]])-Earliest_Month)/4)</f>
        <v>17</v>
      </c>
      <c r="Y1012" s="17">
        <f>INT((YEAR(Table1[[#This Row],[Reporting date]])*12+MONTH(Table1[[#This Row],[Reporting date]])-Earliest_Month)/4)</f>
        <v>22</v>
      </c>
      <c r="Z1012" s="17">
        <f>Table1[[#This Row],[Reporting third]]-Table1[[#This Row],[Policy third]]</f>
        <v>5</v>
      </c>
      <c r="AA1012" s="71">
        <f>IF(Table1[[#This Row],[Overall amount]]=0,"N/A",Table1[[#This Row],[Outstanding]]/Table1[[#This Row],[Overall amount]])</f>
        <v>0</v>
      </c>
      <c r="AB1012" s="17">
        <f>IF(MONTH(Table1[[#This Row],[Loss date]])&lt;Pol_Inc_Month_Shifted,YEAR(Table1[[#This Row],[Loss date]])-1,YEAR(Table1[[#This Row],[Loss date]]))</f>
        <v>2010</v>
      </c>
      <c r="AC1012" s="17">
        <f>IF(MONTH(Table1[[#This Row],[Reporting date]])&lt;Pol_Inc_Month_Shifted,YEAR(Table1[[#This Row],[Reporting date]])-1,YEAR(Table1[[#This Row],[Reporting date]]))</f>
        <v>2011</v>
      </c>
      <c r="AD1012" s="17">
        <f>Table1[[#This Row],[Reporting year (shifted)]]-Table1[[#This Row],[Policy Year (shifted)]]</f>
        <v>1</v>
      </c>
    </row>
    <row r="1013" spans="1:30" ht="13.9">
      <c r="A1013" s="8" t="s">
        <v>2783</v>
      </c>
      <c r="B1013" s="8" t="s">
        <v>1065</v>
      </c>
      <c r="C1013" s="8" t="s">
        <v>123</v>
      </c>
      <c r="D1013" s="9">
        <v>40567</v>
      </c>
      <c r="E1013" s="9">
        <v>41777</v>
      </c>
      <c r="F1013" s="17">
        <f>IF(MONTH(Table1[[#This Row],[Loss date]])&lt;Policy_Inception_Month,YEAR(Table1[[#This Row],[Loss date]])-1,YEAR(Table1[[#This Row],[Loss date]]))</f>
        <v>2010</v>
      </c>
      <c r="G1013" s="10" t="s">
        <v>148</v>
      </c>
      <c r="H1013" s="10" t="s">
        <v>2</v>
      </c>
      <c r="I1013" s="11">
        <v>2651.5306077720684</v>
      </c>
      <c r="J1013" s="11">
        <v>40935.927888733117</v>
      </c>
      <c r="K1013" s="11">
        <v>43587.458496505184</v>
      </c>
      <c r="L1013" s="12">
        <v>286.44551038229037</v>
      </c>
      <c r="M1013" s="12">
        <v>0</v>
      </c>
      <c r="N1013" s="12">
        <v>43873.904006887475</v>
      </c>
      <c r="O1013" s="70">
        <f>IF(Table1[[#This Row],[Overall amount]]=0,0,1)</f>
        <v>1</v>
      </c>
      <c r="P1013" s="70">
        <f>Table1[[#This Row],[Overall amount]]*Exchange_Rate</f>
        <v>43873.904006887475</v>
      </c>
      <c r="Q1013" s="70">
        <f>Table1[[#This Row],[Overall (destination currency)]]*(1+Claims_Inflation)^((Revalue_at_date-Table1[[#This Row],[Loss date]])/365.25)</f>
        <v>55139.999999999993</v>
      </c>
      <c r="R1013" s="70">
        <f>INT(Table1[[#This Row],[Reporting date]])-INT(Table1[[#This Row],[Loss date]])</f>
        <v>1210</v>
      </c>
      <c r="S1013" s="69" t="s">
        <v>16</v>
      </c>
      <c r="T1013" s="70">
        <f>VLOOKUP(Table1[[#This Row],[Policy Year]],exposure_table,3,FALSE)</f>
        <v>837.11513600000012</v>
      </c>
      <c r="U1013" s="17">
        <f>IF(MONTH(Table1[[#This Row],[Reporting date]])&lt;Policy_Inception_Month,YEAR(Table1[[#This Row],[Reporting date]])-1,YEAR(Table1[[#This Row],[Reporting date]]))</f>
        <v>2014</v>
      </c>
      <c r="V1013" s="17">
        <f>Table1[[#This Row],[Reporting year]]-Table1[[#This Row],[Policy Year]]</f>
        <v>4</v>
      </c>
      <c r="W1013" s="17">
        <f>INT(Table1[[#This Row],[Reporting date]])-INT(Table1[[#This Row],[Loss date]])</f>
        <v>1210</v>
      </c>
      <c r="X1013" s="17">
        <f>INT((YEAR(Table1[[#This Row],[Loss date]])*12+MONTH(Table1[[#This Row],[Loss date]])-Earliest_Month)/4)</f>
        <v>17</v>
      </c>
      <c r="Y1013" s="17">
        <f>INT((YEAR(Table1[[#This Row],[Reporting date]])*12+MONTH(Table1[[#This Row],[Reporting date]])-Earliest_Month)/4)</f>
        <v>27</v>
      </c>
      <c r="Z1013" s="17">
        <f>Table1[[#This Row],[Reporting third]]-Table1[[#This Row],[Policy third]]</f>
        <v>10</v>
      </c>
      <c r="AA1013" s="71">
        <f>IF(Table1[[#This Row],[Overall amount]]=0,"N/A",Table1[[#This Row],[Outstanding]]/Table1[[#This Row],[Overall amount]])</f>
        <v>0.93303590859630037</v>
      </c>
      <c r="AB1013" s="17">
        <f>IF(MONTH(Table1[[#This Row],[Loss date]])&lt;Pol_Inc_Month_Shifted,YEAR(Table1[[#This Row],[Loss date]])-1,YEAR(Table1[[#This Row],[Loss date]]))</f>
        <v>2010</v>
      </c>
      <c r="AC1013" s="17">
        <f>IF(MONTH(Table1[[#This Row],[Reporting date]])&lt;Pol_Inc_Month_Shifted,YEAR(Table1[[#This Row],[Reporting date]])-1,YEAR(Table1[[#This Row],[Reporting date]]))</f>
        <v>2013</v>
      </c>
      <c r="AD1013" s="17">
        <f>Table1[[#This Row],[Reporting year (shifted)]]-Table1[[#This Row],[Policy Year (shifted)]]</f>
        <v>3</v>
      </c>
    </row>
    <row r="1014" spans="1:30" ht="13.9">
      <c r="A1014" s="8" t="s">
        <v>2784</v>
      </c>
      <c r="B1014" s="8" t="s">
        <v>1066</v>
      </c>
      <c r="C1014" s="8" t="s">
        <v>123</v>
      </c>
      <c r="D1014" s="9">
        <v>40560</v>
      </c>
      <c r="E1014" s="9">
        <v>41204</v>
      </c>
      <c r="F1014" s="17">
        <f>IF(MONTH(Table1[[#This Row],[Loss date]])&lt;Policy_Inception_Month,YEAR(Table1[[#This Row],[Loss date]])-1,YEAR(Table1[[#This Row],[Loss date]]))</f>
        <v>2010</v>
      </c>
      <c r="G1014" s="10" t="s">
        <v>125</v>
      </c>
      <c r="H1014" s="10" t="s">
        <v>2</v>
      </c>
      <c r="I1014" s="11">
        <v>13395.505454786322</v>
      </c>
      <c r="J1014" s="11">
        <v>0</v>
      </c>
      <c r="K1014" s="11">
        <v>13395.505454786322</v>
      </c>
      <c r="L1014" s="12">
        <v>0</v>
      </c>
      <c r="M1014" s="12">
        <v>342.04208115590683</v>
      </c>
      <c r="N1014" s="12">
        <v>13053.463373630415</v>
      </c>
      <c r="O1014" s="70">
        <f>IF(Table1[[#This Row],[Overall amount]]=0,0,1)</f>
        <v>1</v>
      </c>
      <c r="P1014" s="70">
        <f>Table1[[#This Row],[Overall amount]]*Exchange_Rate</f>
        <v>13053.463373630415</v>
      </c>
      <c r="Q1014" s="70">
        <f>Table1[[#This Row],[Overall (destination currency)]]*(1+Claims_Inflation)^((Revalue_at_date-Table1[[#This Row],[Loss date]])/365.25)</f>
        <v>16420.724999999999</v>
      </c>
      <c r="R1014" s="70">
        <f>INT(Table1[[#This Row],[Reporting date]])-INT(Table1[[#This Row],[Loss date]])</f>
        <v>644</v>
      </c>
      <c r="S1014" s="69" t="s">
        <v>9</v>
      </c>
      <c r="T1014" s="70">
        <f>VLOOKUP(Table1[[#This Row],[Policy Year]],exposure_table,3,FALSE)</f>
        <v>837.11513600000012</v>
      </c>
      <c r="U1014" s="17">
        <f>IF(MONTH(Table1[[#This Row],[Reporting date]])&lt;Policy_Inception_Month,YEAR(Table1[[#This Row],[Reporting date]])-1,YEAR(Table1[[#This Row],[Reporting date]]))</f>
        <v>2012</v>
      </c>
      <c r="V1014" s="17">
        <f>Table1[[#This Row],[Reporting year]]-Table1[[#This Row],[Policy Year]]</f>
        <v>2</v>
      </c>
      <c r="W1014" s="17">
        <f>INT(Table1[[#This Row],[Reporting date]])-INT(Table1[[#This Row],[Loss date]])</f>
        <v>644</v>
      </c>
      <c r="X1014" s="17">
        <f>INT((YEAR(Table1[[#This Row],[Loss date]])*12+MONTH(Table1[[#This Row],[Loss date]])-Earliest_Month)/4)</f>
        <v>17</v>
      </c>
      <c r="Y1014" s="17">
        <f>INT((YEAR(Table1[[#This Row],[Reporting date]])*12+MONTH(Table1[[#This Row],[Reporting date]])-Earliest_Month)/4)</f>
        <v>22</v>
      </c>
      <c r="Z1014" s="17">
        <f>Table1[[#This Row],[Reporting third]]-Table1[[#This Row],[Policy third]]</f>
        <v>5</v>
      </c>
      <c r="AA1014" s="71">
        <f>IF(Table1[[#This Row],[Overall amount]]=0,"N/A",Table1[[#This Row],[Outstanding]]/Table1[[#This Row],[Overall amount]])</f>
        <v>0</v>
      </c>
      <c r="AB1014" s="17">
        <f>IF(MONTH(Table1[[#This Row],[Loss date]])&lt;Pol_Inc_Month_Shifted,YEAR(Table1[[#This Row],[Loss date]])-1,YEAR(Table1[[#This Row],[Loss date]]))</f>
        <v>2010</v>
      </c>
      <c r="AC1014" s="17">
        <f>IF(MONTH(Table1[[#This Row],[Reporting date]])&lt;Pol_Inc_Month_Shifted,YEAR(Table1[[#This Row],[Reporting date]])-1,YEAR(Table1[[#This Row],[Reporting date]]))</f>
        <v>2011</v>
      </c>
      <c r="AD1014" s="17">
        <f>Table1[[#This Row],[Reporting year (shifted)]]-Table1[[#This Row],[Policy Year (shifted)]]</f>
        <v>1</v>
      </c>
    </row>
    <row r="1015" spans="1:30" ht="13.9">
      <c r="A1015" s="8" t="s">
        <v>2785</v>
      </c>
      <c r="B1015" s="8" t="s">
        <v>1067</v>
      </c>
      <c r="C1015" s="8" t="s">
        <v>123</v>
      </c>
      <c r="D1015" s="9">
        <v>40748</v>
      </c>
      <c r="E1015" s="9">
        <v>41159</v>
      </c>
      <c r="F1015" s="17">
        <f>IF(MONTH(Table1[[#This Row],[Loss date]])&lt;Policy_Inception_Month,YEAR(Table1[[#This Row],[Loss date]])-1,YEAR(Table1[[#This Row],[Loss date]]))</f>
        <v>2011</v>
      </c>
      <c r="G1015" s="10" t="s">
        <v>125</v>
      </c>
      <c r="H1015" s="10" t="s">
        <v>2</v>
      </c>
      <c r="I1015" s="11">
        <v>244.54633127036945</v>
      </c>
      <c r="J1015" s="11">
        <v>0</v>
      </c>
      <c r="K1015" s="11">
        <v>244.54633127036945</v>
      </c>
      <c r="L1015" s="12">
        <v>0</v>
      </c>
      <c r="M1015" s="12">
        <v>0</v>
      </c>
      <c r="N1015" s="12">
        <v>244.54633127036945</v>
      </c>
      <c r="O1015" s="70">
        <f>IF(Table1[[#This Row],[Overall amount]]=0,0,1)</f>
        <v>1</v>
      </c>
      <c r="P1015" s="70">
        <f>Table1[[#This Row],[Overall amount]]*Exchange_Rate</f>
        <v>244.54633127036945</v>
      </c>
      <c r="Q1015" s="70">
        <f>Table1[[#This Row],[Overall (destination currency)]]*(1+Claims_Inflation)^((Revalue_at_date-Table1[[#This Row],[Loss date]])/365.25)</f>
        <v>300</v>
      </c>
      <c r="R1015" s="70">
        <f>INT(Table1[[#This Row],[Reporting date]])-INT(Table1[[#This Row],[Loss date]])</f>
        <v>411</v>
      </c>
      <c r="S1015" s="69" t="s">
        <v>9</v>
      </c>
      <c r="T1015" s="70">
        <f>VLOOKUP(Table1[[#This Row],[Policy Year]],exposure_table,3,FALSE)</f>
        <v>870.52680000000009</v>
      </c>
      <c r="U1015" s="17">
        <f>IF(MONTH(Table1[[#This Row],[Reporting date]])&lt;Policy_Inception_Month,YEAR(Table1[[#This Row],[Reporting date]])-1,YEAR(Table1[[#This Row],[Reporting date]]))</f>
        <v>2012</v>
      </c>
      <c r="V1015" s="17">
        <f>Table1[[#This Row],[Reporting year]]-Table1[[#This Row],[Policy Year]]</f>
        <v>1</v>
      </c>
      <c r="W1015" s="17">
        <f>INT(Table1[[#This Row],[Reporting date]])-INT(Table1[[#This Row],[Loss date]])</f>
        <v>411</v>
      </c>
      <c r="X1015" s="17">
        <f>INT((YEAR(Table1[[#This Row],[Loss date]])*12+MONTH(Table1[[#This Row],[Loss date]])-Earliest_Month)/4)</f>
        <v>18</v>
      </c>
      <c r="Y1015" s="17">
        <f>INT((YEAR(Table1[[#This Row],[Reporting date]])*12+MONTH(Table1[[#This Row],[Reporting date]])-Earliest_Month)/4)</f>
        <v>22</v>
      </c>
      <c r="Z1015" s="17">
        <f>Table1[[#This Row],[Reporting third]]-Table1[[#This Row],[Policy third]]</f>
        <v>4</v>
      </c>
      <c r="AA1015" s="71">
        <f>IF(Table1[[#This Row],[Overall amount]]=0,"N/A",Table1[[#This Row],[Outstanding]]/Table1[[#This Row],[Overall amount]])</f>
        <v>0</v>
      </c>
      <c r="AB1015" s="17">
        <f>IF(MONTH(Table1[[#This Row],[Loss date]])&lt;Pol_Inc_Month_Shifted,YEAR(Table1[[#This Row],[Loss date]])-1,YEAR(Table1[[#This Row],[Loss date]]))</f>
        <v>2010</v>
      </c>
      <c r="AC1015" s="17">
        <f>IF(MONTH(Table1[[#This Row],[Reporting date]])&lt;Pol_Inc_Month_Shifted,YEAR(Table1[[#This Row],[Reporting date]])-1,YEAR(Table1[[#This Row],[Reporting date]]))</f>
        <v>2011</v>
      </c>
      <c r="AD1015" s="17">
        <f>Table1[[#This Row],[Reporting year (shifted)]]-Table1[[#This Row],[Policy Year (shifted)]]</f>
        <v>1</v>
      </c>
    </row>
    <row r="1016" spans="1:30" ht="13.9">
      <c r="A1016" s="8" t="s">
        <v>2786</v>
      </c>
      <c r="B1016" s="8" t="s">
        <v>1068</v>
      </c>
      <c r="C1016" s="8" t="s">
        <v>123</v>
      </c>
      <c r="D1016" s="9">
        <v>41160</v>
      </c>
      <c r="E1016" s="9">
        <v>41161</v>
      </c>
      <c r="F1016" s="17">
        <f>IF(MONTH(Table1[[#This Row],[Loss date]])&lt;Policy_Inception_Month,YEAR(Table1[[#This Row],[Loss date]])-1,YEAR(Table1[[#This Row],[Loss date]]))</f>
        <v>2012</v>
      </c>
      <c r="G1016" s="10" t="s">
        <v>126</v>
      </c>
      <c r="H1016" s="10" t="s">
        <v>2</v>
      </c>
      <c r="I1016" s="11">
        <v>0</v>
      </c>
      <c r="J1016" s="11">
        <v>0</v>
      </c>
      <c r="K1016" s="11">
        <v>0</v>
      </c>
      <c r="L1016" s="12">
        <v>0</v>
      </c>
      <c r="M1016" s="12">
        <v>0</v>
      </c>
      <c r="N1016" s="12">
        <v>0</v>
      </c>
      <c r="O1016" s="70">
        <f>IF(Table1[[#This Row],[Overall amount]]=0,0,1)</f>
        <v>0</v>
      </c>
      <c r="P1016" s="70">
        <f>Table1[[#This Row],[Overall amount]]*Exchange_Rate</f>
        <v>0</v>
      </c>
      <c r="Q1016" s="70">
        <f>Table1[[#This Row],[Overall (destination currency)]]*(1+Claims_Inflation)^((Revalue_at_date-Table1[[#This Row],[Loss date]])/365.25)</f>
        <v>0</v>
      </c>
      <c r="R1016" s="70">
        <f>INT(Table1[[#This Row],[Reporting date]])-INT(Table1[[#This Row],[Loss date]])</f>
        <v>1</v>
      </c>
      <c r="S1016" s="69" t="s">
        <v>9</v>
      </c>
      <c r="T1016" s="70">
        <f>VLOOKUP(Table1[[#This Row],[Policy Year]],exposure_table,3,FALSE)</f>
        <v>1057.54</v>
      </c>
      <c r="U1016" s="17">
        <f>IF(MONTH(Table1[[#This Row],[Reporting date]])&lt;Policy_Inception_Month,YEAR(Table1[[#This Row],[Reporting date]])-1,YEAR(Table1[[#This Row],[Reporting date]]))</f>
        <v>2012</v>
      </c>
      <c r="V1016" s="17">
        <f>Table1[[#This Row],[Reporting year]]-Table1[[#This Row],[Policy Year]]</f>
        <v>0</v>
      </c>
      <c r="W1016" s="17">
        <f>INT(Table1[[#This Row],[Reporting date]])-INT(Table1[[#This Row],[Loss date]])</f>
        <v>1</v>
      </c>
      <c r="X1016" s="17">
        <f>INT((YEAR(Table1[[#This Row],[Loss date]])*12+MONTH(Table1[[#This Row],[Loss date]])-Earliest_Month)/4)</f>
        <v>22</v>
      </c>
      <c r="Y1016" s="17">
        <f>INT((YEAR(Table1[[#This Row],[Reporting date]])*12+MONTH(Table1[[#This Row],[Reporting date]])-Earliest_Month)/4)</f>
        <v>22</v>
      </c>
      <c r="Z1016" s="17">
        <f>Table1[[#This Row],[Reporting third]]-Table1[[#This Row],[Policy third]]</f>
        <v>0</v>
      </c>
      <c r="AA1016" s="71" t="str">
        <f>IF(Table1[[#This Row],[Overall amount]]=0,"N/A",Table1[[#This Row],[Outstanding]]/Table1[[#This Row],[Overall amount]])</f>
        <v>N/A</v>
      </c>
      <c r="AB1016" s="17">
        <f>IF(MONTH(Table1[[#This Row],[Loss date]])&lt;Pol_Inc_Month_Shifted,YEAR(Table1[[#This Row],[Loss date]])-1,YEAR(Table1[[#This Row],[Loss date]]))</f>
        <v>2011</v>
      </c>
      <c r="AC1016" s="17">
        <f>IF(MONTH(Table1[[#This Row],[Reporting date]])&lt;Pol_Inc_Month_Shifted,YEAR(Table1[[#This Row],[Reporting date]])-1,YEAR(Table1[[#This Row],[Reporting date]]))</f>
        <v>2011</v>
      </c>
      <c r="AD1016" s="17">
        <f>Table1[[#This Row],[Reporting year (shifted)]]-Table1[[#This Row],[Policy Year (shifted)]]</f>
        <v>0</v>
      </c>
    </row>
    <row r="1017" spans="1:30" ht="13.9">
      <c r="A1017" s="8" t="s">
        <v>2787</v>
      </c>
      <c r="B1017" s="8" t="s">
        <v>1069</v>
      </c>
      <c r="C1017" s="8" t="s">
        <v>123</v>
      </c>
      <c r="D1017" s="9">
        <v>41104</v>
      </c>
      <c r="E1017" s="9">
        <v>41170</v>
      </c>
      <c r="F1017" s="17">
        <f>IF(MONTH(Table1[[#This Row],[Loss date]])&lt;Policy_Inception_Month,YEAR(Table1[[#This Row],[Loss date]])-1,YEAR(Table1[[#This Row],[Loss date]]))</f>
        <v>2012</v>
      </c>
      <c r="G1017" s="10" t="s">
        <v>126</v>
      </c>
      <c r="H1017" s="10" t="s">
        <v>2</v>
      </c>
      <c r="I1017" s="11">
        <v>19234.24274602042</v>
      </c>
      <c r="J1017" s="11">
        <v>0</v>
      </c>
      <c r="K1017" s="11">
        <v>19234.24274602042</v>
      </c>
      <c r="L1017" s="12">
        <v>307.74788393632667</v>
      </c>
      <c r="M1017" s="12">
        <v>0</v>
      </c>
      <c r="N1017" s="12">
        <v>19541.990629956748</v>
      </c>
      <c r="O1017" s="70">
        <f>IF(Table1[[#This Row],[Overall amount]]=0,0,1)</f>
        <v>1</v>
      </c>
      <c r="P1017" s="70">
        <f>Table1[[#This Row],[Overall amount]]*Exchange_Rate</f>
        <v>19541.990629956748</v>
      </c>
      <c r="Q1017" s="70">
        <f>Table1[[#This Row],[Overall (destination currency)]]*(1+Claims_Inflation)^((Revalue_at_date-Table1[[#This Row],[Loss date]])/365.25)</f>
        <v>22860.000000000004</v>
      </c>
      <c r="R1017" s="70">
        <f>INT(Table1[[#This Row],[Reporting date]])-INT(Table1[[#This Row],[Loss date]])</f>
        <v>66</v>
      </c>
      <c r="S1017" s="69" t="s">
        <v>9</v>
      </c>
      <c r="T1017" s="70">
        <f>VLOOKUP(Table1[[#This Row],[Policy Year]],exposure_table,3,FALSE)</f>
        <v>1057.54</v>
      </c>
      <c r="U1017" s="17">
        <f>IF(MONTH(Table1[[#This Row],[Reporting date]])&lt;Policy_Inception_Month,YEAR(Table1[[#This Row],[Reporting date]])-1,YEAR(Table1[[#This Row],[Reporting date]]))</f>
        <v>2012</v>
      </c>
      <c r="V1017" s="17">
        <f>Table1[[#This Row],[Reporting year]]-Table1[[#This Row],[Policy Year]]</f>
        <v>0</v>
      </c>
      <c r="W1017" s="17">
        <f>INT(Table1[[#This Row],[Reporting date]])-INT(Table1[[#This Row],[Loss date]])</f>
        <v>66</v>
      </c>
      <c r="X1017" s="17">
        <f>INT((YEAR(Table1[[#This Row],[Loss date]])*12+MONTH(Table1[[#This Row],[Loss date]])-Earliest_Month)/4)</f>
        <v>21</v>
      </c>
      <c r="Y1017" s="17">
        <f>INT((YEAR(Table1[[#This Row],[Reporting date]])*12+MONTH(Table1[[#This Row],[Reporting date]])-Earliest_Month)/4)</f>
        <v>22</v>
      </c>
      <c r="Z1017" s="17">
        <f>Table1[[#This Row],[Reporting third]]-Table1[[#This Row],[Policy third]]</f>
        <v>1</v>
      </c>
      <c r="AA1017" s="71">
        <f>IF(Table1[[#This Row],[Overall amount]]=0,"N/A",Table1[[#This Row],[Outstanding]]/Table1[[#This Row],[Overall amount]])</f>
        <v>0</v>
      </c>
      <c r="AB1017" s="17">
        <f>IF(MONTH(Table1[[#This Row],[Loss date]])&lt;Pol_Inc_Month_Shifted,YEAR(Table1[[#This Row],[Loss date]])-1,YEAR(Table1[[#This Row],[Loss date]]))</f>
        <v>2011</v>
      </c>
      <c r="AC1017" s="17">
        <f>IF(MONTH(Table1[[#This Row],[Reporting date]])&lt;Pol_Inc_Month_Shifted,YEAR(Table1[[#This Row],[Reporting date]])-1,YEAR(Table1[[#This Row],[Reporting date]]))</f>
        <v>2011</v>
      </c>
      <c r="AD1017" s="17">
        <f>Table1[[#This Row],[Reporting year (shifted)]]-Table1[[#This Row],[Policy Year (shifted)]]</f>
        <v>0</v>
      </c>
    </row>
    <row r="1018" spans="1:30" ht="13.9">
      <c r="A1018" s="8" t="s">
        <v>2788</v>
      </c>
      <c r="B1018" s="8" t="s">
        <v>1070</v>
      </c>
      <c r="C1018" s="8" t="s">
        <v>123</v>
      </c>
      <c r="D1018" s="9">
        <v>40790</v>
      </c>
      <c r="E1018" s="9">
        <v>41180</v>
      </c>
      <c r="F1018" s="17">
        <f>IF(MONTH(Table1[[#This Row],[Loss date]])&lt;Policy_Inception_Month,YEAR(Table1[[#This Row],[Loss date]])-1,YEAR(Table1[[#This Row],[Loss date]]))</f>
        <v>2011</v>
      </c>
      <c r="G1018" s="10" t="s">
        <v>125</v>
      </c>
      <c r="H1018" s="10" t="s">
        <v>2</v>
      </c>
      <c r="I1018" s="11">
        <v>0</v>
      </c>
      <c r="J1018" s="11">
        <v>0</v>
      </c>
      <c r="K1018" s="11">
        <v>0</v>
      </c>
      <c r="L1018" s="12">
        <v>0</v>
      </c>
      <c r="M1018" s="12">
        <v>0</v>
      </c>
      <c r="N1018" s="12">
        <v>0</v>
      </c>
      <c r="O1018" s="70">
        <f>IF(Table1[[#This Row],[Overall amount]]=0,0,1)</f>
        <v>0</v>
      </c>
      <c r="P1018" s="70">
        <f>Table1[[#This Row],[Overall amount]]*Exchange_Rate</f>
        <v>0</v>
      </c>
      <c r="Q1018" s="70">
        <f>Table1[[#This Row],[Overall (destination currency)]]*(1+Claims_Inflation)^((Revalue_at_date-Table1[[#This Row],[Loss date]])/365.25)</f>
        <v>0</v>
      </c>
      <c r="R1018" s="70">
        <f>INT(Table1[[#This Row],[Reporting date]])-INT(Table1[[#This Row],[Loss date]])</f>
        <v>390</v>
      </c>
      <c r="S1018" s="69" t="s">
        <v>9</v>
      </c>
      <c r="T1018" s="70">
        <f>VLOOKUP(Table1[[#This Row],[Policy Year]],exposure_table,3,FALSE)</f>
        <v>870.52680000000009</v>
      </c>
      <c r="U1018" s="17">
        <f>IF(MONTH(Table1[[#This Row],[Reporting date]])&lt;Policy_Inception_Month,YEAR(Table1[[#This Row],[Reporting date]])-1,YEAR(Table1[[#This Row],[Reporting date]]))</f>
        <v>2012</v>
      </c>
      <c r="V1018" s="17">
        <f>Table1[[#This Row],[Reporting year]]-Table1[[#This Row],[Policy Year]]</f>
        <v>1</v>
      </c>
      <c r="W1018" s="17">
        <f>INT(Table1[[#This Row],[Reporting date]])-INT(Table1[[#This Row],[Loss date]])</f>
        <v>390</v>
      </c>
      <c r="X1018" s="17">
        <f>INT((YEAR(Table1[[#This Row],[Loss date]])*12+MONTH(Table1[[#This Row],[Loss date]])-Earliest_Month)/4)</f>
        <v>19</v>
      </c>
      <c r="Y1018" s="17">
        <f>INT((YEAR(Table1[[#This Row],[Reporting date]])*12+MONTH(Table1[[#This Row],[Reporting date]])-Earliest_Month)/4)</f>
        <v>22</v>
      </c>
      <c r="Z1018" s="17">
        <f>Table1[[#This Row],[Reporting third]]-Table1[[#This Row],[Policy third]]</f>
        <v>3</v>
      </c>
      <c r="AA1018" s="71" t="str">
        <f>IF(Table1[[#This Row],[Overall amount]]=0,"N/A",Table1[[#This Row],[Outstanding]]/Table1[[#This Row],[Overall amount]])</f>
        <v>N/A</v>
      </c>
      <c r="AB1018" s="17">
        <f>IF(MONTH(Table1[[#This Row],[Loss date]])&lt;Pol_Inc_Month_Shifted,YEAR(Table1[[#This Row],[Loss date]])-1,YEAR(Table1[[#This Row],[Loss date]]))</f>
        <v>2010</v>
      </c>
      <c r="AC1018" s="17">
        <f>IF(MONTH(Table1[[#This Row],[Reporting date]])&lt;Pol_Inc_Month_Shifted,YEAR(Table1[[#This Row],[Reporting date]])-1,YEAR(Table1[[#This Row],[Reporting date]]))</f>
        <v>2011</v>
      </c>
      <c r="AD1018" s="17">
        <f>Table1[[#This Row],[Reporting year (shifted)]]-Table1[[#This Row],[Policy Year (shifted)]]</f>
        <v>1</v>
      </c>
    </row>
    <row r="1019" spans="1:30" ht="13.9">
      <c r="A1019" s="8" t="s">
        <v>2789</v>
      </c>
      <c r="B1019" s="8" t="s">
        <v>1071</v>
      </c>
      <c r="C1019" s="8" t="s">
        <v>123</v>
      </c>
      <c r="D1019" s="9">
        <v>41183</v>
      </c>
      <c r="E1019" s="9">
        <v>41301</v>
      </c>
      <c r="F1019" s="17">
        <f>IF(MONTH(Table1[[#This Row],[Loss date]])&lt;Policy_Inception_Month,YEAR(Table1[[#This Row],[Loss date]])-1,YEAR(Table1[[#This Row],[Loss date]]))</f>
        <v>2012</v>
      </c>
      <c r="G1019" s="10" t="s">
        <v>131</v>
      </c>
      <c r="H1019" s="10" t="s">
        <v>2</v>
      </c>
      <c r="I1019" s="11">
        <v>0</v>
      </c>
      <c r="J1019" s="11">
        <v>0</v>
      </c>
      <c r="K1019" s="11">
        <v>0</v>
      </c>
      <c r="L1019" s="12">
        <v>0</v>
      </c>
      <c r="M1019" s="12">
        <v>0</v>
      </c>
      <c r="N1019" s="12">
        <v>0</v>
      </c>
      <c r="O1019" s="70">
        <f>IF(Table1[[#This Row],[Overall amount]]=0,0,1)</f>
        <v>0</v>
      </c>
      <c r="P1019" s="70">
        <f>Table1[[#This Row],[Overall amount]]*Exchange_Rate</f>
        <v>0</v>
      </c>
      <c r="Q1019" s="70">
        <f>Table1[[#This Row],[Overall (destination currency)]]*(1+Claims_Inflation)^((Revalue_at_date-Table1[[#This Row],[Loss date]])/365.25)</f>
        <v>0</v>
      </c>
      <c r="R1019" s="70">
        <f>INT(Table1[[#This Row],[Reporting date]])-INT(Table1[[#This Row],[Loss date]])</f>
        <v>118</v>
      </c>
      <c r="S1019" s="69" t="s">
        <v>9</v>
      </c>
      <c r="T1019" s="70">
        <f>VLOOKUP(Table1[[#This Row],[Policy Year]],exposure_table,3,FALSE)</f>
        <v>1057.54</v>
      </c>
      <c r="U1019" s="17">
        <f>IF(MONTH(Table1[[#This Row],[Reporting date]])&lt;Policy_Inception_Month,YEAR(Table1[[#This Row],[Reporting date]])-1,YEAR(Table1[[#This Row],[Reporting date]]))</f>
        <v>2012</v>
      </c>
      <c r="V1019" s="17">
        <f>Table1[[#This Row],[Reporting year]]-Table1[[#This Row],[Policy Year]]</f>
        <v>0</v>
      </c>
      <c r="W1019" s="17">
        <f>INT(Table1[[#This Row],[Reporting date]])-INT(Table1[[#This Row],[Loss date]])</f>
        <v>118</v>
      </c>
      <c r="X1019" s="17">
        <f>INT((YEAR(Table1[[#This Row],[Loss date]])*12+MONTH(Table1[[#This Row],[Loss date]])-Earliest_Month)/4)</f>
        <v>22</v>
      </c>
      <c r="Y1019" s="17">
        <f>INT((YEAR(Table1[[#This Row],[Reporting date]])*12+MONTH(Table1[[#This Row],[Reporting date]])-Earliest_Month)/4)</f>
        <v>23</v>
      </c>
      <c r="Z1019" s="17">
        <f>Table1[[#This Row],[Reporting third]]-Table1[[#This Row],[Policy third]]</f>
        <v>1</v>
      </c>
      <c r="AA1019" s="71" t="str">
        <f>IF(Table1[[#This Row],[Overall amount]]=0,"N/A",Table1[[#This Row],[Outstanding]]/Table1[[#This Row],[Overall amount]])</f>
        <v>N/A</v>
      </c>
      <c r="AB1019" s="17">
        <f>IF(MONTH(Table1[[#This Row],[Loss date]])&lt;Pol_Inc_Month_Shifted,YEAR(Table1[[#This Row],[Loss date]])-1,YEAR(Table1[[#This Row],[Loss date]]))</f>
        <v>2011</v>
      </c>
      <c r="AC1019" s="17">
        <f>IF(MONTH(Table1[[#This Row],[Reporting date]])&lt;Pol_Inc_Month_Shifted,YEAR(Table1[[#This Row],[Reporting date]])-1,YEAR(Table1[[#This Row],[Reporting date]]))</f>
        <v>2012</v>
      </c>
      <c r="AD1019" s="17">
        <f>Table1[[#This Row],[Reporting year (shifted)]]-Table1[[#This Row],[Policy Year (shifted)]]</f>
        <v>1</v>
      </c>
    </row>
    <row r="1020" spans="1:30" ht="13.9">
      <c r="A1020" s="8" t="s">
        <v>2790</v>
      </c>
      <c r="B1020" s="8" t="s">
        <v>1072</v>
      </c>
      <c r="C1020" s="8" t="s">
        <v>123</v>
      </c>
      <c r="D1020" s="9">
        <v>41125</v>
      </c>
      <c r="E1020" s="9">
        <v>41303</v>
      </c>
      <c r="F1020" s="17">
        <f>IF(MONTH(Table1[[#This Row],[Loss date]])&lt;Policy_Inception_Month,YEAR(Table1[[#This Row],[Loss date]])-1,YEAR(Table1[[#This Row],[Loss date]]))</f>
        <v>2012</v>
      </c>
      <c r="G1020" s="10" t="s">
        <v>126</v>
      </c>
      <c r="H1020" s="10" t="s">
        <v>2</v>
      </c>
      <c r="I1020" s="11">
        <v>0</v>
      </c>
      <c r="J1020" s="11">
        <v>0</v>
      </c>
      <c r="K1020" s="11">
        <v>0</v>
      </c>
      <c r="L1020" s="12">
        <v>0</v>
      </c>
      <c r="M1020" s="12">
        <v>0</v>
      </c>
      <c r="N1020" s="12">
        <v>0</v>
      </c>
      <c r="O1020" s="70">
        <f>IF(Table1[[#This Row],[Overall amount]]=0,0,1)</f>
        <v>0</v>
      </c>
      <c r="P1020" s="70">
        <f>Table1[[#This Row],[Overall amount]]*Exchange_Rate</f>
        <v>0</v>
      </c>
      <c r="Q1020" s="70">
        <f>Table1[[#This Row],[Overall (destination currency)]]*(1+Claims_Inflation)^((Revalue_at_date-Table1[[#This Row],[Loss date]])/365.25)</f>
        <v>0</v>
      </c>
      <c r="R1020" s="70">
        <f>INT(Table1[[#This Row],[Reporting date]])-INT(Table1[[#This Row],[Loss date]])</f>
        <v>178</v>
      </c>
      <c r="S1020" s="69" t="s">
        <v>9</v>
      </c>
      <c r="T1020" s="70">
        <f>VLOOKUP(Table1[[#This Row],[Policy Year]],exposure_table,3,FALSE)</f>
        <v>1057.54</v>
      </c>
      <c r="U1020" s="17">
        <f>IF(MONTH(Table1[[#This Row],[Reporting date]])&lt;Policy_Inception_Month,YEAR(Table1[[#This Row],[Reporting date]])-1,YEAR(Table1[[#This Row],[Reporting date]]))</f>
        <v>2012</v>
      </c>
      <c r="V1020" s="17">
        <f>Table1[[#This Row],[Reporting year]]-Table1[[#This Row],[Policy Year]]</f>
        <v>0</v>
      </c>
      <c r="W1020" s="17">
        <f>INT(Table1[[#This Row],[Reporting date]])-INT(Table1[[#This Row],[Loss date]])</f>
        <v>178</v>
      </c>
      <c r="X1020" s="17">
        <f>INT((YEAR(Table1[[#This Row],[Loss date]])*12+MONTH(Table1[[#This Row],[Loss date]])-Earliest_Month)/4)</f>
        <v>22</v>
      </c>
      <c r="Y1020" s="17">
        <f>INT((YEAR(Table1[[#This Row],[Reporting date]])*12+MONTH(Table1[[#This Row],[Reporting date]])-Earliest_Month)/4)</f>
        <v>23</v>
      </c>
      <c r="Z1020" s="17">
        <f>Table1[[#This Row],[Reporting third]]-Table1[[#This Row],[Policy third]]</f>
        <v>1</v>
      </c>
      <c r="AA1020" s="71" t="str">
        <f>IF(Table1[[#This Row],[Overall amount]]=0,"N/A",Table1[[#This Row],[Outstanding]]/Table1[[#This Row],[Overall amount]])</f>
        <v>N/A</v>
      </c>
      <c r="AB1020" s="17">
        <f>IF(MONTH(Table1[[#This Row],[Loss date]])&lt;Pol_Inc_Month_Shifted,YEAR(Table1[[#This Row],[Loss date]])-1,YEAR(Table1[[#This Row],[Loss date]]))</f>
        <v>2011</v>
      </c>
      <c r="AC1020" s="17">
        <f>IF(MONTH(Table1[[#This Row],[Reporting date]])&lt;Pol_Inc_Month_Shifted,YEAR(Table1[[#This Row],[Reporting date]])-1,YEAR(Table1[[#This Row],[Reporting date]]))</f>
        <v>2012</v>
      </c>
      <c r="AD1020" s="17">
        <f>Table1[[#This Row],[Reporting year (shifted)]]-Table1[[#This Row],[Policy Year (shifted)]]</f>
        <v>1</v>
      </c>
    </row>
    <row r="1021" spans="1:30" ht="13.9">
      <c r="A1021" s="8" t="s">
        <v>2791</v>
      </c>
      <c r="B1021" s="8" t="s">
        <v>1073</v>
      </c>
      <c r="C1021" s="8" t="s">
        <v>123</v>
      </c>
      <c r="D1021" s="9">
        <v>41257</v>
      </c>
      <c r="E1021" s="9">
        <v>41307</v>
      </c>
      <c r="F1021" s="17">
        <f>IF(MONTH(Table1[[#This Row],[Loss date]])&lt;Policy_Inception_Month,YEAR(Table1[[#This Row],[Loss date]])-1,YEAR(Table1[[#This Row],[Loss date]]))</f>
        <v>2012</v>
      </c>
      <c r="G1021" s="10" t="s">
        <v>148</v>
      </c>
      <c r="H1021" s="10" t="s">
        <v>2</v>
      </c>
      <c r="I1021" s="11">
        <v>0</v>
      </c>
      <c r="J1021" s="11">
        <v>0</v>
      </c>
      <c r="K1021" s="11">
        <v>0</v>
      </c>
      <c r="L1021" s="12">
        <v>0</v>
      </c>
      <c r="M1021" s="12">
        <v>0</v>
      </c>
      <c r="N1021" s="12">
        <v>0</v>
      </c>
      <c r="O1021" s="70">
        <f>IF(Table1[[#This Row],[Overall amount]]=0,0,1)</f>
        <v>0</v>
      </c>
      <c r="P1021" s="70">
        <f>Table1[[#This Row],[Overall amount]]*Exchange_Rate</f>
        <v>0</v>
      </c>
      <c r="Q1021" s="70">
        <f>Table1[[#This Row],[Overall (destination currency)]]*(1+Claims_Inflation)^((Revalue_at_date-Table1[[#This Row],[Loss date]])/365.25)</f>
        <v>0</v>
      </c>
      <c r="R1021" s="70">
        <f>INT(Table1[[#This Row],[Reporting date]])-INT(Table1[[#This Row],[Loss date]])</f>
        <v>50</v>
      </c>
      <c r="S1021" s="69" t="s">
        <v>9</v>
      </c>
      <c r="T1021" s="70">
        <f>VLOOKUP(Table1[[#This Row],[Policy Year]],exposure_table,3,FALSE)</f>
        <v>1057.54</v>
      </c>
      <c r="U1021" s="17">
        <f>IF(MONTH(Table1[[#This Row],[Reporting date]])&lt;Policy_Inception_Month,YEAR(Table1[[#This Row],[Reporting date]])-1,YEAR(Table1[[#This Row],[Reporting date]]))</f>
        <v>2012</v>
      </c>
      <c r="V1021" s="17">
        <f>Table1[[#This Row],[Reporting year]]-Table1[[#This Row],[Policy Year]]</f>
        <v>0</v>
      </c>
      <c r="W1021" s="17">
        <f>INT(Table1[[#This Row],[Reporting date]])-INT(Table1[[#This Row],[Loss date]])</f>
        <v>50</v>
      </c>
      <c r="X1021" s="17">
        <f>INT((YEAR(Table1[[#This Row],[Loss date]])*12+MONTH(Table1[[#This Row],[Loss date]])-Earliest_Month)/4)</f>
        <v>23</v>
      </c>
      <c r="Y1021" s="17">
        <f>INT((YEAR(Table1[[#This Row],[Reporting date]])*12+MONTH(Table1[[#This Row],[Reporting date]])-Earliest_Month)/4)</f>
        <v>23</v>
      </c>
      <c r="Z1021" s="17">
        <f>Table1[[#This Row],[Reporting third]]-Table1[[#This Row],[Policy third]]</f>
        <v>0</v>
      </c>
      <c r="AA1021" s="71" t="str">
        <f>IF(Table1[[#This Row],[Overall amount]]=0,"N/A",Table1[[#This Row],[Outstanding]]/Table1[[#This Row],[Overall amount]])</f>
        <v>N/A</v>
      </c>
      <c r="AB1021" s="17">
        <f>IF(MONTH(Table1[[#This Row],[Loss date]])&lt;Pol_Inc_Month_Shifted,YEAR(Table1[[#This Row],[Loss date]])-1,YEAR(Table1[[#This Row],[Loss date]]))</f>
        <v>2012</v>
      </c>
      <c r="AC1021" s="17">
        <f>IF(MONTH(Table1[[#This Row],[Reporting date]])&lt;Pol_Inc_Month_Shifted,YEAR(Table1[[#This Row],[Reporting date]])-1,YEAR(Table1[[#This Row],[Reporting date]]))</f>
        <v>2012</v>
      </c>
      <c r="AD1021" s="17">
        <f>Table1[[#This Row],[Reporting year (shifted)]]-Table1[[#This Row],[Policy Year (shifted)]]</f>
        <v>0</v>
      </c>
    </row>
    <row r="1022" spans="1:30" ht="13.9">
      <c r="A1022" s="8" t="s">
        <v>2792</v>
      </c>
      <c r="B1022" s="8" t="s">
        <v>1074</v>
      </c>
      <c r="C1022" s="8" t="s">
        <v>123</v>
      </c>
      <c r="D1022" s="9">
        <v>41006</v>
      </c>
      <c r="E1022" s="9">
        <v>41314</v>
      </c>
      <c r="F1022" s="17">
        <f>IF(MONTH(Table1[[#This Row],[Loss date]])&lt;Policy_Inception_Month,YEAR(Table1[[#This Row],[Loss date]])-1,YEAR(Table1[[#This Row],[Loss date]]))</f>
        <v>2012</v>
      </c>
      <c r="G1022" s="10" t="s">
        <v>124</v>
      </c>
      <c r="H1022" s="10" t="s">
        <v>2</v>
      </c>
      <c r="I1022" s="11">
        <v>0</v>
      </c>
      <c r="J1022" s="11">
        <v>0</v>
      </c>
      <c r="K1022" s="11">
        <v>0</v>
      </c>
      <c r="L1022" s="12">
        <v>303.7454546915659</v>
      </c>
      <c r="M1022" s="12">
        <v>0</v>
      </c>
      <c r="N1022" s="12">
        <v>303.7454546915659</v>
      </c>
      <c r="O1022" s="70">
        <f>IF(Table1[[#This Row],[Overall amount]]=0,0,1)</f>
        <v>1</v>
      </c>
      <c r="P1022" s="70">
        <f>Table1[[#This Row],[Overall amount]]*Exchange_Rate</f>
        <v>303.7454546915659</v>
      </c>
      <c r="Q1022" s="70">
        <f>Table1[[#This Row],[Overall (destination currency)]]*(1+Claims_Inflation)^((Revalue_at_date-Table1[[#This Row],[Loss date]])/365.25)</f>
        <v>360</v>
      </c>
      <c r="R1022" s="70">
        <f>INT(Table1[[#This Row],[Reporting date]])-INT(Table1[[#This Row],[Loss date]])</f>
        <v>308</v>
      </c>
      <c r="S1022" s="69" t="s">
        <v>9</v>
      </c>
      <c r="T1022" s="70">
        <f>VLOOKUP(Table1[[#This Row],[Policy Year]],exposure_table,3,FALSE)</f>
        <v>1057.54</v>
      </c>
      <c r="U1022" s="17">
        <f>IF(MONTH(Table1[[#This Row],[Reporting date]])&lt;Policy_Inception_Month,YEAR(Table1[[#This Row],[Reporting date]])-1,YEAR(Table1[[#This Row],[Reporting date]]))</f>
        <v>2012</v>
      </c>
      <c r="V1022" s="17">
        <f>Table1[[#This Row],[Reporting year]]-Table1[[#This Row],[Policy Year]]</f>
        <v>0</v>
      </c>
      <c r="W1022" s="17">
        <f>INT(Table1[[#This Row],[Reporting date]])-INT(Table1[[#This Row],[Loss date]])</f>
        <v>308</v>
      </c>
      <c r="X1022" s="17">
        <f>INT((YEAR(Table1[[#This Row],[Loss date]])*12+MONTH(Table1[[#This Row],[Loss date]])-Earliest_Month)/4)</f>
        <v>21</v>
      </c>
      <c r="Y1022" s="17">
        <f>INT((YEAR(Table1[[#This Row],[Reporting date]])*12+MONTH(Table1[[#This Row],[Reporting date]])-Earliest_Month)/4)</f>
        <v>23</v>
      </c>
      <c r="Z1022" s="17">
        <f>Table1[[#This Row],[Reporting third]]-Table1[[#This Row],[Policy third]]</f>
        <v>2</v>
      </c>
      <c r="AA1022" s="71">
        <f>IF(Table1[[#This Row],[Overall amount]]=0,"N/A",Table1[[#This Row],[Outstanding]]/Table1[[#This Row],[Overall amount]])</f>
        <v>0</v>
      </c>
      <c r="AB1022" s="17">
        <f>IF(MONTH(Table1[[#This Row],[Loss date]])&lt;Pol_Inc_Month_Shifted,YEAR(Table1[[#This Row],[Loss date]])-1,YEAR(Table1[[#This Row],[Loss date]]))</f>
        <v>2011</v>
      </c>
      <c r="AC1022" s="17">
        <f>IF(MONTH(Table1[[#This Row],[Reporting date]])&lt;Pol_Inc_Month_Shifted,YEAR(Table1[[#This Row],[Reporting date]])-1,YEAR(Table1[[#This Row],[Reporting date]]))</f>
        <v>2012</v>
      </c>
      <c r="AD1022" s="17">
        <f>Table1[[#This Row],[Reporting year (shifted)]]-Table1[[#This Row],[Policy Year (shifted)]]</f>
        <v>1</v>
      </c>
    </row>
    <row r="1023" spans="1:30" ht="13.9">
      <c r="A1023" s="8" t="s">
        <v>2793</v>
      </c>
      <c r="B1023" s="8" t="s">
        <v>1075</v>
      </c>
      <c r="C1023" s="8" t="s">
        <v>123</v>
      </c>
      <c r="D1023" s="9">
        <v>41255</v>
      </c>
      <c r="E1023" s="9">
        <v>41315</v>
      </c>
      <c r="F1023" s="17">
        <f>IF(MONTH(Table1[[#This Row],[Loss date]])&lt;Policy_Inception_Month,YEAR(Table1[[#This Row],[Loss date]])-1,YEAR(Table1[[#This Row],[Loss date]]))</f>
        <v>2012</v>
      </c>
      <c r="G1023" s="10" t="s">
        <v>125</v>
      </c>
      <c r="H1023" s="10" t="s">
        <v>2</v>
      </c>
      <c r="I1023" s="11">
        <v>837.38232865619784</v>
      </c>
      <c r="J1023" s="11">
        <v>0</v>
      </c>
      <c r="K1023" s="11">
        <v>837.38232865619784</v>
      </c>
      <c r="L1023" s="12">
        <v>314.01837324607413</v>
      </c>
      <c r="M1023" s="12">
        <v>0</v>
      </c>
      <c r="N1023" s="12">
        <v>1151.400701902272</v>
      </c>
      <c r="O1023" s="70">
        <f>IF(Table1[[#This Row],[Overall amount]]=0,0,1)</f>
        <v>1</v>
      </c>
      <c r="P1023" s="70">
        <f>Table1[[#This Row],[Overall amount]]*Exchange_Rate</f>
        <v>1151.400701902272</v>
      </c>
      <c r="Q1023" s="70">
        <f>Table1[[#This Row],[Overall (destination currency)]]*(1+Claims_Inflation)^((Revalue_at_date-Table1[[#This Row],[Loss date]])/365.25)</f>
        <v>1320</v>
      </c>
      <c r="R1023" s="70">
        <f>INT(Table1[[#This Row],[Reporting date]])-INT(Table1[[#This Row],[Loss date]])</f>
        <v>60</v>
      </c>
      <c r="S1023" s="69" t="s">
        <v>9</v>
      </c>
      <c r="T1023" s="70">
        <f>VLOOKUP(Table1[[#This Row],[Policy Year]],exposure_table,3,FALSE)</f>
        <v>1057.54</v>
      </c>
      <c r="U1023" s="17">
        <f>IF(MONTH(Table1[[#This Row],[Reporting date]])&lt;Policy_Inception_Month,YEAR(Table1[[#This Row],[Reporting date]])-1,YEAR(Table1[[#This Row],[Reporting date]]))</f>
        <v>2012</v>
      </c>
      <c r="V1023" s="17">
        <f>Table1[[#This Row],[Reporting year]]-Table1[[#This Row],[Policy Year]]</f>
        <v>0</v>
      </c>
      <c r="W1023" s="17">
        <f>INT(Table1[[#This Row],[Reporting date]])-INT(Table1[[#This Row],[Loss date]])</f>
        <v>60</v>
      </c>
      <c r="X1023" s="17">
        <f>INT((YEAR(Table1[[#This Row],[Loss date]])*12+MONTH(Table1[[#This Row],[Loss date]])-Earliest_Month)/4)</f>
        <v>23</v>
      </c>
      <c r="Y1023" s="17">
        <f>INT((YEAR(Table1[[#This Row],[Reporting date]])*12+MONTH(Table1[[#This Row],[Reporting date]])-Earliest_Month)/4)</f>
        <v>23</v>
      </c>
      <c r="Z1023" s="17">
        <f>Table1[[#This Row],[Reporting third]]-Table1[[#This Row],[Policy third]]</f>
        <v>0</v>
      </c>
      <c r="AA1023" s="71">
        <f>IF(Table1[[#This Row],[Overall amount]]=0,"N/A",Table1[[#This Row],[Outstanding]]/Table1[[#This Row],[Overall amount]])</f>
        <v>0</v>
      </c>
      <c r="AB1023" s="17">
        <f>IF(MONTH(Table1[[#This Row],[Loss date]])&lt;Pol_Inc_Month_Shifted,YEAR(Table1[[#This Row],[Loss date]])-1,YEAR(Table1[[#This Row],[Loss date]]))</f>
        <v>2012</v>
      </c>
      <c r="AC1023" s="17">
        <f>IF(MONTH(Table1[[#This Row],[Reporting date]])&lt;Pol_Inc_Month_Shifted,YEAR(Table1[[#This Row],[Reporting date]])-1,YEAR(Table1[[#This Row],[Reporting date]]))</f>
        <v>2012</v>
      </c>
      <c r="AD1023" s="17">
        <f>Table1[[#This Row],[Reporting year (shifted)]]-Table1[[#This Row],[Policy Year (shifted)]]</f>
        <v>0</v>
      </c>
    </row>
    <row r="1024" spans="1:30" ht="13.9">
      <c r="A1024" s="8" t="s">
        <v>2794</v>
      </c>
      <c r="B1024" s="8" t="s">
        <v>1076</v>
      </c>
      <c r="C1024" s="8" t="s">
        <v>123</v>
      </c>
      <c r="D1024" s="9">
        <v>41280</v>
      </c>
      <c r="E1024" s="9">
        <v>41345</v>
      </c>
      <c r="F1024" s="17">
        <f>IF(MONTH(Table1[[#This Row],[Loss date]])&lt;Policy_Inception_Month,YEAR(Table1[[#This Row],[Loss date]])-1,YEAR(Table1[[#This Row],[Loss date]]))</f>
        <v>2012</v>
      </c>
      <c r="G1024" s="10" t="s">
        <v>125</v>
      </c>
      <c r="H1024" s="10" t="s">
        <v>2</v>
      </c>
      <c r="I1024" s="11">
        <v>0</v>
      </c>
      <c r="J1024" s="11">
        <v>0</v>
      </c>
      <c r="K1024" s="11">
        <v>0</v>
      </c>
      <c r="L1024" s="12">
        <v>0</v>
      </c>
      <c r="M1024" s="12">
        <v>0</v>
      </c>
      <c r="N1024" s="12">
        <v>0</v>
      </c>
      <c r="O1024" s="70">
        <f>IF(Table1[[#This Row],[Overall amount]]=0,0,1)</f>
        <v>0</v>
      </c>
      <c r="P1024" s="70">
        <f>Table1[[#This Row],[Overall amount]]*Exchange_Rate</f>
        <v>0</v>
      </c>
      <c r="Q1024" s="70">
        <f>Table1[[#This Row],[Overall (destination currency)]]*(1+Claims_Inflation)^((Revalue_at_date-Table1[[#This Row],[Loss date]])/365.25)</f>
        <v>0</v>
      </c>
      <c r="R1024" s="70">
        <f>INT(Table1[[#This Row],[Reporting date]])-INT(Table1[[#This Row],[Loss date]])</f>
        <v>65</v>
      </c>
      <c r="S1024" s="69" t="s">
        <v>9</v>
      </c>
      <c r="T1024" s="70">
        <f>VLOOKUP(Table1[[#This Row],[Policy Year]],exposure_table,3,FALSE)</f>
        <v>1057.54</v>
      </c>
      <c r="U1024" s="17">
        <f>IF(MONTH(Table1[[#This Row],[Reporting date]])&lt;Policy_Inception_Month,YEAR(Table1[[#This Row],[Reporting date]])-1,YEAR(Table1[[#This Row],[Reporting date]]))</f>
        <v>2012</v>
      </c>
      <c r="V1024" s="17">
        <f>Table1[[#This Row],[Reporting year]]-Table1[[#This Row],[Policy Year]]</f>
        <v>0</v>
      </c>
      <c r="W1024" s="17">
        <f>INT(Table1[[#This Row],[Reporting date]])-INT(Table1[[#This Row],[Loss date]])</f>
        <v>65</v>
      </c>
      <c r="X1024" s="17">
        <f>INT((YEAR(Table1[[#This Row],[Loss date]])*12+MONTH(Table1[[#This Row],[Loss date]])-Earliest_Month)/4)</f>
        <v>23</v>
      </c>
      <c r="Y1024" s="17">
        <f>INT((YEAR(Table1[[#This Row],[Reporting date]])*12+MONTH(Table1[[#This Row],[Reporting date]])-Earliest_Month)/4)</f>
        <v>23</v>
      </c>
      <c r="Z1024" s="17">
        <f>Table1[[#This Row],[Reporting third]]-Table1[[#This Row],[Policy third]]</f>
        <v>0</v>
      </c>
      <c r="AA1024" s="71" t="str">
        <f>IF(Table1[[#This Row],[Overall amount]]=0,"N/A",Table1[[#This Row],[Outstanding]]/Table1[[#This Row],[Overall amount]])</f>
        <v>N/A</v>
      </c>
      <c r="AB1024" s="17">
        <f>IF(MONTH(Table1[[#This Row],[Loss date]])&lt;Pol_Inc_Month_Shifted,YEAR(Table1[[#This Row],[Loss date]])-1,YEAR(Table1[[#This Row],[Loss date]]))</f>
        <v>2012</v>
      </c>
      <c r="AC1024" s="17">
        <f>IF(MONTH(Table1[[#This Row],[Reporting date]])&lt;Pol_Inc_Month_Shifted,YEAR(Table1[[#This Row],[Reporting date]])-1,YEAR(Table1[[#This Row],[Reporting date]]))</f>
        <v>2012</v>
      </c>
      <c r="AD1024" s="17">
        <f>Table1[[#This Row],[Reporting year (shifted)]]-Table1[[#This Row],[Policy Year (shifted)]]</f>
        <v>0</v>
      </c>
    </row>
    <row r="1025" spans="1:30" ht="13.9">
      <c r="A1025" s="8" t="s">
        <v>2795</v>
      </c>
      <c r="B1025" s="8" t="s">
        <v>1077</v>
      </c>
      <c r="C1025" s="8" t="s">
        <v>123</v>
      </c>
      <c r="D1025" s="9">
        <v>41141</v>
      </c>
      <c r="E1025" s="9">
        <v>41358</v>
      </c>
      <c r="F1025" s="17">
        <f>IF(MONTH(Table1[[#This Row],[Loss date]])&lt;Policy_Inception_Month,YEAR(Table1[[#This Row],[Loss date]])-1,YEAR(Table1[[#This Row],[Loss date]]))</f>
        <v>2012</v>
      </c>
      <c r="G1025" s="10" t="s">
        <v>129</v>
      </c>
      <c r="H1025" s="10" t="s">
        <v>2</v>
      </c>
      <c r="I1025" s="11">
        <v>0</v>
      </c>
      <c r="J1025" s="11">
        <v>1030.9089424300282</v>
      </c>
      <c r="K1025" s="11">
        <v>1030.9089424300282</v>
      </c>
      <c r="L1025" s="12">
        <v>0</v>
      </c>
      <c r="M1025" s="12">
        <v>0</v>
      </c>
      <c r="N1025" s="12">
        <v>1030.9089424300282</v>
      </c>
      <c r="O1025" s="70">
        <f>IF(Table1[[#This Row],[Overall amount]]=0,0,1)</f>
        <v>1</v>
      </c>
      <c r="P1025" s="70">
        <f>Table1[[#This Row],[Overall amount]]*Exchange_Rate</f>
        <v>1030.9089424300282</v>
      </c>
      <c r="Q1025" s="70">
        <f>Table1[[#This Row],[Overall (destination currency)]]*(1+Claims_Inflation)^((Revalue_at_date-Table1[[#This Row],[Loss date]])/365.25)</f>
        <v>1199.9999999999998</v>
      </c>
      <c r="R1025" s="70">
        <f>INT(Table1[[#This Row],[Reporting date]])-INT(Table1[[#This Row],[Loss date]])</f>
        <v>217</v>
      </c>
      <c r="S1025" s="69" t="s">
        <v>16</v>
      </c>
      <c r="T1025" s="70">
        <f>VLOOKUP(Table1[[#This Row],[Policy Year]],exposure_table,3,FALSE)</f>
        <v>1057.54</v>
      </c>
      <c r="U1025" s="17">
        <f>IF(MONTH(Table1[[#This Row],[Reporting date]])&lt;Policy_Inception_Month,YEAR(Table1[[#This Row],[Reporting date]])-1,YEAR(Table1[[#This Row],[Reporting date]]))</f>
        <v>2012</v>
      </c>
      <c r="V1025" s="17">
        <f>Table1[[#This Row],[Reporting year]]-Table1[[#This Row],[Policy Year]]</f>
        <v>0</v>
      </c>
      <c r="W1025" s="17">
        <f>INT(Table1[[#This Row],[Reporting date]])-INT(Table1[[#This Row],[Loss date]])</f>
        <v>217</v>
      </c>
      <c r="X1025" s="17">
        <f>INT((YEAR(Table1[[#This Row],[Loss date]])*12+MONTH(Table1[[#This Row],[Loss date]])-Earliest_Month)/4)</f>
        <v>22</v>
      </c>
      <c r="Y1025" s="17">
        <f>INT((YEAR(Table1[[#This Row],[Reporting date]])*12+MONTH(Table1[[#This Row],[Reporting date]])-Earliest_Month)/4)</f>
        <v>23</v>
      </c>
      <c r="Z1025" s="17">
        <f>Table1[[#This Row],[Reporting third]]-Table1[[#This Row],[Policy third]]</f>
        <v>1</v>
      </c>
      <c r="AA1025" s="71">
        <f>IF(Table1[[#This Row],[Overall amount]]=0,"N/A",Table1[[#This Row],[Outstanding]]/Table1[[#This Row],[Overall amount]])</f>
        <v>1</v>
      </c>
      <c r="AB1025" s="17">
        <f>IF(MONTH(Table1[[#This Row],[Loss date]])&lt;Pol_Inc_Month_Shifted,YEAR(Table1[[#This Row],[Loss date]])-1,YEAR(Table1[[#This Row],[Loss date]]))</f>
        <v>2011</v>
      </c>
      <c r="AC1025" s="17">
        <f>IF(MONTH(Table1[[#This Row],[Reporting date]])&lt;Pol_Inc_Month_Shifted,YEAR(Table1[[#This Row],[Reporting date]])-1,YEAR(Table1[[#This Row],[Reporting date]]))</f>
        <v>2012</v>
      </c>
      <c r="AD1025" s="17">
        <f>Table1[[#This Row],[Reporting year (shifted)]]-Table1[[#This Row],[Policy Year (shifted)]]</f>
        <v>1</v>
      </c>
    </row>
    <row r="1026" spans="1:30" ht="13.9">
      <c r="A1026" s="8" t="s">
        <v>2796</v>
      </c>
      <c r="B1026" s="8" t="s">
        <v>1078</v>
      </c>
      <c r="C1026" s="8" t="s">
        <v>123</v>
      </c>
      <c r="D1026" s="9">
        <v>41220</v>
      </c>
      <c r="E1026" s="9">
        <v>41371</v>
      </c>
      <c r="F1026" s="17">
        <f>IF(MONTH(Table1[[#This Row],[Loss date]])&lt;Policy_Inception_Month,YEAR(Table1[[#This Row],[Loss date]])-1,YEAR(Table1[[#This Row],[Loss date]]))</f>
        <v>2012</v>
      </c>
      <c r="G1026" s="10" t="s">
        <v>125</v>
      </c>
      <c r="H1026" s="10" t="s">
        <v>2</v>
      </c>
      <c r="I1026" s="11">
        <v>0</v>
      </c>
      <c r="J1026" s="11">
        <v>0</v>
      </c>
      <c r="K1026" s="11">
        <v>0</v>
      </c>
      <c r="L1026" s="12">
        <v>0</v>
      </c>
      <c r="M1026" s="12">
        <v>0</v>
      </c>
      <c r="N1026" s="12">
        <v>0</v>
      </c>
      <c r="O1026" s="70">
        <f>IF(Table1[[#This Row],[Overall amount]]=0,0,1)</f>
        <v>0</v>
      </c>
      <c r="P1026" s="70">
        <f>Table1[[#This Row],[Overall amount]]*Exchange_Rate</f>
        <v>0</v>
      </c>
      <c r="Q1026" s="70">
        <f>Table1[[#This Row],[Overall (destination currency)]]*(1+Claims_Inflation)^((Revalue_at_date-Table1[[#This Row],[Loss date]])/365.25)</f>
        <v>0</v>
      </c>
      <c r="R1026" s="70">
        <f>INT(Table1[[#This Row],[Reporting date]])-INT(Table1[[#This Row],[Loss date]])</f>
        <v>151</v>
      </c>
      <c r="S1026" s="69" t="s">
        <v>9</v>
      </c>
      <c r="T1026" s="70">
        <f>VLOOKUP(Table1[[#This Row],[Policy Year]],exposure_table,3,FALSE)</f>
        <v>1057.54</v>
      </c>
      <c r="U1026" s="17">
        <f>IF(MONTH(Table1[[#This Row],[Reporting date]])&lt;Policy_Inception_Month,YEAR(Table1[[#This Row],[Reporting date]])-1,YEAR(Table1[[#This Row],[Reporting date]]))</f>
        <v>2013</v>
      </c>
      <c r="V1026" s="17">
        <f>Table1[[#This Row],[Reporting year]]-Table1[[#This Row],[Policy Year]]</f>
        <v>1</v>
      </c>
      <c r="W1026" s="17">
        <f>INT(Table1[[#This Row],[Reporting date]])-INT(Table1[[#This Row],[Loss date]])</f>
        <v>151</v>
      </c>
      <c r="X1026" s="17">
        <f>INT((YEAR(Table1[[#This Row],[Loss date]])*12+MONTH(Table1[[#This Row],[Loss date]])-Earliest_Month)/4)</f>
        <v>22</v>
      </c>
      <c r="Y1026" s="17">
        <f>INT((YEAR(Table1[[#This Row],[Reporting date]])*12+MONTH(Table1[[#This Row],[Reporting date]])-Earliest_Month)/4)</f>
        <v>24</v>
      </c>
      <c r="Z1026" s="17">
        <f>Table1[[#This Row],[Reporting third]]-Table1[[#This Row],[Policy third]]</f>
        <v>2</v>
      </c>
      <c r="AA1026" s="71" t="str">
        <f>IF(Table1[[#This Row],[Overall amount]]=0,"N/A",Table1[[#This Row],[Outstanding]]/Table1[[#This Row],[Overall amount]])</f>
        <v>N/A</v>
      </c>
      <c r="AB1026" s="17">
        <f>IF(MONTH(Table1[[#This Row],[Loss date]])&lt;Pol_Inc_Month_Shifted,YEAR(Table1[[#This Row],[Loss date]])-1,YEAR(Table1[[#This Row],[Loss date]]))</f>
        <v>2011</v>
      </c>
      <c r="AC1026" s="17">
        <f>IF(MONTH(Table1[[#This Row],[Reporting date]])&lt;Pol_Inc_Month_Shifted,YEAR(Table1[[#This Row],[Reporting date]])-1,YEAR(Table1[[#This Row],[Reporting date]]))</f>
        <v>2012</v>
      </c>
      <c r="AD1026" s="17">
        <f>Table1[[#This Row],[Reporting year (shifted)]]-Table1[[#This Row],[Policy Year (shifted)]]</f>
        <v>1</v>
      </c>
    </row>
    <row r="1027" spans="1:30" ht="13.9">
      <c r="A1027" s="8" t="s">
        <v>2797</v>
      </c>
      <c r="B1027" s="8" t="s">
        <v>1079</v>
      </c>
      <c r="C1027" s="8" t="s">
        <v>123</v>
      </c>
      <c r="D1027" s="9">
        <v>41286</v>
      </c>
      <c r="E1027" s="9">
        <v>41383</v>
      </c>
      <c r="F1027" s="17">
        <f>IF(MONTH(Table1[[#This Row],[Loss date]])&lt;Policy_Inception_Month,YEAR(Table1[[#This Row],[Loss date]])-1,YEAR(Table1[[#This Row],[Loss date]]))</f>
        <v>2012</v>
      </c>
      <c r="G1027" s="10" t="s">
        <v>148</v>
      </c>
      <c r="H1027" s="10" t="s">
        <v>2</v>
      </c>
      <c r="I1027" s="11">
        <v>262.76784580789229</v>
      </c>
      <c r="J1027" s="11">
        <v>15240.535056857752</v>
      </c>
      <c r="K1027" s="11">
        <v>15503.302902665646</v>
      </c>
      <c r="L1027" s="12">
        <v>0</v>
      </c>
      <c r="M1027" s="12">
        <v>0</v>
      </c>
      <c r="N1027" s="12">
        <v>15503.302902665646</v>
      </c>
      <c r="O1027" s="70">
        <f>IF(Table1[[#This Row],[Overall amount]]=0,0,1)</f>
        <v>1</v>
      </c>
      <c r="P1027" s="70">
        <f>Table1[[#This Row],[Overall amount]]*Exchange_Rate</f>
        <v>15503.302902665646</v>
      </c>
      <c r="Q1027" s="70">
        <f>Table1[[#This Row],[Overall (destination currency)]]*(1+Claims_Inflation)^((Revalue_at_date-Table1[[#This Row],[Loss date]])/365.25)</f>
        <v>17700</v>
      </c>
      <c r="R1027" s="70">
        <f>INT(Table1[[#This Row],[Reporting date]])-INT(Table1[[#This Row],[Loss date]])</f>
        <v>97</v>
      </c>
      <c r="S1027" s="69" t="s">
        <v>16</v>
      </c>
      <c r="T1027" s="70">
        <f>VLOOKUP(Table1[[#This Row],[Policy Year]],exposure_table,3,FALSE)</f>
        <v>1057.54</v>
      </c>
      <c r="U1027" s="17">
        <f>IF(MONTH(Table1[[#This Row],[Reporting date]])&lt;Policy_Inception_Month,YEAR(Table1[[#This Row],[Reporting date]])-1,YEAR(Table1[[#This Row],[Reporting date]]))</f>
        <v>2013</v>
      </c>
      <c r="V1027" s="17">
        <f>Table1[[#This Row],[Reporting year]]-Table1[[#This Row],[Policy Year]]</f>
        <v>1</v>
      </c>
      <c r="W1027" s="17">
        <f>INT(Table1[[#This Row],[Reporting date]])-INT(Table1[[#This Row],[Loss date]])</f>
        <v>97</v>
      </c>
      <c r="X1027" s="17">
        <f>INT((YEAR(Table1[[#This Row],[Loss date]])*12+MONTH(Table1[[#This Row],[Loss date]])-Earliest_Month)/4)</f>
        <v>23</v>
      </c>
      <c r="Y1027" s="17">
        <f>INT((YEAR(Table1[[#This Row],[Reporting date]])*12+MONTH(Table1[[#This Row],[Reporting date]])-Earliest_Month)/4)</f>
        <v>24</v>
      </c>
      <c r="Z1027" s="17">
        <f>Table1[[#This Row],[Reporting third]]-Table1[[#This Row],[Policy third]]</f>
        <v>1</v>
      </c>
      <c r="AA1027" s="71">
        <f>IF(Table1[[#This Row],[Overall amount]]=0,"N/A",Table1[[#This Row],[Outstanding]]/Table1[[#This Row],[Overall amount]])</f>
        <v>0.98305084745762705</v>
      </c>
      <c r="AB1027" s="17">
        <f>IF(MONTH(Table1[[#This Row],[Loss date]])&lt;Pol_Inc_Month_Shifted,YEAR(Table1[[#This Row],[Loss date]])-1,YEAR(Table1[[#This Row],[Loss date]]))</f>
        <v>2012</v>
      </c>
      <c r="AC1027" s="17">
        <f>IF(MONTH(Table1[[#This Row],[Reporting date]])&lt;Pol_Inc_Month_Shifted,YEAR(Table1[[#This Row],[Reporting date]])-1,YEAR(Table1[[#This Row],[Reporting date]]))</f>
        <v>2012</v>
      </c>
      <c r="AD1027" s="17">
        <f>Table1[[#This Row],[Reporting year (shifted)]]-Table1[[#This Row],[Policy Year (shifted)]]</f>
        <v>0</v>
      </c>
    </row>
    <row r="1028" spans="1:30" ht="13.9">
      <c r="A1028" s="8" t="s">
        <v>2798</v>
      </c>
      <c r="B1028" s="8" t="s">
        <v>1080</v>
      </c>
      <c r="C1028" s="8" t="s">
        <v>123</v>
      </c>
      <c r="D1028" s="9">
        <v>40958</v>
      </c>
      <c r="E1028" s="9">
        <v>41405</v>
      </c>
      <c r="F1028" s="17">
        <f>IF(MONTH(Table1[[#This Row],[Loss date]])&lt;Policy_Inception_Month,YEAR(Table1[[#This Row],[Loss date]])-1,YEAR(Table1[[#This Row],[Loss date]]))</f>
        <v>2011</v>
      </c>
      <c r="G1028" s="10" t="s">
        <v>150</v>
      </c>
      <c r="H1028" s="10" t="s">
        <v>2</v>
      </c>
      <c r="I1028" s="11">
        <v>3232.6540573921993</v>
      </c>
      <c r="J1028" s="11">
        <v>0</v>
      </c>
      <c r="K1028" s="11">
        <v>3232.6540573921993</v>
      </c>
      <c r="L1028" s="12">
        <v>0</v>
      </c>
      <c r="M1028" s="12">
        <v>0</v>
      </c>
      <c r="N1028" s="12">
        <v>3232.6540573921993</v>
      </c>
      <c r="O1028" s="70">
        <f>IF(Table1[[#This Row],[Overall amount]]=0,0,1)</f>
        <v>1</v>
      </c>
      <c r="P1028" s="70">
        <f>Table1[[#This Row],[Overall amount]]*Exchange_Rate</f>
        <v>3232.6540573921993</v>
      </c>
      <c r="Q1028" s="70">
        <f>Table1[[#This Row],[Overall (destination currency)]]*(1+Claims_Inflation)^((Revalue_at_date-Table1[[#This Row],[Loss date]])/365.25)</f>
        <v>3855.9959999999996</v>
      </c>
      <c r="R1028" s="70">
        <f>INT(Table1[[#This Row],[Reporting date]])-INT(Table1[[#This Row],[Loss date]])</f>
        <v>447</v>
      </c>
      <c r="S1028" s="69" t="s">
        <v>9</v>
      </c>
      <c r="T1028" s="70">
        <f>VLOOKUP(Table1[[#This Row],[Policy Year]],exposure_table,3,FALSE)</f>
        <v>870.52680000000009</v>
      </c>
      <c r="U1028" s="17">
        <f>IF(MONTH(Table1[[#This Row],[Reporting date]])&lt;Policy_Inception_Month,YEAR(Table1[[#This Row],[Reporting date]])-1,YEAR(Table1[[#This Row],[Reporting date]]))</f>
        <v>2013</v>
      </c>
      <c r="V1028" s="17">
        <f>Table1[[#This Row],[Reporting year]]-Table1[[#This Row],[Policy Year]]</f>
        <v>2</v>
      </c>
      <c r="W1028" s="17">
        <f>INT(Table1[[#This Row],[Reporting date]])-INT(Table1[[#This Row],[Loss date]])</f>
        <v>447</v>
      </c>
      <c r="X1028" s="17">
        <f>INT((YEAR(Table1[[#This Row],[Loss date]])*12+MONTH(Table1[[#This Row],[Loss date]])-Earliest_Month)/4)</f>
        <v>20</v>
      </c>
      <c r="Y1028" s="17">
        <f>INT((YEAR(Table1[[#This Row],[Reporting date]])*12+MONTH(Table1[[#This Row],[Reporting date]])-Earliest_Month)/4)</f>
        <v>24</v>
      </c>
      <c r="Z1028" s="17">
        <f>Table1[[#This Row],[Reporting third]]-Table1[[#This Row],[Policy third]]</f>
        <v>4</v>
      </c>
      <c r="AA1028" s="71">
        <f>IF(Table1[[#This Row],[Overall amount]]=0,"N/A",Table1[[#This Row],[Outstanding]]/Table1[[#This Row],[Overall amount]])</f>
        <v>0</v>
      </c>
      <c r="AB1028" s="17">
        <f>IF(MONTH(Table1[[#This Row],[Loss date]])&lt;Pol_Inc_Month_Shifted,YEAR(Table1[[#This Row],[Loss date]])-1,YEAR(Table1[[#This Row],[Loss date]]))</f>
        <v>2011</v>
      </c>
      <c r="AC1028" s="17">
        <f>IF(MONTH(Table1[[#This Row],[Reporting date]])&lt;Pol_Inc_Month_Shifted,YEAR(Table1[[#This Row],[Reporting date]])-1,YEAR(Table1[[#This Row],[Reporting date]]))</f>
        <v>2012</v>
      </c>
      <c r="AD1028" s="17">
        <f>Table1[[#This Row],[Reporting year (shifted)]]-Table1[[#This Row],[Policy Year (shifted)]]</f>
        <v>1</v>
      </c>
    </row>
    <row r="1029" spans="1:30" ht="13.9">
      <c r="A1029" s="8" t="s">
        <v>2799</v>
      </c>
      <c r="B1029" s="8" t="s">
        <v>1081</v>
      </c>
      <c r="C1029" s="8" t="s">
        <v>123</v>
      </c>
      <c r="D1029" s="9">
        <v>41246</v>
      </c>
      <c r="E1029" s="9">
        <v>41456</v>
      </c>
      <c r="F1029" s="17">
        <f>IF(MONTH(Table1[[#This Row],[Loss date]])&lt;Policy_Inception_Month,YEAR(Table1[[#This Row],[Loss date]])-1,YEAR(Table1[[#This Row],[Loss date]]))</f>
        <v>2012</v>
      </c>
      <c r="G1029" s="10" t="s">
        <v>125</v>
      </c>
      <c r="H1029" s="10" t="s">
        <v>2</v>
      </c>
      <c r="I1029" s="11">
        <v>20732.720883548638</v>
      </c>
      <c r="J1029" s="11">
        <v>0</v>
      </c>
      <c r="K1029" s="11">
        <v>20732.720883548638</v>
      </c>
      <c r="L1029" s="12">
        <v>313.64108038246133</v>
      </c>
      <c r="M1029" s="12">
        <v>0</v>
      </c>
      <c r="N1029" s="12">
        <v>21046.3619639311</v>
      </c>
      <c r="O1029" s="70">
        <f>IF(Table1[[#This Row],[Overall amount]]=0,0,1)</f>
        <v>1</v>
      </c>
      <c r="P1029" s="70">
        <f>Table1[[#This Row],[Overall amount]]*Exchange_Rate</f>
        <v>21046.3619639311</v>
      </c>
      <c r="Q1029" s="70">
        <f>Table1[[#This Row],[Overall (destination currency)]]*(1+Claims_Inflation)^((Revalue_at_date-Table1[[#This Row],[Loss date]])/365.25)</f>
        <v>24157.200000000004</v>
      </c>
      <c r="R1029" s="70">
        <f>INT(Table1[[#This Row],[Reporting date]])-INT(Table1[[#This Row],[Loss date]])</f>
        <v>210</v>
      </c>
      <c r="S1029" s="69" t="s">
        <v>9</v>
      </c>
      <c r="T1029" s="70">
        <f>VLOOKUP(Table1[[#This Row],[Policy Year]],exposure_table,3,FALSE)</f>
        <v>1057.54</v>
      </c>
      <c r="U1029" s="17">
        <f>IF(MONTH(Table1[[#This Row],[Reporting date]])&lt;Policy_Inception_Month,YEAR(Table1[[#This Row],[Reporting date]])-1,YEAR(Table1[[#This Row],[Reporting date]]))</f>
        <v>2013</v>
      </c>
      <c r="V1029" s="17">
        <f>Table1[[#This Row],[Reporting year]]-Table1[[#This Row],[Policy Year]]</f>
        <v>1</v>
      </c>
      <c r="W1029" s="17">
        <f>INT(Table1[[#This Row],[Reporting date]])-INT(Table1[[#This Row],[Loss date]])</f>
        <v>210</v>
      </c>
      <c r="X1029" s="17">
        <f>INT((YEAR(Table1[[#This Row],[Loss date]])*12+MONTH(Table1[[#This Row],[Loss date]])-Earliest_Month)/4)</f>
        <v>23</v>
      </c>
      <c r="Y1029" s="17">
        <f>INT((YEAR(Table1[[#This Row],[Reporting date]])*12+MONTH(Table1[[#This Row],[Reporting date]])-Earliest_Month)/4)</f>
        <v>24</v>
      </c>
      <c r="Z1029" s="17">
        <f>Table1[[#This Row],[Reporting third]]-Table1[[#This Row],[Policy third]]</f>
        <v>1</v>
      </c>
      <c r="AA1029" s="71">
        <f>IF(Table1[[#This Row],[Overall amount]]=0,"N/A",Table1[[#This Row],[Outstanding]]/Table1[[#This Row],[Overall amount]])</f>
        <v>0</v>
      </c>
      <c r="AB1029" s="17">
        <f>IF(MONTH(Table1[[#This Row],[Loss date]])&lt;Pol_Inc_Month_Shifted,YEAR(Table1[[#This Row],[Loss date]])-1,YEAR(Table1[[#This Row],[Loss date]]))</f>
        <v>2012</v>
      </c>
      <c r="AC1029" s="17">
        <f>IF(MONTH(Table1[[#This Row],[Reporting date]])&lt;Pol_Inc_Month_Shifted,YEAR(Table1[[#This Row],[Reporting date]])-1,YEAR(Table1[[#This Row],[Reporting date]]))</f>
        <v>2012</v>
      </c>
      <c r="AD1029" s="17">
        <f>Table1[[#This Row],[Reporting year (shifted)]]-Table1[[#This Row],[Policy Year (shifted)]]</f>
        <v>0</v>
      </c>
    </row>
    <row r="1030" spans="1:30" ht="13.9">
      <c r="A1030" s="8" t="s">
        <v>2800</v>
      </c>
      <c r="B1030" s="8" t="s">
        <v>1082</v>
      </c>
      <c r="C1030" s="8" t="s">
        <v>123</v>
      </c>
      <c r="D1030" s="9">
        <v>41475</v>
      </c>
      <c r="E1030" s="9">
        <v>41497</v>
      </c>
      <c r="F1030" s="17">
        <f>IF(MONTH(Table1[[#This Row],[Loss date]])&lt;Policy_Inception_Month,YEAR(Table1[[#This Row],[Loss date]])-1,YEAR(Table1[[#This Row],[Loss date]]))</f>
        <v>2013</v>
      </c>
      <c r="G1030" s="10" t="s">
        <v>131</v>
      </c>
      <c r="H1030" s="10" t="s">
        <v>2</v>
      </c>
      <c r="I1030" s="11">
        <v>1293.5342767494349</v>
      </c>
      <c r="J1030" s="11">
        <v>0</v>
      </c>
      <c r="K1030" s="11">
        <v>1293.5342767494349</v>
      </c>
      <c r="L1030" s="12">
        <v>0</v>
      </c>
      <c r="M1030" s="12">
        <v>0</v>
      </c>
      <c r="N1030" s="12">
        <v>1293.5342767494349</v>
      </c>
      <c r="O1030" s="70">
        <f>IF(Table1[[#This Row],[Overall amount]]=0,0,1)</f>
        <v>1</v>
      </c>
      <c r="P1030" s="70">
        <f>Table1[[#This Row],[Overall amount]]*Exchange_Rate</f>
        <v>1293.5342767494349</v>
      </c>
      <c r="Q1030" s="70">
        <f>Table1[[#This Row],[Overall (destination currency)]]*(1+Claims_Inflation)^((Revalue_at_date-Table1[[#This Row],[Loss date]])/365.25)</f>
        <v>1439.9999999999998</v>
      </c>
      <c r="R1030" s="70">
        <f>INT(Table1[[#This Row],[Reporting date]])-INT(Table1[[#This Row],[Loss date]])</f>
        <v>22</v>
      </c>
      <c r="S1030" s="69" t="s">
        <v>9</v>
      </c>
      <c r="T1030" s="70">
        <f>VLOOKUP(Table1[[#This Row],[Policy Year]],exposure_table,3,FALSE)</f>
        <v>1090.5865384615383</v>
      </c>
      <c r="U1030" s="17">
        <f>IF(MONTH(Table1[[#This Row],[Reporting date]])&lt;Policy_Inception_Month,YEAR(Table1[[#This Row],[Reporting date]])-1,YEAR(Table1[[#This Row],[Reporting date]]))</f>
        <v>2013</v>
      </c>
      <c r="V1030" s="17">
        <f>Table1[[#This Row],[Reporting year]]-Table1[[#This Row],[Policy Year]]</f>
        <v>0</v>
      </c>
      <c r="W1030" s="17">
        <f>INT(Table1[[#This Row],[Reporting date]])-INT(Table1[[#This Row],[Loss date]])</f>
        <v>22</v>
      </c>
      <c r="X1030" s="17">
        <f>INT((YEAR(Table1[[#This Row],[Loss date]])*12+MONTH(Table1[[#This Row],[Loss date]])-Earliest_Month)/4)</f>
        <v>24</v>
      </c>
      <c r="Y1030" s="17">
        <f>INT((YEAR(Table1[[#This Row],[Reporting date]])*12+MONTH(Table1[[#This Row],[Reporting date]])-Earliest_Month)/4)</f>
        <v>25</v>
      </c>
      <c r="Z1030" s="17">
        <f>Table1[[#This Row],[Reporting third]]-Table1[[#This Row],[Policy third]]</f>
        <v>1</v>
      </c>
      <c r="AA1030" s="71">
        <f>IF(Table1[[#This Row],[Overall amount]]=0,"N/A",Table1[[#This Row],[Outstanding]]/Table1[[#This Row],[Overall amount]])</f>
        <v>0</v>
      </c>
      <c r="AB1030" s="17">
        <f>IF(MONTH(Table1[[#This Row],[Loss date]])&lt;Pol_Inc_Month_Shifted,YEAR(Table1[[#This Row],[Loss date]])-1,YEAR(Table1[[#This Row],[Loss date]]))</f>
        <v>2012</v>
      </c>
      <c r="AC1030" s="17">
        <f>IF(MONTH(Table1[[#This Row],[Reporting date]])&lt;Pol_Inc_Month_Shifted,YEAR(Table1[[#This Row],[Reporting date]])-1,YEAR(Table1[[#This Row],[Reporting date]]))</f>
        <v>2012</v>
      </c>
      <c r="AD1030" s="17">
        <f>Table1[[#This Row],[Reporting year (shifted)]]-Table1[[#This Row],[Policy Year (shifted)]]</f>
        <v>0</v>
      </c>
    </row>
    <row r="1031" spans="1:30" ht="13.9">
      <c r="A1031" s="8" t="s">
        <v>2801</v>
      </c>
      <c r="B1031" s="8" t="s">
        <v>1083</v>
      </c>
      <c r="C1031" s="8" t="s">
        <v>123</v>
      </c>
      <c r="D1031" s="9">
        <v>41246</v>
      </c>
      <c r="E1031" s="9">
        <v>41518</v>
      </c>
      <c r="F1031" s="17">
        <f>IF(MONTH(Table1[[#This Row],[Loss date]])&lt;Policy_Inception_Month,YEAR(Table1[[#This Row],[Loss date]])-1,YEAR(Table1[[#This Row],[Loss date]]))</f>
        <v>2012</v>
      </c>
      <c r="G1031" s="10" t="s">
        <v>125</v>
      </c>
      <c r="H1031" s="10" t="s">
        <v>2</v>
      </c>
      <c r="I1031" s="11">
        <v>575.0086473678457</v>
      </c>
      <c r="J1031" s="11">
        <v>0</v>
      </c>
      <c r="K1031" s="11">
        <v>575.0086473678457</v>
      </c>
      <c r="L1031" s="12">
        <v>313.64108038246127</v>
      </c>
      <c r="M1031" s="12">
        <v>73.757927403275488</v>
      </c>
      <c r="N1031" s="12">
        <v>814.89180034703145</v>
      </c>
      <c r="O1031" s="70">
        <f>IF(Table1[[#This Row],[Overall amount]]=0,0,1)</f>
        <v>1</v>
      </c>
      <c r="P1031" s="70">
        <f>Table1[[#This Row],[Overall amount]]*Exchange_Rate</f>
        <v>814.89180034703145</v>
      </c>
      <c r="Q1031" s="70">
        <f>Table1[[#This Row],[Overall (destination currency)]]*(1+Claims_Inflation)^((Revalue_at_date-Table1[[#This Row],[Loss date]])/365.25)</f>
        <v>935.3399999999998</v>
      </c>
      <c r="R1031" s="70">
        <f>INT(Table1[[#This Row],[Reporting date]])-INT(Table1[[#This Row],[Loss date]])</f>
        <v>272</v>
      </c>
      <c r="S1031" s="69" t="s">
        <v>9</v>
      </c>
      <c r="T1031" s="70">
        <f>VLOOKUP(Table1[[#This Row],[Policy Year]],exposure_table,3,FALSE)</f>
        <v>1057.54</v>
      </c>
      <c r="U1031" s="17">
        <f>IF(MONTH(Table1[[#This Row],[Reporting date]])&lt;Policy_Inception_Month,YEAR(Table1[[#This Row],[Reporting date]])-1,YEAR(Table1[[#This Row],[Reporting date]]))</f>
        <v>2013</v>
      </c>
      <c r="V1031" s="17">
        <f>Table1[[#This Row],[Reporting year]]-Table1[[#This Row],[Policy Year]]</f>
        <v>1</v>
      </c>
      <c r="W1031" s="17">
        <f>INT(Table1[[#This Row],[Reporting date]])-INT(Table1[[#This Row],[Loss date]])</f>
        <v>272</v>
      </c>
      <c r="X1031" s="17">
        <f>INT((YEAR(Table1[[#This Row],[Loss date]])*12+MONTH(Table1[[#This Row],[Loss date]])-Earliest_Month)/4)</f>
        <v>23</v>
      </c>
      <c r="Y1031" s="17">
        <f>INT((YEAR(Table1[[#This Row],[Reporting date]])*12+MONTH(Table1[[#This Row],[Reporting date]])-Earliest_Month)/4)</f>
        <v>25</v>
      </c>
      <c r="Z1031" s="17">
        <f>Table1[[#This Row],[Reporting third]]-Table1[[#This Row],[Policy third]]</f>
        <v>2</v>
      </c>
      <c r="AA1031" s="71">
        <f>IF(Table1[[#This Row],[Overall amount]]=0,"N/A",Table1[[#This Row],[Outstanding]]/Table1[[#This Row],[Overall amount]])</f>
        <v>0</v>
      </c>
      <c r="AB1031" s="17">
        <f>IF(MONTH(Table1[[#This Row],[Loss date]])&lt;Pol_Inc_Month_Shifted,YEAR(Table1[[#This Row],[Loss date]])-1,YEAR(Table1[[#This Row],[Loss date]]))</f>
        <v>2012</v>
      </c>
      <c r="AC1031" s="17">
        <f>IF(MONTH(Table1[[#This Row],[Reporting date]])&lt;Pol_Inc_Month_Shifted,YEAR(Table1[[#This Row],[Reporting date]])-1,YEAR(Table1[[#This Row],[Reporting date]]))</f>
        <v>2012</v>
      </c>
      <c r="AD1031" s="17">
        <f>Table1[[#This Row],[Reporting year (shifted)]]-Table1[[#This Row],[Policy Year (shifted)]]</f>
        <v>0</v>
      </c>
    </row>
    <row r="1032" spans="1:30" ht="13.9">
      <c r="A1032" s="8" t="s">
        <v>2802</v>
      </c>
      <c r="B1032" s="8" t="s">
        <v>1084</v>
      </c>
      <c r="C1032" s="8" t="s">
        <v>123</v>
      </c>
      <c r="D1032" s="9">
        <v>41418</v>
      </c>
      <c r="E1032" s="9">
        <v>41426</v>
      </c>
      <c r="F1032" s="17">
        <f>IF(MONTH(Table1[[#This Row],[Loss date]])&lt;Policy_Inception_Month,YEAR(Table1[[#This Row],[Loss date]])-1,YEAR(Table1[[#This Row],[Loss date]]))</f>
        <v>2013</v>
      </c>
      <c r="G1032" s="10" t="s">
        <v>131</v>
      </c>
      <c r="H1032" s="10" t="s">
        <v>2</v>
      </c>
      <c r="I1032" s="11">
        <v>0</v>
      </c>
      <c r="J1032" s="11">
        <v>0</v>
      </c>
      <c r="K1032" s="11">
        <v>0</v>
      </c>
      <c r="L1032" s="12">
        <v>0</v>
      </c>
      <c r="M1032" s="12">
        <v>0</v>
      </c>
      <c r="N1032" s="12">
        <v>0</v>
      </c>
      <c r="O1032" s="70">
        <f>IF(Table1[[#This Row],[Overall amount]]=0,0,1)</f>
        <v>0</v>
      </c>
      <c r="P1032" s="70">
        <f>Table1[[#This Row],[Overall amount]]*Exchange_Rate</f>
        <v>0</v>
      </c>
      <c r="Q1032" s="70">
        <f>Table1[[#This Row],[Overall (destination currency)]]*(1+Claims_Inflation)^((Revalue_at_date-Table1[[#This Row],[Loss date]])/365.25)</f>
        <v>0</v>
      </c>
      <c r="R1032" s="70">
        <f>INT(Table1[[#This Row],[Reporting date]])-INT(Table1[[#This Row],[Loss date]])</f>
        <v>8</v>
      </c>
      <c r="S1032" s="69" t="s">
        <v>9</v>
      </c>
      <c r="T1032" s="70">
        <f>VLOOKUP(Table1[[#This Row],[Policy Year]],exposure_table,3,FALSE)</f>
        <v>1090.5865384615383</v>
      </c>
      <c r="U1032" s="17">
        <f>IF(MONTH(Table1[[#This Row],[Reporting date]])&lt;Policy_Inception_Month,YEAR(Table1[[#This Row],[Reporting date]])-1,YEAR(Table1[[#This Row],[Reporting date]]))</f>
        <v>2013</v>
      </c>
      <c r="V1032" s="17">
        <f>Table1[[#This Row],[Reporting year]]-Table1[[#This Row],[Policy Year]]</f>
        <v>0</v>
      </c>
      <c r="W1032" s="17">
        <f>INT(Table1[[#This Row],[Reporting date]])-INT(Table1[[#This Row],[Loss date]])</f>
        <v>8</v>
      </c>
      <c r="X1032" s="17">
        <f>INT((YEAR(Table1[[#This Row],[Loss date]])*12+MONTH(Table1[[#This Row],[Loss date]])-Earliest_Month)/4)</f>
        <v>24</v>
      </c>
      <c r="Y1032" s="17">
        <f>INT((YEAR(Table1[[#This Row],[Reporting date]])*12+MONTH(Table1[[#This Row],[Reporting date]])-Earliest_Month)/4)</f>
        <v>24</v>
      </c>
      <c r="Z1032" s="17">
        <f>Table1[[#This Row],[Reporting third]]-Table1[[#This Row],[Policy third]]</f>
        <v>0</v>
      </c>
      <c r="AA1032" s="71" t="str">
        <f>IF(Table1[[#This Row],[Overall amount]]=0,"N/A",Table1[[#This Row],[Outstanding]]/Table1[[#This Row],[Overall amount]])</f>
        <v>N/A</v>
      </c>
      <c r="AB1032" s="17">
        <f>IF(MONTH(Table1[[#This Row],[Loss date]])&lt;Pol_Inc_Month_Shifted,YEAR(Table1[[#This Row],[Loss date]])-1,YEAR(Table1[[#This Row],[Loss date]]))</f>
        <v>2012</v>
      </c>
      <c r="AC1032" s="17">
        <f>IF(MONTH(Table1[[#This Row],[Reporting date]])&lt;Pol_Inc_Month_Shifted,YEAR(Table1[[#This Row],[Reporting date]])-1,YEAR(Table1[[#This Row],[Reporting date]]))</f>
        <v>2012</v>
      </c>
      <c r="AD1032" s="17">
        <f>Table1[[#This Row],[Reporting year (shifted)]]-Table1[[#This Row],[Policy Year (shifted)]]</f>
        <v>0</v>
      </c>
    </row>
    <row r="1033" spans="1:30" ht="13.9">
      <c r="A1033" s="8" t="s">
        <v>2803</v>
      </c>
      <c r="B1033" s="8" t="s">
        <v>1085</v>
      </c>
      <c r="C1033" s="8" t="s">
        <v>123</v>
      </c>
      <c r="D1033" s="9">
        <v>41539</v>
      </c>
      <c r="E1033" s="9">
        <v>41547</v>
      </c>
      <c r="F1033" s="17">
        <f>IF(MONTH(Table1[[#This Row],[Loss date]])&lt;Policy_Inception_Month,YEAR(Table1[[#This Row],[Loss date]])-1,YEAR(Table1[[#This Row],[Loss date]]))</f>
        <v>2013</v>
      </c>
      <c r="G1033" s="10" t="s">
        <v>131</v>
      </c>
      <c r="H1033" s="10" t="s">
        <v>2</v>
      </c>
      <c r="I1033" s="11">
        <v>0</v>
      </c>
      <c r="J1033" s="11">
        <v>8697.6018525072504</v>
      </c>
      <c r="K1033" s="11">
        <v>8697.6018525072504</v>
      </c>
      <c r="L1033" s="12">
        <v>0</v>
      </c>
      <c r="M1033" s="12">
        <v>0</v>
      </c>
      <c r="N1033" s="12">
        <v>8697.6018525072504</v>
      </c>
      <c r="O1033" s="70">
        <f>IF(Table1[[#This Row],[Overall amount]]=0,0,1)</f>
        <v>1</v>
      </c>
      <c r="P1033" s="70">
        <f>Table1[[#This Row],[Overall amount]]*Exchange_Rate</f>
        <v>8697.6018525072504</v>
      </c>
      <c r="Q1033" s="70">
        <f>Table1[[#This Row],[Overall (destination currency)]]*(1+Claims_Inflation)^((Revalue_at_date-Table1[[#This Row],[Loss date]])/365.25)</f>
        <v>9600.0000000000018</v>
      </c>
      <c r="R1033" s="70">
        <f>INT(Table1[[#This Row],[Reporting date]])-INT(Table1[[#This Row],[Loss date]])</f>
        <v>8</v>
      </c>
      <c r="S1033" s="69" t="s">
        <v>16</v>
      </c>
      <c r="T1033" s="70">
        <f>VLOOKUP(Table1[[#This Row],[Policy Year]],exposure_table,3,FALSE)</f>
        <v>1090.5865384615383</v>
      </c>
      <c r="U1033" s="17">
        <f>IF(MONTH(Table1[[#This Row],[Reporting date]])&lt;Policy_Inception_Month,YEAR(Table1[[#This Row],[Reporting date]])-1,YEAR(Table1[[#This Row],[Reporting date]]))</f>
        <v>2013</v>
      </c>
      <c r="V1033" s="17">
        <f>Table1[[#This Row],[Reporting year]]-Table1[[#This Row],[Policy Year]]</f>
        <v>0</v>
      </c>
      <c r="W1033" s="17">
        <f>INT(Table1[[#This Row],[Reporting date]])-INT(Table1[[#This Row],[Loss date]])</f>
        <v>8</v>
      </c>
      <c r="X1033" s="17">
        <f>INT((YEAR(Table1[[#This Row],[Loss date]])*12+MONTH(Table1[[#This Row],[Loss date]])-Earliest_Month)/4)</f>
        <v>25</v>
      </c>
      <c r="Y1033" s="17">
        <f>INT((YEAR(Table1[[#This Row],[Reporting date]])*12+MONTH(Table1[[#This Row],[Reporting date]])-Earliest_Month)/4)</f>
        <v>25</v>
      </c>
      <c r="Z1033" s="17">
        <f>Table1[[#This Row],[Reporting third]]-Table1[[#This Row],[Policy third]]</f>
        <v>0</v>
      </c>
      <c r="AA1033" s="71">
        <f>IF(Table1[[#This Row],[Overall amount]]=0,"N/A",Table1[[#This Row],[Outstanding]]/Table1[[#This Row],[Overall amount]])</f>
        <v>1</v>
      </c>
      <c r="AB1033" s="17">
        <f>IF(MONTH(Table1[[#This Row],[Loss date]])&lt;Pol_Inc_Month_Shifted,YEAR(Table1[[#This Row],[Loss date]])-1,YEAR(Table1[[#This Row],[Loss date]]))</f>
        <v>2012</v>
      </c>
      <c r="AC1033" s="17">
        <f>IF(MONTH(Table1[[#This Row],[Reporting date]])&lt;Pol_Inc_Month_Shifted,YEAR(Table1[[#This Row],[Reporting date]])-1,YEAR(Table1[[#This Row],[Reporting date]]))</f>
        <v>2012</v>
      </c>
      <c r="AD1033" s="17">
        <f>Table1[[#This Row],[Reporting year (shifted)]]-Table1[[#This Row],[Policy Year (shifted)]]</f>
        <v>0</v>
      </c>
    </row>
    <row r="1034" spans="1:30" ht="13.9">
      <c r="A1034" s="8" t="s">
        <v>2804</v>
      </c>
      <c r="B1034" s="8" t="s">
        <v>1086</v>
      </c>
      <c r="C1034" s="8" t="s">
        <v>123</v>
      </c>
      <c r="D1034" s="9">
        <v>41496</v>
      </c>
      <c r="E1034" s="9">
        <v>41653</v>
      </c>
      <c r="F1034" s="17">
        <f>IF(MONTH(Table1[[#This Row],[Loss date]])&lt;Policy_Inception_Month,YEAR(Table1[[#This Row],[Loss date]])-1,YEAR(Table1[[#This Row],[Loss date]]))</f>
        <v>2013</v>
      </c>
      <c r="G1034" s="10" t="s">
        <v>125</v>
      </c>
      <c r="H1034" s="10" t="s">
        <v>2</v>
      </c>
      <c r="I1034" s="11">
        <v>0</v>
      </c>
      <c r="J1034" s="11">
        <v>13604.049112495491</v>
      </c>
      <c r="K1034" s="11">
        <v>13604.049112495491</v>
      </c>
      <c r="L1034" s="12">
        <v>0</v>
      </c>
      <c r="M1034" s="12">
        <v>0</v>
      </c>
      <c r="N1034" s="12">
        <v>13604.049112495491</v>
      </c>
      <c r="O1034" s="70">
        <f>IF(Table1[[#This Row],[Overall amount]]=0,0,1)</f>
        <v>1</v>
      </c>
      <c r="P1034" s="70">
        <f>Table1[[#This Row],[Overall amount]]*Exchange_Rate</f>
        <v>13604.049112495491</v>
      </c>
      <c r="Q1034" s="70">
        <f>Table1[[#This Row],[Overall (destination currency)]]*(1+Claims_Inflation)^((Revalue_at_date-Table1[[#This Row],[Loss date]])/365.25)</f>
        <v>15102</v>
      </c>
      <c r="R1034" s="70">
        <f>INT(Table1[[#This Row],[Reporting date]])-INT(Table1[[#This Row],[Loss date]])</f>
        <v>157</v>
      </c>
      <c r="S1034" s="69" t="s">
        <v>16</v>
      </c>
      <c r="T1034" s="70">
        <f>VLOOKUP(Table1[[#This Row],[Policy Year]],exposure_table,3,FALSE)</f>
        <v>1090.5865384615383</v>
      </c>
      <c r="U1034" s="17">
        <f>IF(MONTH(Table1[[#This Row],[Reporting date]])&lt;Policy_Inception_Month,YEAR(Table1[[#This Row],[Reporting date]])-1,YEAR(Table1[[#This Row],[Reporting date]]))</f>
        <v>2013</v>
      </c>
      <c r="V1034" s="17">
        <f>Table1[[#This Row],[Reporting year]]-Table1[[#This Row],[Policy Year]]</f>
        <v>0</v>
      </c>
      <c r="W1034" s="17">
        <f>INT(Table1[[#This Row],[Reporting date]])-INT(Table1[[#This Row],[Loss date]])</f>
        <v>157</v>
      </c>
      <c r="X1034" s="17">
        <f>INT((YEAR(Table1[[#This Row],[Loss date]])*12+MONTH(Table1[[#This Row],[Loss date]])-Earliest_Month)/4)</f>
        <v>25</v>
      </c>
      <c r="Y1034" s="17">
        <f>INT((YEAR(Table1[[#This Row],[Reporting date]])*12+MONTH(Table1[[#This Row],[Reporting date]])-Earliest_Month)/4)</f>
        <v>26</v>
      </c>
      <c r="Z1034" s="17">
        <f>Table1[[#This Row],[Reporting third]]-Table1[[#This Row],[Policy third]]</f>
        <v>1</v>
      </c>
      <c r="AA1034" s="71">
        <f>IF(Table1[[#This Row],[Overall amount]]=0,"N/A",Table1[[#This Row],[Outstanding]]/Table1[[#This Row],[Overall amount]])</f>
        <v>1</v>
      </c>
      <c r="AB1034" s="17">
        <f>IF(MONTH(Table1[[#This Row],[Loss date]])&lt;Pol_Inc_Month_Shifted,YEAR(Table1[[#This Row],[Loss date]])-1,YEAR(Table1[[#This Row],[Loss date]]))</f>
        <v>2012</v>
      </c>
      <c r="AC1034" s="17">
        <f>IF(MONTH(Table1[[#This Row],[Reporting date]])&lt;Pol_Inc_Month_Shifted,YEAR(Table1[[#This Row],[Reporting date]])-1,YEAR(Table1[[#This Row],[Reporting date]]))</f>
        <v>2013</v>
      </c>
      <c r="AD1034" s="17">
        <f>Table1[[#This Row],[Reporting year (shifted)]]-Table1[[#This Row],[Policy Year (shifted)]]</f>
        <v>1</v>
      </c>
    </row>
    <row r="1035" spans="1:30" ht="13.9">
      <c r="A1035" s="8" t="s">
        <v>2805</v>
      </c>
      <c r="B1035" s="8" t="s">
        <v>1087</v>
      </c>
      <c r="C1035" s="8" t="s">
        <v>123</v>
      </c>
      <c r="D1035" s="9">
        <v>41093</v>
      </c>
      <c r="E1035" s="9">
        <v>41603</v>
      </c>
      <c r="F1035" s="17">
        <f>IF(MONTH(Table1[[#This Row],[Loss date]])&lt;Policy_Inception_Month,YEAR(Table1[[#This Row],[Loss date]])-1,YEAR(Table1[[#This Row],[Loss date]]))</f>
        <v>2012</v>
      </c>
      <c r="G1035" s="10" t="s">
        <v>131</v>
      </c>
      <c r="H1035" s="10" t="s">
        <v>2</v>
      </c>
      <c r="I1035" s="11">
        <v>0</v>
      </c>
      <c r="J1035" s="11">
        <v>0</v>
      </c>
      <c r="K1035" s="11">
        <v>0</v>
      </c>
      <c r="L1035" s="12">
        <v>0</v>
      </c>
      <c r="M1035" s="12">
        <v>0</v>
      </c>
      <c r="N1035" s="12">
        <v>0</v>
      </c>
      <c r="O1035" s="70">
        <f>IF(Table1[[#This Row],[Overall amount]]=0,0,1)</f>
        <v>0</v>
      </c>
      <c r="P1035" s="70">
        <f>Table1[[#This Row],[Overall amount]]*Exchange_Rate</f>
        <v>0</v>
      </c>
      <c r="Q1035" s="70">
        <f>Table1[[#This Row],[Overall (destination currency)]]*(1+Claims_Inflation)^((Revalue_at_date-Table1[[#This Row],[Loss date]])/365.25)</f>
        <v>0</v>
      </c>
      <c r="R1035" s="70">
        <f>INT(Table1[[#This Row],[Reporting date]])-INT(Table1[[#This Row],[Loss date]])</f>
        <v>510</v>
      </c>
      <c r="S1035" s="69" t="s">
        <v>9</v>
      </c>
      <c r="T1035" s="70">
        <f>VLOOKUP(Table1[[#This Row],[Policy Year]],exposure_table,3,FALSE)</f>
        <v>1057.54</v>
      </c>
      <c r="U1035" s="17">
        <f>IF(MONTH(Table1[[#This Row],[Reporting date]])&lt;Policy_Inception_Month,YEAR(Table1[[#This Row],[Reporting date]])-1,YEAR(Table1[[#This Row],[Reporting date]]))</f>
        <v>2013</v>
      </c>
      <c r="V1035" s="17">
        <f>Table1[[#This Row],[Reporting year]]-Table1[[#This Row],[Policy Year]]</f>
        <v>1</v>
      </c>
      <c r="W1035" s="17">
        <f>INT(Table1[[#This Row],[Reporting date]])-INT(Table1[[#This Row],[Loss date]])</f>
        <v>510</v>
      </c>
      <c r="X1035" s="17">
        <f>INT((YEAR(Table1[[#This Row],[Loss date]])*12+MONTH(Table1[[#This Row],[Loss date]])-Earliest_Month)/4)</f>
        <v>21</v>
      </c>
      <c r="Y1035" s="17">
        <f>INT((YEAR(Table1[[#This Row],[Reporting date]])*12+MONTH(Table1[[#This Row],[Reporting date]])-Earliest_Month)/4)</f>
        <v>25</v>
      </c>
      <c r="Z1035" s="17">
        <f>Table1[[#This Row],[Reporting third]]-Table1[[#This Row],[Policy third]]</f>
        <v>4</v>
      </c>
      <c r="AA1035" s="71" t="str">
        <f>IF(Table1[[#This Row],[Overall amount]]=0,"N/A",Table1[[#This Row],[Outstanding]]/Table1[[#This Row],[Overall amount]])</f>
        <v>N/A</v>
      </c>
      <c r="AB1035" s="17">
        <f>IF(MONTH(Table1[[#This Row],[Loss date]])&lt;Pol_Inc_Month_Shifted,YEAR(Table1[[#This Row],[Loss date]])-1,YEAR(Table1[[#This Row],[Loss date]]))</f>
        <v>2011</v>
      </c>
      <c r="AC1035" s="17">
        <f>IF(MONTH(Table1[[#This Row],[Reporting date]])&lt;Pol_Inc_Month_Shifted,YEAR(Table1[[#This Row],[Reporting date]])-1,YEAR(Table1[[#This Row],[Reporting date]]))</f>
        <v>2012</v>
      </c>
      <c r="AD1035" s="17">
        <f>Table1[[#This Row],[Reporting year (shifted)]]-Table1[[#This Row],[Policy Year (shifted)]]</f>
        <v>1</v>
      </c>
    </row>
    <row r="1036" spans="1:30" ht="13.9">
      <c r="A1036" s="8" t="s">
        <v>2806</v>
      </c>
      <c r="B1036" s="8" t="s">
        <v>1088</v>
      </c>
      <c r="C1036" s="8" t="s">
        <v>123</v>
      </c>
      <c r="D1036" s="9">
        <v>41463</v>
      </c>
      <c r="E1036" s="9">
        <v>41615</v>
      </c>
      <c r="F1036" s="17">
        <f>IF(MONTH(Table1[[#This Row],[Loss date]])&lt;Policy_Inception_Month,YEAR(Table1[[#This Row],[Loss date]])-1,YEAR(Table1[[#This Row],[Loss date]]))</f>
        <v>2013</v>
      </c>
      <c r="G1036" s="10" t="s">
        <v>125</v>
      </c>
      <c r="H1036" s="10" t="s">
        <v>2</v>
      </c>
      <c r="I1036" s="11">
        <v>0</v>
      </c>
      <c r="J1036" s="11">
        <v>9685.968383088235</v>
      </c>
      <c r="K1036" s="11">
        <v>9685.968383088235</v>
      </c>
      <c r="L1036" s="12">
        <v>0</v>
      </c>
      <c r="M1036" s="12">
        <v>0</v>
      </c>
      <c r="N1036" s="12">
        <v>9685.968383088235</v>
      </c>
      <c r="O1036" s="70">
        <f>IF(Table1[[#This Row],[Overall amount]]=0,0,1)</f>
        <v>1</v>
      </c>
      <c r="P1036" s="70">
        <f>Table1[[#This Row],[Overall amount]]*Exchange_Rate</f>
        <v>9685.968383088235</v>
      </c>
      <c r="Q1036" s="70">
        <f>Table1[[#This Row],[Overall (destination currency)]]*(1+Claims_Inflation)^((Revalue_at_date-Table1[[#This Row],[Loss date]])/365.25)</f>
        <v>10800</v>
      </c>
      <c r="R1036" s="70">
        <f>INT(Table1[[#This Row],[Reporting date]])-INT(Table1[[#This Row],[Loss date]])</f>
        <v>152</v>
      </c>
      <c r="S1036" s="69" t="s">
        <v>16</v>
      </c>
      <c r="T1036" s="70">
        <f>VLOOKUP(Table1[[#This Row],[Policy Year]],exposure_table,3,FALSE)</f>
        <v>1090.5865384615383</v>
      </c>
      <c r="U1036" s="17">
        <f>IF(MONTH(Table1[[#This Row],[Reporting date]])&lt;Policy_Inception_Month,YEAR(Table1[[#This Row],[Reporting date]])-1,YEAR(Table1[[#This Row],[Reporting date]]))</f>
        <v>2013</v>
      </c>
      <c r="V1036" s="17">
        <f>Table1[[#This Row],[Reporting year]]-Table1[[#This Row],[Policy Year]]</f>
        <v>0</v>
      </c>
      <c r="W1036" s="17">
        <f>INT(Table1[[#This Row],[Reporting date]])-INT(Table1[[#This Row],[Loss date]])</f>
        <v>152</v>
      </c>
      <c r="X1036" s="17">
        <f>INT((YEAR(Table1[[#This Row],[Loss date]])*12+MONTH(Table1[[#This Row],[Loss date]])-Earliest_Month)/4)</f>
        <v>24</v>
      </c>
      <c r="Y1036" s="17">
        <f>INT((YEAR(Table1[[#This Row],[Reporting date]])*12+MONTH(Table1[[#This Row],[Reporting date]])-Earliest_Month)/4)</f>
        <v>26</v>
      </c>
      <c r="Z1036" s="17">
        <f>Table1[[#This Row],[Reporting third]]-Table1[[#This Row],[Policy third]]</f>
        <v>2</v>
      </c>
      <c r="AA1036" s="71">
        <f>IF(Table1[[#This Row],[Overall amount]]=0,"N/A",Table1[[#This Row],[Outstanding]]/Table1[[#This Row],[Overall amount]])</f>
        <v>1</v>
      </c>
      <c r="AB1036" s="17">
        <f>IF(MONTH(Table1[[#This Row],[Loss date]])&lt;Pol_Inc_Month_Shifted,YEAR(Table1[[#This Row],[Loss date]])-1,YEAR(Table1[[#This Row],[Loss date]]))</f>
        <v>2012</v>
      </c>
      <c r="AC1036" s="17">
        <f>IF(MONTH(Table1[[#This Row],[Reporting date]])&lt;Pol_Inc_Month_Shifted,YEAR(Table1[[#This Row],[Reporting date]])-1,YEAR(Table1[[#This Row],[Reporting date]]))</f>
        <v>2013</v>
      </c>
      <c r="AD1036" s="17">
        <f>Table1[[#This Row],[Reporting year (shifted)]]-Table1[[#This Row],[Policy Year (shifted)]]</f>
        <v>1</v>
      </c>
    </row>
    <row r="1037" spans="1:30" ht="13.9">
      <c r="A1037" s="8" t="s">
        <v>2807</v>
      </c>
      <c r="B1037" s="8" t="s">
        <v>1089</v>
      </c>
      <c r="C1037" s="8" t="s">
        <v>123</v>
      </c>
      <c r="D1037" s="9">
        <v>41705</v>
      </c>
      <c r="E1037" s="9">
        <v>41813</v>
      </c>
      <c r="F1037" s="17">
        <f>IF(MONTH(Table1[[#This Row],[Loss date]])&lt;Policy_Inception_Month,YEAR(Table1[[#This Row],[Loss date]])-1,YEAR(Table1[[#This Row],[Loss date]]))</f>
        <v>2013</v>
      </c>
      <c r="G1037" s="10" t="s">
        <v>126</v>
      </c>
      <c r="H1037" s="10" t="s">
        <v>2</v>
      </c>
      <c r="I1037" s="11">
        <v>0</v>
      </c>
      <c r="J1037" s="11">
        <v>10098.680887603887</v>
      </c>
      <c r="K1037" s="11">
        <v>10098.680887603887</v>
      </c>
      <c r="L1037" s="12">
        <v>0</v>
      </c>
      <c r="M1037" s="12">
        <v>0</v>
      </c>
      <c r="N1037" s="12">
        <v>10098.680887603887</v>
      </c>
      <c r="O1037" s="70">
        <f>IF(Table1[[#This Row],[Overall amount]]=0,0,1)</f>
        <v>1</v>
      </c>
      <c r="P1037" s="70">
        <f>Table1[[#This Row],[Overall amount]]*Exchange_Rate</f>
        <v>10098.680887603887</v>
      </c>
      <c r="Q1037" s="70">
        <f>Table1[[#This Row],[Overall (destination currency)]]*(1+Claims_Inflation)^((Revalue_at_date-Table1[[#This Row],[Loss date]])/365.25)</f>
        <v>10902.000000000002</v>
      </c>
      <c r="R1037" s="70">
        <f>INT(Table1[[#This Row],[Reporting date]])-INT(Table1[[#This Row],[Loss date]])</f>
        <v>108</v>
      </c>
      <c r="S1037" s="69" t="s">
        <v>16</v>
      </c>
      <c r="T1037" s="70">
        <f>VLOOKUP(Table1[[#This Row],[Policy Year]],exposure_table,3,FALSE)</f>
        <v>1090.5865384615383</v>
      </c>
      <c r="U1037" s="17">
        <f>IF(MONTH(Table1[[#This Row],[Reporting date]])&lt;Policy_Inception_Month,YEAR(Table1[[#This Row],[Reporting date]])-1,YEAR(Table1[[#This Row],[Reporting date]]))</f>
        <v>2014</v>
      </c>
      <c r="V1037" s="17">
        <f>Table1[[#This Row],[Reporting year]]-Table1[[#This Row],[Policy Year]]</f>
        <v>1</v>
      </c>
      <c r="W1037" s="17">
        <f>INT(Table1[[#This Row],[Reporting date]])-INT(Table1[[#This Row],[Loss date]])</f>
        <v>108</v>
      </c>
      <c r="X1037" s="17">
        <f>INT((YEAR(Table1[[#This Row],[Loss date]])*12+MONTH(Table1[[#This Row],[Loss date]])-Earliest_Month)/4)</f>
        <v>26</v>
      </c>
      <c r="Y1037" s="17">
        <f>INT((YEAR(Table1[[#This Row],[Reporting date]])*12+MONTH(Table1[[#This Row],[Reporting date]])-Earliest_Month)/4)</f>
        <v>27</v>
      </c>
      <c r="Z1037" s="17">
        <f>Table1[[#This Row],[Reporting third]]-Table1[[#This Row],[Policy third]]</f>
        <v>1</v>
      </c>
      <c r="AA1037" s="71">
        <f>IF(Table1[[#This Row],[Overall amount]]=0,"N/A",Table1[[#This Row],[Outstanding]]/Table1[[#This Row],[Overall amount]])</f>
        <v>1</v>
      </c>
      <c r="AB1037" s="17">
        <f>IF(MONTH(Table1[[#This Row],[Loss date]])&lt;Pol_Inc_Month_Shifted,YEAR(Table1[[#This Row],[Loss date]])-1,YEAR(Table1[[#This Row],[Loss date]]))</f>
        <v>2013</v>
      </c>
      <c r="AC1037" s="17">
        <f>IF(MONTH(Table1[[#This Row],[Reporting date]])&lt;Pol_Inc_Month_Shifted,YEAR(Table1[[#This Row],[Reporting date]])-1,YEAR(Table1[[#This Row],[Reporting date]]))</f>
        <v>2013</v>
      </c>
      <c r="AD1037" s="17">
        <f>Table1[[#This Row],[Reporting year (shifted)]]-Table1[[#This Row],[Policy Year (shifted)]]</f>
        <v>0</v>
      </c>
    </row>
    <row r="1038" spans="1:30" ht="13.9">
      <c r="A1038" s="8" t="s">
        <v>2808</v>
      </c>
      <c r="B1038" s="8" t="s">
        <v>1090</v>
      </c>
      <c r="C1038" s="8" t="s">
        <v>123</v>
      </c>
      <c r="D1038" s="9">
        <v>41761</v>
      </c>
      <c r="E1038" s="9">
        <v>41812</v>
      </c>
      <c r="F1038" s="17">
        <f>IF(MONTH(Table1[[#This Row],[Loss date]])&lt;Policy_Inception_Month,YEAR(Table1[[#This Row],[Loss date]])-1,YEAR(Table1[[#This Row],[Loss date]]))</f>
        <v>2014</v>
      </c>
      <c r="G1038" s="10" t="s">
        <v>125</v>
      </c>
      <c r="H1038" s="10" t="s">
        <v>2</v>
      </c>
      <c r="I1038" s="11">
        <v>0</v>
      </c>
      <c r="J1038" s="11">
        <v>13215.100200502713</v>
      </c>
      <c r="K1038" s="11">
        <v>13215.100200502713</v>
      </c>
      <c r="L1038" s="12">
        <v>0</v>
      </c>
      <c r="M1038" s="12">
        <v>0</v>
      </c>
      <c r="N1038" s="12">
        <v>13215.100200502713</v>
      </c>
      <c r="O1038" s="70">
        <f>IF(Table1[[#This Row],[Overall amount]]=0,0,1)</f>
        <v>1</v>
      </c>
      <c r="P1038" s="70">
        <f>Table1[[#This Row],[Overall amount]]*Exchange_Rate</f>
        <v>13215.100200502713</v>
      </c>
      <c r="Q1038" s="70">
        <f>Table1[[#This Row],[Overall (destination currency)]]*(1+Claims_Inflation)^((Revalue_at_date-Table1[[#This Row],[Loss date]])/365.25)</f>
        <v>14160</v>
      </c>
      <c r="R1038" s="70">
        <f>INT(Table1[[#This Row],[Reporting date]])-INT(Table1[[#This Row],[Loss date]])</f>
        <v>51</v>
      </c>
      <c r="S1038" s="69" t="s">
        <v>16</v>
      </c>
      <c r="T1038" s="70">
        <f>VLOOKUP(Table1[[#This Row],[Policy Year]],exposure_table,3,FALSE)</f>
        <v>1076.5070266272189</v>
      </c>
      <c r="U1038" s="17">
        <f>IF(MONTH(Table1[[#This Row],[Reporting date]])&lt;Policy_Inception_Month,YEAR(Table1[[#This Row],[Reporting date]])-1,YEAR(Table1[[#This Row],[Reporting date]]))</f>
        <v>2014</v>
      </c>
      <c r="V1038" s="17">
        <f>Table1[[#This Row],[Reporting year]]-Table1[[#This Row],[Policy Year]]</f>
        <v>0</v>
      </c>
      <c r="W1038" s="17">
        <f>INT(Table1[[#This Row],[Reporting date]])-INT(Table1[[#This Row],[Loss date]])</f>
        <v>51</v>
      </c>
      <c r="X1038" s="17">
        <f>INT((YEAR(Table1[[#This Row],[Loss date]])*12+MONTH(Table1[[#This Row],[Loss date]])-Earliest_Month)/4)</f>
        <v>27</v>
      </c>
      <c r="Y1038" s="17">
        <f>INT((YEAR(Table1[[#This Row],[Reporting date]])*12+MONTH(Table1[[#This Row],[Reporting date]])-Earliest_Month)/4)</f>
        <v>27</v>
      </c>
      <c r="Z1038" s="17">
        <f>Table1[[#This Row],[Reporting third]]-Table1[[#This Row],[Policy third]]</f>
        <v>0</v>
      </c>
      <c r="AA1038" s="71">
        <f>IF(Table1[[#This Row],[Overall amount]]=0,"N/A",Table1[[#This Row],[Outstanding]]/Table1[[#This Row],[Overall amount]])</f>
        <v>1</v>
      </c>
      <c r="AB1038" s="17">
        <f>IF(MONTH(Table1[[#This Row],[Loss date]])&lt;Pol_Inc_Month_Shifted,YEAR(Table1[[#This Row],[Loss date]])-1,YEAR(Table1[[#This Row],[Loss date]]))</f>
        <v>2013</v>
      </c>
      <c r="AC1038" s="17">
        <f>IF(MONTH(Table1[[#This Row],[Reporting date]])&lt;Pol_Inc_Month_Shifted,YEAR(Table1[[#This Row],[Reporting date]])-1,YEAR(Table1[[#This Row],[Reporting date]]))</f>
        <v>2013</v>
      </c>
      <c r="AD1038" s="17">
        <f>Table1[[#This Row],[Reporting year (shifted)]]-Table1[[#This Row],[Policy Year (shifted)]]</f>
        <v>0</v>
      </c>
    </row>
    <row r="1039" spans="1:30" ht="13.9">
      <c r="A1039" s="8" t="s">
        <v>2809</v>
      </c>
      <c r="B1039" s="8" t="s">
        <v>1091</v>
      </c>
      <c r="C1039" s="8" t="s">
        <v>123</v>
      </c>
      <c r="D1039" s="9">
        <v>41483</v>
      </c>
      <c r="E1039" s="9">
        <v>41845</v>
      </c>
      <c r="F1039" s="17">
        <f>IF(MONTH(Table1[[#This Row],[Loss date]])&lt;Policy_Inception_Month,YEAR(Table1[[#This Row],[Loss date]])-1,YEAR(Table1[[#This Row],[Loss date]]))</f>
        <v>2013</v>
      </c>
      <c r="G1039" s="10" t="s">
        <v>125</v>
      </c>
      <c r="H1039" s="10" t="s">
        <v>2</v>
      </c>
      <c r="I1039" s="11">
        <v>0</v>
      </c>
      <c r="J1039" s="11">
        <v>17049.744977278369</v>
      </c>
      <c r="K1039" s="11">
        <v>17049.744977278369</v>
      </c>
      <c r="L1039" s="12">
        <v>323.72933501161464</v>
      </c>
      <c r="M1039" s="12">
        <v>0</v>
      </c>
      <c r="N1039" s="12">
        <v>17373.474312289985</v>
      </c>
      <c r="O1039" s="70">
        <f>IF(Table1[[#This Row],[Overall amount]]=0,0,1)</f>
        <v>1</v>
      </c>
      <c r="P1039" s="70">
        <f>Table1[[#This Row],[Overall amount]]*Exchange_Rate</f>
        <v>17373.474312289985</v>
      </c>
      <c r="Q1039" s="70">
        <f>Table1[[#This Row],[Overall (destination currency)]]*(1+Claims_Inflation)^((Revalue_at_date-Table1[[#This Row],[Loss date]])/365.25)</f>
        <v>19320</v>
      </c>
      <c r="R1039" s="70">
        <f>INT(Table1[[#This Row],[Reporting date]])-INT(Table1[[#This Row],[Loss date]])</f>
        <v>362</v>
      </c>
      <c r="S1039" s="69" t="s">
        <v>16</v>
      </c>
      <c r="T1039" s="70">
        <f>VLOOKUP(Table1[[#This Row],[Policy Year]],exposure_table,3,FALSE)</f>
        <v>1090.5865384615383</v>
      </c>
      <c r="U1039" s="17">
        <f>IF(MONTH(Table1[[#This Row],[Reporting date]])&lt;Policy_Inception_Month,YEAR(Table1[[#This Row],[Reporting date]])-1,YEAR(Table1[[#This Row],[Reporting date]]))</f>
        <v>2014</v>
      </c>
      <c r="V1039" s="17">
        <f>Table1[[#This Row],[Reporting year]]-Table1[[#This Row],[Policy Year]]</f>
        <v>1</v>
      </c>
      <c r="W1039" s="17">
        <f>INT(Table1[[#This Row],[Reporting date]])-INT(Table1[[#This Row],[Loss date]])</f>
        <v>362</v>
      </c>
      <c r="X1039" s="17">
        <f>INT((YEAR(Table1[[#This Row],[Loss date]])*12+MONTH(Table1[[#This Row],[Loss date]])-Earliest_Month)/4)</f>
        <v>24</v>
      </c>
      <c r="Y1039" s="17">
        <f>INT((YEAR(Table1[[#This Row],[Reporting date]])*12+MONTH(Table1[[#This Row],[Reporting date]])-Earliest_Month)/4)</f>
        <v>27</v>
      </c>
      <c r="Z1039" s="17">
        <f>Table1[[#This Row],[Reporting third]]-Table1[[#This Row],[Policy third]]</f>
        <v>3</v>
      </c>
      <c r="AA1039" s="71">
        <f>IF(Table1[[#This Row],[Overall amount]]=0,"N/A",Table1[[#This Row],[Outstanding]]/Table1[[#This Row],[Overall amount]])</f>
        <v>0.98136645962732916</v>
      </c>
      <c r="AB1039" s="17">
        <f>IF(MONTH(Table1[[#This Row],[Loss date]])&lt;Pol_Inc_Month_Shifted,YEAR(Table1[[#This Row],[Loss date]])-1,YEAR(Table1[[#This Row],[Loss date]]))</f>
        <v>2012</v>
      </c>
      <c r="AC1039" s="17">
        <f>IF(MONTH(Table1[[#This Row],[Reporting date]])&lt;Pol_Inc_Month_Shifted,YEAR(Table1[[#This Row],[Reporting date]])-1,YEAR(Table1[[#This Row],[Reporting date]]))</f>
        <v>2013</v>
      </c>
      <c r="AD1039" s="17">
        <f>Table1[[#This Row],[Reporting year (shifted)]]-Table1[[#This Row],[Policy Year (shifted)]]</f>
        <v>1</v>
      </c>
    </row>
    <row r="1040" spans="1:30" ht="13.9">
      <c r="A1040" s="8" t="s">
        <v>2810</v>
      </c>
      <c r="B1040" s="8" t="s">
        <v>1092</v>
      </c>
      <c r="C1040" s="8" t="s">
        <v>123</v>
      </c>
      <c r="D1040" s="9">
        <v>40403</v>
      </c>
      <c r="E1040" s="9">
        <v>41838</v>
      </c>
      <c r="F1040" s="17">
        <f>IF(MONTH(Table1[[#This Row],[Loss date]])&lt;Policy_Inception_Month,YEAR(Table1[[#This Row],[Loss date]])-1,YEAR(Table1[[#This Row],[Loss date]]))</f>
        <v>2010</v>
      </c>
      <c r="G1040" s="10" t="s">
        <v>127</v>
      </c>
      <c r="H1040" s="10" t="s">
        <v>2</v>
      </c>
      <c r="I1040" s="11">
        <v>0</v>
      </c>
      <c r="J1040" s="11">
        <v>11956.844460802788</v>
      </c>
      <c r="K1040" s="11">
        <v>11956.844460802788</v>
      </c>
      <c r="L1040" s="12">
        <v>0</v>
      </c>
      <c r="M1040" s="12">
        <v>0</v>
      </c>
      <c r="N1040" s="12">
        <v>11956.844460802788</v>
      </c>
      <c r="O1040" s="70">
        <f>IF(Table1[[#This Row],[Overall amount]]=0,0,1)</f>
        <v>1</v>
      </c>
      <c r="P1040" s="70">
        <f>Table1[[#This Row],[Overall amount]]*Exchange_Rate</f>
        <v>11956.844460802788</v>
      </c>
      <c r="Q1040" s="70">
        <f>Table1[[#This Row],[Overall (destination currency)]]*(1+Claims_Inflation)^((Revalue_at_date-Table1[[#This Row],[Loss date]])/365.25)</f>
        <v>15360.000000000002</v>
      </c>
      <c r="R1040" s="70">
        <f>INT(Table1[[#This Row],[Reporting date]])-INT(Table1[[#This Row],[Loss date]])</f>
        <v>1435</v>
      </c>
      <c r="S1040" s="69" t="s">
        <v>16</v>
      </c>
      <c r="T1040" s="70">
        <f>VLOOKUP(Table1[[#This Row],[Policy Year]],exposure_table,3,FALSE)</f>
        <v>837.11513600000012</v>
      </c>
      <c r="U1040" s="17">
        <f>IF(MONTH(Table1[[#This Row],[Reporting date]])&lt;Policy_Inception_Month,YEAR(Table1[[#This Row],[Reporting date]])-1,YEAR(Table1[[#This Row],[Reporting date]]))</f>
        <v>2014</v>
      </c>
      <c r="V1040" s="17">
        <f>Table1[[#This Row],[Reporting year]]-Table1[[#This Row],[Policy Year]]</f>
        <v>4</v>
      </c>
      <c r="W1040" s="17">
        <f>INT(Table1[[#This Row],[Reporting date]])-INT(Table1[[#This Row],[Loss date]])</f>
        <v>1435</v>
      </c>
      <c r="X1040" s="17">
        <f>INT((YEAR(Table1[[#This Row],[Loss date]])*12+MONTH(Table1[[#This Row],[Loss date]])-Earliest_Month)/4)</f>
        <v>16</v>
      </c>
      <c r="Y1040" s="17">
        <f>INT((YEAR(Table1[[#This Row],[Reporting date]])*12+MONTH(Table1[[#This Row],[Reporting date]])-Earliest_Month)/4)</f>
        <v>27</v>
      </c>
      <c r="Z1040" s="17">
        <f>Table1[[#This Row],[Reporting third]]-Table1[[#This Row],[Policy third]]</f>
        <v>11</v>
      </c>
      <c r="AA1040" s="71">
        <f>IF(Table1[[#This Row],[Overall amount]]=0,"N/A",Table1[[#This Row],[Outstanding]]/Table1[[#This Row],[Overall amount]])</f>
        <v>1</v>
      </c>
      <c r="AB1040" s="17">
        <f>IF(MONTH(Table1[[#This Row],[Loss date]])&lt;Pol_Inc_Month_Shifted,YEAR(Table1[[#This Row],[Loss date]])-1,YEAR(Table1[[#This Row],[Loss date]]))</f>
        <v>2009</v>
      </c>
      <c r="AC1040" s="17">
        <f>IF(MONTH(Table1[[#This Row],[Reporting date]])&lt;Pol_Inc_Month_Shifted,YEAR(Table1[[#This Row],[Reporting date]])-1,YEAR(Table1[[#This Row],[Reporting date]]))</f>
        <v>2013</v>
      </c>
      <c r="AD1040" s="17">
        <f>Table1[[#This Row],[Reporting year (shifted)]]-Table1[[#This Row],[Policy Year (shifted)]]</f>
        <v>4</v>
      </c>
    </row>
    <row r="1041" spans="1:30" ht="13.9">
      <c r="A1041" s="8" t="s">
        <v>2811</v>
      </c>
      <c r="B1041" s="8" t="s">
        <v>1093</v>
      </c>
      <c r="C1041" s="8" t="s">
        <v>123</v>
      </c>
      <c r="D1041" s="9">
        <v>41815</v>
      </c>
      <c r="E1041" s="9">
        <v>41859</v>
      </c>
      <c r="F1041" s="17">
        <f>IF(MONTH(Table1[[#This Row],[Loss date]])&lt;Policy_Inception_Month,YEAR(Table1[[#This Row],[Loss date]])-1,YEAR(Table1[[#This Row],[Loss date]]))</f>
        <v>2014</v>
      </c>
      <c r="G1041" s="10" t="s">
        <v>131</v>
      </c>
      <c r="H1041" s="10" t="s">
        <v>2</v>
      </c>
      <c r="I1041" s="11">
        <v>0</v>
      </c>
      <c r="J1041" s="11">
        <v>14438.801047105118</v>
      </c>
      <c r="K1041" s="11">
        <v>14438.801047105118</v>
      </c>
      <c r="L1041" s="12">
        <v>0</v>
      </c>
      <c r="M1041" s="12">
        <v>0</v>
      </c>
      <c r="N1041" s="12">
        <v>14438.801047105118</v>
      </c>
      <c r="O1041" s="70">
        <f>IF(Table1[[#This Row],[Overall amount]]=0,0,1)</f>
        <v>1</v>
      </c>
      <c r="P1041" s="70">
        <f>Table1[[#This Row],[Overall amount]]*Exchange_Rate</f>
        <v>14438.801047105118</v>
      </c>
      <c r="Q1041" s="70">
        <f>Table1[[#This Row],[Overall (destination currency)]]*(1+Claims_Inflation)^((Revalue_at_date-Table1[[#This Row],[Loss date]])/365.25)</f>
        <v>15359.999999999998</v>
      </c>
      <c r="R1041" s="70">
        <f>INT(Table1[[#This Row],[Reporting date]])-INT(Table1[[#This Row],[Loss date]])</f>
        <v>44</v>
      </c>
      <c r="S1041" s="69" t="s">
        <v>16</v>
      </c>
      <c r="T1041" s="70">
        <f>VLOOKUP(Table1[[#This Row],[Policy Year]],exposure_table,3,FALSE)</f>
        <v>1076.5070266272189</v>
      </c>
      <c r="U1041" s="17">
        <f>IF(MONTH(Table1[[#This Row],[Reporting date]])&lt;Policy_Inception_Month,YEAR(Table1[[#This Row],[Reporting date]])-1,YEAR(Table1[[#This Row],[Reporting date]]))</f>
        <v>2014</v>
      </c>
      <c r="V1041" s="17">
        <f>Table1[[#This Row],[Reporting year]]-Table1[[#This Row],[Policy Year]]</f>
        <v>0</v>
      </c>
      <c r="W1041" s="17">
        <f>INT(Table1[[#This Row],[Reporting date]])-INT(Table1[[#This Row],[Loss date]])</f>
        <v>44</v>
      </c>
      <c r="X1041" s="17">
        <f>INT((YEAR(Table1[[#This Row],[Loss date]])*12+MONTH(Table1[[#This Row],[Loss date]])-Earliest_Month)/4)</f>
        <v>27</v>
      </c>
      <c r="Y1041" s="17">
        <f>INT((YEAR(Table1[[#This Row],[Reporting date]])*12+MONTH(Table1[[#This Row],[Reporting date]])-Earliest_Month)/4)</f>
        <v>28</v>
      </c>
      <c r="Z1041" s="17">
        <f>Table1[[#This Row],[Reporting third]]-Table1[[#This Row],[Policy third]]</f>
        <v>1</v>
      </c>
      <c r="AA1041" s="71">
        <f>IF(Table1[[#This Row],[Overall amount]]=0,"N/A",Table1[[#This Row],[Outstanding]]/Table1[[#This Row],[Overall amount]])</f>
        <v>1</v>
      </c>
      <c r="AB1041" s="17">
        <f>IF(MONTH(Table1[[#This Row],[Loss date]])&lt;Pol_Inc_Month_Shifted,YEAR(Table1[[#This Row],[Loss date]])-1,YEAR(Table1[[#This Row],[Loss date]]))</f>
        <v>2013</v>
      </c>
      <c r="AC1041" s="17">
        <f>IF(MONTH(Table1[[#This Row],[Reporting date]])&lt;Pol_Inc_Month_Shifted,YEAR(Table1[[#This Row],[Reporting date]])-1,YEAR(Table1[[#This Row],[Reporting date]]))</f>
        <v>2013</v>
      </c>
      <c r="AD1041" s="17">
        <f>Table1[[#This Row],[Reporting year (shifted)]]-Table1[[#This Row],[Policy Year (shifted)]]</f>
        <v>0</v>
      </c>
    </row>
    <row r="1042" spans="1:30" ht="13.9">
      <c r="A1042" s="8" t="s">
        <v>2812</v>
      </c>
      <c r="B1042" s="8" t="s">
        <v>1094</v>
      </c>
      <c r="C1042" s="8" t="s">
        <v>123</v>
      </c>
      <c r="D1042" s="9">
        <v>40438</v>
      </c>
      <c r="E1042" s="9">
        <v>41896</v>
      </c>
      <c r="F1042" s="17">
        <f>IF(MONTH(Table1[[#This Row],[Loss date]])&lt;Policy_Inception_Month,YEAR(Table1[[#This Row],[Loss date]])-1,YEAR(Table1[[#This Row],[Loss date]]))</f>
        <v>2010</v>
      </c>
      <c r="G1042" s="10" t="s">
        <v>148</v>
      </c>
      <c r="H1042" s="10" t="s">
        <v>2</v>
      </c>
      <c r="I1042" s="11">
        <v>0</v>
      </c>
      <c r="J1042" s="11">
        <v>1.8770120715860155</v>
      </c>
      <c r="K1042" s="11">
        <v>1.8770120715860155</v>
      </c>
      <c r="L1042" s="12">
        <v>0</v>
      </c>
      <c r="M1042" s="12">
        <v>0</v>
      </c>
      <c r="N1042" s="12">
        <v>1.8770120715860155</v>
      </c>
      <c r="O1042" s="70">
        <f>IF(Table1[[#This Row],[Overall amount]]=0,0,1)</f>
        <v>1</v>
      </c>
      <c r="P1042" s="70">
        <f>Table1[[#This Row],[Overall amount]]*Exchange_Rate</f>
        <v>1.8770120715860155</v>
      </c>
      <c r="Q1042" s="70">
        <f>Table1[[#This Row],[Overall (destination currency)]]*(1+Claims_Inflation)^((Revalue_at_date-Table1[[#This Row],[Loss date]])/365.25)</f>
        <v>2.4</v>
      </c>
      <c r="R1042" s="70">
        <f>INT(Table1[[#This Row],[Reporting date]])-INT(Table1[[#This Row],[Loss date]])</f>
        <v>1458</v>
      </c>
      <c r="S1042" s="69" t="s">
        <v>16</v>
      </c>
      <c r="T1042" s="70">
        <f>VLOOKUP(Table1[[#This Row],[Policy Year]],exposure_table,3,FALSE)</f>
        <v>837.11513600000012</v>
      </c>
      <c r="U1042" s="17">
        <f>IF(MONTH(Table1[[#This Row],[Reporting date]])&lt;Policy_Inception_Month,YEAR(Table1[[#This Row],[Reporting date]])-1,YEAR(Table1[[#This Row],[Reporting date]]))</f>
        <v>2014</v>
      </c>
      <c r="V1042" s="17">
        <f>Table1[[#This Row],[Reporting year]]-Table1[[#This Row],[Policy Year]]</f>
        <v>4</v>
      </c>
      <c r="W1042" s="17">
        <f>INT(Table1[[#This Row],[Reporting date]])-INT(Table1[[#This Row],[Loss date]])</f>
        <v>1458</v>
      </c>
      <c r="X1042" s="17">
        <f>INT((YEAR(Table1[[#This Row],[Loss date]])*12+MONTH(Table1[[#This Row],[Loss date]])-Earliest_Month)/4)</f>
        <v>16</v>
      </c>
      <c r="Y1042" s="17">
        <f>INT((YEAR(Table1[[#This Row],[Reporting date]])*12+MONTH(Table1[[#This Row],[Reporting date]])-Earliest_Month)/4)</f>
        <v>28</v>
      </c>
      <c r="Z1042" s="17">
        <f>Table1[[#This Row],[Reporting third]]-Table1[[#This Row],[Policy third]]</f>
        <v>12</v>
      </c>
      <c r="AA1042" s="71">
        <f>IF(Table1[[#This Row],[Overall amount]]=0,"N/A",Table1[[#This Row],[Outstanding]]/Table1[[#This Row],[Overall amount]])</f>
        <v>1</v>
      </c>
      <c r="AB1042" s="17">
        <f>IF(MONTH(Table1[[#This Row],[Loss date]])&lt;Pol_Inc_Month_Shifted,YEAR(Table1[[#This Row],[Loss date]])-1,YEAR(Table1[[#This Row],[Loss date]]))</f>
        <v>2009</v>
      </c>
      <c r="AC1042" s="17">
        <f>IF(MONTH(Table1[[#This Row],[Reporting date]])&lt;Pol_Inc_Month_Shifted,YEAR(Table1[[#This Row],[Reporting date]])-1,YEAR(Table1[[#This Row],[Reporting date]]))</f>
        <v>2013</v>
      </c>
      <c r="AD1042" s="17">
        <f>Table1[[#This Row],[Reporting year (shifted)]]-Table1[[#This Row],[Policy Year (shifted)]]</f>
        <v>4</v>
      </c>
    </row>
    <row r="1043" spans="1:30" ht="13.9">
      <c r="A1043" s="8" t="s">
        <v>2813</v>
      </c>
      <c r="B1043" s="8" t="s">
        <v>1095</v>
      </c>
      <c r="C1043" s="8" t="s">
        <v>123</v>
      </c>
      <c r="D1043" s="9">
        <v>41885</v>
      </c>
      <c r="E1043" s="9">
        <v>41888</v>
      </c>
      <c r="F1043" s="17">
        <f>IF(MONTH(Table1[[#This Row],[Loss date]])&lt;Policy_Inception_Month,YEAR(Table1[[#This Row],[Loss date]])-1,YEAR(Table1[[#This Row],[Loss date]]))</f>
        <v>2014</v>
      </c>
      <c r="G1043" s="10" t="s">
        <v>125</v>
      </c>
      <c r="H1043" s="10" t="s">
        <v>2</v>
      </c>
      <c r="I1043" s="11">
        <v>0</v>
      </c>
      <c r="J1043" s="11">
        <v>20267.58880807606</v>
      </c>
      <c r="K1043" s="11">
        <v>20267.58880807606</v>
      </c>
      <c r="L1043" s="12">
        <v>0</v>
      </c>
      <c r="M1043" s="12">
        <v>0</v>
      </c>
      <c r="N1043" s="12">
        <v>20267.58880807606</v>
      </c>
      <c r="O1043" s="70">
        <f>IF(Table1[[#This Row],[Overall amount]]=0,0,1)</f>
        <v>1</v>
      </c>
      <c r="P1043" s="70">
        <f>Table1[[#This Row],[Overall amount]]*Exchange_Rate</f>
        <v>20267.58880807606</v>
      </c>
      <c r="Q1043" s="70">
        <f>Table1[[#This Row],[Overall (destination currency)]]*(1+Claims_Inflation)^((Revalue_at_date-Table1[[#This Row],[Loss date]])/365.25)</f>
        <v>21360</v>
      </c>
      <c r="R1043" s="70">
        <f>INT(Table1[[#This Row],[Reporting date]])-INT(Table1[[#This Row],[Loss date]])</f>
        <v>3</v>
      </c>
      <c r="S1043" s="69" t="s">
        <v>16</v>
      </c>
      <c r="T1043" s="70">
        <f>VLOOKUP(Table1[[#This Row],[Policy Year]],exposure_table,3,FALSE)</f>
        <v>1076.5070266272189</v>
      </c>
      <c r="U1043" s="17">
        <f>IF(MONTH(Table1[[#This Row],[Reporting date]])&lt;Policy_Inception_Month,YEAR(Table1[[#This Row],[Reporting date]])-1,YEAR(Table1[[#This Row],[Reporting date]]))</f>
        <v>2014</v>
      </c>
      <c r="V1043" s="17">
        <f>Table1[[#This Row],[Reporting year]]-Table1[[#This Row],[Policy Year]]</f>
        <v>0</v>
      </c>
      <c r="W1043" s="17">
        <f>INT(Table1[[#This Row],[Reporting date]])-INT(Table1[[#This Row],[Loss date]])</f>
        <v>3</v>
      </c>
      <c r="X1043" s="17">
        <f>INT((YEAR(Table1[[#This Row],[Loss date]])*12+MONTH(Table1[[#This Row],[Loss date]])-Earliest_Month)/4)</f>
        <v>28</v>
      </c>
      <c r="Y1043" s="17">
        <f>INT((YEAR(Table1[[#This Row],[Reporting date]])*12+MONTH(Table1[[#This Row],[Reporting date]])-Earliest_Month)/4)</f>
        <v>28</v>
      </c>
      <c r="Z1043" s="17">
        <f>Table1[[#This Row],[Reporting third]]-Table1[[#This Row],[Policy third]]</f>
        <v>0</v>
      </c>
      <c r="AA1043" s="71">
        <f>IF(Table1[[#This Row],[Overall amount]]=0,"N/A",Table1[[#This Row],[Outstanding]]/Table1[[#This Row],[Overall amount]])</f>
        <v>1</v>
      </c>
      <c r="AB1043" s="17">
        <f>IF(MONTH(Table1[[#This Row],[Loss date]])&lt;Pol_Inc_Month_Shifted,YEAR(Table1[[#This Row],[Loss date]])-1,YEAR(Table1[[#This Row],[Loss date]]))</f>
        <v>2013</v>
      </c>
      <c r="AC1043" s="17">
        <f>IF(MONTH(Table1[[#This Row],[Reporting date]])&lt;Pol_Inc_Month_Shifted,YEAR(Table1[[#This Row],[Reporting date]])-1,YEAR(Table1[[#This Row],[Reporting date]]))</f>
        <v>2013</v>
      </c>
      <c r="AD1043" s="17">
        <f>Table1[[#This Row],[Reporting year (shifted)]]-Table1[[#This Row],[Policy Year (shifted)]]</f>
        <v>0</v>
      </c>
    </row>
    <row r="1044" spans="1:30" ht="13.9">
      <c r="A1044" s="8" t="s">
        <v>2814</v>
      </c>
      <c r="B1044" s="8" t="s">
        <v>1096</v>
      </c>
      <c r="C1044" s="8" t="s">
        <v>123</v>
      </c>
      <c r="D1044" s="9">
        <v>41903</v>
      </c>
      <c r="E1044" s="9">
        <v>41953</v>
      </c>
      <c r="F1044" s="17">
        <f>IF(MONTH(Table1[[#This Row],[Loss date]])&lt;Policy_Inception_Month,YEAR(Table1[[#This Row],[Loss date]])-1,YEAR(Table1[[#This Row],[Loss date]]))</f>
        <v>2014</v>
      </c>
      <c r="G1044" s="10" t="s">
        <v>129</v>
      </c>
      <c r="H1044" s="10" t="s">
        <v>2</v>
      </c>
      <c r="I1044" s="11">
        <v>0</v>
      </c>
      <c r="J1044" s="11">
        <v>20544.653641727324</v>
      </c>
      <c r="K1044" s="11">
        <v>20544.653641727324</v>
      </c>
      <c r="L1044" s="12">
        <v>0</v>
      </c>
      <c r="M1044" s="12">
        <v>0</v>
      </c>
      <c r="N1044" s="12">
        <v>20544.653641727324</v>
      </c>
      <c r="O1044" s="70">
        <f>IF(Table1[[#This Row],[Overall amount]]=0,0,1)</f>
        <v>1</v>
      </c>
      <c r="P1044" s="70">
        <f>Table1[[#This Row],[Overall amount]]*Exchange_Rate</f>
        <v>20544.653641727324</v>
      </c>
      <c r="Q1044" s="70">
        <f>Table1[[#This Row],[Overall (destination currency)]]*(1+Claims_Inflation)^((Revalue_at_date-Table1[[#This Row],[Loss date]])/365.25)</f>
        <v>21600</v>
      </c>
      <c r="R1044" s="70">
        <f>INT(Table1[[#This Row],[Reporting date]])-INT(Table1[[#This Row],[Loss date]])</f>
        <v>50</v>
      </c>
      <c r="S1044" s="69" t="s">
        <v>16</v>
      </c>
      <c r="T1044" s="70">
        <f>VLOOKUP(Table1[[#This Row],[Policy Year]],exposure_table,3,FALSE)</f>
        <v>1076.5070266272189</v>
      </c>
      <c r="U1044" s="17">
        <f>IF(MONTH(Table1[[#This Row],[Reporting date]])&lt;Policy_Inception_Month,YEAR(Table1[[#This Row],[Reporting date]])-1,YEAR(Table1[[#This Row],[Reporting date]]))</f>
        <v>2014</v>
      </c>
      <c r="V1044" s="17">
        <f>Table1[[#This Row],[Reporting year]]-Table1[[#This Row],[Policy Year]]</f>
        <v>0</v>
      </c>
      <c r="W1044" s="17">
        <f>INT(Table1[[#This Row],[Reporting date]])-INT(Table1[[#This Row],[Loss date]])</f>
        <v>50</v>
      </c>
      <c r="X1044" s="17">
        <f>INT((YEAR(Table1[[#This Row],[Loss date]])*12+MONTH(Table1[[#This Row],[Loss date]])-Earliest_Month)/4)</f>
        <v>28</v>
      </c>
      <c r="Y1044" s="17">
        <f>INT((YEAR(Table1[[#This Row],[Reporting date]])*12+MONTH(Table1[[#This Row],[Reporting date]])-Earliest_Month)/4)</f>
        <v>28</v>
      </c>
      <c r="Z1044" s="17">
        <f>Table1[[#This Row],[Reporting third]]-Table1[[#This Row],[Policy third]]</f>
        <v>0</v>
      </c>
      <c r="AA1044" s="71">
        <f>IF(Table1[[#This Row],[Overall amount]]=0,"N/A",Table1[[#This Row],[Outstanding]]/Table1[[#This Row],[Overall amount]])</f>
        <v>1</v>
      </c>
      <c r="AB1044" s="17">
        <f>IF(MONTH(Table1[[#This Row],[Loss date]])&lt;Pol_Inc_Month_Shifted,YEAR(Table1[[#This Row],[Loss date]])-1,YEAR(Table1[[#This Row],[Loss date]]))</f>
        <v>2013</v>
      </c>
      <c r="AC1044" s="17">
        <f>IF(MONTH(Table1[[#This Row],[Reporting date]])&lt;Pol_Inc_Month_Shifted,YEAR(Table1[[#This Row],[Reporting date]])-1,YEAR(Table1[[#This Row],[Reporting date]]))</f>
        <v>2013</v>
      </c>
      <c r="AD1044" s="17">
        <f>Table1[[#This Row],[Reporting year (shifted)]]-Table1[[#This Row],[Policy Year (shifted)]]</f>
        <v>0</v>
      </c>
    </row>
    <row r="1045" spans="1:30" ht="13.9">
      <c r="A1045" s="8" t="s">
        <v>2815</v>
      </c>
      <c r="B1045" s="8" t="s">
        <v>1097</v>
      </c>
      <c r="C1045" s="8" t="s">
        <v>123</v>
      </c>
      <c r="D1045" s="9">
        <v>41580</v>
      </c>
      <c r="E1045" s="9">
        <v>41939</v>
      </c>
      <c r="F1045" s="17">
        <f>IF(MONTH(Table1[[#This Row],[Loss date]])&lt;Policy_Inception_Month,YEAR(Table1[[#This Row],[Loss date]])-1,YEAR(Table1[[#This Row],[Loss date]]))</f>
        <v>2013</v>
      </c>
      <c r="G1045" s="10" t="s">
        <v>126</v>
      </c>
      <c r="H1045" s="10" t="s">
        <v>2</v>
      </c>
      <c r="I1045" s="11">
        <v>0</v>
      </c>
      <c r="J1045" s="11">
        <v>13664.636646167952</v>
      </c>
      <c r="K1045" s="11">
        <v>13664.636646167952</v>
      </c>
      <c r="L1045" s="12">
        <v>0</v>
      </c>
      <c r="M1045" s="12">
        <v>825.56268761488298</v>
      </c>
      <c r="N1045" s="12">
        <v>12839.073958553068</v>
      </c>
      <c r="O1045" s="70">
        <f>IF(Table1[[#This Row],[Overall amount]]=0,0,1)</f>
        <v>1</v>
      </c>
      <c r="P1045" s="70">
        <f>Table1[[#This Row],[Overall amount]]*Exchange_Rate</f>
        <v>12839.073958553068</v>
      </c>
      <c r="Q1045" s="70">
        <f>Table1[[#This Row],[Overall (destination currency)]]*(1+Claims_Inflation)^((Revalue_at_date-Table1[[#This Row],[Loss date]])/365.25)</f>
        <v>14093.76</v>
      </c>
      <c r="R1045" s="70">
        <f>INT(Table1[[#This Row],[Reporting date]])-INT(Table1[[#This Row],[Loss date]])</f>
        <v>359</v>
      </c>
      <c r="S1045" s="69" t="s">
        <v>16</v>
      </c>
      <c r="T1045" s="70">
        <f>VLOOKUP(Table1[[#This Row],[Policy Year]],exposure_table,3,FALSE)</f>
        <v>1090.5865384615383</v>
      </c>
      <c r="U1045" s="17">
        <f>IF(MONTH(Table1[[#This Row],[Reporting date]])&lt;Policy_Inception_Month,YEAR(Table1[[#This Row],[Reporting date]])-1,YEAR(Table1[[#This Row],[Reporting date]]))</f>
        <v>2014</v>
      </c>
      <c r="V1045" s="17">
        <f>Table1[[#This Row],[Reporting year]]-Table1[[#This Row],[Policy Year]]</f>
        <v>1</v>
      </c>
      <c r="W1045" s="17">
        <f>INT(Table1[[#This Row],[Reporting date]])-INT(Table1[[#This Row],[Loss date]])</f>
        <v>359</v>
      </c>
      <c r="X1045" s="17">
        <f>INT((YEAR(Table1[[#This Row],[Loss date]])*12+MONTH(Table1[[#This Row],[Loss date]])-Earliest_Month)/4)</f>
        <v>25</v>
      </c>
      <c r="Y1045" s="17">
        <f>INT((YEAR(Table1[[#This Row],[Reporting date]])*12+MONTH(Table1[[#This Row],[Reporting date]])-Earliest_Month)/4)</f>
        <v>28</v>
      </c>
      <c r="Z1045" s="17">
        <f>Table1[[#This Row],[Reporting third]]-Table1[[#This Row],[Policy third]]</f>
        <v>3</v>
      </c>
      <c r="AA1045" s="71">
        <f>IF(Table1[[#This Row],[Overall amount]]=0,"N/A",Table1[[#This Row],[Outstanding]]/Table1[[#This Row],[Overall amount]])</f>
        <v>1.0643007969484368</v>
      </c>
      <c r="AB1045" s="17">
        <f>IF(MONTH(Table1[[#This Row],[Loss date]])&lt;Pol_Inc_Month_Shifted,YEAR(Table1[[#This Row],[Loss date]])-1,YEAR(Table1[[#This Row],[Loss date]]))</f>
        <v>2012</v>
      </c>
      <c r="AC1045" s="17">
        <f>IF(MONTH(Table1[[#This Row],[Reporting date]])&lt;Pol_Inc_Month_Shifted,YEAR(Table1[[#This Row],[Reporting date]])-1,YEAR(Table1[[#This Row],[Reporting date]]))</f>
        <v>2013</v>
      </c>
      <c r="AD1045" s="17">
        <f>Table1[[#This Row],[Reporting year (shifted)]]-Table1[[#This Row],[Policy Year (shifted)]]</f>
        <v>1</v>
      </c>
    </row>
    <row r="1046" spans="1:30" ht="13.9">
      <c r="A1046" s="8" t="s">
        <v>2816</v>
      </c>
      <c r="B1046" s="8" t="s">
        <v>1098</v>
      </c>
      <c r="C1046" s="8" t="s">
        <v>123</v>
      </c>
      <c r="D1046" s="9">
        <v>41364</v>
      </c>
      <c r="E1046" s="9">
        <v>41364</v>
      </c>
      <c r="F1046" s="17">
        <f>IF(MONTH(Table1[[#This Row],[Loss date]])&lt;Policy_Inception_Month,YEAR(Table1[[#This Row],[Loss date]])-1,YEAR(Table1[[#This Row],[Loss date]]))</f>
        <v>2012</v>
      </c>
      <c r="G1046" s="10" t="s">
        <v>131</v>
      </c>
      <c r="H1046" s="10" t="s">
        <v>2</v>
      </c>
      <c r="I1046" s="11">
        <v>0</v>
      </c>
      <c r="J1046" s="11">
        <v>20816.768294665479</v>
      </c>
      <c r="K1046" s="11">
        <v>20816.768294665479</v>
      </c>
      <c r="L1046" s="12">
        <v>0</v>
      </c>
      <c r="M1046" s="12">
        <v>0</v>
      </c>
      <c r="N1046" s="12">
        <v>20816.768294665479</v>
      </c>
      <c r="O1046" s="70">
        <f>IF(Table1[[#This Row],[Overall amount]]=0,0,1)</f>
        <v>1</v>
      </c>
      <c r="P1046" s="70">
        <f>Table1[[#This Row],[Overall amount]]*Exchange_Rate</f>
        <v>20816.768294665479</v>
      </c>
      <c r="Q1046" s="70">
        <f>Table1[[#This Row],[Overall (destination currency)]]*(1+Claims_Inflation)^((Revalue_at_date-Table1[[#This Row],[Loss date]])/365.25)</f>
        <v>23520</v>
      </c>
      <c r="R1046" s="70">
        <f>INT(Table1[[#This Row],[Reporting date]])-INT(Table1[[#This Row],[Loss date]])</f>
        <v>0</v>
      </c>
      <c r="S1046" s="69" t="s">
        <v>16</v>
      </c>
      <c r="T1046" s="70">
        <f>VLOOKUP(Table1[[#This Row],[Policy Year]],exposure_table,3,FALSE)</f>
        <v>1057.54</v>
      </c>
      <c r="U1046" s="17">
        <f>IF(MONTH(Table1[[#This Row],[Reporting date]])&lt;Policy_Inception_Month,YEAR(Table1[[#This Row],[Reporting date]])-1,YEAR(Table1[[#This Row],[Reporting date]]))</f>
        <v>2012</v>
      </c>
      <c r="V1046" s="17">
        <f>Table1[[#This Row],[Reporting year]]-Table1[[#This Row],[Policy Year]]</f>
        <v>0</v>
      </c>
      <c r="W1046" s="17">
        <f>INT(Table1[[#This Row],[Reporting date]])-INT(Table1[[#This Row],[Loss date]])</f>
        <v>0</v>
      </c>
      <c r="X1046" s="17">
        <f>INT((YEAR(Table1[[#This Row],[Loss date]])*12+MONTH(Table1[[#This Row],[Loss date]])-Earliest_Month)/4)</f>
        <v>23</v>
      </c>
      <c r="Y1046" s="17">
        <f>INT((YEAR(Table1[[#This Row],[Reporting date]])*12+MONTH(Table1[[#This Row],[Reporting date]])-Earliest_Month)/4)</f>
        <v>23</v>
      </c>
      <c r="Z1046" s="17">
        <f>Table1[[#This Row],[Reporting third]]-Table1[[#This Row],[Policy third]]</f>
        <v>0</v>
      </c>
      <c r="AA1046" s="71">
        <f>IF(Table1[[#This Row],[Overall amount]]=0,"N/A",Table1[[#This Row],[Outstanding]]/Table1[[#This Row],[Overall amount]])</f>
        <v>1</v>
      </c>
      <c r="AB1046" s="17">
        <f>IF(MONTH(Table1[[#This Row],[Loss date]])&lt;Pol_Inc_Month_Shifted,YEAR(Table1[[#This Row],[Loss date]])-1,YEAR(Table1[[#This Row],[Loss date]]))</f>
        <v>2012</v>
      </c>
      <c r="AC1046" s="17">
        <f>IF(MONTH(Table1[[#This Row],[Reporting date]])&lt;Pol_Inc_Month_Shifted,YEAR(Table1[[#This Row],[Reporting date]])-1,YEAR(Table1[[#This Row],[Reporting date]]))</f>
        <v>2012</v>
      </c>
      <c r="AD1046" s="17">
        <f>Table1[[#This Row],[Reporting year (shifted)]]-Table1[[#This Row],[Policy Year (shifted)]]</f>
        <v>0</v>
      </c>
    </row>
    <row r="1047" spans="1:30" ht="13.9">
      <c r="A1047" s="8" t="s">
        <v>2817</v>
      </c>
      <c r="B1047" s="8" t="s">
        <v>1099</v>
      </c>
      <c r="C1047" s="8" t="s">
        <v>123</v>
      </c>
      <c r="D1047" s="9">
        <v>41851</v>
      </c>
      <c r="E1047" s="9">
        <v>41924</v>
      </c>
      <c r="F1047" s="17">
        <f>IF(MONTH(Table1[[#This Row],[Loss date]])&lt;Policy_Inception_Month,YEAR(Table1[[#This Row],[Loss date]])-1,YEAR(Table1[[#This Row],[Loss date]]))</f>
        <v>2014</v>
      </c>
      <c r="G1047" s="10" t="s">
        <v>125</v>
      </c>
      <c r="H1047" s="10" t="s">
        <v>2</v>
      </c>
      <c r="I1047" s="11">
        <v>0</v>
      </c>
      <c r="J1047" s="11">
        <v>12014.771090720551</v>
      </c>
      <c r="K1047" s="11">
        <v>12014.771090720551</v>
      </c>
      <c r="L1047" s="12">
        <v>340.04069124680802</v>
      </c>
      <c r="M1047" s="12">
        <v>0</v>
      </c>
      <c r="N1047" s="12">
        <v>12354.811781967359</v>
      </c>
      <c r="O1047" s="70">
        <f>IF(Table1[[#This Row],[Overall amount]]=0,0,1)</f>
        <v>1</v>
      </c>
      <c r="P1047" s="70">
        <f>Table1[[#This Row],[Overall amount]]*Exchange_Rate</f>
        <v>12354.811781967359</v>
      </c>
      <c r="Q1047" s="70">
        <f>Table1[[#This Row],[Overall (destination currency)]]*(1+Claims_Inflation)^((Revalue_at_date-Table1[[#This Row],[Loss date]])/365.25)</f>
        <v>13080</v>
      </c>
      <c r="R1047" s="70">
        <f>INT(Table1[[#This Row],[Reporting date]])-INT(Table1[[#This Row],[Loss date]])</f>
        <v>73</v>
      </c>
      <c r="S1047" s="69" t="s">
        <v>16</v>
      </c>
      <c r="T1047" s="70">
        <f>VLOOKUP(Table1[[#This Row],[Policy Year]],exposure_table,3,FALSE)</f>
        <v>1076.5070266272189</v>
      </c>
      <c r="U1047" s="17">
        <f>IF(MONTH(Table1[[#This Row],[Reporting date]])&lt;Policy_Inception_Month,YEAR(Table1[[#This Row],[Reporting date]])-1,YEAR(Table1[[#This Row],[Reporting date]]))</f>
        <v>2014</v>
      </c>
      <c r="V1047" s="17">
        <f>Table1[[#This Row],[Reporting year]]-Table1[[#This Row],[Policy Year]]</f>
        <v>0</v>
      </c>
      <c r="W1047" s="17">
        <f>INT(Table1[[#This Row],[Reporting date]])-INT(Table1[[#This Row],[Loss date]])</f>
        <v>73</v>
      </c>
      <c r="X1047" s="17">
        <f>INT((YEAR(Table1[[#This Row],[Loss date]])*12+MONTH(Table1[[#This Row],[Loss date]])-Earliest_Month)/4)</f>
        <v>27</v>
      </c>
      <c r="Y1047" s="17">
        <f>INT((YEAR(Table1[[#This Row],[Reporting date]])*12+MONTH(Table1[[#This Row],[Reporting date]])-Earliest_Month)/4)</f>
        <v>28</v>
      </c>
      <c r="Z1047" s="17">
        <f>Table1[[#This Row],[Reporting third]]-Table1[[#This Row],[Policy third]]</f>
        <v>1</v>
      </c>
      <c r="AA1047" s="71">
        <f>IF(Table1[[#This Row],[Overall amount]]=0,"N/A",Table1[[#This Row],[Outstanding]]/Table1[[#This Row],[Overall amount]])</f>
        <v>0.97247706422018354</v>
      </c>
      <c r="AB1047" s="17">
        <f>IF(MONTH(Table1[[#This Row],[Loss date]])&lt;Pol_Inc_Month_Shifted,YEAR(Table1[[#This Row],[Loss date]])-1,YEAR(Table1[[#This Row],[Loss date]]))</f>
        <v>2013</v>
      </c>
      <c r="AC1047" s="17">
        <f>IF(MONTH(Table1[[#This Row],[Reporting date]])&lt;Pol_Inc_Month_Shifted,YEAR(Table1[[#This Row],[Reporting date]])-1,YEAR(Table1[[#This Row],[Reporting date]]))</f>
        <v>2013</v>
      </c>
      <c r="AD1047" s="17">
        <f>Table1[[#This Row],[Reporting year (shifted)]]-Table1[[#This Row],[Policy Year (shifted)]]</f>
        <v>0</v>
      </c>
    </row>
    <row r="1048" spans="1:30" ht="13.9">
      <c r="A1048" s="8" t="s">
        <v>2818</v>
      </c>
      <c r="B1048" s="8" t="s">
        <v>1100</v>
      </c>
      <c r="C1048" s="8" t="s">
        <v>123</v>
      </c>
      <c r="D1048" s="9">
        <v>40812</v>
      </c>
      <c r="E1048" s="9">
        <v>41919</v>
      </c>
      <c r="F1048" s="17">
        <f>IF(MONTH(Table1[[#This Row],[Loss date]])&lt;Policy_Inception_Month,YEAR(Table1[[#This Row],[Loss date]])-1,YEAR(Table1[[#This Row],[Loss date]]))</f>
        <v>2011</v>
      </c>
      <c r="G1048" s="10" t="s">
        <v>131</v>
      </c>
      <c r="H1048" s="10" t="s">
        <v>2</v>
      </c>
      <c r="I1048" s="11">
        <v>0</v>
      </c>
      <c r="J1048" s="11">
        <v>0.98658380938738244</v>
      </c>
      <c r="K1048" s="11">
        <v>0.98658380938738244</v>
      </c>
      <c r="L1048" s="12">
        <v>0</v>
      </c>
      <c r="M1048" s="12">
        <v>0</v>
      </c>
      <c r="N1048" s="12">
        <v>0.98658380938738244</v>
      </c>
      <c r="O1048" s="70">
        <f>IF(Table1[[#This Row],[Overall amount]]=0,0,1)</f>
        <v>1</v>
      </c>
      <c r="P1048" s="70">
        <f>Table1[[#This Row],[Overall amount]]*Exchange_Rate</f>
        <v>0.98658380938738244</v>
      </c>
      <c r="Q1048" s="70">
        <f>Table1[[#This Row],[Overall (destination currency)]]*(1+Claims_Inflation)^((Revalue_at_date-Table1[[#This Row],[Loss date]])/365.25)</f>
        <v>1.2</v>
      </c>
      <c r="R1048" s="70">
        <f>INT(Table1[[#This Row],[Reporting date]])-INT(Table1[[#This Row],[Loss date]])</f>
        <v>1107</v>
      </c>
      <c r="S1048" s="69" t="s">
        <v>16</v>
      </c>
      <c r="T1048" s="70">
        <f>VLOOKUP(Table1[[#This Row],[Policy Year]],exposure_table,3,FALSE)</f>
        <v>870.52680000000009</v>
      </c>
      <c r="U1048" s="17">
        <f>IF(MONTH(Table1[[#This Row],[Reporting date]])&lt;Policy_Inception_Month,YEAR(Table1[[#This Row],[Reporting date]])-1,YEAR(Table1[[#This Row],[Reporting date]]))</f>
        <v>2014</v>
      </c>
      <c r="V1048" s="17">
        <f>Table1[[#This Row],[Reporting year]]-Table1[[#This Row],[Policy Year]]</f>
        <v>3</v>
      </c>
      <c r="W1048" s="17">
        <f>INT(Table1[[#This Row],[Reporting date]])-INT(Table1[[#This Row],[Loss date]])</f>
        <v>1107</v>
      </c>
      <c r="X1048" s="17">
        <f>INT((YEAR(Table1[[#This Row],[Loss date]])*12+MONTH(Table1[[#This Row],[Loss date]])-Earliest_Month)/4)</f>
        <v>19</v>
      </c>
      <c r="Y1048" s="17">
        <f>INT((YEAR(Table1[[#This Row],[Reporting date]])*12+MONTH(Table1[[#This Row],[Reporting date]])-Earliest_Month)/4)</f>
        <v>28</v>
      </c>
      <c r="Z1048" s="17">
        <f>Table1[[#This Row],[Reporting third]]-Table1[[#This Row],[Policy third]]</f>
        <v>9</v>
      </c>
      <c r="AA1048" s="71">
        <f>IF(Table1[[#This Row],[Overall amount]]=0,"N/A",Table1[[#This Row],[Outstanding]]/Table1[[#This Row],[Overall amount]])</f>
        <v>1</v>
      </c>
      <c r="AB1048" s="17">
        <f>IF(MONTH(Table1[[#This Row],[Loss date]])&lt;Pol_Inc_Month_Shifted,YEAR(Table1[[#This Row],[Loss date]])-1,YEAR(Table1[[#This Row],[Loss date]]))</f>
        <v>2010</v>
      </c>
      <c r="AC1048" s="17">
        <f>IF(MONTH(Table1[[#This Row],[Reporting date]])&lt;Pol_Inc_Month_Shifted,YEAR(Table1[[#This Row],[Reporting date]])-1,YEAR(Table1[[#This Row],[Reporting date]]))</f>
        <v>2013</v>
      </c>
      <c r="AD1048" s="17">
        <f>Table1[[#This Row],[Reporting year (shifted)]]-Table1[[#This Row],[Policy Year (shifted)]]</f>
        <v>3</v>
      </c>
    </row>
    <row r="1049" spans="1:30" ht="13.9">
      <c r="A1049" s="8" t="s">
        <v>2819</v>
      </c>
      <c r="B1049" s="8" t="s">
        <v>1101</v>
      </c>
      <c r="C1049" s="8" t="s">
        <v>123</v>
      </c>
      <c r="D1049" s="9">
        <v>41307</v>
      </c>
      <c r="E1049" s="9">
        <v>41957</v>
      </c>
      <c r="F1049" s="17">
        <f>IF(MONTH(Table1[[#This Row],[Loss date]])&lt;Policy_Inception_Month,YEAR(Table1[[#This Row],[Loss date]])-1,YEAR(Table1[[#This Row],[Loss date]]))</f>
        <v>2012</v>
      </c>
      <c r="G1049" s="10" t="s">
        <v>125</v>
      </c>
      <c r="H1049" s="10" t="s">
        <v>2</v>
      </c>
      <c r="I1049" s="11">
        <v>0</v>
      </c>
      <c r="J1049" s="11">
        <v>18814.327885462961</v>
      </c>
      <c r="K1049" s="11">
        <v>18814.327885462961</v>
      </c>
      <c r="L1049" s="12">
        <v>0</v>
      </c>
      <c r="M1049" s="12">
        <v>0</v>
      </c>
      <c r="N1049" s="12">
        <v>18814.327885462961</v>
      </c>
      <c r="O1049" s="70">
        <f>IF(Table1[[#This Row],[Overall amount]]=0,0,1)</f>
        <v>1</v>
      </c>
      <c r="P1049" s="70">
        <f>Table1[[#This Row],[Overall amount]]*Exchange_Rate</f>
        <v>18814.327885462961</v>
      </c>
      <c r="Q1049" s="70">
        <f>Table1[[#This Row],[Overall (destination currency)]]*(1+Claims_Inflation)^((Revalue_at_date-Table1[[#This Row],[Loss date]])/365.25)</f>
        <v>21420</v>
      </c>
      <c r="R1049" s="70">
        <f>INT(Table1[[#This Row],[Reporting date]])-INT(Table1[[#This Row],[Loss date]])</f>
        <v>650</v>
      </c>
      <c r="S1049" s="69" t="s">
        <v>16</v>
      </c>
      <c r="T1049" s="70">
        <f>VLOOKUP(Table1[[#This Row],[Policy Year]],exposure_table,3,FALSE)</f>
        <v>1057.54</v>
      </c>
      <c r="U1049" s="17">
        <f>IF(MONTH(Table1[[#This Row],[Reporting date]])&lt;Policy_Inception_Month,YEAR(Table1[[#This Row],[Reporting date]])-1,YEAR(Table1[[#This Row],[Reporting date]]))</f>
        <v>2014</v>
      </c>
      <c r="V1049" s="17">
        <f>Table1[[#This Row],[Reporting year]]-Table1[[#This Row],[Policy Year]]</f>
        <v>2</v>
      </c>
      <c r="W1049" s="17">
        <f>INT(Table1[[#This Row],[Reporting date]])-INT(Table1[[#This Row],[Loss date]])</f>
        <v>650</v>
      </c>
      <c r="X1049" s="17">
        <f>INT((YEAR(Table1[[#This Row],[Loss date]])*12+MONTH(Table1[[#This Row],[Loss date]])-Earliest_Month)/4)</f>
        <v>23</v>
      </c>
      <c r="Y1049" s="17">
        <f>INT((YEAR(Table1[[#This Row],[Reporting date]])*12+MONTH(Table1[[#This Row],[Reporting date]])-Earliest_Month)/4)</f>
        <v>28</v>
      </c>
      <c r="Z1049" s="17">
        <f>Table1[[#This Row],[Reporting third]]-Table1[[#This Row],[Policy third]]</f>
        <v>5</v>
      </c>
      <c r="AA1049" s="71">
        <f>IF(Table1[[#This Row],[Overall amount]]=0,"N/A",Table1[[#This Row],[Outstanding]]/Table1[[#This Row],[Overall amount]])</f>
        <v>1</v>
      </c>
      <c r="AB1049" s="17">
        <f>IF(MONTH(Table1[[#This Row],[Loss date]])&lt;Pol_Inc_Month_Shifted,YEAR(Table1[[#This Row],[Loss date]])-1,YEAR(Table1[[#This Row],[Loss date]]))</f>
        <v>2012</v>
      </c>
      <c r="AC1049" s="17">
        <f>IF(MONTH(Table1[[#This Row],[Reporting date]])&lt;Pol_Inc_Month_Shifted,YEAR(Table1[[#This Row],[Reporting date]])-1,YEAR(Table1[[#This Row],[Reporting date]]))</f>
        <v>2013</v>
      </c>
      <c r="AD1049" s="17">
        <f>Table1[[#This Row],[Reporting year (shifted)]]-Table1[[#This Row],[Policy Year (shifted)]]</f>
        <v>1</v>
      </c>
    </row>
    <row r="1050" spans="1:30" ht="13.9">
      <c r="A1050" s="8" t="s">
        <v>2820</v>
      </c>
      <c r="B1050" s="8" t="s">
        <v>1102</v>
      </c>
      <c r="C1050" s="8" t="s">
        <v>123</v>
      </c>
      <c r="D1050" s="9">
        <v>41870</v>
      </c>
      <c r="E1050" s="9">
        <v>41973</v>
      </c>
      <c r="F1050" s="17">
        <f>IF(MONTH(Table1[[#This Row],[Loss date]])&lt;Policy_Inception_Month,YEAR(Table1[[#This Row],[Loss date]])-1,YEAR(Table1[[#This Row],[Loss date]]))</f>
        <v>2014</v>
      </c>
      <c r="G1050" s="10" t="s">
        <v>125</v>
      </c>
      <c r="H1050" s="10" t="s">
        <v>2</v>
      </c>
      <c r="I1050" s="11">
        <v>0</v>
      </c>
      <c r="J1050" s="11">
        <v>7386.2710711736563</v>
      </c>
      <c r="K1050" s="11">
        <v>7386.2710711736563</v>
      </c>
      <c r="L1050" s="12">
        <v>0</v>
      </c>
      <c r="M1050" s="12">
        <v>0</v>
      </c>
      <c r="N1050" s="12">
        <v>7386.2710711736563</v>
      </c>
      <c r="O1050" s="70">
        <f>IF(Table1[[#This Row],[Overall amount]]=0,0,1)</f>
        <v>1</v>
      </c>
      <c r="P1050" s="70">
        <f>Table1[[#This Row],[Overall amount]]*Exchange_Rate</f>
        <v>7386.2710711736563</v>
      </c>
      <c r="Q1050" s="70">
        <f>Table1[[#This Row],[Overall (destination currency)]]*(1+Claims_Inflation)^((Revalue_at_date-Table1[[#This Row],[Loss date]])/365.25)</f>
        <v>7800.0000000000009</v>
      </c>
      <c r="R1050" s="70">
        <f>INT(Table1[[#This Row],[Reporting date]])-INT(Table1[[#This Row],[Loss date]])</f>
        <v>103</v>
      </c>
      <c r="S1050" s="69" t="s">
        <v>16</v>
      </c>
      <c r="T1050" s="70">
        <f>VLOOKUP(Table1[[#This Row],[Policy Year]],exposure_table,3,FALSE)</f>
        <v>1076.5070266272189</v>
      </c>
      <c r="U1050" s="17">
        <f>IF(MONTH(Table1[[#This Row],[Reporting date]])&lt;Policy_Inception_Month,YEAR(Table1[[#This Row],[Reporting date]])-1,YEAR(Table1[[#This Row],[Reporting date]]))</f>
        <v>2014</v>
      </c>
      <c r="V1050" s="17">
        <f>Table1[[#This Row],[Reporting year]]-Table1[[#This Row],[Policy Year]]</f>
        <v>0</v>
      </c>
      <c r="W1050" s="17">
        <f>INT(Table1[[#This Row],[Reporting date]])-INT(Table1[[#This Row],[Loss date]])</f>
        <v>103</v>
      </c>
      <c r="X1050" s="17">
        <f>INT((YEAR(Table1[[#This Row],[Loss date]])*12+MONTH(Table1[[#This Row],[Loss date]])-Earliest_Month)/4)</f>
        <v>28</v>
      </c>
      <c r="Y1050" s="17">
        <f>INT((YEAR(Table1[[#This Row],[Reporting date]])*12+MONTH(Table1[[#This Row],[Reporting date]])-Earliest_Month)/4)</f>
        <v>28</v>
      </c>
      <c r="Z1050" s="17">
        <f>Table1[[#This Row],[Reporting third]]-Table1[[#This Row],[Policy third]]</f>
        <v>0</v>
      </c>
      <c r="AA1050" s="71">
        <f>IF(Table1[[#This Row],[Overall amount]]=0,"N/A",Table1[[#This Row],[Outstanding]]/Table1[[#This Row],[Overall amount]])</f>
        <v>1</v>
      </c>
      <c r="AB1050" s="17">
        <f>IF(MONTH(Table1[[#This Row],[Loss date]])&lt;Pol_Inc_Month_Shifted,YEAR(Table1[[#This Row],[Loss date]])-1,YEAR(Table1[[#This Row],[Loss date]]))</f>
        <v>2013</v>
      </c>
      <c r="AC1050" s="17">
        <f>IF(MONTH(Table1[[#This Row],[Reporting date]])&lt;Pol_Inc_Month_Shifted,YEAR(Table1[[#This Row],[Reporting date]])-1,YEAR(Table1[[#This Row],[Reporting date]]))</f>
        <v>2013</v>
      </c>
      <c r="AD1050" s="17">
        <f>Table1[[#This Row],[Reporting year (shifted)]]-Table1[[#This Row],[Policy Year (shifted)]]</f>
        <v>0</v>
      </c>
    </row>
    <row r="1051" spans="1:30" ht="13.9">
      <c r="A1051" s="8" t="s">
        <v>2821</v>
      </c>
      <c r="B1051" s="8" t="s">
        <v>1103</v>
      </c>
      <c r="C1051" s="8" t="s">
        <v>123</v>
      </c>
      <c r="D1051" s="9">
        <v>41413</v>
      </c>
      <c r="E1051" s="9">
        <v>41973</v>
      </c>
      <c r="F1051" s="17">
        <f>IF(MONTH(Table1[[#This Row],[Loss date]])&lt;Policy_Inception_Month,YEAR(Table1[[#This Row],[Loss date]])-1,YEAR(Table1[[#This Row],[Loss date]]))</f>
        <v>2013</v>
      </c>
      <c r="G1051" s="10" t="s">
        <v>148</v>
      </c>
      <c r="H1051" s="10" t="s">
        <v>2</v>
      </c>
      <c r="I1051" s="11">
        <v>0</v>
      </c>
      <c r="J1051" s="11">
        <v>12294.127733706428</v>
      </c>
      <c r="K1051" s="11">
        <v>12294.127733706428</v>
      </c>
      <c r="L1051" s="12">
        <v>320.71637566190674</v>
      </c>
      <c r="M1051" s="12">
        <v>0</v>
      </c>
      <c r="N1051" s="12">
        <v>12614.844109368334</v>
      </c>
      <c r="O1051" s="70">
        <f>IF(Table1[[#This Row],[Overall amount]]=0,0,1)</f>
        <v>1</v>
      </c>
      <c r="P1051" s="70">
        <f>Table1[[#This Row],[Overall amount]]*Exchange_Rate</f>
        <v>12614.844109368334</v>
      </c>
      <c r="Q1051" s="70">
        <f>Table1[[#This Row],[Overall (destination currency)]]*(1+Claims_Inflation)^((Revalue_at_date-Table1[[#This Row],[Loss date]])/365.25)</f>
        <v>14160</v>
      </c>
      <c r="R1051" s="70">
        <f>INT(Table1[[#This Row],[Reporting date]])-INT(Table1[[#This Row],[Loss date]])</f>
        <v>560</v>
      </c>
      <c r="S1051" s="69" t="s">
        <v>16</v>
      </c>
      <c r="T1051" s="70">
        <f>VLOOKUP(Table1[[#This Row],[Policy Year]],exposure_table,3,FALSE)</f>
        <v>1090.5865384615383</v>
      </c>
      <c r="U1051" s="17">
        <f>IF(MONTH(Table1[[#This Row],[Reporting date]])&lt;Policy_Inception_Month,YEAR(Table1[[#This Row],[Reporting date]])-1,YEAR(Table1[[#This Row],[Reporting date]]))</f>
        <v>2014</v>
      </c>
      <c r="V1051" s="17">
        <f>Table1[[#This Row],[Reporting year]]-Table1[[#This Row],[Policy Year]]</f>
        <v>1</v>
      </c>
      <c r="W1051" s="17">
        <f>INT(Table1[[#This Row],[Reporting date]])-INT(Table1[[#This Row],[Loss date]])</f>
        <v>560</v>
      </c>
      <c r="X1051" s="17">
        <f>INT((YEAR(Table1[[#This Row],[Loss date]])*12+MONTH(Table1[[#This Row],[Loss date]])-Earliest_Month)/4)</f>
        <v>24</v>
      </c>
      <c r="Y1051" s="17">
        <f>INT((YEAR(Table1[[#This Row],[Reporting date]])*12+MONTH(Table1[[#This Row],[Reporting date]])-Earliest_Month)/4)</f>
        <v>28</v>
      </c>
      <c r="Z1051" s="17">
        <f>Table1[[#This Row],[Reporting third]]-Table1[[#This Row],[Policy third]]</f>
        <v>4</v>
      </c>
      <c r="AA1051" s="71">
        <f>IF(Table1[[#This Row],[Overall amount]]=0,"N/A",Table1[[#This Row],[Outstanding]]/Table1[[#This Row],[Overall amount]])</f>
        <v>0.97457627118644075</v>
      </c>
      <c r="AB1051" s="17">
        <f>IF(MONTH(Table1[[#This Row],[Loss date]])&lt;Pol_Inc_Month_Shifted,YEAR(Table1[[#This Row],[Loss date]])-1,YEAR(Table1[[#This Row],[Loss date]]))</f>
        <v>2012</v>
      </c>
      <c r="AC1051" s="17">
        <f>IF(MONTH(Table1[[#This Row],[Reporting date]])&lt;Pol_Inc_Month_Shifted,YEAR(Table1[[#This Row],[Reporting date]])-1,YEAR(Table1[[#This Row],[Reporting date]]))</f>
        <v>2013</v>
      </c>
      <c r="AD1051" s="17">
        <f>Table1[[#This Row],[Reporting year (shifted)]]-Table1[[#This Row],[Policy Year (shifted)]]</f>
        <v>1</v>
      </c>
    </row>
    <row r="1052" spans="1:30" ht="13.9">
      <c r="A1052" s="8" t="s">
        <v>2822</v>
      </c>
      <c r="B1052" s="8" t="s">
        <v>1104</v>
      </c>
      <c r="C1052" s="8" t="s">
        <v>123</v>
      </c>
      <c r="D1052" s="9">
        <v>41758</v>
      </c>
      <c r="E1052" s="9">
        <v>41952</v>
      </c>
      <c r="F1052" s="17">
        <f>IF(MONTH(Table1[[#This Row],[Loss date]])&lt;Policy_Inception_Month,YEAR(Table1[[#This Row],[Loss date]])-1,YEAR(Table1[[#This Row],[Loss date]]))</f>
        <v>2014</v>
      </c>
      <c r="G1052" s="10" t="s">
        <v>131</v>
      </c>
      <c r="H1052" s="10" t="s">
        <v>2</v>
      </c>
      <c r="I1052" s="11">
        <v>0</v>
      </c>
      <c r="J1052" s="11">
        <v>11754.487886831648</v>
      </c>
      <c r="K1052" s="11">
        <v>11754.487886831648</v>
      </c>
      <c r="L1052" s="12">
        <v>0</v>
      </c>
      <c r="M1052" s="12">
        <v>0</v>
      </c>
      <c r="N1052" s="12">
        <v>11754.487886831648</v>
      </c>
      <c r="O1052" s="70">
        <f>IF(Table1[[#This Row],[Overall amount]]=0,0,1)</f>
        <v>1</v>
      </c>
      <c r="P1052" s="70">
        <f>Table1[[#This Row],[Overall amount]]*Exchange_Rate</f>
        <v>11754.487886831648</v>
      </c>
      <c r="Q1052" s="70">
        <f>Table1[[#This Row],[Overall (destination currency)]]*(1+Claims_Inflation)^((Revalue_at_date-Table1[[#This Row],[Loss date]])/365.25)</f>
        <v>12600</v>
      </c>
      <c r="R1052" s="70">
        <f>INT(Table1[[#This Row],[Reporting date]])-INT(Table1[[#This Row],[Loss date]])</f>
        <v>194</v>
      </c>
      <c r="S1052" s="69" t="s">
        <v>16</v>
      </c>
      <c r="T1052" s="70">
        <f>VLOOKUP(Table1[[#This Row],[Policy Year]],exposure_table,3,FALSE)</f>
        <v>1076.5070266272189</v>
      </c>
      <c r="U1052" s="17">
        <f>IF(MONTH(Table1[[#This Row],[Reporting date]])&lt;Policy_Inception_Month,YEAR(Table1[[#This Row],[Reporting date]])-1,YEAR(Table1[[#This Row],[Reporting date]]))</f>
        <v>2014</v>
      </c>
      <c r="V1052" s="17">
        <f>Table1[[#This Row],[Reporting year]]-Table1[[#This Row],[Policy Year]]</f>
        <v>0</v>
      </c>
      <c r="W1052" s="17">
        <f>INT(Table1[[#This Row],[Reporting date]])-INT(Table1[[#This Row],[Loss date]])</f>
        <v>194</v>
      </c>
      <c r="X1052" s="17">
        <f>INT((YEAR(Table1[[#This Row],[Loss date]])*12+MONTH(Table1[[#This Row],[Loss date]])-Earliest_Month)/4)</f>
        <v>27</v>
      </c>
      <c r="Y1052" s="17">
        <f>INT((YEAR(Table1[[#This Row],[Reporting date]])*12+MONTH(Table1[[#This Row],[Reporting date]])-Earliest_Month)/4)</f>
        <v>28</v>
      </c>
      <c r="Z1052" s="17">
        <f>Table1[[#This Row],[Reporting third]]-Table1[[#This Row],[Policy third]]</f>
        <v>1</v>
      </c>
      <c r="AA1052" s="71">
        <f>IF(Table1[[#This Row],[Overall amount]]=0,"N/A",Table1[[#This Row],[Outstanding]]/Table1[[#This Row],[Overall amount]])</f>
        <v>1</v>
      </c>
      <c r="AB1052" s="17">
        <f>IF(MONTH(Table1[[#This Row],[Loss date]])&lt;Pol_Inc_Month_Shifted,YEAR(Table1[[#This Row],[Loss date]])-1,YEAR(Table1[[#This Row],[Loss date]]))</f>
        <v>2013</v>
      </c>
      <c r="AC1052" s="17">
        <f>IF(MONTH(Table1[[#This Row],[Reporting date]])&lt;Pol_Inc_Month_Shifted,YEAR(Table1[[#This Row],[Reporting date]])-1,YEAR(Table1[[#This Row],[Reporting date]]))</f>
        <v>2013</v>
      </c>
      <c r="AD1052" s="17">
        <f>Table1[[#This Row],[Reporting year (shifted)]]-Table1[[#This Row],[Policy Year (shifted)]]</f>
        <v>0</v>
      </c>
    </row>
    <row r="1053" spans="1:30" ht="13.9">
      <c r="A1053" s="8" t="s">
        <v>2823</v>
      </c>
      <c r="B1053" s="8" t="s">
        <v>1105</v>
      </c>
      <c r="C1053" s="8" t="s">
        <v>123</v>
      </c>
      <c r="D1053" s="9">
        <v>41773</v>
      </c>
      <c r="E1053" s="9">
        <v>41973</v>
      </c>
      <c r="F1053" s="17">
        <f>IF(MONTH(Table1[[#This Row],[Loss date]])&lt;Policy_Inception_Month,YEAR(Table1[[#This Row],[Loss date]])-1,YEAR(Table1[[#This Row],[Loss date]]))</f>
        <v>2014</v>
      </c>
      <c r="G1053" s="10" t="s">
        <v>126</v>
      </c>
      <c r="H1053" s="10" t="s">
        <v>2</v>
      </c>
      <c r="I1053" s="11">
        <v>0</v>
      </c>
      <c r="J1053" s="11">
        <v>5608.6019045118073</v>
      </c>
      <c r="K1053" s="11">
        <v>5608.6019045118073</v>
      </c>
      <c r="L1053" s="12">
        <v>0</v>
      </c>
      <c r="M1053" s="12">
        <v>0</v>
      </c>
      <c r="N1053" s="12">
        <v>5608.6019045118073</v>
      </c>
      <c r="O1053" s="70">
        <f>IF(Table1[[#This Row],[Overall amount]]=0,0,1)</f>
        <v>1</v>
      </c>
      <c r="P1053" s="70">
        <f>Table1[[#This Row],[Overall amount]]*Exchange_Rate</f>
        <v>5608.6019045118073</v>
      </c>
      <c r="Q1053" s="70">
        <f>Table1[[#This Row],[Overall (destination currency)]]*(1+Claims_Inflation)^((Revalue_at_date-Table1[[#This Row],[Loss date]])/365.25)</f>
        <v>6000</v>
      </c>
      <c r="R1053" s="70">
        <f>INT(Table1[[#This Row],[Reporting date]])-INT(Table1[[#This Row],[Loss date]])</f>
        <v>200</v>
      </c>
      <c r="S1053" s="69" t="s">
        <v>16</v>
      </c>
      <c r="T1053" s="70">
        <f>VLOOKUP(Table1[[#This Row],[Policy Year]],exposure_table,3,FALSE)</f>
        <v>1076.5070266272189</v>
      </c>
      <c r="U1053" s="17">
        <f>IF(MONTH(Table1[[#This Row],[Reporting date]])&lt;Policy_Inception_Month,YEAR(Table1[[#This Row],[Reporting date]])-1,YEAR(Table1[[#This Row],[Reporting date]]))</f>
        <v>2014</v>
      </c>
      <c r="V1053" s="17">
        <f>Table1[[#This Row],[Reporting year]]-Table1[[#This Row],[Policy Year]]</f>
        <v>0</v>
      </c>
      <c r="W1053" s="17">
        <f>INT(Table1[[#This Row],[Reporting date]])-INT(Table1[[#This Row],[Loss date]])</f>
        <v>200</v>
      </c>
      <c r="X1053" s="17">
        <f>INT((YEAR(Table1[[#This Row],[Loss date]])*12+MONTH(Table1[[#This Row],[Loss date]])-Earliest_Month)/4)</f>
        <v>27</v>
      </c>
      <c r="Y1053" s="17">
        <f>INT((YEAR(Table1[[#This Row],[Reporting date]])*12+MONTH(Table1[[#This Row],[Reporting date]])-Earliest_Month)/4)</f>
        <v>28</v>
      </c>
      <c r="Z1053" s="17">
        <f>Table1[[#This Row],[Reporting third]]-Table1[[#This Row],[Policy third]]</f>
        <v>1</v>
      </c>
      <c r="AA1053" s="71">
        <f>IF(Table1[[#This Row],[Overall amount]]=0,"N/A",Table1[[#This Row],[Outstanding]]/Table1[[#This Row],[Overall amount]])</f>
        <v>1</v>
      </c>
      <c r="AB1053" s="17">
        <f>IF(MONTH(Table1[[#This Row],[Loss date]])&lt;Pol_Inc_Month_Shifted,YEAR(Table1[[#This Row],[Loss date]])-1,YEAR(Table1[[#This Row],[Loss date]]))</f>
        <v>2013</v>
      </c>
      <c r="AC1053" s="17">
        <f>IF(MONTH(Table1[[#This Row],[Reporting date]])&lt;Pol_Inc_Month_Shifted,YEAR(Table1[[#This Row],[Reporting date]])-1,YEAR(Table1[[#This Row],[Reporting date]]))</f>
        <v>2013</v>
      </c>
      <c r="AD1053" s="17">
        <f>Table1[[#This Row],[Reporting year (shifted)]]-Table1[[#This Row],[Policy Year (shifted)]]</f>
        <v>0</v>
      </c>
    </row>
    <row r="1054" spans="1:30" ht="13.9">
      <c r="A1054" s="8" t="s">
        <v>2824</v>
      </c>
      <c r="B1054" s="8" t="s">
        <v>1106</v>
      </c>
      <c r="C1054" s="8" t="s">
        <v>118</v>
      </c>
      <c r="D1054" s="9">
        <v>41160</v>
      </c>
      <c r="E1054" s="9">
        <v>41160</v>
      </c>
      <c r="F1054" s="17">
        <f>IF(MONTH(Table1[[#This Row],[Loss date]])&lt;Policy_Inception_Month,YEAR(Table1[[#This Row],[Loss date]])-1,YEAR(Table1[[#This Row],[Loss date]]))</f>
        <v>2012</v>
      </c>
      <c r="G1054" s="10" t="s">
        <v>119</v>
      </c>
      <c r="H1054" s="10" t="s">
        <v>2</v>
      </c>
      <c r="I1054" s="11">
        <v>7041.2762544881962</v>
      </c>
      <c r="J1054" s="11">
        <v>0</v>
      </c>
      <c r="K1054" s="11">
        <v>7041.2762544881962</v>
      </c>
      <c r="L1054" s="12">
        <v>310.05862103913319</v>
      </c>
      <c r="M1054" s="12">
        <v>0</v>
      </c>
      <c r="N1054" s="12">
        <v>7351.3348755273291</v>
      </c>
      <c r="O1054" s="70">
        <f>IF(Table1[[#This Row],[Overall amount]]=0,0,1)</f>
        <v>1</v>
      </c>
      <c r="P1054" s="70">
        <f>Table1[[#This Row],[Overall amount]]*Exchange_Rate</f>
        <v>7351.3348755273291</v>
      </c>
      <c r="Q1054" s="70">
        <f>Table1[[#This Row],[Overall (destination currency)]]*(1+Claims_Inflation)^((Revalue_at_date-Table1[[#This Row],[Loss date]])/365.25)</f>
        <v>8535.4200000000019</v>
      </c>
      <c r="R1054" s="70">
        <f>INT(Table1[[#This Row],[Reporting date]])-INT(Table1[[#This Row],[Loss date]])</f>
        <v>0</v>
      </c>
      <c r="S1054" s="69" t="s">
        <v>9</v>
      </c>
      <c r="T1054" s="70">
        <f>VLOOKUP(Table1[[#This Row],[Policy Year]],exposure_table,3,FALSE)</f>
        <v>1057.54</v>
      </c>
      <c r="U1054" s="17">
        <f>IF(MONTH(Table1[[#This Row],[Reporting date]])&lt;Policy_Inception_Month,YEAR(Table1[[#This Row],[Reporting date]])-1,YEAR(Table1[[#This Row],[Reporting date]]))</f>
        <v>2012</v>
      </c>
      <c r="V1054" s="17">
        <f>Table1[[#This Row],[Reporting year]]-Table1[[#This Row],[Policy Year]]</f>
        <v>0</v>
      </c>
      <c r="W1054" s="17">
        <f>INT(Table1[[#This Row],[Reporting date]])-INT(Table1[[#This Row],[Loss date]])</f>
        <v>0</v>
      </c>
      <c r="X1054" s="17">
        <f>INT((YEAR(Table1[[#This Row],[Loss date]])*12+MONTH(Table1[[#This Row],[Loss date]])-Earliest_Month)/4)</f>
        <v>22</v>
      </c>
      <c r="Y1054" s="17">
        <f>INT((YEAR(Table1[[#This Row],[Reporting date]])*12+MONTH(Table1[[#This Row],[Reporting date]])-Earliest_Month)/4)</f>
        <v>22</v>
      </c>
      <c r="Z1054" s="17">
        <f>Table1[[#This Row],[Reporting third]]-Table1[[#This Row],[Policy third]]</f>
        <v>0</v>
      </c>
      <c r="AA1054" s="71">
        <f>IF(Table1[[#This Row],[Overall amount]]=0,"N/A",Table1[[#This Row],[Outstanding]]/Table1[[#This Row],[Overall amount]])</f>
        <v>0</v>
      </c>
      <c r="AB1054" s="17">
        <f>IF(MONTH(Table1[[#This Row],[Loss date]])&lt;Pol_Inc_Month_Shifted,YEAR(Table1[[#This Row],[Loss date]])-1,YEAR(Table1[[#This Row],[Loss date]]))</f>
        <v>2011</v>
      </c>
      <c r="AC1054" s="17">
        <f>IF(MONTH(Table1[[#This Row],[Reporting date]])&lt;Pol_Inc_Month_Shifted,YEAR(Table1[[#This Row],[Reporting date]])-1,YEAR(Table1[[#This Row],[Reporting date]]))</f>
        <v>2011</v>
      </c>
      <c r="AD1054" s="17">
        <f>Table1[[#This Row],[Reporting year (shifted)]]-Table1[[#This Row],[Policy Year (shifted)]]</f>
        <v>0</v>
      </c>
    </row>
    <row r="1055" spans="1:30" ht="13.9">
      <c r="A1055" s="8" t="s">
        <v>2825</v>
      </c>
      <c r="B1055" s="8" t="s">
        <v>1107</v>
      </c>
      <c r="C1055" s="8" t="s">
        <v>118</v>
      </c>
      <c r="D1055" s="9">
        <v>41174</v>
      </c>
      <c r="E1055" s="9">
        <v>41176</v>
      </c>
      <c r="F1055" s="17">
        <f>IF(MONTH(Table1[[#This Row],[Loss date]])&lt;Policy_Inception_Month,YEAR(Table1[[#This Row],[Loss date]])-1,YEAR(Table1[[#This Row],[Loss date]]))</f>
        <v>2012</v>
      </c>
      <c r="G1055" s="10" t="s">
        <v>129</v>
      </c>
      <c r="H1055" s="10" t="s">
        <v>2</v>
      </c>
      <c r="I1055" s="11">
        <v>1821.1626218168649</v>
      </c>
      <c r="J1055" s="11">
        <v>21476.763219744356</v>
      </c>
      <c r="K1055" s="11">
        <v>23297.92584156122</v>
      </c>
      <c r="L1055" s="12">
        <v>0</v>
      </c>
      <c r="M1055" s="12">
        <v>0</v>
      </c>
      <c r="N1055" s="12">
        <v>23297.92584156122</v>
      </c>
      <c r="O1055" s="70">
        <f>IF(Table1[[#This Row],[Overall amount]]=0,0,1)</f>
        <v>1</v>
      </c>
      <c r="P1055" s="70">
        <f>Table1[[#This Row],[Overall amount]]*Exchange_Rate</f>
        <v>23297.92584156122</v>
      </c>
      <c r="Q1055" s="70">
        <f>Table1[[#This Row],[Overall (destination currency)]]*(1+Claims_Inflation)^((Revalue_at_date-Table1[[#This Row],[Loss date]])/365.25)</f>
        <v>27000</v>
      </c>
      <c r="R1055" s="70">
        <f>INT(Table1[[#This Row],[Reporting date]])-INT(Table1[[#This Row],[Loss date]])</f>
        <v>2</v>
      </c>
      <c r="S1055" s="69" t="s">
        <v>16</v>
      </c>
      <c r="T1055" s="70">
        <f>VLOOKUP(Table1[[#This Row],[Policy Year]],exposure_table,3,FALSE)</f>
        <v>1057.54</v>
      </c>
      <c r="U1055" s="17">
        <f>IF(MONTH(Table1[[#This Row],[Reporting date]])&lt;Policy_Inception_Month,YEAR(Table1[[#This Row],[Reporting date]])-1,YEAR(Table1[[#This Row],[Reporting date]]))</f>
        <v>2012</v>
      </c>
      <c r="V1055" s="17">
        <f>Table1[[#This Row],[Reporting year]]-Table1[[#This Row],[Policy Year]]</f>
        <v>0</v>
      </c>
      <c r="W1055" s="17">
        <f>INT(Table1[[#This Row],[Reporting date]])-INT(Table1[[#This Row],[Loss date]])</f>
        <v>2</v>
      </c>
      <c r="X1055" s="17">
        <f>INT((YEAR(Table1[[#This Row],[Loss date]])*12+MONTH(Table1[[#This Row],[Loss date]])-Earliest_Month)/4)</f>
        <v>22</v>
      </c>
      <c r="Y1055" s="17">
        <f>INT((YEAR(Table1[[#This Row],[Reporting date]])*12+MONTH(Table1[[#This Row],[Reporting date]])-Earliest_Month)/4)</f>
        <v>22</v>
      </c>
      <c r="Z1055" s="17">
        <f>Table1[[#This Row],[Reporting third]]-Table1[[#This Row],[Policy third]]</f>
        <v>0</v>
      </c>
      <c r="AA1055" s="71">
        <f>IF(Table1[[#This Row],[Overall amount]]=0,"N/A",Table1[[#This Row],[Outstanding]]/Table1[[#This Row],[Overall amount]])</f>
        <v>0.92183155555555563</v>
      </c>
      <c r="AB1055" s="17">
        <f>IF(MONTH(Table1[[#This Row],[Loss date]])&lt;Pol_Inc_Month_Shifted,YEAR(Table1[[#This Row],[Loss date]])-1,YEAR(Table1[[#This Row],[Loss date]]))</f>
        <v>2011</v>
      </c>
      <c r="AC1055" s="17">
        <f>IF(MONTH(Table1[[#This Row],[Reporting date]])&lt;Pol_Inc_Month_Shifted,YEAR(Table1[[#This Row],[Reporting date]])-1,YEAR(Table1[[#This Row],[Reporting date]]))</f>
        <v>2011</v>
      </c>
      <c r="AD1055" s="17">
        <f>Table1[[#This Row],[Reporting year (shifted)]]-Table1[[#This Row],[Policy Year (shifted)]]</f>
        <v>0</v>
      </c>
    </row>
    <row r="1056" spans="1:30" ht="13.9">
      <c r="A1056" s="8" t="s">
        <v>2826</v>
      </c>
      <c r="B1056" s="8" t="s">
        <v>1108</v>
      </c>
      <c r="C1056" s="8" t="s">
        <v>118</v>
      </c>
      <c r="D1056" s="9">
        <v>41175</v>
      </c>
      <c r="E1056" s="9">
        <v>41180</v>
      </c>
      <c r="F1056" s="17">
        <f>IF(MONTH(Table1[[#This Row],[Loss date]])&lt;Policy_Inception_Month,YEAR(Table1[[#This Row],[Loss date]])-1,YEAR(Table1[[#This Row],[Loss date]]))</f>
        <v>2012</v>
      </c>
      <c r="G1056" s="10" t="s">
        <v>129</v>
      </c>
      <c r="H1056" s="10" t="s">
        <v>2</v>
      </c>
      <c r="I1056" s="11">
        <v>0</v>
      </c>
      <c r="J1056" s="11">
        <v>0</v>
      </c>
      <c r="K1056" s="11">
        <v>0</v>
      </c>
      <c r="L1056" s="12">
        <v>0</v>
      </c>
      <c r="M1056" s="12">
        <v>0</v>
      </c>
      <c r="N1056" s="12">
        <v>0</v>
      </c>
      <c r="O1056" s="70">
        <f>IF(Table1[[#This Row],[Overall amount]]=0,0,1)</f>
        <v>0</v>
      </c>
      <c r="P1056" s="70">
        <f>Table1[[#This Row],[Overall amount]]*Exchange_Rate</f>
        <v>0</v>
      </c>
      <c r="Q1056" s="70">
        <f>Table1[[#This Row],[Overall (destination currency)]]*(1+Claims_Inflation)^((Revalue_at_date-Table1[[#This Row],[Loss date]])/365.25)</f>
        <v>0</v>
      </c>
      <c r="R1056" s="70">
        <f>INT(Table1[[#This Row],[Reporting date]])-INT(Table1[[#This Row],[Loss date]])</f>
        <v>5</v>
      </c>
      <c r="S1056" s="69" t="s">
        <v>9</v>
      </c>
      <c r="T1056" s="70">
        <f>VLOOKUP(Table1[[#This Row],[Policy Year]],exposure_table,3,FALSE)</f>
        <v>1057.54</v>
      </c>
      <c r="U1056" s="17">
        <f>IF(MONTH(Table1[[#This Row],[Reporting date]])&lt;Policy_Inception_Month,YEAR(Table1[[#This Row],[Reporting date]])-1,YEAR(Table1[[#This Row],[Reporting date]]))</f>
        <v>2012</v>
      </c>
      <c r="V1056" s="17">
        <f>Table1[[#This Row],[Reporting year]]-Table1[[#This Row],[Policy Year]]</f>
        <v>0</v>
      </c>
      <c r="W1056" s="17">
        <f>INT(Table1[[#This Row],[Reporting date]])-INT(Table1[[#This Row],[Loss date]])</f>
        <v>5</v>
      </c>
      <c r="X1056" s="17">
        <f>INT((YEAR(Table1[[#This Row],[Loss date]])*12+MONTH(Table1[[#This Row],[Loss date]])-Earliest_Month)/4)</f>
        <v>22</v>
      </c>
      <c r="Y1056" s="17">
        <f>INT((YEAR(Table1[[#This Row],[Reporting date]])*12+MONTH(Table1[[#This Row],[Reporting date]])-Earliest_Month)/4)</f>
        <v>22</v>
      </c>
      <c r="Z1056" s="17">
        <f>Table1[[#This Row],[Reporting third]]-Table1[[#This Row],[Policy third]]</f>
        <v>0</v>
      </c>
      <c r="AA1056" s="71" t="str">
        <f>IF(Table1[[#This Row],[Overall amount]]=0,"N/A",Table1[[#This Row],[Outstanding]]/Table1[[#This Row],[Overall amount]])</f>
        <v>N/A</v>
      </c>
      <c r="AB1056" s="17">
        <f>IF(MONTH(Table1[[#This Row],[Loss date]])&lt;Pol_Inc_Month_Shifted,YEAR(Table1[[#This Row],[Loss date]])-1,YEAR(Table1[[#This Row],[Loss date]]))</f>
        <v>2011</v>
      </c>
      <c r="AC1056" s="17">
        <f>IF(MONTH(Table1[[#This Row],[Reporting date]])&lt;Pol_Inc_Month_Shifted,YEAR(Table1[[#This Row],[Reporting date]])-1,YEAR(Table1[[#This Row],[Reporting date]]))</f>
        <v>2011</v>
      </c>
      <c r="AD1056" s="17">
        <f>Table1[[#This Row],[Reporting year (shifted)]]-Table1[[#This Row],[Policy Year (shifted)]]</f>
        <v>0</v>
      </c>
    </row>
    <row r="1057" spans="1:30" ht="13.9">
      <c r="A1057" s="8" t="s">
        <v>2827</v>
      </c>
      <c r="B1057" s="8" t="s">
        <v>1109</v>
      </c>
      <c r="C1057" s="8" t="s">
        <v>118</v>
      </c>
      <c r="D1057" s="9">
        <v>41046</v>
      </c>
      <c r="E1057" s="9">
        <v>41180</v>
      </c>
      <c r="F1057" s="17">
        <f>IF(MONTH(Table1[[#This Row],[Loss date]])&lt;Policy_Inception_Month,YEAR(Table1[[#This Row],[Loss date]])-1,YEAR(Table1[[#This Row],[Loss date]]))</f>
        <v>2012</v>
      </c>
      <c r="G1057" s="10" t="s">
        <v>129</v>
      </c>
      <c r="H1057" s="10" t="s">
        <v>2</v>
      </c>
      <c r="I1057" s="11">
        <v>0</v>
      </c>
      <c r="J1057" s="11">
        <v>0</v>
      </c>
      <c r="K1057" s="11">
        <v>0</v>
      </c>
      <c r="L1057" s="12">
        <v>0</v>
      </c>
      <c r="M1057" s="12">
        <v>0</v>
      </c>
      <c r="N1057" s="12">
        <v>0</v>
      </c>
      <c r="O1057" s="70">
        <f>IF(Table1[[#This Row],[Overall amount]]=0,0,1)</f>
        <v>0</v>
      </c>
      <c r="P1057" s="70">
        <f>Table1[[#This Row],[Overall amount]]*Exchange_Rate</f>
        <v>0</v>
      </c>
      <c r="Q1057" s="70">
        <f>Table1[[#This Row],[Overall (destination currency)]]*(1+Claims_Inflation)^((Revalue_at_date-Table1[[#This Row],[Loss date]])/365.25)</f>
        <v>0</v>
      </c>
      <c r="R1057" s="70">
        <f>INT(Table1[[#This Row],[Reporting date]])-INT(Table1[[#This Row],[Loss date]])</f>
        <v>134</v>
      </c>
      <c r="S1057" s="69" t="s">
        <v>9</v>
      </c>
      <c r="T1057" s="70">
        <f>VLOOKUP(Table1[[#This Row],[Policy Year]],exposure_table,3,FALSE)</f>
        <v>1057.54</v>
      </c>
      <c r="U1057" s="17">
        <f>IF(MONTH(Table1[[#This Row],[Reporting date]])&lt;Policy_Inception_Month,YEAR(Table1[[#This Row],[Reporting date]])-1,YEAR(Table1[[#This Row],[Reporting date]]))</f>
        <v>2012</v>
      </c>
      <c r="V1057" s="17">
        <f>Table1[[#This Row],[Reporting year]]-Table1[[#This Row],[Policy Year]]</f>
        <v>0</v>
      </c>
      <c r="W1057" s="17">
        <f>INT(Table1[[#This Row],[Reporting date]])-INT(Table1[[#This Row],[Loss date]])</f>
        <v>134</v>
      </c>
      <c r="X1057" s="17">
        <f>INT((YEAR(Table1[[#This Row],[Loss date]])*12+MONTH(Table1[[#This Row],[Loss date]])-Earliest_Month)/4)</f>
        <v>21</v>
      </c>
      <c r="Y1057" s="17">
        <f>INT((YEAR(Table1[[#This Row],[Reporting date]])*12+MONTH(Table1[[#This Row],[Reporting date]])-Earliest_Month)/4)</f>
        <v>22</v>
      </c>
      <c r="Z1057" s="17">
        <f>Table1[[#This Row],[Reporting third]]-Table1[[#This Row],[Policy third]]</f>
        <v>1</v>
      </c>
      <c r="AA1057" s="71" t="str">
        <f>IF(Table1[[#This Row],[Overall amount]]=0,"N/A",Table1[[#This Row],[Outstanding]]/Table1[[#This Row],[Overall amount]])</f>
        <v>N/A</v>
      </c>
      <c r="AB1057" s="17">
        <f>IF(MONTH(Table1[[#This Row],[Loss date]])&lt;Pol_Inc_Month_Shifted,YEAR(Table1[[#This Row],[Loss date]])-1,YEAR(Table1[[#This Row],[Loss date]]))</f>
        <v>2011</v>
      </c>
      <c r="AC1057" s="17">
        <f>IF(MONTH(Table1[[#This Row],[Reporting date]])&lt;Pol_Inc_Month_Shifted,YEAR(Table1[[#This Row],[Reporting date]])-1,YEAR(Table1[[#This Row],[Reporting date]]))</f>
        <v>2011</v>
      </c>
      <c r="AD1057" s="17">
        <f>Table1[[#This Row],[Reporting year (shifted)]]-Table1[[#This Row],[Policy Year (shifted)]]</f>
        <v>0</v>
      </c>
    </row>
    <row r="1058" spans="1:30" ht="13.9">
      <c r="A1058" s="8" t="s">
        <v>2828</v>
      </c>
      <c r="B1058" s="8" t="s">
        <v>1110</v>
      </c>
      <c r="C1058" s="8" t="s">
        <v>118</v>
      </c>
      <c r="D1058" s="9">
        <v>40087</v>
      </c>
      <c r="E1058" s="9">
        <v>41183</v>
      </c>
      <c r="F1058" s="17">
        <f>IF(MONTH(Table1[[#This Row],[Loss date]])&lt;Policy_Inception_Month,YEAR(Table1[[#This Row],[Loss date]])-1,YEAR(Table1[[#This Row],[Loss date]]))</f>
        <v>2009</v>
      </c>
      <c r="G1058" s="10" t="s">
        <v>121</v>
      </c>
      <c r="H1058" s="10" t="s">
        <v>2</v>
      </c>
      <c r="I1058" s="11">
        <v>0</v>
      </c>
      <c r="J1058" s="11">
        <v>0</v>
      </c>
      <c r="K1058" s="11">
        <v>0</v>
      </c>
      <c r="L1058" s="12">
        <v>0</v>
      </c>
      <c r="M1058" s="12">
        <v>0</v>
      </c>
      <c r="N1058" s="12">
        <v>0</v>
      </c>
      <c r="O1058" s="70">
        <f>IF(Table1[[#This Row],[Overall amount]]=0,0,1)</f>
        <v>0</v>
      </c>
      <c r="P1058" s="70">
        <f>Table1[[#This Row],[Overall amount]]*Exchange_Rate</f>
        <v>0</v>
      </c>
      <c r="Q1058" s="70">
        <f>Table1[[#This Row],[Overall (destination currency)]]*(1+Claims_Inflation)^((Revalue_at_date-Table1[[#This Row],[Loss date]])/365.25)</f>
        <v>0</v>
      </c>
      <c r="R1058" s="70">
        <f>INT(Table1[[#This Row],[Reporting date]])-INT(Table1[[#This Row],[Loss date]])</f>
        <v>1096</v>
      </c>
      <c r="S1058" s="69" t="s">
        <v>9</v>
      </c>
      <c r="T1058" s="70">
        <f>VLOOKUP(Table1[[#This Row],[Policy Year]],exposure_table,3,FALSE)</f>
        <v>760.22808576000011</v>
      </c>
      <c r="U1058" s="17">
        <f>IF(MONTH(Table1[[#This Row],[Reporting date]])&lt;Policy_Inception_Month,YEAR(Table1[[#This Row],[Reporting date]])-1,YEAR(Table1[[#This Row],[Reporting date]]))</f>
        <v>2012</v>
      </c>
      <c r="V1058" s="17">
        <f>Table1[[#This Row],[Reporting year]]-Table1[[#This Row],[Policy Year]]</f>
        <v>3</v>
      </c>
      <c r="W1058" s="17">
        <f>INT(Table1[[#This Row],[Reporting date]])-INT(Table1[[#This Row],[Loss date]])</f>
        <v>1096</v>
      </c>
      <c r="X1058" s="17">
        <f>INT((YEAR(Table1[[#This Row],[Loss date]])*12+MONTH(Table1[[#This Row],[Loss date]])-Earliest_Month)/4)</f>
        <v>13</v>
      </c>
      <c r="Y1058" s="17">
        <f>INT((YEAR(Table1[[#This Row],[Reporting date]])*12+MONTH(Table1[[#This Row],[Reporting date]])-Earliest_Month)/4)</f>
        <v>22</v>
      </c>
      <c r="Z1058" s="17">
        <f>Table1[[#This Row],[Reporting third]]-Table1[[#This Row],[Policy third]]</f>
        <v>9</v>
      </c>
      <c r="AA1058" s="71" t="str">
        <f>IF(Table1[[#This Row],[Overall amount]]=0,"N/A",Table1[[#This Row],[Outstanding]]/Table1[[#This Row],[Overall amount]])</f>
        <v>N/A</v>
      </c>
      <c r="AB1058" s="17">
        <f>IF(MONTH(Table1[[#This Row],[Loss date]])&lt;Pol_Inc_Month_Shifted,YEAR(Table1[[#This Row],[Loss date]])-1,YEAR(Table1[[#This Row],[Loss date]]))</f>
        <v>2008</v>
      </c>
      <c r="AC1058" s="17">
        <f>IF(MONTH(Table1[[#This Row],[Reporting date]])&lt;Pol_Inc_Month_Shifted,YEAR(Table1[[#This Row],[Reporting date]])-1,YEAR(Table1[[#This Row],[Reporting date]]))</f>
        <v>2011</v>
      </c>
      <c r="AD1058" s="17">
        <f>Table1[[#This Row],[Reporting year (shifted)]]-Table1[[#This Row],[Policy Year (shifted)]]</f>
        <v>3</v>
      </c>
    </row>
    <row r="1059" spans="1:30" ht="13.9">
      <c r="A1059" s="8" t="s">
        <v>2829</v>
      </c>
      <c r="B1059" s="8" t="s">
        <v>1111</v>
      </c>
      <c r="C1059" s="8" t="s">
        <v>118</v>
      </c>
      <c r="D1059" s="9">
        <v>41110</v>
      </c>
      <c r="E1059" s="9">
        <v>41190</v>
      </c>
      <c r="F1059" s="17">
        <f>IF(MONTH(Table1[[#This Row],[Loss date]])&lt;Policy_Inception_Month,YEAR(Table1[[#This Row],[Loss date]])-1,YEAR(Table1[[#This Row],[Loss date]]))</f>
        <v>2012</v>
      </c>
      <c r="G1059" s="10" t="s">
        <v>121</v>
      </c>
      <c r="H1059" s="10" t="s">
        <v>2</v>
      </c>
      <c r="I1059" s="11">
        <v>0</v>
      </c>
      <c r="J1059" s="11">
        <v>0</v>
      </c>
      <c r="K1059" s="11">
        <v>0</v>
      </c>
      <c r="L1059" s="12">
        <v>0</v>
      </c>
      <c r="M1059" s="12">
        <v>0</v>
      </c>
      <c r="N1059" s="12">
        <v>0</v>
      </c>
      <c r="O1059" s="70">
        <f>IF(Table1[[#This Row],[Overall amount]]=0,0,1)</f>
        <v>0</v>
      </c>
      <c r="P1059" s="70">
        <f>Table1[[#This Row],[Overall amount]]*Exchange_Rate</f>
        <v>0</v>
      </c>
      <c r="Q1059" s="70">
        <f>Table1[[#This Row],[Overall (destination currency)]]*(1+Claims_Inflation)^((Revalue_at_date-Table1[[#This Row],[Loss date]])/365.25)</f>
        <v>0</v>
      </c>
      <c r="R1059" s="70">
        <f>INT(Table1[[#This Row],[Reporting date]])-INT(Table1[[#This Row],[Loss date]])</f>
        <v>80</v>
      </c>
      <c r="S1059" s="69" t="s">
        <v>9</v>
      </c>
      <c r="T1059" s="70">
        <f>VLOOKUP(Table1[[#This Row],[Policy Year]],exposure_table,3,FALSE)</f>
        <v>1057.54</v>
      </c>
      <c r="U1059" s="17">
        <f>IF(MONTH(Table1[[#This Row],[Reporting date]])&lt;Policy_Inception_Month,YEAR(Table1[[#This Row],[Reporting date]])-1,YEAR(Table1[[#This Row],[Reporting date]]))</f>
        <v>2012</v>
      </c>
      <c r="V1059" s="17">
        <f>Table1[[#This Row],[Reporting year]]-Table1[[#This Row],[Policy Year]]</f>
        <v>0</v>
      </c>
      <c r="W1059" s="17">
        <f>INT(Table1[[#This Row],[Reporting date]])-INT(Table1[[#This Row],[Loss date]])</f>
        <v>80</v>
      </c>
      <c r="X1059" s="17">
        <f>INT((YEAR(Table1[[#This Row],[Loss date]])*12+MONTH(Table1[[#This Row],[Loss date]])-Earliest_Month)/4)</f>
        <v>21</v>
      </c>
      <c r="Y1059" s="17">
        <f>INT((YEAR(Table1[[#This Row],[Reporting date]])*12+MONTH(Table1[[#This Row],[Reporting date]])-Earliest_Month)/4)</f>
        <v>22</v>
      </c>
      <c r="Z1059" s="17">
        <f>Table1[[#This Row],[Reporting third]]-Table1[[#This Row],[Policy third]]</f>
        <v>1</v>
      </c>
      <c r="AA1059" s="71" t="str">
        <f>IF(Table1[[#This Row],[Overall amount]]=0,"N/A",Table1[[#This Row],[Outstanding]]/Table1[[#This Row],[Overall amount]])</f>
        <v>N/A</v>
      </c>
      <c r="AB1059" s="17">
        <f>IF(MONTH(Table1[[#This Row],[Loss date]])&lt;Pol_Inc_Month_Shifted,YEAR(Table1[[#This Row],[Loss date]])-1,YEAR(Table1[[#This Row],[Loss date]]))</f>
        <v>2011</v>
      </c>
      <c r="AC1059" s="17">
        <f>IF(MONTH(Table1[[#This Row],[Reporting date]])&lt;Pol_Inc_Month_Shifted,YEAR(Table1[[#This Row],[Reporting date]])-1,YEAR(Table1[[#This Row],[Reporting date]]))</f>
        <v>2011</v>
      </c>
      <c r="AD1059" s="17">
        <f>Table1[[#This Row],[Reporting year (shifted)]]-Table1[[#This Row],[Policy Year (shifted)]]</f>
        <v>0</v>
      </c>
    </row>
    <row r="1060" spans="1:30" ht="13.9">
      <c r="A1060" s="8" t="s">
        <v>2830</v>
      </c>
      <c r="B1060" s="8" t="s">
        <v>1112</v>
      </c>
      <c r="C1060" s="8" t="s">
        <v>118</v>
      </c>
      <c r="D1060" s="9">
        <v>41195</v>
      </c>
      <c r="E1060" s="9">
        <v>41205</v>
      </c>
      <c r="F1060" s="17">
        <f>IF(MONTH(Table1[[#This Row],[Loss date]])&lt;Policy_Inception_Month,YEAR(Table1[[#This Row],[Loss date]])-1,YEAR(Table1[[#This Row],[Loss date]]))</f>
        <v>2012</v>
      </c>
      <c r="G1060" s="10" t="s">
        <v>129</v>
      </c>
      <c r="H1060" s="10" t="s">
        <v>2</v>
      </c>
      <c r="I1060" s="11">
        <v>739.84013112858702</v>
      </c>
      <c r="J1060" s="11">
        <v>0</v>
      </c>
      <c r="K1060" s="11">
        <v>739.84013112858702</v>
      </c>
      <c r="L1060" s="12">
        <v>0</v>
      </c>
      <c r="M1060" s="12">
        <v>0</v>
      </c>
      <c r="N1060" s="12">
        <v>739.84013112858702</v>
      </c>
      <c r="O1060" s="70">
        <f>IF(Table1[[#This Row],[Overall amount]]=0,0,1)</f>
        <v>1</v>
      </c>
      <c r="P1060" s="70">
        <f>Table1[[#This Row],[Overall amount]]*Exchange_Rate</f>
        <v>739.84013112858702</v>
      </c>
      <c r="Q1060" s="70">
        <f>Table1[[#This Row],[Overall (destination currency)]]*(1+Claims_Inflation)^((Revalue_at_date-Table1[[#This Row],[Loss date]])/365.25)</f>
        <v>855.00000000000011</v>
      </c>
      <c r="R1060" s="70">
        <f>INT(Table1[[#This Row],[Reporting date]])-INT(Table1[[#This Row],[Loss date]])</f>
        <v>10</v>
      </c>
      <c r="S1060" s="69" t="s">
        <v>9</v>
      </c>
      <c r="T1060" s="70">
        <f>VLOOKUP(Table1[[#This Row],[Policy Year]],exposure_table,3,FALSE)</f>
        <v>1057.54</v>
      </c>
      <c r="U1060" s="17">
        <f>IF(MONTH(Table1[[#This Row],[Reporting date]])&lt;Policy_Inception_Month,YEAR(Table1[[#This Row],[Reporting date]])-1,YEAR(Table1[[#This Row],[Reporting date]]))</f>
        <v>2012</v>
      </c>
      <c r="V1060" s="17">
        <f>Table1[[#This Row],[Reporting year]]-Table1[[#This Row],[Policy Year]]</f>
        <v>0</v>
      </c>
      <c r="W1060" s="17">
        <f>INT(Table1[[#This Row],[Reporting date]])-INT(Table1[[#This Row],[Loss date]])</f>
        <v>10</v>
      </c>
      <c r="X1060" s="17">
        <f>INT((YEAR(Table1[[#This Row],[Loss date]])*12+MONTH(Table1[[#This Row],[Loss date]])-Earliest_Month)/4)</f>
        <v>22</v>
      </c>
      <c r="Y1060" s="17">
        <f>INT((YEAR(Table1[[#This Row],[Reporting date]])*12+MONTH(Table1[[#This Row],[Reporting date]])-Earliest_Month)/4)</f>
        <v>22</v>
      </c>
      <c r="Z1060" s="17">
        <f>Table1[[#This Row],[Reporting third]]-Table1[[#This Row],[Policy third]]</f>
        <v>0</v>
      </c>
      <c r="AA1060" s="71">
        <f>IF(Table1[[#This Row],[Overall amount]]=0,"N/A",Table1[[#This Row],[Outstanding]]/Table1[[#This Row],[Overall amount]])</f>
        <v>0</v>
      </c>
      <c r="AB1060" s="17">
        <f>IF(MONTH(Table1[[#This Row],[Loss date]])&lt;Pol_Inc_Month_Shifted,YEAR(Table1[[#This Row],[Loss date]])-1,YEAR(Table1[[#This Row],[Loss date]]))</f>
        <v>2011</v>
      </c>
      <c r="AC1060" s="17">
        <f>IF(MONTH(Table1[[#This Row],[Reporting date]])&lt;Pol_Inc_Month_Shifted,YEAR(Table1[[#This Row],[Reporting date]])-1,YEAR(Table1[[#This Row],[Reporting date]]))</f>
        <v>2011</v>
      </c>
      <c r="AD1060" s="17">
        <f>Table1[[#This Row],[Reporting year (shifted)]]-Table1[[#This Row],[Policy Year (shifted)]]</f>
        <v>0</v>
      </c>
    </row>
    <row r="1061" spans="1:30" ht="13.9">
      <c r="A1061" s="8" t="s">
        <v>2831</v>
      </c>
      <c r="B1061" s="8" t="s">
        <v>1113</v>
      </c>
      <c r="C1061" s="8" t="s">
        <v>118</v>
      </c>
      <c r="D1061" s="9">
        <v>41204</v>
      </c>
      <c r="E1061" s="9">
        <v>41205</v>
      </c>
      <c r="F1061" s="17">
        <f>IF(MONTH(Table1[[#This Row],[Loss date]])&lt;Policy_Inception_Month,YEAR(Table1[[#This Row],[Loss date]])-1,YEAR(Table1[[#This Row],[Loss date]]))</f>
        <v>2012</v>
      </c>
      <c r="G1061" s="10" t="s">
        <v>129</v>
      </c>
      <c r="H1061" s="10" t="s">
        <v>2</v>
      </c>
      <c r="I1061" s="11">
        <v>0</v>
      </c>
      <c r="J1061" s="11">
        <v>0</v>
      </c>
      <c r="K1061" s="11">
        <v>0</v>
      </c>
      <c r="L1061" s="12">
        <v>0</v>
      </c>
      <c r="M1061" s="12">
        <v>0</v>
      </c>
      <c r="N1061" s="12">
        <v>0</v>
      </c>
      <c r="O1061" s="70">
        <f>IF(Table1[[#This Row],[Overall amount]]=0,0,1)</f>
        <v>0</v>
      </c>
      <c r="P1061" s="70">
        <f>Table1[[#This Row],[Overall amount]]*Exchange_Rate</f>
        <v>0</v>
      </c>
      <c r="Q1061" s="70">
        <f>Table1[[#This Row],[Overall (destination currency)]]*(1+Claims_Inflation)^((Revalue_at_date-Table1[[#This Row],[Loss date]])/365.25)</f>
        <v>0</v>
      </c>
      <c r="R1061" s="70">
        <f>INT(Table1[[#This Row],[Reporting date]])-INT(Table1[[#This Row],[Loss date]])</f>
        <v>1</v>
      </c>
      <c r="S1061" s="69" t="s">
        <v>9</v>
      </c>
      <c r="T1061" s="70">
        <f>VLOOKUP(Table1[[#This Row],[Policy Year]],exposure_table,3,FALSE)</f>
        <v>1057.54</v>
      </c>
      <c r="U1061" s="17">
        <f>IF(MONTH(Table1[[#This Row],[Reporting date]])&lt;Policy_Inception_Month,YEAR(Table1[[#This Row],[Reporting date]])-1,YEAR(Table1[[#This Row],[Reporting date]]))</f>
        <v>2012</v>
      </c>
      <c r="V1061" s="17">
        <f>Table1[[#This Row],[Reporting year]]-Table1[[#This Row],[Policy Year]]</f>
        <v>0</v>
      </c>
      <c r="W1061" s="17">
        <f>INT(Table1[[#This Row],[Reporting date]])-INT(Table1[[#This Row],[Loss date]])</f>
        <v>1</v>
      </c>
      <c r="X1061" s="17">
        <f>INT((YEAR(Table1[[#This Row],[Loss date]])*12+MONTH(Table1[[#This Row],[Loss date]])-Earliest_Month)/4)</f>
        <v>22</v>
      </c>
      <c r="Y1061" s="17">
        <f>INT((YEAR(Table1[[#This Row],[Reporting date]])*12+MONTH(Table1[[#This Row],[Reporting date]])-Earliest_Month)/4)</f>
        <v>22</v>
      </c>
      <c r="Z1061" s="17">
        <f>Table1[[#This Row],[Reporting third]]-Table1[[#This Row],[Policy third]]</f>
        <v>0</v>
      </c>
      <c r="AA1061" s="71" t="str">
        <f>IF(Table1[[#This Row],[Overall amount]]=0,"N/A",Table1[[#This Row],[Outstanding]]/Table1[[#This Row],[Overall amount]])</f>
        <v>N/A</v>
      </c>
      <c r="AB1061" s="17">
        <f>IF(MONTH(Table1[[#This Row],[Loss date]])&lt;Pol_Inc_Month_Shifted,YEAR(Table1[[#This Row],[Loss date]])-1,YEAR(Table1[[#This Row],[Loss date]]))</f>
        <v>2011</v>
      </c>
      <c r="AC1061" s="17">
        <f>IF(MONTH(Table1[[#This Row],[Reporting date]])&lt;Pol_Inc_Month_Shifted,YEAR(Table1[[#This Row],[Reporting date]])-1,YEAR(Table1[[#This Row],[Reporting date]]))</f>
        <v>2011</v>
      </c>
      <c r="AD1061" s="17">
        <f>Table1[[#This Row],[Reporting year (shifted)]]-Table1[[#This Row],[Policy Year (shifted)]]</f>
        <v>0</v>
      </c>
    </row>
    <row r="1062" spans="1:30" ht="13.9">
      <c r="A1062" s="8" t="s">
        <v>2832</v>
      </c>
      <c r="B1062" s="8" t="s">
        <v>1114</v>
      </c>
      <c r="C1062" s="8" t="s">
        <v>118</v>
      </c>
      <c r="D1062" s="9">
        <v>41149</v>
      </c>
      <c r="E1062" s="9">
        <v>41225</v>
      </c>
      <c r="F1062" s="17">
        <f>IF(MONTH(Table1[[#This Row],[Loss date]])&lt;Policy_Inception_Month,YEAR(Table1[[#This Row],[Loss date]])-1,YEAR(Table1[[#This Row],[Loss date]]))</f>
        <v>2012</v>
      </c>
      <c r="G1062" s="10" t="s">
        <v>121</v>
      </c>
      <c r="H1062" s="10" t="s">
        <v>2</v>
      </c>
      <c r="I1062" s="11">
        <v>50214.115037936346</v>
      </c>
      <c r="J1062" s="11">
        <v>0</v>
      </c>
      <c r="K1062" s="11">
        <v>50214.115037936346</v>
      </c>
      <c r="L1062" s="12">
        <v>0</v>
      </c>
      <c r="M1062" s="12">
        <v>0</v>
      </c>
      <c r="N1062" s="12">
        <v>50214.115037936346</v>
      </c>
      <c r="O1062" s="70">
        <f>IF(Table1[[#This Row],[Overall amount]]=0,0,1)</f>
        <v>1</v>
      </c>
      <c r="P1062" s="70">
        <f>Table1[[#This Row],[Overall amount]]*Exchange_Rate</f>
        <v>50214.115037936346</v>
      </c>
      <c r="Q1062" s="70">
        <f>Table1[[#This Row],[Overall (destination currency)]]*(1+Claims_Inflation)^((Revalue_at_date-Table1[[#This Row],[Loss date]])/365.25)</f>
        <v>58387.871999999996</v>
      </c>
      <c r="R1062" s="70">
        <f>INT(Table1[[#This Row],[Reporting date]])-INT(Table1[[#This Row],[Loss date]])</f>
        <v>76</v>
      </c>
      <c r="S1062" s="69" t="s">
        <v>9</v>
      </c>
      <c r="T1062" s="70">
        <f>VLOOKUP(Table1[[#This Row],[Policy Year]],exposure_table,3,FALSE)</f>
        <v>1057.54</v>
      </c>
      <c r="U1062" s="17">
        <f>IF(MONTH(Table1[[#This Row],[Reporting date]])&lt;Policy_Inception_Month,YEAR(Table1[[#This Row],[Reporting date]])-1,YEAR(Table1[[#This Row],[Reporting date]]))</f>
        <v>2012</v>
      </c>
      <c r="V1062" s="17">
        <f>Table1[[#This Row],[Reporting year]]-Table1[[#This Row],[Policy Year]]</f>
        <v>0</v>
      </c>
      <c r="W1062" s="17">
        <f>INT(Table1[[#This Row],[Reporting date]])-INT(Table1[[#This Row],[Loss date]])</f>
        <v>76</v>
      </c>
      <c r="X1062" s="17">
        <f>INT((YEAR(Table1[[#This Row],[Loss date]])*12+MONTH(Table1[[#This Row],[Loss date]])-Earliest_Month)/4)</f>
        <v>22</v>
      </c>
      <c r="Y1062" s="17">
        <f>INT((YEAR(Table1[[#This Row],[Reporting date]])*12+MONTH(Table1[[#This Row],[Reporting date]])-Earliest_Month)/4)</f>
        <v>22</v>
      </c>
      <c r="Z1062" s="17">
        <f>Table1[[#This Row],[Reporting third]]-Table1[[#This Row],[Policy third]]</f>
        <v>0</v>
      </c>
      <c r="AA1062" s="71">
        <f>IF(Table1[[#This Row],[Overall amount]]=0,"N/A",Table1[[#This Row],[Outstanding]]/Table1[[#This Row],[Overall amount]])</f>
        <v>0</v>
      </c>
      <c r="AB1062" s="17">
        <f>IF(MONTH(Table1[[#This Row],[Loss date]])&lt;Pol_Inc_Month_Shifted,YEAR(Table1[[#This Row],[Loss date]])-1,YEAR(Table1[[#This Row],[Loss date]]))</f>
        <v>2011</v>
      </c>
      <c r="AC1062" s="17">
        <f>IF(MONTH(Table1[[#This Row],[Reporting date]])&lt;Pol_Inc_Month_Shifted,YEAR(Table1[[#This Row],[Reporting date]])-1,YEAR(Table1[[#This Row],[Reporting date]]))</f>
        <v>2011</v>
      </c>
      <c r="AD1062" s="17">
        <f>Table1[[#This Row],[Reporting year (shifted)]]-Table1[[#This Row],[Policy Year (shifted)]]</f>
        <v>0</v>
      </c>
    </row>
    <row r="1063" spans="1:30" ht="13.9">
      <c r="A1063" s="8" t="s">
        <v>2833</v>
      </c>
      <c r="B1063" s="8" t="s">
        <v>1115</v>
      </c>
      <c r="C1063" s="8" t="s">
        <v>118</v>
      </c>
      <c r="D1063" s="9">
        <v>41219</v>
      </c>
      <c r="E1063" s="9">
        <v>41225</v>
      </c>
      <c r="F1063" s="17">
        <f>IF(MONTH(Table1[[#This Row],[Loss date]])&lt;Policy_Inception_Month,YEAR(Table1[[#This Row],[Loss date]])-1,YEAR(Table1[[#This Row],[Loss date]]))</f>
        <v>2012</v>
      </c>
      <c r="G1063" s="10" t="s">
        <v>128</v>
      </c>
      <c r="H1063" s="10" t="s">
        <v>2</v>
      </c>
      <c r="I1063" s="11">
        <v>962.53671211039727</v>
      </c>
      <c r="J1063" s="11">
        <v>0</v>
      </c>
      <c r="K1063" s="11">
        <v>962.53671211039727</v>
      </c>
      <c r="L1063" s="12">
        <v>0</v>
      </c>
      <c r="M1063" s="12">
        <v>0</v>
      </c>
      <c r="N1063" s="12">
        <v>962.53671211039727</v>
      </c>
      <c r="O1063" s="70">
        <f>IF(Table1[[#This Row],[Overall amount]]=0,0,1)</f>
        <v>1</v>
      </c>
      <c r="P1063" s="70">
        <f>Table1[[#This Row],[Overall amount]]*Exchange_Rate</f>
        <v>962.53671211039727</v>
      </c>
      <c r="Q1063" s="70">
        <f>Table1[[#This Row],[Overall (destination currency)]]*(1+Claims_Inflation)^((Revalue_at_date-Table1[[#This Row],[Loss date]])/365.25)</f>
        <v>1108.8</v>
      </c>
      <c r="R1063" s="70">
        <f>INT(Table1[[#This Row],[Reporting date]])-INT(Table1[[#This Row],[Loss date]])</f>
        <v>6</v>
      </c>
      <c r="S1063" s="69" t="s">
        <v>9</v>
      </c>
      <c r="T1063" s="70">
        <f>VLOOKUP(Table1[[#This Row],[Policy Year]],exposure_table,3,FALSE)</f>
        <v>1057.54</v>
      </c>
      <c r="U1063" s="17">
        <f>IF(MONTH(Table1[[#This Row],[Reporting date]])&lt;Policy_Inception_Month,YEAR(Table1[[#This Row],[Reporting date]])-1,YEAR(Table1[[#This Row],[Reporting date]]))</f>
        <v>2012</v>
      </c>
      <c r="V1063" s="17">
        <f>Table1[[#This Row],[Reporting year]]-Table1[[#This Row],[Policy Year]]</f>
        <v>0</v>
      </c>
      <c r="W1063" s="17">
        <f>INT(Table1[[#This Row],[Reporting date]])-INT(Table1[[#This Row],[Loss date]])</f>
        <v>6</v>
      </c>
      <c r="X1063" s="17">
        <f>INT((YEAR(Table1[[#This Row],[Loss date]])*12+MONTH(Table1[[#This Row],[Loss date]])-Earliest_Month)/4)</f>
        <v>22</v>
      </c>
      <c r="Y1063" s="17">
        <f>INT((YEAR(Table1[[#This Row],[Reporting date]])*12+MONTH(Table1[[#This Row],[Reporting date]])-Earliest_Month)/4)</f>
        <v>22</v>
      </c>
      <c r="Z1063" s="17">
        <f>Table1[[#This Row],[Reporting third]]-Table1[[#This Row],[Policy third]]</f>
        <v>0</v>
      </c>
      <c r="AA1063" s="71">
        <f>IF(Table1[[#This Row],[Overall amount]]=0,"N/A",Table1[[#This Row],[Outstanding]]/Table1[[#This Row],[Overall amount]])</f>
        <v>0</v>
      </c>
      <c r="AB1063" s="17">
        <f>IF(MONTH(Table1[[#This Row],[Loss date]])&lt;Pol_Inc_Month_Shifted,YEAR(Table1[[#This Row],[Loss date]])-1,YEAR(Table1[[#This Row],[Loss date]]))</f>
        <v>2011</v>
      </c>
      <c r="AC1063" s="17">
        <f>IF(MONTH(Table1[[#This Row],[Reporting date]])&lt;Pol_Inc_Month_Shifted,YEAR(Table1[[#This Row],[Reporting date]])-1,YEAR(Table1[[#This Row],[Reporting date]]))</f>
        <v>2011</v>
      </c>
      <c r="AD1063" s="17">
        <f>Table1[[#This Row],[Reporting year (shifted)]]-Table1[[#This Row],[Policy Year (shifted)]]</f>
        <v>0</v>
      </c>
    </row>
    <row r="1064" spans="1:30" ht="13.9">
      <c r="A1064" s="8" t="s">
        <v>2834</v>
      </c>
      <c r="B1064" s="8" t="s">
        <v>1116</v>
      </c>
      <c r="C1064" s="8" t="s">
        <v>118</v>
      </c>
      <c r="D1064" s="9">
        <v>41223</v>
      </c>
      <c r="E1064" s="9">
        <v>41236</v>
      </c>
      <c r="F1064" s="17">
        <f>IF(MONTH(Table1[[#This Row],[Loss date]])&lt;Policy_Inception_Month,YEAR(Table1[[#This Row],[Loss date]])-1,YEAR(Table1[[#This Row],[Loss date]]))</f>
        <v>2012</v>
      </c>
      <c r="G1064" s="10" t="s">
        <v>121</v>
      </c>
      <c r="H1064" s="10" t="s">
        <v>2</v>
      </c>
      <c r="I1064" s="11">
        <v>2284.1718117937498</v>
      </c>
      <c r="J1064" s="11">
        <v>0</v>
      </c>
      <c r="K1064" s="11">
        <v>2284.1718117937498</v>
      </c>
      <c r="L1064" s="12">
        <v>0</v>
      </c>
      <c r="M1064" s="12">
        <v>0</v>
      </c>
      <c r="N1064" s="12">
        <v>2284.1718117937498</v>
      </c>
      <c r="O1064" s="70">
        <f>IF(Table1[[#This Row],[Overall amount]]=0,0,1)</f>
        <v>1</v>
      </c>
      <c r="P1064" s="70">
        <f>Table1[[#This Row],[Overall amount]]*Exchange_Rate</f>
        <v>2284.1718117937498</v>
      </c>
      <c r="Q1064" s="70">
        <f>Table1[[#This Row],[Overall (destination currency)]]*(1+Claims_Inflation)^((Revalue_at_date-Table1[[#This Row],[Loss date]])/365.25)</f>
        <v>2629.86</v>
      </c>
      <c r="R1064" s="70">
        <f>INT(Table1[[#This Row],[Reporting date]])-INT(Table1[[#This Row],[Loss date]])</f>
        <v>13</v>
      </c>
      <c r="S1064" s="69" t="s">
        <v>9</v>
      </c>
      <c r="T1064" s="70">
        <f>VLOOKUP(Table1[[#This Row],[Policy Year]],exposure_table,3,FALSE)</f>
        <v>1057.54</v>
      </c>
      <c r="U1064" s="17">
        <f>IF(MONTH(Table1[[#This Row],[Reporting date]])&lt;Policy_Inception_Month,YEAR(Table1[[#This Row],[Reporting date]])-1,YEAR(Table1[[#This Row],[Reporting date]]))</f>
        <v>2012</v>
      </c>
      <c r="V1064" s="17">
        <f>Table1[[#This Row],[Reporting year]]-Table1[[#This Row],[Policy Year]]</f>
        <v>0</v>
      </c>
      <c r="W1064" s="17">
        <f>INT(Table1[[#This Row],[Reporting date]])-INT(Table1[[#This Row],[Loss date]])</f>
        <v>13</v>
      </c>
      <c r="X1064" s="17">
        <f>INT((YEAR(Table1[[#This Row],[Loss date]])*12+MONTH(Table1[[#This Row],[Loss date]])-Earliest_Month)/4)</f>
        <v>22</v>
      </c>
      <c r="Y1064" s="17">
        <f>INT((YEAR(Table1[[#This Row],[Reporting date]])*12+MONTH(Table1[[#This Row],[Reporting date]])-Earliest_Month)/4)</f>
        <v>22</v>
      </c>
      <c r="Z1064" s="17">
        <f>Table1[[#This Row],[Reporting third]]-Table1[[#This Row],[Policy third]]</f>
        <v>0</v>
      </c>
      <c r="AA1064" s="71">
        <f>IF(Table1[[#This Row],[Overall amount]]=0,"N/A",Table1[[#This Row],[Outstanding]]/Table1[[#This Row],[Overall amount]])</f>
        <v>0</v>
      </c>
      <c r="AB1064" s="17">
        <f>IF(MONTH(Table1[[#This Row],[Loss date]])&lt;Pol_Inc_Month_Shifted,YEAR(Table1[[#This Row],[Loss date]])-1,YEAR(Table1[[#This Row],[Loss date]]))</f>
        <v>2011</v>
      </c>
      <c r="AC1064" s="17">
        <f>IF(MONTH(Table1[[#This Row],[Reporting date]])&lt;Pol_Inc_Month_Shifted,YEAR(Table1[[#This Row],[Reporting date]])-1,YEAR(Table1[[#This Row],[Reporting date]]))</f>
        <v>2011</v>
      </c>
      <c r="AD1064" s="17">
        <f>Table1[[#This Row],[Reporting year (shifted)]]-Table1[[#This Row],[Policy Year (shifted)]]</f>
        <v>0</v>
      </c>
    </row>
    <row r="1065" spans="1:30" ht="13.9">
      <c r="A1065" s="8" t="s">
        <v>2835</v>
      </c>
      <c r="B1065" s="8" t="s">
        <v>1117</v>
      </c>
      <c r="C1065" s="8" t="s">
        <v>118</v>
      </c>
      <c r="D1065" s="9">
        <v>41244</v>
      </c>
      <c r="E1065" s="9">
        <v>41245</v>
      </c>
      <c r="F1065" s="17">
        <f>IF(MONTH(Table1[[#This Row],[Loss date]])&lt;Policy_Inception_Month,YEAR(Table1[[#This Row],[Loss date]])-1,YEAR(Table1[[#This Row],[Loss date]]))</f>
        <v>2012</v>
      </c>
      <c r="G1065" s="10" t="s">
        <v>129</v>
      </c>
      <c r="H1065" s="10" t="s">
        <v>2</v>
      </c>
      <c r="I1065" s="11">
        <v>932.83296483633865</v>
      </c>
      <c r="J1065" s="11">
        <v>0</v>
      </c>
      <c r="K1065" s="11">
        <v>932.83296483633865</v>
      </c>
      <c r="L1065" s="12">
        <v>0</v>
      </c>
      <c r="M1065" s="12">
        <v>0</v>
      </c>
      <c r="N1065" s="12">
        <v>932.83296483633865</v>
      </c>
      <c r="O1065" s="70">
        <f>IF(Table1[[#This Row],[Overall amount]]=0,0,1)</f>
        <v>1</v>
      </c>
      <c r="P1065" s="70">
        <f>Table1[[#This Row],[Overall amount]]*Exchange_Rate</f>
        <v>932.83296483633865</v>
      </c>
      <c r="Q1065" s="70">
        <f>Table1[[#This Row],[Overall (destination currency)]]*(1+Claims_Inflation)^((Revalue_at_date-Table1[[#This Row],[Loss date]])/365.25)</f>
        <v>1071</v>
      </c>
      <c r="R1065" s="70">
        <f>INT(Table1[[#This Row],[Reporting date]])-INT(Table1[[#This Row],[Loss date]])</f>
        <v>1</v>
      </c>
      <c r="S1065" s="69" t="s">
        <v>9</v>
      </c>
      <c r="T1065" s="70">
        <f>VLOOKUP(Table1[[#This Row],[Policy Year]],exposure_table,3,FALSE)</f>
        <v>1057.54</v>
      </c>
      <c r="U1065" s="17">
        <f>IF(MONTH(Table1[[#This Row],[Reporting date]])&lt;Policy_Inception_Month,YEAR(Table1[[#This Row],[Reporting date]])-1,YEAR(Table1[[#This Row],[Reporting date]]))</f>
        <v>2012</v>
      </c>
      <c r="V1065" s="17">
        <f>Table1[[#This Row],[Reporting year]]-Table1[[#This Row],[Policy Year]]</f>
        <v>0</v>
      </c>
      <c r="W1065" s="17">
        <f>INT(Table1[[#This Row],[Reporting date]])-INT(Table1[[#This Row],[Loss date]])</f>
        <v>1</v>
      </c>
      <c r="X1065" s="17">
        <f>INT((YEAR(Table1[[#This Row],[Loss date]])*12+MONTH(Table1[[#This Row],[Loss date]])-Earliest_Month)/4)</f>
        <v>23</v>
      </c>
      <c r="Y1065" s="17">
        <f>INT((YEAR(Table1[[#This Row],[Reporting date]])*12+MONTH(Table1[[#This Row],[Reporting date]])-Earliest_Month)/4)</f>
        <v>23</v>
      </c>
      <c r="Z1065" s="17">
        <f>Table1[[#This Row],[Reporting third]]-Table1[[#This Row],[Policy third]]</f>
        <v>0</v>
      </c>
      <c r="AA1065" s="71">
        <f>IF(Table1[[#This Row],[Overall amount]]=0,"N/A",Table1[[#This Row],[Outstanding]]/Table1[[#This Row],[Overall amount]])</f>
        <v>0</v>
      </c>
      <c r="AB1065" s="17">
        <f>IF(MONTH(Table1[[#This Row],[Loss date]])&lt;Pol_Inc_Month_Shifted,YEAR(Table1[[#This Row],[Loss date]])-1,YEAR(Table1[[#This Row],[Loss date]]))</f>
        <v>2012</v>
      </c>
      <c r="AC1065" s="17">
        <f>IF(MONTH(Table1[[#This Row],[Reporting date]])&lt;Pol_Inc_Month_Shifted,YEAR(Table1[[#This Row],[Reporting date]])-1,YEAR(Table1[[#This Row],[Reporting date]]))</f>
        <v>2012</v>
      </c>
      <c r="AD1065" s="17">
        <f>Table1[[#This Row],[Reporting year (shifted)]]-Table1[[#This Row],[Policy Year (shifted)]]</f>
        <v>0</v>
      </c>
    </row>
    <row r="1066" spans="1:30" ht="13.9">
      <c r="A1066" s="8" t="s">
        <v>2836</v>
      </c>
      <c r="B1066" s="8" t="s">
        <v>1118</v>
      </c>
      <c r="C1066" s="8" t="s">
        <v>118</v>
      </c>
      <c r="D1066" s="9">
        <v>40725</v>
      </c>
      <c r="E1066" s="9">
        <v>41280</v>
      </c>
      <c r="F1066" s="17">
        <f>IF(MONTH(Table1[[#This Row],[Loss date]])&lt;Policy_Inception_Month,YEAR(Table1[[#This Row],[Loss date]])-1,YEAR(Table1[[#This Row],[Loss date]]))</f>
        <v>2011</v>
      </c>
      <c r="G1066" s="10" t="s">
        <v>121</v>
      </c>
      <c r="H1066" s="10" t="s">
        <v>2</v>
      </c>
      <c r="I1066" s="11">
        <v>3241.7379523461209</v>
      </c>
      <c r="J1066" s="11">
        <v>0</v>
      </c>
      <c r="K1066" s="11">
        <v>3241.7379523461209</v>
      </c>
      <c r="L1066" s="12">
        <v>0</v>
      </c>
      <c r="M1066" s="12">
        <v>0</v>
      </c>
      <c r="N1066" s="12">
        <v>3241.7379523461209</v>
      </c>
      <c r="O1066" s="70">
        <f>IF(Table1[[#This Row],[Overall amount]]=0,0,1)</f>
        <v>1</v>
      </c>
      <c r="P1066" s="70">
        <f>Table1[[#This Row],[Overall amount]]*Exchange_Rate</f>
        <v>3241.7379523461209</v>
      </c>
      <c r="Q1066" s="70">
        <f>Table1[[#This Row],[Overall (destination currency)]]*(1+Claims_Inflation)^((Revalue_at_date-Table1[[#This Row],[Loss date]])/365.25)</f>
        <v>3989.0760000000005</v>
      </c>
      <c r="R1066" s="70">
        <f>INT(Table1[[#This Row],[Reporting date]])-INT(Table1[[#This Row],[Loss date]])</f>
        <v>555</v>
      </c>
      <c r="S1066" s="69" t="s">
        <v>9</v>
      </c>
      <c r="T1066" s="70">
        <f>VLOOKUP(Table1[[#This Row],[Policy Year]],exposure_table,3,FALSE)</f>
        <v>870.52680000000009</v>
      </c>
      <c r="U1066" s="17">
        <f>IF(MONTH(Table1[[#This Row],[Reporting date]])&lt;Policy_Inception_Month,YEAR(Table1[[#This Row],[Reporting date]])-1,YEAR(Table1[[#This Row],[Reporting date]]))</f>
        <v>2012</v>
      </c>
      <c r="V1066" s="17">
        <f>Table1[[#This Row],[Reporting year]]-Table1[[#This Row],[Policy Year]]</f>
        <v>1</v>
      </c>
      <c r="W1066" s="17">
        <f>INT(Table1[[#This Row],[Reporting date]])-INT(Table1[[#This Row],[Loss date]])</f>
        <v>555</v>
      </c>
      <c r="X1066" s="17">
        <f>INT((YEAR(Table1[[#This Row],[Loss date]])*12+MONTH(Table1[[#This Row],[Loss date]])-Earliest_Month)/4)</f>
        <v>18</v>
      </c>
      <c r="Y1066" s="17">
        <f>INT((YEAR(Table1[[#This Row],[Reporting date]])*12+MONTH(Table1[[#This Row],[Reporting date]])-Earliest_Month)/4)</f>
        <v>23</v>
      </c>
      <c r="Z1066" s="17">
        <f>Table1[[#This Row],[Reporting third]]-Table1[[#This Row],[Policy third]]</f>
        <v>5</v>
      </c>
      <c r="AA1066" s="71">
        <f>IF(Table1[[#This Row],[Overall amount]]=0,"N/A",Table1[[#This Row],[Outstanding]]/Table1[[#This Row],[Overall amount]])</f>
        <v>0</v>
      </c>
      <c r="AB1066" s="17">
        <f>IF(MONTH(Table1[[#This Row],[Loss date]])&lt;Pol_Inc_Month_Shifted,YEAR(Table1[[#This Row],[Loss date]])-1,YEAR(Table1[[#This Row],[Loss date]]))</f>
        <v>2010</v>
      </c>
      <c r="AC1066" s="17">
        <f>IF(MONTH(Table1[[#This Row],[Reporting date]])&lt;Pol_Inc_Month_Shifted,YEAR(Table1[[#This Row],[Reporting date]])-1,YEAR(Table1[[#This Row],[Reporting date]]))</f>
        <v>2012</v>
      </c>
      <c r="AD1066" s="17">
        <f>Table1[[#This Row],[Reporting year (shifted)]]-Table1[[#This Row],[Policy Year (shifted)]]</f>
        <v>2</v>
      </c>
    </row>
    <row r="1067" spans="1:30" ht="13.9">
      <c r="A1067" s="8" t="s">
        <v>2837</v>
      </c>
      <c r="B1067" s="8" t="s">
        <v>1119</v>
      </c>
      <c r="C1067" s="8" t="s">
        <v>118</v>
      </c>
      <c r="D1067" s="9">
        <v>41030</v>
      </c>
      <c r="E1067" s="9">
        <v>41285</v>
      </c>
      <c r="F1067" s="17">
        <f>IF(MONTH(Table1[[#This Row],[Loss date]])&lt;Policy_Inception_Month,YEAR(Table1[[#This Row],[Loss date]])-1,YEAR(Table1[[#This Row],[Loss date]]))</f>
        <v>2012</v>
      </c>
      <c r="G1067" s="10" t="s">
        <v>121</v>
      </c>
      <c r="H1067" s="10" t="s">
        <v>2</v>
      </c>
      <c r="I1067" s="11">
        <v>1653.110352533118</v>
      </c>
      <c r="J1067" s="11">
        <v>0</v>
      </c>
      <c r="K1067" s="11">
        <v>1653.110352533118</v>
      </c>
      <c r="L1067" s="12">
        <v>304.72080231025217</v>
      </c>
      <c r="M1067" s="12">
        <v>0</v>
      </c>
      <c r="N1067" s="12">
        <v>1957.8311548433701</v>
      </c>
      <c r="O1067" s="70">
        <f>IF(Table1[[#This Row],[Overall amount]]=0,0,1)</f>
        <v>1</v>
      </c>
      <c r="P1067" s="70">
        <f>Table1[[#This Row],[Overall amount]]*Exchange_Rate</f>
        <v>1957.8311548433701</v>
      </c>
      <c r="Q1067" s="70">
        <f>Table1[[#This Row],[Overall (destination currency)]]*(1+Claims_Inflation)^((Revalue_at_date-Table1[[#This Row],[Loss date]])/365.25)</f>
        <v>2313</v>
      </c>
      <c r="R1067" s="70">
        <f>INT(Table1[[#This Row],[Reporting date]])-INT(Table1[[#This Row],[Loss date]])</f>
        <v>255</v>
      </c>
      <c r="S1067" s="69" t="s">
        <v>9</v>
      </c>
      <c r="T1067" s="70">
        <f>VLOOKUP(Table1[[#This Row],[Policy Year]],exposure_table,3,FALSE)</f>
        <v>1057.54</v>
      </c>
      <c r="U1067" s="17">
        <f>IF(MONTH(Table1[[#This Row],[Reporting date]])&lt;Policy_Inception_Month,YEAR(Table1[[#This Row],[Reporting date]])-1,YEAR(Table1[[#This Row],[Reporting date]]))</f>
        <v>2012</v>
      </c>
      <c r="V1067" s="17">
        <f>Table1[[#This Row],[Reporting year]]-Table1[[#This Row],[Policy Year]]</f>
        <v>0</v>
      </c>
      <c r="W1067" s="17">
        <f>INT(Table1[[#This Row],[Reporting date]])-INT(Table1[[#This Row],[Loss date]])</f>
        <v>255</v>
      </c>
      <c r="X1067" s="17">
        <f>INT((YEAR(Table1[[#This Row],[Loss date]])*12+MONTH(Table1[[#This Row],[Loss date]])-Earliest_Month)/4)</f>
        <v>21</v>
      </c>
      <c r="Y1067" s="17">
        <f>INT((YEAR(Table1[[#This Row],[Reporting date]])*12+MONTH(Table1[[#This Row],[Reporting date]])-Earliest_Month)/4)</f>
        <v>23</v>
      </c>
      <c r="Z1067" s="17">
        <f>Table1[[#This Row],[Reporting third]]-Table1[[#This Row],[Policy third]]</f>
        <v>2</v>
      </c>
      <c r="AA1067" s="71">
        <f>IF(Table1[[#This Row],[Overall amount]]=0,"N/A",Table1[[#This Row],[Outstanding]]/Table1[[#This Row],[Overall amount]])</f>
        <v>0</v>
      </c>
      <c r="AB1067" s="17">
        <f>IF(MONTH(Table1[[#This Row],[Loss date]])&lt;Pol_Inc_Month_Shifted,YEAR(Table1[[#This Row],[Loss date]])-1,YEAR(Table1[[#This Row],[Loss date]]))</f>
        <v>2011</v>
      </c>
      <c r="AC1067" s="17">
        <f>IF(MONTH(Table1[[#This Row],[Reporting date]])&lt;Pol_Inc_Month_Shifted,YEAR(Table1[[#This Row],[Reporting date]])-1,YEAR(Table1[[#This Row],[Reporting date]]))</f>
        <v>2012</v>
      </c>
      <c r="AD1067" s="17">
        <f>Table1[[#This Row],[Reporting year (shifted)]]-Table1[[#This Row],[Policy Year (shifted)]]</f>
        <v>1</v>
      </c>
    </row>
    <row r="1068" spans="1:30" ht="13.9">
      <c r="A1068" s="8" t="s">
        <v>2838</v>
      </c>
      <c r="B1068" s="8" t="s">
        <v>1120</v>
      </c>
      <c r="C1068" s="8" t="s">
        <v>118</v>
      </c>
      <c r="D1068" s="9">
        <v>41289</v>
      </c>
      <c r="E1068" s="9">
        <v>41293</v>
      </c>
      <c r="F1068" s="17">
        <f>IF(MONTH(Table1[[#This Row],[Loss date]])&lt;Policy_Inception_Month,YEAR(Table1[[#This Row],[Loss date]])-1,YEAR(Table1[[#This Row],[Loss date]]))</f>
        <v>2012</v>
      </c>
      <c r="G1068" s="10" t="s">
        <v>129</v>
      </c>
      <c r="H1068" s="10" t="s">
        <v>2</v>
      </c>
      <c r="I1068" s="11">
        <v>7802.5698469663057</v>
      </c>
      <c r="J1068" s="11">
        <v>0</v>
      </c>
      <c r="K1068" s="11">
        <v>7802.5698469663057</v>
      </c>
      <c r="L1068" s="12">
        <v>0</v>
      </c>
      <c r="M1068" s="12">
        <v>0</v>
      </c>
      <c r="N1068" s="12">
        <v>7802.5698469663057</v>
      </c>
      <c r="O1068" s="70">
        <f>IF(Table1[[#This Row],[Overall amount]]=0,0,1)</f>
        <v>1</v>
      </c>
      <c r="P1068" s="70">
        <f>Table1[[#This Row],[Overall amount]]*Exchange_Rate</f>
        <v>7802.5698469663057</v>
      </c>
      <c r="Q1068" s="70">
        <f>Table1[[#This Row],[Overall (destination currency)]]*(1+Claims_Inflation)^((Revalue_at_date-Table1[[#This Row],[Loss date]])/365.25)</f>
        <v>8904.5640000000003</v>
      </c>
      <c r="R1068" s="70">
        <f>INT(Table1[[#This Row],[Reporting date]])-INT(Table1[[#This Row],[Loss date]])</f>
        <v>4</v>
      </c>
      <c r="S1068" s="69" t="s">
        <v>9</v>
      </c>
      <c r="T1068" s="70">
        <f>VLOOKUP(Table1[[#This Row],[Policy Year]],exposure_table,3,FALSE)</f>
        <v>1057.54</v>
      </c>
      <c r="U1068" s="17">
        <f>IF(MONTH(Table1[[#This Row],[Reporting date]])&lt;Policy_Inception_Month,YEAR(Table1[[#This Row],[Reporting date]])-1,YEAR(Table1[[#This Row],[Reporting date]]))</f>
        <v>2012</v>
      </c>
      <c r="V1068" s="17">
        <f>Table1[[#This Row],[Reporting year]]-Table1[[#This Row],[Policy Year]]</f>
        <v>0</v>
      </c>
      <c r="W1068" s="17">
        <f>INT(Table1[[#This Row],[Reporting date]])-INT(Table1[[#This Row],[Loss date]])</f>
        <v>4</v>
      </c>
      <c r="X1068" s="17">
        <f>INT((YEAR(Table1[[#This Row],[Loss date]])*12+MONTH(Table1[[#This Row],[Loss date]])-Earliest_Month)/4)</f>
        <v>23</v>
      </c>
      <c r="Y1068" s="17">
        <f>INT((YEAR(Table1[[#This Row],[Reporting date]])*12+MONTH(Table1[[#This Row],[Reporting date]])-Earliest_Month)/4)</f>
        <v>23</v>
      </c>
      <c r="Z1068" s="17">
        <f>Table1[[#This Row],[Reporting third]]-Table1[[#This Row],[Policy third]]</f>
        <v>0</v>
      </c>
      <c r="AA1068" s="71">
        <f>IF(Table1[[#This Row],[Overall amount]]=0,"N/A",Table1[[#This Row],[Outstanding]]/Table1[[#This Row],[Overall amount]])</f>
        <v>0</v>
      </c>
      <c r="AB1068" s="17">
        <f>IF(MONTH(Table1[[#This Row],[Loss date]])&lt;Pol_Inc_Month_Shifted,YEAR(Table1[[#This Row],[Loss date]])-1,YEAR(Table1[[#This Row],[Loss date]]))</f>
        <v>2012</v>
      </c>
      <c r="AC1068" s="17">
        <f>IF(MONTH(Table1[[#This Row],[Reporting date]])&lt;Pol_Inc_Month_Shifted,YEAR(Table1[[#This Row],[Reporting date]])-1,YEAR(Table1[[#This Row],[Reporting date]]))</f>
        <v>2012</v>
      </c>
      <c r="AD1068" s="17">
        <f>Table1[[#This Row],[Reporting year (shifted)]]-Table1[[#This Row],[Policy Year (shifted)]]</f>
        <v>0</v>
      </c>
    </row>
    <row r="1069" spans="1:30" ht="13.9">
      <c r="A1069" s="8" t="s">
        <v>2839</v>
      </c>
      <c r="B1069" s="8" t="s">
        <v>1121</v>
      </c>
      <c r="C1069" s="8" t="s">
        <v>118</v>
      </c>
      <c r="D1069" s="9">
        <v>41282</v>
      </c>
      <c r="E1069" s="9">
        <v>41293</v>
      </c>
      <c r="F1069" s="17">
        <f>IF(MONTH(Table1[[#This Row],[Loss date]])&lt;Policy_Inception_Month,YEAR(Table1[[#This Row],[Loss date]])-1,YEAR(Table1[[#This Row],[Loss date]]))</f>
        <v>2012</v>
      </c>
      <c r="G1069" s="10" t="s">
        <v>129</v>
      </c>
      <c r="H1069" s="10" t="s">
        <v>2</v>
      </c>
      <c r="I1069" s="11">
        <v>0</v>
      </c>
      <c r="J1069" s="11">
        <v>0</v>
      </c>
      <c r="K1069" s="11">
        <v>0</v>
      </c>
      <c r="L1069" s="12">
        <v>0</v>
      </c>
      <c r="M1069" s="12">
        <v>0</v>
      </c>
      <c r="N1069" s="12">
        <v>0</v>
      </c>
      <c r="O1069" s="70">
        <f>IF(Table1[[#This Row],[Overall amount]]=0,0,1)</f>
        <v>0</v>
      </c>
      <c r="P1069" s="70">
        <f>Table1[[#This Row],[Overall amount]]*Exchange_Rate</f>
        <v>0</v>
      </c>
      <c r="Q1069" s="70">
        <f>Table1[[#This Row],[Overall (destination currency)]]*(1+Claims_Inflation)^((Revalue_at_date-Table1[[#This Row],[Loss date]])/365.25)</f>
        <v>0</v>
      </c>
      <c r="R1069" s="70">
        <f>INT(Table1[[#This Row],[Reporting date]])-INT(Table1[[#This Row],[Loss date]])</f>
        <v>11</v>
      </c>
      <c r="S1069" s="69" t="s">
        <v>9</v>
      </c>
      <c r="T1069" s="70">
        <f>VLOOKUP(Table1[[#This Row],[Policy Year]],exposure_table,3,FALSE)</f>
        <v>1057.54</v>
      </c>
      <c r="U1069" s="17">
        <f>IF(MONTH(Table1[[#This Row],[Reporting date]])&lt;Policy_Inception_Month,YEAR(Table1[[#This Row],[Reporting date]])-1,YEAR(Table1[[#This Row],[Reporting date]]))</f>
        <v>2012</v>
      </c>
      <c r="V1069" s="17">
        <f>Table1[[#This Row],[Reporting year]]-Table1[[#This Row],[Policy Year]]</f>
        <v>0</v>
      </c>
      <c r="W1069" s="17">
        <f>INT(Table1[[#This Row],[Reporting date]])-INT(Table1[[#This Row],[Loss date]])</f>
        <v>11</v>
      </c>
      <c r="X1069" s="17">
        <f>INT((YEAR(Table1[[#This Row],[Loss date]])*12+MONTH(Table1[[#This Row],[Loss date]])-Earliest_Month)/4)</f>
        <v>23</v>
      </c>
      <c r="Y1069" s="17">
        <f>INT((YEAR(Table1[[#This Row],[Reporting date]])*12+MONTH(Table1[[#This Row],[Reporting date]])-Earliest_Month)/4)</f>
        <v>23</v>
      </c>
      <c r="Z1069" s="17">
        <f>Table1[[#This Row],[Reporting third]]-Table1[[#This Row],[Policy third]]</f>
        <v>0</v>
      </c>
      <c r="AA1069" s="71" t="str">
        <f>IF(Table1[[#This Row],[Overall amount]]=0,"N/A",Table1[[#This Row],[Outstanding]]/Table1[[#This Row],[Overall amount]])</f>
        <v>N/A</v>
      </c>
      <c r="AB1069" s="17">
        <f>IF(MONTH(Table1[[#This Row],[Loss date]])&lt;Pol_Inc_Month_Shifted,YEAR(Table1[[#This Row],[Loss date]])-1,YEAR(Table1[[#This Row],[Loss date]]))</f>
        <v>2012</v>
      </c>
      <c r="AC1069" s="17">
        <f>IF(MONTH(Table1[[#This Row],[Reporting date]])&lt;Pol_Inc_Month_Shifted,YEAR(Table1[[#This Row],[Reporting date]])-1,YEAR(Table1[[#This Row],[Reporting date]]))</f>
        <v>2012</v>
      </c>
      <c r="AD1069" s="17">
        <f>Table1[[#This Row],[Reporting year (shifted)]]-Table1[[#This Row],[Policy Year (shifted)]]</f>
        <v>0</v>
      </c>
    </row>
    <row r="1070" spans="1:30" ht="13.9">
      <c r="A1070" s="8" t="s">
        <v>2840</v>
      </c>
      <c r="B1070" s="8" t="s">
        <v>1122</v>
      </c>
      <c r="C1070" s="8" t="s">
        <v>118</v>
      </c>
      <c r="D1070" s="9">
        <v>41298</v>
      </c>
      <c r="E1070" s="9">
        <v>41300</v>
      </c>
      <c r="F1070" s="17">
        <f>IF(MONTH(Table1[[#This Row],[Loss date]])&lt;Policy_Inception_Month,YEAR(Table1[[#This Row],[Loss date]])-1,YEAR(Table1[[#This Row],[Loss date]]))</f>
        <v>2012</v>
      </c>
      <c r="G1070" s="10" t="s">
        <v>129</v>
      </c>
      <c r="H1070" s="10" t="s">
        <v>2</v>
      </c>
      <c r="I1070" s="11">
        <v>900.1077155818989</v>
      </c>
      <c r="J1070" s="11">
        <v>0</v>
      </c>
      <c r="K1070" s="11">
        <v>900.1077155818989</v>
      </c>
      <c r="L1070" s="12">
        <v>0</v>
      </c>
      <c r="M1070" s="12">
        <v>0</v>
      </c>
      <c r="N1070" s="12">
        <v>900.1077155818989</v>
      </c>
      <c r="O1070" s="70">
        <f>IF(Table1[[#This Row],[Overall amount]]=0,0,1)</f>
        <v>1</v>
      </c>
      <c r="P1070" s="70">
        <f>Table1[[#This Row],[Overall amount]]*Exchange_Rate</f>
        <v>900.1077155818989</v>
      </c>
      <c r="Q1070" s="70">
        <f>Table1[[#This Row],[Overall (destination currency)]]*(1+Claims_Inflation)^((Revalue_at_date-Table1[[#This Row],[Loss date]])/365.25)</f>
        <v>1025.9999999999998</v>
      </c>
      <c r="R1070" s="70">
        <f>INT(Table1[[#This Row],[Reporting date]])-INT(Table1[[#This Row],[Loss date]])</f>
        <v>2</v>
      </c>
      <c r="S1070" s="69" t="s">
        <v>9</v>
      </c>
      <c r="T1070" s="70">
        <f>VLOOKUP(Table1[[#This Row],[Policy Year]],exposure_table,3,FALSE)</f>
        <v>1057.54</v>
      </c>
      <c r="U1070" s="17">
        <f>IF(MONTH(Table1[[#This Row],[Reporting date]])&lt;Policy_Inception_Month,YEAR(Table1[[#This Row],[Reporting date]])-1,YEAR(Table1[[#This Row],[Reporting date]]))</f>
        <v>2012</v>
      </c>
      <c r="V1070" s="17">
        <f>Table1[[#This Row],[Reporting year]]-Table1[[#This Row],[Policy Year]]</f>
        <v>0</v>
      </c>
      <c r="W1070" s="17">
        <f>INT(Table1[[#This Row],[Reporting date]])-INT(Table1[[#This Row],[Loss date]])</f>
        <v>2</v>
      </c>
      <c r="X1070" s="17">
        <f>INT((YEAR(Table1[[#This Row],[Loss date]])*12+MONTH(Table1[[#This Row],[Loss date]])-Earliest_Month)/4)</f>
        <v>23</v>
      </c>
      <c r="Y1070" s="17">
        <f>INT((YEAR(Table1[[#This Row],[Reporting date]])*12+MONTH(Table1[[#This Row],[Reporting date]])-Earliest_Month)/4)</f>
        <v>23</v>
      </c>
      <c r="Z1070" s="17">
        <f>Table1[[#This Row],[Reporting third]]-Table1[[#This Row],[Policy third]]</f>
        <v>0</v>
      </c>
      <c r="AA1070" s="71">
        <f>IF(Table1[[#This Row],[Overall amount]]=0,"N/A",Table1[[#This Row],[Outstanding]]/Table1[[#This Row],[Overall amount]])</f>
        <v>0</v>
      </c>
      <c r="AB1070" s="17">
        <f>IF(MONTH(Table1[[#This Row],[Loss date]])&lt;Pol_Inc_Month_Shifted,YEAR(Table1[[#This Row],[Loss date]])-1,YEAR(Table1[[#This Row],[Loss date]]))</f>
        <v>2012</v>
      </c>
      <c r="AC1070" s="17">
        <f>IF(MONTH(Table1[[#This Row],[Reporting date]])&lt;Pol_Inc_Month_Shifted,YEAR(Table1[[#This Row],[Reporting date]])-1,YEAR(Table1[[#This Row],[Reporting date]]))</f>
        <v>2012</v>
      </c>
      <c r="AD1070" s="17">
        <f>Table1[[#This Row],[Reporting year (shifted)]]-Table1[[#This Row],[Policy Year (shifted)]]</f>
        <v>0</v>
      </c>
    </row>
    <row r="1071" spans="1:30" ht="13.9">
      <c r="A1071" s="8" t="s">
        <v>2841</v>
      </c>
      <c r="B1071" s="8" t="s">
        <v>1123</v>
      </c>
      <c r="C1071" s="8" t="s">
        <v>118</v>
      </c>
      <c r="D1071" s="9">
        <v>41308</v>
      </c>
      <c r="E1071" s="9">
        <v>41310</v>
      </c>
      <c r="F1071" s="17">
        <f>IF(MONTH(Table1[[#This Row],[Loss date]])&lt;Policy_Inception_Month,YEAR(Table1[[#This Row],[Loss date]])-1,YEAR(Table1[[#This Row],[Loss date]]))</f>
        <v>2012</v>
      </c>
      <c r="G1071" s="10" t="s">
        <v>129</v>
      </c>
      <c r="H1071" s="10" t="s">
        <v>2</v>
      </c>
      <c r="I1071" s="11">
        <v>0</v>
      </c>
      <c r="J1071" s="11">
        <v>0</v>
      </c>
      <c r="K1071" s="11">
        <v>0</v>
      </c>
      <c r="L1071" s="12">
        <v>0</v>
      </c>
      <c r="M1071" s="12">
        <v>0</v>
      </c>
      <c r="N1071" s="12">
        <v>0</v>
      </c>
      <c r="O1071" s="70">
        <f>IF(Table1[[#This Row],[Overall amount]]=0,0,1)</f>
        <v>0</v>
      </c>
      <c r="P1071" s="70">
        <f>Table1[[#This Row],[Overall amount]]*Exchange_Rate</f>
        <v>0</v>
      </c>
      <c r="Q1071" s="70">
        <f>Table1[[#This Row],[Overall (destination currency)]]*(1+Claims_Inflation)^((Revalue_at_date-Table1[[#This Row],[Loss date]])/365.25)</f>
        <v>0</v>
      </c>
      <c r="R1071" s="70">
        <f>INT(Table1[[#This Row],[Reporting date]])-INT(Table1[[#This Row],[Loss date]])</f>
        <v>2</v>
      </c>
      <c r="S1071" s="69" t="s">
        <v>9</v>
      </c>
      <c r="T1071" s="70">
        <f>VLOOKUP(Table1[[#This Row],[Policy Year]],exposure_table,3,FALSE)</f>
        <v>1057.54</v>
      </c>
      <c r="U1071" s="17">
        <f>IF(MONTH(Table1[[#This Row],[Reporting date]])&lt;Policy_Inception_Month,YEAR(Table1[[#This Row],[Reporting date]])-1,YEAR(Table1[[#This Row],[Reporting date]]))</f>
        <v>2012</v>
      </c>
      <c r="V1071" s="17">
        <f>Table1[[#This Row],[Reporting year]]-Table1[[#This Row],[Policy Year]]</f>
        <v>0</v>
      </c>
      <c r="W1071" s="17">
        <f>INT(Table1[[#This Row],[Reporting date]])-INT(Table1[[#This Row],[Loss date]])</f>
        <v>2</v>
      </c>
      <c r="X1071" s="17">
        <f>INT((YEAR(Table1[[#This Row],[Loss date]])*12+MONTH(Table1[[#This Row],[Loss date]])-Earliest_Month)/4)</f>
        <v>23</v>
      </c>
      <c r="Y1071" s="17">
        <f>INT((YEAR(Table1[[#This Row],[Reporting date]])*12+MONTH(Table1[[#This Row],[Reporting date]])-Earliest_Month)/4)</f>
        <v>23</v>
      </c>
      <c r="Z1071" s="17">
        <f>Table1[[#This Row],[Reporting third]]-Table1[[#This Row],[Policy third]]</f>
        <v>0</v>
      </c>
      <c r="AA1071" s="71" t="str">
        <f>IF(Table1[[#This Row],[Overall amount]]=0,"N/A",Table1[[#This Row],[Outstanding]]/Table1[[#This Row],[Overall amount]])</f>
        <v>N/A</v>
      </c>
      <c r="AB1071" s="17">
        <f>IF(MONTH(Table1[[#This Row],[Loss date]])&lt;Pol_Inc_Month_Shifted,YEAR(Table1[[#This Row],[Loss date]])-1,YEAR(Table1[[#This Row],[Loss date]]))</f>
        <v>2012</v>
      </c>
      <c r="AC1071" s="17">
        <f>IF(MONTH(Table1[[#This Row],[Reporting date]])&lt;Pol_Inc_Month_Shifted,YEAR(Table1[[#This Row],[Reporting date]])-1,YEAR(Table1[[#This Row],[Reporting date]]))</f>
        <v>2012</v>
      </c>
      <c r="AD1071" s="17">
        <f>Table1[[#This Row],[Reporting year (shifted)]]-Table1[[#This Row],[Policy Year (shifted)]]</f>
        <v>0</v>
      </c>
    </row>
    <row r="1072" spans="1:30" ht="13.9">
      <c r="A1072" s="8" t="s">
        <v>2842</v>
      </c>
      <c r="B1072" s="8" t="s">
        <v>1124</v>
      </c>
      <c r="C1072" s="8" t="s">
        <v>118</v>
      </c>
      <c r="D1072" s="9">
        <v>41318</v>
      </c>
      <c r="E1072" s="9">
        <v>41320</v>
      </c>
      <c r="F1072" s="17">
        <f>IF(MONTH(Table1[[#This Row],[Loss date]])&lt;Policy_Inception_Month,YEAR(Table1[[#This Row],[Loss date]])-1,YEAR(Table1[[#This Row],[Loss date]]))</f>
        <v>2012</v>
      </c>
      <c r="G1072" s="10" t="s">
        <v>144</v>
      </c>
      <c r="H1072" s="10" t="s">
        <v>2</v>
      </c>
      <c r="I1072" s="11">
        <v>709.34564301440764</v>
      </c>
      <c r="J1072" s="11">
        <v>0</v>
      </c>
      <c r="K1072" s="11">
        <v>709.34564301440764</v>
      </c>
      <c r="L1072" s="12">
        <v>316.67216206000342</v>
      </c>
      <c r="M1072" s="12">
        <v>0</v>
      </c>
      <c r="N1072" s="12">
        <v>1026.0178050744112</v>
      </c>
      <c r="O1072" s="70">
        <f>IF(Table1[[#This Row],[Overall amount]]=0,0,1)</f>
        <v>1</v>
      </c>
      <c r="P1072" s="70">
        <f>Table1[[#This Row],[Overall amount]]*Exchange_Rate</f>
        <v>1026.0178050744112</v>
      </c>
      <c r="Q1072" s="70">
        <f>Table1[[#This Row],[Overall (destination currency)]]*(1+Claims_Inflation)^((Revalue_at_date-Table1[[#This Row],[Loss date]])/365.25)</f>
        <v>1166.4000000000001</v>
      </c>
      <c r="R1072" s="70">
        <f>INT(Table1[[#This Row],[Reporting date]])-INT(Table1[[#This Row],[Loss date]])</f>
        <v>2</v>
      </c>
      <c r="S1072" s="69" t="s">
        <v>9</v>
      </c>
      <c r="T1072" s="70">
        <f>VLOOKUP(Table1[[#This Row],[Policy Year]],exposure_table,3,FALSE)</f>
        <v>1057.54</v>
      </c>
      <c r="U1072" s="17">
        <f>IF(MONTH(Table1[[#This Row],[Reporting date]])&lt;Policy_Inception_Month,YEAR(Table1[[#This Row],[Reporting date]])-1,YEAR(Table1[[#This Row],[Reporting date]]))</f>
        <v>2012</v>
      </c>
      <c r="V1072" s="17">
        <f>Table1[[#This Row],[Reporting year]]-Table1[[#This Row],[Policy Year]]</f>
        <v>0</v>
      </c>
      <c r="W1072" s="17">
        <f>INT(Table1[[#This Row],[Reporting date]])-INT(Table1[[#This Row],[Loss date]])</f>
        <v>2</v>
      </c>
      <c r="X1072" s="17">
        <f>INT((YEAR(Table1[[#This Row],[Loss date]])*12+MONTH(Table1[[#This Row],[Loss date]])-Earliest_Month)/4)</f>
        <v>23</v>
      </c>
      <c r="Y1072" s="17">
        <f>INT((YEAR(Table1[[#This Row],[Reporting date]])*12+MONTH(Table1[[#This Row],[Reporting date]])-Earliest_Month)/4)</f>
        <v>23</v>
      </c>
      <c r="Z1072" s="17">
        <f>Table1[[#This Row],[Reporting third]]-Table1[[#This Row],[Policy third]]</f>
        <v>0</v>
      </c>
      <c r="AA1072" s="71">
        <f>IF(Table1[[#This Row],[Overall amount]]=0,"N/A",Table1[[#This Row],[Outstanding]]/Table1[[#This Row],[Overall amount]])</f>
        <v>0</v>
      </c>
      <c r="AB1072" s="17">
        <f>IF(MONTH(Table1[[#This Row],[Loss date]])&lt;Pol_Inc_Month_Shifted,YEAR(Table1[[#This Row],[Loss date]])-1,YEAR(Table1[[#This Row],[Loss date]]))</f>
        <v>2012</v>
      </c>
      <c r="AC1072" s="17">
        <f>IF(MONTH(Table1[[#This Row],[Reporting date]])&lt;Pol_Inc_Month_Shifted,YEAR(Table1[[#This Row],[Reporting date]])-1,YEAR(Table1[[#This Row],[Reporting date]]))</f>
        <v>2012</v>
      </c>
      <c r="AD1072" s="17">
        <f>Table1[[#This Row],[Reporting year (shifted)]]-Table1[[#This Row],[Policy Year (shifted)]]</f>
        <v>0</v>
      </c>
    </row>
    <row r="1073" spans="1:30" ht="13.9">
      <c r="A1073" s="8" t="s">
        <v>2843</v>
      </c>
      <c r="B1073" s="8" t="s">
        <v>1125</v>
      </c>
      <c r="C1073" s="8" t="s">
        <v>118</v>
      </c>
      <c r="D1073" s="9">
        <v>41306</v>
      </c>
      <c r="E1073" s="9">
        <v>41323</v>
      </c>
      <c r="F1073" s="17">
        <f>IF(MONTH(Table1[[#This Row],[Loss date]])&lt;Policy_Inception_Month,YEAR(Table1[[#This Row],[Loss date]])-1,YEAR(Table1[[#This Row],[Loss date]]))</f>
        <v>2012</v>
      </c>
      <c r="G1073" s="10" t="s">
        <v>129</v>
      </c>
      <c r="H1073" s="10" t="s">
        <v>2</v>
      </c>
      <c r="I1073" s="11">
        <v>0</v>
      </c>
      <c r="J1073" s="11">
        <v>26347.079596403193</v>
      </c>
      <c r="K1073" s="11">
        <v>26347.079596403193</v>
      </c>
      <c r="L1073" s="12">
        <v>0</v>
      </c>
      <c r="M1073" s="12">
        <v>0</v>
      </c>
      <c r="N1073" s="12">
        <v>26347.079596403193</v>
      </c>
      <c r="O1073" s="70">
        <f>IF(Table1[[#This Row],[Overall amount]]=0,0,1)</f>
        <v>1</v>
      </c>
      <c r="P1073" s="70">
        <f>Table1[[#This Row],[Overall amount]]*Exchange_Rate</f>
        <v>26347.079596403193</v>
      </c>
      <c r="Q1073" s="70">
        <f>Table1[[#This Row],[Overall (destination currency)]]*(1+Claims_Inflation)^((Revalue_at_date-Table1[[#This Row],[Loss date]])/365.25)</f>
        <v>30000.000000000007</v>
      </c>
      <c r="R1073" s="70">
        <f>INT(Table1[[#This Row],[Reporting date]])-INT(Table1[[#This Row],[Loss date]])</f>
        <v>17</v>
      </c>
      <c r="S1073" s="69" t="s">
        <v>16</v>
      </c>
      <c r="T1073" s="70">
        <f>VLOOKUP(Table1[[#This Row],[Policy Year]],exposure_table,3,FALSE)</f>
        <v>1057.54</v>
      </c>
      <c r="U1073" s="17">
        <f>IF(MONTH(Table1[[#This Row],[Reporting date]])&lt;Policy_Inception_Month,YEAR(Table1[[#This Row],[Reporting date]])-1,YEAR(Table1[[#This Row],[Reporting date]]))</f>
        <v>2012</v>
      </c>
      <c r="V1073" s="17">
        <f>Table1[[#This Row],[Reporting year]]-Table1[[#This Row],[Policy Year]]</f>
        <v>0</v>
      </c>
      <c r="W1073" s="17">
        <f>INT(Table1[[#This Row],[Reporting date]])-INT(Table1[[#This Row],[Loss date]])</f>
        <v>17</v>
      </c>
      <c r="X1073" s="17">
        <f>INT((YEAR(Table1[[#This Row],[Loss date]])*12+MONTH(Table1[[#This Row],[Loss date]])-Earliest_Month)/4)</f>
        <v>23</v>
      </c>
      <c r="Y1073" s="17">
        <f>INT((YEAR(Table1[[#This Row],[Reporting date]])*12+MONTH(Table1[[#This Row],[Reporting date]])-Earliest_Month)/4)</f>
        <v>23</v>
      </c>
      <c r="Z1073" s="17">
        <f>Table1[[#This Row],[Reporting third]]-Table1[[#This Row],[Policy third]]</f>
        <v>0</v>
      </c>
      <c r="AA1073" s="71">
        <f>IF(Table1[[#This Row],[Overall amount]]=0,"N/A",Table1[[#This Row],[Outstanding]]/Table1[[#This Row],[Overall amount]])</f>
        <v>1</v>
      </c>
      <c r="AB1073" s="17">
        <f>IF(MONTH(Table1[[#This Row],[Loss date]])&lt;Pol_Inc_Month_Shifted,YEAR(Table1[[#This Row],[Loss date]])-1,YEAR(Table1[[#This Row],[Loss date]]))</f>
        <v>2012</v>
      </c>
      <c r="AC1073" s="17">
        <f>IF(MONTH(Table1[[#This Row],[Reporting date]])&lt;Pol_Inc_Month_Shifted,YEAR(Table1[[#This Row],[Reporting date]])-1,YEAR(Table1[[#This Row],[Reporting date]]))</f>
        <v>2012</v>
      </c>
      <c r="AD1073" s="17">
        <f>Table1[[#This Row],[Reporting year (shifted)]]-Table1[[#This Row],[Policy Year (shifted)]]</f>
        <v>0</v>
      </c>
    </row>
    <row r="1074" spans="1:30" ht="13.9">
      <c r="A1074" s="8" t="s">
        <v>2844</v>
      </c>
      <c r="B1074" s="8" t="s">
        <v>1126</v>
      </c>
      <c r="C1074" s="8" t="s">
        <v>118</v>
      </c>
      <c r="D1074" s="9">
        <v>41320</v>
      </c>
      <c r="E1074" s="9">
        <v>41344</v>
      </c>
      <c r="F1074" s="17">
        <f>IF(MONTH(Table1[[#This Row],[Loss date]])&lt;Policy_Inception_Month,YEAR(Table1[[#This Row],[Loss date]])-1,YEAR(Table1[[#This Row],[Loss date]]))</f>
        <v>2012</v>
      </c>
      <c r="G1074" s="10" t="s">
        <v>129</v>
      </c>
      <c r="H1074" s="10" t="s">
        <v>2</v>
      </c>
      <c r="I1074" s="11">
        <v>405.44867278969724</v>
      </c>
      <c r="J1074" s="11">
        <v>0</v>
      </c>
      <c r="K1074" s="11">
        <v>405.44867278969724</v>
      </c>
      <c r="L1074" s="12">
        <v>0</v>
      </c>
      <c r="M1074" s="12">
        <v>0</v>
      </c>
      <c r="N1074" s="12">
        <v>405.44867278969724</v>
      </c>
      <c r="O1074" s="70">
        <f>IF(Table1[[#This Row],[Overall amount]]=0,0,1)</f>
        <v>1</v>
      </c>
      <c r="P1074" s="70">
        <f>Table1[[#This Row],[Overall amount]]*Exchange_Rate</f>
        <v>405.44867278969724</v>
      </c>
      <c r="Q1074" s="70">
        <f>Table1[[#This Row],[Overall (destination currency)]]*(1+Claims_Inflation)^((Revalue_at_date-Table1[[#This Row],[Loss date]])/365.25)</f>
        <v>460.79999999999995</v>
      </c>
      <c r="R1074" s="70">
        <f>INT(Table1[[#This Row],[Reporting date]])-INT(Table1[[#This Row],[Loss date]])</f>
        <v>24</v>
      </c>
      <c r="S1074" s="69" t="s">
        <v>9</v>
      </c>
      <c r="T1074" s="70">
        <f>VLOOKUP(Table1[[#This Row],[Policy Year]],exposure_table,3,FALSE)</f>
        <v>1057.54</v>
      </c>
      <c r="U1074" s="17">
        <f>IF(MONTH(Table1[[#This Row],[Reporting date]])&lt;Policy_Inception_Month,YEAR(Table1[[#This Row],[Reporting date]])-1,YEAR(Table1[[#This Row],[Reporting date]]))</f>
        <v>2012</v>
      </c>
      <c r="V1074" s="17">
        <f>Table1[[#This Row],[Reporting year]]-Table1[[#This Row],[Policy Year]]</f>
        <v>0</v>
      </c>
      <c r="W1074" s="17">
        <f>INT(Table1[[#This Row],[Reporting date]])-INT(Table1[[#This Row],[Loss date]])</f>
        <v>24</v>
      </c>
      <c r="X1074" s="17">
        <f>INT((YEAR(Table1[[#This Row],[Loss date]])*12+MONTH(Table1[[#This Row],[Loss date]])-Earliest_Month)/4)</f>
        <v>23</v>
      </c>
      <c r="Y1074" s="17">
        <f>INT((YEAR(Table1[[#This Row],[Reporting date]])*12+MONTH(Table1[[#This Row],[Reporting date]])-Earliest_Month)/4)</f>
        <v>23</v>
      </c>
      <c r="Z1074" s="17">
        <f>Table1[[#This Row],[Reporting third]]-Table1[[#This Row],[Policy third]]</f>
        <v>0</v>
      </c>
      <c r="AA1074" s="71">
        <f>IF(Table1[[#This Row],[Overall amount]]=0,"N/A",Table1[[#This Row],[Outstanding]]/Table1[[#This Row],[Overall amount]])</f>
        <v>0</v>
      </c>
      <c r="AB1074" s="17">
        <f>IF(MONTH(Table1[[#This Row],[Loss date]])&lt;Pol_Inc_Month_Shifted,YEAR(Table1[[#This Row],[Loss date]])-1,YEAR(Table1[[#This Row],[Loss date]]))</f>
        <v>2012</v>
      </c>
      <c r="AC1074" s="17">
        <f>IF(MONTH(Table1[[#This Row],[Reporting date]])&lt;Pol_Inc_Month_Shifted,YEAR(Table1[[#This Row],[Reporting date]])-1,YEAR(Table1[[#This Row],[Reporting date]]))</f>
        <v>2012</v>
      </c>
      <c r="AD1074" s="17">
        <f>Table1[[#This Row],[Reporting year (shifted)]]-Table1[[#This Row],[Policy Year (shifted)]]</f>
        <v>0</v>
      </c>
    </row>
    <row r="1075" spans="1:30" ht="13.9">
      <c r="A1075" s="8" t="s">
        <v>2845</v>
      </c>
      <c r="B1075" s="8" t="s">
        <v>1127</v>
      </c>
      <c r="C1075" s="8" t="s">
        <v>118</v>
      </c>
      <c r="D1075" s="9">
        <v>41321</v>
      </c>
      <c r="E1075" s="9">
        <v>41344</v>
      </c>
      <c r="F1075" s="17">
        <f>IF(MONTH(Table1[[#This Row],[Loss date]])&lt;Policy_Inception_Month,YEAR(Table1[[#This Row],[Loss date]])-1,YEAR(Table1[[#This Row],[Loss date]]))</f>
        <v>2012</v>
      </c>
      <c r="G1075" s="10" t="s">
        <v>129</v>
      </c>
      <c r="H1075" s="10" t="s">
        <v>2</v>
      </c>
      <c r="I1075" s="11">
        <v>0</v>
      </c>
      <c r="J1075" s="11">
        <v>0</v>
      </c>
      <c r="K1075" s="11">
        <v>0</v>
      </c>
      <c r="L1075" s="12">
        <v>0</v>
      </c>
      <c r="M1075" s="12">
        <v>0</v>
      </c>
      <c r="N1075" s="12">
        <v>0</v>
      </c>
      <c r="O1075" s="70">
        <f>IF(Table1[[#This Row],[Overall amount]]=0,0,1)</f>
        <v>0</v>
      </c>
      <c r="P1075" s="70">
        <f>Table1[[#This Row],[Overall amount]]*Exchange_Rate</f>
        <v>0</v>
      </c>
      <c r="Q1075" s="70">
        <f>Table1[[#This Row],[Overall (destination currency)]]*(1+Claims_Inflation)^((Revalue_at_date-Table1[[#This Row],[Loss date]])/365.25)</f>
        <v>0</v>
      </c>
      <c r="R1075" s="70">
        <f>INT(Table1[[#This Row],[Reporting date]])-INT(Table1[[#This Row],[Loss date]])</f>
        <v>23</v>
      </c>
      <c r="S1075" s="69" t="s">
        <v>9</v>
      </c>
      <c r="T1075" s="70">
        <f>VLOOKUP(Table1[[#This Row],[Policy Year]],exposure_table,3,FALSE)</f>
        <v>1057.54</v>
      </c>
      <c r="U1075" s="17">
        <f>IF(MONTH(Table1[[#This Row],[Reporting date]])&lt;Policy_Inception_Month,YEAR(Table1[[#This Row],[Reporting date]])-1,YEAR(Table1[[#This Row],[Reporting date]]))</f>
        <v>2012</v>
      </c>
      <c r="V1075" s="17">
        <f>Table1[[#This Row],[Reporting year]]-Table1[[#This Row],[Policy Year]]</f>
        <v>0</v>
      </c>
      <c r="W1075" s="17">
        <f>INT(Table1[[#This Row],[Reporting date]])-INT(Table1[[#This Row],[Loss date]])</f>
        <v>23</v>
      </c>
      <c r="X1075" s="17">
        <f>INT((YEAR(Table1[[#This Row],[Loss date]])*12+MONTH(Table1[[#This Row],[Loss date]])-Earliest_Month)/4)</f>
        <v>23</v>
      </c>
      <c r="Y1075" s="17">
        <f>INT((YEAR(Table1[[#This Row],[Reporting date]])*12+MONTH(Table1[[#This Row],[Reporting date]])-Earliest_Month)/4)</f>
        <v>23</v>
      </c>
      <c r="Z1075" s="17">
        <f>Table1[[#This Row],[Reporting third]]-Table1[[#This Row],[Policy third]]</f>
        <v>0</v>
      </c>
      <c r="AA1075" s="71" t="str">
        <f>IF(Table1[[#This Row],[Overall amount]]=0,"N/A",Table1[[#This Row],[Outstanding]]/Table1[[#This Row],[Overall amount]])</f>
        <v>N/A</v>
      </c>
      <c r="AB1075" s="17">
        <f>IF(MONTH(Table1[[#This Row],[Loss date]])&lt;Pol_Inc_Month_Shifted,YEAR(Table1[[#This Row],[Loss date]])-1,YEAR(Table1[[#This Row],[Loss date]]))</f>
        <v>2012</v>
      </c>
      <c r="AC1075" s="17">
        <f>IF(MONTH(Table1[[#This Row],[Reporting date]])&lt;Pol_Inc_Month_Shifted,YEAR(Table1[[#This Row],[Reporting date]])-1,YEAR(Table1[[#This Row],[Reporting date]]))</f>
        <v>2012</v>
      </c>
      <c r="AD1075" s="17">
        <f>Table1[[#This Row],[Reporting year (shifted)]]-Table1[[#This Row],[Policy Year (shifted)]]</f>
        <v>0</v>
      </c>
    </row>
    <row r="1076" spans="1:30" ht="13.9">
      <c r="A1076" s="8" t="s">
        <v>2846</v>
      </c>
      <c r="B1076" s="8" t="s">
        <v>1128</v>
      </c>
      <c r="C1076" s="8" t="s">
        <v>118</v>
      </c>
      <c r="D1076" s="9">
        <v>41264</v>
      </c>
      <c r="E1076" s="9">
        <v>41356</v>
      </c>
      <c r="F1076" s="17">
        <f>IF(MONTH(Table1[[#This Row],[Loss date]])&lt;Policy_Inception_Month,YEAR(Table1[[#This Row],[Loss date]])-1,YEAR(Table1[[#This Row],[Loss date]]))</f>
        <v>2012</v>
      </c>
      <c r="G1076" s="10" t="s">
        <v>129</v>
      </c>
      <c r="H1076" s="10" t="s">
        <v>2</v>
      </c>
      <c r="I1076" s="11">
        <v>0</v>
      </c>
      <c r="J1076" s="11">
        <v>0</v>
      </c>
      <c r="K1076" s="11">
        <v>0</v>
      </c>
      <c r="L1076" s="12">
        <v>0</v>
      </c>
      <c r="M1076" s="12">
        <v>0</v>
      </c>
      <c r="N1076" s="12">
        <v>0</v>
      </c>
      <c r="O1076" s="70">
        <f>IF(Table1[[#This Row],[Overall amount]]=0,0,1)</f>
        <v>0</v>
      </c>
      <c r="P1076" s="70">
        <f>Table1[[#This Row],[Overall amount]]*Exchange_Rate</f>
        <v>0</v>
      </c>
      <c r="Q1076" s="70">
        <f>Table1[[#This Row],[Overall (destination currency)]]*(1+Claims_Inflation)^((Revalue_at_date-Table1[[#This Row],[Loss date]])/365.25)</f>
        <v>0</v>
      </c>
      <c r="R1076" s="70">
        <f>INT(Table1[[#This Row],[Reporting date]])-INT(Table1[[#This Row],[Loss date]])</f>
        <v>92</v>
      </c>
      <c r="S1076" s="69" t="s">
        <v>9</v>
      </c>
      <c r="T1076" s="70">
        <f>VLOOKUP(Table1[[#This Row],[Policy Year]],exposure_table,3,FALSE)</f>
        <v>1057.54</v>
      </c>
      <c r="U1076" s="17">
        <f>IF(MONTH(Table1[[#This Row],[Reporting date]])&lt;Policy_Inception_Month,YEAR(Table1[[#This Row],[Reporting date]])-1,YEAR(Table1[[#This Row],[Reporting date]]))</f>
        <v>2012</v>
      </c>
      <c r="V1076" s="17">
        <f>Table1[[#This Row],[Reporting year]]-Table1[[#This Row],[Policy Year]]</f>
        <v>0</v>
      </c>
      <c r="W1076" s="17">
        <f>INT(Table1[[#This Row],[Reporting date]])-INT(Table1[[#This Row],[Loss date]])</f>
        <v>92</v>
      </c>
      <c r="X1076" s="17">
        <f>INT((YEAR(Table1[[#This Row],[Loss date]])*12+MONTH(Table1[[#This Row],[Loss date]])-Earliest_Month)/4)</f>
        <v>23</v>
      </c>
      <c r="Y1076" s="17">
        <f>INT((YEAR(Table1[[#This Row],[Reporting date]])*12+MONTH(Table1[[#This Row],[Reporting date]])-Earliest_Month)/4)</f>
        <v>23</v>
      </c>
      <c r="Z1076" s="17">
        <f>Table1[[#This Row],[Reporting third]]-Table1[[#This Row],[Policy third]]</f>
        <v>0</v>
      </c>
      <c r="AA1076" s="71" t="str">
        <f>IF(Table1[[#This Row],[Overall amount]]=0,"N/A",Table1[[#This Row],[Outstanding]]/Table1[[#This Row],[Overall amount]])</f>
        <v>N/A</v>
      </c>
      <c r="AB1076" s="17">
        <f>IF(MONTH(Table1[[#This Row],[Loss date]])&lt;Pol_Inc_Month_Shifted,YEAR(Table1[[#This Row],[Loss date]])-1,YEAR(Table1[[#This Row],[Loss date]]))</f>
        <v>2012</v>
      </c>
      <c r="AC1076" s="17">
        <f>IF(MONTH(Table1[[#This Row],[Reporting date]])&lt;Pol_Inc_Month_Shifted,YEAR(Table1[[#This Row],[Reporting date]])-1,YEAR(Table1[[#This Row],[Reporting date]]))</f>
        <v>2012</v>
      </c>
      <c r="AD1076" s="17">
        <f>Table1[[#This Row],[Reporting year (shifted)]]-Table1[[#This Row],[Policy Year (shifted)]]</f>
        <v>0</v>
      </c>
    </row>
    <row r="1077" spans="1:30" ht="13.9">
      <c r="A1077" s="8" t="s">
        <v>2847</v>
      </c>
      <c r="B1077" s="8" t="s">
        <v>1129</v>
      </c>
      <c r="C1077" s="8" t="s">
        <v>118</v>
      </c>
      <c r="D1077" s="9">
        <v>41355</v>
      </c>
      <c r="E1077" s="9">
        <v>41371</v>
      </c>
      <c r="F1077" s="17">
        <f>IF(MONTH(Table1[[#This Row],[Loss date]])&lt;Policy_Inception_Month,YEAR(Table1[[#This Row],[Loss date]])-1,YEAR(Table1[[#This Row],[Loss date]]))</f>
        <v>2012</v>
      </c>
      <c r="G1077" s="10" t="s">
        <v>129</v>
      </c>
      <c r="H1077" s="10" t="s">
        <v>2</v>
      </c>
      <c r="I1077" s="11">
        <v>4042.1933623565019</v>
      </c>
      <c r="J1077" s="11">
        <v>86126.140399696436</v>
      </c>
      <c r="K1077" s="11">
        <v>90168.333762052935</v>
      </c>
      <c r="L1077" s="12">
        <v>0</v>
      </c>
      <c r="M1077" s="12">
        <v>6605.5199706226749</v>
      </c>
      <c r="N1077" s="12">
        <v>83562.813791430264</v>
      </c>
      <c r="O1077" s="70">
        <f>IF(Table1[[#This Row],[Overall amount]]=0,0,1)</f>
        <v>1</v>
      </c>
      <c r="P1077" s="70">
        <f>Table1[[#This Row],[Overall amount]]*Exchange_Rate</f>
        <v>83562.813791430264</v>
      </c>
      <c r="Q1077" s="70">
        <f>Table1[[#This Row],[Overall (destination currency)]]*(1+Claims_Inflation)^((Revalue_at_date-Table1[[#This Row],[Loss date]])/365.25)</f>
        <v>94527.720000000016</v>
      </c>
      <c r="R1077" s="70">
        <f>INT(Table1[[#This Row],[Reporting date]])-INT(Table1[[#This Row],[Loss date]])</f>
        <v>16</v>
      </c>
      <c r="S1077" s="69" t="s">
        <v>16</v>
      </c>
      <c r="T1077" s="70">
        <f>VLOOKUP(Table1[[#This Row],[Policy Year]],exposure_table,3,FALSE)</f>
        <v>1057.54</v>
      </c>
      <c r="U1077" s="17">
        <f>IF(MONTH(Table1[[#This Row],[Reporting date]])&lt;Policy_Inception_Month,YEAR(Table1[[#This Row],[Reporting date]])-1,YEAR(Table1[[#This Row],[Reporting date]]))</f>
        <v>2013</v>
      </c>
      <c r="V1077" s="17">
        <f>Table1[[#This Row],[Reporting year]]-Table1[[#This Row],[Policy Year]]</f>
        <v>1</v>
      </c>
      <c r="W1077" s="17">
        <f>INT(Table1[[#This Row],[Reporting date]])-INT(Table1[[#This Row],[Loss date]])</f>
        <v>16</v>
      </c>
      <c r="X1077" s="17">
        <f>INT((YEAR(Table1[[#This Row],[Loss date]])*12+MONTH(Table1[[#This Row],[Loss date]])-Earliest_Month)/4)</f>
        <v>23</v>
      </c>
      <c r="Y1077" s="17">
        <f>INT((YEAR(Table1[[#This Row],[Reporting date]])*12+MONTH(Table1[[#This Row],[Reporting date]])-Earliest_Month)/4)</f>
        <v>24</v>
      </c>
      <c r="Z1077" s="17">
        <f>Table1[[#This Row],[Reporting third]]-Table1[[#This Row],[Policy third]]</f>
        <v>1</v>
      </c>
      <c r="AA1077" s="71">
        <f>IF(Table1[[#This Row],[Overall amount]]=0,"N/A",Table1[[#This Row],[Outstanding]]/Table1[[#This Row],[Overall amount]])</f>
        <v>1.0306754463135257</v>
      </c>
      <c r="AB1077" s="17">
        <f>IF(MONTH(Table1[[#This Row],[Loss date]])&lt;Pol_Inc_Month_Shifted,YEAR(Table1[[#This Row],[Loss date]])-1,YEAR(Table1[[#This Row],[Loss date]]))</f>
        <v>2012</v>
      </c>
      <c r="AC1077" s="17">
        <f>IF(MONTH(Table1[[#This Row],[Reporting date]])&lt;Pol_Inc_Month_Shifted,YEAR(Table1[[#This Row],[Reporting date]])-1,YEAR(Table1[[#This Row],[Reporting date]]))</f>
        <v>2012</v>
      </c>
      <c r="AD1077" s="17">
        <f>Table1[[#This Row],[Reporting year (shifted)]]-Table1[[#This Row],[Policy Year (shifted)]]</f>
        <v>0</v>
      </c>
    </row>
    <row r="1078" spans="1:30" ht="13.9">
      <c r="A1078" s="8" t="s">
        <v>2848</v>
      </c>
      <c r="B1078" s="8" t="s">
        <v>1130</v>
      </c>
      <c r="C1078" s="8" t="s">
        <v>118</v>
      </c>
      <c r="D1078" s="9">
        <v>41278</v>
      </c>
      <c r="E1078" s="9">
        <v>41365</v>
      </c>
      <c r="F1078" s="17">
        <f>IF(MONTH(Table1[[#This Row],[Loss date]])&lt;Policy_Inception_Month,YEAR(Table1[[#This Row],[Loss date]])-1,YEAR(Table1[[#This Row],[Loss date]]))</f>
        <v>2012</v>
      </c>
      <c r="G1078" s="10" t="s">
        <v>129</v>
      </c>
      <c r="H1078" s="10" t="s">
        <v>2</v>
      </c>
      <c r="I1078" s="11">
        <v>0</v>
      </c>
      <c r="J1078" s="11">
        <v>0</v>
      </c>
      <c r="K1078" s="11">
        <v>0</v>
      </c>
      <c r="L1078" s="12">
        <v>0</v>
      </c>
      <c r="M1078" s="12">
        <v>0</v>
      </c>
      <c r="N1078" s="12">
        <v>0</v>
      </c>
      <c r="O1078" s="70">
        <f>IF(Table1[[#This Row],[Overall amount]]=0,0,1)</f>
        <v>0</v>
      </c>
      <c r="P1078" s="70">
        <f>Table1[[#This Row],[Overall amount]]*Exchange_Rate</f>
        <v>0</v>
      </c>
      <c r="Q1078" s="70">
        <f>Table1[[#This Row],[Overall (destination currency)]]*(1+Claims_Inflation)^((Revalue_at_date-Table1[[#This Row],[Loss date]])/365.25)</f>
        <v>0</v>
      </c>
      <c r="R1078" s="70">
        <f>INT(Table1[[#This Row],[Reporting date]])-INT(Table1[[#This Row],[Loss date]])</f>
        <v>87</v>
      </c>
      <c r="S1078" s="69" t="s">
        <v>9</v>
      </c>
      <c r="T1078" s="70">
        <f>VLOOKUP(Table1[[#This Row],[Policy Year]],exposure_table,3,FALSE)</f>
        <v>1057.54</v>
      </c>
      <c r="U1078" s="17">
        <f>IF(MONTH(Table1[[#This Row],[Reporting date]])&lt;Policy_Inception_Month,YEAR(Table1[[#This Row],[Reporting date]])-1,YEAR(Table1[[#This Row],[Reporting date]]))</f>
        <v>2013</v>
      </c>
      <c r="V1078" s="17">
        <f>Table1[[#This Row],[Reporting year]]-Table1[[#This Row],[Policy Year]]</f>
        <v>1</v>
      </c>
      <c r="W1078" s="17">
        <f>INT(Table1[[#This Row],[Reporting date]])-INT(Table1[[#This Row],[Loss date]])</f>
        <v>87</v>
      </c>
      <c r="X1078" s="17">
        <f>INT((YEAR(Table1[[#This Row],[Loss date]])*12+MONTH(Table1[[#This Row],[Loss date]])-Earliest_Month)/4)</f>
        <v>23</v>
      </c>
      <c r="Y1078" s="17">
        <f>INT((YEAR(Table1[[#This Row],[Reporting date]])*12+MONTH(Table1[[#This Row],[Reporting date]])-Earliest_Month)/4)</f>
        <v>24</v>
      </c>
      <c r="Z1078" s="17">
        <f>Table1[[#This Row],[Reporting third]]-Table1[[#This Row],[Policy third]]</f>
        <v>1</v>
      </c>
      <c r="AA1078" s="71" t="str">
        <f>IF(Table1[[#This Row],[Overall amount]]=0,"N/A",Table1[[#This Row],[Outstanding]]/Table1[[#This Row],[Overall amount]])</f>
        <v>N/A</v>
      </c>
      <c r="AB1078" s="17">
        <f>IF(MONTH(Table1[[#This Row],[Loss date]])&lt;Pol_Inc_Month_Shifted,YEAR(Table1[[#This Row],[Loss date]])-1,YEAR(Table1[[#This Row],[Loss date]]))</f>
        <v>2012</v>
      </c>
      <c r="AC1078" s="17">
        <f>IF(MONTH(Table1[[#This Row],[Reporting date]])&lt;Pol_Inc_Month_Shifted,YEAR(Table1[[#This Row],[Reporting date]])-1,YEAR(Table1[[#This Row],[Reporting date]]))</f>
        <v>2012</v>
      </c>
      <c r="AD1078" s="17">
        <f>Table1[[#This Row],[Reporting year (shifted)]]-Table1[[#This Row],[Policy Year (shifted)]]</f>
        <v>0</v>
      </c>
    </row>
    <row r="1079" spans="1:30" ht="13.9">
      <c r="A1079" s="8" t="s">
        <v>2849</v>
      </c>
      <c r="B1079" s="8" t="s">
        <v>1131</v>
      </c>
      <c r="C1079" s="8" t="s">
        <v>118</v>
      </c>
      <c r="D1079" s="9">
        <v>41376</v>
      </c>
      <c r="E1079" s="9">
        <v>41378</v>
      </c>
      <c r="F1079" s="17">
        <f>IF(MONTH(Table1[[#This Row],[Loss date]])&lt;Policy_Inception_Month,YEAR(Table1[[#This Row],[Loss date]])-1,YEAR(Table1[[#This Row],[Loss date]]))</f>
        <v>2013</v>
      </c>
      <c r="G1079" s="10" t="s">
        <v>129</v>
      </c>
      <c r="H1079" s="10" t="s">
        <v>2</v>
      </c>
      <c r="I1079" s="11">
        <v>121.27135940829876</v>
      </c>
      <c r="J1079" s="11">
        <v>0</v>
      </c>
      <c r="K1079" s="11">
        <v>121.27135940829876</v>
      </c>
      <c r="L1079" s="12">
        <v>319.13515633762836</v>
      </c>
      <c r="M1079" s="12">
        <v>0</v>
      </c>
      <c r="N1079" s="12">
        <v>440.40651574592709</v>
      </c>
      <c r="O1079" s="70">
        <f>IF(Table1[[#This Row],[Overall amount]]=0,0,1)</f>
        <v>1</v>
      </c>
      <c r="P1079" s="70">
        <f>Table1[[#This Row],[Overall amount]]*Exchange_Rate</f>
        <v>440.40651574592709</v>
      </c>
      <c r="Q1079" s="70">
        <f>Table1[[#This Row],[Overall (destination currency)]]*(1+Claims_Inflation)^((Revalue_at_date-Table1[[#This Row],[Loss date]])/365.25)</f>
        <v>496.79999999999995</v>
      </c>
      <c r="R1079" s="70">
        <f>INT(Table1[[#This Row],[Reporting date]])-INT(Table1[[#This Row],[Loss date]])</f>
        <v>2</v>
      </c>
      <c r="S1079" s="69" t="s">
        <v>9</v>
      </c>
      <c r="T1079" s="70">
        <f>VLOOKUP(Table1[[#This Row],[Policy Year]],exposure_table,3,FALSE)</f>
        <v>1090.5865384615383</v>
      </c>
      <c r="U1079" s="17">
        <f>IF(MONTH(Table1[[#This Row],[Reporting date]])&lt;Policy_Inception_Month,YEAR(Table1[[#This Row],[Reporting date]])-1,YEAR(Table1[[#This Row],[Reporting date]]))</f>
        <v>2013</v>
      </c>
      <c r="V1079" s="17">
        <f>Table1[[#This Row],[Reporting year]]-Table1[[#This Row],[Policy Year]]</f>
        <v>0</v>
      </c>
      <c r="W1079" s="17">
        <f>INT(Table1[[#This Row],[Reporting date]])-INT(Table1[[#This Row],[Loss date]])</f>
        <v>2</v>
      </c>
      <c r="X1079" s="17">
        <f>INT((YEAR(Table1[[#This Row],[Loss date]])*12+MONTH(Table1[[#This Row],[Loss date]])-Earliest_Month)/4)</f>
        <v>24</v>
      </c>
      <c r="Y1079" s="17">
        <f>INT((YEAR(Table1[[#This Row],[Reporting date]])*12+MONTH(Table1[[#This Row],[Reporting date]])-Earliest_Month)/4)</f>
        <v>24</v>
      </c>
      <c r="Z1079" s="17">
        <f>Table1[[#This Row],[Reporting third]]-Table1[[#This Row],[Policy third]]</f>
        <v>0</v>
      </c>
      <c r="AA1079" s="71">
        <f>IF(Table1[[#This Row],[Overall amount]]=0,"N/A",Table1[[#This Row],[Outstanding]]/Table1[[#This Row],[Overall amount]])</f>
        <v>0</v>
      </c>
      <c r="AB1079" s="17">
        <f>IF(MONTH(Table1[[#This Row],[Loss date]])&lt;Pol_Inc_Month_Shifted,YEAR(Table1[[#This Row],[Loss date]])-1,YEAR(Table1[[#This Row],[Loss date]]))</f>
        <v>2012</v>
      </c>
      <c r="AC1079" s="17">
        <f>IF(MONTH(Table1[[#This Row],[Reporting date]])&lt;Pol_Inc_Month_Shifted,YEAR(Table1[[#This Row],[Reporting date]])-1,YEAR(Table1[[#This Row],[Reporting date]]))</f>
        <v>2012</v>
      </c>
      <c r="AD1079" s="17">
        <f>Table1[[#This Row],[Reporting year (shifted)]]-Table1[[#This Row],[Policy Year (shifted)]]</f>
        <v>0</v>
      </c>
    </row>
    <row r="1080" spans="1:30" ht="13.9">
      <c r="A1080" s="8" t="s">
        <v>2850</v>
      </c>
      <c r="B1080" s="8" t="s">
        <v>1132</v>
      </c>
      <c r="C1080" s="8" t="s">
        <v>118</v>
      </c>
      <c r="D1080" s="9">
        <v>41390</v>
      </c>
      <c r="E1080" s="9">
        <v>41401</v>
      </c>
      <c r="F1080" s="17">
        <f>IF(MONTH(Table1[[#This Row],[Loss date]])&lt;Policy_Inception_Month,YEAR(Table1[[#This Row],[Loss date]])-1,YEAR(Table1[[#This Row],[Loss date]]))</f>
        <v>2013</v>
      </c>
      <c r="G1080" s="10" t="s">
        <v>129</v>
      </c>
      <c r="H1080" s="10" t="s">
        <v>2</v>
      </c>
      <c r="I1080" s="11">
        <v>0</v>
      </c>
      <c r="J1080" s="11">
        <v>0</v>
      </c>
      <c r="K1080" s="11">
        <v>0</v>
      </c>
      <c r="L1080" s="12">
        <v>0</v>
      </c>
      <c r="M1080" s="12">
        <v>28.136463223916689</v>
      </c>
      <c r="N1080" s="12">
        <v>-28.136463223916689</v>
      </c>
      <c r="O1080" s="70">
        <f>IF(Table1[[#This Row],[Overall amount]]=0,0,1)</f>
        <v>1</v>
      </c>
      <c r="P1080" s="70">
        <f>Table1[[#This Row],[Overall amount]]*Exchange_Rate</f>
        <v>-28.136463223916689</v>
      </c>
      <c r="Q1080" s="70">
        <f>Table1[[#This Row],[Overall (destination currency)]]*(1+Claims_Inflation)^((Revalue_at_date-Table1[[#This Row],[Loss date]])/365.25)</f>
        <v>-31.679999999999996</v>
      </c>
      <c r="R1080" s="70">
        <f>INT(Table1[[#This Row],[Reporting date]])-INT(Table1[[#This Row],[Loss date]])</f>
        <v>11</v>
      </c>
      <c r="S1080" s="69" t="s">
        <v>9</v>
      </c>
      <c r="T1080" s="70">
        <f>VLOOKUP(Table1[[#This Row],[Policy Year]],exposure_table,3,FALSE)</f>
        <v>1090.5865384615383</v>
      </c>
      <c r="U1080" s="17">
        <f>IF(MONTH(Table1[[#This Row],[Reporting date]])&lt;Policy_Inception_Month,YEAR(Table1[[#This Row],[Reporting date]])-1,YEAR(Table1[[#This Row],[Reporting date]]))</f>
        <v>2013</v>
      </c>
      <c r="V1080" s="17">
        <f>Table1[[#This Row],[Reporting year]]-Table1[[#This Row],[Policy Year]]</f>
        <v>0</v>
      </c>
      <c r="W1080" s="17">
        <f>INT(Table1[[#This Row],[Reporting date]])-INT(Table1[[#This Row],[Loss date]])</f>
        <v>11</v>
      </c>
      <c r="X1080" s="17">
        <f>INT((YEAR(Table1[[#This Row],[Loss date]])*12+MONTH(Table1[[#This Row],[Loss date]])-Earliest_Month)/4)</f>
        <v>24</v>
      </c>
      <c r="Y1080" s="17">
        <f>INT((YEAR(Table1[[#This Row],[Reporting date]])*12+MONTH(Table1[[#This Row],[Reporting date]])-Earliest_Month)/4)</f>
        <v>24</v>
      </c>
      <c r="Z1080" s="17">
        <f>Table1[[#This Row],[Reporting third]]-Table1[[#This Row],[Policy third]]</f>
        <v>0</v>
      </c>
      <c r="AA1080" s="71">
        <f>IF(Table1[[#This Row],[Overall amount]]=0,"N/A",Table1[[#This Row],[Outstanding]]/Table1[[#This Row],[Overall amount]])</f>
        <v>0</v>
      </c>
      <c r="AB1080" s="17">
        <f>IF(MONTH(Table1[[#This Row],[Loss date]])&lt;Pol_Inc_Month_Shifted,YEAR(Table1[[#This Row],[Loss date]])-1,YEAR(Table1[[#This Row],[Loss date]]))</f>
        <v>2012</v>
      </c>
      <c r="AC1080" s="17">
        <f>IF(MONTH(Table1[[#This Row],[Reporting date]])&lt;Pol_Inc_Month_Shifted,YEAR(Table1[[#This Row],[Reporting date]])-1,YEAR(Table1[[#This Row],[Reporting date]]))</f>
        <v>2012</v>
      </c>
      <c r="AD1080" s="17">
        <f>Table1[[#This Row],[Reporting year (shifted)]]-Table1[[#This Row],[Policy Year (shifted)]]</f>
        <v>0</v>
      </c>
    </row>
    <row r="1081" spans="1:30" ht="13.9">
      <c r="A1081" s="8" t="s">
        <v>2851</v>
      </c>
      <c r="B1081" s="8" t="s">
        <v>1133</v>
      </c>
      <c r="C1081" s="8" t="s">
        <v>118</v>
      </c>
      <c r="D1081" s="9">
        <v>41285</v>
      </c>
      <c r="E1081" s="9">
        <v>41427</v>
      </c>
      <c r="F1081" s="17">
        <f>IF(MONTH(Table1[[#This Row],[Loss date]])&lt;Policy_Inception_Month,YEAR(Table1[[#This Row],[Loss date]])-1,YEAR(Table1[[#This Row],[Loss date]]))</f>
        <v>2012</v>
      </c>
      <c r="G1081" s="10" t="s">
        <v>129</v>
      </c>
      <c r="H1081" s="10" t="s">
        <v>2</v>
      </c>
      <c r="I1081" s="11">
        <v>0</v>
      </c>
      <c r="J1081" s="11">
        <v>0</v>
      </c>
      <c r="K1081" s="11">
        <v>0</v>
      </c>
      <c r="L1081" s="12">
        <v>0</v>
      </c>
      <c r="M1081" s="12">
        <v>0</v>
      </c>
      <c r="N1081" s="12">
        <v>0</v>
      </c>
      <c r="O1081" s="70">
        <f>IF(Table1[[#This Row],[Overall amount]]=0,0,1)</f>
        <v>0</v>
      </c>
      <c r="P1081" s="70">
        <f>Table1[[#This Row],[Overall amount]]*Exchange_Rate</f>
        <v>0</v>
      </c>
      <c r="Q1081" s="70">
        <f>Table1[[#This Row],[Overall (destination currency)]]*(1+Claims_Inflation)^((Revalue_at_date-Table1[[#This Row],[Loss date]])/365.25)</f>
        <v>0</v>
      </c>
      <c r="R1081" s="70">
        <f>INT(Table1[[#This Row],[Reporting date]])-INT(Table1[[#This Row],[Loss date]])</f>
        <v>142</v>
      </c>
      <c r="S1081" s="69" t="s">
        <v>9</v>
      </c>
      <c r="T1081" s="70">
        <f>VLOOKUP(Table1[[#This Row],[Policy Year]],exposure_table,3,FALSE)</f>
        <v>1057.54</v>
      </c>
      <c r="U1081" s="17">
        <f>IF(MONTH(Table1[[#This Row],[Reporting date]])&lt;Policy_Inception_Month,YEAR(Table1[[#This Row],[Reporting date]])-1,YEAR(Table1[[#This Row],[Reporting date]]))</f>
        <v>2013</v>
      </c>
      <c r="V1081" s="17">
        <f>Table1[[#This Row],[Reporting year]]-Table1[[#This Row],[Policy Year]]</f>
        <v>1</v>
      </c>
      <c r="W1081" s="17">
        <f>INT(Table1[[#This Row],[Reporting date]])-INT(Table1[[#This Row],[Loss date]])</f>
        <v>142</v>
      </c>
      <c r="X1081" s="17">
        <f>INT((YEAR(Table1[[#This Row],[Loss date]])*12+MONTH(Table1[[#This Row],[Loss date]])-Earliest_Month)/4)</f>
        <v>23</v>
      </c>
      <c r="Y1081" s="17">
        <f>INT((YEAR(Table1[[#This Row],[Reporting date]])*12+MONTH(Table1[[#This Row],[Reporting date]])-Earliest_Month)/4)</f>
        <v>24</v>
      </c>
      <c r="Z1081" s="17">
        <f>Table1[[#This Row],[Reporting third]]-Table1[[#This Row],[Policy third]]</f>
        <v>1</v>
      </c>
      <c r="AA1081" s="71" t="str">
        <f>IF(Table1[[#This Row],[Overall amount]]=0,"N/A",Table1[[#This Row],[Outstanding]]/Table1[[#This Row],[Overall amount]])</f>
        <v>N/A</v>
      </c>
      <c r="AB1081" s="17">
        <f>IF(MONTH(Table1[[#This Row],[Loss date]])&lt;Pol_Inc_Month_Shifted,YEAR(Table1[[#This Row],[Loss date]])-1,YEAR(Table1[[#This Row],[Loss date]]))</f>
        <v>2012</v>
      </c>
      <c r="AC1081" s="17">
        <f>IF(MONTH(Table1[[#This Row],[Reporting date]])&lt;Pol_Inc_Month_Shifted,YEAR(Table1[[#This Row],[Reporting date]])-1,YEAR(Table1[[#This Row],[Reporting date]]))</f>
        <v>2012</v>
      </c>
      <c r="AD1081" s="17">
        <f>Table1[[#This Row],[Reporting year (shifted)]]-Table1[[#This Row],[Policy Year (shifted)]]</f>
        <v>0</v>
      </c>
    </row>
    <row r="1082" spans="1:30" ht="13.9">
      <c r="A1082" s="8" t="s">
        <v>2852</v>
      </c>
      <c r="B1082" s="8" t="s">
        <v>1134</v>
      </c>
      <c r="C1082" s="8" t="s">
        <v>118</v>
      </c>
      <c r="D1082" s="9">
        <v>41182</v>
      </c>
      <c r="E1082" s="9">
        <v>41421</v>
      </c>
      <c r="F1082" s="17">
        <f>IF(MONTH(Table1[[#This Row],[Loss date]])&lt;Policy_Inception_Month,YEAR(Table1[[#This Row],[Loss date]])-1,YEAR(Table1[[#This Row],[Loss date]]))</f>
        <v>2012</v>
      </c>
      <c r="G1082" s="10" t="s">
        <v>129</v>
      </c>
      <c r="H1082" s="10" t="s">
        <v>2</v>
      </c>
      <c r="I1082" s="11">
        <v>0</v>
      </c>
      <c r="J1082" s="11">
        <v>0</v>
      </c>
      <c r="K1082" s="11">
        <v>0</v>
      </c>
      <c r="L1082" s="12">
        <v>0</v>
      </c>
      <c r="M1082" s="12">
        <v>0</v>
      </c>
      <c r="N1082" s="12">
        <v>0</v>
      </c>
      <c r="O1082" s="70">
        <f>IF(Table1[[#This Row],[Overall amount]]=0,0,1)</f>
        <v>0</v>
      </c>
      <c r="P1082" s="70">
        <f>Table1[[#This Row],[Overall amount]]*Exchange_Rate</f>
        <v>0</v>
      </c>
      <c r="Q1082" s="70">
        <f>Table1[[#This Row],[Overall (destination currency)]]*(1+Claims_Inflation)^((Revalue_at_date-Table1[[#This Row],[Loss date]])/365.25)</f>
        <v>0</v>
      </c>
      <c r="R1082" s="70">
        <f>INT(Table1[[#This Row],[Reporting date]])-INT(Table1[[#This Row],[Loss date]])</f>
        <v>239</v>
      </c>
      <c r="S1082" s="69" t="s">
        <v>9</v>
      </c>
      <c r="T1082" s="70">
        <f>VLOOKUP(Table1[[#This Row],[Policy Year]],exposure_table,3,FALSE)</f>
        <v>1057.54</v>
      </c>
      <c r="U1082" s="17">
        <f>IF(MONTH(Table1[[#This Row],[Reporting date]])&lt;Policy_Inception_Month,YEAR(Table1[[#This Row],[Reporting date]])-1,YEAR(Table1[[#This Row],[Reporting date]]))</f>
        <v>2013</v>
      </c>
      <c r="V1082" s="17">
        <f>Table1[[#This Row],[Reporting year]]-Table1[[#This Row],[Policy Year]]</f>
        <v>1</v>
      </c>
      <c r="W1082" s="17">
        <f>INT(Table1[[#This Row],[Reporting date]])-INT(Table1[[#This Row],[Loss date]])</f>
        <v>239</v>
      </c>
      <c r="X1082" s="17">
        <f>INT((YEAR(Table1[[#This Row],[Loss date]])*12+MONTH(Table1[[#This Row],[Loss date]])-Earliest_Month)/4)</f>
        <v>22</v>
      </c>
      <c r="Y1082" s="17">
        <f>INT((YEAR(Table1[[#This Row],[Reporting date]])*12+MONTH(Table1[[#This Row],[Reporting date]])-Earliest_Month)/4)</f>
        <v>24</v>
      </c>
      <c r="Z1082" s="17">
        <f>Table1[[#This Row],[Reporting third]]-Table1[[#This Row],[Policy third]]</f>
        <v>2</v>
      </c>
      <c r="AA1082" s="71" t="str">
        <f>IF(Table1[[#This Row],[Overall amount]]=0,"N/A",Table1[[#This Row],[Outstanding]]/Table1[[#This Row],[Overall amount]])</f>
        <v>N/A</v>
      </c>
      <c r="AB1082" s="17">
        <f>IF(MONTH(Table1[[#This Row],[Loss date]])&lt;Pol_Inc_Month_Shifted,YEAR(Table1[[#This Row],[Loss date]])-1,YEAR(Table1[[#This Row],[Loss date]]))</f>
        <v>2011</v>
      </c>
      <c r="AC1082" s="17">
        <f>IF(MONTH(Table1[[#This Row],[Reporting date]])&lt;Pol_Inc_Month_Shifted,YEAR(Table1[[#This Row],[Reporting date]])-1,YEAR(Table1[[#This Row],[Reporting date]]))</f>
        <v>2012</v>
      </c>
      <c r="AD1082" s="17">
        <f>Table1[[#This Row],[Reporting year (shifted)]]-Table1[[#This Row],[Policy Year (shifted)]]</f>
        <v>1</v>
      </c>
    </row>
    <row r="1083" spans="1:30" ht="13.9">
      <c r="A1083" s="8" t="s">
        <v>2853</v>
      </c>
      <c r="B1083" s="8" t="s">
        <v>1135</v>
      </c>
      <c r="C1083" s="8" t="s">
        <v>118</v>
      </c>
      <c r="D1083" s="9">
        <v>41323</v>
      </c>
      <c r="E1083" s="9">
        <v>41418</v>
      </c>
      <c r="F1083" s="17">
        <f>IF(MONTH(Table1[[#This Row],[Loss date]])&lt;Policy_Inception_Month,YEAR(Table1[[#This Row],[Loss date]])-1,YEAR(Table1[[#This Row],[Loss date]]))</f>
        <v>2012</v>
      </c>
      <c r="G1083" s="10" t="s">
        <v>129</v>
      </c>
      <c r="H1083" s="10" t="s">
        <v>2</v>
      </c>
      <c r="I1083" s="11">
        <v>974.12173725517391</v>
      </c>
      <c r="J1083" s="11">
        <v>0</v>
      </c>
      <c r="K1083" s="11">
        <v>974.12173725517391</v>
      </c>
      <c r="L1083" s="12">
        <v>0</v>
      </c>
      <c r="M1083" s="12">
        <v>0</v>
      </c>
      <c r="N1083" s="12">
        <v>974.12173725517391</v>
      </c>
      <c r="O1083" s="70">
        <f>IF(Table1[[#This Row],[Overall amount]]=0,0,1)</f>
        <v>1</v>
      </c>
      <c r="P1083" s="70">
        <f>Table1[[#This Row],[Overall amount]]*Exchange_Rate</f>
        <v>974.12173725517391</v>
      </c>
      <c r="Q1083" s="70">
        <f>Table1[[#This Row],[Overall (destination currency)]]*(1+Claims_Inflation)^((Revalue_at_date-Table1[[#This Row],[Loss date]])/365.25)</f>
        <v>1106.664</v>
      </c>
      <c r="R1083" s="70">
        <f>INT(Table1[[#This Row],[Reporting date]])-INT(Table1[[#This Row],[Loss date]])</f>
        <v>95</v>
      </c>
      <c r="S1083" s="69" t="s">
        <v>9</v>
      </c>
      <c r="T1083" s="70">
        <f>VLOOKUP(Table1[[#This Row],[Policy Year]],exposure_table,3,FALSE)</f>
        <v>1057.54</v>
      </c>
      <c r="U1083" s="17">
        <f>IF(MONTH(Table1[[#This Row],[Reporting date]])&lt;Policy_Inception_Month,YEAR(Table1[[#This Row],[Reporting date]])-1,YEAR(Table1[[#This Row],[Reporting date]]))</f>
        <v>2013</v>
      </c>
      <c r="V1083" s="17">
        <f>Table1[[#This Row],[Reporting year]]-Table1[[#This Row],[Policy Year]]</f>
        <v>1</v>
      </c>
      <c r="W1083" s="17">
        <f>INT(Table1[[#This Row],[Reporting date]])-INT(Table1[[#This Row],[Loss date]])</f>
        <v>95</v>
      </c>
      <c r="X1083" s="17">
        <f>INT((YEAR(Table1[[#This Row],[Loss date]])*12+MONTH(Table1[[#This Row],[Loss date]])-Earliest_Month)/4)</f>
        <v>23</v>
      </c>
      <c r="Y1083" s="17">
        <f>INT((YEAR(Table1[[#This Row],[Reporting date]])*12+MONTH(Table1[[#This Row],[Reporting date]])-Earliest_Month)/4)</f>
        <v>24</v>
      </c>
      <c r="Z1083" s="17">
        <f>Table1[[#This Row],[Reporting third]]-Table1[[#This Row],[Policy third]]</f>
        <v>1</v>
      </c>
      <c r="AA1083" s="71">
        <f>IF(Table1[[#This Row],[Overall amount]]=0,"N/A",Table1[[#This Row],[Outstanding]]/Table1[[#This Row],[Overall amount]])</f>
        <v>0</v>
      </c>
      <c r="AB1083" s="17">
        <f>IF(MONTH(Table1[[#This Row],[Loss date]])&lt;Pol_Inc_Month_Shifted,YEAR(Table1[[#This Row],[Loss date]])-1,YEAR(Table1[[#This Row],[Loss date]]))</f>
        <v>2012</v>
      </c>
      <c r="AC1083" s="17">
        <f>IF(MONTH(Table1[[#This Row],[Reporting date]])&lt;Pol_Inc_Month_Shifted,YEAR(Table1[[#This Row],[Reporting date]])-1,YEAR(Table1[[#This Row],[Reporting date]]))</f>
        <v>2012</v>
      </c>
      <c r="AD1083" s="17">
        <f>Table1[[#This Row],[Reporting year (shifted)]]-Table1[[#This Row],[Policy Year (shifted)]]</f>
        <v>0</v>
      </c>
    </row>
    <row r="1084" spans="1:30" ht="13.9">
      <c r="A1084" s="8" t="s">
        <v>2854</v>
      </c>
      <c r="B1084" s="8" t="s">
        <v>1136</v>
      </c>
      <c r="C1084" s="8" t="s">
        <v>118</v>
      </c>
      <c r="D1084" s="9">
        <v>41365</v>
      </c>
      <c r="E1084" s="9">
        <v>41440</v>
      </c>
      <c r="F1084" s="17">
        <f>IF(MONTH(Table1[[#This Row],[Loss date]])&lt;Policy_Inception_Month,YEAR(Table1[[#This Row],[Loss date]])-1,YEAR(Table1[[#This Row],[Loss date]]))</f>
        <v>2013</v>
      </c>
      <c r="G1084" s="10" t="s">
        <v>129</v>
      </c>
      <c r="H1084" s="10" t="s">
        <v>2</v>
      </c>
      <c r="I1084" s="11">
        <v>0</v>
      </c>
      <c r="J1084" s="11">
        <v>1.062221897359616</v>
      </c>
      <c r="K1084" s="11">
        <v>1.062221897359616</v>
      </c>
      <c r="L1084" s="12">
        <v>0</v>
      </c>
      <c r="M1084" s="12">
        <v>0</v>
      </c>
      <c r="N1084" s="12">
        <v>1.062221897359616</v>
      </c>
      <c r="O1084" s="70">
        <f>IF(Table1[[#This Row],[Overall amount]]=0,0,1)</f>
        <v>1</v>
      </c>
      <c r="P1084" s="70">
        <f>Table1[[#This Row],[Overall amount]]*Exchange_Rate</f>
        <v>1.062221897359616</v>
      </c>
      <c r="Q1084" s="70">
        <f>Table1[[#This Row],[Overall (destination currency)]]*(1+Claims_Inflation)^((Revalue_at_date-Table1[[#This Row],[Loss date]])/365.25)</f>
        <v>1.2</v>
      </c>
      <c r="R1084" s="70">
        <f>INT(Table1[[#This Row],[Reporting date]])-INT(Table1[[#This Row],[Loss date]])</f>
        <v>75</v>
      </c>
      <c r="S1084" s="69" t="s">
        <v>16</v>
      </c>
      <c r="T1084" s="70">
        <f>VLOOKUP(Table1[[#This Row],[Policy Year]],exposure_table,3,FALSE)</f>
        <v>1090.5865384615383</v>
      </c>
      <c r="U1084" s="17">
        <f>IF(MONTH(Table1[[#This Row],[Reporting date]])&lt;Policy_Inception_Month,YEAR(Table1[[#This Row],[Reporting date]])-1,YEAR(Table1[[#This Row],[Reporting date]]))</f>
        <v>2013</v>
      </c>
      <c r="V1084" s="17">
        <f>Table1[[#This Row],[Reporting year]]-Table1[[#This Row],[Policy Year]]</f>
        <v>0</v>
      </c>
      <c r="W1084" s="17">
        <f>INT(Table1[[#This Row],[Reporting date]])-INT(Table1[[#This Row],[Loss date]])</f>
        <v>75</v>
      </c>
      <c r="X1084" s="17">
        <f>INT((YEAR(Table1[[#This Row],[Loss date]])*12+MONTH(Table1[[#This Row],[Loss date]])-Earliest_Month)/4)</f>
        <v>24</v>
      </c>
      <c r="Y1084" s="17">
        <f>INT((YEAR(Table1[[#This Row],[Reporting date]])*12+MONTH(Table1[[#This Row],[Reporting date]])-Earliest_Month)/4)</f>
        <v>24</v>
      </c>
      <c r="Z1084" s="17">
        <f>Table1[[#This Row],[Reporting third]]-Table1[[#This Row],[Policy third]]</f>
        <v>0</v>
      </c>
      <c r="AA1084" s="71">
        <f>IF(Table1[[#This Row],[Overall amount]]=0,"N/A",Table1[[#This Row],[Outstanding]]/Table1[[#This Row],[Overall amount]])</f>
        <v>1</v>
      </c>
      <c r="AB1084" s="17">
        <f>IF(MONTH(Table1[[#This Row],[Loss date]])&lt;Pol_Inc_Month_Shifted,YEAR(Table1[[#This Row],[Loss date]])-1,YEAR(Table1[[#This Row],[Loss date]]))</f>
        <v>2012</v>
      </c>
      <c r="AC1084" s="17">
        <f>IF(MONTH(Table1[[#This Row],[Reporting date]])&lt;Pol_Inc_Month_Shifted,YEAR(Table1[[#This Row],[Reporting date]])-1,YEAR(Table1[[#This Row],[Reporting date]]))</f>
        <v>2012</v>
      </c>
      <c r="AD1084" s="17">
        <f>Table1[[#This Row],[Reporting year (shifted)]]-Table1[[#This Row],[Policy Year (shifted)]]</f>
        <v>0</v>
      </c>
    </row>
    <row r="1085" spans="1:30" ht="13.9">
      <c r="A1085" s="8" t="s">
        <v>2855</v>
      </c>
      <c r="B1085" s="8" t="s">
        <v>1137</v>
      </c>
      <c r="C1085" s="8" t="s">
        <v>118</v>
      </c>
      <c r="D1085" s="9">
        <v>41449</v>
      </c>
      <c r="E1085" s="9">
        <v>41460</v>
      </c>
      <c r="F1085" s="17">
        <f>IF(MONTH(Table1[[#This Row],[Loss date]])&lt;Policy_Inception_Month,YEAR(Table1[[#This Row],[Loss date]])-1,YEAR(Table1[[#This Row],[Loss date]]))</f>
        <v>2013</v>
      </c>
      <c r="G1085" s="10" t="s">
        <v>129</v>
      </c>
      <c r="H1085" s="10" t="s">
        <v>2</v>
      </c>
      <c r="I1085" s="11">
        <v>1782.6480582336073</v>
      </c>
      <c r="J1085" s="11">
        <v>0</v>
      </c>
      <c r="K1085" s="11">
        <v>1782.6480582336073</v>
      </c>
      <c r="L1085" s="12">
        <v>0</v>
      </c>
      <c r="M1085" s="12">
        <v>0</v>
      </c>
      <c r="N1085" s="12">
        <v>1782.6480582336073</v>
      </c>
      <c r="O1085" s="70">
        <f>IF(Table1[[#This Row],[Overall amount]]=0,0,1)</f>
        <v>1</v>
      </c>
      <c r="P1085" s="70">
        <f>Table1[[#This Row],[Overall amount]]*Exchange_Rate</f>
        <v>1782.6480582336073</v>
      </c>
      <c r="Q1085" s="70">
        <f>Table1[[#This Row],[Overall (destination currency)]]*(1+Claims_Inflation)^((Revalue_at_date-Table1[[#This Row],[Loss date]])/365.25)</f>
        <v>1991.3999999999999</v>
      </c>
      <c r="R1085" s="70">
        <f>INT(Table1[[#This Row],[Reporting date]])-INT(Table1[[#This Row],[Loss date]])</f>
        <v>11</v>
      </c>
      <c r="S1085" s="69" t="s">
        <v>9</v>
      </c>
      <c r="T1085" s="70">
        <f>VLOOKUP(Table1[[#This Row],[Policy Year]],exposure_table,3,FALSE)</f>
        <v>1090.5865384615383</v>
      </c>
      <c r="U1085" s="17">
        <f>IF(MONTH(Table1[[#This Row],[Reporting date]])&lt;Policy_Inception_Month,YEAR(Table1[[#This Row],[Reporting date]])-1,YEAR(Table1[[#This Row],[Reporting date]]))</f>
        <v>2013</v>
      </c>
      <c r="V1085" s="17">
        <f>Table1[[#This Row],[Reporting year]]-Table1[[#This Row],[Policy Year]]</f>
        <v>0</v>
      </c>
      <c r="W1085" s="17">
        <f>INT(Table1[[#This Row],[Reporting date]])-INT(Table1[[#This Row],[Loss date]])</f>
        <v>11</v>
      </c>
      <c r="X1085" s="17">
        <f>INT((YEAR(Table1[[#This Row],[Loss date]])*12+MONTH(Table1[[#This Row],[Loss date]])-Earliest_Month)/4)</f>
        <v>24</v>
      </c>
      <c r="Y1085" s="17">
        <f>INT((YEAR(Table1[[#This Row],[Reporting date]])*12+MONTH(Table1[[#This Row],[Reporting date]])-Earliest_Month)/4)</f>
        <v>24</v>
      </c>
      <c r="Z1085" s="17">
        <f>Table1[[#This Row],[Reporting third]]-Table1[[#This Row],[Policy third]]</f>
        <v>0</v>
      </c>
      <c r="AA1085" s="71">
        <f>IF(Table1[[#This Row],[Overall amount]]=0,"N/A",Table1[[#This Row],[Outstanding]]/Table1[[#This Row],[Overall amount]])</f>
        <v>0</v>
      </c>
      <c r="AB1085" s="17">
        <f>IF(MONTH(Table1[[#This Row],[Loss date]])&lt;Pol_Inc_Month_Shifted,YEAR(Table1[[#This Row],[Loss date]])-1,YEAR(Table1[[#This Row],[Loss date]]))</f>
        <v>2012</v>
      </c>
      <c r="AC1085" s="17">
        <f>IF(MONTH(Table1[[#This Row],[Reporting date]])&lt;Pol_Inc_Month_Shifted,YEAR(Table1[[#This Row],[Reporting date]])-1,YEAR(Table1[[#This Row],[Reporting date]]))</f>
        <v>2012</v>
      </c>
      <c r="AD1085" s="17">
        <f>Table1[[#This Row],[Reporting year (shifted)]]-Table1[[#This Row],[Policy Year (shifted)]]</f>
        <v>0</v>
      </c>
    </row>
    <row r="1086" spans="1:30" ht="13.9">
      <c r="A1086" s="8" t="s">
        <v>2856</v>
      </c>
      <c r="B1086" s="8" t="s">
        <v>1138</v>
      </c>
      <c r="C1086" s="8" t="s">
        <v>118</v>
      </c>
      <c r="D1086" s="9">
        <v>41030</v>
      </c>
      <c r="E1086" s="9">
        <v>41492</v>
      </c>
      <c r="F1086" s="17">
        <f>IF(MONTH(Table1[[#This Row],[Loss date]])&lt;Policy_Inception_Month,YEAR(Table1[[#This Row],[Loss date]])-1,YEAR(Table1[[#This Row],[Loss date]]))</f>
        <v>2012</v>
      </c>
      <c r="G1086" s="10" t="s">
        <v>129</v>
      </c>
      <c r="H1086" s="10" t="s">
        <v>2</v>
      </c>
      <c r="I1086" s="11">
        <v>0</v>
      </c>
      <c r="J1086" s="11">
        <v>0</v>
      </c>
      <c r="K1086" s="11">
        <v>0</v>
      </c>
      <c r="L1086" s="12">
        <v>0</v>
      </c>
      <c r="M1086" s="12">
        <v>0</v>
      </c>
      <c r="N1086" s="12">
        <v>0</v>
      </c>
      <c r="O1086" s="70">
        <f>IF(Table1[[#This Row],[Overall amount]]=0,0,1)</f>
        <v>0</v>
      </c>
      <c r="P1086" s="70">
        <f>Table1[[#This Row],[Overall amount]]*Exchange_Rate</f>
        <v>0</v>
      </c>
      <c r="Q1086" s="70">
        <f>Table1[[#This Row],[Overall (destination currency)]]*(1+Claims_Inflation)^((Revalue_at_date-Table1[[#This Row],[Loss date]])/365.25)</f>
        <v>0</v>
      </c>
      <c r="R1086" s="70">
        <f>INT(Table1[[#This Row],[Reporting date]])-INT(Table1[[#This Row],[Loss date]])</f>
        <v>462</v>
      </c>
      <c r="S1086" s="69" t="s">
        <v>9</v>
      </c>
      <c r="T1086" s="70">
        <f>VLOOKUP(Table1[[#This Row],[Policy Year]],exposure_table,3,FALSE)</f>
        <v>1057.54</v>
      </c>
      <c r="U1086" s="17">
        <f>IF(MONTH(Table1[[#This Row],[Reporting date]])&lt;Policy_Inception_Month,YEAR(Table1[[#This Row],[Reporting date]])-1,YEAR(Table1[[#This Row],[Reporting date]]))</f>
        <v>2013</v>
      </c>
      <c r="V1086" s="17">
        <f>Table1[[#This Row],[Reporting year]]-Table1[[#This Row],[Policy Year]]</f>
        <v>1</v>
      </c>
      <c r="W1086" s="17">
        <f>INT(Table1[[#This Row],[Reporting date]])-INT(Table1[[#This Row],[Loss date]])</f>
        <v>462</v>
      </c>
      <c r="X1086" s="17">
        <f>INT((YEAR(Table1[[#This Row],[Loss date]])*12+MONTH(Table1[[#This Row],[Loss date]])-Earliest_Month)/4)</f>
        <v>21</v>
      </c>
      <c r="Y1086" s="17">
        <f>INT((YEAR(Table1[[#This Row],[Reporting date]])*12+MONTH(Table1[[#This Row],[Reporting date]])-Earliest_Month)/4)</f>
        <v>25</v>
      </c>
      <c r="Z1086" s="17">
        <f>Table1[[#This Row],[Reporting third]]-Table1[[#This Row],[Policy third]]</f>
        <v>4</v>
      </c>
      <c r="AA1086" s="71" t="str">
        <f>IF(Table1[[#This Row],[Overall amount]]=0,"N/A",Table1[[#This Row],[Outstanding]]/Table1[[#This Row],[Overall amount]])</f>
        <v>N/A</v>
      </c>
      <c r="AB1086" s="17">
        <f>IF(MONTH(Table1[[#This Row],[Loss date]])&lt;Pol_Inc_Month_Shifted,YEAR(Table1[[#This Row],[Loss date]])-1,YEAR(Table1[[#This Row],[Loss date]]))</f>
        <v>2011</v>
      </c>
      <c r="AC1086" s="17">
        <f>IF(MONTH(Table1[[#This Row],[Reporting date]])&lt;Pol_Inc_Month_Shifted,YEAR(Table1[[#This Row],[Reporting date]])-1,YEAR(Table1[[#This Row],[Reporting date]]))</f>
        <v>2012</v>
      </c>
      <c r="AD1086" s="17">
        <f>Table1[[#This Row],[Reporting year (shifted)]]-Table1[[#This Row],[Policy Year (shifted)]]</f>
        <v>1</v>
      </c>
    </row>
    <row r="1087" spans="1:30" ht="13.9">
      <c r="A1087" s="8" t="s">
        <v>2857</v>
      </c>
      <c r="B1087" s="8" t="s">
        <v>1139</v>
      </c>
      <c r="C1087" s="8" t="s">
        <v>118</v>
      </c>
      <c r="D1087" s="9">
        <v>41538</v>
      </c>
      <c r="E1087" s="9">
        <v>41539</v>
      </c>
      <c r="F1087" s="17">
        <f>IF(MONTH(Table1[[#This Row],[Loss date]])&lt;Policy_Inception_Month,YEAR(Table1[[#This Row],[Loss date]])-1,YEAR(Table1[[#This Row],[Loss date]]))</f>
        <v>2013</v>
      </c>
      <c r="G1087" s="10" t="s">
        <v>129</v>
      </c>
      <c r="H1087" s="10" t="s">
        <v>2</v>
      </c>
      <c r="I1087" s="11">
        <v>0</v>
      </c>
      <c r="J1087" s="11">
        <v>0</v>
      </c>
      <c r="K1087" s="11">
        <v>0</v>
      </c>
      <c r="L1087" s="12">
        <v>0</v>
      </c>
      <c r="M1087" s="12">
        <v>0</v>
      </c>
      <c r="N1087" s="12">
        <v>0</v>
      </c>
      <c r="O1087" s="70">
        <f>IF(Table1[[#This Row],[Overall amount]]=0,0,1)</f>
        <v>0</v>
      </c>
      <c r="P1087" s="70">
        <f>Table1[[#This Row],[Overall amount]]*Exchange_Rate</f>
        <v>0</v>
      </c>
      <c r="Q1087" s="70">
        <f>Table1[[#This Row],[Overall (destination currency)]]*(1+Claims_Inflation)^((Revalue_at_date-Table1[[#This Row],[Loss date]])/365.25)</f>
        <v>0</v>
      </c>
      <c r="R1087" s="70">
        <f>INT(Table1[[#This Row],[Reporting date]])-INT(Table1[[#This Row],[Loss date]])</f>
        <v>1</v>
      </c>
      <c r="S1087" s="69" t="s">
        <v>9</v>
      </c>
      <c r="T1087" s="70">
        <f>VLOOKUP(Table1[[#This Row],[Policy Year]],exposure_table,3,FALSE)</f>
        <v>1090.5865384615383</v>
      </c>
      <c r="U1087" s="17">
        <f>IF(MONTH(Table1[[#This Row],[Reporting date]])&lt;Policy_Inception_Month,YEAR(Table1[[#This Row],[Reporting date]])-1,YEAR(Table1[[#This Row],[Reporting date]]))</f>
        <v>2013</v>
      </c>
      <c r="V1087" s="17">
        <f>Table1[[#This Row],[Reporting year]]-Table1[[#This Row],[Policy Year]]</f>
        <v>0</v>
      </c>
      <c r="W1087" s="17">
        <f>INT(Table1[[#This Row],[Reporting date]])-INT(Table1[[#This Row],[Loss date]])</f>
        <v>1</v>
      </c>
      <c r="X1087" s="17">
        <f>INT((YEAR(Table1[[#This Row],[Loss date]])*12+MONTH(Table1[[#This Row],[Loss date]])-Earliest_Month)/4)</f>
        <v>25</v>
      </c>
      <c r="Y1087" s="17">
        <f>INT((YEAR(Table1[[#This Row],[Reporting date]])*12+MONTH(Table1[[#This Row],[Reporting date]])-Earliest_Month)/4)</f>
        <v>25</v>
      </c>
      <c r="Z1087" s="17">
        <f>Table1[[#This Row],[Reporting third]]-Table1[[#This Row],[Policy third]]</f>
        <v>0</v>
      </c>
      <c r="AA1087" s="71" t="str">
        <f>IF(Table1[[#This Row],[Overall amount]]=0,"N/A",Table1[[#This Row],[Outstanding]]/Table1[[#This Row],[Overall amount]])</f>
        <v>N/A</v>
      </c>
      <c r="AB1087" s="17">
        <f>IF(MONTH(Table1[[#This Row],[Loss date]])&lt;Pol_Inc_Month_Shifted,YEAR(Table1[[#This Row],[Loss date]])-1,YEAR(Table1[[#This Row],[Loss date]]))</f>
        <v>2012</v>
      </c>
      <c r="AC1087" s="17">
        <f>IF(MONTH(Table1[[#This Row],[Reporting date]])&lt;Pol_Inc_Month_Shifted,YEAR(Table1[[#This Row],[Reporting date]])-1,YEAR(Table1[[#This Row],[Reporting date]]))</f>
        <v>2012</v>
      </c>
      <c r="AD1087" s="17">
        <f>Table1[[#This Row],[Reporting year (shifted)]]-Table1[[#This Row],[Policy Year (shifted)]]</f>
        <v>0</v>
      </c>
    </row>
    <row r="1088" spans="1:30" ht="13.9">
      <c r="A1088" s="8" t="s">
        <v>2858</v>
      </c>
      <c r="B1088" s="8" t="s">
        <v>1140</v>
      </c>
      <c r="C1088" s="8" t="s">
        <v>118</v>
      </c>
      <c r="D1088" s="9">
        <v>41133</v>
      </c>
      <c r="E1088" s="9">
        <v>41216</v>
      </c>
      <c r="F1088" s="17">
        <f>IF(MONTH(Table1[[#This Row],[Loss date]])&lt;Policy_Inception_Month,YEAR(Table1[[#This Row],[Loss date]])-1,YEAR(Table1[[#This Row],[Loss date]]))</f>
        <v>2012</v>
      </c>
      <c r="G1088" s="10" t="s">
        <v>129</v>
      </c>
      <c r="H1088" s="10" t="s">
        <v>2</v>
      </c>
      <c r="I1088" s="11">
        <v>1095.7155617340441</v>
      </c>
      <c r="J1088" s="11">
        <v>0</v>
      </c>
      <c r="K1088" s="11">
        <v>1095.7155617340441</v>
      </c>
      <c r="L1088" s="12">
        <v>0</v>
      </c>
      <c r="M1088" s="12">
        <v>0</v>
      </c>
      <c r="N1088" s="12">
        <v>1095.7155617340441</v>
      </c>
      <c r="O1088" s="70">
        <f>IF(Table1[[#This Row],[Overall amount]]=0,0,1)</f>
        <v>1</v>
      </c>
      <c r="P1088" s="70">
        <f>Table1[[#This Row],[Overall amount]]*Exchange_Rate</f>
        <v>1095.7155617340441</v>
      </c>
      <c r="Q1088" s="70">
        <f>Table1[[#This Row],[Overall (destination currency)]]*(1+Claims_Inflation)^((Revalue_at_date-Table1[[#This Row],[Loss date]])/365.25)</f>
        <v>1276.8</v>
      </c>
      <c r="R1088" s="70">
        <f>INT(Table1[[#This Row],[Reporting date]])-INT(Table1[[#This Row],[Loss date]])</f>
        <v>83</v>
      </c>
      <c r="S1088" s="69" t="s">
        <v>9</v>
      </c>
      <c r="T1088" s="70">
        <f>VLOOKUP(Table1[[#This Row],[Policy Year]],exposure_table,3,FALSE)</f>
        <v>1057.54</v>
      </c>
      <c r="U1088" s="17">
        <f>IF(MONTH(Table1[[#This Row],[Reporting date]])&lt;Policy_Inception_Month,YEAR(Table1[[#This Row],[Reporting date]])-1,YEAR(Table1[[#This Row],[Reporting date]]))</f>
        <v>2012</v>
      </c>
      <c r="V1088" s="17">
        <f>Table1[[#This Row],[Reporting year]]-Table1[[#This Row],[Policy Year]]</f>
        <v>0</v>
      </c>
      <c r="W1088" s="17">
        <f>INT(Table1[[#This Row],[Reporting date]])-INT(Table1[[#This Row],[Loss date]])</f>
        <v>83</v>
      </c>
      <c r="X1088" s="17">
        <f>INT((YEAR(Table1[[#This Row],[Loss date]])*12+MONTH(Table1[[#This Row],[Loss date]])-Earliest_Month)/4)</f>
        <v>22</v>
      </c>
      <c r="Y1088" s="17">
        <f>INT((YEAR(Table1[[#This Row],[Reporting date]])*12+MONTH(Table1[[#This Row],[Reporting date]])-Earliest_Month)/4)</f>
        <v>22</v>
      </c>
      <c r="Z1088" s="17">
        <f>Table1[[#This Row],[Reporting third]]-Table1[[#This Row],[Policy third]]</f>
        <v>0</v>
      </c>
      <c r="AA1088" s="71">
        <f>IF(Table1[[#This Row],[Overall amount]]=0,"N/A",Table1[[#This Row],[Outstanding]]/Table1[[#This Row],[Overall amount]])</f>
        <v>0</v>
      </c>
      <c r="AB1088" s="17">
        <f>IF(MONTH(Table1[[#This Row],[Loss date]])&lt;Pol_Inc_Month_Shifted,YEAR(Table1[[#This Row],[Loss date]])-1,YEAR(Table1[[#This Row],[Loss date]]))</f>
        <v>2011</v>
      </c>
      <c r="AC1088" s="17">
        <f>IF(MONTH(Table1[[#This Row],[Reporting date]])&lt;Pol_Inc_Month_Shifted,YEAR(Table1[[#This Row],[Reporting date]])-1,YEAR(Table1[[#This Row],[Reporting date]]))</f>
        <v>2011</v>
      </c>
      <c r="AD1088" s="17">
        <f>Table1[[#This Row],[Reporting year (shifted)]]-Table1[[#This Row],[Policy Year (shifted)]]</f>
        <v>0</v>
      </c>
    </row>
    <row r="1089" spans="1:30" ht="13.9">
      <c r="A1089" s="8" t="s">
        <v>2859</v>
      </c>
      <c r="B1089" s="8" t="s">
        <v>1141</v>
      </c>
      <c r="C1089" s="8" t="s">
        <v>118</v>
      </c>
      <c r="D1089" s="9">
        <v>41264</v>
      </c>
      <c r="E1089" s="9">
        <v>41285</v>
      </c>
      <c r="F1089" s="17">
        <f>IF(MONTH(Table1[[#This Row],[Loss date]])&lt;Policy_Inception_Month,YEAR(Table1[[#This Row],[Loss date]])-1,YEAR(Table1[[#This Row],[Loss date]]))</f>
        <v>2012</v>
      </c>
      <c r="G1089" s="10" t="s">
        <v>129</v>
      </c>
      <c r="H1089" s="10" t="s">
        <v>2</v>
      </c>
      <c r="I1089" s="11">
        <v>0</v>
      </c>
      <c r="J1089" s="11">
        <v>0</v>
      </c>
      <c r="K1089" s="11">
        <v>0</v>
      </c>
      <c r="L1089" s="12">
        <v>314.39611997212359</v>
      </c>
      <c r="M1089" s="12">
        <v>0</v>
      </c>
      <c r="N1089" s="12">
        <v>314.39611997212359</v>
      </c>
      <c r="O1089" s="70">
        <f>IF(Table1[[#This Row],[Overall amount]]=0,0,1)</f>
        <v>1</v>
      </c>
      <c r="P1089" s="70">
        <f>Table1[[#This Row],[Overall amount]]*Exchange_Rate</f>
        <v>314.39611997212359</v>
      </c>
      <c r="Q1089" s="70">
        <f>Table1[[#This Row],[Overall (destination currency)]]*(1+Claims_Inflation)^((Revalue_at_date-Table1[[#This Row],[Loss date]])/365.25)</f>
        <v>360</v>
      </c>
      <c r="R1089" s="70">
        <f>INT(Table1[[#This Row],[Reporting date]])-INT(Table1[[#This Row],[Loss date]])</f>
        <v>21</v>
      </c>
      <c r="S1089" s="69" t="s">
        <v>9</v>
      </c>
      <c r="T1089" s="70">
        <f>VLOOKUP(Table1[[#This Row],[Policy Year]],exposure_table,3,FALSE)</f>
        <v>1057.54</v>
      </c>
      <c r="U1089" s="17">
        <f>IF(MONTH(Table1[[#This Row],[Reporting date]])&lt;Policy_Inception_Month,YEAR(Table1[[#This Row],[Reporting date]])-1,YEAR(Table1[[#This Row],[Reporting date]]))</f>
        <v>2012</v>
      </c>
      <c r="V1089" s="17">
        <f>Table1[[#This Row],[Reporting year]]-Table1[[#This Row],[Policy Year]]</f>
        <v>0</v>
      </c>
      <c r="W1089" s="17">
        <f>INT(Table1[[#This Row],[Reporting date]])-INT(Table1[[#This Row],[Loss date]])</f>
        <v>21</v>
      </c>
      <c r="X1089" s="17">
        <f>INT((YEAR(Table1[[#This Row],[Loss date]])*12+MONTH(Table1[[#This Row],[Loss date]])-Earliest_Month)/4)</f>
        <v>23</v>
      </c>
      <c r="Y1089" s="17">
        <f>INT((YEAR(Table1[[#This Row],[Reporting date]])*12+MONTH(Table1[[#This Row],[Reporting date]])-Earliest_Month)/4)</f>
        <v>23</v>
      </c>
      <c r="Z1089" s="17">
        <f>Table1[[#This Row],[Reporting third]]-Table1[[#This Row],[Policy third]]</f>
        <v>0</v>
      </c>
      <c r="AA1089" s="71">
        <f>IF(Table1[[#This Row],[Overall amount]]=0,"N/A",Table1[[#This Row],[Outstanding]]/Table1[[#This Row],[Overall amount]])</f>
        <v>0</v>
      </c>
      <c r="AB1089" s="17">
        <f>IF(MONTH(Table1[[#This Row],[Loss date]])&lt;Pol_Inc_Month_Shifted,YEAR(Table1[[#This Row],[Loss date]])-1,YEAR(Table1[[#This Row],[Loss date]]))</f>
        <v>2012</v>
      </c>
      <c r="AC1089" s="17">
        <f>IF(MONTH(Table1[[#This Row],[Reporting date]])&lt;Pol_Inc_Month_Shifted,YEAR(Table1[[#This Row],[Reporting date]])-1,YEAR(Table1[[#This Row],[Reporting date]]))</f>
        <v>2012</v>
      </c>
      <c r="AD1089" s="17">
        <f>Table1[[#This Row],[Reporting year (shifted)]]-Table1[[#This Row],[Policy Year (shifted)]]</f>
        <v>0</v>
      </c>
    </row>
    <row r="1090" spans="1:30" ht="13.9">
      <c r="A1090" s="8" t="s">
        <v>2860</v>
      </c>
      <c r="B1090" s="8" t="s">
        <v>1142</v>
      </c>
      <c r="C1090" s="8" t="s">
        <v>118</v>
      </c>
      <c r="D1090" s="9">
        <v>41351</v>
      </c>
      <c r="E1090" s="9">
        <v>41373</v>
      </c>
      <c r="F1090" s="17">
        <f>IF(MONTH(Table1[[#This Row],[Loss date]])&lt;Policy_Inception_Month,YEAR(Table1[[#This Row],[Loss date]])-1,YEAR(Table1[[#This Row],[Loss date]]))</f>
        <v>2012</v>
      </c>
      <c r="G1090" s="10" t="s">
        <v>124</v>
      </c>
      <c r="H1090" s="10" t="s">
        <v>2</v>
      </c>
      <c r="I1090" s="11">
        <v>0</v>
      </c>
      <c r="J1090" s="11">
        <v>0</v>
      </c>
      <c r="K1090" s="11">
        <v>0</v>
      </c>
      <c r="L1090" s="12">
        <v>636.14236107410852</v>
      </c>
      <c r="M1090" s="12">
        <v>0</v>
      </c>
      <c r="N1090" s="12">
        <v>636.14236107410852</v>
      </c>
      <c r="O1090" s="70">
        <f>IF(Table1[[#This Row],[Overall amount]]=0,0,1)</f>
        <v>1</v>
      </c>
      <c r="P1090" s="70">
        <f>Table1[[#This Row],[Overall amount]]*Exchange_Rate</f>
        <v>636.14236107410852</v>
      </c>
      <c r="Q1090" s="70">
        <f>Table1[[#This Row],[Overall (destination currency)]]*(1+Claims_Inflation)^((Revalue_at_date-Table1[[#This Row],[Loss date]])/365.25)</f>
        <v>720</v>
      </c>
      <c r="R1090" s="70">
        <f>INT(Table1[[#This Row],[Reporting date]])-INT(Table1[[#This Row],[Loss date]])</f>
        <v>22</v>
      </c>
      <c r="S1090" s="69" t="s">
        <v>9</v>
      </c>
      <c r="T1090" s="70">
        <f>VLOOKUP(Table1[[#This Row],[Policy Year]],exposure_table,3,FALSE)</f>
        <v>1057.54</v>
      </c>
      <c r="U1090" s="17">
        <f>IF(MONTH(Table1[[#This Row],[Reporting date]])&lt;Policy_Inception_Month,YEAR(Table1[[#This Row],[Reporting date]])-1,YEAR(Table1[[#This Row],[Reporting date]]))</f>
        <v>2013</v>
      </c>
      <c r="V1090" s="17">
        <f>Table1[[#This Row],[Reporting year]]-Table1[[#This Row],[Policy Year]]</f>
        <v>1</v>
      </c>
      <c r="W1090" s="17">
        <f>INT(Table1[[#This Row],[Reporting date]])-INT(Table1[[#This Row],[Loss date]])</f>
        <v>22</v>
      </c>
      <c r="X1090" s="17">
        <f>INT((YEAR(Table1[[#This Row],[Loss date]])*12+MONTH(Table1[[#This Row],[Loss date]])-Earliest_Month)/4)</f>
        <v>23</v>
      </c>
      <c r="Y1090" s="17">
        <f>INT((YEAR(Table1[[#This Row],[Reporting date]])*12+MONTH(Table1[[#This Row],[Reporting date]])-Earliest_Month)/4)</f>
        <v>24</v>
      </c>
      <c r="Z1090" s="17">
        <f>Table1[[#This Row],[Reporting third]]-Table1[[#This Row],[Policy third]]</f>
        <v>1</v>
      </c>
      <c r="AA1090" s="71">
        <f>IF(Table1[[#This Row],[Overall amount]]=0,"N/A",Table1[[#This Row],[Outstanding]]/Table1[[#This Row],[Overall amount]])</f>
        <v>0</v>
      </c>
      <c r="AB1090" s="17">
        <f>IF(MONTH(Table1[[#This Row],[Loss date]])&lt;Pol_Inc_Month_Shifted,YEAR(Table1[[#This Row],[Loss date]])-1,YEAR(Table1[[#This Row],[Loss date]]))</f>
        <v>2012</v>
      </c>
      <c r="AC1090" s="17">
        <f>IF(MONTH(Table1[[#This Row],[Reporting date]])&lt;Pol_Inc_Month_Shifted,YEAR(Table1[[#This Row],[Reporting date]])-1,YEAR(Table1[[#This Row],[Reporting date]]))</f>
        <v>2012</v>
      </c>
      <c r="AD1090" s="17">
        <f>Table1[[#This Row],[Reporting year (shifted)]]-Table1[[#This Row],[Policy Year (shifted)]]</f>
        <v>0</v>
      </c>
    </row>
    <row r="1091" spans="1:30" ht="13.9">
      <c r="A1091" s="8" t="s">
        <v>2861</v>
      </c>
      <c r="B1091" s="8" t="s">
        <v>1143</v>
      </c>
      <c r="C1091" s="8" t="s">
        <v>118</v>
      </c>
      <c r="D1091" s="9">
        <v>41365</v>
      </c>
      <c r="E1091" s="9">
        <v>41371</v>
      </c>
      <c r="F1091" s="17">
        <f>IF(MONTH(Table1[[#This Row],[Loss date]])&lt;Policy_Inception_Month,YEAR(Table1[[#This Row],[Loss date]])-1,YEAR(Table1[[#This Row],[Loss date]]))</f>
        <v>2013</v>
      </c>
      <c r="G1091" s="10" t="s">
        <v>129</v>
      </c>
      <c r="H1091" s="10" t="s">
        <v>2</v>
      </c>
      <c r="I1091" s="11">
        <v>0</v>
      </c>
      <c r="J1091" s="11">
        <v>0</v>
      </c>
      <c r="K1091" s="11">
        <v>0</v>
      </c>
      <c r="L1091" s="12">
        <v>0</v>
      </c>
      <c r="M1091" s="12">
        <v>0</v>
      </c>
      <c r="N1091" s="12">
        <v>0</v>
      </c>
      <c r="O1091" s="70">
        <f>IF(Table1[[#This Row],[Overall amount]]=0,0,1)</f>
        <v>0</v>
      </c>
      <c r="P1091" s="70">
        <f>Table1[[#This Row],[Overall amount]]*Exchange_Rate</f>
        <v>0</v>
      </c>
      <c r="Q1091" s="70">
        <f>Table1[[#This Row],[Overall (destination currency)]]*(1+Claims_Inflation)^((Revalue_at_date-Table1[[#This Row],[Loss date]])/365.25)</f>
        <v>0</v>
      </c>
      <c r="R1091" s="70">
        <f>INT(Table1[[#This Row],[Reporting date]])-INT(Table1[[#This Row],[Loss date]])</f>
        <v>6</v>
      </c>
      <c r="S1091" s="69" t="s">
        <v>9</v>
      </c>
      <c r="T1091" s="70">
        <f>VLOOKUP(Table1[[#This Row],[Policy Year]],exposure_table,3,FALSE)</f>
        <v>1090.5865384615383</v>
      </c>
      <c r="U1091" s="17">
        <f>IF(MONTH(Table1[[#This Row],[Reporting date]])&lt;Policy_Inception_Month,YEAR(Table1[[#This Row],[Reporting date]])-1,YEAR(Table1[[#This Row],[Reporting date]]))</f>
        <v>2013</v>
      </c>
      <c r="V1091" s="17">
        <f>Table1[[#This Row],[Reporting year]]-Table1[[#This Row],[Policy Year]]</f>
        <v>0</v>
      </c>
      <c r="W1091" s="17">
        <f>INT(Table1[[#This Row],[Reporting date]])-INT(Table1[[#This Row],[Loss date]])</f>
        <v>6</v>
      </c>
      <c r="X1091" s="17">
        <f>INT((YEAR(Table1[[#This Row],[Loss date]])*12+MONTH(Table1[[#This Row],[Loss date]])-Earliest_Month)/4)</f>
        <v>24</v>
      </c>
      <c r="Y1091" s="17">
        <f>INT((YEAR(Table1[[#This Row],[Reporting date]])*12+MONTH(Table1[[#This Row],[Reporting date]])-Earliest_Month)/4)</f>
        <v>24</v>
      </c>
      <c r="Z1091" s="17">
        <f>Table1[[#This Row],[Reporting third]]-Table1[[#This Row],[Policy third]]</f>
        <v>0</v>
      </c>
      <c r="AA1091" s="71" t="str">
        <f>IF(Table1[[#This Row],[Overall amount]]=0,"N/A",Table1[[#This Row],[Outstanding]]/Table1[[#This Row],[Overall amount]])</f>
        <v>N/A</v>
      </c>
      <c r="AB1091" s="17">
        <f>IF(MONTH(Table1[[#This Row],[Loss date]])&lt;Pol_Inc_Month_Shifted,YEAR(Table1[[#This Row],[Loss date]])-1,YEAR(Table1[[#This Row],[Loss date]]))</f>
        <v>2012</v>
      </c>
      <c r="AC1091" s="17">
        <f>IF(MONTH(Table1[[#This Row],[Reporting date]])&lt;Pol_Inc_Month_Shifted,YEAR(Table1[[#This Row],[Reporting date]])-1,YEAR(Table1[[#This Row],[Reporting date]]))</f>
        <v>2012</v>
      </c>
      <c r="AD1091" s="17">
        <f>Table1[[#This Row],[Reporting year (shifted)]]-Table1[[#This Row],[Policy Year (shifted)]]</f>
        <v>0</v>
      </c>
    </row>
    <row r="1092" spans="1:30" ht="13.9">
      <c r="A1092" s="8" t="s">
        <v>2862</v>
      </c>
      <c r="B1092" s="8" t="s">
        <v>1144</v>
      </c>
      <c r="C1092" s="8" t="s">
        <v>118</v>
      </c>
      <c r="D1092" s="9">
        <v>41533</v>
      </c>
      <c r="E1092" s="9">
        <v>41534</v>
      </c>
      <c r="F1092" s="17">
        <f>IF(MONTH(Table1[[#This Row],[Loss date]])&lt;Policy_Inception_Month,YEAR(Table1[[#This Row],[Loss date]])-1,YEAR(Table1[[#This Row],[Loss date]]))</f>
        <v>2013</v>
      </c>
      <c r="G1092" s="10" t="s">
        <v>129</v>
      </c>
      <c r="H1092" s="10" t="s">
        <v>2</v>
      </c>
      <c r="I1092" s="11">
        <v>897.85109221931202</v>
      </c>
      <c r="J1092" s="11">
        <v>5589.7069510156934</v>
      </c>
      <c r="K1092" s="11">
        <v>6487.5580432350052</v>
      </c>
      <c r="L1092" s="12">
        <v>0</v>
      </c>
      <c r="M1092" s="12">
        <v>0</v>
      </c>
      <c r="N1092" s="12">
        <v>6487.5580432350052</v>
      </c>
      <c r="O1092" s="70">
        <f>IF(Table1[[#This Row],[Overall amount]]=0,0,1)</f>
        <v>1</v>
      </c>
      <c r="P1092" s="70">
        <f>Table1[[#This Row],[Overall amount]]*Exchange_Rate</f>
        <v>6487.5580432350052</v>
      </c>
      <c r="Q1092" s="70">
        <f>Table1[[#This Row],[Overall (destination currency)]]*(1+Claims_Inflation)^((Revalue_at_date-Table1[[#This Row],[Loss date]])/365.25)</f>
        <v>7166.4</v>
      </c>
      <c r="R1092" s="70">
        <f>INT(Table1[[#This Row],[Reporting date]])-INT(Table1[[#This Row],[Loss date]])</f>
        <v>1</v>
      </c>
      <c r="S1092" s="69" t="s">
        <v>16</v>
      </c>
      <c r="T1092" s="70">
        <f>VLOOKUP(Table1[[#This Row],[Policy Year]],exposure_table,3,FALSE)</f>
        <v>1090.5865384615383</v>
      </c>
      <c r="U1092" s="17">
        <f>IF(MONTH(Table1[[#This Row],[Reporting date]])&lt;Policy_Inception_Month,YEAR(Table1[[#This Row],[Reporting date]])-1,YEAR(Table1[[#This Row],[Reporting date]]))</f>
        <v>2013</v>
      </c>
      <c r="V1092" s="17">
        <f>Table1[[#This Row],[Reporting year]]-Table1[[#This Row],[Policy Year]]</f>
        <v>0</v>
      </c>
      <c r="W1092" s="17">
        <f>INT(Table1[[#This Row],[Reporting date]])-INT(Table1[[#This Row],[Loss date]])</f>
        <v>1</v>
      </c>
      <c r="X1092" s="17">
        <f>INT((YEAR(Table1[[#This Row],[Loss date]])*12+MONTH(Table1[[#This Row],[Loss date]])-Earliest_Month)/4)</f>
        <v>25</v>
      </c>
      <c r="Y1092" s="17">
        <f>INT((YEAR(Table1[[#This Row],[Reporting date]])*12+MONTH(Table1[[#This Row],[Reporting date]])-Earliest_Month)/4)</f>
        <v>25</v>
      </c>
      <c r="Z1092" s="17">
        <f>Table1[[#This Row],[Reporting third]]-Table1[[#This Row],[Policy third]]</f>
        <v>0</v>
      </c>
      <c r="AA1092" s="71">
        <f>IF(Table1[[#This Row],[Overall amount]]=0,"N/A",Table1[[#This Row],[Outstanding]]/Table1[[#This Row],[Overall amount]])</f>
        <v>0.86160415271265911</v>
      </c>
      <c r="AB1092" s="17">
        <f>IF(MONTH(Table1[[#This Row],[Loss date]])&lt;Pol_Inc_Month_Shifted,YEAR(Table1[[#This Row],[Loss date]])-1,YEAR(Table1[[#This Row],[Loss date]]))</f>
        <v>2012</v>
      </c>
      <c r="AC1092" s="17">
        <f>IF(MONTH(Table1[[#This Row],[Reporting date]])&lt;Pol_Inc_Month_Shifted,YEAR(Table1[[#This Row],[Reporting date]])-1,YEAR(Table1[[#This Row],[Reporting date]]))</f>
        <v>2012</v>
      </c>
      <c r="AD1092" s="17">
        <f>Table1[[#This Row],[Reporting year (shifted)]]-Table1[[#This Row],[Policy Year (shifted)]]</f>
        <v>0</v>
      </c>
    </row>
    <row r="1093" spans="1:30" ht="13.9">
      <c r="A1093" s="8" t="s">
        <v>2863</v>
      </c>
      <c r="B1093" s="8" t="s">
        <v>1145</v>
      </c>
      <c r="C1093" s="8" t="s">
        <v>118</v>
      </c>
      <c r="D1093" s="9">
        <v>41559</v>
      </c>
      <c r="E1093" s="9">
        <v>41561</v>
      </c>
      <c r="F1093" s="17">
        <f>IF(MONTH(Table1[[#This Row],[Loss date]])&lt;Policy_Inception_Month,YEAR(Table1[[#This Row],[Loss date]])-1,YEAR(Table1[[#This Row],[Loss date]]))</f>
        <v>2013</v>
      </c>
      <c r="G1093" s="10" t="s">
        <v>129</v>
      </c>
      <c r="H1093" s="10" t="s">
        <v>2</v>
      </c>
      <c r="I1093" s="11">
        <v>0</v>
      </c>
      <c r="J1093" s="11">
        <v>0</v>
      </c>
      <c r="K1093" s="11">
        <v>0</v>
      </c>
      <c r="L1093" s="12">
        <v>327.03260496153928</v>
      </c>
      <c r="M1093" s="12">
        <v>0</v>
      </c>
      <c r="N1093" s="12">
        <v>327.03260496153928</v>
      </c>
      <c r="O1093" s="70">
        <f>IF(Table1[[#This Row],[Overall amount]]=0,0,1)</f>
        <v>1</v>
      </c>
      <c r="P1093" s="70">
        <f>Table1[[#This Row],[Overall amount]]*Exchange_Rate</f>
        <v>327.03260496153928</v>
      </c>
      <c r="Q1093" s="70">
        <f>Table1[[#This Row],[Overall (destination currency)]]*(1+Claims_Inflation)^((Revalue_at_date-Table1[[#This Row],[Loss date]])/365.25)</f>
        <v>360</v>
      </c>
      <c r="R1093" s="70">
        <f>INT(Table1[[#This Row],[Reporting date]])-INT(Table1[[#This Row],[Loss date]])</f>
        <v>2</v>
      </c>
      <c r="S1093" s="69" t="s">
        <v>9</v>
      </c>
      <c r="T1093" s="70">
        <f>VLOOKUP(Table1[[#This Row],[Policy Year]],exposure_table,3,FALSE)</f>
        <v>1090.5865384615383</v>
      </c>
      <c r="U1093" s="17">
        <f>IF(MONTH(Table1[[#This Row],[Reporting date]])&lt;Policy_Inception_Month,YEAR(Table1[[#This Row],[Reporting date]])-1,YEAR(Table1[[#This Row],[Reporting date]]))</f>
        <v>2013</v>
      </c>
      <c r="V1093" s="17">
        <f>Table1[[#This Row],[Reporting year]]-Table1[[#This Row],[Policy Year]]</f>
        <v>0</v>
      </c>
      <c r="W1093" s="17">
        <f>INT(Table1[[#This Row],[Reporting date]])-INT(Table1[[#This Row],[Loss date]])</f>
        <v>2</v>
      </c>
      <c r="X1093" s="17">
        <f>INT((YEAR(Table1[[#This Row],[Loss date]])*12+MONTH(Table1[[#This Row],[Loss date]])-Earliest_Month)/4)</f>
        <v>25</v>
      </c>
      <c r="Y1093" s="17">
        <f>INT((YEAR(Table1[[#This Row],[Reporting date]])*12+MONTH(Table1[[#This Row],[Reporting date]])-Earliest_Month)/4)</f>
        <v>25</v>
      </c>
      <c r="Z1093" s="17">
        <f>Table1[[#This Row],[Reporting third]]-Table1[[#This Row],[Policy third]]</f>
        <v>0</v>
      </c>
      <c r="AA1093" s="71">
        <f>IF(Table1[[#This Row],[Overall amount]]=0,"N/A",Table1[[#This Row],[Outstanding]]/Table1[[#This Row],[Overall amount]])</f>
        <v>0</v>
      </c>
      <c r="AB1093" s="17">
        <f>IF(MONTH(Table1[[#This Row],[Loss date]])&lt;Pol_Inc_Month_Shifted,YEAR(Table1[[#This Row],[Loss date]])-1,YEAR(Table1[[#This Row],[Loss date]]))</f>
        <v>2012</v>
      </c>
      <c r="AC1093" s="17">
        <f>IF(MONTH(Table1[[#This Row],[Reporting date]])&lt;Pol_Inc_Month_Shifted,YEAR(Table1[[#This Row],[Reporting date]])-1,YEAR(Table1[[#This Row],[Reporting date]]))</f>
        <v>2012</v>
      </c>
      <c r="AD1093" s="17">
        <f>Table1[[#This Row],[Reporting year (shifted)]]-Table1[[#This Row],[Policy Year (shifted)]]</f>
        <v>0</v>
      </c>
    </row>
    <row r="1094" spans="1:30" ht="13.9">
      <c r="A1094" s="8" t="s">
        <v>2864</v>
      </c>
      <c r="B1094" s="8" t="s">
        <v>1146</v>
      </c>
      <c r="C1094" s="8" t="s">
        <v>118</v>
      </c>
      <c r="D1094" s="9">
        <v>41563</v>
      </c>
      <c r="E1094" s="9">
        <v>41565</v>
      </c>
      <c r="F1094" s="17">
        <f>IF(MONTH(Table1[[#This Row],[Loss date]])&lt;Policy_Inception_Month,YEAR(Table1[[#This Row],[Loss date]])-1,YEAR(Table1[[#This Row],[Loss date]]))</f>
        <v>2013</v>
      </c>
      <c r="G1094" s="10" t="s">
        <v>129</v>
      </c>
      <c r="H1094" s="10" t="s">
        <v>2</v>
      </c>
      <c r="I1094" s="11">
        <v>0</v>
      </c>
      <c r="J1094" s="11">
        <v>0</v>
      </c>
      <c r="K1094" s="11">
        <v>0</v>
      </c>
      <c r="L1094" s="12">
        <v>327.20739196275332</v>
      </c>
      <c r="M1094" s="12">
        <v>0</v>
      </c>
      <c r="N1094" s="12">
        <v>327.20739196275332</v>
      </c>
      <c r="O1094" s="70">
        <f>IF(Table1[[#This Row],[Overall amount]]=0,0,1)</f>
        <v>1</v>
      </c>
      <c r="P1094" s="70">
        <f>Table1[[#This Row],[Overall amount]]*Exchange_Rate</f>
        <v>327.20739196275332</v>
      </c>
      <c r="Q1094" s="70">
        <f>Table1[[#This Row],[Overall (destination currency)]]*(1+Claims_Inflation)^((Revalue_at_date-Table1[[#This Row],[Loss date]])/365.25)</f>
        <v>360</v>
      </c>
      <c r="R1094" s="70">
        <f>INT(Table1[[#This Row],[Reporting date]])-INT(Table1[[#This Row],[Loss date]])</f>
        <v>2</v>
      </c>
      <c r="S1094" s="69" t="s">
        <v>9</v>
      </c>
      <c r="T1094" s="70">
        <f>VLOOKUP(Table1[[#This Row],[Policy Year]],exposure_table,3,FALSE)</f>
        <v>1090.5865384615383</v>
      </c>
      <c r="U1094" s="17">
        <f>IF(MONTH(Table1[[#This Row],[Reporting date]])&lt;Policy_Inception_Month,YEAR(Table1[[#This Row],[Reporting date]])-1,YEAR(Table1[[#This Row],[Reporting date]]))</f>
        <v>2013</v>
      </c>
      <c r="V1094" s="17">
        <f>Table1[[#This Row],[Reporting year]]-Table1[[#This Row],[Policy Year]]</f>
        <v>0</v>
      </c>
      <c r="W1094" s="17">
        <f>INT(Table1[[#This Row],[Reporting date]])-INT(Table1[[#This Row],[Loss date]])</f>
        <v>2</v>
      </c>
      <c r="X1094" s="17">
        <f>INT((YEAR(Table1[[#This Row],[Loss date]])*12+MONTH(Table1[[#This Row],[Loss date]])-Earliest_Month)/4)</f>
        <v>25</v>
      </c>
      <c r="Y1094" s="17">
        <f>INT((YEAR(Table1[[#This Row],[Reporting date]])*12+MONTH(Table1[[#This Row],[Reporting date]])-Earliest_Month)/4)</f>
        <v>25</v>
      </c>
      <c r="Z1094" s="17">
        <f>Table1[[#This Row],[Reporting third]]-Table1[[#This Row],[Policy third]]</f>
        <v>0</v>
      </c>
      <c r="AA1094" s="71">
        <f>IF(Table1[[#This Row],[Overall amount]]=0,"N/A",Table1[[#This Row],[Outstanding]]/Table1[[#This Row],[Overall amount]])</f>
        <v>0</v>
      </c>
      <c r="AB1094" s="17">
        <f>IF(MONTH(Table1[[#This Row],[Loss date]])&lt;Pol_Inc_Month_Shifted,YEAR(Table1[[#This Row],[Loss date]])-1,YEAR(Table1[[#This Row],[Loss date]]))</f>
        <v>2012</v>
      </c>
      <c r="AC1094" s="17">
        <f>IF(MONTH(Table1[[#This Row],[Reporting date]])&lt;Pol_Inc_Month_Shifted,YEAR(Table1[[#This Row],[Reporting date]])-1,YEAR(Table1[[#This Row],[Reporting date]]))</f>
        <v>2012</v>
      </c>
      <c r="AD1094" s="17">
        <f>Table1[[#This Row],[Reporting year (shifted)]]-Table1[[#This Row],[Policy Year (shifted)]]</f>
        <v>0</v>
      </c>
    </row>
    <row r="1095" spans="1:30" ht="13.9">
      <c r="A1095" s="8" t="s">
        <v>2865</v>
      </c>
      <c r="B1095" s="8" t="s">
        <v>1147</v>
      </c>
      <c r="C1095" s="8" t="s">
        <v>118</v>
      </c>
      <c r="D1095" s="9">
        <v>41391</v>
      </c>
      <c r="E1095" s="9">
        <v>41617</v>
      </c>
      <c r="F1095" s="17">
        <f>IF(MONTH(Table1[[#This Row],[Loss date]])&lt;Policy_Inception_Month,YEAR(Table1[[#This Row],[Loss date]])-1,YEAR(Table1[[#This Row],[Loss date]]))</f>
        <v>2013</v>
      </c>
      <c r="G1095" s="10" t="s">
        <v>129</v>
      </c>
      <c r="H1095" s="10" t="s">
        <v>2</v>
      </c>
      <c r="I1095" s="11">
        <v>1319.0729038613681</v>
      </c>
      <c r="J1095" s="11">
        <v>0</v>
      </c>
      <c r="K1095" s="11">
        <v>1319.0729038613681</v>
      </c>
      <c r="L1095" s="12">
        <v>0</v>
      </c>
      <c r="M1095" s="12">
        <v>0</v>
      </c>
      <c r="N1095" s="12">
        <v>1319.0729038613681</v>
      </c>
      <c r="O1095" s="70">
        <f>IF(Table1[[#This Row],[Overall amount]]=0,0,1)</f>
        <v>1</v>
      </c>
      <c r="P1095" s="70">
        <f>Table1[[#This Row],[Overall amount]]*Exchange_Rate</f>
        <v>1319.0729038613681</v>
      </c>
      <c r="Q1095" s="70">
        <f>Table1[[#This Row],[Overall (destination currency)]]*(1+Claims_Inflation)^((Revalue_at_date-Table1[[#This Row],[Loss date]])/365.25)</f>
        <v>1485</v>
      </c>
      <c r="R1095" s="70">
        <f>INT(Table1[[#This Row],[Reporting date]])-INT(Table1[[#This Row],[Loss date]])</f>
        <v>226</v>
      </c>
      <c r="S1095" s="69" t="s">
        <v>9</v>
      </c>
      <c r="T1095" s="70">
        <f>VLOOKUP(Table1[[#This Row],[Policy Year]],exposure_table,3,FALSE)</f>
        <v>1090.5865384615383</v>
      </c>
      <c r="U1095" s="17">
        <f>IF(MONTH(Table1[[#This Row],[Reporting date]])&lt;Policy_Inception_Month,YEAR(Table1[[#This Row],[Reporting date]])-1,YEAR(Table1[[#This Row],[Reporting date]]))</f>
        <v>2013</v>
      </c>
      <c r="V1095" s="17">
        <f>Table1[[#This Row],[Reporting year]]-Table1[[#This Row],[Policy Year]]</f>
        <v>0</v>
      </c>
      <c r="W1095" s="17">
        <f>INT(Table1[[#This Row],[Reporting date]])-INT(Table1[[#This Row],[Loss date]])</f>
        <v>226</v>
      </c>
      <c r="X1095" s="17">
        <f>INT((YEAR(Table1[[#This Row],[Loss date]])*12+MONTH(Table1[[#This Row],[Loss date]])-Earliest_Month)/4)</f>
        <v>24</v>
      </c>
      <c r="Y1095" s="17">
        <f>INT((YEAR(Table1[[#This Row],[Reporting date]])*12+MONTH(Table1[[#This Row],[Reporting date]])-Earliest_Month)/4)</f>
        <v>26</v>
      </c>
      <c r="Z1095" s="17">
        <f>Table1[[#This Row],[Reporting third]]-Table1[[#This Row],[Policy third]]</f>
        <v>2</v>
      </c>
      <c r="AA1095" s="71">
        <f>IF(Table1[[#This Row],[Overall amount]]=0,"N/A",Table1[[#This Row],[Outstanding]]/Table1[[#This Row],[Overall amount]])</f>
        <v>0</v>
      </c>
      <c r="AB1095" s="17">
        <f>IF(MONTH(Table1[[#This Row],[Loss date]])&lt;Pol_Inc_Month_Shifted,YEAR(Table1[[#This Row],[Loss date]])-1,YEAR(Table1[[#This Row],[Loss date]]))</f>
        <v>2012</v>
      </c>
      <c r="AC1095" s="17">
        <f>IF(MONTH(Table1[[#This Row],[Reporting date]])&lt;Pol_Inc_Month_Shifted,YEAR(Table1[[#This Row],[Reporting date]])-1,YEAR(Table1[[#This Row],[Reporting date]]))</f>
        <v>2013</v>
      </c>
      <c r="AD1095" s="17">
        <f>Table1[[#This Row],[Reporting year (shifted)]]-Table1[[#This Row],[Policy Year (shifted)]]</f>
        <v>1</v>
      </c>
    </row>
    <row r="1096" spans="1:30" ht="13.9">
      <c r="A1096" s="8" t="s">
        <v>2866</v>
      </c>
      <c r="B1096" s="8" t="s">
        <v>1148</v>
      </c>
      <c r="C1096" s="8" t="s">
        <v>118</v>
      </c>
      <c r="D1096" s="9">
        <v>41565</v>
      </c>
      <c r="E1096" s="9">
        <v>41623</v>
      </c>
      <c r="F1096" s="17">
        <f>IF(MONTH(Table1[[#This Row],[Loss date]])&lt;Policy_Inception_Month,YEAR(Table1[[#This Row],[Loss date]])-1,YEAR(Table1[[#This Row],[Loss date]]))</f>
        <v>2013</v>
      </c>
      <c r="G1096" s="10" t="s">
        <v>121</v>
      </c>
      <c r="H1096" s="10" t="s">
        <v>2</v>
      </c>
      <c r="I1096" s="11">
        <v>0</v>
      </c>
      <c r="J1096" s="11">
        <v>0</v>
      </c>
      <c r="K1096" s="11">
        <v>0</v>
      </c>
      <c r="L1096" s="12">
        <v>327.29482049171969</v>
      </c>
      <c r="M1096" s="12">
        <v>0</v>
      </c>
      <c r="N1096" s="12">
        <v>327.29482049171969</v>
      </c>
      <c r="O1096" s="70">
        <f>IF(Table1[[#This Row],[Overall amount]]=0,0,1)</f>
        <v>1</v>
      </c>
      <c r="P1096" s="70">
        <f>Table1[[#This Row],[Overall amount]]*Exchange_Rate</f>
        <v>327.29482049171969</v>
      </c>
      <c r="Q1096" s="70">
        <f>Table1[[#This Row],[Overall (destination currency)]]*(1+Claims_Inflation)^((Revalue_at_date-Table1[[#This Row],[Loss date]])/365.25)</f>
        <v>360</v>
      </c>
      <c r="R1096" s="70">
        <f>INT(Table1[[#This Row],[Reporting date]])-INT(Table1[[#This Row],[Loss date]])</f>
        <v>58</v>
      </c>
      <c r="S1096" s="69" t="s">
        <v>9</v>
      </c>
      <c r="T1096" s="70">
        <f>VLOOKUP(Table1[[#This Row],[Policy Year]],exposure_table,3,FALSE)</f>
        <v>1090.5865384615383</v>
      </c>
      <c r="U1096" s="17">
        <f>IF(MONTH(Table1[[#This Row],[Reporting date]])&lt;Policy_Inception_Month,YEAR(Table1[[#This Row],[Reporting date]])-1,YEAR(Table1[[#This Row],[Reporting date]]))</f>
        <v>2013</v>
      </c>
      <c r="V1096" s="17">
        <f>Table1[[#This Row],[Reporting year]]-Table1[[#This Row],[Policy Year]]</f>
        <v>0</v>
      </c>
      <c r="W1096" s="17">
        <f>INT(Table1[[#This Row],[Reporting date]])-INT(Table1[[#This Row],[Loss date]])</f>
        <v>58</v>
      </c>
      <c r="X1096" s="17">
        <f>INT((YEAR(Table1[[#This Row],[Loss date]])*12+MONTH(Table1[[#This Row],[Loss date]])-Earliest_Month)/4)</f>
        <v>25</v>
      </c>
      <c r="Y1096" s="17">
        <f>INT((YEAR(Table1[[#This Row],[Reporting date]])*12+MONTH(Table1[[#This Row],[Reporting date]])-Earliest_Month)/4)</f>
        <v>26</v>
      </c>
      <c r="Z1096" s="17">
        <f>Table1[[#This Row],[Reporting third]]-Table1[[#This Row],[Policy third]]</f>
        <v>1</v>
      </c>
      <c r="AA1096" s="71">
        <f>IF(Table1[[#This Row],[Overall amount]]=0,"N/A",Table1[[#This Row],[Outstanding]]/Table1[[#This Row],[Overall amount]])</f>
        <v>0</v>
      </c>
      <c r="AB1096" s="17">
        <f>IF(MONTH(Table1[[#This Row],[Loss date]])&lt;Pol_Inc_Month_Shifted,YEAR(Table1[[#This Row],[Loss date]])-1,YEAR(Table1[[#This Row],[Loss date]]))</f>
        <v>2012</v>
      </c>
      <c r="AC1096" s="17">
        <f>IF(MONTH(Table1[[#This Row],[Reporting date]])&lt;Pol_Inc_Month_Shifted,YEAR(Table1[[#This Row],[Reporting date]])-1,YEAR(Table1[[#This Row],[Reporting date]]))</f>
        <v>2013</v>
      </c>
      <c r="AD1096" s="17">
        <f>Table1[[#This Row],[Reporting year (shifted)]]-Table1[[#This Row],[Policy Year (shifted)]]</f>
        <v>1</v>
      </c>
    </row>
    <row r="1097" spans="1:30" ht="13.9">
      <c r="A1097" s="8" t="s">
        <v>2867</v>
      </c>
      <c r="B1097" s="8" t="s">
        <v>1149</v>
      </c>
      <c r="C1097" s="8" t="s">
        <v>118</v>
      </c>
      <c r="D1097" s="9">
        <v>41623</v>
      </c>
      <c r="E1097" s="9">
        <v>41649</v>
      </c>
      <c r="F1097" s="17">
        <f>IF(MONTH(Table1[[#This Row],[Loss date]])&lt;Policy_Inception_Month,YEAR(Table1[[#This Row],[Loss date]])-1,YEAR(Table1[[#This Row],[Loss date]]))</f>
        <v>2013</v>
      </c>
      <c r="G1097" s="10" t="s">
        <v>128</v>
      </c>
      <c r="H1097" s="10" t="s">
        <v>2</v>
      </c>
      <c r="I1097" s="11">
        <v>2605.7394369954204</v>
      </c>
      <c r="J1097" s="11">
        <v>0</v>
      </c>
      <c r="K1097" s="11">
        <v>2605.7394369954204</v>
      </c>
      <c r="L1097" s="12">
        <v>0</v>
      </c>
      <c r="M1097" s="12">
        <v>0</v>
      </c>
      <c r="N1097" s="12">
        <v>2605.7394369954204</v>
      </c>
      <c r="O1097" s="70">
        <f>IF(Table1[[#This Row],[Overall amount]]=0,0,1)</f>
        <v>1</v>
      </c>
      <c r="P1097" s="70">
        <f>Table1[[#This Row],[Overall amount]]*Exchange_Rate</f>
        <v>2605.7394369954204</v>
      </c>
      <c r="Q1097" s="70">
        <f>Table1[[#This Row],[Overall (destination currency)]]*(1+Claims_Inflation)^((Revalue_at_date-Table1[[#This Row],[Loss date]])/365.25)</f>
        <v>2844</v>
      </c>
      <c r="R1097" s="70">
        <f>INT(Table1[[#This Row],[Reporting date]])-INT(Table1[[#This Row],[Loss date]])</f>
        <v>26</v>
      </c>
      <c r="S1097" s="69" t="s">
        <v>9</v>
      </c>
      <c r="T1097" s="70">
        <f>VLOOKUP(Table1[[#This Row],[Policy Year]],exposure_table,3,FALSE)</f>
        <v>1090.5865384615383</v>
      </c>
      <c r="U1097" s="17">
        <f>IF(MONTH(Table1[[#This Row],[Reporting date]])&lt;Policy_Inception_Month,YEAR(Table1[[#This Row],[Reporting date]])-1,YEAR(Table1[[#This Row],[Reporting date]]))</f>
        <v>2013</v>
      </c>
      <c r="V1097" s="17">
        <f>Table1[[#This Row],[Reporting year]]-Table1[[#This Row],[Policy Year]]</f>
        <v>0</v>
      </c>
      <c r="W1097" s="17">
        <f>INT(Table1[[#This Row],[Reporting date]])-INT(Table1[[#This Row],[Loss date]])</f>
        <v>26</v>
      </c>
      <c r="X1097" s="17">
        <f>INT((YEAR(Table1[[#This Row],[Loss date]])*12+MONTH(Table1[[#This Row],[Loss date]])-Earliest_Month)/4)</f>
        <v>26</v>
      </c>
      <c r="Y1097" s="17">
        <f>INT((YEAR(Table1[[#This Row],[Reporting date]])*12+MONTH(Table1[[#This Row],[Reporting date]])-Earliest_Month)/4)</f>
        <v>26</v>
      </c>
      <c r="Z1097" s="17">
        <f>Table1[[#This Row],[Reporting third]]-Table1[[#This Row],[Policy third]]</f>
        <v>0</v>
      </c>
      <c r="AA1097" s="71">
        <f>IF(Table1[[#This Row],[Overall amount]]=0,"N/A",Table1[[#This Row],[Outstanding]]/Table1[[#This Row],[Overall amount]])</f>
        <v>0</v>
      </c>
      <c r="AB1097" s="17">
        <f>IF(MONTH(Table1[[#This Row],[Loss date]])&lt;Pol_Inc_Month_Shifted,YEAR(Table1[[#This Row],[Loss date]])-1,YEAR(Table1[[#This Row],[Loss date]]))</f>
        <v>2013</v>
      </c>
      <c r="AC1097" s="17">
        <f>IF(MONTH(Table1[[#This Row],[Reporting date]])&lt;Pol_Inc_Month_Shifted,YEAR(Table1[[#This Row],[Reporting date]])-1,YEAR(Table1[[#This Row],[Reporting date]]))</f>
        <v>2013</v>
      </c>
      <c r="AD1097" s="17">
        <f>Table1[[#This Row],[Reporting year (shifted)]]-Table1[[#This Row],[Policy Year (shifted)]]</f>
        <v>0</v>
      </c>
    </row>
    <row r="1098" spans="1:30" ht="13.9">
      <c r="A1098" s="8" t="s">
        <v>2868</v>
      </c>
      <c r="B1098" s="8" t="s">
        <v>1150</v>
      </c>
      <c r="C1098" s="8" t="s">
        <v>118</v>
      </c>
      <c r="D1098" s="9">
        <v>41629</v>
      </c>
      <c r="E1098" s="9">
        <v>41650</v>
      </c>
      <c r="F1098" s="17">
        <f>IF(MONTH(Table1[[#This Row],[Loss date]])&lt;Policy_Inception_Month,YEAR(Table1[[#This Row],[Loss date]])-1,YEAR(Table1[[#This Row],[Loss date]]))</f>
        <v>2013</v>
      </c>
      <c r="G1098" s="10" t="s">
        <v>129</v>
      </c>
      <c r="H1098" s="10" t="s">
        <v>2</v>
      </c>
      <c r="I1098" s="11">
        <v>9795.8629644115572</v>
      </c>
      <c r="J1098" s="11">
        <v>0</v>
      </c>
      <c r="K1098" s="11">
        <v>9795.8629644115572</v>
      </c>
      <c r="L1098" s="12">
        <v>0</v>
      </c>
      <c r="M1098" s="12">
        <v>0</v>
      </c>
      <c r="N1098" s="12">
        <v>9795.8629644115572</v>
      </c>
      <c r="O1098" s="70">
        <f>IF(Table1[[#This Row],[Overall amount]]=0,0,1)</f>
        <v>1</v>
      </c>
      <c r="P1098" s="70">
        <f>Table1[[#This Row],[Overall amount]]*Exchange_Rate</f>
        <v>9795.8629644115572</v>
      </c>
      <c r="Q1098" s="70">
        <f>Table1[[#This Row],[Overall (destination currency)]]*(1+Claims_Inflation)^((Revalue_at_date-Table1[[#This Row],[Loss date]])/365.25)</f>
        <v>10682.999999999998</v>
      </c>
      <c r="R1098" s="70">
        <f>INT(Table1[[#This Row],[Reporting date]])-INT(Table1[[#This Row],[Loss date]])</f>
        <v>21</v>
      </c>
      <c r="S1098" s="69" t="s">
        <v>9</v>
      </c>
      <c r="T1098" s="70">
        <f>VLOOKUP(Table1[[#This Row],[Policy Year]],exposure_table,3,FALSE)</f>
        <v>1090.5865384615383</v>
      </c>
      <c r="U1098" s="17">
        <f>IF(MONTH(Table1[[#This Row],[Reporting date]])&lt;Policy_Inception_Month,YEAR(Table1[[#This Row],[Reporting date]])-1,YEAR(Table1[[#This Row],[Reporting date]]))</f>
        <v>2013</v>
      </c>
      <c r="V1098" s="17">
        <f>Table1[[#This Row],[Reporting year]]-Table1[[#This Row],[Policy Year]]</f>
        <v>0</v>
      </c>
      <c r="W1098" s="17">
        <f>INT(Table1[[#This Row],[Reporting date]])-INT(Table1[[#This Row],[Loss date]])</f>
        <v>21</v>
      </c>
      <c r="X1098" s="17">
        <f>INT((YEAR(Table1[[#This Row],[Loss date]])*12+MONTH(Table1[[#This Row],[Loss date]])-Earliest_Month)/4)</f>
        <v>26</v>
      </c>
      <c r="Y1098" s="17">
        <f>INT((YEAR(Table1[[#This Row],[Reporting date]])*12+MONTH(Table1[[#This Row],[Reporting date]])-Earliest_Month)/4)</f>
        <v>26</v>
      </c>
      <c r="Z1098" s="17">
        <f>Table1[[#This Row],[Reporting third]]-Table1[[#This Row],[Policy third]]</f>
        <v>0</v>
      </c>
      <c r="AA1098" s="71">
        <f>IF(Table1[[#This Row],[Overall amount]]=0,"N/A",Table1[[#This Row],[Outstanding]]/Table1[[#This Row],[Overall amount]])</f>
        <v>0</v>
      </c>
      <c r="AB1098" s="17">
        <f>IF(MONTH(Table1[[#This Row],[Loss date]])&lt;Pol_Inc_Month_Shifted,YEAR(Table1[[#This Row],[Loss date]])-1,YEAR(Table1[[#This Row],[Loss date]]))</f>
        <v>2013</v>
      </c>
      <c r="AC1098" s="17">
        <f>IF(MONTH(Table1[[#This Row],[Reporting date]])&lt;Pol_Inc_Month_Shifted,YEAR(Table1[[#This Row],[Reporting date]])-1,YEAR(Table1[[#This Row],[Reporting date]]))</f>
        <v>2013</v>
      </c>
      <c r="AD1098" s="17">
        <f>Table1[[#This Row],[Reporting year (shifted)]]-Table1[[#This Row],[Policy Year (shifted)]]</f>
        <v>0</v>
      </c>
    </row>
    <row r="1099" spans="1:30" ht="13.9">
      <c r="A1099" s="8" t="s">
        <v>2869</v>
      </c>
      <c r="B1099" s="8" t="s">
        <v>1151</v>
      </c>
      <c r="C1099" s="8" t="s">
        <v>118</v>
      </c>
      <c r="D1099" s="9">
        <v>41628</v>
      </c>
      <c r="E1099" s="9">
        <v>41630</v>
      </c>
      <c r="F1099" s="17">
        <f>IF(MONTH(Table1[[#This Row],[Loss date]])&lt;Policy_Inception_Month,YEAR(Table1[[#This Row],[Loss date]])-1,YEAR(Table1[[#This Row],[Loss date]]))</f>
        <v>2013</v>
      </c>
      <c r="G1099" s="10" t="s">
        <v>129</v>
      </c>
      <c r="H1099" s="10" t="s">
        <v>2</v>
      </c>
      <c r="I1099" s="11">
        <v>229.94236387330997</v>
      </c>
      <c r="J1099" s="11">
        <v>0</v>
      </c>
      <c r="K1099" s="11">
        <v>229.94236387330997</v>
      </c>
      <c r="L1099" s="12">
        <v>330.06080938752621</v>
      </c>
      <c r="M1099" s="12">
        <v>0</v>
      </c>
      <c r="N1099" s="12">
        <v>560.00317326083621</v>
      </c>
      <c r="O1099" s="70">
        <f>IF(Table1[[#This Row],[Overall amount]]=0,0,1)</f>
        <v>1</v>
      </c>
      <c r="P1099" s="70">
        <f>Table1[[#This Row],[Overall amount]]*Exchange_Rate</f>
        <v>560.00317326083621</v>
      </c>
      <c r="Q1099" s="70">
        <f>Table1[[#This Row],[Overall (destination currency)]]*(1+Claims_Inflation)^((Revalue_at_date-Table1[[#This Row],[Loss date]])/365.25)</f>
        <v>610.79999999999995</v>
      </c>
      <c r="R1099" s="70">
        <f>INT(Table1[[#This Row],[Reporting date]])-INT(Table1[[#This Row],[Loss date]])</f>
        <v>2</v>
      </c>
      <c r="S1099" s="69" t="s">
        <v>9</v>
      </c>
      <c r="T1099" s="70">
        <f>VLOOKUP(Table1[[#This Row],[Policy Year]],exposure_table,3,FALSE)</f>
        <v>1090.5865384615383</v>
      </c>
      <c r="U1099" s="17">
        <f>IF(MONTH(Table1[[#This Row],[Reporting date]])&lt;Policy_Inception_Month,YEAR(Table1[[#This Row],[Reporting date]])-1,YEAR(Table1[[#This Row],[Reporting date]]))</f>
        <v>2013</v>
      </c>
      <c r="V1099" s="17">
        <f>Table1[[#This Row],[Reporting year]]-Table1[[#This Row],[Policy Year]]</f>
        <v>0</v>
      </c>
      <c r="W1099" s="17">
        <f>INT(Table1[[#This Row],[Reporting date]])-INT(Table1[[#This Row],[Loss date]])</f>
        <v>2</v>
      </c>
      <c r="X1099" s="17">
        <f>INT((YEAR(Table1[[#This Row],[Loss date]])*12+MONTH(Table1[[#This Row],[Loss date]])-Earliest_Month)/4)</f>
        <v>26</v>
      </c>
      <c r="Y1099" s="17">
        <f>INT((YEAR(Table1[[#This Row],[Reporting date]])*12+MONTH(Table1[[#This Row],[Reporting date]])-Earliest_Month)/4)</f>
        <v>26</v>
      </c>
      <c r="Z1099" s="17">
        <f>Table1[[#This Row],[Reporting third]]-Table1[[#This Row],[Policy third]]</f>
        <v>0</v>
      </c>
      <c r="AA1099" s="71">
        <f>IF(Table1[[#This Row],[Overall amount]]=0,"N/A",Table1[[#This Row],[Outstanding]]/Table1[[#This Row],[Overall amount]])</f>
        <v>0</v>
      </c>
      <c r="AB1099" s="17">
        <f>IF(MONTH(Table1[[#This Row],[Loss date]])&lt;Pol_Inc_Month_Shifted,YEAR(Table1[[#This Row],[Loss date]])-1,YEAR(Table1[[#This Row],[Loss date]]))</f>
        <v>2013</v>
      </c>
      <c r="AC1099" s="17">
        <f>IF(MONTH(Table1[[#This Row],[Reporting date]])&lt;Pol_Inc_Month_Shifted,YEAR(Table1[[#This Row],[Reporting date]])-1,YEAR(Table1[[#This Row],[Reporting date]]))</f>
        <v>2013</v>
      </c>
      <c r="AD1099" s="17">
        <f>Table1[[#This Row],[Reporting year (shifted)]]-Table1[[#This Row],[Policy Year (shifted)]]</f>
        <v>0</v>
      </c>
    </row>
    <row r="1100" spans="1:30" ht="13.9">
      <c r="A1100" s="8" t="s">
        <v>2870</v>
      </c>
      <c r="B1100" s="8" t="s">
        <v>1152</v>
      </c>
      <c r="C1100" s="8" t="s">
        <v>118</v>
      </c>
      <c r="D1100" s="9">
        <v>41623</v>
      </c>
      <c r="E1100" s="9">
        <v>41630</v>
      </c>
      <c r="F1100" s="17">
        <f>IF(MONTH(Table1[[#This Row],[Loss date]])&lt;Policy_Inception_Month,YEAR(Table1[[#This Row],[Loss date]])-1,YEAR(Table1[[#This Row],[Loss date]]))</f>
        <v>2013</v>
      </c>
      <c r="G1100" s="10" t="s">
        <v>129</v>
      </c>
      <c r="H1100" s="10" t="s">
        <v>2</v>
      </c>
      <c r="I1100" s="11">
        <v>0</v>
      </c>
      <c r="J1100" s="11">
        <v>0</v>
      </c>
      <c r="K1100" s="11">
        <v>0</v>
      </c>
      <c r="L1100" s="12">
        <v>329.84043506271144</v>
      </c>
      <c r="M1100" s="12">
        <v>0</v>
      </c>
      <c r="N1100" s="12">
        <v>329.84043506271144</v>
      </c>
      <c r="O1100" s="70">
        <f>IF(Table1[[#This Row],[Overall amount]]=0,0,1)</f>
        <v>1</v>
      </c>
      <c r="P1100" s="70">
        <f>Table1[[#This Row],[Overall amount]]*Exchange_Rate</f>
        <v>329.84043506271144</v>
      </c>
      <c r="Q1100" s="70">
        <f>Table1[[#This Row],[Overall (destination currency)]]*(1+Claims_Inflation)^((Revalue_at_date-Table1[[#This Row],[Loss date]])/365.25)</f>
        <v>360</v>
      </c>
      <c r="R1100" s="70">
        <f>INT(Table1[[#This Row],[Reporting date]])-INT(Table1[[#This Row],[Loss date]])</f>
        <v>7</v>
      </c>
      <c r="S1100" s="69" t="s">
        <v>9</v>
      </c>
      <c r="T1100" s="70">
        <f>VLOOKUP(Table1[[#This Row],[Policy Year]],exposure_table,3,FALSE)</f>
        <v>1090.5865384615383</v>
      </c>
      <c r="U1100" s="17">
        <f>IF(MONTH(Table1[[#This Row],[Reporting date]])&lt;Policy_Inception_Month,YEAR(Table1[[#This Row],[Reporting date]])-1,YEAR(Table1[[#This Row],[Reporting date]]))</f>
        <v>2013</v>
      </c>
      <c r="V1100" s="17">
        <f>Table1[[#This Row],[Reporting year]]-Table1[[#This Row],[Policy Year]]</f>
        <v>0</v>
      </c>
      <c r="W1100" s="17">
        <f>INT(Table1[[#This Row],[Reporting date]])-INT(Table1[[#This Row],[Loss date]])</f>
        <v>7</v>
      </c>
      <c r="X1100" s="17">
        <f>INT((YEAR(Table1[[#This Row],[Loss date]])*12+MONTH(Table1[[#This Row],[Loss date]])-Earliest_Month)/4)</f>
        <v>26</v>
      </c>
      <c r="Y1100" s="17">
        <f>INT((YEAR(Table1[[#This Row],[Reporting date]])*12+MONTH(Table1[[#This Row],[Reporting date]])-Earliest_Month)/4)</f>
        <v>26</v>
      </c>
      <c r="Z1100" s="17">
        <f>Table1[[#This Row],[Reporting third]]-Table1[[#This Row],[Policy third]]</f>
        <v>0</v>
      </c>
      <c r="AA1100" s="71">
        <f>IF(Table1[[#This Row],[Overall amount]]=0,"N/A",Table1[[#This Row],[Outstanding]]/Table1[[#This Row],[Overall amount]])</f>
        <v>0</v>
      </c>
      <c r="AB1100" s="17">
        <f>IF(MONTH(Table1[[#This Row],[Loss date]])&lt;Pol_Inc_Month_Shifted,YEAR(Table1[[#This Row],[Loss date]])-1,YEAR(Table1[[#This Row],[Loss date]]))</f>
        <v>2013</v>
      </c>
      <c r="AC1100" s="17">
        <f>IF(MONTH(Table1[[#This Row],[Reporting date]])&lt;Pol_Inc_Month_Shifted,YEAR(Table1[[#This Row],[Reporting date]])-1,YEAR(Table1[[#This Row],[Reporting date]]))</f>
        <v>2013</v>
      </c>
      <c r="AD1100" s="17">
        <f>Table1[[#This Row],[Reporting year (shifted)]]-Table1[[#This Row],[Policy Year (shifted)]]</f>
        <v>0</v>
      </c>
    </row>
    <row r="1101" spans="1:30" ht="13.9">
      <c r="A1101" s="8" t="s">
        <v>2871</v>
      </c>
      <c r="B1101" s="8" t="s">
        <v>1153</v>
      </c>
      <c r="C1101" s="8" t="s">
        <v>118</v>
      </c>
      <c r="D1101" s="9">
        <v>41594</v>
      </c>
      <c r="E1101" s="9">
        <v>41672</v>
      </c>
      <c r="F1101" s="17">
        <f>IF(MONTH(Table1[[#This Row],[Loss date]])&lt;Policy_Inception_Month,YEAR(Table1[[#This Row],[Loss date]])-1,YEAR(Table1[[#This Row],[Loss date]]))</f>
        <v>2013</v>
      </c>
      <c r="G1101" s="10" t="s">
        <v>151</v>
      </c>
      <c r="H1101" s="10" t="s">
        <v>2</v>
      </c>
      <c r="I1101" s="11">
        <v>0</v>
      </c>
      <c r="J1101" s="11">
        <v>73781.497665627714</v>
      </c>
      <c r="K1101" s="11">
        <v>73781.497665627714</v>
      </c>
      <c r="L1101" s="12">
        <v>0</v>
      </c>
      <c r="M1101" s="12">
        <v>0</v>
      </c>
      <c r="N1101" s="12">
        <v>73781.497665627714</v>
      </c>
      <c r="O1101" s="70">
        <f>IF(Table1[[#This Row],[Overall amount]]=0,0,1)</f>
        <v>1</v>
      </c>
      <c r="P1101" s="70">
        <f>Table1[[#This Row],[Overall amount]]*Exchange_Rate</f>
        <v>73781.497665627714</v>
      </c>
      <c r="Q1101" s="70">
        <f>Table1[[#This Row],[Overall (destination currency)]]*(1+Claims_Inflation)^((Revalue_at_date-Table1[[#This Row],[Loss date]])/365.25)</f>
        <v>80840.399999999994</v>
      </c>
      <c r="R1101" s="70">
        <f>INT(Table1[[#This Row],[Reporting date]])-INT(Table1[[#This Row],[Loss date]])</f>
        <v>78</v>
      </c>
      <c r="S1101" s="69" t="s">
        <v>16</v>
      </c>
      <c r="T1101" s="70">
        <f>VLOOKUP(Table1[[#This Row],[Policy Year]],exposure_table,3,FALSE)</f>
        <v>1090.5865384615383</v>
      </c>
      <c r="U1101" s="17">
        <f>IF(MONTH(Table1[[#This Row],[Reporting date]])&lt;Policy_Inception_Month,YEAR(Table1[[#This Row],[Reporting date]])-1,YEAR(Table1[[#This Row],[Reporting date]]))</f>
        <v>2013</v>
      </c>
      <c r="V1101" s="17">
        <f>Table1[[#This Row],[Reporting year]]-Table1[[#This Row],[Policy Year]]</f>
        <v>0</v>
      </c>
      <c r="W1101" s="17">
        <f>INT(Table1[[#This Row],[Reporting date]])-INT(Table1[[#This Row],[Loss date]])</f>
        <v>78</v>
      </c>
      <c r="X1101" s="17">
        <f>INT((YEAR(Table1[[#This Row],[Loss date]])*12+MONTH(Table1[[#This Row],[Loss date]])-Earliest_Month)/4)</f>
        <v>25</v>
      </c>
      <c r="Y1101" s="17">
        <f>INT((YEAR(Table1[[#This Row],[Reporting date]])*12+MONTH(Table1[[#This Row],[Reporting date]])-Earliest_Month)/4)</f>
        <v>26</v>
      </c>
      <c r="Z1101" s="17">
        <f>Table1[[#This Row],[Reporting third]]-Table1[[#This Row],[Policy third]]</f>
        <v>1</v>
      </c>
      <c r="AA1101" s="71">
        <f>IF(Table1[[#This Row],[Overall amount]]=0,"N/A",Table1[[#This Row],[Outstanding]]/Table1[[#This Row],[Overall amount]])</f>
        <v>1</v>
      </c>
      <c r="AB1101" s="17">
        <f>IF(MONTH(Table1[[#This Row],[Loss date]])&lt;Pol_Inc_Month_Shifted,YEAR(Table1[[#This Row],[Loss date]])-1,YEAR(Table1[[#This Row],[Loss date]]))</f>
        <v>2012</v>
      </c>
      <c r="AC1101" s="17">
        <f>IF(MONTH(Table1[[#This Row],[Reporting date]])&lt;Pol_Inc_Month_Shifted,YEAR(Table1[[#This Row],[Reporting date]])-1,YEAR(Table1[[#This Row],[Reporting date]]))</f>
        <v>2013</v>
      </c>
      <c r="AD1101" s="17">
        <f>Table1[[#This Row],[Reporting year (shifted)]]-Table1[[#This Row],[Policy Year (shifted)]]</f>
        <v>1</v>
      </c>
    </row>
    <row r="1102" spans="1:30" ht="13.9">
      <c r="A1102" s="8" t="s">
        <v>2872</v>
      </c>
      <c r="B1102" s="8" t="s">
        <v>1154</v>
      </c>
      <c r="C1102" s="8" t="s">
        <v>118</v>
      </c>
      <c r="D1102" s="9">
        <v>41673</v>
      </c>
      <c r="E1102" s="9">
        <v>41684</v>
      </c>
      <c r="F1102" s="17">
        <f>IF(MONTH(Table1[[#This Row],[Loss date]])&lt;Policy_Inception_Month,YEAR(Table1[[#This Row],[Loss date]])-1,YEAR(Table1[[#This Row],[Loss date]]))</f>
        <v>2013</v>
      </c>
      <c r="G1102" s="10" t="s">
        <v>129</v>
      </c>
      <c r="H1102" s="10" t="s">
        <v>2</v>
      </c>
      <c r="I1102" s="11">
        <v>0</v>
      </c>
      <c r="J1102" s="11">
        <v>22136.721054115114</v>
      </c>
      <c r="K1102" s="11">
        <v>22136.721054115114</v>
      </c>
      <c r="L1102" s="12">
        <v>332.05081581172669</v>
      </c>
      <c r="M1102" s="12">
        <v>0</v>
      </c>
      <c r="N1102" s="12">
        <v>22468.771869926841</v>
      </c>
      <c r="O1102" s="70">
        <f>IF(Table1[[#This Row],[Overall amount]]=0,0,1)</f>
        <v>1</v>
      </c>
      <c r="P1102" s="70">
        <f>Table1[[#This Row],[Overall amount]]*Exchange_Rate</f>
        <v>22468.771869926841</v>
      </c>
      <c r="Q1102" s="70">
        <f>Table1[[#This Row],[Overall (destination currency)]]*(1+Claims_Inflation)^((Revalue_at_date-Table1[[#This Row],[Loss date]])/365.25)</f>
        <v>24360.000000000004</v>
      </c>
      <c r="R1102" s="70">
        <f>INT(Table1[[#This Row],[Reporting date]])-INT(Table1[[#This Row],[Loss date]])</f>
        <v>11</v>
      </c>
      <c r="S1102" s="69" t="s">
        <v>16</v>
      </c>
      <c r="T1102" s="70">
        <f>VLOOKUP(Table1[[#This Row],[Policy Year]],exposure_table,3,FALSE)</f>
        <v>1090.5865384615383</v>
      </c>
      <c r="U1102" s="17">
        <f>IF(MONTH(Table1[[#This Row],[Reporting date]])&lt;Policy_Inception_Month,YEAR(Table1[[#This Row],[Reporting date]])-1,YEAR(Table1[[#This Row],[Reporting date]]))</f>
        <v>2013</v>
      </c>
      <c r="V1102" s="17">
        <f>Table1[[#This Row],[Reporting year]]-Table1[[#This Row],[Policy Year]]</f>
        <v>0</v>
      </c>
      <c r="W1102" s="17">
        <f>INT(Table1[[#This Row],[Reporting date]])-INT(Table1[[#This Row],[Loss date]])</f>
        <v>11</v>
      </c>
      <c r="X1102" s="17">
        <f>INT((YEAR(Table1[[#This Row],[Loss date]])*12+MONTH(Table1[[#This Row],[Loss date]])-Earliest_Month)/4)</f>
        <v>26</v>
      </c>
      <c r="Y1102" s="17">
        <f>INT((YEAR(Table1[[#This Row],[Reporting date]])*12+MONTH(Table1[[#This Row],[Reporting date]])-Earliest_Month)/4)</f>
        <v>26</v>
      </c>
      <c r="Z1102" s="17">
        <f>Table1[[#This Row],[Reporting third]]-Table1[[#This Row],[Policy third]]</f>
        <v>0</v>
      </c>
      <c r="AA1102" s="71">
        <f>IF(Table1[[#This Row],[Overall amount]]=0,"N/A",Table1[[#This Row],[Outstanding]]/Table1[[#This Row],[Overall amount]])</f>
        <v>0.98522167487684731</v>
      </c>
      <c r="AB1102" s="17">
        <f>IF(MONTH(Table1[[#This Row],[Loss date]])&lt;Pol_Inc_Month_Shifted,YEAR(Table1[[#This Row],[Loss date]])-1,YEAR(Table1[[#This Row],[Loss date]]))</f>
        <v>2013</v>
      </c>
      <c r="AC1102" s="17">
        <f>IF(MONTH(Table1[[#This Row],[Reporting date]])&lt;Pol_Inc_Month_Shifted,YEAR(Table1[[#This Row],[Reporting date]])-1,YEAR(Table1[[#This Row],[Reporting date]]))</f>
        <v>2013</v>
      </c>
      <c r="AD1102" s="17">
        <f>Table1[[#This Row],[Reporting year (shifted)]]-Table1[[#This Row],[Policy Year (shifted)]]</f>
        <v>0</v>
      </c>
    </row>
    <row r="1103" spans="1:30" ht="13.9">
      <c r="A1103" s="8" t="s">
        <v>2873</v>
      </c>
      <c r="B1103" s="8" t="s">
        <v>1155</v>
      </c>
      <c r="C1103" s="8" t="s">
        <v>118</v>
      </c>
      <c r="D1103" s="9">
        <v>41059</v>
      </c>
      <c r="E1103" s="9">
        <v>41712</v>
      </c>
      <c r="F1103" s="17">
        <f>IF(MONTH(Table1[[#This Row],[Loss date]])&lt;Policy_Inception_Month,YEAR(Table1[[#This Row],[Loss date]])-1,YEAR(Table1[[#This Row],[Loss date]]))</f>
        <v>2012</v>
      </c>
      <c r="G1103" s="10" t="s">
        <v>129</v>
      </c>
      <c r="H1103" s="10" t="s">
        <v>2</v>
      </c>
      <c r="I1103" s="11">
        <v>8159.8950051805987</v>
      </c>
      <c r="J1103" s="11">
        <v>0</v>
      </c>
      <c r="K1103" s="11">
        <v>8159.8950051805987</v>
      </c>
      <c r="L1103" s="12">
        <v>0</v>
      </c>
      <c r="M1103" s="12">
        <v>0</v>
      </c>
      <c r="N1103" s="12">
        <v>8159.8950051805987</v>
      </c>
      <c r="O1103" s="70">
        <f>IF(Table1[[#This Row],[Overall amount]]=0,0,1)</f>
        <v>1</v>
      </c>
      <c r="P1103" s="70">
        <f>Table1[[#This Row],[Overall amount]]*Exchange_Rate</f>
        <v>8159.8950051805987</v>
      </c>
      <c r="Q1103" s="70">
        <f>Table1[[#This Row],[Overall (destination currency)]]*(1+Claims_Inflation)^((Revalue_at_date-Table1[[#This Row],[Loss date]])/365.25)</f>
        <v>9602.9039999999986</v>
      </c>
      <c r="R1103" s="70">
        <f>INT(Table1[[#This Row],[Reporting date]])-INT(Table1[[#This Row],[Loss date]])</f>
        <v>653</v>
      </c>
      <c r="S1103" s="69" t="s">
        <v>9</v>
      </c>
      <c r="T1103" s="70">
        <f>VLOOKUP(Table1[[#This Row],[Policy Year]],exposure_table,3,FALSE)</f>
        <v>1057.54</v>
      </c>
      <c r="U1103" s="17">
        <f>IF(MONTH(Table1[[#This Row],[Reporting date]])&lt;Policy_Inception_Month,YEAR(Table1[[#This Row],[Reporting date]])-1,YEAR(Table1[[#This Row],[Reporting date]]))</f>
        <v>2013</v>
      </c>
      <c r="V1103" s="17">
        <f>Table1[[#This Row],[Reporting year]]-Table1[[#This Row],[Policy Year]]</f>
        <v>1</v>
      </c>
      <c r="W1103" s="17">
        <f>INT(Table1[[#This Row],[Reporting date]])-INT(Table1[[#This Row],[Loss date]])</f>
        <v>653</v>
      </c>
      <c r="X1103" s="17">
        <f>INT((YEAR(Table1[[#This Row],[Loss date]])*12+MONTH(Table1[[#This Row],[Loss date]])-Earliest_Month)/4)</f>
        <v>21</v>
      </c>
      <c r="Y1103" s="17">
        <f>INT((YEAR(Table1[[#This Row],[Reporting date]])*12+MONTH(Table1[[#This Row],[Reporting date]])-Earliest_Month)/4)</f>
        <v>26</v>
      </c>
      <c r="Z1103" s="17">
        <f>Table1[[#This Row],[Reporting third]]-Table1[[#This Row],[Policy third]]</f>
        <v>5</v>
      </c>
      <c r="AA1103" s="71">
        <f>IF(Table1[[#This Row],[Overall amount]]=0,"N/A",Table1[[#This Row],[Outstanding]]/Table1[[#This Row],[Overall amount]])</f>
        <v>0</v>
      </c>
      <c r="AB1103" s="17">
        <f>IF(MONTH(Table1[[#This Row],[Loss date]])&lt;Pol_Inc_Month_Shifted,YEAR(Table1[[#This Row],[Loss date]])-1,YEAR(Table1[[#This Row],[Loss date]]))</f>
        <v>2011</v>
      </c>
      <c r="AC1103" s="17">
        <f>IF(MONTH(Table1[[#This Row],[Reporting date]])&lt;Pol_Inc_Month_Shifted,YEAR(Table1[[#This Row],[Reporting date]])-1,YEAR(Table1[[#This Row],[Reporting date]]))</f>
        <v>2013</v>
      </c>
      <c r="AD1103" s="17">
        <f>Table1[[#This Row],[Reporting year (shifted)]]-Table1[[#This Row],[Policy Year (shifted)]]</f>
        <v>2</v>
      </c>
    </row>
    <row r="1104" spans="1:30" ht="13.9">
      <c r="A1104" s="8" t="s">
        <v>2874</v>
      </c>
      <c r="B1104" s="8" t="s">
        <v>1156</v>
      </c>
      <c r="C1104" s="8" t="s">
        <v>118</v>
      </c>
      <c r="D1104" s="9">
        <v>41425</v>
      </c>
      <c r="E1104" s="9">
        <v>41463</v>
      </c>
      <c r="F1104" s="17">
        <f>IF(MONTH(Table1[[#This Row],[Loss date]])&lt;Policy_Inception_Month,YEAR(Table1[[#This Row],[Loss date]])-1,YEAR(Table1[[#This Row],[Loss date]]))</f>
        <v>2013</v>
      </c>
      <c r="G1104" s="10" t="s">
        <v>129</v>
      </c>
      <c r="H1104" s="10" t="s">
        <v>2</v>
      </c>
      <c r="I1104" s="11">
        <v>0</v>
      </c>
      <c r="J1104" s="11">
        <v>16061.544208548194</v>
      </c>
      <c r="K1104" s="11">
        <v>16061.544208548194</v>
      </c>
      <c r="L1104" s="12">
        <v>0</v>
      </c>
      <c r="M1104" s="12">
        <v>0</v>
      </c>
      <c r="N1104" s="12">
        <v>16061.544208548194</v>
      </c>
      <c r="O1104" s="70">
        <f>IF(Table1[[#This Row],[Overall amount]]=0,0,1)</f>
        <v>1</v>
      </c>
      <c r="P1104" s="70">
        <f>Table1[[#This Row],[Overall amount]]*Exchange_Rate</f>
        <v>16061.544208548194</v>
      </c>
      <c r="Q1104" s="70">
        <f>Table1[[#This Row],[Overall (destination currency)]]*(1+Claims_Inflation)^((Revalue_at_date-Table1[[#This Row],[Loss date]])/365.25)</f>
        <v>18000</v>
      </c>
      <c r="R1104" s="70">
        <f>INT(Table1[[#This Row],[Reporting date]])-INT(Table1[[#This Row],[Loss date]])</f>
        <v>38</v>
      </c>
      <c r="S1104" s="69" t="s">
        <v>16</v>
      </c>
      <c r="T1104" s="70">
        <f>VLOOKUP(Table1[[#This Row],[Policy Year]],exposure_table,3,FALSE)</f>
        <v>1090.5865384615383</v>
      </c>
      <c r="U1104" s="17">
        <f>IF(MONTH(Table1[[#This Row],[Reporting date]])&lt;Policy_Inception_Month,YEAR(Table1[[#This Row],[Reporting date]])-1,YEAR(Table1[[#This Row],[Reporting date]]))</f>
        <v>2013</v>
      </c>
      <c r="V1104" s="17">
        <f>Table1[[#This Row],[Reporting year]]-Table1[[#This Row],[Policy Year]]</f>
        <v>0</v>
      </c>
      <c r="W1104" s="17">
        <f>INT(Table1[[#This Row],[Reporting date]])-INT(Table1[[#This Row],[Loss date]])</f>
        <v>38</v>
      </c>
      <c r="X1104" s="17">
        <f>INT((YEAR(Table1[[#This Row],[Loss date]])*12+MONTH(Table1[[#This Row],[Loss date]])-Earliest_Month)/4)</f>
        <v>24</v>
      </c>
      <c r="Y1104" s="17">
        <f>INT((YEAR(Table1[[#This Row],[Reporting date]])*12+MONTH(Table1[[#This Row],[Reporting date]])-Earliest_Month)/4)</f>
        <v>24</v>
      </c>
      <c r="Z1104" s="17">
        <f>Table1[[#This Row],[Reporting third]]-Table1[[#This Row],[Policy third]]</f>
        <v>0</v>
      </c>
      <c r="AA1104" s="71">
        <f>IF(Table1[[#This Row],[Overall amount]]=0,"N/A",Table1[[#This Row],[Outstanding]]/Table1[[#This Row],[Overall amount]])</f>
        <v>1</v>
      </c>
      <c r="AB1104" s="17">
        <f>IF(MONTH(Table1[[#This Row],[Loss date]])&lt;Pol_Inc_Month_Shifted,YEAR(Table1[[#This Row],[Loss date]])-1,YEAR(Table1[[#This Row],[Loss date]]))</f>
        <v>2012</v>
      </c>
      <c r="AC1104" s="17">
        <f>IF(MONTH(Table1[[#This Row],[Reporting date]])&lt;Pol_Inc_Month_Shifted,YEAR(Table1[[#This Row],[Reporting date]])-1,YEAR(Table1[[#This Row],[Reporting date]]))</f>
        <v>2012</v>
      </c>
      <c r="AD1104" s="17">
        <f>Table1[[#This Row],[Reporting year (shifted)]]-Table1[[#This Row],[Policy Year (shifted)]]</f>
        <v>0</v>
      </c>
    </row>
    <row r="1105" spans="1:30" ht="13.9">
      <c r="A1105" s="8" t="s">
        <v>2875</v>
      </c>
      <c r="B1105" s="8" t="s">
        <v>1157</v>
      </c>
      <c r="C1105" s="8" t="s">
        <v>118</v>
      </c>
      <c r="D1105" s="9">
        <v>41496</v>
      </c>
      <c r="E1105" s="9">
        <v>41693</v>
      </c>
      <c r="F1105" s="17">
        <f>IF(MONTH(Table1[[#This Row],[Loss date]])&lt;Policy_Inception_Month,YEAR(Table1[[#This Row],[Loss date]])-1,YEAR(Table1[[#This Row],[Loss date]]))</f>
        <v>2013</v>
      </c>
      <c r="G1105" s="10" t="s">
        <v>151</v>
      </c>
      <c r="H1105" s="10" t="s">
        <v>2</v>
      </c>
      <c r="I1105" s="11">
        <v>359.42362573736602</v>
      </c>
      <c r="J1105" s="11">
        <v>0</v>
      </c>
      <c r="K1105" s="11">
        <v>359.42362573736602</v>
      </c>
      <c r="L1105" s="12">
        <v>0</v>
      </c>
      <c r="M1105" s="12">
        <v>0</v>
      </c>
      <c r="N1105" s="12">
        <v>359.42362573736602</v>
      </c>
      <c r="O1105" s="70">
        <f>IF(Table1[[#This Row],[Overall amount]]=0,0,1)</f>
        <v>1</v>
      </c>
      <c r="P1105" s="70">
        <f>Table1[[#This Row],[Overall amount]]*Exchange_Rate</f>
        <v>359.42362573736602</v>
      </c>
      <c r="Q1105" s="70">
        <f>Table1[[#This Row],[Overall (destination currency)]]*(1+Claims_Inflation)^((Revalue_at_date-Table1[[#This Row],[Loss date]])/365.25)</f>
        <v>399.00000000000006</v>
      </c>
      <c r="R1105" s="70">
        <f>INT(Table1[[#This Row],[Reporting date]])-INT(Table1[[#This Row],[Loss date]])</f>
        <v>197</v>
      </c>
      <c r="S1105" s="69" t="s">
        <v>9</v>
      </c>
      <c r="T1105" s="70">
        <f>VLOOKUP(Table1[[#This Row],[Policy Year]],exposure_table,3,FALSE)</f>
        <v>1090.5865384615383</v>
      </c>
      <c r="U1105" s="17">
        <f>IF(MONTH(Table1[[#This Row],[Reporting date]])&lt;Policy_Inception_Month,YEAR(Table1[[#This Row],[Reporting date]])-1,YEAR(Table1[[#This Row],[Reporting date]]))</f>
        <v>2013</v>
      </c>
      <c r="V1105" s="17">
        <f>Table1[[#This Row],[Reporting year]]-Table1[[#This Row],[Policy Year]]</f>
        <v>0</v>
      </c>
      <c r="W1105" s="17">
        <f>INT(Table1[[#This Row],[Reporting date]])-INT(Table1[[#This Row],[Loss date]])</f>
        <v>197</v>
      </c>
      <c r="X1105" s="17">
        <f>INT((YEAR(Table1[[#This Row],[Loss date]])*12+MONTH(Table1[[#This Row],[Loss date]])-Earliest_Month)/4)</f>
        <v>25</v>
      </c>
      <c r="Y1105" s="17">
        <f>INT((YEAR(Table1[[#This Row],[Reporting date]])*12+MONTH(Table1[[#This Row],[Reporting date]])-Earliest_Month)/4)</f>
        <v>26</v>
      </c>
      <c r="Z1105" s="17">
        <f>Table1[[#This Row],[Reporting third]]-Table1[[#This Row],[Policy third]]</f>
        <v>1</v>
      </c>
      <c r="AA1105" s="71">
        <f>IF(Table1[[#This Row],[Overall amount]]=0,"N/A",Table1[[#This Row],[Outstanding]]/Table1[[#This Row],[Overall amount]])</f>
        <v>0</v>
      </c>
      <c r="AB1105" s="17">
        <f>IF(MONTH(Table1[[#This Row],[Loss date]])&lt;Pol_Inc_Month_Shifted,YEAR(Table1[[#This Row],[Loss date]])-1,YEAR(Table1[[#This Row],[Loss date]]))</f>
        <v>2012</v>
      </c>
      <c r="AC1105" s="17">
        <f>IF(MONTH(Table1[[#This Row],[Reporting date]])&lt;Pol_Inc_Month_Shifted,YEAR(Table1[[#This Row],[Reporting date]])-1,YEAR(Table1[[#This Row],[Reporting date]]))</f>
        <v>2013</v>
      </c>
      <c r="AD1105" s="17">
        <f>Table1[[#This Row],[Reporting year (shifted)]]-Table1[[#This Row],[Policy Year (shifted)]]</f>
        <v>1</v>
      </c>
    </row>
    <row r="1106" spans="1:30" ht="13.9">
      <c r="A1106" s="8" t="s">
        <v>2876</v>
      </c>
      <c r="B1106" s="8" t="s">
        <v>1158</v>
      </c>
      <c r="C1106" s="8" t="s">
        <v>118</v>
      </c>
      <c r="D1106" s="9">
        <v>41729</v>
      </c>
      <c r="E1106" s="9">
        <v>41733</v>
      </c>
      <c r="F1106" s="17">
        <f>IF(MONTH(Table1[[#This Row],[Loss date]])&lt;Policy_Inception_Month,YEAR(Table1[[#This Row],[Loss date]])-1,YEAR(Table1[[#This Row],[Loss date]]))</f>
        <v>2013</v>
      </c>
      <c r="G1106" s="10" t="s">
        <v>129</v>
      </c>
      <c r="H1106" s="10" t="s">
        <v>2</v>
      </c>
      <c r="I1106" s="11">
        <v>0</v>
      </c>
      <c r="J1106" s="11">
        <v>0</v>
      </c>
      <c r="K1106" s="11">
        <v>0</v>
      </c>
      <c r="L1106" s="12">
        <v>334.54403243534472</v>
      </c>
      <c r="M1106" s="12">
        <v>0</v>
      </c>
      <c r="N1106" s="12">
        <v>334.54403243534472</v>
      </c>
      <c r="O1106" s="70">
        <f>IF(Table1[[#This Row],[Overall amount]]=0,0,1)</f>
        <v>1</v>
      </c>
      <c r="P1106" s="70">
        <f>Table1[[#This Row],[Overall amount]]*Exchange_Rate</f>
        <v>334.54403243534472</v>
      </c>
      <c r="Q1106" s="70">
        <f>Table1[[#This Row],[Overall (destination currency)]]*(1+Claims_Inflation)^((Revalue_at_date-Table1[[#This Row],[Loss date]])/365.25)</f>
        <v>360</v>
      </c>
      <c r="R1106" s="70">
        <f>INT(Table1[[#This Row],[Reporting date]])-INT(Table1[[#This Row],[Loss date]])</f>
        <v>4</v>
      </c>
      <c r="S1106" s="69" t="s">
        <v>9</v>
      </c>
      <c r="T1106" s="70">
        <f>VLOOKUP(Table1[[#This Row],[Policy Year]],exposure_table,3,FALSE)</f>
        <v>1090.5865384615383</v>
      </c>
      <c r="U1106" s="17">
        <f>IF(MONTH(Table1[[#This Row],[Reporting date]])&lt;Policy_Inception_Month,YEAR(Table1[[#This Row],[Reporting date]])-1,YEAR(Table1[[#This Row],[Reporting date]]))</f>
        <v>2014</v>
      </c>
      <c r="V1106" s="17">
        <f>Table1[[#This Row],[Reporting year]]-Table1[[#This Row],[Policy Year]]</f>
        <v>1</v>
      </c>
      <c r="W1106" s="17">
        <f>INT(Table1[[#This Row],[Reporting date]])-INT(Table1[[#This Row],[Loss date]])</f>
        <v>4</v>
      </c>
      <c r="X1106" s="17">
        <f>INT((YEAR(Table1[[#This Row],[Loss date]])*12+MONTH(Table1[[#This Row],[Loss date]])-Earliest_Month)/4)</f>
        <v>26</v>
      </c>
      <c r="Y1106" s="17">
        <f>INT((YEAR(Table1[[#This Row],[Reporting date]])*12+MONTH(Table1[[#This Row],[Reporting date]])-Earliest_Month)/4)</f>
        <v>27</v>
      </c>
      <c r="Z1106" s="17">
        <f>Table1[[#This Row],[Reporting third]]-Table1[[#This Row],[Policy third]]</f>
        <v>1</v>
      </c>
      <c r="AA1106" s="71">
        <f>IF(Table1[[#This Row],[Overall amount]]=0,"N/A",Table1[[#This Row],[Outstanding]]/Table1[[#This Row],[Overall amount]])</f>
        <v>0</v>
      </c>
      <c r="AB1106" s="17">
        <f>IF(MONTH(Table1[[#This Row],[Loss date]])&lt;Pol_Inc_Month_Shifted,YEAR(Table1[[#This Row],[Loss date]])-1,YEAR(Table1[[#This Row],[Loss date]]))</f>
        <v>2013</v>
      </c>
      <c r="AC1106" s="17">
        <f>IF(MONTH(Table1[[#This Row],[Reporting date]])&lt;Pol_Inc_Month_Shifted,YEAR(Table1[[#This Row],[Reporting date]])-1,YEAR(Table1[[#This Row],[Reporting date]]))</f>
        <v>2013</v>
      </c>
      <c r="AD1106" s="17">
        <f>Table1[[#This Row],[Reporting year (shifted)]]-Table1[[#This Row],[Policy Year (shifted)]]</f>
        <v>0</v>
      </c>
    </row>
    <row r="1107" spans="1:30" ht="13.9">
      <c r="A1107" s="8" t="s">
        <v>2877</v>
      </c>
      <c r="B1107" s="8" t="s">
        <v>1159</v>
      </c>
      <c r="C1107" s="8" t="s">
        <v>118</v>
      </c>
      <c r="D1107" s="9">
        <v>41750</v>
      </c>
      <c r="E1107" s="9">
        <v>41765</v>
      </c>
      <c r="F1107" s="17">
        <f>IF(MONTH(Table1[[#This Row],[Loss date]])&lt;Policy_Inception_Month,YEAR(Table1[[#This Row],[Loss date]])-1,YEAR(Table1[[#This Row],[Loss date]]))</f>
        <v>2014</v>
      </c>
      <c r="G1107" s="10" t="s">
        <v>129</v>
      </c>
      <c r="H1107" s="10" t="s">
        <v>2</v>
      </c>
      <c r="I1107" s="11">
        <v>0</v>
      </c>
      <c r="J1107" s="11">
        <v>43115.26066046577</v>
      </c>
      <c r="K1107" s="11">
        <v>43115.26066046577</v>
      </c>
      <c r="L1107" s="12">
        <v>0</v>
      </c>
      <c r="M1107" s="12">
        <v>0</v>
      </c>
      <c r="N1107" s="12">
        <v>43115.26066046577</v>
      </c>
      <c r="O1107" s="70">
        <f>IF(Table1[[#This Row],[Overall amount]]=0,0,1)</f>
        <v>1</v>
      </c>
      <c r="P1107" s="70">
        <f>Table1[[#This Row],[Overall amount]]*Exchange_Rate</f>
        <v>43115.26066046577</v>
      </c>
      <c r="Q1107" s="70">
        <f>Table1[[#This Row],[Overall (destination currency)]]*(1+Claims_Inflation)^((Revalue_at_date-Table1[[#This Row],[Loss date]])/365.25)</f>
        <v>46266</v>
      </c>
      <c r="R1107" s="70">
        <f>INT(Table1[[#This Row],[Reporting date]])-INT(Table1[[#This Row],[Loss date]])</f>
        <v>15</v>
      </c>
      <c r="S1107" s="69" t="s">
        <v>16</v>
      </c>
      <c r="T1107" s="70">
        <f>VLOOKUP(Table1[[#This Row],[Policy Year]],exposure_table,3,FALSE)</f>
        <v>1076.5070266272189</v>
      </c>
      <c r="U1107" s="17">
        <f>IF(MONTH(Table1[[#This Row],[Reporting date]])&lt;Policy_Inception_Month,YEAR(Table1[[#This Row],[Reporting date]])-1,YEAR(Table1[[#This Row],[Reporting date]]))</f>
        <v>2014</v>
      </c>
      <c r="V1107" s="17">
        <f>Table1[[#This Row],[Reporting year]]-Table1[[#This Row],[Policy Year]]</f>
        <v>0</v>
      </c>
      <c r="W1107" s="17">
        <f>INT(Table1[[#This Row],[Reporting date]])-INT(Table1[[#This Row],[Loss date]])</f>
        <v>15</v>
      </c>
      <c r="X1107" s="17">
        <f>INT((YEAR(Table1[[#This Row],[Loss date]])*12+MONTH(Table1[[#This Row],[Loss date]])-Earliest_Month)/4)</f>
        <v>27</v>
      </c>
      <c r="Y1107" s="17">
        <f>INT((YEAR(Table1[[#This Row],[Reporting date]])*12+MONTH(Table1[[#This Row],[Reporting date]])-Earliest_Month)/4)</f>
        <v>27</v>
      </c>
      <c r="Z1107" s="17">
        <f>Table1[[#This Row],[Reporting third]]-Table1[[#This Row],[Policy third]]</f>
        <v>0</v>
      </c>
      <c r="AA1107" s="71">
        <f>IF(Table1[[#This Row],[Overall amount]]=0,"N/A",Table1[[#This Row],[Outstanding]]/Table1[[#This Row],[Overall amount]])</f>
        <v>1</v>
      </c>
      <c r="AB1107" s="17">
        <f>IF(MONTH(Table1[[#This Row],[Loss date]])&lt;Pol_Inc_Month_Shifted,YEAR(Table1[[#This Row],[Loss date]])-1,YEAR(Table1[[#This Row],[Loss date]]))</f>
        <v>2013</v>
      </c>
      <c r="AC1107" s="17">
        <f>IF(MONTH(Table1[[#This Row],[Reporting date]])&lt;Pol_Inc_Month_Shifted,YEAR(Table1[[#This Row],[Reporting date]])-1,YEAR(Table1[[#This Row],[Reporting date]]))</f>
        <v>2013</v>
      </c>
      <c r="AD1107" s="17">
        <f>Table1[[#This Row],[Reporting year (shifted)]]-Table1[[#This Row],[Policy Year (shifted)]]</f>
        <v>0</v>
      </c>
    </row>
    <row r="1108" spans="1:30" ht="13.9">
      <c r="A1108" s="8" t="s">
        <v>2878</v>
      </c>
      <c r="B1108" s="8" t="s">
        <v>1160</v>
      </c>
      <c r="C1108" s="8" t="s">
        <v>118</v>
      </c>
      <c r="D1108" s="9">
        <v>41790</v>
      </c>
      <c r="E1108" s="9">
        <v>41792</v>
      </c>
      <c r="F1108" s="17">
        <f>IF(MONTH(Table1[[#This Row],[Loss date]])&lt;Policy_Inception_Month,YEAR(Table1[[#This Row],[Loss date]])-1,YEAR(Table1[[#This Row],[Loss date]]))</f>
        <v>2014</v>
      </c>
      <c r="G1108" s="10" t="s">
        <v>129</v>
      </c>
      <c r="H1108" s="10" t="s">
        <v>2</v>
      </c>
      <c r="I1108" s="11">
        <v>0</v>
      </c>
      <c r="J1108" s="11">
        <v>0</v>
      </c>
      <c r="K1108" s="11">
        <v>0</v>
      </c>
      <c r="L1108" s="12">
        <v>0</v>
      </c>
      <c r="M1108" s="12">
        <v>0</v>
      </c>
      <c r="N1108" s="12">
        <v>0</v>
      </c>
      <c r="O1108" s="70">
        <f>IF(Table1[[#This Row],[Overall amount]]=0,0,1)</f>
        <v>0</v>
      </c>
      <c r="P1108" s="70">
        <f>Table1[[#This Row],[Overall amount]]*Exchange_Rate</f>
        <v>0</v>
      </c>
      <c r="Q1108" s="70">
        <f>Table1[[#This Row],[Overall (destination currency)]]*(1+Claims_Inflation)^((Revalue_at_date-Table1[[#This Row],[Loss date]])/365.25)</f>
        <v>0</v>
      </c>
      <c r="R1108" s="70">
        <f>INT(Table1[[#This Row],[Reporting date]])-INT(Table1[[#This Row],[Loss date]])</f>
        <v>2</v>
      </c>
      <c r="S1108" s="69" t="s">
        <v>9</v>
      </c>
      <c r="T1108" s="70">
        <f>VLOOKUP(Table1[[#This Row],[Policy Year]],exposure_table,3,FALSE)</f>
        <v>1076.5070266272189</v>
      </c>
      <c r="U1108" s="17">
        <f>IF(MONTH(Table1[[#This Row],[Reporting date]])&lt;Policy_Inception_Month,YEAR(Table1[[#This Row],[Reporting date]])-1,YEAR(Table1[[#This Row],[Reporting date]]))</f>
        <v>2014</v>
      </c>
      <c r="V1108" s="17">
        <f>Table1[[#This Row],[Reporting year]]-Table1[[#This Row],[Policy Year]]</f>
        <v>0</v>
      </c>
      <c r="W1108" s="17">
        <f>INT(Table1[[#This Row],[Reporting date]])-INT(Table1[[#This Row],[Loss date]])</f>
        <v>2</v>
      </c>
      <c r="X1108" s="17">
        <f>INT((YEAR(Table1[[#This Row],[Loss date]])*12+MONTH(Table1[[#This Row],[Loss date]])-Earliest_Month)/4)</f>
        <v>27</v>
      </c>
      <c r="Y1108" s="17">
        <f>INT((YEAR(Table1[[#This Row],[Reporting date]])*12+MONTH(Table1[[#This Row],[Reporting date]])-Earliest_Month)/4)</f>
        <v>27</v>
      </c>
      <c r="Z1108" s="17">
        <f>Table1[[#This Row],[Reporting third]]-Table1[[#This Row],[Policy third]]</f>
        <v>0</v>
      </c>
      <c r="AA1108" s="71" t="str">
        <f>IF(Table1[[#This Row],[Overall amount]]=0,"N/A",Table1[[#This Row],[Outstanding]]/Table1[[#This Row],[Overall amount]])</f>
        <v>N/A</v>
      </c>
      <c r="AB1108" s="17">
        <f>IF(MONTH(Table1[[#This Row],[Loss date]])&lt;Pol_Inc_Month_Shifted,YEAR(Table1[[#This Row],[Loss date]])-1,YEAR(Table1[[#This Row],[Loss date]]))</f>
        <v>2013</v>
      </c>
      <c r="AC1108" s="17">
        <f>IF(MONTH(Table1[[#This Row],[Reporting date]])&lt;Pol_Inc_Month_Shifted,YEAR(Table1[[#This Row],[Reporting date]])-1,YEAR(Table1[[#This Row],[Reporting date]]))</f>
        <v>2013</v>
      </c>
      <c r="AD1108" s="17">
        <f>Table1[[#This Row],[Reporting year (shifted)]]-Table1[[#This Row],[Policy Year (shifted)]]</f>
        <v>0</v>
      </c>
    </row>
    <row r="1109" spans="1:30" ht="13.9">
      <c r="A1109" s="8" t="s">
        <v>2879</v>
      </c>
      <c r="B1109" s="8" t="s">
        <v>1161</v>
      </c>
      <c r="C1109" s="8" t="s">
        <v>118</v>
      </c>
      <c r="D1109" s="9">
        <v>41805</v>
      </c>
      <c r="E1109" s="9">
        <v>41811</v>
      </c>
      <c r="F1109" s="17">
        <f>IF(MONTH(Table1[[#This Row],[Loss date]])&lt;Policy_Inception_Month,YEAR(Table1[[#This Row],[Loss date]])-1,YEAR(Table1[[#This Row],[Loss date]]))</f>
        <v>2014</v>
      </c>
      <c r="G1109" s="10" t="s">
        <v>121</v>
      </c>
      <c r="H1109" s="10" t="s">
        <v>2</v>
      </c>
      <c r="I1109" s="11">
        <v>0</v>
      </c>
      <c r="J1109" s="11">
        <v>16897.88267067969</v>
      </c>
      <c r="K1109" s="11">
        <v>16897.88267067969</v>
      </c>
      <c r="L1109" s="12">
        <v>0</v>
      </c>
      <c r="M1109" s="12">
        <v>0</v>
      </c>
      <c r="N1109" s="12">
        <v>16897.88267067969</v>
      </c>
      <c r="O1109" s="70">
        <f>IF(Table1[[#This Row],[Overall amount]]=0,0,1)</f>
        <v>1</v>
      </c>
      <c r="P1109" s="70">
        <f>Table1[[#This Row],[Overall amount]]*Exchange_Rate</f>
        <v>16897.88267067969</v>
      </c>
      <c r="Q1109" s="70">
        <f>Table1[[#This Row],[Overall (destination currency)]]*(1+Claims_Inflation)^((Revalue_at_date-Table1[[#This Row],[Loss date]])/365.25)</f>
        <v>18000</v>
      </c>
      <c r="R1109" s="70">
        <f>INT(Table1[[#This Row],[Reporting date]])-INT(Table1[[#This Row],[Loss date]])</f>
        <v>6</v>
      </c>
      <c r="S1109" s="69" t="s">
        <v>16</v>
      </c>
      <c r="T1109" s="70">
        <f>VLOOKUP(Table1[[#This Row],[Policy Year]],exposure_table,3,FALSE)</f>
        <v>1076.5070266272189</v>
      </c>
      <c r="U1109" s="17">
        <f>IF(MONTH(Table1[[#This Row],[Reporting date]])&lt;Policy_Inception_Month,YEAR(Table1[[#This Row],[Reporting date]])-1,YEAR(Table1[[#This Row],[Reporting date]]))</f>
        <v>2014</v>
      </c>
      <c r="V1109" s="17">
        <f>Table1[[#This Row],[Reporting year]]-Table1[[#This Row],[Policy Year]]</f>
        <v>0</v>
      </c>
      <c r="W1109" s="17">
        <f>INT(Table1[[#This Row],[Reporting date]])-INT(Table1[[#This Row],[Loss date]])</f>
        <v>6</v>
      </c>
      <c r="X1109" s="17">
        <f>INT((YEAR(Table1[[#This Row],[Loss date]])*12+MONTH(Table1[[#This Row],[Loss date]])-Earliest_Month)/4)</f>
        <v>27</v>
      </c>
      <c r="Y1109" s="17">
        <f>INT((YEAR(Table1[[#This Row],[Reporting date]])*12+MONTH(Table1[[#This Row],[Reporting date]])-Earliest_Month)/4)</f>
        <v>27</v>
      </c>
      <c r="Z1109" s="17">
        <f>Table1[[#This Row],[Reporting third]]-Table1[[#This Row],[Policy third]]</f>
        <v>0</v>
      </c>
      <c r="AA1109" s="71">
        <f>IF(Table1[[#This Row],[Overall amount]]=0,"N/A",Table1[[#This Row],[Outstanding]]/Table1[[#This Row],[Overall amount]])</f>
        <v>1</v>
      </c>
      <c r="AB1109" s="17">
        <f>IF(MONTH(Table1[[#This Row],[Loss date]])&lt;Pol_Inc_Month_Shifted,YEAR(Table1[[#This Row],[Loss date]])-1,YEAR(Table1[[#This Row],[Loss date]]))</f>
        <v>2013</v>
      </c>
      <c r="AC1109" s="17">
        <f>IF(MONTH(Table1[[#This Row],[Reporting date]])&lt;Pol_Inc_Month_Shifted,YEAR(Table1[[#This Row],[Reporting date]])-1,YEAR(Table1[[#This Row],[Reporting date]]))</f>
        <v>2013</v>
      </c>
      <c r="AD1109" s="17">
        <f>Table1[[#This Row],[Reporting year (shifted)]]-Table1[[#This Row],[Policy Year (shifted)]]</f>
        <v>0</v>
      </c>
    </row>
    <row r="1110" spans="1:30" ht="13.9">
      <c r="A1110" s="8" t="s">
        <v>2880</v>
      </c>
      <c r="B1110" s="8" t="s">
        <v>1162</v>
      </c>
      <c r="C1110" s="8" t="s">
        <v>118</v>
      </c>
      <c r="D1110" s="9">
        <v>41421</v>
      </c>
      <c r="E1110" s="9">
        <v>41785</v>
      </c>
      <c r="F1110" s="17">
        <f>IF(MONTH(Table1[[#This Row],[Loss date]])&lt;Policy_Inception_Month,YEAR(Table1[[#This Row],[Loss date]])-1,YEAR(Table1[[#This Row],[Loss date]]))</f>
        <v>2013</v>
      </c>
      <c r="G1110" s="10" t="s">
        <v>129</v>
      </c>
      <c r="H1110" s="10" t="s">
        <v>2</v>
      </c>
      <c r="I1110" s="11">
        <v>1875.5427545521445</v>
      </c>
      <c r="J1110" s="11">
        <v>0</v>
      </c>
      <c r="K1110" s="11">
        <v>1875.5427545521445</v>
      </c>
      <c r="L1110" s="12">
        <v>0</v>
      </c>
      <c r="M1110" s="12">
        <v>0</v>
      </c>
      <c r="N1110" s="12">
        <v>1875.5427545521445</v>
      </c>
      <c r="O1110" s="70">
        <f>IF(Table1[[#This Row],[Overall amount]]=0,0,1)</f>
        <v>1</v>
      </c>
      <c r="P1110" s="70">
        <f>Table1[[#This Row],[Overall amount]]*Exchange_Rate</f>
        <v>1875.5427545521445</v>
      </c>
      <c r="Q1110" s="70">
        <f>Table1[[#This Row],[Overall (destination currency)]]*(1+Claims_Inflation)^((Revalue_at_date-Table1[[#This Row],[Loss date]])/365.25)</f>
        <v>2103.0239999999999</v>
      </c>
      <c r="R1110" s="70">
        <f>INT(Table1[[#This Row],[Reporting date]])-INT(Table1[[#This Row],[Loss date]])</f>
        <v>364</v>
      </c>
      <c r="S1110" s="69" t="s">
        <v>9</v>
      </c>
      <c r="T1110" s="70">
        <f>VLOOKUP(Table1[[#This Row],[Policy Year]],exposure_table,3,FALSE)</f>
        <v>1090.5865384615383</v>
      </c>
      <c r="U1110" s="17">
        <f>IF(MONTH(Table1[[#This Row],[Reporting date]])&lt;Policy_Inception_Month,YEAR(Table1[[#This Row],[Reporting date]])-1,YEAR(Table1[[#This Row],[Reporting date]]))</f>
        <v>2014</v>
      </c>
      <c r="V1110" s="17">
        <f>Table1[[#This Row],[Reporting year]]-Table1[[#This Row],[Policy Year]]</f>
        <v>1</v>
      </c>
      <c r="W1110" s="17">
        <f>INT(Table1[[#This Row],[Reporting date]])-INT(Table1[[#This Row],[Loss date]])</f>
        <v>364</v>
      </c>
      <c r="X1110" s="17">
        <f>INT((YEAR(Table1[[#This Row],[Loss date]])*12+MONTH(Table1[[#This Row],[Loss date]])-Earliest_Month)/4)</f>
        <v>24</v>
      </c>
      <c r="Y1110" s="17">
        <f>INT((YEAR(Table1[[#This Row],[Reporting date]])*12+MONTH(Table1[[#This Row],[Reporting date]])-Earliest_Month)/4)</f>
        <v>27</v>
      </c>
      <c r="Z1110" s="17">
        <f>Table1[[#This Row],[Reporting third]]-Table1[[#This Row],[Policy third]]</f>
        <v>3</v>
      </c>
      <c r="AA1110" s="71">
        <f>IF(Table1[[#This Row],[Overall amount]]=0,"N/A",Table1[[#This Row],[Outstanding]]/Table1[[#This Row],[Overall amount]])</f>
        <v>0</v>
      </c>
      <c r="AB1110" s="17">
        <f>IF(MONTH(Table1[[#This Row],[Loss date]])&lt;Pol_Inc_Month_Shifted,YEAR(Table1[[#This Row],[Loss date]])-1,YEAR(Table1[[#This Row],[Loss date]]))</f>
        <v>2012</v>
      </c>
      <c r="AC1110" s="17">
        <f>IF(MONTH(Table1[[#This Row],[Reporting date]])&lt;Pol_Inc_Month_Shifted,YEAR(Table1[[#This Row],[Reporting date]])-1,YEAR(Table1[[#This Row],[Reporting date]]))</f>
        <v>2013</v>
      </c>
      <c r="AD1110" s="17">
        <f>Table1[[#This Row],[Reporting year (shifted)]]-Table1[[#This Row],[Policy Year (shifted)]]</f>
        <v>1</v>
      </c>
    </row>
    <row r="1111" spans="1:30" ht="13.9">
      <c r="A1111" s="8" t="s">
        <v>2881</v>
      </c>
      <c r="B1111" s="8" t="s">
        <v>1163</v>
      </c>
      <c r="C1111" s="8" t="s">
        <v>118</v>
      </c>
      <c r="D1111" s="9">
        <v>41791</v>
      </c>
      <c r="E1111" s="9">
        <v>41811</v>
      </c>
      <c r="F1111" s="17">
        <f>IF(MONTH(Table1[[#This Row],[Loss date]])&lt;Policy_Inception_Month,YEAR(Table1[[#This Row],[Loss date]])-1,YEAR(Table1[[#This Row],[Loss date]]))</f>
        <v>2014</v>
      </c>
      <c r="G1111" s="10" t="s">
        <v>129</v>
      </c>
      <c r="H1111" s="10" t="s">
        <v>2</v>
      </c>
      <c r="I1111" s="11">
        <v>1663.0182732872743</v>
      </c>
      <c r="J1111" s="11">
        <v>0</v>
      </c>
      <c r="K1111" s="11">
        <v>1663.0182732872743</v>
      </c>
      <c r="L1111" s="12">
        <v>337.32622176212465</v>
      </c>
      <c r="M1111" s="12">
        <v>0</v>
      </c>
      <c r="N1111" s="12">
        <v>2000.344495049399</v>
      </c>
      <c r="O1111" s="70">
        <f>IF(Table1[[#This Row],[Overall amount]]=0,0,1)</f>
        <v>1</v>
      </c>
      <c r="P1111" s="70">
        <f>Table1[[#This Row],[Overall amount]]*Exchange_Rate</f>
        <v>2000.344495049399</v>
      </c>
      <c r="Q1111" s="70">
        <f>Table1[[#This Row],[Overall (destination currency)]]*(1+Claims_Inflation)^((Revalue_at_date-Table1[[#This Row],[Loss date]])/365.25)</f>
        <v>2134.7999999999997</v>
      </c>
      <c r="R1111" s="70">
        <f>INT(Table1[[#This Row],[Reporting date]])-INT(Table1[[#This Row],[Loss date]])</f>
        <v>20</v>
      </c>
      <c r="S1111" s="69" t="s">
        <v>9</v>
      </c>
      <c r="T1111" s="70">
        <f>VLOOKUP(Table1[[#This Row],[Policy Year]],exposure_table,3,FALSE)</f>
        <v>1076.5070266272189</v>
      </c>
      <c r="U1111" s="17">
        <f>IF(MONTH(Table1[[#This Row],[Reporting date]])&lt;Policy_Inception_Month,YEAR(Table1[[#This Row],[Reporting date]])-1,YEAR(Table1[[#This Row],[Reporting date]]))</f>
        <v>2014</v>
      </c>
      <c r="V1111" s="17">
        <f>Table1[[#This Row],[Reporting year]]-Table1[[#This Row],[Policy Year]]</f>
        <v>0</v>
      </c>
      <c r="W1111" s="17">
        <f>INT(Table1[[#This Row],[Reporting date]])-INT(Table1[[#This Row],[Loss date]])</f>
        <v>20</v>
      </c>
      <c r="X1111" s="17">
        <f>INT((YEAR(Table1[[#This Row],[Loss date]])*12+MONTH(Table1[[#This Row],[Loss date]])-Earliest_Month)/4)</f>
        <v>27</v>
      </c>
      <c r="Y1111" s="17">
        <f>INT((YEAR(Table1[[#This Row],[Reporting date]])*12+MONTH(Table1[[#This Row],[Reporting date]])-Earliest_Month)/4)</f>
        <v>27</v>
      </c>
      <c r="Z1111" s="17">
        <f>Table1[[#This Row],[Reporting third]]-Table1[[#This Row],[Policy third]]</f>
        <v>0</v>
      </c>
      <c r="AA1111" s="71">
        <f>IF(Table1[[#This Row],[Overall amount]]=0,"N/A",Table1[[#This Row],[Outstanding]]/Table1[[#This Row],[Overall amount]])</f>
        <v>0</v>
      </c>
      <c r="AB1111" s="17">
        <f>IF(MONTH(Table1[[#This Row],[Loss date]])&lt;Pol_Inc_Month_Shifted,YEAR(Table1[[#This Row],[Loss date]])-1,YEAR(Table1[[#This Row],[Loss date]]))</f>
        <v>2013</v>
      </c>
      <c r="AC1111" s="17">
        <f>IF(MONTH(Table1[[#This Row],[Reporting date]])&lt;Pol_Inc_Month_Shifted,YEAR(Table1[[#This Row],[Reporting date]])-1,YEAR(Table1[[#This Row],[Reporting date]]))</f>
        <v>2013</v>
      </c>
      <c r="AD1111" s="17">
        <f>Table1[[#This Row],[Reporting year (shifted)]]-Table1[[#This Row],[Policy Year (shifted)]]</f>
        <v>0</v>
      </c>
    </row>
    <row r="1112" spans="1:30" ht="13.9">
      <c r="A1112" s="8" t="s">
        <v>2882</v>
      </c>
      <c r="B1112" s="8" t="s">
        <v>1164</v>
      </c>
      <c r="C1112" s="8" t="s">
        <v>118</v>
      </c>
      <c r="D1112" s="9">
        <v>41834</v>
      </c>
      <c r="E1112" s="9">
        <v>41840</v>
      </c>
      <c r="F1112" s="17">
        <f>IF(MONTH(Table1[[#This Row],[Loss date]])&lt;Policy_Inception_Month,YEAR(Table1[[#This Row],[Loss date]])-1,YEAR(Table1[[#This Row],[Loss date]]))</f>
        <v>2014</v>
      </c>
      <c r="G1112" s="10" t="s">
        <v>129</v>
      </c>
      <c r="H1112" s="10" t="s">
        <v>2</v>
      </c>
      <c r="I1112" s="11">
        <v>0</v>
      </c>
      <c r="J1112" s="11">
        <v>33926.93814489455</v>
      </c>
      <c r="K1112" s="11">
        <v>33926.93814489455</v>
      </c>
      <c r="L1112" s="12">
        <v>0</v>
      </c>
      <c r="M1112" s="12">
        <v>0</v>
      </c>
      <c r="N1112" s="12">
        <v>33926.93814489455</v>
      </c>
      <c r="O1112" s="70">
        <f>IF(Table1[[#This Row],[Overall amount]]=0,0,1)</f>
        <v>1</v>
      </c>
      <c r="P1112" s="70">
        <f>Table1[[#This Row],[Overall amount]]*Exchange_Rate</f>
        <v>33926.93814489455</v>
      </c>
      <c r="Q1112" s="70">
        <f>Table1[[#This Row],[Overall (destination currency)]]*(1+Claims_Inflation)^((Revalue_at_date-Table1[[#This Row],[Loss date]])/365.25)</f>
        <v>36000</v>
      </c>
      <c r="R1112" s="70">
        <f>INT(Table1[[#This Row],[Reporting date]])-INT(Table1[[#This Row],[Loss date]])</f>
        <v>6</v>
      </c>
      <c r="S1112" s="69" t="s">
        <v>16</v>
      </c>
      <c r="T1112" s="70">
        <f>VLOOKUP(Table1[[#This Row],[Policy Year]],exposure_table,3,FALSE)</f>
        <v>1076.5070266272189</v>
      </c>
      <c r="U1112" s="17">
        <f>IF(MONTH(Table1[[#This Row],[Reporting date]])&lt;Policy_Inception_Month,YEAR(Table1[[#This Row],[Reporting date]])-1,YEAR(Table1[[#This Row],[Reporting date]]))</f>
        <v>2014</v>
      </c>
      <c r="V1112" s="17">
        <f>Table1[[#This Row],[Reporting year]]-Table1[[#This Row],[Policy Year]]</f>
        <v>0</v>
      </c>
      <c r="W1112" s="17">
        <f>INT(Table1[[#This Row],[Reporting date]])-INT(Table1[[#This Row],[Loss date]])</f>
        <v>6</v>
      </c>
      <c r="X1112" s="17">
        <f>INT((YEAR(Table1[[#This Row],[Loss date]])*12+MONTH(Table1[[#This Row],[Loss date]])-Earliest_Month)/4)</f>
        <v>27</v>
      </c>
      <c r="Y1112" s="17">
        <f>INT((YEAR(Table1[[#This Row],[Reporting date]])*12+MONTH(Table1[[#This Row],[Reporting date]])-Earliest_Month)/4)</f>
        <v>27</v>
      </c>
      <c r="Z1112" s="17">
        <f>Table1[[#This Row],[Reporting third]]-Table1[[#This Row],[Policy third]]</f>
        <v>0</v>
      </c>
      <c r="AA1112" s="71">
        <f>IF(Table1[[#This Row],[Overall amount]]=0,"N/A",Table1[[#This Row],[Outstanding]]/Table1[[#This Row],[Overall amount]])</f>
        <v>1</v>
      </c>
      <c r="AB1112" s="17">
        <f>IF(MONTH(Table1[[#This Row],[Loss date]])&lt;Pol_Inc_Month_Shifted,YEAR(Table1[[#This Row],[Loss date]])-1,YEAR(Table1[[#This Row],[Loss date]]))</f>
        <v>2013</v>
      </c>
      <c r="AC1112" s="17">
        <f>IF(MONTH(Table1[[#This Row],[Reporting date]])&lt;Pol_Inc_Month_Shifted,YEAR(Table1[[#This Row],[Reporting date]])-1,YEAR(Table1[[#This Row],[Reporting date]]))</f>
        <v>2013</v>
      </c>
      <c r="AD1112" s="17">
        <f>Table1[[#This Row],[Reporting year (shifted)]]-Table1[[#This Row],[Policy Year (shifted)]]</f>
        <v>0</v>
      </c>
    </row>
    <row r="1113" spans="1:30" ht="13.9">
      <c r="A1113" s="8" t="s">
        <v>2883</v>
      </c>
      <c r="B1113" s="8" t="s">
        <v>1165</v>
      </c>
      <c r="C1113" s="8" t="s">
        <v>118</v>
      </c>
      <c r="D1113" s="9">
        <v>41730</v>
      </c>
      <c r="E1113" s="9">
        <v>41813</v>
      </c>
      <c r="F1113" s="17">
        <f>IF(MONTH(Table1[[#This Row],[Loss date]])&lt;Policy_Inception_Month,YEAR(Table1[[#This Row],[Loss date]])-1,YEAR(Table1[[#This Row],[Loss date]]))</f>
        <v>2014</v>
      </c>
      <c r="G1113" s="10" t="s">
        <v>129</v>
      </c>
      <c r="H1113" s="10" t="s">
        <v>2</v>
      </c>
      <c r="I1113" s="11">
        <v>0</v>
      </c>
      <c r="J1113" s="11">
        <v>5576.4787312571816</v>
      </c>
      <c r="K1113" s="11">
        <v>5576.4787312571816</v>
      </c>
      <c r="L1113" s="12">
        <v>0</v>
      </c>
      <c r="M1113" s="12">
        <v>0</v>
      </c>
      <c r="N1113" s="12">
        <v>5576.4787312571816</v>
      </c>
      <c r="O1113" s="70">
        <f>IF(Table1[[#This Row],[Overall amount]]=0,0,1)</f>
        <v>1</v>
      </c>
      <c r="P1113" s="70">
        <f>Table1[[#This Row],[Overall amount]]*Exchange_Rate</f>
        <v>5576.4787312571816</v>
      </c>
      <c r="Q1113" s="70">
        <f>Table1[[#This Row],[Overall (destination currency)]]*(1+Claims_Inflation)^((Revalue_at_date-Table1[[#This Row],[Loss date]])/365.25)</f>
        <v>6000</v>
      </c>
      <c r="R1113" s="70">
        <f>INT(Table1[[#This Row],[Reporting date]])-INT(Table1[[#This Row],[Loss date]])</f>
        <v>83</v>
      </c>
      <c r="S1113" s="69" t="s">
        <v>16</v>
      </c>
      <c r="T1113" s="70">
        <f>VLOOKUP(Table1[[#This Row],[Policy Year]],exposure_table,3,FALSE)</f>
        <v>1076.5070266272189</v>
      </c>
      <c r="U1113" s="17">
        <f>IF(MONTH(Table1[[#This Row],[Reporting date]])&lt;Policy_Inception_Month,YEAR(Table1[[#This Row],[Reporting date]])-1,YEAR(Table1[[#This Row],[Reporting date]]))</f>
        <v>2014</v>
      </c>
      <c r="V1113" s="17">
        <f>Table1[[#This Row],[Reporting year]]-Table1[[#This Row],[Policy Year]]</f>
        <v>0</v>
      </c>
      <c r="W1113" s="17">
        <f>INT(Table1[[#This Row],[Reporting date]])-INT(Table1[[#This Row],[Loss date]])</f>
        <v>83</v>
      </c>
      <c r="X1113" s="17">
        <f>INT((YEAR(Table1[[#This Row],[Loss date]])*12+MONTH(Table1[[#This Row],[Loss date]])-Earliest_Month)/4)</f>
        <v>27</v>
      </c>
      <c r="Y1113" s="17">
        <f>INT((YEAR(Table1[[#This Row],[Reporting date]])*12+MONTH(Table1[[#This Row],[Reporting date]])-Earliest_Month)/4)</f>
        <v>27</v>
      </c>
      <c r="Z1113" s="17">
        <f>Table1[[#This Row],[Reporting third]]-Table1[[#This Row],[Policy third]]</f>
        <v>0</v>
      </c>
      <c r="AA1113" s="71">
        <f>IF(Table1[[#This Row],[Overall amount]]=0,"N/A",Table1[[#This Row],[Outstanding]]/Table1[[#This Row],[Overall amount]])</f>
        <v>1</v>
      </c>
      <c r="AB1113" s="17">
        <f>IF(MONTH(Table1[[#This Row],[Loss date]])&lt;Pol_Inc_Month_Shifted,YEAR(Table1[[#This Row],[Loss date]])-1,YEAR(Table1[[#This Row],[Loss date]]))</f>
        <v>2013</v>
      </c>
      <c r="AC1113" s="17">
        <f>IF(MONTH(Table1[[#This Row],[Reporting date]])&lt;Pol_Inc_Month_Shifted,YEAR(Table1[[#This Row],[Reporting date]])-1,YEAR(Table1[[#This Row],[Reporting date]]))</f>
        <v>2013</v>
      </c>
      <c r="AD1113" s="17">
        <f>Table1[[#This Row],[Reporting year (shifted)]]-Table1[[#This Row],[Policy Year (shifted)]]</f>
        <v>0</v>
      </c>
    </row>
    <row r="1114" spans="1:30" ht="13.9">
      <c r="A1114" s="8" t="s">
        <v>2884</v>
      </c>
      <c r="B1114" s="8" t="s">
        <v>1166</v>
      </c>
      <c r="C1114" s="8" t="s">
        <v>118</v>
      </c>
      <c r="D1114" s="9">
        <v>41669</v>
      </c>
      <c r="E1114" s="9">
        <v>41819</v>
      </c>
      <c r="F1114" s="17">
        <f>IF(MONTH(Table1[[#This Row],[Loss date]])&lt;Policy_Inception_Month,YEAR(Table1[[#This Row],[Loss date]])-1,YEAR(Table1[[#This Row],[Loss date]]))</f>
        <v>2013</v>
      </c>
      <c r="G1114" s="10" t="s">
        <v>152</v>
      </c>
      <c r="H1114" s="10" t="s">
        <v>2</v>
      </c>
      <c r="I1114" s="11">
        <v>0</v>
      </c>
      <c r="J1114" s="11">
        <v>16593.672077994263</v>
      </c>
      <c r="K1114" s="11">
        <v>16593.672077994263</v>
      </c>
      <c r="L1114" s="12">
        <v>331.87344155988524</v>
      </c>
      <c r="M1114" s="12">
        <v>0</v>
      </c>
      <c r="N1114" s="12">
        <v>16925.545519554147</v>
      </c>
      <c r="O1114" s="70">
        <f>IF(Table1[[#This Row],[Overall amount]]=0,0,1)</f>
        <v>1</v>
      </c>
      <c r="P1114" s="70">
        <f>Table1[[#This Row],[Overall amount]]*Exchange_Rate</f>
        <v>16925.545519554147</v>
      </c>
      <c r="Q1114" s="70">
        <f>Table1[[#This Row],[Overall (destination currency)]]*(1+Claims_Inflation)^((Revalue_at_date-Table1[[#This Row],[Loss date]])/365.25)</f>
        <v>18360</v>
      </c>
      <c r="R1114" s="70">
        <f>INT(Table1[[#This Row],[Reporting date]])-INT(Table1[[#This Row],[Loss date]])</f>
        <v>150</v>
      </c>
      <c r="S1114" s="69" t="s">
        <v>16</v>
      </c>
      <c r="T1114" s="70">
        <f>VLOOKUP(Table1[[#This Row],[Policy Year]],exposure_table,3,FALSE)</f>
        <v>1090.5865384615383</v>
      </c>
      <c r="U1114" s="17">
        <f>IF(MONTH(Table1[[#This Row],[Reporting date]])&lt;Policy_Inception_Month,YEAR(Table1[[#This Row],[Reporting date]])-1,YEAR(Table1[[#This Row],[Reporting date]]))</f>
        <v>2014</v>
      </c>
      <c r="V1114" s="17">
        <f>Table1[[#This Row],[Reporting year]]-Table1[[#This Row],[Policy Year]]</f>
        <v>1</v>
      </c>
      <c r="W1114" s="17">
        <f>INT(Table1[[#This Row],[Reporting date]])-INT(Table1[[#This Row],[Loss date]])</f>
        <v>150</v>
      </c>
      <c r="X1114" s="17">
        <f>INT((YEAR(Table1[[#This Row],[Loss date]])*12+MONTH(Table1[[#This Row],[Loss date]])-Earliest_Month)/4)</f>
        <v>26</v>
      </c>
      <c r="Y1114" s="17">
        <f>INT((YEAR(Table1[[#This Row],[Reporting date]])*12+MONTH(Table1[[#This Row],[Reporting date]])-Earliest_Month)/4)</f>
        <v>27</v>
      </c>
      <c r="Z1114" s="17">
        <f>Table1[[#This Row],[Reporting third]]-Table1[[#This Row],[Policy third]]</f>
        <v>1</v>
      </c>
      <c r="AA1114" s="71">
        <f>IF(Table1[[#This Row],[Overall amount]]=0,"N/A",Table1[[#This Row],[Outstanding]]/Table1[[#This Row],[Overall amount]])</f>
        <v>0.98039215686274517</v>
      </c>
      <c r="AB1114" s="17">
        <f>IF(MONTH(Table1[[#This Row],[Loss date]])&lt;Pol_Inc_Month_Shifted,YEAR(Table1[[#This Row],[Loss date]])-1,YEAR(Table1[[#This Row],[Loss date]]))</f>
        <v>2013</v>
      </c>
      <c r="AC1114" s="17">
        <f>IF(MONTH(Table1[[#This Row],[Reporting date]])&lt;Pol_Inc_Month_Shifted,YEAR(Table1[[#This Row],[Reporting date]])-1,YEAR(Table1[[#This Row],[Reporting date]]))</f>
        <v>2013</v>
      </c>
      <c r="AD1114" s="17">
        <f>Table1[[#This Row],[Reporting year (shifted)]]-Table1[[#This Row],[Policy Year (shifted)]]</f>
        <v>0</v>
      </c>
    </row>
    <row r="1115" spans="1:30" ht="13.9">
      <c r="A1115" s="8" t="s">
        <v>2885</v>
      </c>
      <c r="B1115" s="8" t="s">
        <v>1167</v>
      </c>
      <c r="C1115" s="8" t="s">
        <v>118</v>
      </c>
      <c r="D1115" s="9">
        <v>41806</v>
      </c>
      <c r="E1115" s="9">
        <v>41825</v>
      </c>
      <c r="F1115" s="17">
        <f>IF(MONTH(Table1[[#This Row],[Loss date]])&lt;Policy_Inception_Month,YEAR(Table1[[#This Row],[Loss date]])-1,YEAR(Table1[[#This Row],[Loss date]]))</f>
        <v>2014</v>
      </c>
      <c r="G1115" s="10" t="s">
        <v>129</v>
      </c>
      <c r="H1115" s="10" t="s">
        <v>2</v>
      </c>
      <c r="I1115" s="11">
        <v>0</v>
      </c>
      <c r="J1115" s="11">
        <v>28166.900073022833</v>
      </c>
      <c r="K1115" s="11">
        <v>28166.900073022833</v>
      </c>
      <c r="L1115" s="12">
        <v>0</v>
      </c>
      <c r="M1115" s="12">
        <v>0</v>
      </c>
      <c r="N1115" s="12">
        <v>28166.900073022833</v>
      </c>
      <c r="O1115" s="70">
        <f>IF(Table1[[#This Row],[Overall amount]]=0,0,1)</f>
        <v>1</v>
      </c>
      <c r="P1115" s="70">
        <f>Table1[[#This Row],[Overall amount]]*Exchange_Rate</f>
        <v>28166.900073022833</v>
      </c>
      <c r="Q1115" s="70">
        <f>Table1[[#This Row],[Overall (destination currency)]]*(1+Claims_Inflation)^((Revalue_at_date-Table1[[#This Row],[Loss date]])/365.25)</f>
        <v>30000.000000000004</v>
      </c>
      <c r="R1115" s="70">
        <f>INT(Table1[[#This Row],[Reporting date]])-INT(Table1[[#This Row],[Loss date]])</f>
        <v>19</v>
      </c>
      <c r="S1115" s="69" t="s">
        <v>16</v>
      </c>
      <c r="T1115" s="70">
        <f>VLOOKUP(Table1[[#This Row],[Policy Year]],exposure_table,3,FALSE)</f>
        <v>1076.5070266272189</v>
      </c>
      <c r="U1115" s="17">
        <f>IF(MONTH(Table1[[#This Row],[Reporting date]])&lt;Policy_Inception_Month,YEAR(Table1[[#This Row],[Reporting date]])-1,YEAR(Table1[[#This Row],[Reporting date]]))</f>
        <v>2014</v>
      </c>
      <c r="V1115" s="17">
        <f>Table1[[#This Row],[Reporting year]]-Table1[[#This Row],[Policy Year]]</f>
        <v>0</v>
      </c>
      <c r="W1115" s="17">
        <f>INT(Table1[[#This Row],[Reporting date]])-INT(Table1[[#This Row],[Loss date]])</f>
        <v>19</v>
      </c>
      <c r="X1115" s="17">
        <f>INT((YEAR(Table1[[#This Row],[Loss date]])*12+MONTH(Table1[[#This Row],[Loss date]])-Earliest_Month)/4)</f>
        <v>27</v>
      </c>
      <c r="Y1115" s="17">
        <f>INT((YEAR(Table1[[#This Row],[Reporting date]])*12+MONTH(Table1[[#This Row],[Reporting date]])-Earliest_Month)/4)</f>
        <v>27</v>
      </c>
      <c r="Z1115" s="17">
        <f>Table1[[#This Row],[Reporting third]]-Table1[[#This Row],[Policy third]]</f>
        <v>0</v>
      </c>
      <c r="AA1115" s="71">
        <f>IF(Table1[[#This Row],[Overall amount]]=0,"N/A",Table1[[#This Row],[Outstanding]]/Table1[[#This Row],[Overall amount]])</f>
        <v>1</v>
      </c>
      <c r="AB1115" s="17">
        <f>IF(MONTH(Table1[[#This Row],[Loss date]])&lt;Pol_Inc_Month_Shifted,YEAR(Table1[[#This Row],[Loss date]])-1,YEAR(Table1[[#This Row],[Loss date]]))</f>
        <v>2013</v>
      </c>
      <c r="AC1115" s="17">
        <f>IF(MONTH(Table1[[#This Row],[Reporting date]])&lt;Pol_Inc_Month_Shifted,YEAR(Table1[[#This Row],[Reporting date]])-1,YEAR(Table1[[#This Row],[Reporting date]]))</f>
        <v>2013</v>
      </c>
      <c r="AD1115" s="17">
        <f>Table1[[#This Row],[Reporting year (shifted)]]-Table1[[#This Row],[Policy Year (shifted)]]</f>
        <v>0</v>
      </c>
    </row>
    <row r="1116" spans="1:30" ht="13.9">
      <c r="A1116" s="8" t="s">
        <v>2886</v>
      </c>
      <c r="B1116" s="8" t="s">
        <v>1168</v>
      </c>
      <c r="C1116" s="8" t="s">
        <v>118</v>
      </c>
      <c r="D1116" s="9">
        <v>40201</v>
      </c>
      <c r="E1116" s="9">
        <v>41856</v>
      </c>
      <c r="F1116" s="17">
        <f>IF(MONTH(Table1[[#This Row],[Loss date]])&lt;Policy_Inception_Month,YEAR(Table1[[#This Row],[Loss date]])-1,YEAR(Table1[[#This Row],[Loss date]]))</f>
        <v>2009</v>
      </c>
      <c r="G1116" s="10" t="s">
        <v>121</v>
      </c>
      <c r="H1116" s="10" t="s">
        <v>2</v>
      </c>
      <c r="I1116" s="11">
        <v>0</v>
      </c>
      <c r="J1116" s="11">
        <v>9092.5972773217818</v>
      </c>
      <c r="K1116" s="11">
        <v>9092.5972773217818</v>
      </c>
      <c r="L1116" s="12">
        <v>0</v>
      </c>
      <c r="M1116" s="12">
        <v>0</v>
      </c>
      <c r="N1116" s="12">
        <v>9092.5972773217818</v>
      </c>
      <c r="O1116" s="70">
        <f>IF(Table1[[#This Row],[Overall amount]]=0,0,1)</f>
        <v>1</v>
      </c>
      <c r="P1116" s="70">
        <f>Table1[[#This Row],[Overall amount]]*Exchange_Rate</f>
        <v>9092.5972773217818</v>
      </c>
      <c r="Q1116" s="70">
        <f>Table1[[#This Row],[Overall (destination currency)]]*(1+Claims_Inflation)^((Revalue_at_date-Table1[[#This Row],[Loss date]])/365.25)</f>
        <v>12000</v>
      </c>
      <c r="R1116" s="70">
        <f>INT(Table1[[#This Row],[Reporting date]])-INT(Table1[[#This Row],[Loss date]])</f>
        <v>1655</v>
      </c>
      <c r="S1116" s="69" t="s">
        <v>16</v>
      </c>
      <c r="T1116" s="70">
        <f>VLOOKUP(Table1[[#This Row],[Policy Year]],exposure_table,3,FALSE)</f>
        <v>760.22808576000011</v>
      </c>
      <c r="U1116" s="17">
        <f>IF(MONTH(Table1[[#This Row],[Reporting date]])&lt;Policy_Inception_Month,YEAR(Table1[[#This Row],[Reporting date]])-1,YEAR(Table1[[#This Row],[Reporting date]]))</f>
        <v>2014</v>
      </c>
      <c r="V1116" s="17">
        <f>Table1[[#This Row],[Reporting year]]-Table1[[#This Row],[Policy Year]]</f>
        <v>5</v>
      </c>
      <c r="W1116" s="17">
        <f>INT(Table1[[#This Row],[Reporting date]])-INT(Table1[[#This Row],[Loss date]])</f>
        <v>1655</v>
      </c>
      <c r="X1116" s="17">
        <f>INT((YEAR(Table1[[#This Row],[Loss date]])*12+MONTH(Table1[[#This Row],[Loss date]])-Earliest_Month)/4)</f>
        <v>14</v>
      </c>
      <c r="Y1116" s="17">
        <f>INT((YEAR(Table1[[#This Row],[Reporting date]])*12+MONTH(Table1[[#This Row],[Reporting date]])-Earliest_Month)/4)</f>
        <v>28</v>
      </c>
      <c r="Z1116" s="17">
        <f>Table1[[#This Row],[Reporting third]]-Table1[[#This Row],[Policy third]]</f>
        <v>14</v>
      </c>
      <c r="AA1116" s="71">
        <f>IF(Table1[[#This Row],[Overall amount]]=0,"N/A",Table1[[#This Row],[Outstanding]]/Table1[[#This Row],[Overall amount]])</f>
        <v>1</v>
      </c>
      <c r="AB1116" s="17">
        <f>IF(MONTH(Table1[[#This Row],[Loss date]])&lt;Pol_Inc_Month_Shifted,YEAR(Table1[[#This Row],[Loss date]])-1,YEAR(Table1[[#This Row],[Loss date]]))</f>
        <v>2009</v>
      </c>
      <c r="AC1116" s="17">
        <f>IF(MONTH(Table1[[#This Row],[Reporting date]])&lt;Pol_Inc_Month_Shifted,YEAR(Table1[[#This Row],[Reporting date]])-1,YEAR(Table1[[#This Row],[Reporting date]]))</f>
        <v>2013</v>
      </c>
      <c r="AD1116" s="17">
        <f>Table1[[#This Row],[Reporting year (shifted)]]-Table1[[#This Row],[Policy Year (shifted)]]</f>
        <v>4</v>
      </c>
    </row>
    <row r="1117" spans="1:30" ht="13.9">
      <c r="A1117" s="8" t="s">
        <v>2887</v>
      </c>
      <c r="B1117" s="8" t="s">
        <v>1169</v>
      </c>
      <c r="C1117" s="8" t="s">
        <v>118</v>
      </c>
      <c r="D1117" s="9">
        <v>41762</v>
      </c>
      <c r="E1117" s="9">
        <v>41859</v>
      </c>
      <c r="F1117" s="17">
        <f>IF(MONTH(Table1[[#This Row],[Loss date]])&lt;Policy_Inception_Month,YEAR(Table1[[#This Row],[Loss date]])-1,YEAR(Table1[[#This Row],[Loss date]]))</f>
        <v>2014</v>
      </c>
      <c r="G1117" s="10" t="s">
        <v>129</v>
      </c>
      <c r="H1117" s="10" t="s">
        <v>2</v>
      </c>
      <c r="I1117" s="11">
        <v>0</v>
      </c>
      <c r="J1117" s="11">
        <v>8960.5868433886681</v>
      </c>
      <c r="K1117" s="11">
        <v>8960.5868433886681</v>
      </c>
      <c r="L1117" s="12">
        <v>0</v>
      </c>
      <c r="M1117" s="12">
        <v>0</v>
      </c>
      <c r="N1117" s="12">
        <v>8960.5868433886681</v>
      </c>
      <c r="O1117" s="70">
        <f>IF(Table1[[#This Row],[Overall amount]]=0,0,1)</f>
        <v>1</v>
      </c>
      <c r="P1117" s="70">
        <f>Table1[[#This Row],[Overall amount]]*Exchange_Rate</f>
        <v>8960.5868433886681</v>
      </c>
      <c r="Q1117" s="70">
        <f>Table1[[#This Row],[Overall (destination currency)]]*(1+Claims_Inflation)^((Revalue_at_date-Table1[[#This Row],[Loss date]])/365.25)</f>
        <v>9599.9999999999982</v>
      </c>
      <c r="R1117" s="70">
        <f>INT(Table1[[#This Row],[Reporting date]])-INT(Table1[[#This Row],[Loss date]])</f>
        <v>97</v>
      </c>
      <c r="S1117" s="69" t="s">
        <v>16</v>
      </c>
      <c r="T1117" s="70">
        <f>VLOOKUP(Table1[[#This Row],[Policy Year]],exposure_table,3,FALSE)</f>
        <v>1076.5070266272189</v>
      </c>
      <c r="U1117" s="17">
        <f>IF(MONTH(Table1[[#This Row],[Reporting date]])&lt;Policy_Inception_Month,YEAR(Table1[[#This Row],[Reporting date]])-1,YEAR(Table1[[#This Row],[Reporting date]]))</f>
        <v>2014</v>
      </c>
      <c r="V1117" s="17">
        <f>Table1[[#This Row],[Reporting year]]-Table1[[#This Row],[Policy Year]]</f>
        <v>0</v>
      </c>
      <c r="W1117" s="17">
        <f>INT(Table1[[#This Row],[Reporting date]])-INT(Table1[[#This Row],[Loss date]])</f>
        <v>97</v>
      </c>
      <c r="X1117" s="17">
        <f>INT((YEAR(Table1[[#This Row],[Loss date]])*12+MONTH(Table1[[#This Row],[Loss date]])-Earliest_Month)/4)</f>
        <v>27</v>
      </c>
      <c r="Y1117" s="17">
        <f>INT((YEAR(Table1[[#This Row],[Reporting date]])*12+MONTH(Table1[[#This Row],[Reporting date]])-Earliest_Month)/4)</f>
        <v>28</v>
      </c>
      <c r="Z1117" s="17">
        <f>Table1[[#This Row],[Reporting third]]-Table1[[#This Row],[Policy third]]</f>
        <v>1</v>
      </c>
      <c r="AA1117" s="71">
        <f>IF(Table1[[#This Row],[Overall amount]]=0,"N/A",Table1[[#This Row],[Outstanding]]/Table1[[#This Row],[Overall amount]])</f>
        <v>1</v>
      </c>
      <c r="AB1117" s="17">
        <f>IF(MONTH(Table1[[#This Row],[Loss date]])&lt;Pol_Inc_Month_Shifted,YEAR(Table1[[#This Row],[Loss date]])-1,YEAR(Table1[[#This Row],[Loss date]]))</f>
        <v>2013</v>
      </c>
      <c r="AC1117" s="17">
        <f>IF(MONTH(Table1[[#This Row],[Reporting date]])&lt;Pol_Inc_Month_Shifted,YEAR(Table1[[#This Row],[Reporting date]])-1,YEAR(Table1[[#This Row],[Reporting date]]))</f>
        <v>2013</v>
      </c>
      <c r="AD1117" s="17">
        <f>Table1[[#This Row],[Reporting year (shifted)]]-Table1[[#This Row],[Policy Year (shifted)]]</f>
        <v>0</v>
      </c>
    </row>
    <row r="1118" spans="1:30" ht="13.9">
      <c r="A1118" s="8" t="s">
        <v>2888</v>
      </c>
      <c r="B1118" s="8" t="s">
        <v>1170</v>
      </c>
      <c r="C1118" s="8" t="s">
        <v>118</v>
      </c>
      <c r="D1118" s="9">
        <v>41817</v>
      </c>
      <c r="E1118" s="9">
        <v>41855</v>
      </c>
      <c r="F1118" s="17">
        <f>IF(MONTH(Table1[[#This Row],[Loss date]])&lt;Policy_Inception_Month,YEAR(Table1[[#This Row],[Loss date]])-1,YEAR(Table1[[#This Row],[Loss date]]))</f>
        <v>2014</v>
      </c>
      <c r="G1118" s="10" t="s">
        <v>129</v>
      </c>
      <c r="H1118" s="10" t="s">
        <v>2</v>
      </c>
      <c r="I1118" s="11">
        <v>0</v>
      </c>
      <c r="J1118" s="11">
        <v>7898.329161400663</v>
      </c>
      <c r="K1118" s="11">
        <v>7898.329161400663</v>
      </c>
      <c r="L1118" s="12">
        <v>0</v>
      </c>
      <c r="M1118" s="12">
        <v>0</v>
      </c>
      <c r="N1118" s="12">
        <v>7898.329161400663</v>
      </c>
      <c r="O1118" s="70">
        <f>IF(Table1[[#This Row],[Overall amount]]=0,0,1)</f>
        <v>1</v>
      </c>
      <c r="P1118" s="70">
        <f>Table1[[#This Row],[Overall amount]]*Exchange_Rate</f>
        <v>7898.329161400663</v>
      </c>
      <c r="Q1118" s="70">
        <f>Table1[[#This Row],[Overall (destination currency)]]*(1+Claims_Inflation)^((Revalue_at_date-Table1[[#This Row],[Loss date]])/365.25)</f>
        <v>8400</v>
      </c>
      <c r="R1118" s="70">
        <f>INT(Table1[[#This Row],[Reporting date]])-INT(Table1[[#This Row],[Loss date]])</f>
        <v>38</v>
      </c>
      <c r="S1118" s="69" t="s">
        <v>16</v>
      </c>
      <c r="T1118" s="70">
        <f>VLOOKUP(Table1[[#This Row],[Policy Year]],exposure_table,3,FALSE)</f>
        <v>1076.5070266272189</v>
      </c>
      <c r="U1118" s="17">
        <f>IF(MONTH(Table1[[#This Row],[Reporting date]])&lt;Policy_Inception_Month,YEAR(Table1[[#This Row],[Reporting date]])-1,YEAR(Table1[[#This Row],[Reporting date]]))</f>
        <v>2014</v>
      </c>
      <c r="V1118" s="17">
        <f>Table1[[#This Row],[Reporting year]]-Table1[[#This Row],[Policy Year]]</f>
        <v>0</v>
      </c>
      <c r="W1118" s="17">
        <f>INT(Table1[[#This Row],[Reporting date]])-INT(Table1[[#This Row],[Loss date]])</f>
        <v>38</v>
      </c>
      <c r="X1118" s="17">
        <f>INT((YEAR(Table1[[#This Row],[Loss date]])*12+MONTH(Table1[[#This Row],[Loss date]])-Earliest_Month)/4)</f>
        <v>27</v>
      </c>
      <c r="Y1118" s="17">
        <f>INT((YEAR(Table1[[#This Row],[Reporting date]])*12+MONTH(Table1[[#This Row],[Reporting date]])-Earliest_Month)/4)</f>
        <v>28</v>
      </c>
      <c r="Z1118" s="17">
        <f>Table1[[#This Row],[Reporting third]]-Table1[[#This Row],[Policy third]]</f>
        <v>1</v>
      </c>
      <c r="AA1118" s="71">
        <f>IF(Table1[[#This Row],[Overall amount]]=0,"N/A",Table1[[#This Row],[Outstanding]]/Table1[[#This Row],[Overall amount]])</f>
        <v>1</v>
      </c>
      <c r="AB1118" s="17">
        <f>IF(MONTH(Table1[[#This Row],[Loss date]])&lt;Pol_Inc_Month_Shifted,YEAR(Table1[[#This Row],[Loss date]])-1,YEAR(Table1[[#This Row],[Loss date]]))</f>
        <v>2013</v>
      </c>
      <c r="AC1118" s="17">
        <f>IF(MONTH(Table1[[#This Row],[Reporting date]])&lt;Pol_Inc_Month_Shifted,YEAR(Table1[[#This Row],[Reporting date]])-1,YEAR(Table1[[#This Row],[Reporting date]]))</f>
        <v>2013</v>
      </c>
      <c r="AD1118" s="17">
        <f>Table1[[#This Row],[Reporting year (shifted)]]-Table1[[#This Row],[Policy Year (shifted)]]</f>
        <v>0</v>
      </c>
    </row>
    <row r="1119" spans="1:30" ht="13.9">
      <c r="A1119" s="8" t="s">
        <v>2889</v>
      </c>
      <c r="B1119" s="8" t="s">
        <v>1171</v>
      </c>
      <c r="C1119" s="8" t="s">
        <v>118</v>
      </c>
      <c r="D1119" s="9">
        <v>41762</v>
      </c>
      <c r="E1119" s="9">
        <v>41873</v>
      </c>
      <c r="F1119" s="17">
        <f>IF(MONTH(Table1[[#This Row],[Loss date]])&lt;Policy_Inception_Month,YEAR(Table1[[#This Row],[Loss date]])-1,YEAR(Table1[[#This Row],[Loss date]]))</f>
        <v>2014</v>
      </c>
      <c r="G1119" s="10" t="s">
        <v>129</v>
      </c>
      <c r="H1119" s="10" t="s">
        <v>2</v>
      </c>
      <c r="I1119" s="11">
        <v>0</v>
      </c>
      <c r="J1119" s="11">
        <v>8960.5868433886681</v>
      </c>
      <c r="K1119" s="11">
        <v>8960.5868433886681</v>
      </c>
      <c r="L1119" s="12">
        <v>0</v>
      </c>
      <c r="M1119" s="12">
        <v>464.83044250078717</v>
      </c>
      <c r="N1119" s="12">
        <v>8495.7564008878817</v>
      </c>
      <c r="O1119" s="70">
        <f>IF(Table1[[#This Row],[Overall amount]]=0,0,1)</f>
        <v>1</v>
      </c>
      <c r="P1119" s="70">
        <f>Table1[[#This Row],[Overall amount]]*Exchange_Rate</f>
        <v>8495.7564008878817</v>
      </c>
      <c r="Q1119" s="70">
        <f>Table1[[#This Row],[Overall (destination currency)]]*(1+Claims_Inflation)^((Revalue_at_date-Table1[[#This Row],[Loss date]])/365.25)</f>
        <v>9102</v>
      </c>
      <c r="R1119" s="70">
        <f>INT(Table1[[#This Row],[Reporting date]])-INT(Table1[[#This Row],[Loss date]])</f>
        <v>111</v>
      </c>
      <c r="S1119" s="69" t="s">
        <v>16</v>
      </c>
      <c r="T1119" s="70">
        <f>VLOOKUP(Table1[[#This Row],[Policy Year]],exposure_table,3,FALSE)</f>
        <v>1076.5070266272189</v>
      </c>
      <c r="U1119" s="17">
        <f>IF(MONTH(Table1[[#This Row],[Reporting date]])&lt;Policy_Inception_Month,YEAR(Table1[[#This Row],[Reporting date]])-1,YEAR(Table1[[#This Row],[Reporting date]]))</f>
        <v>2014</v>
      </c>
      <c r="V1119" s="17">
        <f>Table1[[#This Row],[Reporting year]]-Table1[[#This Row],[Policy Year]]</f>
        <v>0</v>
      </c>
      <c r="W1119" s="17">
        <f>INT(Table1[[#This Row],[Reporting date]])-INT(Table1[[#This Row],[Loss date]])</f>
        <v>111</v>
      </c>
      <c r="X1119" s="17">
        <f>INT((YEAR(Table1[[#This Row],[Loss date]])*12+MONTH(Table1[[#This Row],[Loss date]])-Earliest_Month)/4)</f>
        <v>27</v>
      </c>
      <c r="Y1119" s="17">
        <f>INT((YEAR(Table1[[#This Row],[Reporting date]])*12+MONTH(Table1[[#This Row],[Reporting date]])-Earliest_Month)/4)</f>
        <v>28</v>
      </c>
      <c r="Z1119" s="17">
        <f>Table1[[#This Row],[Reporting third]]-Table1[[#This Row],[Policy third]]</f>
        <v>1</v>
      </c>
      <c r="AA1119" s="71">
        <f>IF(Table1[[#This Row],[Overall amount]]=0,"N/A",Table1[[#This Row],[Outstanding]]/Table1[[#This Row],[Overall amount]])</f>
        <v>1.054713249835201</v>
      </c>
      <c r="AB1119" s="17">
        <f>IF(MONTH(Table1[[#This Row],[Loss date]])&lt;Pol_Inc_Month_Shifted,YEAR(Table1[[#This Row],[Loss date]])-1,YEAR(Table1[[#This Row],[Loss date]]))</f>
        <v>2013</v>
      </c>
      <c r="AC1119" s="17">
        <f>IF(MONTH(Table1[[#This Row],[Reporting date]])&lt;Pol_Inc_Month_Shifted,YEAR(Table1[[#This Row],[Reporting date]])-1,YEAR(Table1[[#This Row],[Reporting date]]))</f>
        <v>2013</v>
      </c>
      <c r="AD1119" s="17">
        <f>Table1[[#This Row],[Reporting year (shifted)]]-Table1[[#This Row],[Policy Year (shifted)]]</f>
        <v>0</v>
      </c>
    </row>
    <row r="1120" spans="1:30" ht="13.9">
      <c r="A1120" s="8" t="s">
        <v>2890</v>
      </c>
      <c r="B1120" s="8" t="s">
        <v>1172</v>
      </c>
      <c r="C1120" s="8" t="s">
        <v>118</v>
      </c>
      <c r="D1120" s="9">
        <v>41908</v>
      </c>
      <c r="E1120" s="9">
        <v>41909</v>
      </c>
      <c r="F1120" s="17">
        <f>IF(MONTH(Table1[[#This Row],[Loss date]])&lt;Policy_Inception_Month,YEAR(Table1[[#This Row],[Loss date]])-1,YEAR(Table1[[#This Row],[Loss date]]))</f>
        <v>2014</v>
      </c>
      <c r="G1120" s="10" t="s">
        <v>129</v>
      </c>
      <c r="H1120" s="10" t="s">
        <v>2</v>
      </c>
      <c r="I1120" s="11">
        <v>0</v>
      </c>
      <c r="J1120" s="11">
        <v>14847.718902443377</v>
      </c>
      <c r="K1120" s="11">
        <v>14847.718902443377</v>
      </c>
      <c r="L1120" s="12">
        <v>0</v>
      </c>
      <c r="M1120" s="12">
        <v>0</v>
      </c>
      <c r="N1120" s="12">
        <v>14847.718902443377</v>
      </c>
      <c r="O1120" s="70">
        <f>IF(Table1[[#This Row],[Overall amount]]=0,0,1)</f>
        <v>1</v>
      </c>
      <c r="P1120" s="70">
        <f>Table1[[#This Row],[Overall amount]]*Exchange_Rate</f>
        <v>14847.718902443377</v>
      </c>
      <c r="Q1120" s="70">
        <f>Table1[[#This Row],[Overall (destination currency)]]*(1+Claims_Inflation)^((Revalue_at_date-Table1[[#This Row],[Loss date]])/365.25)</f>
        <v>15600</v>
      </c>
      <c r="R1120" s="70">
        <f>INT(Table1[[#This Row],[Reporting date]])-INT(Table1[[#This Row],[Loss date]])</f>
        <v>1</v>
      </c>
      <c r="S1120" s="69" t="s">
        <v>16</v>
      </c>
      <c r="T1120" s="70">
        <f>VLOOKUP(Table1[[#This Row],[Policy Year]],exposure_table,3,FALSE)</f>
        <v>1076.5070266272189</v>
      </c>
      <c r="U1120" s="17">
        <f>IF(MONTH(Table1[[#This Row],[Reporting date]])&lt;Policy_Inception_Month,YEAR(Table1[[#This Row],[Reporting date]])-1,YEAR(Table1[[#This Row],[Reporting date]]))</f>
        <v>2014</v>
      </c>
      <c r="V1120" s="17">
        <f>Table1[[#This Row],[Reporting year]]-Table1[[#This Row],[Policy Year]]</f>
        <v>0</v>
      </c>
      <c r="W1120" s="17">
        <f>INT(Table1[[#This Row],[Reporting date]])-INT(Table1[[#This Row],[Loss date]])</f>
        <v>1</v>
      </c>
      <c r="X1120" s="17">
        <f>INT((YEAR(Table1[[#This Row],[Loss date]])*12+MONTH(Table1[[#This Row],[Loss date]])-Earliest_Month)/4)</f>
        <v>28</v>
      </c>
      <c r="Y1120" s="17">
        <f>INT((YEAR(Table1[[#This Row],[Reporting date]])*12+MONTH(Table1[[#This Row],[Reporting date]])-Earliest_Month)/4)</f>
        <v>28</v>
      </c>
      <c r="Z1120" s="17">
        <f>Table1[[#This Row],[Reporting third]]-Table1[[#This Row],[Policy third]]</f>
        <v>0</v>
      </c>
      <c r="AA1120" s="71">
        <f>IF(Table1[[#This Row],[Overall amount]]=0,"N/A",Table1[[#This Row],[Outstanding]]/Table1[[#This Row],[Overall amount]])</f>
        <v>1</v>
      </c>
      <c r="AB1120" s="17">
        <f>IF(MONTH(Table1[[#This Row],[Loss date]])&lt;Pol_Inc_Month_Shifted,YEAR(Table1[[#This Row],[Loss date]])-1,YEAR(Table1[[#This Row],[Loss date]]))</f>
        <v>2013</v>
      </c>
      <c r="AC1120" s="17">
        <f>IF(MONTH(Table1[[#This Row],[Reporting date]])&lt;Pol_Inc_Month_Shifted,YEAR(Table1[[#This Row],[Reporting date]])-1,YEAR(Table1[[#This Row],[Reporting date]]))</f>
        <v>2013</v>
      </c>
      <c r="AD1120" s="17">
        <f>Table1[[#This Row],[Reporting year (shifted)]]-Table1[[#This Row],[Policy Year (shifted)]]</f>
        <v>0</v>
      </c>
    </row>
    <row r="1121" spans="1:30" ht="13.9">
      <c r="A1121" s="8" t="s">
        <v>2891</v>
      </c>
      <c r="B1121" s="8" t="s">
        <v>1173</v>
      </c>
      <c r="C1121" s="8" t="s">
        <v>118</v>
      </c>
      <c r="D1121" s="9">
        <v>41915</v>
      </c>
      <c r="E1121" s="9">
        <v>41938</v>
      </c>
      <c r="F1121" s="17">
        <f>IF(MONTH(Table1[[#This Row],[Loss date]])&lt;Policy_Inception_Month,YEAR(Table1[[#This Row],[Loss date]])-1,YEAR(Table1[[#This Row],[Loss date]]))</f>
        <v>2014</v>
      </c>
      <c r="G1121" s="10" t="s">
        <v>129</v>
      </c>
      <c r="H1121" s="10" t="s">
        <v>2</v>
      </c>
      <c r="I1121" s="11">
        <v>0</v>
      </c>
      <c r="J1121" s="11">
        <v>1.1432006863970312</v>
      </c>
      <c r="K1121" s="11">
        <v>1.1432006863970312</v>
      </c>
      <c r="L1121" s="12">
        <v>0</v>
      </c>
      <c r="M1121" s="12">
        <v>0</v>
      </c>
      <c r="N1121" s="12">
        <v>1.1432006863970312</v>
      </c>
      <c r="O1121" s="70">
        <f>IF(Table1[[#This Row],[Overall amount]]=0,0,1)</f>
        <v>1</v>
      </c>
      <c r="P1121" s="70">
        <f>Table1[[#This Row],[Overall amount]]*Exchange_Rate</f>
        <v>1.1432006863970312</v>
      </c>
      <c r="Q1121" s="70">
        <f>Table1[[#This Row],[Overall (destination currency)]]*(1+Claims_Inflation)^((Revalue_at_date-Table1[[#This Row],[Loss date]])/365.25)</f>
        <v>1.2</v>
      </c>
      <c r="R1121" s="70">
        <f>INT(Table1[[#This Row],[Reporting date]])-INT(Table1[[#This Row],[Loss date]])</f>
        <v>23</v>
      </c>
      <c r="S1121" s="69" t="s">
        <v>16</v>
      </c>
      <c r="T1121" s="70">
        <f>VLOOKUP(Table1[[#This Row],[Policy Year]],exposure_table,3,FALSE)</f>
        <v>1076.5070266272189</v>
      </c>
      <c r="U1121" s="17">
        <f>IF(MONTH(Table1[[#This Row],[Reporting date]])&lt;Policy_Inception_Month,YEAR(Table1[[#This Row],[Reporting date]])-1,YEAR(Table1[[#This Row],[Reporting date]]))</f>
        <v>2014</v>
      </c>
      <c r="V1121" s="17">
        <f>Table1[[#This Row],[Reporting year]]-Table1[[#This Row],[Policy Year]]</f>
        <v>0</v>
      </c>
      <c r="W1121" s="17">
        <f>INT(Table1[[#This Row],[Reporting date]])-INT(Table1[[#This Row],[Loss date]])</f>
        <v>23</v>
      </c>
      <c r="X1121" s="17">
        <f>INT((YEAR(Table1[[#This Row],[Loss date]])*12+MONTH(Table1[[#This Row],[Loss date]])-Earliest_Month)/4)</f>
        <v>28</v>
      </c>
      <c r="Y1121" s="17">
        <f>INT((YEAR(Table1[[#This Row],[Reporting date]])*12+MONTH(Table1[[#This Row],[Reporting date]])-Earliest_Month)/4)</f>
        <v>28</v>
      </c>
      <c r="Z1121" s="17">
        <f>Table1[[#This Row],[Reporting third]]-Table1[[#This Row],[Policy third]]</f>
        <v>0</v>
      </c>
      <c r="AA1121" s="71">
        <f>IF(Table1[[#This Row],[Overall amount]]=0,"N/A",Table1[[#This Row],[Outstanding]]/Table1[[#This Row],[Overall amount]])</f>
        <v>1</v>
      </c>
      <c r="AB1121" s="17">
        <f>IF(MONTH(Table1[[#This Row],[Loss date]])&lt;Pol_Inc_Month_Shifted,YEAR(Table1[[#This Row],[Loss date]])-1,YEAR(Table1[[#This Row],[Loss date]]))</f>
        <v>2013</v>
      </c>
      <c r="AC1121" s="17">
        <f>IF(MONTH(Table1[[#This Row],[Reporting date]])&lt;Pol_Inc_Month_Shifted,YEAR(Table1[[#This Row],[Reporting date]])-1,YEAR(Table1[[#This Row],[Reporting date]]))</f>
        <v>2013</v>
      </c>
      <c r="AD1121" s="17">
        <f>Table1[[#This Row],[Reporting year (shifted)]]-Table1[[#This Row],[Policy Year (shifted)]]</f>
        <v>0</v>
      </c>
    </row>
    <row r="1122" spans="1:30" ht="13.9">
      <c r="A1122" s="8" t="s">
        <v>2892</v>
      </c>
      <c r="B1122" s="8" t="s">
        <v>1174</v>
      </c>
      <c r="C1122" s="8" t="s">
        <v>118</v>
      </c>
      <c r="D1122" s="9">
        <v>41804</v>
      </c>
      <c r="E1122" s="9">
        <v>41937</v>
      </c>
      <c r="F1122" s="17">
        <f>IF(MONTH(Table1[[#This Row],[Loss date]])&lt;Policy_Inception_Month,YEAR(Table1[[#This Row],[Loss date]])-1,YEAR(Table1[[#This Row],[Loss date]]))</f>
        <v>2014</v>
      </c>
      <c r="G1122" s="10" t="s">
        <v>144</v>
      </c>
      <c r="H1122" s="10" t="s">
        <v>2</v>
      </c>
      <c r="I1122" s="11">
        <v>0</v>
      </c>
      <c r="J1122" s="11">
        <v>5631.8751996886258</v>
      </c>
      <c r="K1122" s="11">
        <v>5631.8751996886258</v>
      </c>
      <c r="L1122" s="12">
        <v>337.91251198131755</v>
      </c>
      <c r="M1122" s="12">
        <v>0</v>
      </c>
      <c r="N1122" s="12">
        <v>5969.7877116699437</v>
      </c>
      <c r="O1122" s="70">
        <f>IF(Table1[[#This Row],[Overall amount]]=0,0,1)</f>
        <v>1</v>
      </c>
      <c r="P1122" s="70">
        <f>Table1[[#This Row],[Overall amount]]*Exchange_Rate</f>
        <v>5969.7877116699437</v>
      </c>
      <c r="Q1122" s="70">
        <f>Table1[[#This Row],[Overall (destination currency)]]*(1+Claims_Inflation)^((Revalue_at_date-Table1[[#This Row],[Loss date]])/365.25)</f>
        <v>6360</v>
      </c>
      <c r="R1122" s="70">
        <f>INT(Table1[[#This Row],[Reporting date]])-INT(Table1[[#This Row],[Loss date]])</f>
        <v>133</v>
      </c>
      <c r="S1122" s="69" t="s">
        <v>16</v>
      </c>
      <c r="T1122" s="70">
        <f>VLOOKUP(Table1[[#This Row],[Policy Year]],exposure_table,3,FALSE)</f>
        <v>1076.5070266272189</v>
      </c>
      <c r="U1122" s="17">
        <f>IF(MONTH(Table1[[#This Row],[Reporting date]])&lt;Policy_Inception_Month,YEAR(Table1[[#This Row],[Reporting date]])-1,YEAR(Table1[[#This Row],[Reporting date]]))</f>
        <v>2014</v>
      </c>
      <c r="V1122" s="17">
        <f>Table1[[#This Row],[Reporting year]]-Table1[[#This Row],[Policy Year]]</f>
        <v>0</v>
      </c>
      <c r="W1122" s="17">
        <f>INT(Table1[[#This Row],[Reporting date]])-INT(Table1[[#This Row],[Loss date]])</f>
        <v>133</v>
      </c>
      <c r="X1122" s="17">
        <f>INT((YEAR(Table1[[#This Row],[Loss date]])*12+MONTH(Table1[[#This Row],[Loss date]])-Earliest_Month)/4)</f>
        <v>27</v>
      </c>
      <c r="Y1122" s="17">
        <f>INT((YEAR(Table1[[#This Row],[Reporting date]])*12+MONTH(Table1[[#This Row],[Reporting date]])-Earliest_Month)/4)</f>
        <v>28</v>
      </c>
      <c r="Z1122" s="17">
        <f>Table1[[#This Row],[Reporting third]]-Table1[[#This Row],[Policy third]]</f>
        <v>1</v>
      </c>
      <c r="AA1122" s="71">
        <f>IF(Table1[[#This Row],[Overall amount]]=0,"N/A",Table1[[#This Row],[Outstanding]]/Table1[[#This Row],[Overall amount]])</f>
        <v>0.94339622641509424</v>
      </c>
      <c r="AB1122" s="17">
        <f>IF(MONTH(Table1[[#This Row],[Loss date]])&lt;Pol_Inc_Month_Shifted,YEAR(Table1[[#This Row],[Loss date]])-1,YEAR(Table1[[#This Row],[Loss date]]))</f>
        <v>2013</v>
      </c>
      <c r="AC1122" s="17">
        <f>IF(MONTH(Table1[[#This Row],[Reporting date]])&lt;Pol_Inc_Month_Shifted,YEAR(Table1[[#This Row],[Reporting date]])-1,YEAR(Table1[[#This Row],[Reporting date]]))</f>
        <v>2013</v>
      </c>
      <c r="AD1122" s="17">
        <f>Table1[[#This Row],[Reporting year (shifted)]]-Table1[[#This Row],[Policy Year (shifted)]]</f>
        <v>0</v>
      </c>
    </row>
    <row r="1123" spans="1:30" ht="13.9">
      <c r="A1123" s="8" t="s">
        <v>2893</v>
      </c>
      <c r="B1123" s="8" t="s">
        <v>1175</v>
      </c>
      <c r="C1123" s="8" t="s">
        <v>118</v>
      </c>
      <c r="D1123" s="9">
        <v>41903</v>
      </c>
      <c r="E1123" s="9">
        <v>41929</v>
      </c>
      <c r="F1123" s="17">
        <f>IF(MONTH(Table1[[#This Row],[Loss date]])&lt;Policy_Inception_Month,YEAR(Table1[[#This Row],[Loss date]])-1,YEAR(Table1[[#This Row],[Loss date]]))</f>
        <v>2014</v>
      </c>
      <c r="G1123" s="10" t="s">
        <v>129</v>
      </c>
      <c r="H1123" s="10" t="s">
        <v>2</v>
      </c>
      <c r="I1123" s="11">
        <v>0</v>
      </c>
      <c r="J1123" s="11">
        <v>1.1413696467626291</v>
      </c>
      <c r="K1123" s="11">
        <v>1.1413696467626291</v>
      </c>
      <c r="L1123" s="12">
        <v>342.41089402878868</v>
      </c>
      <c r="M1123" s="12">
        <v>0</v>
      </c>
      <c r="N1123" s="12">
        <v>343.55226367555133</v>
      </c>
      <c r="O1123" s="70">
        <f>IF(Table1[[#This Row],[Overall amount]]=0,0,1)</f>
        <v>1</v>
      </c>
      <c r="P1123" s="70">
        <f>Table1[[#This Row],[Overall amount]]*Exchange_Rate</f>
        <v>343.55226367555133</v>
      </c>
      <c r="Q1123" s="70">
        <f>Table1[[#This Row],[Overall (destination currency)]]*(1+Claims_Inflation)^((Revalue_at_date-Table1[[#This Row],[Loss date]])/365.25)</f>
        <v>361.2</v>
      </c>
      <c r="R1123" s="70">
        <f>INT(Table1[[#This Row],[Reporting date]])-INT(Table1[[#This Row],[Loss date]])</f>
        <v>26</v>
      </c>
      <c r="S1123" s="69" t="s">
        <v>16</v>
      </c>
      <c r="T1123" s="70">
        <f>VLOOKUP(Table1[[#This Row],[Policy Year]],exposure_table,3,FALSE)</f>
        <v>1076.5070266272189</v>
      </c>
      <c r="U1123" s="17">
        <f>IF(MONTH(Table1[[#This Row],[Reporting date]])&lt;Policy_Inception_Month,YEAR(Table1[[#This Row],[Reporting date]])-1,YEAR(Table1[[#This Row],[Reporting date]]))</f>
        <v>2014</v>
      </c>
      <c r="V1123" s="17">
        <f>Table1[[#This Row],[Reporting year]]-Table1[[#This Row],[Policy Year]]</f>
        <v>0</v>
      </c>
      <c r="W1123" s="17">
        <f>INT(Table1[[#This Row],[Reporting date]])-INT(Table1[[#This Row],[Loss date]])</f>
        <v>26</v>
      </c>
      <c r="X1123" s="17">
        <f>INT((YEAR(Table1[[#This Row],[Loss date]])*12+MONTH(Table1[[#This Row],[Loss date]])-Earliest_Month)/4)</f>
        <v>28</v>
      </c>
      <c r="Y1123" s="17">
        <f>INT((YEAR(Table1[[#This Row],[Reporting date]])*12+MONTH(Table1[[#This Row],[Reporting date]])-Earliest_Month)/4)</f>
        <v>28</v>
      </c>
      <c r="Z1123" s="17">
        <f>Table1[[#This Row],[Reporting third]]-Table1[[#This Row],[Policy third]]</f>
        <v>0</v>
      </c>
      <c r="AA1123" s="71">
        <f>IF(Table1[[#This Row],[Overall amount]]=0,"N/A",Table1[[#This Row],[Outstanding]]/Table1[[#This Row],[Overall amount]])</f>
        <v>3.3222591362126247E-3</v>
      </c>
      <c r="AB1123" s="17">
        <f>IF(MONTH(Table1[[#This Row],[Loss date]])&lt;Pol_Inc_Month_Shifted,YEAR(Table1[[#This Row],[Loss date]])-1,YEAR(Table1[[#This Row],[Loss date]]))</f>
        <v>2013</v>
      </c>
      <c r="AC1123" s="17">
        <f>IF(MONTH(Table1[[#This Row],[Reporting date]])&lt;Pol_Inc_Month_Shifted,YEAR(Table1[[#This Row],[Reporting date]])-1,YEAR(Table1[[#This Row],[Reporting date]]))</f>
        <v>2013</v>
      </c>
      <c r="AD1123" s="17">
        <f>Table1[[#This Row],[Reporting year (shifted)]]-Table1[[#This Row],[Policy Year (shifted)]]</f>
        <v>0</v>
      </c>
    </row>
    <row r="1124" spans="1:30" ht="13.9">
      <c r="A1124" s="8" t="s">
        <v>2894</v>
      </c>
      <c r="B1124" s="8" t="s">
        <v>1176</v>
      </c>
      <c r="C1124" s="8" t="s">
        <v>118</v>
      </c>
      <c r="D1124" s="9">
        <v>41944</v>
      </c>
      <c r="E1124" s="9">
        <v>41944</v>
      </c>
      <c r="F1124" s="17">
        <f>IF(MONTH(Table1[[#This Row],[Loss date]])&lt;Policy_Inception_Month,YEAR(Table1[[#This Row],[Loss date]])-1,YEAR(Table1[[#This Row],[Loss date]]))</f>
        <v>2014</v>
      </c>
      <c r="G1124" s="10" t="s">
        <v>129</v>
      </c>
      <c r="H1124" s="10" t="s">
        <v>2</v>
      </c>
      <c r="I1124" s="11">
        <v>0</v>
      </c>
      <c r="J1124" s="11">
        <v>51643.702583078855</v>
      </c>
      <c r="K1124" s="11">
        <v>51643.702583078855</v>
      </c>
      <c r="L1124" s="12">
        <v>0</v>
      </c>
      <c r="M1124" s="12">
        <v>0</v>
      </c>
      <c r="N1124" s="12">
        <v>51643.702583078855</v>
      </c>
      <c r="O1124" s="70">
        <f>IF(Table1[[#This Row],[Overall amount]]=0,0,1)</f>
        <v>1</v>
      </c>
      <c r="P1124" s="70">
        <f>Table1[[#This Row],[Overall amount]]*Exchange_Rate</f>
        <v>51643.702583078855</v>
      </c>
      <c r="Q1124" s="70">
        <f>Table1[[#This Row],[Overall (destination currency)]]*(1+Claims_Inflation)^((Revalue_at_date-Table1[[#This Row],[Loss date]])/365.25)</f>
        <v>54000</v>
      </c>
      <c r="R1124" s="70">
        <f>INT(Table1[[#This Row],[Reporting date]])-INT(Table1[[#This Row],[Loss date]])</f>
        <v>0</v>
      </c>
      <c r="S1124" s="69" t="s">
        <v>16</v>
      </c>
      <c r="T1124" s="70">
        <f>VLOOKUP(Table1[[#This Row],[Policy Year]],exposure_table,3,FALSE)</f>
        <v>1076.5070266272189</v>
      </c>
      <c r="U1124" s="17">
        <f>IF(MONTH(Table1[[#This Row],[Reporting date]])&lt;Policy_Inception_Month,YEAR(Table1[[#This Row],[Reporting date]])-1,YEAR(Table1[[#This Row],[Reporting date]]))</f>
        <v>2014</v>
      </c>
      <c r="V1124" s="17">
        <f>Table1[[#This Row],[Reporting year]]-Table1[[#This Row],[Policy Year]]</f>
        <v>0</v>
      </c>
      <c r="W1124" s="17">
        <f>INT(Table1[[#This Row],[Reporting date]])-INT(Table1[[#This Row],[Loss date]])</f>
        <v>0</v>
      </c>
      <c r="X1124" s="17">
        <f>INT((YEAR(Table1[[#This Row],[Loss date]])*12+MONTH(Table1[[#This Row],[Loss date]])-Earliest_Month)/4)</f>
        <v>28</v>
      </c>
      <c r="Y1124" s="17">
        <f>INT((YEAR(Table1[[#This Row],[Reporting date]])*12+MONTH(Table1[[#This Row],[Reporting date]])-Earliest_Month)/4)</f>
        <v>28</v>
      </c>
      <c r="Z1124" s="17">
        <f>Table1[[#This Row],[Reporting third]]-Table1[[#This Row],[Policy third]]</f>
        <v>0</v>
      </c>
      <c r="AA1124" s="71">
        <f>IF(Table1[[#This Row],[Overall amount]]=0,"N/A",Table1[[#This Row],[Outstanding]]/Table1[[#This Row],[Overall amount]])</f>
        <v>1</v>
      </c>
      <c r="AB1124" s="17">
        <f>IF(MONTH(Table1[[#This Row],[Loss date]])&lt;Pol_Inc_Month_Shifted,YEAR(Table1[[#This Row],[Loss date]])-1,YEAR(Table1[[#This Row],[Loss date]]))</f>
        <v>2013</v>
      </c>
      <c r="AC1124" s="17">
        <f>IF(MONTH(Table1[[#This Row],[Reporting date]])&lt;Pol_Inc_Month_Shifted,YEAR(Table1[[#This Row],[Reporting date]])-1,YEAR(Table1[[#This Row],[Reporting date]]))</f>
        <v>2013</v>
      </c>
      <c r="AD1124" s="17">
        <f>Table1[[#This Row],[Reporting year (shifted)]]-Table1[[#This Row],[Policy Year (shifted)]]</f>
        <v>0</v>
      </c>
    </row>
    <row r="1125" spans="1:30" ht="13.9">
      <c r="A1125" s="8" t="s">
        <v>2895</v>
      </c>
      <c r="B1125" s="8" t="s">
        <v>1177</v>
      </c>
      <c r="C1125" s="8" t="s">
        <v>118</v>
      </c>
      <c r="D1125" s="9">
        <v>41958</v>
      </c>
      <c r="E1125" s="9">
        <v>41958</v>
      </c>
      <c r="F1125" s="17">
        <f>IF(MONTH(Table1[[#This Row],[Loss date]])&lt;Policy_Inception_Month,YEAR(Table1[[#This Row],[Loss date]])-1,YEAR(Table1[[#This Row],[Loss date]]))</f>
        <v>2014</v>
      </c>
      <c r="G1125" s="10" t="s">
        <v>129</v>
      </c>
      <c r="H1125" s="10" t="s">
        <v>2</v>
      </c>
      <c r="I1125" s="11">
        <v>0</v>
      </c>
      <c r="J1125" s="11">
        <v>3449.3582003782362</v>
      </c>
      <c r="K1125" s="11">
        <v>3449.3582003782362</v>
      </c>
      <c r="L1125" s="12">
        <v>344.9358200378237</v>
      </c>
      <c r="M1125" s="12">
        <v>0</v>
      </c>
      <c r="N1125" s="12">
        <v>3794.29402041606</v>
      </c>
      <c r="O1125" s="70">
        <f>IF(Table1[[#This Row],[Overall amount]]=0,0,1)</f>
        <v>1</v>
      </c>
      <c r="P1125" s="70">
        <f>Table1[[#This Row],[Overall amount]]*Exchange_Rate</f>
        <v>3794.29402041606</v>
      </c>
      <c r="Q1125" s="70">
        <f>Table1[[#This Row],[Overall (destination currency)]]*(1+Claims_Inflation)^((Revalue_at_date-Table1[[#This Row],[Loss date]])/365.25)</f>
        <v>3959.9999999999995</v>
      </c>
      <c r="R1125" s="70">
        <f>INT(Table1[[#This Row],[Reporting date]])-INT(Table1[[#This Row],[Loss date]])</f>
        <v>0</v>
      </c>
      <c r="S1125" s="69" t="s">
        <v>16</v>
      </c>
      <c r="T1125" s="70">
        <f>VLOOKUP(Table1[[#This Row],[Policy Year]],exposure_table,3,FALSE)</f>
        <v>1076.5070266272189</v>
      </c>
      <c r="U1125" s="17">
        <f>IF(MONTH(Table1[[#This Row],[Reporting date]])&lt;Policy_Inception_Month,YEAR(Table1[[#This Row],[Reporting date]])-1,YEAR(Table1[[#This Row],[Reporting date]]))</f>
        <v>2014</v>
      </c>
      <c r="V1125" s="17">
        <f>Table1[[#This Row],[Reporting year]]-Table1[[#This Row],[Policy Year]]</f>
        <v>0</v>
      </c>
      <c r="W1125" s="17">
        <f>INT(Table1[[#This Row],[Reporting date]])-INT(Table1[[#This Row],[Loss date]])</f>
        <v>0</v>
      </c>
      <c r="X1125" s="17">
        <f>INT((YEAR(Table1[[#This Row],[Loss date]])*12+MONTH(Table1[[#This Row],[Loss date]])-Earliest_Month)/4)</f>
        <v>28</v>
      </c>
      <c r="Y1125" s="17">
        <f>INT((YEAR(Table1[[#This Row],[Reporting date]])*12+MONTH(Table1[[#This Row],[Reporting date]])-Earliest_Month)/4)</f>
        <v>28</v>
      </c>
      <c r="Z1125" s="17">
        <f>Table1[[#This Row],[Reporting third]]-Table1[[#This Row],[Policy third]]</f>
        <v>0</v>
      </c>
      <c r="AA1125" s="71">
        <f>IF(Table1[[#This Row],[Overall amount]]=0,"N/A",Table1[[#This Row],[Outstanding]]/Table1[[#This Row],[Overall amount]])</f>
        <v>0.90909090909090906</v>
      </c>
      <c r="AB1125" s="17">
        <f>IF(MONTH(Table1[[#This Row],[Loss date]])&lt;Pol_Inc_Month_Shifted,YEAR(Table1[[#This Row],[Loss date]])-1,YEAR(Table1[[#This Row],[Loss date]]))</f>
        <v>2013</v>
      </c>
      <c r="AC1125" s="17">
        <f>IF(MONTH(Table1[[#This Row],[Reporting date]])&lt;Pol_Inc_Month_Shifted,YEAR(Table1[[#This Row],[Reporting date]])-1,YEAR(Table1[[#This Row],[Reporting date]]))</f>
        <v>2013</v>
      </c>
      <c r="AD1125" s="17">
        <f>Table1[[#This Row],[Reporting year (shifted)]]-Table1[[#This Row],[Policy Year (shifted)]]</f>
        <v>0</v>
      </c>
    </row>
    <row r="1126" spans="1:30" ht="13.9">
      <c r="A1126" s="8" t="s">
        <v>2896</v>
      </c>
      <c r="B1126" s="8" t="s">
        <v>1178</v>
      </c>
      <c r="C1126" s="8" t="s">
        <v>118</v>
      </c>
      <c r="D1126" s="9">
        <v>41698</v>
      </c>
      <c r="E1126" s="9">
        <v>41945</v>
      </c>
      <c r="F1126" s="17">
        <f>IF(MONTH(Table1[[#This Row],[Loss date]])&lt;Policy_Inception_Month,YEAR(Table1[[#This Row],[Loss date]])-1,YEAR(Table1[[#This Row],[Loss date]]))</f>
        <v>2013</v>
      </c>
      <c r="G1126" s="10" t="s">
        <v>129</v>
      </c>
      <c r="H1126" s="10" t="s">
        <v>2</v>
      </c>
      <c r="I1126" s="11">
        <v>0</v>
      </c>
      <c r="J1126" s="11">
        <v>5552.6925784969808</v>
      </c>
      <c r="K1126" s="11">
        <v>5552.6925784969808</v>
      </c>
      <c r="L1126" s="12">
        <v>0</v>
      </c>
      <c r="M1126" s="12">
        <v>0</v>
      </c>
      <c r="N1126" s="12">
        <v>5552.6925784969808</v>
      </c>
      <c r="O1126" s="70">
        <f>IF(Table1[[#This Row],[Overall amount]]=0,0,1)</f>
        <v>1</v>
      </c>
      <c r="P1126" s="70">
        <f>Table1[[#This Row],[Overall amount]]*Exchange_Rate</f>
        <v>5552.6925784969808</v>
      </c>
      <c r="Q1126" s="70">
        <f>Table1[[#This Row],[Overall (destination currency)]]*(1+Claims_Inflation)^((Revalue_at_date-Table1[[#This Row],[Loss date]])/365.25)</f>
        <v>6000</v>
      </c>
      <c r="R1126" s="70">
        <f>INT(Table1[[#This Row],[Reporting date]])-INT(Table1[[#This Row],[Loss date]])</f>
        <v>247</v>
      </c>
      <c r="S1126" s="69" t="s">
        <v>16</v>
      </c>
      <c r="T1126" s="70">
        <f>VLOOKUP(Table1[[#This Row],[Policy Year]],exposure_table,3,FALSE)</f>
        <v>1090.5865384615383</v>
      </c>
      <c r="U1126" s="17">
        <f>IF(MONTH(Table1[[#This Row],[Reporting date]])&lt;Policy_Inception_Month,YEAR(Table1[[#This Row],[Reporting date]])-1,YEAR(Table1[[#This Row],[Reporting date]]))</f>
        <v>2014</v>
      </c>
      <c r="V1126" s="17">
        <f>Table1[[#This Row],[Reporting year]]-Table1[[#This Row],[Policy Year]]</f>
        <v>1</v>
      </c>
      <c r="W1126" s="17">
        <f>INT(Table1[[#This Row],[Reporting date]])-INT(Table1[[#This Row],[Loss date]])</f>
        <v>247</v>
      </c>
      <c r="X1126" s="17">
        <f>INT((YEAR(Table1[[#This Row],[Loss date]])*12+MONTH(Table1[[#This Row],[Loss date]])-Earliest_Month)/4)</f>
        <v>26</v>
      </c>
      <c r="Y1126" s="17">
        <f>INT((YEAR(Table1[[#This Row],[Reporting date]])*12+MONTH(Table1[[#This Row],[Reporting date]])-Earliest_Month)/4)</f>
        <v>28</v>
      </c>
      <c r="Z1126" s="17">
        <f>Table1[[#This Row],[Reporting third]]-Table1[[#This Row],[Policy third]]</f>
        <v>2</v>
      </c>
      <c r="AA1126" s="71">
        <f>IF(Table1[[#This Row],[Overall amount]]=0,"N/A",Table1[[#This Row],[Outstanding]]/Table1[[#This Row],[Overall amount]])</f>
        <v>1</v>
      </c>
      <c r="AB1126" s="17">
        <f>IF(MONTH(Table1[[#This Row],[Loss date]])&lt;Pol_Inc_Month_Shifted,YEAR(Table1[[#This Row],[Loss date]])-1,YEAR(Table1[[#This Row],[Loss date]]))</f>
        <v>2013</v>
      </c>
      <c r="AC1126" s="17">
        <f>IF(MONTH(Table1[[#This Row],[Reporting date]])&lt;Pol_Inc_Month_Shifted,YEAR(Table1[[#This Row],[Reporting date]])-1,YEAR(Table1[[#This Row],[Reporting date]]))</f>
        <v>2013</v>
      </c>
      <c r="AD1126" s="17">
        <f>Table1[[#This Row],[Reporting year (shifted)]]-Table1[[#This Row],[Policy Year (shifted)]]</f>
        <v>0</v>
      </c>
    </row>
    <row r="1127" spans="1:30" ht="13.9">
      <c r="A1127" s="8" t="s">
        <v>2897</v>
      </c>
      <c r="B1127" s="8" t="s">
        <v>1179</v>
      </c>
      <c r="C1127" s="8" t="s">
        <v>118</v>
      </c>
      <c r="D1127" s="9">
        <v>39646</v>
      </c>
      <c r="E1127" s="9">
        <v>41958</v>
      </c>
      <c r="F1127" s="17">
        <f>IF(MONTH(Table1[[#This Row],[Loss date]])&lt;Policy_Inception_Month,YEAR(Table1[[#This Row],[Loss date]])-1,YEAR(Table1[[#This Row],[Loss date]]))</f>
        <v>2008</v>
      </c>
      <c r="G1127" s="10" t="s">
        <v>121</v>
      </c>
      <c r="H1127" s="10" t="s">
        <v>2</v>
      </c>
      <c r="I1127" s="11">
        <v>0</v>
      </c>
      <c r="J1127" s="11">
        <v>0.84428809179317876</v>
      </c>
      <c r="K1127" s="11">
        <v>0.84428809179317876</v>
      </c>
      <c r="L1127" s="12">
        <v>0</v>
      </c>
      <c r="M1127" s="12">
        <v>0</v>
      </c>
      <c r="N1127" s="12">
        <v>0.84428809179317876</v>
      </c>
      <c r="O1127" s="70">
        <f>IF(Table1[[#This Row],[Overall amount]]=0,0,1)</f>
        <v>1</v>
      </c>
      <c r="P1127" s="70">
        <f>Table1[[#This Row],[Overall amount]]*Exchange_Rate</f>
        <v>0.84428809179317876</v>
      </c>
      <c r="Q1127" s="70">
        <f>Table1[[#This Row],[Overall (destination currency)]]*(1+Claims_Inflation)^((Revalue_at_date-Table1[[#This Row],[Loss date]])/365.25)</f>
        <v>1.2</v>
      </c>
      <c r="R1127" s="70">
        <f>INT(Table1[[#This Row],[Reporting date]])-INT(Table1[[#This Row],[Loss date]])</f>
        <v>2312</v>
      </c>
      <c r="S1127" s="69" t="s">
        <v>16</v>
      </c>
      <c r="T1127" s="70">
        <f>VLOOKUP(Table1[[#This Row],[Policy Year]],exposure_table,3,FALSE)</f>
        <v>601.98581780480015</v>
      </c>
      <c r="U1127" s="17">
        <f>IF(MONTH(Table1[[#This Row],[Reporting date]])&lt;Policy_Inception_Month,YEAR(Table1[[#This Row],[Reporting date]])-1,YEAR(Table1[[#This Row],[Reporting date]]))</f>
        <v>2014</v>
      </c>
      <c r="V1127" s="17">
        <f>Table1[[#This Row],[Reporting year]]-Table1[[#This Row],[Policy Year]]</f>
        <v>6</v>
      </c>
      <c r="W1127" s="17">
        <f>INT(Table1[[#This Row],[Reporting date]])-INT(Table1[[#This Row],[Loss date]])</f>
        <v>2312</v>
      </c>
      <c r="X1127" s="17">
        <f>INT((YEAR(Table1[[#This Row],[Loss date]])*12+MONTH(Table1[[#This Row],[Loss date]])-Earliest_Month)/4)</f>
        <v>9</v>
      </c>
      <c r="Y1127" s="17">
        <f>INT((YEAR(Table1[[#This Row],[Reporting date]])*12+MONTH(Table1[[#This Row],[Reporting date]])-Earliest_Month)/4)</f>
        <v>28</v>
      </c>
      <c r="Z1127" s="17">
        <f>Table1[[#This Row],[Reporting third]]-Table1[[#This Row],[Policy third]]</f>
        <v>19</v>
      </c>
      <c r="AA1127" s="71">
        <f>IF(Table1[[#This Row],[Overall amount]]=0,"N/A",Table1[[#This Row],[Outstanding]]/Table1[[#This Row],[Overall amount]])</f>
        <v>1</v>
      </c>
      <c r="AB1127" s="17">
        <f>IF(MONTH(Table1[[#This Row],[Loss date]])&lt;Pol_Inc_Month_Shifted,YEAR(Table1[[#This Row],[Loss date]])-1,YEAR(Table1[[#This Row],[Loss date]]))</f>
        <v>2007</v>
      </c>
      <c r="AC1127" s="17">
        <f>IF(MONTH(Table1[[#This Row],[Reporting date]])&lt;Pol_Inc_Month_Shifted,YEAR(Table1[[#This Row],[Reporting date]])-1,YEAR(Table1[[#This Row],[Reporting date]]))</f>
        <v>2013</v>
      </c>
      <c r="AD1127" s="17">
        <f>Table1[[#This Row],[Reporting year (shifted)]]-Table1[[#This Row],[Policy Year (shifted)]]</f>
        <v>6</v>
      </c>
    </row>
    <row r="1128" spans="1:30" ht="13.9">
      <c r="A1128" s="8" t="s">
        <v>2898</v>
      </c>
      <c r="B1128" s="8" t="s">
        <v>1180</v>
      </c>
      <c r="C1128" s="8" t="s">
        <v>123</v>
      </c>
      <c r="D1128" s="9">
        <v>40384</v>
      </c>
      <c r="E1128" s="9">
        <v>40391</v>
      </c>
      <c r="F1128" s="17">
        <f>IF(MONTH(Table1[[#This Row],[Loss date]])&lt;Policy_Inception_Month,YEAR(Table1[[#This Row],[Loss date]])-1,YEAR(Table1[[#This Row],[Loss date]]))</f>
        <v>2010</v>
      </c>
      <c r="G1128" s="10" t="s">
        <v>126</v>
      </c>
      <c r="H1128" s="10" t="s">
        <v>2</v>
      </c>
      <c r="I1128" s="11">
        <v>6886.409946171405</v>
      </c>
      <c r="J1128" s="11">
        <v>34180.008477880074</v>
      </c>
      <c r="K1128" s="11">
        <v>41066.418424051481</v>
      </c>
      <c r="L1128" s="12">
        <v>0</v>
      </c>
      <c r="M1128" s="12">
        <v>0</v>
      </c>
      <c r="N1128" s="12">
        <v>41066.418424051481</v>
      </c>
      <c r="O1128" s="70">
        <f>IF(Table1[[#This Row],[Overall amount]]=0,0,1)</f>
        <v>1</v>
      </c>
      <c r="P1128" s="70">
        <f>Table1[[#This Row],[Overall amount]]*Exchange_Rate</f>
        <v>41066.418424051481</v>
      </c>
      <c r="Q1128" s="70">
        <f>Table1[[#This Row],[Overall (destination currency)]]*(1+Claims_Inflation)^((Revalue_at_date-Table1[[#This Row],[Loss date]])/365.25)</f>
        <v>52888.799999999996</v>
      </c>
      <c r="R1128" s="70">
        <f>INT(Table1[[#This Row],[Reporting date]])-INT(Table1[[#This Row],[Loss date]])</f>
        <v>7</v>
      </c>
      <c r="S1128" s="69" t="s">
        <v>16</v>
      </c>
      <c r="T1128" s="70">
        <f>VLOOKUP(Table1[[#This Row],[Policy Year]],exposure_table,3,FALSE)</f>
        <v>837.11513600000012</v>
      </c>
      <c r="U1128" s="17">
        <f>IF(MONTH(Table1[[#This Row],[Reporting date]])&lt;Policy_Inception_Month,YEAR(Table1[[#This Row],[Reporting date]])-1,YEAR(Table1[[#This Row],[Reporting date]]))</f>
        <v>2010</v>
      </c>
      <c r="V1128" s="17">
        <f>Table1[[#This Row],[Reporting year]]-Table1[[#This Row],[Policy Year]]</f>
        <v>0</v>
      </c>
      <c r="W1128" s="17">
        <f>INT(Table1[[#This Row],[Reporting date]])-INT(Table1[[#This Row],[Loss date]])</f>
        <v>7</v>
      </c>
      <c r="X1128" s="17">
        <f>INT((YEAR(Table1[[#This Row],[Loss date]])*12+MONTH(Table1[[#This Row],[Loss date]])-Earliest_Month)/4)</f>
        <v>15</v>
      </c>
      <c r="Y1128" s="17">
        <f>INT((YEAR(Table1[[#This Row],[Reporting date]])*12+MONTH(Table1[[#This Row],[Reporting date]])-Earliest_Month)/4)</f>
        <v>16</v>
      </c>
      <c r="Z1128" s="17">
        <f>Table1[[#This Row],[Reporting third]]-Table1[[#This Row],[Policy third]]</f>
        <v>1</v>
      </c>
      <c r="AA1128" s="71">
        <f>IF(Table1[[#This Row],[Overall amount]]=0,"N/A",Table1[[#This Row],[Outstanding]]/Table1[[#This Row],[Overall amount]])</f>
        <v>0.83231043245450831</v>
      </c>
      <c r="AB1128" s="17">
        <f>IF(MONTH(Table1[[#This Row],[Loss date]])&lt;Pol_Inc_Month_Shifted,YEAR(Table1[[#This Row],[Loss date]])-1,YEAR(Table1[[#This Row],[Loss date]]))</f>
        <v>2009</v>
      </c>
      <c r="AC1128" s="17">
        <f>IF(MONTH(Table1[[#This Row],[Reporting date]])&lt;Pol_Inc_Month_Shifted,YEAR(Table1[[#This Row],[Reporting date]])-1,YEAR(Table1[[#This Row],[Reporting date]]))</f>
        <v>2009</v>
      </c>
      <c r="AD1128" s="17">
        <f>Table1[[#This Row],[Reporting year (shifted)]]-Table1[[#This Row],[Policy Year (shifted)]]</f>
        <v>0</v>
      </c>
    </row>
    <row r="1129" spans="1:30" ht="13.9">
      <c r="A1129" s="8" t="s">
        <v>2899</v>
      </c>
      <c r="B1129" s="8" t="s">
        <v>1181</v>
      </c>
      <c r="C1129" s="8" t="s">
        <v>118</v>
      </c>
      <c r="D1129" s="9">
        <v>39949</v>
      </c>
      <c r="E1129" s="9">
        <v>39955</v>
      </c>
      <c r="F1129" s="17">
        <f>IF(MONTH(Table1[[#This Row],[Loss date]])&lt;Policy_Inception_Month,YEAR(Table1[[#This Row],[Loss date]])-1,YEAR(Table1[[#This Row],[Loss date]]))</f>
        <v>2009</v>
      </c>
      <c r="G1129" s="10" t="s">
        <v>128</v>
      </c>
      <c r="H1129" s="10" t="s">
        <v>2</v>
      </c>
      <c r="I1129" s="11">
        <v>66388.304477126003</v>
      </c>
      <c r="J1129" s="11">
        <v>0</v>
      </c>
      <c r="K1129" s="11">
        <v>66388.304477126003</v>
      </c>
      <c r="L1129" s="12">
        <v>0</v>
      </c>
      <c r="M1129" s="12">
        <v>0</v>
      </c>
      <c r="N1129" s="12">
        <v>66388.304477126003</v>
      </c>
      <c r="O1129" s="70">
        <f>IF(Table1[[#This Row],[Overall amount]]=0,0,1)</f>
        <v>1</v>
      </c>
      <c r="P1129" s="70">
        <f>Table1[[#This Row],[Overall amount]]*Exchange_Rate</f>
        <v>66388.304477126003</v>
      </c>
      <c r="Q1129" s="70">
        <f>Table1[[#This Row],[Overall (destination currency)]]*(1+Claims_Inflation)^((Revalue_at_date-Table1[[#This Row],[Loss date]])/365.25)</f>
        <v>90615.851999999999</v>
      </c>
      <c r="R1129" s="70">
        <f>INT(Table1[[#This Row],[Reporting date]])-INT(Table1[[#This Row],[Loss date]])</f>
        <v>6</v>
      </c>
      <c r="S1129" s="69" t="s">
        <v>9</v>
      </c>
      <c r="T1129" s="70">
        <f>VLOOKUP(Table1[[#This Row],[Policy Year]],exposure_table,3,FALSE)</f>
        <v>760.22808576000011</v>
      </c>
      <c r="U1129" s="17">
        <f>IF(MONTH(Table1[[#This Row],[Reporting date]])&lt;Policy_Inception_Month,YEAR(Table1[[#This Row],[Reporting date]])-1,YEAR(Table1[[#This Row],[Reporting date]]))</f>
        <v>2009</v>
      </c>
      <c r="V1129" s="17">
        <f>Table1[[#This Row],[Reporting year]]-Table1[[#This Row],[Policy Year]]</f>
        <v>0</v>
      </c>
      <c r="W1129" s="17">
        <f>INT(Table1[[#This Row],[Reporting date]])-INT(Table1[[#This Row],[Loss date]])</f>
        <v>6</v>
      </c>
      <c r="X1129" s="17">
        <f>INT((YEAR(Table1[[#This Row],[Loss date]])*12+MONTH(Table1[[#This Row],[Loss date]])-Earliest_Month)/4)</f>
        <v>12</v>
      </c>
      <c r="Y1129" s="17">
        <f>INT((YEAR(Table1[[#This Row],[Reporting date]])*12+MONTH(Table1[[#This Row],[Reporting date]])-Earliest_Month)/4)</f>
        <v>12</v>
      </c>
      <c r="Z1129" s="17">
        <f>Table1[[#This Row],[Reporting third]]-Table1[[#This Row],[Policy third]]</f>
        <v>0</v>
      </c>
      <c r="AA1129" s="71">
        <f>IF(Table1[[#This Row],[Overall amount]]=0,"N/A",Table1[[#This Row],[Outstanding]]/Table1[[#This Row],[Overall amount]])</f>
        <v>0</v>
      </c>
      <c r="AB1129" s="17">
        <f>IF(MONTH(Table1[[#This Row],[Loss date]])&lt;Pol_Inc_Month_Shifted,YEAR(Table1[[#This Row],[Loss date]])-1,YEAR(Table1[[#This Row],[Loss date]]))</f>
        <v>2008</v>
      </c>
      <c r="AC1129" s="17">
        <f>IF(MONTH(Table1[[#This Row],[Reporting date]])&lt;Pol_Inc_Month_Shifted,YEAR(Table1[[#This Row],[Reporting date]])-1,YEAR(Table1[[#This Row],[Reporting date]]))</f>
        <v>2008</v>
      </c>
      <c r="AD1129" s="17">
        <f>Table1[[#This Row],[Reporting year (shifted)]]-Table1[[#This Row],[Policy Year (shifted)]]</f>
        <v>0</v>
      </c>
    </row>
    <row r="1130" spans="1:30" ht="13.9">
      <c r="A1130" s="8" t="s">
        <v>2900</v>
      </c>
      <c r="B1130" s="8" t="s">
        <v>1182</v>
      </c>
      <c r="C1130" s="8" t="s">
        <v>118</v>
      </c>
      <c r="D1130" s="9">
        <v>39216</v>
      </c>
      <c r="E1130" s="9">
        <v>39216</v>
      </c>
      <c r="F1130" s="17">
        <f>IF(MONTH(Table1[[#This Row],[Loss date]])&lt;Policy_Inception_Month,YEAR(Table1[[#This Row],[Loss date]])-1,YEAR(Table1[[#This Row],[Loss date]]))</f>
        <v>2007</v>
      </c>
      <c r="G1130" s="10" t="s">
        <v>121</v>
      </c>
      <c r="H1130" s="10" t="s">
        <v>2</v>
      </c>
      <c r="I1130" s="11">
        <v>127701.69292979073</v>
      </c>
      <c r="J1130" s="11">
        <v>0</v>
      </c>
      <c r="K1130" s="11">
        <v>127701.69292979073</v>
      </c>
      <c r="L1130" s="12">
        <v>0</v>
      </c>
      <c r="M1130" s="12">
        <v>0</v>
      </c>
      <c r="N1130" s="12">
        <v>127701.69292979073</v>
      </c>
      <c r="O1130" s="70">
        <f>IF(Table1[[#This Row],[Overall amount]]=0,0,1)</f>
        <v>1</v>
      </c>
      <c r="P1130" s="70">
        <f>Table1[[#This Row],[Overall amount]]*Exchange_Rate</f>
        <v>127701.69292979073</v>
      </c>
      <c r="Q1130" s="70">
        <f>Table1[[#This Row],[Overall (destination currency)]]*(1+Claims_Inflation)^((Revalue_at_date-Table1[[#This Row],[Loss date]])/365.25)</f>
        <v>192235.18799999999</v>
      </c>
      <c r="R1130" s="70">
        <f>INT(Table1[[#This Row],[Reporting date]])-INT(Table1[[#This Row],[Loss date]])</f>
        <v>0</v>
      </c>
      <c r="S1130" s="69" t="s">
        <v>9</v>
      </c>
      <c r="T1130" s="70">
        <f>VLOOKUP(Table1[[#This Row],[Policy Year]],exposure_table,3,FALSE)</f>
        <v>547.7736362475523</v>
      </c>
      <c r="U1130" s="17">
        <f>IF(MONTH(Table1[[#This Row],[Reporting date]])&lt;Policy_Inception_Month,YEAR(Table1[[#This Row],[Reporting date]])-1,YEAR(Table1[[#This Row],[Reporting date]]))</f>
        <v>2007</v>
      </c>
      <c r="V1130" s="17">
        <f>Table1[[#This Row],[Reporting year]]-Table1[[#This Row],[Policy Year]]</f>
        <v>0</v>
      </c>
      <c r="W1130" s="17">
        <f>INT(Table1[[#This Row],[Reporting date]])-INT(Table1[[#This Row],[Loss date]])</f>
        <v>0</v>
      </c>
      <c r="X1130" s="17">
        <f>INT((YEAR(Table1[[#This Row],[Loss date]])*12+MONTH(Table1[[#This Row],[Loss date]])-Earliest_Month)/4)</f>
        <v>6</v>
      </c>
      <c r="Y1130" s="17">
        <f>INT((YEAR(Table1[[#This Row],[Reporting date]])*12+MONTH(Table1[[#This Row],[Reporting date]])-Earliest_Month)/4)</f>
        <v>6</v>
      </c>
      <c r="Z1130" s="17">
        <f>Table1[[#This Row],[Reporting third]]-Table1[[#This Row],[Policy third]]</f>
        <v>0</v>
      </c>
      <c r="AA1130" s="71">
        <f>IF(Table1[[#This Row],[Overall amount]]=0,"N/A",Table1[[#This Row],[Outstanding]]/Table1[[#This Row],[Overall amount]])</f>
        <v>0</v>
      </c>
      <c r="AB1130" s="17">
        <f>IF(MONTH(Table1[[#This Row],[Loss date]])&lt;Pol_Inc_Month_Shifted,YEAR(Table1[[#This Row],[Loss date]])-1,YEAR(Table1[[#This Row],[Loss date]]))</f>
        <v>2006</v>
      </c>
      <c r="AC1130" s="17">
        <f>IF(MONTH(Table1[[#This Row],[Reporting date]])&lt;Pol_Inc_Month_Shifted,YEAR(Table1[[#This Row],[Reporting date]])-1,YEAR(Table1[[#This Row],[Reporting date]]))</f>
        <v>2006</v>
      </c>
      <c r="AD1130" s="17">
        <f>Table1[[#This Row],[Reporting year (shifted)]]-Table1[[#This Row],[Policy Year (shifted)]]</f>
        <v>0</v>
      </c>
    </row>
    <row r="1131" spans="1:30" ht="13.9">
      <c r="A1131" s="8" t="s">
        <v>2901</v>
      </c>
      <c r="B1131" s="8" t="s">
        <v>1183</v>
      </c>
      <c r="C1131" s="8" t="s">
        <v>123</v>
      </c>
      <c r="D1131" s="9">
        <v>40441</v>
      </c>
      <c r="E1131" s="9">
        <v>40579</v>
      </c>
      <c r="F1131" s="17">
        <f>IF(MONTH(Table1[[#This Row],[Loss date]])&lt;Policy_Inception_Month,YEAR(Table1[[#This Row],[Loss date]])-1,YEAR(Table1[[#This Row],[Loss date]]))</f>
        <v>2010</v>
      </c>
      <c r="G1131" s="10" t="s">
        <v>125</v>
      </c>
      <c r="H1131" s="10" t="s">
        <v>2</v>
      </c>
      <c r="I1131" s="11">
        <v>30514.497995967089</v>
      </c>
      <c r="J1131" s="11">
        <v>0</v>
      </c>
      <c r="K1131" s="11">
        <v>30514.497995967089</v>
      </c>
      <c r="L1131" s="12">
        <v>140.83233129057007</v>
      </c>
      <c r="M1131" s="12">
        <v>0</v>
      </c>
      <c r="N1131" s="12">
        <v>30655.33032725766</v>
      </c>
      <c r="O1131" s="70">
        <f>IF(Table1[[#This Row],[Overall amount]]=0,0,1)</f>
        <v>1</v>
      </c>
      <c r="P1131" s="70">
        <f>Table1[[#This Row],[Overall amount]]*Exchange_Rate</f>
        <v>30655.33032725766</v>
      </c>
      <c r="Q1131" s="70">
        <f>Table1[[#This Row],[Overall (destination currency)]]*(1+Claims_Inflation)^((Revalue_at_date-Table1[[#This Row],[Loss date]])/365.25)</f>
        <v>39181.055999999997</v>
      </c>
      <c r="R1131" s="70">
        <f>INT(Table1[[#This Row],[Reporting date]])-INT(Table1[[#This Row],[Loss date]])</f>
        <v>138</v>
      </c>
      <c r="S1131" s="69" t="s">
        <v>9</v>
      </c>
      <c r="T1131" s="70">
        <f>VLOOKUP(Table1[[#This Row],[Policy Year]],exposure_table,3,FALSE)</f>
        <v>837.11513600000012</v>
      </c>
      <c r="U1131" s="17">
        <f>IF(MONTH(Table1[[#This Row],[Reporting date]])&lt;Policy_Inception_Month,YEAR(Table1[[#This Row],[Reporting date]])-1,YEAR(Table1[[#This Row],[Reporting date]]))</f>
        <v>2010</v>
      </c>
      <c r="V1131" s="17">
        <f>Table1[[#This Row],[Reporting year]]-Table1[[#This Row],[Policy Year]]</f>
        <v>0</v>
      </c>
      <c r="W1131" s="17">
        <f>INT(Table1[[#This Row],[Reporting date]])-INT(Table1[[#This Row],[Loss date]])</f>
        <v>138</v>
      </c>
      <c r="X1131" s="17">
        <f>INT((YEAR(Table1[[#This Row],[Loss date]])*12+MONTH(Table1[[#This Row],[Loss date]])-Earliest_Month)/4)</f>
        <v>16</v>
      </c>
      <c r="Y1131" s="17">
        <f>INT((YEAR(Table1[[#This Row],[Reporting date]])*12+MONTH(Table1[[#This Row],[Reporting date]])-Earliest_Month)/4)</f>
        <v>17</v>
      </c>
      <c r="Z1131" s="17">
        <f>Table1[[#This Row],[Reporting third]]-Table1[[#This Row],[Policy third]]</f>
        <v>1</v>
      </c>
      <c r="AA1131" s="71">
        <f>IF(Table1[[#This Row],[Overall amount]]=0,"N/A",Table1[[#This Row],[Outstanding]]/Table1[[#This Row],[Overall amount]])</f>
        <v>0</v>
      </c>
      <c r="AB1131" s="17">
        <f>IF(MONTH(Table1[[#This Row],[Loss date]])&lt;Pol_Inc_Month_Shifted,YEAR(Table1[[#This Row],[Loss date]])-1,YEAR(Table1[[#This Row],[Loss date]]))</f>
        <v>2009</v>
      </c>
      <c r="AC1131" s="17">
        <f>IF(MONTH(Table1[[#This Row],[Reporting date]])&lt;Pol_Inc_Month_Shifted,YEAR(Table1[[#This Row],[Reporting date]])-1,YEAR(Table1[[#This Row],[Reporting date]]))</f>
        <v>2010</v>
      </c>
      <c r="AD1131" s="17">
        <f>Table1[[#This Row],[Reporting year (shifted)]]-Table1[[#This Row],[Policy Year (shifted)]]</f>
        <v>1</v>
      </c>
    </row>
    <row r="1132" spans="1:30" ht="13.9">
      <c r="A1132" s="8" t="s">
        <v>2902</v>
      </c>
      <c r="B1132" s="8" t="s">
        <v>1184</v>
      </c>
      <c r="C1132" s="8" t="s">
        <v>123</v>
      </c>
      <c r="D1132" s="9">
        <v>40724</v>
      </c>
      <c r="E1132" s="9">
        <v>41093</v>
      </c>
      <c r="F1132" s="17">
        <f>IF(MONTH(Table1[[#This Row],[Loss date]])&lt;Policy_Inception_Month,YEAR(Table1[[#This Row],[Loss date]])-1,YEAR(Table1[[#This Row],[Loss date]]))</f>
        <v>2011</v>
      </c>
      <c r="G1132" s="10" t="s">
        <v>126</v>
      </c>
      <c r="H1132" s="10" t="s">
        <v>2</v>
      </c>
      <c r="I1132" s="11">
        <v>11828.238161675203</v>
      </c>
      <c r="J1132" s="11">
        <v>3772.6315701905155</v>
      </c>
      <c r="K1132" s="11">
        <v>15600.86973186572</v>
      </c>
      <c r="L1132" s="12">
        <v>0</v>
      </c>
      <c r="M1132" s="12">
        <v>0</v>
      </c>
      <c r="N1132" s="12">
        <v>15600.86973186572</v>
      </c>
      <c r="O1132" s="70">
        <f>IF(Table1[[#This Row],[Overall amount]]=0,0,1)</f>
        <v>1</v>
      </c>
      <c r="P1132" s="70">
        <f>Table1[[#This Row],[Overall amount]]*Exchange_Rate</f>
        <v>15600.86973186572</v>
      </c>
      <c r="Q1132" s="70">
        <f>Table1[[#This Row],[Overall (destination currency)]]*(1+Claims_Inflation)^((Revalue_at_date-Table1[[#This Row],[Loss date]])/365.25)</f>
        <v>19200</v>
      </c>
      <c r="R1132" s="70">
        <f>INT(Table1[[#This Row],[Reporting date]])-INT(Table1[[#This Row],[Loss date]])</f>
        <v>369</v>
      </c>
      <c r="S1132" s="69" t="s">
        <v>16</v>
      </c>
      <c r="T1132" s="70">
        <f>VLOOKUP(Table1[[#This Row],[Policy Year]],exposure_table,3,FALSE)</f>
        <v>870.52680000000009</v>
      </c>
      <c r="U1132" s="17">
        <f>IF(MONTH(Table1[[#This Row],[Reporting date]])&lt;Policy_Inception_Month,YEAR(Table1[[#This Row],[Reporting date]])-1,YEAR(Table1[[#This Row],[Reporting date]]))</f>
        <v>2012</v>
      </c>
      <c r="V1132" s="17">
        <f>Table1[[#This Row],[Reporting year]]-Table1[[#This Row],[Policy Year]]</f>
        <v>1</v>
      </c>
      <c r="W1132" s="17">
        <f>INT(Table1[[#This Row],[Reporting date]])-INT(Table1[[#This Row],[Loss date]])</f>
        <v>369</v>
      </c>
      <c r="X1132" s="17">
        <f>INT((YEAR(Table1[[#This Row],[Loss date]])*12+MONTH(Table1[[#This Row],[Loss date]])-Earliest_Month)/4)</f>
        <v>18</v>
      </c>
      <c r="Y1132" s="17">
        <f>INT((YEAR(Table1[[#This Row],[Reporting date]])*12+MONTH(Table1[[#This Row],[Reporting date]])-Earliest_Month)/4)</f>
        <v>21</v>
      </c>
      <c r="Z1132" s="17">
        <f>Table1[[#This Row],[Reporting third]]-Table1[[#This Row],[Policy third]]</f>
        <v>3</v>
      </c>
      <c r="AA1132" s="71">
        <f>IF(Table1[[#This Row],[Overall amount]]=0,"N/A",Table1[[#This Row],[Outstanding]]/Table1[[#This Row],[Overall amount]])</f>
        <v>0.24182187499999999</v>
      </c>
      <c r="AB1132" s="17">
        <f>IF(MONTH(Table1[[#This Row],[Loss date]])&lt;Pol_Inc_Month_Shifted,YEAR(Table1[[#This Row],[Loss date]])-1,YEAR(Table1[[#This Row],[Loss date]]))</f>
        <v>2010</v>
      </c>
      <c r="AC1132" s="17">
        <f>IF(MONTH(Table1[[#This Row],[Reporting date]])&lt;Pol_Inc_Month_Shifted,YEAR(Table1[[#This Row],[Reporting date]])-1,YEAR(Table1[[#This Row],[Reporting date]]))</f>
        <v>2011</v>
      </c>
      <c r="AD1132" s="17">
        <f>Table1[[#This Row],[Reporting year (shifted)]]-Table1[[#This Row],[Policy Year (shifted)]]</f>
        <v>1</v>
      </c>
    </row>
    <row r="1133" spans="1:30" ht="13.9">
      <c r="A1133" s="8" t="s">
        <v>2903</v>
      </c>
      <c r="B1133" s="8" t="s">
        <v>1185</v>
      </c>
      <c r="C1133" s="8" t="s">
        <v>123</v>
      </c>
      <c r="D1133" s="9">
        <v>39823</v>
      </c>
      <c r="E1133" s="9">
        <v>40091</v>
      </c>
      <c r="F1133" s="17">
        <f>IF(MONTH(Table1[[#This Row],[Loss date]])&lt;Policy_Inception_Month,YEAR(Table1[[#This Row],[Loss date]])-1,YEAR(Table1[[#This Row],[Loss date]]))</f>
        <v>2008</v>
      </c>
      <c r="G1133" s="10" t="s">
        <v>126</v>
      </c>
      <c r="H1133" s="10" t="s">
        <v>2</v>
      </c>
      <c r="I1133" s="11">
        <v>8286.4463723177141</v>
      </c>
      <c r="J1133" s="11">
        <v>0</v>
      </c>
      <c r="K1133" s="11">
        <v>8286.4463723177141</v>
      </c>
      <c r="L1133" s="12">
        <v>0</v>
      </c>
      <c r="M1133" s="12">
        <v>0</v>
      </c>
      <c r="N1133" s="12">
        <v>8286.4463723177141</v>
      </c>
      <c r="O1133" s="70">
        <f>IF(Table1[[#This Row],[Overall amount]]=0,0,1)</f>
        <v>1</v>
      </c>
      <c r="P1133" s="70">
        <f>Table1[[#This Row],[Overall amount]]*Exchange_Rate</f>
        <v>8286.4463723177141</v>
      </c>
      <c r="Q1133" s="70">
        <f>Table1[[#This Row],[Overall (destination currency)]]*(1+Claims_Inflation)^((Revalue_at_date-Table1[[#This Row],[Loss date]])/365.25)</f>
        <v>11502.456</v>
      </c>
      <c r="R1133" s="70">
        <f>INT(Table1[[#This Row],[Reporting date]])-INT(Table1[[#This Row],[Loss date]])</f>
        <v>268</v>
      </c>
      <c r="S1133" s="69" t="s">
        <v>9</v>
      </c>
      <c r="T1133" s="70">
        <f>VLOOKUP(Table1[[#This Row],[Policy Year]],exposure_table,3,FALSE)</f>
        <v>601.98581780480015</v>
      </c>
      <c r="U1133" s="17">
        <f>IF(MONTH(Table1[[#This Row],[Reporting date]])&lt;Policy_Inception_Month,YEAR(Table1[[#This Row],[Reporting date]])-1,YEAR(Table1[[#This Row],[Reporting date]]))</f>
        <v>2009</v>
      </c>
      <c r="V1133" s="17">
        <f>Table1[[#This Row],[Reporting year]]-Table1[[#This Row],[Policy Year]]</f>
        <v>1</v>
      </c>
      <c r="W1133" s="17">
        <f>INT(Table1[[#This Row],[Reporting date]])-INT(Table1[[#This Row],[Loss date]])</f>
        <v>268</v>
      </c>
      <c r="X1133" s="17">
        <f>INT((YEAR(Table1[[#This Row],[Loss date]])*12+MONTH(Table1[[#This Row],[Loss date]])-Earliest_Month)/4)</f>
        <v>11</v>
      </c>
      <c r="Y1133" s="17">
        <f>INT((YEAR(Table1[[#This Row],[Reporting date]])*12+MONTH(Table1[[#This Row],[Reporting date]])-Earliest_Month)/4)</f>
        <v>13</v>
      </c>
      <c r="Z1133" s="17">
        <f>Table1[[#This Row],[Reporting third]]-Table1[[#This Row],[Policy third]]</f>
        <v>2</v>
      </c>
      <c r="AA1133" s="71">
        <f>IF(Table1[[#This Row],[Overall amount]]=0,"N/A",Table1[[#This Row],[Outstanding]]/Table1[[#This Row],[Overall amount]])</f>
        <v>0</v>
      </c>
      <c r="AB1133" s="17">
        <f>IF(MONTH(Table1[[#This Row],[Loss date]])&lt;Pol_Inc_Month_Shifted,YEAR(Table1[[#This Row],[Loss date]])-1,YEAR(Table1[[#This Row],[Loss date]]))</f>
        <v>2008</v>
      </c>
      <c r="AC1133" s="17">
        <f>IF(MONTH(Table1[[#This Row],[Reporting date]])&lt;Pol_Inc_Month_Shifted,YEAR(Table1[[#This Row],[Reporting date]])-1,YEAR(Table1[[#This Row],[Reporting date]]))</f>
        <v>2008</v>
      </c>
      <c r="AD1133" s="17">
        <f>Table1[[#This Row],[Reporting year (shifted)]]-Table1[[#This Row],[Policy Year (shifted)]]</f>
        <v>0</v>
      </c>
    </row>
    <row r="1134" spans="1:30" ht="13.9">
      <c r="A1134" s="8" t="s">
        <v>2904</v>
      </c>
      <c r="B1134" s="8" t="s">
        <v>1186</v>
      </c>
      <c r="C1134" s="8" t="s">
        <v>123</v>
      </c>
      <c r="D1134" s="9">
        <v>40043</v>
      </c>
      <c r="E1134" s="9">
        <v>40061</v>
      </c>
      <c r="F1134" s="17">
        <f>IF(MONTH(Table1[[#This Row],[Loss date]])&lt;Policy_Inception_Month,YEAR(Table1[[#This Row],[Loss date]])-1,YEAR(Table1[[#This Row],[Loss date]]))</f>
        <v>2009</v>
      </c>
      <c r="G1134" s="10" t="s">
        <v>125</v>
      </c>
      <c r="H1134" s="10" t="s">
        <v>2</v>
      </c>
      <c r="I1134" s="11">
        <v>11311.987961382947</v>
      </c>
      <c r="J1134" s="11">
        <v>0</v>
      </c>
      <c r="K1134" s="11">
        <v>11311.987961382947</v>
      </c>
      <c r="L1134" s="12">
        <v>133.54054340288252</v>
      </c>
      <c r="M1134" s="12">
        <v>0</v>
      </c>
      <c r="N1134" s="12">
        <v>11445.528504785829</v>
      </c>
      <c r="O1134" s="70">
        <f>IF(Table1[[#This Row],[Overall amount]]=0,0,1)</f>
        <v>1</v>
      </c>
      <c r="P1134" s="70">
        <f>Table1[[#This Row],[Overall amount]]*Exchange_Rate</f>
        <v>11445.528504785829</v>
      </c>
      <c r="Q1134" s="70">
        <f>Table1[[#This Row],[Overall (destination currency)]]*(1+Claims_Inflation)^((Revalue_at_date-Table1[[#This Row],[Loss date]])/365.25)</f>
        <v>15427.488000000001</v>
      </c>
      <c r="R1134" s="70">
        <f>INT(Table1[[#This Row],[Reporting date]])-INT(Table1[[#This Row],[Loss date]])</f>
        <v>18</v>
      </c>
      <c r="S1134" s="69" t="s">
        <v>9</v>
      </c>
      <c r="T1134" s="70">
        <f>VLOOKUP(Table1[[#This Row],[Policy Year]],exposure_table,3,FALSE)</f>
        <v>760.22808576000011</v>
      </c>
      <c r="U1134" s="17">
        <f>IF(MONTH(Table1[[#This Row],[Reporting date]])&lt;Policy_Inception_Month,YEAR(Table1[[#This Row],[Reporting date]])-1,YEAR(Table1[[#This Row],[Reporting date]]))</f>
        <v>2009</v>
      </c>
      <c r="V1134" s="17">
        <f>Table1[[#This Row],[Reporting year]]-Table1[[#This Row],[Policy Year]]</f>
        <v>0</v>
      </c>
      <c r="W1134" s="17">
        <f>INT(Table1[[#This Row],[Reporting date]])-INT(Table1[[#This Row],[Loss date]])</f>
        <v>18</v>
      </c>
      <c r="X1134" s="17">
        <f>INT((YEAR(Table1[[#This Row],[Loss date]])*12+MONTH(Table1[[#This Row],[Loss date]])-Earliest_Month)/4)</f>
        <v>13</v>
      </c>
      <c r="Y1134" s="17">
        <f>INT((YEAR(Table1[[#This Row],[Reporting date]])*12+MONTH(Table1[[#This Row],[Reporting date]])-Earliest_Month)/4)</f>
        <v>13</v>
      </c>
      <c r="Z1134" s="17">
        <f>Table1[[#This Row],[Reporting third]]-Table1[[#This Row],[Policy third]]</f>
        <v>0</v>
      </c>
      <c r="AA1134" s="71">
        <f>IF(Table1[[#This Row],[Overall amount]]=0,"N/A",Table1[[#This Row],[Outstanding]]/Table1[[#This Row],[Overall amount]])</f>
        <v>0</v>
      </c>
      <c r="AB1134" s="17">
        <f>IF(MONTH(Table1[[#This Row],[Loss date]])&lt;Pol_Inc_Month_Shifted,YEAR(Table1[[#This Row],[Loss date]])-1,YEAR(Table1[[#This Row],[Loss date]]))</f>
        <v>2008</v>
      </c>
      <c r="AC1134" s="17">
        <f>IF(MONTH(Table1[[#This Row],[Reporting date]])&lt;Pol_Inc_Month_Shifted,YEAR(Table1[[#This Row],[Reporting date]])-1,YEAR(Table1[[#This Row],[Reporting date]]))</f>
        <v>2008</v>
      </c>
      <c r="AD1134" s="17">
        <f>Table1[[#This Row],[Reporting year (shifted)]]-Table1[[#This Row],[Policy Year (shifted)]]</f>
        <v>0</v>
      </c>
    </row>
    <row r="1135" spans="1:30" ht="13.9">
      <c r="A1135" s="8" t="s">
        <v>2905</v>
      </c>
      <c r="B1135" s="8" t="s">
        <v>1187</v>
      </c>
      <c r="C1135" s="8" t="s">
        <v>123</v>
      </c>
      <c r="D1135" s="9">
        <v>39750</v>
      </c>
      <c r="E1135" s="9">
        <v>40072</v>
      </c>
      <c r="F1135" s="17">
        <f>IF(MONTH(Table1[[#This Row],[Loss date]])&lt;Policy_Inception_Month,YEAR(Table1[[#This Row],[Loss date]])-1,YEAR(Table1[[#This Row],[Loss date]]))</f>
        <v>2008</v>
      </c>
      <c r="G1135" s="10" t="s">
        <v>125</v>
      </c>
      <c r="H1135" s="10" t="s">
        <v>2</v>
      </c>
      <c r="I1135" s="11">
        <v>37601.130056524002</v>
      </c>
      <c r="J1135" s="11">
        <v>0</v>
      </c>
      <c r="K1135" s="11">
        <v>37601.130056524002</v>
      </c>
      <c r="L1135" s="12">
        <v>0</v>
      </c>
      <c r="M1135" s="12">
        <v>0</v>
      </c>
      <c r="N1135" s="12">
        <v>37601.130056524002</v>
      </c>
      <c r="O1135" s="70">
        <f>IF(Table1[[#This Row],[Overall amount]]=0,0,1)</f>
        <v>1</v>
      </c>
      <c r="P1135" s="70">
        <f>Table1[[#This Row],[Overall amount]]*Exchange_Rate</f>
        <v>37601.130056524002</v>
      </c>
      <c r="Q1135" s="70">
        <f>Table1[[#This Row],[Overall (destination currency)]]*(1+Claims_Inflation)^((Revalue_at_date-Table1[[#This Row],[Loss date]])/365.25)</f>
        <v>52705.76400000001</v>
      </c>
      <c r="R1135" s="70">
        <f>INT(Table1[[#This Row],[Reporting date]])-INT(Table1[[#This Row],[Loss date]])</f>
        <v>322</v>
      </c>
      <c r="S1135" s="69" t="s">
        <v>9</v>
      </c>
      <c r="T1135" s="70">
        <f>VLOOKUP(Table1[[#This Row],[Policy Year]],exposure_table,3,FALSE)</f>
        <v>601.98581780480015</v>
      </c>
      <c r="U1135" s="17">
        <f>IF(MONTH(Table1[[#This Row],[Reporting date]])&lt;Policy_Inception_Month,YEAR(Table1[[#This Row],[Reporting date]])-1,YEAR(Table1[[#This Row],[Reporting date]]))</f>
        <v>2009</v>
      </c>
      <c r="V1135" s="17">
        <f>Table1[[#This Row],[Reporting year]]-Table1[[#This Row],[Policy Year]]</f>
        <v>1</v>
      </c>
      <c r="W1135" s="17">
        <f>INT(Table1[[#This Row],[Reporting date]])-INT(Table1[[#This Row],[Loss date]])</f>
        <v>322</v>
      </c>
      <c r="X1135" s="17">
        <f>INT((YEAR(Table1[[#This Row],[Loss date]])*12+MONTH(Table1[[#This Row],[Loss date]])-Earliest_Month)/4)</f>
        <v>10</v>
      </c>
      <c r="Y1135" s="17">
        <f>INT((YEAR(Table1[[#This Row],[Reporting date]])*12+MONTH(Table1[[#This Row],[Reporting date]])-Earliest_Month)/4)</f>
        <v>13</v>
      </c>
      <c r="Z1135" s="17">
        <f>Table1[[#This Row],[Reporting third]]-Table1[[#This Row],[Policy third]]</f>
        <v>3</v>
      </c>
      <c r="AA1135" s="71">
        <f>IF(Table1[[#This Row],[Overall amount]]=0,"N/A",Table1[[#This Row],[Outstanding]]/Table1[[#This Row],[Overall amount]])</f>
        <v>0</v>
      </c>
      <c r="AB1135" s="17">
        <f>IF(MONTH(Table1[[#This Row],[Loss date]])&lt;Pol_Inc_Month_Shifted,YEAR(Table1[[#This Row],[Loss date]])-1,YEAR(Table1[[#This Row],[Loss date]]))</f>
        <v>2007</v>
      </c>
      <c r="AC1135" s="17">
        <f>IF(MONTH(Table1[[#This Row],[Reporting date]])&lt;Pol_Inc_Month_Shifted,YEAR(Table1[[#This Row],[Reporting date]])-1,YEAR(Table1[[#This Row],[Reporting date]]))</f>
        <v>2008</v>
      </c>
      <c r="AD1135" s="17">
        <f>Table1[[#This Row],[Reporting year (shifted)]]-Table1[[#This Row],[Policy Year (shifted)]]</f>
        <v>1</v>
      </c>
    </row>
    <row r="1136" spans="1:30" ht="13.9">
      <c r="A1136" s="8" t="s">
        <v>2906</v>
      </c>
      <c r="B1136" s="8" t="s">
        <v>1188</v>
      </c>
      <c r="C1136" s="8" t="s">
        <v>123</v>
      </c>
      <c r="D1136" s="9">
        <v>40320</v>
      </c>
      <c r="E1136" s="9">
        <v>40337</v>
      </c>
      <c r="F1136" s="17">
        <f>IF(MONTH(Table1[[#This Row],[Loss date]])&lt;Policy_Inception_Month,YEAR(Table1[[#This Row],[Loss date]])-1,YEAR(Table1[[#This Row],[Loss date]]))</f>
        <v>2010</v>
      </c>
      <c r="G1136" s="10" t="s">
        <v>126</v>
      </c>
      <c r="H1136" s="10" t="s">
        <v>2</v>
      </c>
      <c r="I1136" s="11">
        <v>21269.08984712002</v>
      </c>
      <c r="J1136" s="11">
        <v>0</v>
      </c>
      <c r="K1136" s="11">
        <v>21269.08984712002</v>
      </c>
      <c r="L1136" s="12">
        <v>0</v>
      </c>
      <c r="M1136" s="12">
        <v>1412.9058355044933</v>
      </c>
      <c r="N1136" s="12">
        <v>19856.184011615525</v>
      </c>
      <c r="O1136" s="70">
        <f>IF(Table1[[#This Row],[Overall amount]]=0,0,1)</f>
        <v>1</v>
      </c>
      <c r="P1136" s="70">
        <f>Table1[[#This Row],[Overall amount]]*Exchange_Rate</f>
        <v>19856.184011615525</v>
      </c>
      <c r="Q1136" s="70">
        <f>Table1[[#This Row],[Overall (destination currency)]]*(1+Claims_Inflation)^((Revalue_at_date-Table1[[#This Row],[Loss date]])/365.25)</f>
        <v>25792.029407999995</v>
      </c>
      <c r="R1136" s="70">
        <f>INT(Table1[[#This Row],[Reporting date]])-INT(Table1[[#This Row],[Loss date]])</f>
        <v>17</v>
      </c>
      <c r="S1136" s="69" t="s">
        <v>9</v>
      </c>
      <c r="T1136" s="70">
        <f>VLOOKUP(Table1[[#This Row],[Policy Year]],exposure_table,3,FALSE)</f>
        <v>837.11513600000012</v>
      </c>
      <c r="U1136" s="17">
        <f>IF(MONTH(Table1[[#This Row],[Reporting date]])&lt;Policy_Inception_Month,YEAR(Table1[[#This Row],[Reporting date]])-1,YEAR(Table1[[#This Row],[Reporting date]]))</f>
        <v>2010</v>
      </c>
      <c r="V1136" s="17">
        <f>Table1[[#This Row],[Reporting year]]-Table1[[#This Row],[Policy Year]]</f>
        <v>0</v>
      </c>
      <c r="W1136" s="17">
        <f>INT(Table1[[#This Row],[Reporting date]])-INT(Table1[[#This Row],[Loss date]])</f>
        <v>17</v>
      </c>
      <c r="X1136" s="17">
        <f>INT((YEAR(Table1[[#This Row],[Loss date]])*12+MONTH(Table1[[#This Row],[Loss date]])-Earliest_Month)/4)</f>
        <v>15</v>
      </c>
      <c r="Y1136" s="17">
        <f>INT((YEAR(Table1[[#This Row],[Reporting date]])*12+MONTH(Table1[[#This Row],[Reporting date]])-Earliest_Month)/4)</f>
        <v>15</v>
      </c>
      <c r="Z1136" s="17">
        <f>Table1[[#This Row],[Reporting third]]-Table1[[#This Row],[Policy third]]</f>
        <v>0</v>
      </c>
      <c r="AA1136" s="71">
        <f>IF(Table1[[#This Row],[Overall amount]]=0,"N/A",Table1[[#This Row],[Outstanding]]/Table1[[#This Row],[Overall amount]])</f>
        <v>0</v>
      </c>
      <c r="AB1136" s="17">
        <f>IF(MONTH(Table1[[#This Row],[Loss date]])&lt;Pol_Inc_Month_Shifted,YEAR(Table1[[#This Row],[Loss date]])-1,YEAR(Table1[[#This Row],[Loss date]]))</f>
        <v>2009</v>
      </c>
      <c r="AC1136" s="17">
        <f>IF(MONTH(Table1[[#This Row],[Reporting date]])&lt;Pol_Inc_Month_Shifted,YEAR(Table1[[#This Row],[Reporting date]])-1,YEAR(Table1[[#This Row],[Reporting date]]))</f>
        <v>2009</v>
      </c>
      <c r="AD1136" s="17">
        <f>Table1[[#This Row],[Reporting year (shifted)]]-Table1[[#This Row],[Policy Year (shifted)]]</f>
        <v>0</v>
      </c>
    </row>
    <row r="1137" spans="1:30" ht="13.9">
      <c r="A1137" s="8" t="s">
        <v>2907</v>
      </c>
      <c r="B1137" s="8" t="s">
        <v>1189</v>
      </c>
      <c r="C1137" s="8" t="s">
        <v>123</v>
      </c>
      <c r="D1137" s="9">
        <v>40622</v>
      </c>
      <c r="E1137" s="9">
        <v>40761</v>
      </c>
      <c r="F1137" s="17">
        <f>IF(MONTH(Table1[[#This Row],[Loss date]])&lt;Policy_Inception_Month,YEAR(Table1[[#This Row],[Loss date]])-1,YEAR(Table1[[#This Row],[Loss date]]))</f>
        <v>2010</v>
      </c>
      <c r="G1137" s="10" t="s">
        <v>125</v>
      </c>
      <c r="H1137" s="10" t="s">
        <v>2</v>
      </c>
      <c r="I1137" s="11">
        <v>2802.8576077925932</v>
      </c>
      <c r="J1137" s="11">
        <v>22349.759565775115</v>
      </c>
      <c r="K1137" s="11">
        <v>25152.617173567709</v>
      </c>
      <c r="L1137" s="12">
        <v>0</v>
      </c>
      <c r="M1137" s="12">
        <v>0</v>
      </c>
      <c r="N1137" s="12">
        <v>25152.617173567709</v>
      </c>
      <c r="O1137" s="70">
        <f>IF(Table1[[#This Row],[Overall amount]]=0,0,1)</f>
        <v>1</v>
      </c>
      <c r="P1137" s="70">
        <f>Table1[[#This Row],[Overall amount]]*Exchange_Rate</f>
        <v>25152.617173567709</v>
      </c>
      <c r="Q1137" s="70">
        <f>Table1[[#This Row],[Overall (destination currency)]]*(1+Claims_Inflation)^((Revalue_at_date-Table1[[#This Row],[Loss date]])/365.25)</f>
        <v>31379.999999999996</v>
      </c>
      <c r="R1137" s="70">
        <f>INT(Table1[[#This Row],[Reporting date]])-INT(Table1[[#This Row],[Loss date]])</f>
        <v>139</v>
      </c>
      <c r="S1137" s="69" t="s">
        <v>16</v>
      </c>
      <c r="T1137" s="70">
        <f>VLOOKUP(Table1[[#This Row],[Policy Year]],exposure_table,3,FALSE)</f>
        <v>837.11513600000012</v>
      </c>
      <c r="U1137" s="17">
        <f>IF(MONTH(Table1[[#This Row],[Reporting date]])&lt;Policy_Inception_Month,YEAR(Table1[[#This Row],[Reporting date]])-1,YEAR(Table1[[#This Row],[Reporting date]]))</f>
        <v>2011</v>
      </c>
      <c r="V1137" s="17">
        <f>Table1[[#This Row],[Reporting year]]-Table1[[#This Row],[Policy Year]]</f>
        <v>1</v>
      </c>
      <c r="W1137" s="17">
        <f>INT(Table1[[#This Row],[Reporting date]])-INT(Table1[[#This Row],[Loss date]])</f>
        <v>139</v>
      </c>
      <c r="X1137" s="17">
        <f>INT((YEAR(Table1[[#This Row],[Loss date]])*12+MONTH(Table1[[#This Row],[Loss date]])-Earliest_Month)/4)</f>
        <v>17</v>
      </c>
      <c r="Y1137" s="17">
        <f>INT((YEAR(Table1[[#This Row],[Reporting date]])*12+MONTH(Table1[[#This Row],[Reporting date]])-Earliest_Month)/4)</f>
        <v>19</v>
      </c>
      <c r="Z1137" s="17">
        <f>Table1[[#This Row],[Reporting third]]-Table1[[#This Row],[Policy third]]</f>
        <v>2</v>
      </c>
      <c r="AA1137" s="71">
        <f>IF(Table1[[#This Row],[Overall amount]]=0,"N/A",Table1[[#This Row],[Outstanding]]/Table1[[#This Row],[Overall amount]])</f>
        <v>0.88856596558317391</v>
      </c>
      <c r="AB1137" s="17">
        <f>IF(MONTH(Table1[[#This Row],[Loss date]])&lt;Pol_Inc_Month_Shifted,YEAR(Table1[[#This Row],[Loss date]])-1,YEAR(Table1[[#This Row],[Loss date]]))</f>
        <v>2010</v>
      </c>
      <c r="AC1137" s="17">
        <f>IF(MONTH(Table1[[#This Row],[Reporting date]])&lt;Pol_Inc_Month_Shifted,YEAR(Table1[[#This Row],[Reporting date]])-1,YEAR(Table1[[#This Row],[Reporting date]]))</f>
        <v>2010</v>
      </c>
      <c r="AD1137" s="17">
        <f>Table1[[#This Row],[Reporting year (shifted)]]-Table1[[#This Row],[Policy Year (shifted)]]</f>
        <v>0</v>
      </c>
    </row>
    <row r="1138" spans="1:30" ht="13.9">
      <c r="A1138" s="8" t="s">
        <v>2908</v>
      </c>
      <c r="B1138" s="8" t="s">
        <v>1190</v>
      </c>
      <c r="C1138" s="8" t="s">
        <v>123</v>
      </c>
      <c r="D1138" s="9">
        <v>40384</v>
      </c>
      <c r="E1138" s="9">
        <v>40466</v>
      </c>
      <c r="F1138" s="17">
        <f>IF(MONTH(Table1[[#This Row],[Loss date]])&lt;Policy_Inception_Month,YEAR(Table1[[#This Row],[Loss date]])-1,YEAR(Table1[[#This Row],[Loss date]]))</f>
        <v>2010</v>
      </c>
      <c r="G1138" s="10" t="s">
        <v>125</v>
      </c>
      <c r="H1138" s="10" t="s">
        <v>2</v>
      </c>
      <c r="I1138" s="11">
        <v>28230.623618792837</v>
      </c>
      <c r="J1138" s="11">
        <v>0</v>
      </c>
      <c r="K1138" s="11">
        <v>28230.623618792837</v>
      </c>
      <c r="L1138" s="12">
        <v>0</v>
      </c>
      <c r="M1138" s="12">
        <v>0</v>
      </c>
      <c r="N1138" s="12">
        <v>28230.623618792837</v>
      </c>
      <c r="O1138" s="70">
        <f>IF(Table1[[#This Row],[Overall amount]]=0,0,1)</f>
        <v>1</v>
      </c>
      <c r="P1138" s="70">
        <f>Table1[[#This Row],[Overall amount]]*Exchange_Rate</f>
        <v>28230.623618792837</v>
      </c>
      <c r="Q1138" s="70">
        <f>Table1[[#This Row],[Overall (destination currency)]]*(1+Claims_Inflation)^((Revalue_at_date-Table1[[#This Row],[Loss date]])/365.25)</f>
        <v>36357.78</v>
      </c>
      <c r="R1138" s="70">
        <f>INT(Table1[[#This Row],[Reporting date]])-INT(Table1[[#This Row],[Loss date]])</f>
        <v>82</v>
      </c>
      <c r="S1138" s="69" t="s">
        <v>9</v>
      </c>
      <c r="T1138" s="70">
        <f>VLOOKUP(Table1[[#This Row],[Policy Year]],exposure_table,3,FALSE)</f>
        <v>837.11513600000012</v>
      </c>
      <c r="U1138" s="17">
        <f>IF(MONTH(Table1[[#This Row],[Reporting date]])&lt;Policy_Inception_Month,YEAR(Table1[[#This Row],[Reporting date]])-1,YEAR(Table1[[#This Row],[Reporting date]]))</f>
        <v>2010</v>
      </c>
      <c r="V1138" s="17">
        <f>Table1[[#This Row],[Reporting year]]-Table1[[#This Row],[Policy Year]]</f>
        <v>0</v>
      </c>
      <c r="W1138" s="17">
        <f>INT(Table1[[#This Row],[Reporting date]])-INT(Table1[[#This Row],[Loss date]])</f>
        <v>82</v>
      </c>
      <c r="X1138" s="17">
        <f>INT((YEAR(Table1[[#This Row],[Loss date]])*12+MONTH(Table1[[#This Row],[Loss date]])-Earliest_Month)/4)</f>
        <v>15</v>
      </c>
      <c r="Y1138" s="17">
        <f>INT((YEAR(Table1[[#This Row],[Reporting date]])*12+MONTH(Table1[[#This Row],[Reporting date]])-Earliest_Month)/4)</f>
        <v>16</v>
      </c>
      <c r="Z1138" s="17">
        <f>Table1[[#This Row],[Reporting third]]-Table1[[#This Row],[Policy third]]</f>
        <v>1</v>
      </c>
      <c r="AA1138" s="71">
        <f>IF(Table1[[#This Row],[Overall amount]]=0,"N/A",Table1[[#This Row],[Outstanding]]/Table1[[#This Row],[Overall amount]])</f>
        <v>0</v>
      </c>
      <c r="AB1138" s="17">
        <f>IF(MONTH(Table1[[#This Row],[Loss date]])&lt;Pol_Inc_Month_Shifted,YEAR(Table1[[#This Row],[Loss date]])-1,YEAR(Table1[[#This Row],[Loss date]]))</f>
        <v>2009</v>
      </c>
      <c r="AC1138" s="17">
        <f>IF(MONTH(Table1[[#This Row],[Reporting date]])&lt;Pol_Inc_Month_Shifted,YEAR(Table1[[#This Row],[Reporting date]])-1,YEAR(Table1[[#This Row],[Reporting date]]))</f>
        <v>2009</v>
      </c>
      <c r="AD1138" s="17">
        <f>Table1[[#This Row],[Reporting year (shifted)]]-Table1[[#This Row],[Policy Year (shifted)]]</f>
        <v>0</v>
      </c>
    </row>
    <row r="1139" spans="1:30" ht="13.9">
      <c r="A1139" s="8" t="s">
        <v>2909</v>
      </c>
      <c r="B1139" s="8" t="s">
        <v>1191</v>
      </c>
      <c r="C1139" s="8" t="s">
        <v>123</v>
      </c>
      <c r="D1139" s="9">
        <v>40608</v>
      </c>
      <c r="E1139" s="9">
        <v>40619</v>
      </c>
      <c r="F1139" s="17">
        <f>IF(MONTH(Table1[[#This Row],[Loss date]])&lt;Policy_Inception_Month,YEAR(Table1[[#This Row],[Loss date]])-1,YEAR(Table1[[#This Row],[Loss date]]))</f>
        <v>2010</v>
      </c>
      <c r="G1139" s="10" t="s">
        <v>126</v>
      </c>
      <c r="H1139" s="10" t="s">
        <v>2</v>
      </c>
      <c r="I1139" s="11">
        <v>28982.83324653911</v>
      </c>
      <c r="J1139" s="11">
        <v>0</v>
      </c>
      <c r="K1139" s="11">
        <v>28982.83324653911</v>
      </c>
      <c r="L1139" s="12">
        <v>144.00930774900596</v>
      </c>
      <c r="M1139" s="12">
        <v>2679.6695149945062</v>
      </c>
      <c r="N1139" s="12">
        <v>26447.173039293608</v>
      </c>
      <c r="O1139" s="70">
        <f>IF(Table1[[#This Row],[Overall amount]]=0,0,1)</f>
        <v>1</v>
      </c>
      <c r="P1139" s="70">
        <f>Table1[[#This Row],[Overall amount]]*Exchange_Rate</f>
        <v>26447.173039293608</v>
      </c>
      <c r="Q1139" s="70">
        <f>Table1[[#This Row],[Overall (destination currency)]]*(1+Claims_Inflation)^((Revalue_at_date-Table1[[#This Row],[Loss date]])/365.25)</f>
        <v>33056.829599999997</v>
      </c>
      <c r="R1139" s="70">
        <f>INT(Table1[[#This Row],[Reporting date]])-INT(Table1[[#This Row],[Loss date]])</f>
        <v>11</v>
      </c>
      <c r="S1139" s="69" t="s">
        <v>9</v>
      </c>
      <c r="T1139" s="70">
        <f>VLOOKUP(Table1[[#This Row],[Policy Year]],exposure_table,3,FALSE)</f>
        <v>837.11513600000012</v>
      </c>
      <c r="U1139" s="17">
        <f>IF(MONTH(Table1[[#This Row],[Reporting date]])&lt;Policy_Inception_Month,YEAR(Table1[[#This Row],[Reporting date]])-1,YEAR(Table1[[#This Row],[Reporting date]]))</f>
        <v>2010</v>
      </c>
      <c r="V1139" s="17">
        <f>Table1[[#This Row],[Reporting year]]-Table1[[#This Row],[Policy Year]]</f>
        <v>0</v>
      </c>
      <c r="W1139" s="17">
        <f>INT(Table1[[#This Row],[Reporting date]])-INT(Table1[[#This Row],[Loss date]])</f>
        <v>11</v>
      </c>
      <c r="X1139" s="17">
        <f>INT((YEAR(Table1[[#This Row],[Loss date]])*12+MONTH(Table1[[#This Row],[Loss date]])-Earliest_Month)/4)</f>
        <v>17</v>
      </c>
      <c r="Y1139" s="17">
        <f>INT((YEAR(Table1[[#This Row],[Reporting date]])*12+MONTH(Table1[[#This Row],[Reporting date]])-Earliest_Month)/4)</f>
        <v>17</v>
      </c>
      <c r="Z1139" s="17">
        <f>Table1[[#This Row],[Reporting third]]-Table1[[#This Row],[Policy third]]</f>
        <v>0</v>
      </c>
      <c r="AA1139" s="71">
        <f>IF(Table1[[#This Row],[Overall amount]]=0,"N/A",Table1[[#This Row],[Outstanding]]/Table1[[#This Row],[Overall amount]])</f>
        <v>0</v>
      </c>
      <c r="AB1139" s="17">
        <f>IF(MONTH(Table1[[#This Row],[Loss date]])&lt;Pol_Inc_Month_Shifted,YEAR(Table1[[#This Row],[Loss date]])-1,YEAR(Table1[[#This Row],[Loss date]]))</f>
        <v>2010</v>
      </c>
      <c r="AC1139" s="17">
        <f>IF(MONTH(Table1[[#This Row],[Reporting date]])&lt;Pol_Inc_Month_Shifted,YEAR(Table1[[#This Row],[Reporting date]])-1,YEAR(Table1[[#This Row],[Reporting date]]))</f>
        <v>2010</v>
      </c>
      <c r="AD1139" s="17">
        <f>Table1[[#This Row],[Reporting year (shifted)]]-Table1[[#This Row],[Policy Year (shifted)]]</f>
        <v>0</v>
      </c>
    </row>
    <row r="1140" spans="1:30" ht="13.9">
      <c r="A1140" s="8" t="s">
        <v>2910</v>
      </c>
      <c r="B1140" s="8" t="s">
        <v>1192</v>
      </c>
      <c r="C1140" s="8" t="s">
        <v>118</v>
      </c>
      <c r="D1140" s="9">
        <v>40695</v>
      </c>
      <c r="E1140" s="9">
        <v>40843</v>
      </c>
      <c r="F1140" s="17">
        <f>IF(MONTH(Table1[[#This Row],[Loss date]])&lt;Policy_Inception_Month,YEAR(Table1[[#This Row],[Loss date]])-1,YEAR(Table1[[#This Row],[Loss date]]))</f>
        <v>2011</v>
      </c>
      <c r="G1140" s="10" t="s">
        <v>125</v>
      </c>
      <c r="H1140" s="10" t="s">
        <v>2</v>
      </c>
      <c r="I1140" s="11">
        <v>50100.48495071943</v>
      </c>
      <c r="J1140" s="11">
        <v>13033.005889376567</v>
      </c>
      <c r="K1140" s="11">
        <v>63133.490840095998</v>
      </c>
      <c r="L1140" s="12">
        <v>0</v>
      </c>
      <c r="M1140" s="12">
        <v>0</v>
      </c>
      <c r="N1140" s="12">
        <v>63133.490840095998</v>
      </c>
      <c r="O1140" s="70">
        <f>IF(Table1[[#This Row],[Overall amount]]=0,0,1)</f>
        <v>1</v>
      </c>
      <c r="P1140" s="70">
        <f>Table1[[#This Row],[Overall amount]]*Exchange_Rate</f>
        <v>63133.490840095998</v>
      </c>
      <c r="Q1140" s="70">
        <f>Table1[[#This Row],[Overall (destination currency)]]*(1+Claims_Inflation)^((Revalue_at_date-Table1[[#This Row],[Loss date]])/365.25)</f>
        <v>78000</v>
      </c>
      <c r="R1140" s="70">
        <f>INT(Table1[[#This Row],[Reporting date]])-INT(Table1[[#This Row],[Loss date]])</f>
        <v>148</v>
      </c>
      <c r="S1140" s="69" t="s">
        <v>16</v>
      </c>
      <c r="T1140" s="70">
        <f>VLOOKUP(Table1[[#This Row],[Policy Year]],exposure_table,3,FALSE)</f>
        <v>870.52680000000009</v>
      </c>
      <c r="U1140" s="17">
        <f>IF(MONTH(Table1[[#This Row],[Reporting date]])&lt;Policy_Inception_Month,YEAR(Table1[[#This Row],[Reporting date]])-1,YEAR(Table1[[#This Row],[Reporting date]]))</f>
        <v>2011</v>
      </c>
      <c r="V1140" s="17">
        <f>Table1[[#This Row],[Reporting year]]-Table1[[#This Row],[Policy Year]]</f>
        <v>0</v>
      </c>
      <c r="W1140" s="17">
        <f>INT(Table1[[#This Row],[Reporting date]])-INT(Table1[[#This Row],[Loss date]])</f>
        <v>148</v>
      </c>
      <c r="X1140" s="17">
        <f>INT((YEAR(Table1[[#This Row],[Loss date]])*12+MONTH(Table1[[#This Row],[Loss date]])-Earliest_Month)/4)</f>
        <v>18</v>
      </c>
      <c r="Y1140" s="17">
        <f>INT((YEAR(Table1[[#This Row],[Reporting date]])*12+MONTH(Table1[[#This Row],[Reporting date]])-Earliest_Month)/4)</f>
        <v>19</v>
      </c>
      <c r="Z1140" s="17">
        <f>Table1[[#This Row],[Reporting third]]-Table1[[#This Row],[Policy third]]</f>
        <v>1</v>
      </c>
      <c r="AA1140" s="71">
        <f>IF(Table1[[#This Row],[Overall amount]]=0,"N/A",Table1[[#This Row],[Outstanding]]/Table1[[#This Row],[Overall amount]])</f>
        <v>0.20643569230769229</v>
      </c>
      <c r="AB1140" s="17">
        <f>IF(MONTH(Table1[[#This Row],[Loss date]])&lt;Pol_Inc_Month_Shifted,YEAR(Table1[[#This Row],[Loss date]])-1,YEAR(Table1[[#This Row],[Loss date]]))</f>
        <v>2010</v>
      </c>
      <c r="AC1140" s="17">
        <f>IF(MONTH(Table1[[#This Row],[Reporting date]])&lt;Pol_Inc_Month_Shifted,YEAR(Table1[[#This Row],[Reporting date]])-1,YEAR(Table1[[#This Row],[Reporting date]]))</f>
        <v>2010</v>
      </c>
      <c r="AD1140" s="17">
        <f>Table1[[#This Row],[Reporting year (shifted)]]-Table1[[#This Row],[Policy Year (shifted)]]</f>
        <v>0</v>
      </c>
    </row>
    <row r="1141" spans="1:30" ht="13.9">
      <c r="A1141" s="8" t="s">
        <v>2911</v>
      </c>
      <c r="B1141" s="8" t="s">
        <v>1193</v>
      </c>
      <c r="C1141" s="8" t="s">
        <v>123</v>
      </c>
      <c r="D1141" s="9">
        <v>40677</v>
      </c>
      <c r="E1141" s="9">
        <v>40766</v>
      </c>
      <c r="F1141" s="17">
        <f>IF(MONTH(Table1[[#This Row],[Loss date]])&lt;Policy_Inception_Month,YEAR(Table1[[#This Row],[Loss date]])-1,YEAR(Table1[[#This Row],[Loss date]]))</f>
        <v>2011</v>
      </c>
      <c r="G1141" s="10" t="s">
        <v>124</v>
      </c>
      <c r="H1141" s="10" t="s">
        <v>2</v>
      </c>
      <c r="I1141" s="11">
        <v>9073.4592071339976</v>
      </c>
      <c r="J1141" s="11">
        <v>0</v>
      </c>
      <c r="K1141" s="11">
        <v>9073.4592071339976</v>
      </c>
      <c r="L1141" s="12">
        <v>0</v>
      </c>
      <c r="M1141" s="12">
        <v>0</v>
      </c>
      <c r="N1141" s="12">
        <v>9073.4592071339976</v>
      </c>
      <c r="O1141" s="70">
        <f>IF(Table1[[#This Row],[Overall amount]]=0,0,1)</f>
        <v>1</v>
      </c>
      <c r="P1141" s="70">
        <f>Table1[[#This Row],[Overall amount]]*Exchange_Rate</f>
        <v>9073.4592071339976</v>
      </c>
      <c r="Q1141" s="70">
        <f>Table1[[#This Row],[Overall (destination currency)]]*(1+Claims_Inflation)^((Revalue_at_date-Table1[[#This Row],[Loss date]])/365.25)</f>
        <v>11237.04</v>
      </c>
      <c r="R1141" s="70">
        <f>INT(Table1[[#This Row],[Reporting date]])-INT(Table1[[#This Row],[Loss date]])</f>
        <v>89</v>
      </c>
      <c r="S1141" s="69" t="s">
        <v>9</v>
      </c>
      <c r="T1141" s="70">
        <f>VLOOKUP(Table1[[#This Row],[Policy Year]],exposure_table,3,FALSE)</f>
        <v>870.52680000000009</v>
      </c>
      <c r="U1141" s="17">
        <f>IF(MONTH(Table1[[#This Row],[Reporting date]])&lt;Policy_Inception_Month,YEAR(Table1[[#This Row],[Reporting date]])-1,YEAR(Table1[[#This Row],[Reporting date]]))</f>
        <v>2011</v>
      </c>
      <c r="V1141" s="17">
        <f>Table1[[#This Row],[Reporting year]]-Table1[[#This Row],[Policy Year]]</f>
        <v>0</v>
      </c>
      <c r="W1141" s="17">
        <f>INT(Table1[[#This Row],[Reporting date]])-INT(Table1[[#This Row],[Loss date]])</f>
        <v>89</v>
      </c>
      <c r="X1141" s="17">
        <f>INT((YEAR(Table1[[#This Row],[Loss date]])*12+MONTH(Table1[[#This Row],[Loss date]])-Earliest_Month)/4)</f>
        <v>18</v>
      </c>
      <c r="Y1141" s="17">
        <f>INT((YEAR(Table1[[#This Row],[Reporting date]])*12+MONTH(Table1[[#This Row],[Reporting date]])-Earliest_Month)/4)</f>
        <v>19</v>
      </c>
      <c r="Z1141" s="17">
        <f>Table1[[#This Row],[Reporting third]]-Table1[[#This Row],[Policy third]]</f>
        <v>1</v>
      </c>
      <c r="AA1141" s="71">
        <f>IF(Table1[[#This Row],[Overall amount]]=0,"N/A",Table1[[#This Row],[Outstanding]]/Table1[[#This Row],[Overall amount]])</f>
        <v>0</v>
      </c>
      <c r="AB1141" s="17">
        <f>IF(MONTH(Table1[[#This Row],[Loss date]])&lt;Pol_Inc_Month_Shifted,YEAR(Table1[[#This Row],[Loss date]])-1,YEAR(Table1[[#This Row],[Loss date]]))</f>
        <v>2010</v>
      </c>
      <c r="AC1141" s="17">
        <f>IF(MONTH(Table1[[#This Row],[Reporting date]])&lt;Pol_Inc_Month_Shifted,YEAR(Table1[[#This Row],[Reporting date]])-1,YEAR(Table1[[#This Row],[Reporting date]]))</f>
        <v>2010</v>
      </c>
      <c r="AD1141" s="17">
        <f>Table1[[#This Row],[Reporting year (shifted)]]-Table1[[#This Row],[Policy Year (shifted)]]</f>
        <v>0</v>
      </c>
    </row>
    <row r="1142" spans="1:30" ht="13.9">
      <c r="A1142" s="8" t="s">
        <v>2912</v>
      </c>
      <c r="B1142" s="8" t="s">
        <v>1194</v>
      </c>
      <c r="C1142" s="8" t="s">
        <v>123</v>
      </c>
      <c r="D1142" s="9">
        <v>40819</v>
      </c>
      <c r="E1142" s="9">
        <v>40825</v>
      </c>
      <c r="F1142" s="17">
        <f>IF(MONTH(Table1[[#This Row],[Loss date]])&lt;Policy_Inception_Month,YEAR(Table1[[#This Row],[Loss date]])-1,YEAR(Table1[[#This Row],[Loss date]]))</f>
        <v>2011</v>
      </c>
      <c r="G1142" s="10" t="s">
        <v>126</v>
      </c>
      <c r="H1142" s="10" t="s">
        <v>2</v>
      </c>
      <c r="I1142" s="11">
        <v>458.20313533670901</v>
      </c>
      <c r="J1142" s="11">
        <v>0</v>
      </c>
      <c r="K1142" s="11">
        <v>458.20313533670901</v>
      </c>
      <c r="L1142" s="12">
        <v>0</v>
      </c>
      <c r="M1142" s="12">
        <v>0</v>
      </c>
      <c r="N1142" s="12">
        <v>458.20313533670901</v>
      </c>
      <c r="O1142" s="70">
        <f>IF(Table1[[#This Row],[Overall amount]]=0,0,1)</f>
        <v>1</v>
      </c>
      <c r="P1142" s="70">
        <f>Table1[[#This Row],[Overall amount]]*Exchange_Rate</f>
        <v>458.20313533670901</v>
      </c>
      <c r="Q1142" s="70">
        <f>Table1[[#This Row],[Overall (destination currency)]]*(1+Claims_Inflation)^((Revalue_at_date-Table1[[#This Row],[Loss date]])/365.25)</f>
        <v>556.79999999999995</v>
      </c>
      <c r="R1142" s="70">
        <f>INT(Table1[[#This Row],[Reporting date]])-INT(Table1[[#This Row],[Loss date]])</f>
        <v>6</v>
      </c>
      <c r="S1142" s="69" t="s">
        <v>9</v>
      </c>
      <c r="T1142" s="70">
        <f>VLOOKUP(Table1[[#This Row],[Policy Year]],exposure_table,3,FALSE)</f>
        <v>870.52680000000009</v>
      </c>
      <c r="U1142" s="17">
        <f>IF(MONTH(Table1[[#This Row],[Reporting date]])&lt;Policy_Inception_Month,YEAR(Table1[[#This Row],[Reporting date]])-1,YEAR(Table1[[#This Row],[Reporting date]]))</f>
        <v>2011</v>
      </c>
      <c r="V1142" s="17">
        <f>Table1[[#This Row],[Reporting year]]-Table1[[#This Row],[Policy Year]]</f>
        <v>0</v>
      </c>
      <c r="W1142" s="17">
        <f>INT(Table1[[#This Row],[Reporting date]])-INT(Table1[[#This Row],[Loss date]])</f>
        <v>6</v>
      </c>
      <c r="X1142" s="17">
        <f>INT((YEAR(Table1[[#This Row],[Loss date]])*12+MONTH(Table1[[#This Row],[Loss date]])-Earliest_Month)/4)</f>
        <v>19</v>
      </c>
      <c r="Y1142" s="17">
        <f>INT((YEAR(Table1[[#This Row],[Reporting date]])*12+MONTH(Table1[[#This Row],[Reporting date]])-Earliest_Month)/4)</f>
        <v>19</v>
      </c>
      <c r="Z1142" s="17">
        <f>Table1[[#This Row],[Reporting third]]-Table1[[#This Row],[Policy third]]</f>
        <v>0</v>
      </c>
      <c r="AA1142" s="71">
        <f>IF(Table1[[#This Row],[Overall amount]]=0,"N/A",Table1[[#This Row],[Outstanding]]/Table1[[#This Row],[Overall amount]])</f>
        <v>0</v>
      </c>
      <c r="AB1142" s="17">
        <f>IF(MONTH(Table1[[#This Row],[Loss date]])&lt;Pol_Inc_Month_Shifted,YEAR(Table1[[#This Row],[Loss date]])-1,YEAR(Table1[[#This Row],[Loss date]]))</f>
        <v>2010</v>
      </c>
      <c r="AC1142" s="17">
        <f>IF(MONTH(Table1[[#This Row],[Reporting date]])&lt;Pol_Inc_Month_Shifted,YEAR(Table1[[#This Row],[Reporting date]])-1,YEAR(Table1[[#This Row],[Reporting date]]))</f>
        <v>2010</v>
      </c>
      <c r="AD1142" s="17">
        <f>Table1[[#This Row],[Reporting year (shifted)]]-Table1[[#This Row],[Policy Year (shifted)]]</f>
        <v>0</v>
      </c>
    </row>
    <row r="1143" spans="1:30" ht="13.9">
      <c r="A1143" s="8" t="s">
        <v>2913</v>
      </c>
      <c r="B1143" s="8" t="s">
        <v>1195</v>
      </c>
      <c r="C1143" s="8" t="s">
        <v>123</v>
      </c>
      <c r="D1143" s="9">
        <v>40664</v>
      </c>
      <c r="E1143" s="9">
        <v>40914</v>
      </c>
      <c r="F1143" s="17">
        <f>IF(MONTH(Table1[[#This Row],[Loss date]])&lt;Policy_Inception_Month,YEAR(Table1[[#This Row],[Loss date]])-1,YEAR(Table1[[#This Row],[Loss date]]))</f>
        <v>2011</v>
      </c>
      <c r="G1143" s="10" t="s">
        <v>124</v>
      </c>
      <c r="H1143" s="10" t="s">
        <v>2</v>
      </c>
      <c r="I1143" s="11">
        <v>925.67807461225709</v>
      </c>
      <c r="J1143" s="11">
        <v>0</v>
      </c>
      <c r="K1143" s="11">
        <v>925.67807461225709</v>
      </c>
      <c r="L1143" s="12">
        <v>0</v>
      </c>
      <c r="M1143" s="12">
        <v>0</v>
      </c>
      <c r="N1143" s="12">
        <v>925.67807461225709</v>
      </c>
      <c r="O1143" s="70">
        <f>IF(Table1[[#This Row],[Overall amount]]=0,0,1)</f>
        <v>1</v>
      </c>
      <c r="P1143" s="70">
        <f>Table1[[#This Row],[Overall amount]]*Exchange_Rate</f>
        <v>925.67807461225709</v>
      </c>
      <c r="Q1143" s="70">
        <f>Table1[[#This Row],[Overall (destination currency)]]*(1+Claims_Inflation)^((Revalue_at_date-Table1[[#This Row],[Loss date]])/365.25)</f>
        <v>1148.3999999999999</v>
      </c>
      <c r="R1143" s="70">
        <f>INT(Table1[[#This Row],[Reporting date]])-INT(Table1[[#This Row],[Loss date]])</f>
        <v>250</v>
      </c>
      <c r="S1143" s="69" t="s">
        <v>9</v>
      </c>
      <c r="T1143" s="70">
        <f>VLOOKUP(Table1[[#This Row],[Policy Year]],exposure_table,3,FALSE)</f>
        <v>870.52680000000009</v>
      </c>
      <c r="U1143" s="17">
        <f>IF(MONTH(Table1[[#This Row],[Reporting date]])&lt;Policy_Inception_Month,YEAR(Table1[[#This Row],[Reporting date]])-1,YEAR(Table1[[#This Row],[Reporting date]]))</f>
        <v>2011</v>
      </c>
      <c r="V1143" s="17">
        <f>Table1[[#This Row],[Reporting year]]-Table1[[#This Row],[Policy Year]]</f>
        <v>0</v>
      </c>
      <c r="W1143" s="17">
        <f>INT(Table1[[#This Row],[Reporting date]])-INT(Table1[[#This Row],[Loss date]])</f>
        <v>250</v>
      </c>
      <c r="X1143" s="17">
        <f>INT((YEAR(Table1[[#This Row],[Loss date]])*12+MONTH(Table1[[#This Row],[Loss date]])-Earliest_Month)/4)</f>
        <v>18</v>
      </c>
      <c r="Y1143" s="17">
        <f>INT((YEAR(Table1[[#This Row],[Reporting date]])*12+MONTH(Table1[[#This Row],[Reporting date]])-Earliest_Month)/4)</f>
        <v>20</v>
      </c>
      <c r="Z1143" s="17">
        <f>Table1[[#This Row],[Reporting third]]-Table1[[#This Row],[Policy third]]</f>
        <v>2</v>
      </c>
      <c r="AA1143" s="71">
        <f>IF(Table1[[#This Row],[Overall amount]]=0,"N/A",Table1[[#This Row],[Outstanding]]/Table1[[#This Row],[Overall amount]])</f>
        <v>0</v>
      </c>
      <c r="AB1143" s="17">
        <f>IF(MONTH(Table1[[#This Row],[Loss date]])&lt;Pol_Inc_Month_Shifted,YEAR(Table1[[#This Row],[Loss date]])-1,YEAR(Table1[[#This Row],[Loss date]]))</f>
        <v>2010</v>
      </c>
      <c r="AC1143" s="17">
        <f>IF(MONTH(Table1[[#This Row],[Reporting date]])&lt;Pol_Inc_Month_Shifted,YEAR(Table1[[#This Row],[Reporting date]])-1,YEAR(Table1[[#This Row],[Reporting date]]))</f>
        <v>2011</v>
      </c>
      <c r="AD1143" s="17">
        <f>Table1[[#This Row],[Reporting year (shifted)]]-Table1[[#This Row],[Policy Year (shifted)]]</f>
        <v>1</v>
      </c>
    </row>
    <row r="1144" spans="1:30" ht="13.9">
      <c r="A1144" s="8" t="s">
        <v>2914</v>
      </c>
      <c r="B1144" s="8" t="s">
        <v>1196</v>
      </c>
      <c r="C1144" s="8" t="s">
        <v>123</v>
      </c>
      <c r="D1144" s="9">
        <v>40684</v>
      </c>
      <c r="E1144" s="9">
        <v>40690</v>
      </c>
      <c r="F1144" s="17">
        <f>IF(MONTH(Table1[[#This Row],[Loss date]])&lt;Policy_Inception_Month,YEAR(Table1[[#This Row],[Loss date]])-1,YEAR(Table1[[#This Row],[Loss date]]))</f>
        <v>2011</v>
      </c>
      <c r="G1144" s="10" t="s">
        <v>131</v>
      </c>
      <c r="H1144" s="10" t="s">
        <v>2</v>
      </c>
      <c r="I1144" s="11">
        <v>12078.654492040405</v>
      </c>
      <c r="J1144" s="11">
        <v>0</v>
      </c>
      <c r="K1144" s="11">
        <v>12078.654492040405</v>
      </c>
      <c r="L1144" s="12">
        <v>145.47875017312137</v>
      </c>
      <c r="M1144" s="12">
        <v>0</v>
      </c>
      <c r="N1144" s="12">
        <v>12224.133242213526</v>
      </c>
      <c r="O1144" s="70">
        <f>IF(Table1[[#This Row],[Overall amount]]=0,0,1)</f>
        <v>1</v>
      </c>
      <c r="P1144" s="70">
        <f>Table1[[#This Row],[Overall amount]]*Exchange_Rate</f>
        <v>12224.133242213526</v>
      </c>
      <c r="Q1144" s="70">
        <f>Table1[[#This Row],[Overall (destination currency)]]*(1+Claims_Inflation)^((Revalue_at_date-Table1[[#This Row],[Loss date]])/365.25)</f>
        <v>15124.847999999998</v>
      </c>
      <c r="R1144" s="70">
        <f>INT(Table1[[#This Row],[Reporting date]])-INT(Table1[[#This Row],[Loss date]])</f>
        <v>6</v>
      </c>
      <c r="S1144" s="69" t="s">
        <v>9</v>
      </c>
      <c r="T1144" s="70">
        <f>VLOOKUP(Table1[[#This Row],[Policy Year]],exposure_table,3,FALSE)</f>
        <v>870.52680000000009</v>
      </c>
      <c r="U1144" s="17">
        <f>IF(MONTH(Table1[[#This Row],[Reporting date]])&lt;Policy_Inception_Month,YEAR(Table1[[#This Row],[Reporting date]])-1,YEAR(Table1[[#This Row],[Reporting date]]))</f>
        <v>2011</v>
      </c>
      <c r="V1144" s="17">
        <f>Table1[[#This Row],[Reporting year]]-Table1[[#This Row],[Policy Year]]</f>
        <v>0</v>
      </c>
      <c r="W1144" s="17">
        <f>INT(Table1[[#This Row],[Reporting date]])-INT(Table1[[#This Row],[Loss date]])</f>
        <v>6</v>
      </c>
      <c r="X1144" s="17">
        <f>INT((YEAR(Table1[[#This Row],[Loss date]])*12+MONTH(Table1[[#This Row],[Loss date]])-Earliest_Month)/4)</f>
        <v>18</v>
      </c>
      <c r="Y1144" s="17">
        <f>INT((YEAR(Table1[[#This Row],[Reporting date]])*12+MONTH(Table1[[#This Row],[Reporting date]])-Earliest_Month)/4)</f>
        <v>18</v>
      </c>
      <c r="Z1144" s="17">
        <f>Table1[[#This Row],[Reporting third]]-Table1[[#This Row],[Policy third]]</f>
        <v>0</v>
      </c>
      <c r="AA1144" s="71">
        <f>IF(Table1[[#This Row],[Overall amount]]=0,"N/A",Table1[[#This Row],[Outstanding]]/Table1[[#This Row],[Overall amount]])</f>
        <v>0</v>
      </c>
      <c r="AB1144" s="17">
        <f>IF(MONTH(Table1[[#This Row],[Loss date]])&lt;Pol_Inc_Month_Shifted,YEAR(Table1[[#This Row],[Loss date]])-1,YEAR(Table1[[#This Row],[Loss date]]))</f>
        <v>2010</v>
      </c>
      <c r="AC1144" s="17">
        <f>IF(MONTH(Table1[[#This Row],[Reporting date]])&lt;Pol_Inc_Month_Shifted,YEAR(Table1[[#This Row],[Reporting date]])-1,YEAR(Table1[[#This Row],[Reporting date]]))</f>
        <v>2010</v>
      </c>
      <c r="AD1144" s="17">
        <f>Table1[[#This Row],[Reporting year (shifted)]]-Table1[[#This Row],[Policy Year (shifted)]]</f>
        <v>0</v>
      </c>
    </row>
    <row r="1145" spans="1:30" ht="13.9">
      <c r="A1145" s="8" t="s">
        <v>2915</v>
      </c>
      <c r="B1145" s="8" t="s">
        <v>1197</v>
      </c>
      <c r="C1145" s="8" t="s">
        <v>123</v>
      </c>
      <c r="D1145" s="9">
        <v>40874</v>
      </c>
      <c r="E1145" s="9">
        <v>40944</v>
      </c>
      <c r="F1145" s="17">
        <f>IF(MONTH(Table1[[#This Row],[Loss date]])&lt;Policy_Inception_Month,YEAR(Table1[[#This Row],[Loss date]])-1,YEAR(Table1[[#This Row],[Loss date]]))</f>
        <v>2011</v>
      </c>
      <c r="G1145" s="10" t="s">
        <v>124</v>
      </c>
      <c r="H1145" s="10" t="s">
        <v>2</v>
      </c>
      <c r="I1145" s="11">
        <v>1317.3488004134597</v>
      </c>
      <c r="J1145" s="11">
        <v>0</v>
      </c>
      <c r="K1145" s="11">
        <v>1317.3488004134597</v>
      </c>
      <c r="L1145" s="12">
        <v>0</v>
      </c>
      <c r="M1145" s="12">
        <v>0</v>
      </c>
      <c r="N1145" s="12">
        <v>1317.3488004134597</v>
      </c>
      <c r="O1145" s="70">
        <f>IF(Table1[[#This Row],[Overall amount]]=0,0,1)</f>
        <v>1</v>
      </c>
      <c r="P1145" s="70">
        <f>Table1[[#This Row],[Overall amount]]*Exchange_Rate</f>
        <v>1317.3488004134597</v>
      </c>
      <c r="Q1145" s="70">
        <f>Table1[[#This Row],[Overall (destination currency)]]*(1+Claims_Inflation)^((Revalue_at_date-Table1[[#This Row],[Loss date]])/365.25)</f>
        <v>1589.1</v>
      </c>
      <c r="R1145" s="70">
        <f>INT(Table1[[#This Row],[Reporting date]])-INT(Table1[[#This Row],[Loss date]])</f>
        <v>70</v>
      </c>
      <c r="S1145" s="69" t="s">
        <v>9</v>
      </c>
      <c r="T1145" s="70">
        <f>VLOOKUP(Table1[[#This Row],[Policy Year]],exposure_table,3,FALSE)</f>
        <v>870.52680000000009</v>
      </c>
      <c r="U1145" s="17">
        <f>IF(MONTH(Table1[[#This Row],[Reporting date]])&lt;Policy_Inception_Month,YEAR(Table1[[#This Row],[Reporting date]])-1,YEAR(Table1[[#This Row],[Reporting date]]))</f>
        <v>2011</v>
      </c>
      <c r="V1145" s="17">
        <f>Table1[[#This Row],[Reporting year]]-Table1[[#This Row],[Policy Year]]</f>
        <v>0</v>
      </c>
      <c r="W1145" s="17">
        <f>INT(Table1[[#This Row],[Reporting date]])-INT(Table1[[#This Row],[Loss date]])</f>
        <v>70</v>
      </c>
      <c r="X1145" s="17">
        <f>INT((YEAR(Table1[[#This Row],[Loss date]])*12+MONTH(Table1[[#This Row],[Loss date]])-Earliest_Month)/4)</f>
        <v>19</v>
      </c>
      <c r="Y1145" s="17">
        <f>INT((YEAR(Table1[[#This Row],[Reporting date]])*12+MONTH(Table1[[#This Row],[Reporting date]])-Earliest_Month)/4)</f>
        <v>20</v>
      </c>
      <c r="Z1145" s="17">
        <f>Table1[[#This Row],[Reporting third]]-Table1[[#This Row],[Policy third]]</f>
        <v>1</v>
      </c>
      <c r="AA1145" s="71">
        <f>IF(Table1[[#This Row],[Overall amount]]=0,"N/A",Table1[[#This Row],[Outstanding]]/Table1[[#This Row],[Overall amount]])</f>
        <v>0</v>
      </c>
      <c r="AB1145" s="17">
        <f>IF(MONTH(Table1[[#This Row],[Loss date]])&lt;Pol_Inc_Month_Shifted,YEAR(Table1[[#This Row],[Loss date]])-1,YEAR(Table1[[#This Row],[Loss date]]))</f>
        <v>2010</v>
      </c>
      <c r="AC1145" s="17">
        <f>IF(MONTH(Table1[[#This Row],[Reporting date]])&lt;Pol_Inc_Month_Shifted,YEAR(Table1[[#This Row],[Reporting date]])-1,YEAR(Table1[[#This Row],[Reporting date]]))</f>
        <v>2011</v>
      </c>
      <c r="AD1145" s="17">
        <f>Table1[[#This Row],[Reporting year (shifted)]]-Table1[[#This Row],[Policy Year (shifted)]]</f>
        <v>1</v>
      </c>
    </row>
    <row r="1146" spans="1:30" ht="13.9">
      <c r="A1146" s="8" t="s">
        <v>2916</v>
      </c>
      <c r="B1146" s="8" t="s">
        <v>1198</v>
      </c>
      <c r="C1146" s="8" t="s">
        <v>123</v>
      </c>
      <c r="D1146" s="9">
        <v>40934</v>
      </c>
      <c r="E1146" s="9">
        <v>40966</v>
      </c>
      <c r="F1146" s="17">
        <f>IF(MONTH(Table1[[#This Row],[Loss date]])&lt;Policy_Inception_Month,YEAR(Table1[[#This Row],[Loss date]])-1,YEAR(Table1[[#This Row],[Loss date]]))</f>
        <v>2011</v>
      </c>
      <c r="G1146" s="10" t="s">
        <v>119</v>
      </c>
      <c r="H1146" s="10" t="s">
        <v>2</v>
      </c>
      <c r="I1146" s="11">
        <v>6198.7691164587895</v>
      </c>
      <c r="J1146" s="11">
        <v>0</v>
      </c>
      <c r="K1146" s="11">
        <v>6198.7691164587895</v>
      </c>
      <c r="L1146" s="12">
        <v>0</v>
      </c>
      <c r="M1146" s="12">
        <v>0</v>
      </c>
      <c r="N1146" s="12">
        <v>6198.7691164587895</v>
      </c>
      <c r="O1146" s="70">
        <f>IF(Table1[[#This Row],[Overall amount]]=0,0,1)</f>
        <v>1</v>
      </c>
      <c r="P1146" s="70">
        <f>Table1[[#This Row],[Overall amount]]*Exchange_Rate</f>
        <v>6198.7691164587895</v>
      </c>
      <c r="Q1146" s="70">
        <f>Table1[[#This Row],[Overall (destination currency)]]*(1+Claims_Inflation)^((Revalue_at_date-Table1[[#This Row],[Loss date]])/365.25)</f>
        <v>7417.7999999999993</v>
      </c>
      <c r="R1146" s="70">
        <f>INT(Table1[[#This Row],[Reporting date]])-INT(Table1[[#This Row],[Loss date]])</f>
        <v>32</v>
      </c>
      <c r="S1146" s="69" t="s">
        <v>9</v>
      </c>
      <c r="T1146" s="70">
        <f>VLOOKUP(Table1[[#This Row],[Policy Year]],exposure_table,3,FALSE)</f>
        <v>870.52680000000009</v>
      </c>
      <c r="U1146" s="17">
        <f>IF(MONTH(Table1[[#This Row],[Reporting date]])&lt;Policy_Inception_Month,YEAR(Table1[[#This Row],[Reporting date]])-1,YEAR(Table1[[#This Row],[Reporting date]]))</f>
        <v>2011</v>
      </c>
      <c r="V1146" s="17">
        <f>Table1[[#This Row],[Reporting year]]-Table1[[#This Row],[Policy Year]]</f>
        <v>0</v>
      </c>
      <c r="W1146" s="17">
        <f>INT(Table1[[#This Row],[Reporting date]])-INT(Table1[[#This Row],[Loss date]])</f>
        <v>32</v>
      </c>
      <c r="X1146" s="17">
        <f>INT((YEAR(Table1[[#This Row],[Loss date]])*12+MONTH(Table1[[#This Row],[Loss date]])-Earliest_Month)/4)</f>
        <v>20</v>
      </c>
      <c r="Y1146" s="17">
        <f>INT((YEAR(Table1[[#This Row],[Reporting date]])*12+MONTH(Table1[[#This Row],[Reporting date]])-Earliest_Month)/4)</f>
        <v>20</v>
      </c>
      <c r="Z1146" s="17">
        <f>Table1[[#This Row],[Reporting third]]-Table1[[#This Row],[Policy third]]</f>
        <v>0</v>
      </c>
      <c r="AA1146" s="71">
        <f>IF(Table1[[#This Row],[Overall amount]]=0,"N/A",Table1[[#This Row],[Outstanding]]/Table1[[#This Row],[Overall amount]])</f>
        <v>0</v>
      </c>
      <c r="AB1146" s="17">
        <f>IF(MONTH(Table1[[#This Row],[Loss date]])&lt;Pol_Inc_Month_Shifted,YEAR(Table1[[#This Row],[Loss date]])-1,YEAR(Table1[[#This Row],[Loss date]]))</f>
        <v>2011</v>
      </c>
      <c r="AC1146" s="17">
        <f>IF(MONTH(Table1[[#This Row],[Reporting date]])&lt;Pol_Inc_Month_Shifted,YEAR(Table1[[#This Row],[Reporting date]])-1,YEAR(Table1[[#This Row],[Reporting date]]))</f>
        <v>2011</v>
      </c>
      <c r="AD1146" s="17">
        <f>Table1[[#This Row],[Reporting year (shifted)]]-Table1[[#This Row],[Policy Year (shifted)]]</f>
        <v>0</v>
      </c>
    </row>
    <row r="1147" spans="1:30" ht="13.9">
      <c r="A1147" s="8" t="s">
        <v>2917</v>
      </c>
      <c r="B1147" s="8" t="s">
        <v>1199</v>
      </c>
      <c r="C1147" s="8" t="s">
        <v>123</v>
      </c>
      <c r="D1147" s="9">
        <v>40152</v>
      </c>
      <c r="E1147" s="9">
        <v>40640</v>
      </c>
      <c r="F1147" s="17">
        <f>IF(MONTH(Table1[[#This Row],[Loss date]])&lt;Policy_Inception_Month,YEAR(Table1[[#This Row],[Loss date]])-1,YEAR(Table1[[#This Row],[Loss date]]))</f>
        <v>2009</v>
      </c>
      <c r="G1147" s="10" t="s">
        <v>125</v>
      </c>
      <c r="H1147" s="10" t="s">
        <v>2</v>
      </c>
      <c r="I1147" s="11">
        <v>3790.8145571105151</v>
      </c>
      <c r="J1147" s="11">
        <v>0</v>
      </c>
      <c r="K1147" s="11">
        <v>3790.8145571105151</v>
      </c>
      <c r="L1147" s="12">
        <v>0</v>
      </c>
      <c r="M1147" s="12">
        <v>0</v>
      </c>
      <c r="N1147" s="12">
        <v>3790.8145571105151</v>
      </c>
      <c r="O1147" s="70">
        <f>IF(Table1[[#This Row],[Overall amount]]=0,0,1)</f>
        <v>1</v>
      </c>
      <c r="P1147" s="70">
        <f>Table1[[#This Row],[Overall amount]]*Exchange_Rate</f>
        <v>3790.8145571105151</v>
      </c>
      <c r="Q1147" s="70">
        <f>Table1[[#This Row],[Overall (destination currency)]]*(1+Claims_Inflation)^((Revalue_at_date-Table1[[#This Row],[Loss date]])/365.25)</f>
        <v>5035.8</v>
      </c>
      <c r="R1147" s="70">
        <f>INT(Table1[[#This Row],[Reporting date]])-INT(Table1[[#This Row],[Loss date]])</f>
        <v>488</v>
      </c>
      <c r="S1147" s="69" t="s">
        <v>9</v>
      </c>
      <c r="T1147" s="70">
        <f>VLOOKUP(Table1[[#This Row],[Policy Year]],exposure_table,3,FALSE)</f>
        <v>760.22808576000011</v>
      </c>
      <c r="U1147" s="17">
        <f>IF(MONTH(Table1[[#This Row],[Reporting date]])&lt;Policy_Inception_Month,YEAR(Table1[[#This Row],[Reporting date]])-1,YEAR(Table1[[#This Row],[Reporting date]]))</f>
        <v>2011</v>
      </c>
      <c r="V1147" s="17">
        <f>Table1[[#This Row],[Reporting year]]-Table1[[#This Row],[Policy Year]]</f>
        <v>2</v>
      </c>
      <c r="W1147" s="17">
        <f>INT(Table1[[#This Row],[Reporting date]])-INT(Table1[[#This Row],[Loss date]])</f>
        <v>488</v>
      </c>
      <c r="X1147" s="17">
        <f>INT((YEAR(Table1[[#This Row],[Loss date]])*12+MONTH(Table1[[#This Row],[Loss date]])-Earliest_Month)/4)</f>
        <v>14</v>
      </c>
      <c r="Y1147" s="17">
        <f>INT((YEAR(Table1[[#This Row],[Reporting date]])*12+MONTH(Table1[[#This Row],[Reporting date]])-Earliest_Month)/4)</f>
        <v>18</v>
      </c>
      <c r="Z1147" s="17">
        <f>Table1[[#This Row],[Reporting third]]-Table1[[#This Row],[Policy third]]</f>
        <v>4</v>
      </c>
      <c r="AA1147" s="71">
        <f>IF(Table1[[#This Row],[Overall amount]]=0,"N/A",Table1[[#This Row],[Outstanding]]/Table1[[#This Row],[Overall amount]])</f>
        <v>0</v>
      </c>
      <c r="AB1147" s="17">
        <f>IF(MONTH(Table1[[#This Row],[Loss date]])&lt;Pol_Inc_Month_Shifted,YEAR(Table1[[#This Row],[Loss date]])-1,YEAR(Table1[[#This Row],[Loss date]]))</f>
        <v>2009</v>
      </c>
      <c r="AC1147" s="17">
        <f>IF(MONTH(Table1[[#This Row],[Reporting date]])&lt;Pol_Inc_Month_Shifted,YEAR(Table1[[#This Row],[Reporting date]])-1,YEAR(Table1[[#This Row],[Reporting date]]))</f>
        <v>2010</v>
      </c>
      <c r="AD1147" s="17">
        <f>Table1[[#This Row],[Reporting year (shifted)]]-Table1[[#This Row],[Policy Year (shifted)]]</f>
        <v>1</v>
      </c>
    </row>
    <row r="1148" spans="1:30" ht="13.9">
      <c r="A1148" s="8" t="s">
        <v>2918</v>
      </c>
      <c r="B1148" s="8" t="s">
        <v>1200</v>
      </c>
      <c r="C1148" s="8" t="s">
        <v>123</v>
      </c>
      <c r="D1148" s="9">
        <v>40633</v>
      </c>
      <c r="E1148" s="9">
        <v>41100</v>
      </c>
      <c r="F1148" s="17">
        <f>IF(MONTH(Table1[[#This Row],[Loss date]])&lt;Policy_Inception_Month,YEAR(Table1[[#This Row],[Loss date]])-1,YEAR(Table1[[#This Row],[Loss date]]))</f>
        <v>2010</v>
      </c>
      <c r="G1148" s="10" t="s">
        <v>125</v>
      </c>
      <c r="H1148" s="10" t="s">
        <v>2</v>
      </c>
      <c r="I1148" s="11">
        <v>139.67466371139957</v>
      </c>
      <c r="J1148" s="11">
        <v>0</v>
      </c>
      <c r="K1148" s="11">
        <v>139.67466371139957</v>
      </c>
      <c r="L1148" s="12">
        <v>0</v>
      </c>
      <c r="M1148" s="12">
        <v>0</v>
      </c>
      <c r="N1148" s="12">
        <v>139.67466371139957</v>
      </c>
      <c r="O1148" s="70">
        <f>IF(Table1[[#This Row],[Overall amount]]=0,0,1)</f>
        <v>1</v>
      </c>
      <c r="P1148" s="70">
        <f>Table1[[#This Row],[Overall amount]]*Exchange_Rate</f>
        <v>139.67466371139957</v>
      </c>
      <c r="Q1148" s="70">
        <f>Table1[[#This Row],[Overall (destination currency)]]*(1+Claims_Inflation)^((Revalue_at_date-Table1[[#This Row],[Loss date]])/365.25)</f>
        <v>174.00000000000003</v>
      </c>
      <c r="R1148" s="70">
        <f>INT(Table1[[#This Row],[Reporting date]])-INT(Table1[[#This Row],[Loss date]])</f>
        <v>467</v>
      </c>
      <c r="S1148" s="69" t="s">
        <v>9</v>
      </c>
      <c r="T1148" s="70">
        <f>VLOOKUP(Table1[[#This Row],[Policy Year]],exposure_table,3,FALSE)</f>
        <v>837.11513600000012</v>
      </c>
      <c r="U1148" s="17">
        <f>IF(MONTH(Table1[[#This Row],[Reporting date]])&lt;Policy_Inception_Month,YEAR(Table1[[#This Row],[Reporting date]])-1,YEAR(Table1[[#This Row],[Reporting date]]))</f>
        <v>2012</v>
      </c>
      <c r="V1148" s="17">
        <f>Table1[[#This Row],[Reporting year]]-Table1[[#This Row],[Policy Year]]</f>
        <v>2</v>
      </c>
      <c r="W1148" s="17">
        <f>INT(Table1[[#This Row],[Reporting date]])-INT(Table1[[#This Row],[Loss date]])</f>
        <v>467</v>
      </c>
      <c r="X1148" s="17">
        <f>INT((YEAR(Table1[[#This Row],[Loss date]])*12+MONTH(Table1[[#This Row],[Loss date]])-Earliest_Month)/4)</f>
        <v>17</v>
      </c>
      <c r="Y1148" s="17">
        <f>INT((YEAR(Table1[[#This Row],[Reporting date]])*12+MONTH(Table1[[#This Row],[Reporting date]])-Earliest_Month)/4)</f>
        <v>21</v>
      </c>
      <c r="Z1148" s="17">
        <f>Table1[[#This Row],[Reporting third]]-Table1[[#This Row],[Policy third]]</f>
        <v>4</v>
      </c>
      <c r="AA1148" s="71">
        <f>IF(Table1[[#This Row],[Overall amount]]=0,"N/A",Table1[[#This Row],[Outstanding]]/Table1[[#This Row],[Overall amount]])</f>
        <v>0</v>
      </c>
      <c r="AB1148" s="17">
        <f>IF(MONTH(Table1[[#This Row],[Loss date]])&lt;Pol_Inc_Month_Shifted,YEAR(Table1[[#This Row],[Loss date]])-1,YEAR(Table1[[#This Row],[Loss date]]))</f>
        <v>2010</v>
      </c>
      <c r="AC1148" s="17">
        <f>IF(MONTH(Table1[[#This Row],[Reporting date]])&lt;Pol_Inc_Month_Shifted,YEAR(Table1[[#This Row],[Reporting date]])-1,YEAR(Table1[[#This Row],[Reporting date]]))</f>
        <v>2011</v>
      </c>
      <c r="AD1148" s="17">
        <f>Table1[[#This Row],[Reporting year (shifted)]]-Table1[[#This Row],[Policy Year (shifted)]]</f>
        <v>1</v>
      </c>
    </row>
    <row r="1149" spans="1:30" ht="13.9">
      <c r="A1149" s="8" t="s">
        <v>2919</v>
      </c>
      <c r="B1149" s="8" t="s">
        <v>1201</v>
      </c>
      <c r="C1149" s="8" t="s">
        <v>123</v>
      </c>
      <c r="D1149" s="9">
        <v>40269</v>
      </c>
      <c r="E1149" s="9">
        <v>40616</v>
      </c>
      <c r="F1149" s="17">
        <f>IF(MONTH(Table1[[#This Row],[Loss date]])&lt;Policy_Inception_Month,YEAR(Table1[[#This Row],[Loss date]])-1,YEAR(Table1[[#This Row],[Loss date]]))</f>
        <v>2010</v>
      </c>
      <c r="G1149" s="10" t="s">
        <v>124</v>
      </c>
      <c r="H1149" s="10" t="s">
        <v>2</v>
      </c>
      <c r="I1149" s="11">
        <v>505.5736703818194</v>
      </c>
      <c r="J1149" s="11">
        <v>0</v>
      </c>
      <c r="K1149" s="11">
        <v>505.5736703818194</v>
      </c>
      <c r="L1149" s="12">
        <v>0</v>
      </c>
      <c r="M1149" s="12">
        <v>0</v>
      </c>
      <c r="N1149" s="12">
        <v>505.5736703818194</v>
      </c>
      <c r="O1149" s="70">
        <f>IF(Table1[[#This Row],[Overall amount]]=0,0,1)</f>
        <v>1</v>
      </c>
      <c r="P1149" s="70">
        <f>Table1[[#This Row],[Overall amount]]*Exchange_Rate</f>
        <v>505.5736703818194</v>
      </c>
      <c r="Q1149" s="70">
        <f>Table1[[#This Row],[Overall (destination currency)]]*(1+Claims_Inflation)^((Revalue_at_date-Table1[[#This Row],[Loss date]])/365.25)</f>
        <v>661.19999999999993</v>
      </c>
      <c r="R1149" s="70">
        <f>INT(Table1[[#This Row],[Reporting date]])-INT(Table1[[#This Row],[Loss date]])</f>
        <v>347</v>
      </c>
      <c r="S1149" s="69" t="s">
        <v>9</v>
      </c>
      <c r="T1149" s="70">
        <f>VLOOKUP(Table1[[#This Row],[Policy Year]],exposure_table,3,FALSE)</f>
        <v>837.11513600000012</v>
      </c>
      <c r="U1149" s="17">
        <f>IF(MONTH(Table1[[#This Row],[Reporting date]])&lt;Policy_Inception_Month,YEAR(Table1[[#This Row],[Reporting date]])-1,YEAR(Table1[[#This Row],[Reporting date]]))</f>
        <v>2010</v>
      </c>
      <c r="V1149" s="17">
        <f>Table1[[#This Row],[Reporting year]]-Table1[[#This Row],[Policy Year]]</f>
        <v>0</v>
      </c>
      <c r="W1149" s="17">
        <f>INT(Table1[[#This Row],[Reporting date]])-INT(Table1[[#This Row],[Loss date]])</f>
        <v>347</v>
      </c>
      <c r="X1149" s="17">
        <f>INT((YEAR(Table1[[#This Row],[Loss date]])*12+MONTH(Table1[[#This Row],[Loss date]])-Earliest_Month)/4)</f>
        <v>15</v>
      </c>
      <c r="Y1149" s="17">
        <f>INT((YEAR(Table1[[#This Row],[Reporting date]])*12+MONTH(Table1[[#This Row],[Reporting date]])-Earliest_Month)/4)</f>
        <v>17</v>
      </c>
      <c r="Z1149" s="17">
        <f>Table1[[#This Row],[Reporting third]]-Table1[[#This Row],[Policy third]]</f>
        <v>2</v>
      </c>
      <c r="AA1149" s="71">
        <f>IF(Table1[[#This Row],[Overall amount]]=0,"N/A",Table1[[#This Row],[Outstanding]]/Table1[[#This Row],[Overall amount]])</f>
        <v>0</v>
      </c>
      <c r="AB1149" s="17">
        <f>IF(MONTH(Table1[[#This Row],[Loss date]])&lt;Pol_Inc_Month_Shifted,YEAR(Table1[[#This Row],[Loss date]])-1,YEAR(Table1[[#This Row],[Loss date]]))</f>
        <v>2009</v>
      </c>
      <c r="AC1149" s="17">
        <f>IF(MONTH(Table1[[#This Row],[Reporting date]])&lt;Pol_Inc_Month_Shifted,YEAR(Table1[[#This Row],[Reporting date]])-1,YEAR(Table1[[#This Row],[Reporting date]]))</f>
        <v>2010</v>
      </c>
      <c r="AD1149" s="17">
        <f>Table1[[#This Row],[Reporting year (shifted)]]-Table1[[#This Row],[Policy Year (shifted)]]</f>
        <v>1</v>
      </c>
    </row>
    <row r="1150" spans="1:30" ht="13.9">
      <c r="A1150" s="8" t="s">
        <v>2920</v>
      </c>
      <c r="B1150" s="8" t="s">
        <v>1202</v>
      </c>
      <c r="C1150" s="8" t="s">
        <v>123</v>
      </c>
      <c r="D1150" s="9">
        <v>40696</v>
      </c>
      <c r="E1150" s="9">
        <v>40829</v>
      </c>
      <c r="F1150" s="17">
        <f>IF(MONTH(Table1[[#This Row],[Loss date]])&lt;Policy_Inception_Month,YEAR(Table1[[#This Row],[Loss date]])-1,YEAR(Table1[[#This Row],[Loss date]]))</f>
        <v>2011</v>
      </c>
      <c r="G1150" s="10" t="s">
        <v>125</v>
      </c>
      <c r="H1150" s="10" t="s">
        <v>2</v>
      </c>
      <c r="I1150" s="11">
        <v>802.87385902302708</v>
      </c>
      <c r="J1150" s="11">
        <v>0</v>
      </c>
      <c r="K1150" s="11">
        <v>802.87385902302708</v>
      </c>
      <c r="L1150" s="12">
        <v>0</v>
      </c>
      <c r="M1150" s="12">
        <v>0</v>
      </c>
      <c r="N1150" s="12">
        <v>802.87385902302708</v>
      </c>
      <c r="O1150" s="70">
        <f>IF(Table1[[#This Row],[Overall amount]]=0,0,1)</f>
        <v>1</v>
      </c>
      <c r="P1150" s="70">
        <f>Table1[[#This Row],[Overall amount]]*Exchange_Rate</f>
        <v>802.87385902302708</v>
      </c>
      <c r="Q1150" s="70">
        <f>Table1[[#This Row],[Overall (destination currency)]]*(1+Claims_Inflation)^((Revalue_at_date-Table1[[#This Row],[Loss date]])/365.25)</f>
        <v>991.79999999999984</v>
      </c>
      <c r="R1150" s="70">
        <f>INT(Table1[[#This Row],[Reporting date]])-INT(Table1[[#This Row],[Loss date]])</f>
        <v>133</v>
      </c>
      <c r="S1150" s="69" t="s">
        <v>9</v>
      </c>
      <c r="T1150" s="70">
        <f>VLOOKUP(Table1[[#This Row],[Policy Year]],exposure_table,3,FALSE)</f>
        <v>870.52680000000009</v>
      </c>
      <c r="U1150" s="17">
        <f>IF(MONTH(Table1[[#This Row],[Reporting date]])&lt;Policy_Inception_Month,YEAR(Table1[[#This Row],[Reporting date]])-1,YEAR(Table1[[#This Row],[Reporting date]]))</f>
        <v>2011</v>
      </c>
      <c r="V1150" s="17">
        <f>Table1[[#This Row],[Reporting year]]-Table1[[#This Row],[Policy Year]]</f>
        <v>0</v>
      </c>
      <c r="W1150" s="17">
        <f>INT(Table1[[#This Row],[Reporting date]])-INT(Table1[[#This Row],[Loss date]])</f>
        <v>133</v>
      </c>
      <c r="X1150" s="17">
        <f>INT((YEAR(Table1[[#This Row],[Loss date]])*12+MONTH(Table1[[#This Row],[Loss date]])-Earliest_Month)/4)</f>
        <v>18</v>
      </c>
      <c r="Y1150" s="17">
        <f>INT((YEAR(Table1[[#This Row],[Reporting date]])*12+MONTH(Table1[[#This Row],[Reporting date]])-Earliest_Month)/4)</f>
        <v>19</v>
      </c>
      <c r="Z1150" s="17">
        <f>Table1[[#This Row],[Reporting third]]-Table1[[#This Row],[Policy third]]</f>
        <v>1</v>
      </c>
      <c r="AA1150" s="71">
        <f>IF(Table1[[#This Row],[Overall amount]]=0,"N/A",Table1[[#This Row],[Outstanding]]/Table1[[#This Row],[Overall amount]])</f>
        <v>0</v>
      </c>
      <c r="AB1150" s="17">
        <f>IF(MONTH(Table1[[#This Row],[Loss date]])&lt;Pol_Inc_Month_Shifted,YEAR(Table1[[#This Row],[Loss date]])-1,YEAR(Table1[[#This Row],[Loss date]]))</f>
        <v>2010</v>
      </c>
      <c r="AC1150" s="17">
        <f>IF(MONTH(Table1[[#This Row],[Reporting date]])&lt;Pol_Inc_Month_Shifted,YEAR(Table1[[#This Row],[Reporting date]])-1,YEAR(Table1[[#This Row],[Reporting date]]))</f>
        <v>2010</v>
      </c>
      <c r="AD1150" s="17">
        <f>Table1[[#This Row],[Reporting year (shifted)]]-Table1[[#This Row],[Policy Year (shifted)]]</f>
        <v>0</v>
      </c>
    </row>
    <row r="1151" spans="1:30" ht="13.9">
      <c r="A1151" s="8" t="s">
        <v>2921</v>
      </c>
      <c r="B1151" s="8" t="s">
        <v>1203</v>
      </c>
      <c r="C1151" s="8" t="s">
        <v>123</v>
      </c>
      <c r="D1151" s="9">
        <v>40529</v>
      </c>
      <c r="E1151" s="9">
        <v>40756</v>
      </c>
      <c r="F1151" s="17">
        <f>IF(MONTH(Table1[[#This Row],[Loss date]])&lt;Policy_Inception_Month,YEAR(Table1[[#This Row],[Loss date]])-1,YEAR(Table1[[#This Row],[Loss date]]))</f>
        <v>2010</v>
      </c>
      <c r="G1151" s="10" t="s">
        <v>125</v>
      </c>
      <c r="H1151" s="10" t="s">
        <v>2</v>
      </c>
      <c r="I1151" s="11">
        <v>757.61219621812154</v>
      </c>
      <c r="J1151" s="11">
        <v>0</v>
      </c>
      <c r="K1151" s="11">
        <v>757.61219621812154</v>
      </c>
      <c r="L1151" s="12">
        <v>0</v>
      </c>
      <c r="M1151" s="12">
        <v>0</v>
      </c>
      <c r="N1151" s="12">
        <v>757.61219621812154</v>
      </c>
      <c r="O1151" s="70">
        <f>IF(Table1[[#This Row],[Overall amount]]=0,0,1)</f>
        <v>1</v>
      </c>
      <c r="P1151" s="70">
        <f>Table1[[#This Row],[Overall amount]]*Exchange_Rate</f>
        <v>757.61219621812154</v>
      </c>
      <c r="Q1151" s="70">
        <f>Table1[[#This Row],[Overall (destination currency)]]*(1+Claims_Inflation)^((Revalue_at_date-Table1[[#This Row],[Loss date]])/365.25)</f>
        <v>957</v>
      </c>
      <c r="R1151" s="70">
        <f>INT(Table1[[#This Row],[Reporting date]])-INT(Table1[[#This Row],[Loss date]])</f>
        <v>227</v>
      </c>
      <c r="S1151" s="69" t="s">
        <v>9</v>
      </c>
      <c r="T1151" s="70">
        <f>VLOOKUP(Table1[[#This Row],[Policy Year]],exposure_table,3,FALSE)</f>
        <v>837.11513600000012</v>
      </c>
      <c r="U1151" s="17">
        <f>IF(MONTH(Table1[[#This Row],[Reporting date]])&lt;Policy_Inception_Month,YEAR(Table1[[#This Row],[Reporting date]])-1,YEAR(Table1[[#This Row],[Reporting date]]))</f>
        <v>2011</v>
      </c>
      <c r="V1151" s="17">
        <f>Table1[[#This Row],[Reporting year]]-Table1[[#This Row],[Policy Year]]</f>
        <v>1</v>
      </c>
      <c r="W1151" s="17">
        <f>INT(Table1[[#This Row],[Reporting date]])-INT(Table1[[#This Row],[Loss date]])</f>
        <v>227</v>
      </c>
      <c r="X1151" s="17">
        <f>INT((YEAR(Table1[[#This Row],[Loss date]])*12+MONTH(Table1[[#This Row],[Loss date]])-Earliest_Month)/4)</f>
        <v>17</v>
      </c>
      <c r="Y1151" s="17">
        <f>INT((YEAR(Table1[[#This Row],[Reporting date]])*12+MONTH(Table1[[#This Row],[Reporting date]])-Earliest_Month)/4)</f>
        <v>19</v>
      </c>
      <c r="Z1151" s="17">
        <f>Table1[[#This Row],[Reporting third]]-Table1[[#This Row],[Policy third]]</f>
        <v>2</v>
      </c>
      <c r="AA1151" s="71">
        <f>IF(Table1[[#This Row],[Overall amount]]=0,"N/A",Table1[[#This Row],[Outstanding]]/Table1[[#This Row],[Overall amount]])</f>
        <v>0</v>
      </c>
      <c r="AB1151" s="17">
        <f>IF(MONTH(Table1[[#This Row],[Loss date]])&lt;Pol_Inc_Month_Shifted,YEAR(Table1[[#This Row],[Loss date]])-1,YEAR(Table1[[#This Row],[Loss date]]))</f>
        <v>2010</v>
      </c>
      <c r="AC1151" s="17">
        <f>IF(MONTH(Table1[[#This Row],[Reporting date]])&lt;Pol_Inc_Month_Shifted,YEAR(Table1[[#This Row],[Reporting date]])-1,YEAR(Table1[[#This Row],[Reporting date]]))</f>
        <v>2010</v>
      </c>
      <c r="AD1151" s="17">
        <f>Table1[[#This Row],[Reporting year (shifted)]]-Table1[[#This Row],[Policy Year (shifted)]]</f>
        <v>0</v>
      </c>
    </row>
    <row r="1152" spans="1:30" ht="13.9">
      <c r="A1152" s="8" t="s">
        <v>2922</v>
      </c>
      <c r="B1152" s="8" t="s">
        <v>1204</v>
      </c>
      <c r="C1152" s="8" t="s">
        <v>123</v>
      </c>
      <c r="D1152" s="9">
        <v>40966</v>
      </c>
      <c r="E1152" s="9">
        <v>40985</v>
      </c>
      <c r="F1152" s="17">
        <f>IF(MONTH(Table1[[#This Row],[Loss date]])&lt;Policy_Inception_Month,YEAR(Table1[[#This Row],[Loss date]])-1,YEAR(Table1[[#This Row],[Loss date]]))</f>
        <v>2011</v>
      </c>
      <c r="G1152" s="10" t="s">
        <v>125</v>
      </c>
      <c r="H1152" s="10" t="s">
        <v>2</v>
      </c>
      <c r="I1152" s="11">
        <v>189.83634430411547</v>
      </c>
      <c r="J1152" s="11">
        <v>0</v>
      </c>
      <c r="K1152" s="11">
        <v>189.83634430411547</v>
      </c>
      <c r="L1152" s="12">
        <v>0</v>
      </c>
      <c r="M1152" s="12">
        <v>0</v>
      </c>
      <c r="N1152" s="12">
        <v>189.83634430411547</v>
      </c>
      <c r="O1152" s="70">
        <f>IF(Table1[[#This Row],[Overall amount]]=0,0,1)</f>
        <v>1</v>
      </c>
      <c r="P1152" s="70">
        <f>Table1[[#This Row],[Overall amount]]*Exchange_Rate</f>
        <v>189.83634430411547</v>
      </c>
      <c r="Q1152" s="70">
        <f>Table1[[#This Row],[Overall (destination currency)]]*(1+Claims_Inflation)^((Revalue_at_date-Table1[[#This Row],[Loss date]])/365.25)</f>
        <v>226.19999999999996</v>
      </c>
      <c r="R1152" s="70">
        <f>INT(Table1[[#This Row],[Reporting date]])-INT(Table1[[#This Row],[Loss date]])</f>
        <v>19</v>
      </c>
      <c r="S1152" s="69" t="s">
        <v>9</v>
      </c>
      <c r="T1152" s="70">
        <f>VLOOKUP(Table1[[#This Row],[Policy Year]],exposure_table,3,FALSE)</f>
        <v>870.52680000000009</v>
      </c>
      <c r="U1152" s="17">
        <f>IF(MONTH(Table1[[#This Row],[Reporting date]])&lt;Policy_Inception_Month,YEAR(Table1[[#This Row],[Reporting date]])-1,YEAR(Table1[[#This Row],[Reporting date]]))</f>
        <v>2011</v>
      </c>
      <c r="V1152" s="17">
        <f>Table1[[#This Row],[Reporting year]]-Table1[[#This Row],[Policy Year]]</f>
        <v>0</v>
      </c>
      <c r="W1152" s="17">
        <f>INT(Table1[[#This Row],[Reporting date]])-INT(Table1[[#This Row],[Loss date]])</f>
        <v>19</v>
      </c>
      <c r="X1152" s="17">
        <f>INT((YEAR(Table1[[#This Row],[Loss date]])*12+MONTH(Table1[[#This Row],[Loss date]])-Earliest_Month)/4)</f>
        <v>20</v>
      </c>
      <c r="Y1152" s="17">
        <f>INT((YEAR(Table1[[#This Row],[Reporting date]])*12+MONTH(Table1[[#This Row],[Reporting date]])-Earliest_Month)/4)</f>
        <v>20</v>
      </c>
      <c r="Z1152" s="17">
        <f>Table1[[#This Row],[Reporting third]]-Table1[[#This Row],[Policy third]]</f>
        <v>0</v>
      </c>
      <c r="AA1152" s="71">
        <f>IF(Table1[[#This Row],[Overall amount]]=0,"N/A",Table1[[#This Row],[Outstanding]]/Table1[[#This Row],[Overall amount]])</f>
        <v>0</v>
      </c>
      <c r="AB1152" s="17">
        <f>IF(MONTH(Table1[[#This Row],[Loss date]])&lt;Pol_Inc_Month_Shifted,YEAR(Table1[[#This Row],[Loss date]])-1,YEAR(Table1[[#This Row],[Loss date]]))</f>
        <v>2011</v>
      </c>
      <c r="AC1152" s="17">
        <f>IF(MONTH(Table1[[#This Row],[Reporting date]])&lt;Pol_Inc_Month_Shifted,YEAR(Table1[[#This Row],[Reporting date]])-1,YEAR(Table1[[#This Row],[Reporting date]]))</f>
        <v>2011</v>
      </c>
      <c r="AD1152" s="17">
        <f>Table1[[#This Row],[Reporting year (shifted)]]-Table1[[#This Row],[Policy Year (shifted)]]</f>
        <v>0</v>
      </c>
    </row>
    <row r="1153" spans="1:30" ht="13.9">
      <c r="A1153" s="8" t="s">
        <v>2923</v>
      </c>
      <c r="B1153" s="8" t="s">
        <v>1205</v>
      </c>
      <c r="C1153" s="8" t="s">
        <v>123</v>
      </c>
      <c r="D1153" s="9">
        <v>40504</v>
      </c>
      <c r="E1153" s="9">
        <v>40923</v>
      </c>
      <c r="F1153" s="17">
        <f>IF(MONTH(Table1[[#This Row],[Loss date]])&lt;Policy_Inception_Month,YEAR(Table1[[#This Row],[Loss date]])-1,YEAR(Table1[[#This Row],[Loss date]]))</f>
        <v>2010</v>
      </c>
      <c r="G1153" s="10" t="s">
        <v>131</v>
      </c>
      <c r="H1153" s="10" t="s">
        <v>2</v>
      </c>
      <c r="I1153" s="11">
        <v>2372.0600302713992</v>
      </c>
      <c r="J1153" s="11">
        <v>26032.442787012744</v>
      </c>
      <c r="K1153" s="11">
        <v>28404.502817284145</v>
      </c>
      <c r="L1153" s="12">
        <v>0</v>
      </c>
      <c r="M1153" s="12">
        <v>0</v>
      </c>
      <c r="N1153" s="12">
        <v>28404.502817284145</v>
      </c>
      <c r="O1153" s="70">
        <f>IF(Table1[[#This Row],[Overall amount]]=0,0,1)</f>
        <v>1</v>
      </c>
      <c r="P1153" s="70">
        <f>Table1[[#This Row],[Overall amount]]*Exchange_Rate</f>
        <v>28404.502817284145</v>
      </c>
      <c r="Q1153" s="70">
        <f>Table1[[#This Row],[Overall (destination currency)]]*(1+Claims_Inflation)^((Revalue_at_date-Table1[[#This Row],[Loss date]])/365.25)</f>
        <v>36000</v>
      </c>
      <c r="R1153" s="70">
        <f>INT(Table1[[#This Row],[Reporting date]])-INT(Table1[[#This Row],[Loss date]])</f>
        <v>419</v>
      </c>
      <c r="S1153" s="69" t="s">
        <v>16</v>
      </c>
      <c r="T1153" s="70">
        <f>VLOOKUP(Table1[[#This Row],[Policy Year]],exposure_table,3,FALSE)</f>
        <v>837.11513600000012</v>
      </c>
      <c r="U1153" s="17">
        <f>IF(MONTH(Table1[[#This Row],[Reporting date]])&lt;Policy_Inception_Month,YEAR(Table1[[#This Row],[Reporting date]])-1,YEAR(Table1[[#This Row],[Reporting date]]))</f>
        <v>2011</v>
      </c>
      <c r="V1153" s="17">
        <f>Table1[[#This Row],[Reporting year]]-Table1[[#This Row],[Policy Year]]</f>
        <v>1</v>
      </c>
      <c r="W1153" s="17">
        <f>INT(Table1[[#This Row],[Reporting date]])-INT(Table1[[#This Row],[Loss date]])</f>
        <v>419</v>
      </c>
      <c r="X1153" s="17">
        <f>INT((YEAR(Table1[[#This Row],[Loss date]])*12+MONTH(Table1[[#This Row],[Loss date]])-Earliest_Month)/4)</f>
        <v>16</v>
      </c>
      <c r="Y1153" s="17">
        <f>INT((YEAR(Table1[[#This Row],[Reporting date]])*12+MONTH(Table1[[#This Row],[Reporting date]])-Earliest_Month)/4)</f>
        <v>20</v>
      </c>
      <c r="Z1153" s="17">
        <f>Table1[[#This Row],[Reporting third]]-Table1[[#This Row],[Policy third]]</f>
        <v>4</v>
      </c>
      <c r="AA1153" s="71">
        <f>IF(Table1[[#This Row],[Overall amount]]=0,"N/A",Table1[[#This Row],[Outstanding]]/Table1[[#This Row],[Overall amount]])</f>
        <v>0.91648999999999992</v>
      </c>
      <c r="AB1153" s="17">
        <f>IF(MONTH(Table1[[#This Row],[Loss date]])&lt;Pol_Inc_Month_Shifted,YEAR(Table1[[#This Row],[Loss date]])-1,YEAR(Table1[[#This Row],[Loss date]]))</f>
        <v>2009</v>
      </c>
      <c r="AC1153" s="17">
        <f>IF(MONTH(Table1[[#This Row],[Reporting date]])&lt;Pol_Inc_Month_Shifted,YEAR(Table1[[#This Row],[Reporting date]])-1,YEAR(Table1[[#This Row],[Reporting date]]))</f>
        <v>2011</v>
      </c>
      <c r="AD1153" s="17">
        <f>Table1[[#This Row],[Reporting year (shifted)]]-Table1[[#This Row],[Policy Year (shifted)]]</f>
        <v>2</v>
      </c>
    </row>
    <row r="1154" spans="1:30" ht="13.9">
      <c r="A1154" s="8" t="s">
        <v>2924</v>
      </c>
      <c r="B1154" s="8" t="s">
        <v>1206</v>
      </c>
      <c r="C1154" s="8" t="s">
        <v>123</v>
      </c>
      <c r="D1154" s="9">
        <v>40950</v>
      </c>
      <c r="E1154" s="9">
        <v>41007</v>
      </c>
      <c r="F1154" s="17">
        <f>IF(MONTH(Table1[[#This Row],[Loss date]])&lt;Policy_Inception_Month,YEAR(Table1[[#This Row],[Loss date]])-1,YEAR(Table1[[#This Row],[Loss date]]))</f>
        <v>2011</v>
      </c>
      <c r="G1154" s="10" t="s">
        <v>126</v>
      </c>
      <c r="H1154" s="10" t="s">
        <v>2</v>
      </c>
      <c r="I1154" s="11">
        <v>553.72151201014003</v>
      </c>
      <c r="J1154" s="11">
        <v>0</v>
      </c>
      <c r="K1154" s="11">
        <v>553.72151201014003</v>
      </c>
      <c r="L1154" s="12">
        <v>452.22265046200181</v>
      </c>
      <c r="M1154" s="12">
        <v>0</v>
      </c>
      <c r="N1154" s="12">
        <v>1005.9441624721419</v>
      </c>
      <c r="O1154" s="70">
        <f>IF(Table1[[#This Row],[Overall amount]]=0,0,1)</f>
        <v>1</v>
      </c>
      <c r="P1154" s="70">
        <f>Table1[[#This Row],[Overall amount]]*Exchange_Rate</f>
        <v>1005.9441624721419</v>
      </c>
      <c r="Q1154" s="70">
        <f>Table1[[#This Row],[Overall (destination currency)]]*(1+Claims_Inflation)^((Revalue_at_date-Table1[[#This Row],[Loss date]])/365.25)</f>
        <v>1201.2</v>
      </c>
      <c r="R1154" s="70">
        <f>INT(Table1[[#This Row],[Reporting date]])-INT(Table1[[#This Row],[Loss date]])</f>
        <v>57</v>
      </c>
      <c r="S1154" s="69" t="s">
        <v>9</v>
      </c>
      <c r="T1154" s="70">
        <f>VLOOKUP(Table1[[#This Row],[Policy Year]],exposure_table,3,FALSE)</f>
        <v>870.52680000000009</v>
      </c>
      <c r="U1154" s="17">
        <f>IF(MONTH(Table1[[#This Row],[Reporting date]])&lt;Policy_Inception_Month,YEAR(Table1[[#This Row],[Reporting date]])-1,YEAR(Table1[[#This Row],[Reporting date]]))</f>
        <v>2012</v>
      </c>
      <c r="V1154" s="17">
        <f>Table1[[#This Row],[Reporting year]]-Table1[[#This Row],[Policy Year]]</f>
        <v>1</v>
      </c>
      <c r="W1154" s="17">
        <f>INT(Table1[[#This Row],[Reporting date]])-INT(Table1[[#This Row],[Loss date]])</f>
        <v>57</v>
      </c>
      <c r="X1154" s="17">
        <f>INT((YEAR(Table1[[#This Row],[Loss date]])*12+MONTH(Table1[[#This Row],[Loss date]])-Earliest_Month)/4)</f>
        <v>20</v>
      </c>
      <c r="Y1154" s="17">
        <f>INT((YEAR(Table1[[#This Row],[Reporting date]])*12+MONTH(Table1[[#This Row],[Reporting date]])-Earliest_Month)/4)</f>
        <v>21</v>
      </c>
      <c r="Z1154" s="17">
        <f>Table1[[#This Row],[Reporting third]]-Table1[[#This Row],[Policy third]]</f>
        <v>1</v>
      </c>
      <c r="AA1154" s="71">
        <f>IF(Table1[[#This Row],[Overall amount]]=0,"N/A",Table1[[#This Row],[Outstanding]]/Table1[[#This Row],[Overall amount]])</f>
        <v>0</v>
      </c>
      <c r="AB1154" s="17">
        <f>IF(MONTH(Table1[[#This Row],[Loss date]])&lt;Pol_Inc_Month_Shifted,YEAR(Table1[[#This Row],[Loss date]])-1,YEAR(Table1[[#This Row],[Loss date]]))</f>
        <v>2011</v>
      </c>
      <c r="AC1154" s="17">
        <f>IF(MONTH(Table1[[#This Row],[Reporting date]])&lt;Pol_Inc_Month_Shifted,YEAR(Table1[[#This Row],[Reporting date]])-1,YEAR(Table1[[#This Row],[Reporting date]]))</f>
        <v>2011</v>
      </c>
      <c r="AD1154" s="17">
        <f>Table1[[#This Row],[Reporting year (shifted)]]-Table1[[#This Row],[Policy Year (shifted)]]</f>
        <v>0</v>
      </c>
    </row>
    <row r="1155" spans="1:30" ht="13.9">
      <c r="A1155" s="8" t="s">
        <v>2925</v>
      </c>
      <c r="B1155" s="8" t="s">
        <v>1207</v>
      </c>
      <c r="C1155" s="8" t="s">
        <v>123</v>
      </c>
      <c r="D1155" s="9">
        <v>40459</v>
      </c>
      <c r="E1155" s="9">
        <v>40929</v>
      </c>
      <c r="F1155" s="17">
        <f>IF(MONTH(Table1[[#This Row],[Loss date]])&lt;Policy_Inception_Month,YEAR(Table1[[#This Row],[Loss date]])-1,YEAR(Table1[[#This Row],[Loss date]]))</f>
        <v>2010</v>
      </c>
      <c r="G1155" s="10" t="s">
        <v>125</v>
      </c>
      <c r="H1155" s="10" t="s">
        <v>2</v>
      </c>
      <c r="I1155" s="11">
        <v>491.27634006668353</v>
      </c>
      <c r="J1155" s="11">
        <v>0</v>
      </c>
      <c r="K1155" s="11">
        <v>491.27634006668353</v>
      </c>
      <c r="L1155" s="12">
        <v>0</v>
      </c>
      <c r="M1155" s="12">
        <v>0</v>
      </c>
      <c r="N1155" s="12">
        <v>491.27634006668353</v>
      </c>
      <c r="O1155" s="70">
        <f>IF(Table1[[#This Row],[Overall amount]]=0,0,1)</f>
        <v>1</v>
      </c>
      <c r="P1155" s="70">
        <f>Table1[[#This Row],[Overall amount]]*Exchange_Rate</f>
        <v>491.27634006668353</v>
      </c>
      <c r="Q1155" s="70">
        <f>Table1[[#This Row],[Overall (destination currency)]]*(1+Claims_Inflation)^((Revalue_at_date-Table1[[#This Row],[Loss date]])/365.25)</f>
        <v>626.4</v>
      </c>
      <c r="R1155" s="70">
        <f>INT(Table1[[#This Row],[Reporting date]])-INT(Table1[[#This Row],[Loss date]])</f>
        <v>470</v>
      </c>
      <c r="S1155" s="69" t="s">
        <v>9</v>
      </c>
      <c r="T1155" s="70">
        <f>VLOOKUP(Table1[[#This Row],[Policy Year]],exposure_table,3,FALSE)</f>
        <v>837.11513600000012</v>
      </c>
      <c r="U1155" s="17">
        <f>IF(MONTH(Table1[[#This Row],[Reporting date]])&lt;Policy_Inception_Month,YEAR(Table1[[#This Row],[Reporting date]])-1,YEAR(Table1[[#This Row],[Reporting date]]))</f>
        <v>2011</v>
      </c>
      <c r="V1155" s="17">
        <f>Table1[[#This Row],[Reporting year]]-Table1[[#This Row],[Policy Year]]</f>
        <v>1</v>
      </c>
      <c r="W1155" s="17">
        <f>INT(Table1[[#This Row],[Reporting date]])-INT(Table1[[#This Row],[Loss date]])</f>
        <v>470</v>
      </c>
      <c r="X1155" s="17">
        <f>INT((YEAR(Table1[[#This Row],[Loss date]])*12+MONTH(Table1[[#This Row],[Loss date]])-Earliest_Month)/4)</f>
        <v>16</v>
      </c>
      <c r="Y1155" s="17">
        <f>INT((YEAR(Table1[[#This Row],[Reporting date]])*12+MONTH(Table1[[#This Row],[Reporting date]])-Earliest_Month)/4)</f>
        <v>20</v>
      </c>
      <c r="Z1155" s="17">
        <f>Table1[[#This Row],[Reporting third]]-Table1[[#This Row],[Policy third]]</f>
        <v>4</v>
      </c>
      <c r="AA1155" s="71">
        <f>IF(Table1[[#This Row],[Overall amount]]=0,"N/A",Table1[[#This Row],[Outstanding]]/Table1[[#This Row],[Overall amount]])</f>
        <v>0</v>
      </c>
      <c r="AB1155" s="17">
        <f>IF(MONTH(Table1[[#This Row],[Loss date]])&lt;Pol_Inc_Month_Shifted,YEAR(Table1[[#This Row],[Loss date]])-1,YEAR(Table1[[#This Row],[Loss date]]))</f>
        <v>2009</v>
      </c>
      <c r="AC1155" s="17">
        <f>IF(MONTH(Table1[[#This Row],[Reporting date]])&lt;Pol_Inc_Month_Shifted,YEAR(Table1[[#This Row],[Reporting date]])-1,YEAR(Table1[[#This Row],[Reporting date]]))</f>
        <v>2011</v>
      </c>
      <c r="AD1155" s="17">
        <f>Table1[[#This Row],[Reporting year (shifted)]]-Table1[[#This Row],[Policy Year (shifted)]]</f>
        <v>2</v>
      </c>
    </row>
    <row r="1156" spans="1:30" ht="13.9">
      <c r="A1156" s="8" t="s">
        <v>2926</v>
      </c>
      <c r="B1156" s="8" t="s">
        <v>1208</v>
      </c>
      <c r="C1156" s="8" t="s">
        <v>123</v>
      </c>
      <c r="D1156" s="9">
        <v>40371</v>
      </c>
      <c r="E1156" s="9">
        <v>40572</v>
      </c>
      <c r="F1156" s="17">
        <f>IF(MONTH(Table1[[#This Row],[Loss date]])&lt;Policy_Inception_Month,YEAR(Table1[[#This Row],[Loss date]])-1,YEAR(Table1[[#This Row],[Loss date]]))</f>
        <v>2010</v>
      </c>
      <c r="G1156" s="10" t="s">
        <v>125</v>
      </c>
      <c r="H1156" s="10" t="s">
        <v>2</v>
      </c>
      <c r="I1156" s="11">
        <v>1038.5057778341568</v>
      </c>
      <c r="J1156" s="11">
        <v>0</v>
      </c>
      <c r="K1156" s="11">
        <v>1038.5057778341568</v>
      </c>
      <c r="L1156" s="12">
        <v>0</v>
      </c>
      <c r="M1156" s="12">
        <v>0</v>
      </c>
      <c r="N1156" s="12">
        <v>1038.5057778341568</v>
      </c>
      <c r="O1156" s="70">
        <f>IF(Table1[[#This Row],[Overall amount]]=0,0,1)</f>
        <v>1</v>
      </c>
      <c r="P1156" s="70">
        <f>Table1[[#This Row],[Overall amount]]*Exchange_Rate</f>
        <v>1038.5057778341568</v>
      </c>
      <c r="Q1156" s="70">
        <f>Table1[[#This Row],[Overall (destination currency)]]*(1+Claims_Inflation)^((Revalue_at_date-Table1[[#This Row],[Loss date]])/365.25)</f>
        <v>1339.8</v>
      </c>
      <c r="R1156" s="70">
        <f>INT(Table1[[#This Row],[Reporting date]])-INT(Table1[[#This Row],[Loss date]])</f>
        <v>201</v>
      </c>
      <c r="S1156" s="69" t="s">
        <v>9</v>
      </c>
      <c r="T1156" s="70">
        <f>VLOOKUP(Table1[[#This Row],[Policy Year]],exposure_table,3,FALSE)</f>
        <v>837.11513600000012</v>
      </c>
      <c r="U1156" s="17">
        <f>IF(MONTH(Table1[[#This Row],[Reporting date]])&lt;Policy_Inception_Month,YEAR(Table1[[#This Row],[Reporting date]])-1,YEAR(Table1[[#This Row],[Reporting date]]))</f>
        <v>2010</v>
      </c>
      <c r="V1156" s="17">
        <f>Table1[[#This Row],[Reporting year]]-Table1[[#This Row],[Policy Year]]</f>
        <v>0</v>
      </c>
      <c r="W1156" s="17">
        <f>INT(Table1[[#This Row],[Reporting date]])-INT(Table1[[#This Row],[Loss date]])</f>
        <v>201</v>
      </c>
      <c r="X1156" s="17">
        <f>INT((YEAR(Table1[[#This Row],[Loss date]])*12+MONTH(Table1[[#This Row],[Loss date]])-Earliest_Month)/4)</f>
        <v>15</v>
      </c>
      <c r="Y1156" s="17">
        <f>INT((YEAR(Table1[[#This Row],[Reporting date]])*12+MONTH(Table1[[#This Row],[Reporting date]])-Earliest_Month)/4)</f>
        <v>17</v>
      </c>
      <c r="Z1156" s="17">
        <f>Table1[[#This Row],[Reporting third]]-Table1[[#This Row],[Policy third]]</f>
        <v>2</v>
      </c>
      <c r="AA1156" s="71">
        <f>IF(Table1[[#This Row],[Overall amount]]=0,"N/A",Table1[[#This Row],[Outstanding]]/Table1[[#This Row],[Overall amount]])</f>
        <v>0</v>
      </c>
      <c r="AB1156" s="17">
        <f>IF(MONTH(Table1[[#This Row],[Loss date]])&lt;Pol_Inc_Month_Shifted,YEAR(Table1[[#This Row],[Loss date]])-1,YEAR(Table1[[#This Row],[Loss date]]))</f>
        <v>2009</v>
      </c>
      <c r="AC1156" s="17">
        <f>IF(MONTH(Table1[[#This Row],[Reporting date]])&lt;Pol_Inc_Month_Shifted,YEAR(Table1[[#This Row],[Reporting date]])-1,YEAR(Table1[[#This Row],[Reporting date]]))</f>
        <v>2010</v>
      </c>
      <c r="AD1156" s="17">
        <f>Table1[[#This Row],[Reporting year (shifted)]]-Table1[[#This Row],[Policy Year (shifted)]]</f>
        <v>1</v>
      </c>
    </row>
    <row r="1157" spans="1:30" ht="13.9">
      <c r="A1157" s="8" t="s">
        <v>2927</v>
      </c>
      <c r="B1157" s="8" t="s">
        <v>1209</v>
      </c>
      <c r="C1157" s="8" t="s">
        <v>123</v>
      </c>
      <c r="D1157" s="9">
        <v>40264</v>
      </c>
      <c r="E1157" s="9">
        <v>40400</v>
      </c>
      <c r="F1157" s="17">
        <f>IF(MONTH(Table1[[#This Row],[Loss date]])&lt;Policy_Inception_Month,YEAR(Table1[[#This Row],[Loss date]])-1,YEAR(Table1[[#This Row],[Loss date]]))</f>
        <v>2009</v>
      </c>
      <c r="G1157" s="10" t="s">
        <v>124</v>
      </c>
      <c r="H1157" s="10" t="s">
        <v>2</v>
      </c>
      <c r="I1157" s="11">
        <v>1276.3859620791313</v>
      </c>
      <c r="J1157" s="11">
        <v>0</v>
      </c>
      <c r="K1157" s="11">
        <v>1276.3859620791313</v>
      </c>
      <c r="L1157" s="12">
        <v>0</v>
      </c>
      <c r="M1157" s="12">
        <v>0</v>
      </c>
      <c r="N1157" s="12">
        <v>1276.3859620791313</v>
      </c>
      <c r="O1157" s="70">
        <f>IF(Table1[[#This Row],[Overall amount]]=0,0,1)</f>
        <v>1</v>
      </c>
      <c r="P1157" s="70">
        <f>Table1[[#This Row],[Overall amount]]*Exchange_Rate</f>
        <v>1276.3859620791313</v>
      </c>
      <c r="Q1157" s="70">
        <f>Table1[[#This Row],[Overall (destination currency)]]*(1+Claims_Inflation)^((Revalue_at_date-Table1[[#This Row],[Loss date]])/365.25)</f>
        <v>1670.3999999999999</v>
      </c>
      <c r="R1157" s="70">
        <f>INT(Table1[[#This Row],[Reporting date]])-INT(Table1[[#This Row],[Loss date]])</f>
        <v>136</v>
      </c>
      <c r="S1157" s="69" t="s">
        <v>9</v>
      </c>
      <c r="T1157" s="70">
        <f>VLOOKUP(Table1[[#This Row],[Policy Year]],exposure_table,3,FALSE)</f>
        <v>760.22808576000011</v>
      </c>
      <c r="U1157" s="17">
        <f>IF(MONTH(Table1[[#This Row],[Reporting date]])&lt;Policy_Inception_Month,YEAR(Table1[[#This Row],[Reporting date]])-1,YEAR(Table1[[#This Row],[Reporting date]]))</f>
        <v>2010</v>
      </c>
      <c r="V1157" s="17">
        <f>Table1[[#This Row],[Reporting year]]-Table1[[#This Row],[Policy Year]]</f>
        <v>1</v>
      </c>
      <c r="W1157" s="17">
        <f>INT(Table1[[#This Row],[Reporting date]])-INT(Table1[[#This Row],[Loss date]])</f>
        <v>136</v>
      </c>
      <c r="X1157" s="17">
        <f>INT((YEAR(Table1[[#This Row],[Loss date]])*12+MONTH(Table1[[#This Row],[Loss date]])-Earliest_Month)/4)</f>
        <v>14</v>
      </c>
      <c r="Y1157" s="17">
        <f>INT((YEAR(Table1[[#This Row],[Reporting date]])*12+MONTH(Table1[[#This Row],[Reporting date]])-Earliest_Month)/4)</f>
        <v>16</v>
      </c>
      <c r="Z1157" s="17">
        <f>Table1[[#This Row],[Reporting third]]-Table1[[#This Row],[Policy third]]</f>
        <v>2</v>
      </c>
      <c r="AA1157" s="71">
        <f>IF(Table1[[#This Row],[Overall amount]]=0,"N/A",Table1[[#This Row],[Outstanding]]/Table1[[#This Row],[Overall amount]])</f>
        <v>0</v>
      </c>
      <c r="AB1157" s="17">
        <f>IF(MONTH(Table1[[#This Row],[Loss date]])&lt;Pol_Inc_Month_Shifted,YEAR(Table1[[#This Row],[Loss date]])-1,YEAR(Table1[[#This Row],[Loss date]]))</f>
        <v>2009</v>
      </c>
      <c r="AC1157" s="17">
        <f>IF(MONTH(Table1[[#This Row],[Reporting date]])&lt;Pol_Inc_Month_Shifted,YEAR(Table1[[#This Row],[Reporting date]])-1,YEAR(Table1[[#This Row],[Reporting date]]))</f>
        <v>2009</v>
      </c>
      <c r="AD1157" s="17">
        <f>Table1[[#This Row],[Reporting year (shifted)]]-Table1[[#This Row],[Policy Year (shifted)]]</f>
        <v>0</v>
      </c>
    </row>
    <row r="1158" spans="1:30" ht="13.9">
      <c r="A1158" s="8" t="s">
        <v>2928</v>
      </c>
      <c r="B1158" s="8" t="s">
        <v>1210</v>
      </c>
      <c r="C1158" s="8" t="s">
        <v>123</v>
      </c>
      <c r="D1158" s="9">
        <v>40605</v>
      </c>
      <c r="E1158" s="9">
        <v>40675</v>
      </c>
      <c r="F1158" s="17">
        <f>IF(MONTH(Table1[[#This Row],[Loss date]])&lt;Policy_Inception_Month,YEAR(Table1[[#This Row],[Loss date]])-1,YEAR(Table1[[#This Row],[Loss date]]))</f>
        <v>2010</v>
      </c>
      <c r="G1158" s="10" t="s">
        <v>125</v>
      </c>
      <c r="H1158" s="10" t="s">
        <v>2</v>
      </c>
      <c r="I1158" s="11">
        <v>39152.553599240629</v>
      </c>
      <c r="J1158" s="11">
        <v>104799.05533986156</v>
      </c>
      <c r="K1158" s="11">
        <v>143951.60893910218</v>
      </c>
      <c r="L1158" s="12">
        <v>0</v>
      </c>
      <c r="M1158" s="12">
        <v>0</v>
      </c>
      <c r="N1158" s="12">
        <v>143951.60893910218</v>
      </c>
      <c r="O1158" s="70">
        <f>IF(Table1[[#This Row],[Overall amount]]=0,0,1)</f>
        <v>1</v>
      </c>
      <c r="P1158" s="70">
        <f>Table1[[#This Row],[Overall amount]]*Exchange_Rate</f>
        <v>143951.60893910218</v>
      </c>
      <c r="Q1158" s="70">
        <f>Table1[[#This Row],[Overall (destination currency)]]*(1+Claims_Inflation)^((Revalue_at_date-Table1[[#This Row],[Loss date]])/365.25)</f>
        <v>180000</v>
      </c>
      <c r="R1158" s="70">
        <f>INT(Table1[[#This Row],[Reporting date]])-INT(Table1[[#This Row],[Loss date]])</f>
        <v>70</v>
      </c>
      <c r="S1158" s="69" t="s">
        <v>16</v>
      </c>
      <c r="T1158" s="70">
        <f>VLOOKUP(Table1[[#This Row],[Policy Year]],exposure_table,3,FALSE)</f>
        <v>837.11513600000012</v>
      </c>
      <c r="U1158" s="17">
        <f>IF(MONTH(Table1[[#This Row],[Reporting date]])&lt;Policy_Inception_Month,YEAR(Table1[[#This Row],[Reporting date]])-1,YEAR(Table1[[#This Row],[Reporting date]]))</f>
        <v>2011</v>
      </c>
      <c r="V1158" s="17">
        <f>Table1[[#This Row],[Reporting year]]-Table1[[#This Row],[Policy Year]]</f>
        <v>1</v>
      </c>
      <c r="W1158" s="17">
        <f>INT(Table1[[#This Row],[Reporting date]])-INT(Table1[[#This Row],[Loss date]])</f>
        <v>70</v>
      </c>
      <c r="X1158" s="17">
        <f>INT((YEAR(Table1[[#This Row],[Loss date]])*12+MONTH(Table1[[#This Row],[Loss date]])-Earliest_Month)/4)</f>
        <v>17</v>
      </c>
      <c r="Y1158" s="17">
        <f>INT((YEAR(Table1[[#This Row],[Reporting date]])*12+MONTH(Table1[[#This Row],[Reporting date]])-Earliest_Month)/4)</f>
        <v>18</v>
      </c>
      <c r="Z1158" s="17">
        <f>Table1[[#This Row],[Reporting third]]-Table1[[#This Row],[Policy third]]</f>
        <v>1</v>
      </c>
      <c r="AA1158" s="71">
        <f>IF(Table1[[#This Row],[Overall amount]]=0,"N/A",Table1[[#This Row],[Outstanding]]/Table1[[#This Row],[Overall amount]])</f>
        <v>0.72801586666666673</v>
      </c>
      <c r="AB1158" s="17">
        <f>IF(MONTH(Table1[[#This Row],[Loss date]])&lt;Pol_Inc_Month_Shifted,YEAR(Table1[[#This Row],[Loss date]])-1,YEAR(Table1[[#This Row],[Loss date]]))</f>
        <v>2010</v>
      </c>
      <c r="AC1158" s="17">
        <f>IF(MONTH(Table1[[#This Row],[Reporting date]])&lt;Pol_Inc_Month_Shifted,YEAR(Table1[[#This Row],[Reporting date]])-1,YEAR(Table1[[#This Row],[Reporting date]]))</f>
        <v>2010</v>
      </c>
      <c r="AD1158" s="17">
        <f>Table1[[#This Row],[Reporting year (shifted)]]-Table1[[#This Row],[Policy Year (shifted)]]</f>
        <v>0</v>
      </c>
    </row>
    <row r="1159" spans="1:30" ht="13.9">
      <c r="A1159" s="8" t="s">
        <v>2929</v>
      </c>
      <c r="B1159" s="8" t="s">
        <v>1211</v>
      </c>
      <c r="C1159" s="8" t="s">
        <v>123</v>
      </c>
      <c r="D1159" s="9">
        <v>41083</v>
      </c>
      <c r="E1159" s="9">
        <v>41097</v>
      </c>
      <c r="F1159" s="17">
        <f>IF(MONTH(Table1[[#This Row],[Loss date]])&lt;Policy_Inception_Month,YEAR(Table1[[#This Row],[Loss date]])-1,YEAR(Table1[[#This Row],[Loss date]]))</f>
        <v>2012</v>
      </c>
      <c r="G1159" s="10" t="s">
        <v>125</v>
      </c>
      <c r="H1159" s="10" t="s">
        <v>2</v>
      </c>
      <c r="I1159" s="11">
        <v>103.82969709267779</v>
      </c>
      <c r="J1159" s="11">
        <v>0</v>
      </c>
      <c r="K1159" s="11">
        <v>103.82969709267779</v>
      </c>
      <c r="L1159" s="12">
        <v>0</v>
      </c>
      <c r="M1159" s="12">
        <v>0</v>
      </c>
      <c r="N1159" s="12">
        <v>103.82969709267779</v>
      </c>
      <c r="O1159" s="70">
        <f>IF(Table1[[#This Row],[Overall amount]]=0,0,1)</f>
        <v>1</v>
      </c>
      <c r="P1159" s="70">
        <f>Table1[[#This Row],[Overall amount]]*Exchange_Rate</f>
        <v>103.82969709267779</v>
      </c>
      <c r="Q1159" s="70">
        <f>Table1[[#This Row],[Overall (destination currency)]]*(1+Claims_Inflation)^((Revalue_at_date-Table1[[#This Row],[Loss date]])/365.25)</f>
        <v>121.80000000000001</v>
      </c>
      <c r="R1159" s="70">
        <f>INT(Table1[[#This Row],[Reporting date]])-INT(Table1[[#This Row],[Loss date]])</f>
        <v>14</v>
      </c>
      <c r="S1159" s="69" t="s">
        <v>9</v>
      </c>
      <c r="T1159" s="70">
        <f>VLOOKUP(Table1[[#This Row],[Policy Year]],exposure_table,3,FALSE)</f>
        <v>1057.54</v>
      </c>
      <c r="U1159" s="17">
        <f>IF(MONTH(Table1[[#This Row],[Reporting date]])&lt;Policy_Inception_Month,YEAR(Table1[[#This Row],[Reporting date]])-1,YEAR(Table1[[#This Row],[Reporting date]]))</f>
        <v>2012</v>
      </c>
      <c r="V1159" s="17">
        <f>Table1[[#This Row],[Reporting year]]-Table1[[#This Row],[Policy Year]]</f>
        <v>0</v>
      </c>
      <c r="W1159" s="17">
        <f>INT(Table1[[#This Row],[Reporting date]])-INT(Table1[[#This Row],[Loss date]])</f>
        <v>14</v>
      </c>
      <c r="X1159" s="17">
        <f>INT((YEAR(Table1[[#This Row],[Loss date]])*12+MONTH(Table1[[#This Row],[Loss date]])-Earliest_Month)/4)</f>
        <v>21</v>
      </c>
      <c r="Y1159" s="17">
        <f>INT((YEAR(Table1[[#This Row],[Reporting date]])*12+MONTH(Table1[[#This Row],[Reporting date]])-Earliest_Month)/4)</f>
        <v>21</v>
      </c>
      <c r="Z1159" s="17">
        <f>Table1[[#This Row],[Reporting third]]-Table1[[#This Row],[Policy third]]</f>
        <v>0</v>
      </c>
      <c r="AA1159" s="71">
        <f>IF(Table1[[#This Row],[Overall amount]]=0,"N/A",Table1[[#This Row],[Outstanding]]/Table1[[#This Row],[Overall amount]])</f>
        <v>0</v>
      </c>
      <c r="AB1159" s="17">
        <f>IF(MONTH(Table1[[#This Row],[Loss date]])&lt;Pol_Inc_Month_Shifted,YEAR(Table1[[#This Row],[Loss date]])-1,YEAR(Table1[[#This Row],[Loss date]]))</f>
        <v>2011</v>
      </c>
      <c r="AC1159" s="17">
        <f>IF(MONTH(Table1[[#This Row],[Reporting date]])&lt;Pol_Inc_Month_Shifted,YEAR(Table1[[#This Row],[Reporting date]])-1,YEAR(Table1[[#This Row],[Reporting date]]))</f>
        <v>2011</v>
      </c>
      <c r="AD1159" s="17">
        <f>Table1[[#This Row],[Reporting year (shifted)]]-Table1[[#This Row],[Policy Year (shifted)]]</f>
        <v>0</v>
      </c>
    </row>
    <row r="1160" spans="1:30" ht="13.9">
      <c r="A1160" s="8" t="s">
        <v>2930</v>
      </c>
      <c r="B1160" s="8" t="s">
        <v>1212</v>
      </c>
      <c r="C1160" s="8" t="s">
        <v>123</v>
      </c>
      <c r="D1160" s="9">
        <v>39070</v>
      </c>
      <c r="E1160" s="9">
        <v>39114</v>
      </c>
      <c r="F1160" s="17">
        <f>IF(MONTH(Table1[[#This Row],[Loss date]])&lt;Policy_Inception_Month,YEAR(Table1[[#This Row],[Loss date]])-1,YEAR(Table1[[#This Row],[Loss date]]))</f>
        <v>2006</v>
      </c>
      <c r="G1160" s="10" t="s">
        <v>131</v>
      </c>
      <c r="H1160" s="10" t="s">
        <v>2</v>
      </c>
      <c r="I1160" s="11">
        <v>697.72345147653516</v>
      </c>
      <c r="J1160" s="11">
        <v>0</v>
      </c>
      <c r="K1160" s="11">
        <v>697.72345147653516</v>
      </c>
      <c r="L1160" s="12">
        <v>0</v>
      </c>
      <c r="M1160" s="12">
        <v>0</v>
      </c>
      <c r="N1160" s="12">
        <v>697.72345147653516</v>
      </c>
      <c r="O1160" s="70">
        <f>IF(Table1[[#This Row],[Overall amount]]=0,0,1)</f>
        <v>1</v>
      </c>
      <c r="P1160" s="70">
        <f>Table1[[#This Row],[Overall amount]]*Exchange_Rate</f>
        <v>697.72345147653516</v>
      </c>
      <c r="Q1160" s="70">
        <f>Table1[[#This Row],[Overall (destination currency)]]*(1+Claims_Inflation)^((Revalue_at_date-Table1[[#This Row],[Loss date]])/365.25)</f>
        <v>1071</v>
      </c>
      <c r="R1160" s="70">
        <f>INT(Table1[[#This Row],[Reporting date]])-INT(Table1[[#This Row],[Loss date]])</f>
        <v>44</v>
      </c>
      <c r="S1160" s="69" t="s">
        <v>9</v>
      </c>
      <c r="T1160" s="70">
        <f>VLOOKUP(Table1[[#This Row],[Policy Year]],exposure_table,3,FALSE)</f>
        <v>483.32023209000977</v>
      </c>
      <c r="U1160" s="17">
        <f>IF(MONTH(Table1[[#This Row],[Reporting date]])&lt;Policy_Inception_Month,YEAR(Table1[[#This Row],[Reporting date]])-1,YEAR(Table1[[#This Row],[Reporting date]]))</f>
        <v>2006</v>
      </c>
      <c r="V1160" s="17">
        <f>Table1[[#This Row],[Reporting year]]-Table1[[#This Row],[Policy Year]]</f>
        <v>0</v>
      </c>
      <c r="W1160" s="17">
        <f>INT(Table1[[#This Row],[Reporting date]])-INT(Table1[[#This Row],[Loss date]])</f>
        <v>44</v>
      </c>
      <c r="X1160" s="17">
        <f>INT((YEAR(Table1[[#This Row],[Loss date]])*12+MONTH(Table1[[#This Row],[Loss date]])-Earliest_Month)/4)</f>
        <v>5</v>
      </c>
      <c r="Y1160" s="17">
        <f>INT((YEAR(Table1[[#This Row],[Reporting date]])*12+MONTH(Table1[[#This Row],[Reporting date]])-Earliest_Month)/4)</f>
        <v>5</v>
      </c>
      <c r="Z1160" s="17">
        <f>Table1[[#This Row],[Reporting third]]-Table1[[#This Row],[Policy third]]</f>
        <v>0</v>
      </c>
      <c r="AA1160" s="71">
        <f>IF(Table1[[#This Row],[Overall amount]]=0,"N/A",Table1[[#This Row],[Outstanding]]/Table1[[#This Row],[Overall amount]])</f>
        <v>0</v>
      </c>
      <c r="AB1160" s="17">
        <f>IF(MONTH(Table1[[#This Row],[Loss date]])&lt;Pol_Inc_Month_Shifted,YEAR(Table1[[#This Row],[Loss date]])-1,YEAR(Table1[[#This Row],[Loss date]]))</f>
        <v>2006</v>
      </c>
      <c r="AC1160" s="17">
        <f>IF(MONTH(Table1[[#This Row],[Reporting date]])&lt;Pol_Inc_Month_Shifted,YEAR(Table1[[#This Row],[Reporting date]])-1,YEAR(Table1[[#This Row],[Reporting date]]))</f>
        <v>2006</v>
      </c>
      <c r="AD1160" s="17">
        <f>Table1[[#This Row],[Reporting year (shifted)]]-Table1[[#This Row],[Policy Year (shifted)]]</f>
        <v>0</v>
      </c>
    </row>
    <row r="1161" spans="1:30" ht="13.9">
      <c r="A1161" s="8" t="s">
        <v>2931</v>
      </c>
      <c r="B1161" s="8" t="s">
        <v>1213</v>
      </c>
      <c r="C1161" s="8" t="s">
        <v>123</v>
      </c>
      <c r="D1161" s="9">
        <v>39152</v>
      </c>
      <c r="E1161" s="9">
        <v>39240</v>
      </c>
      <c r="F1161" s="17">
        <f>IF(MONTH(Table1[[#This Row],[Loss date]])&lt;Policy_Inception_Month,YEAR(Table1[[#This Row],[Loss date]])-1,YEAR(Table1[[#This Row],[Loss date]]))</f>
        <v>2006</v>
      </c>
      <c r="G1161" s="10" t="s">
        <v>126</v>
      </c>
      <c r="H1161" s="10" t="s">
        <v>2</v>
      </c>
      <c r="I1161" s="11">
        <v>210.63444196277496</v>
      </c>
      <c r="J1161" s="11">
        <v>0</v>
      </c>
      <c r="K1161" s="11">
        <v>210.63444196277496</v>
      </c>
      <c r="L1161" s="12">
        <v>0</v>
      </c>
      <c r="M1161" s="12">
        <v>0</v>
      </c>
      <c r="N1161" s="12">
        <v>210.63444196277496</v>
      </c>
      <c r="O1161" s="70">
        <f>IF(Table1[[#This Row],[Overall amount]]=0,0,1)</f>
        <v>1</v>
      </c>
      <c r="P1161" s="70">
        <f>Table1[[#This Row],[Overall amount]]*Exchange_Rate</f>
        <v>210.63444196277496</v>
      </c>
      <c r="Q1161" s="70">
        <f>Table1[[#This Row],[Overall (destination currency)]]*(1+Claims_Inflation)^((Revalue_at_date-Table1[[#This Row],[Loss date]])/365.25)</f>
        <v>319.8</v>
      </c>
      <c r="R1161" s="70">
        <f>INT(Table1[[#This Row],[Reporting date]])-INT(Table1[[#This Row],[Loss date]])</f>
        <v>88</v>
      </c>
      <c r="S1161" s="69" t="s">
        <v>9</v>
      </c>
      <c r="T1161" s="70">
        <f>VLOOKUP(Table1[[#This Row],[Policy Year]],exposure_table,3,FALSE)</f>
        <v>483.32023209000977</v>
      </c>
      <c r="U1161" s="17">
        <f>IF(MONTH(Table1[[#This Row],[Reporting date]])&lt;Policy_Inception_Month,YEAR(Table1[[#This Row],[Reporting date]])-1,YEAR(Table1[[#This Row],[Reporting date]]))</f>
        <v>2007</v>
      </c>
      <c r="V1161" s="17">
        <f>Table1[[#This Row],[Reporting year]]-Table1[[#This Row],[Policy Year]]</f>
        <v>1</v>
      </c>
      <c r="W1161" s="17">
        <f>INT(Table1[[#This Row],[Reporting date]])-INT(Table1[[#This Row],[Loss date]])</f>
        <v>88</v>
      </c>
      <c r="X1161" s="17">
        <f>INT((YEAR(Table1[[#This Row],[Loss date]])*12+MONTH(Table1[[#This Row],[Loss date]])-Earliest_Month)/4)</f>
        <v>5</v>
      </c>
      <c r="Y1161" s="17">
        <f>INT((YEAR(Table1[[#This Row],[Reporting date]])*12+MONTH(Table1[[#This Row],[Reporting date]])-Earliest_Month)/4)</f>
        <v>6</v>
      </c>
      <c r="Z1161" s="17">
        <f>Table1[[#This Row],[Reporting third]]-Table1[[#This Row],[Policy third]]</f>
        <v>1</v>
      </c>
      <c r="AA1161" s="71">
        <f>IF(Table1[[#This Row],[Overall amount]]=0,"N/A",Table1[[#This Row],[Outstanding]]/Table1[[#This Row],[Overall amount]])</f>
        <v>0</v>
      </c>
      <c r="AB1161" s="17">
        <f>IF(MONTH(Table1[[#This Row],[Loss date]])&lt;Pol_Inc_Month_Shifted,YEAR(Table1[[#This Row],[Loss date]])-1,YEAR(Table1[[#This Row],[Loss date]]))</f>
        <v>2006</v>
      </c>
      <c r="AC1161" s="17">
        <f>IF(MONTH(Table1[[#This Row],[Reporting date]])&lt;Pol_Inc_Month_Shifted,YEAR(Table1[[#This Row],[Reporting date]])-1,YEAR(Table1[[#This Row],[Reporting date]]))</f>
        <v>2006</v>
      </c>
      <c r="AD1161" s="17">
        <f>Table1[[#This Row],[Reporting year (shifted)]]-Table1[[#This Row],[Policy Year (shifted)]]</f>
        <v>0</v>
      </c>
    </row>
    <row r="1162" spans="1:30" ht="13.9">
      <c r="A1162" s="8" t="s">
        <v>2932</v>
      </c>
      <c r="B1162" s="8" t="s">
        <v>1214</v>
      </c>
      <c r="C1162" s="8" t="s">
        <v>123</v>
      </c>
      <c r="D1162" s="9">
        <v>39270</v>
      </c>
      <c r="E1162" s="9">
        <v>39546</v>
      </c>
      <c r="F1162" s="17">
        <f>IF(MONTH(Table1[[#This Row],[Loss date]])&lt;Policy_Inception_Month,YEAR(Table1[[#This Row],[Loss date]])-1,YEAR(Table1[[#This Row],[Loss date]]))</f>
        <v>2007</v>
      </c>
      <c r="G1162" s="10" t="s">
        <v>124</v>
      </c>
      <c r="H1162" s="10" t="s">
        <v>2</v>
      </c>
      <c r="I1162" s="11">
        <v>7513.6349354764889</v>
      </c>
      <c r="J1162" s="11">
        <v>0</v>
      </c>
      <c r="K1162" s="11">
        <v>7513.6349354764889</v>
      </c>
      <c r="L1162" s="12">
        <v>0</v>
      </c>
      <c r="M1162" s="12">
        <v>0</v>
      </c>
      <c r="N1162" s="12">
        <v>7513.6349354764889</v>
      </c>
      <c r="O1162" s="70">
        <f>IF(Table1[[#This Row],[Overall amount]]=0,0,1)</f>
        <v>1</v>
      </c>
      <c r="P1162" s="70">
        <f>Table1[[#This Row],[Overall amount]]*Exchange_Rate</f>
        <v>7513.6349354764889</v>
      </c>
      <c r="Q1162" s="70">
        <f>Table1[[#This Row],[Overall (destination currency)]]*(1+Claims_Inflation)^((Revalue_at_date-Table1[[#This Row],[Loss date]])/365.25)</f>
        <v>11229.324000000001</v>
      </c>
      <c r="R1162" s="70">
        <f>INT(Table1[[#This Row],[Reporting date]])-INT(Table1[[#This Row],[Loss date]])</f>
        <v>276</v>
      </c>
      <c r="S1162" s="69" t="s">
        <v>9</v>
      </c>
      <c r="T1162" s="70">
        <f>VLOOKUP(Table1[[#This Row],[Policy Year]],exposure_table,3,FALSE)</f>
        <v>547.7736362475523</v>
      </c>
      <c r="U1162" s="17">
        <f>IF(MONTH(Table1[[#This Row],[Reporting date]])&lt;Policy_Inception_Month,YEAR(Table1[[#This Row],[Reporting date]])-1,YEAR(Table1[[#This Row],[Reporting date]]))</f>
        <v>2008</v>
      </c>
      <c r="V1162" s="17">
        <f>Table1[[#This Row],[Reporting year]]-Table1[[#This Row],[Policy Year]]</f>
        <v>1</v>
      </c>
      <c r="W1162" s="17">
        <f>INT(Table1[[#This Row],[Reporting date]])-INT(Table1[[#This Row],[Loss date]])</f>
        <v>276</v>
      </c>
      <c r="X1162" s="17">
        <f>INT((YEAR(Table1[[#This Row],[Loss date]])*12+MONTH(Table1[[#This Row],[Loss date]])-Earliest_Month)/4)</f>
        <v>6</v>
      </c>
      <c r="Y1162" s="17">
        <f>INT((YEAR(Table1[[#This Row],[Reporting date]])*12+MONTH(Table1[[#This Row],[Reporting date]])-Earliest_Month)/4)</f>
        <v>9</v>
      </c>
      <c r="Z1162" s="17">
        <f>Table1[[#This Row],[Reporting third]]-Table1[[#This Row],[Policy third]]</f>
        <v>3</v>
      </c>
      <c r="AA1162" s="71">
        <f>IF(Table1[[#This Row],[Overall amount]]=0,"N/A",Table1[[#This Row],[Outstanding]]/Table1[[#This Row],[Overall amount]])</f>
        <v>0</v>
      </c>
      <c r="AB1162" s="17">
        <f>IF(MONTH(Table1[[#This Row],[Loss date]])&lt;Pol_Inc_Month_Shifted,YEAR(Table1[[#This Row],[Loss date]])-1,YEAR(Table1[[#This Row],[Loss date]]))</f>
        <v>2006</v>
      </c>
      <c r="AC1162" s="17">
        <f>IF(MONTH(Table1[[#This Row],[Reporting date]])&lt;Pol_Inc_Month_Shifted,YEAR(Table1[[#This Row],[Reporting date]])-1,YEAR(Table1[[#This Row],[Reporting date]]))</f>
        <v>2007</v>
      </c>
      <c r="AD1162" s="17">
        <f>Table1[[#This Row],[Reporting year (shifted)]]-Table1[[#This Row],[Policy Year (shifted)]]</f>
        <v>1</v>
      </c>
    </row>
    <row r="1163" spans="1:30" ht="13.9">
      <c r="A1163" s="8" t="s">
        <v>2933</v>
      </c>
      <c r="B1163" s="8" t="s">
        <v>1215</v>
      </c>
      <c r="C1163" s="8" t="s">
        <v>123</v>
      </c>
      <c r="D1163" s="9">
        <v>39432</v>
      </c>
      <c r="E1163" s="9">
        <v>39739</v>
      </c>
      <c r="F1163" s="17">
        <f>IF(MONTH(Table1[[#This Row],[Loss date]])&lt;Policy_Inception_Month,YEAR(Table1[[#This Row],[Loss date]])-1,YEAR(Table1[[#This Row],[Loss date]]))</f>
        <v>2007</v>
      </c>
      <c r="G1163" s="10" t="s">
        <v>131</v>
      </c>
      <c r="H1163" s="10" t="s">
        <v>2</v>
      </c>
      <c r="I1163" s="11">
        <v>1028.6954006619301</v>
      </c>
      <c r="J1163" s="11">
        <v>0</v>
      </c>
      <c r="K1163" s="11">
        <v>1028.6954006619301</v>
      </c>
      <c r="L1163" s="12">
        <v>0</v>
      </c>
      <c r="M1163" s="12">
        <v>14.401735609267021</v>
      </c>
      <c r="N1163" s="12">
        <v>1014.2936650526631</v>
      </c>
      <c r="O1163" s="70">
        <f>IF(Table1[[#This Row],[Overall amount]]=0,0,1)</f>
        <v>1</v>
      </c>
      <c r="P1163" s="70">
        <f>Table1[[#This Row],[Overall amount]]*Exchange_Rate</f>
        <v>1014.2936650526631</v>
      </c>
      <c r="Q1163" s="70">
        <f>Table1[[#This Row],[Overall (destination currency)]]*(1+Claims_Inflation)^((Revalue_at_date-Table1[[#This Row],[Loss date]])/365.25)</f>
        <v>1483.4369999999999</v>
      </c>
      <c r="R1163" s="70">
        <f>INT(Table1[[#This Row],[Reporting date]])-INT(Table1[[#This Row],[Loss date]])</f>
        <v>307</v>
      </c>
      <c r="S1163" s="69" t="s">
        <v>9</v>
      </c>
      <c r="T1163" s="70">
        <f>VLOOKUP(Table1[[#This Row],[Policy Year]],exposure_table,3,FALSE)</f>
        <v>547.7736362475523</v>
      </c>
      <c r="U1163" s="17">
        <f>IF(MONTH(Table1[[#This Row],[Reporting date]])&lt;Policy_Inception_Month,YEAR(Table1[[#This Row],[Reporting date]])-1,YEAR(Table1[[#This Row],[Reporting date]]))</f>
        <v>2008</v>
      </c>
      <c r="V1163" s="17">
        <f>Table1[[#This Row],[Reporting year]]-Table1[[#This Row],[Policy Year]]</f>
        <v>1</v>
      </c>
      <c r="W1163" s="17">
        <f>INT(Table1[[#This Row],[Reporting date]])-INT(Table1[[#This Row],[Loss date]])</f>
        <v>307</v>
      </c>
      <c r="X1163" s="17">
        <f>INT((YEAR(Table1[[#This Row],[Loss date]])*12+MONTH(Table1[[#This Row],[Loss date]])-Earliest_Month)/4)</f>
        <v>8</v>
      </c>
      <c r="Y1163" s="17">
        <f>INT((YEAR(Table1[[#This Row],[Reporting date]])*12+MONTH(Table1[[#This Row],[Reporting date]])-Earliest_Month)/4)</f>
        <v>10</v>
      </c>
      <c r="Z1163" s="17">
        <f>Table1[[#This Row],[Reporting third]]-Table1[[#This Row],[Policy third]]</f>
        <v>2</v>
      </c>
      <c r="AA1163" s="71">
        <f>IF(Table1[[#This Row],[Overall amount]]=0,"N/A",Table1[[#This Row],[Outstanding]]/Table1[[#This Row],[Overall amount]])</f>
        <v>0</v>
      </c>
      <c r="AB1163" s="17">
        <f>IF(MONTH(Table1[[#This Row],[Loss date]])&lt;Pol_Inc_Month_Shifted,YEAR(Table1[[#This Row],[Loss date]])-1,YEAR(Table1[[#This Row],[Loss date]]))</f>
        <v>2007</v>
      </c>
      <c r="AC1163" s="17">
        <f>IF(MONTH(Table1[[#This Row],[Reporting date]])&lt;Pol_Inc_Month_Shifted,YEAR(Table1[[#This Row],[Reporting date]])-1,YEAR(Table1[[#This Row],[Reporting date]]))</f>
        <v>2007</v>
      </c>
      <c r="AD1163" s="17">
        <f>Table1[[#This Row],[Reporting year (shifted)]]-Table1[[#This Row],[Policy Year (shifted)]]</f>
        <v>0</v>
      </c>
    </row>
    <row r="1164" spans="1:30" ht="13.9">
      <c r="A1164" s="8" t="s">
        <v>2934</v>
      </c>
      <c r="B1164" s="8" t="s">
        <v>1216</v>
      </c>
      <c r="C1164" s="8" t="s">
        <v>123</v>
      </c>
      <c r="D1164" s="9">
        <v>39774</v>
      </c>
      <c r="E1164" s="9">
        <v>39997</v>
      </c>
      <c r="F1164" s="17">
        <f>IF(MONTH(Table1[[#This Row],[Loss date]])&lt;Policy_Inception_Month,YEAR(Table1[[#This Row],[Loss date]])-1,YEAR(Table1[[#This Row],[Loss date]]))</f>
        <v>2008</v>
      </c>
      <c r="G1164" s="10" t="s">
        <v>125</v>
      </c>
      <c r="H1164" s="10" t="s">
        <v>2</v>
      </c>
      <c r="I1164" s="11">
        <v>754.3520281067581</v>
      </c>
      <c r="J1164" s="11">
        <v>0</v>
      </c>
      <c r="K1164" s="11">
        <v>754.3520281067581</v>
      </c>
      <c r="L1164" s="12">
        <v>0</v>
      </c>
      <c r="M1164" s="12">
        <v>0</v>
      </c>
      <c r="N1164" s="12">
        <v>754.3520281067581</v>
      </c>
      <c r="O1164" s="70">
        <f>IF(Table1[[#This Row],[Overall amount]]=0,0,1)</f>
        <v>1</v>
      </c>
      <c r="P1164" s="70">
        <f>Table1[[#This Row],[Overall amount]]*Exchange_Rate</f>
        <v>754.3520281067581</v>
      </c>
      <c r="Q1164" s="70">
        <f>Table1[[#This Row],[Overall (destination currency)]]*(1+Claims_Inflation)^((Revalue_at_date-Table1[[#This Row],[Loss date]])/365.25)</f>
        <v>1053.9960000000001</v>
      </c>
      <c r="R1164" s="70">
        <f>INT(Table1[[#This Row],[Reporting date]])-INT(Table1[[#This Row],[Loss date]])</f>
        <v>223</v>
      </c>
      <c r="S1164" s="69" t="s">
        <v>9</v>
      </c>
      <c r="T1164" s="70">
        <f>VLOOKUP(Table1[[#This Row],[Policy Year]],exposure_table,3,FALSE)</f>
        <v>601.98581780480015</v>
      </c>
      <c r="U1164" s="17">
        <f>IF(MONTH(Table1[[#This Row],[Reporting date]])&lt;Policy_Inception_Month,YEAR(Table1[[#This Row],[Reporting date]])-1,YEAR(Table1[[#This Row],[Reporting date]]))</f>
        <v>2009</v>
      </c>
      <c r="V1164" s="17">
        <f>Table1[[#This Row],[Reporting year]]-Table1[[#This Row],[Policy Year]]</f>
        <v>1</v>
      </c>
      <c r="W1164" s="17">
        <f>INT(Table1[[#This Row],[Reporting date]])-INT(Table1[[#This Row],[Loss date]])</f>
        <v>223</v>
      </c>
      <c r="X1164" s="17">
        <f>INT((YEAR(Table1[[#This Row],[Loss date]])*12+MONTH(Table1[[#This Row],[Loss date]])-Earliest_Month)/4)</f>
        <v>10</v>
      </c>
      <c r="Y1164" s="17">
        <f>INT((YEAR(Table1[[#This Row],[Reporting date]])*12+MONTH(Table1[[#This Row],[Reporting date]])-Earliest_Month)/4)</f>
        <v>12</v>
      </c>
      <c r="Z1164" s="17">
        <f>Table1[[#This Row],[Reporting third]]-Table1[[#This Row],[Policy third]]</f>
        <v>2</v>
      </c>
      <c r="AA1164" s="71">
        <f>IF(Table1[[#This Row],[Overall amount]]=0,"N/A",Table1[[#This Row],[Outstanding]]/Table1[[#This Row],[Overall amount]])</f>
        <v>0</v>
      </c>
      <c r="AB1164" s="17">
        <f>IF(MONTH(Table1[[#This Row],[Loss date]])&lt;Pol_Inc_Month_Shifted,YEAR(Table1[[#This Row],[Loss date]])-1,YEAR(Table1[[#This Row],[Loss date]]))</f>
        <v>2007</v>
      </c>
      <c r="AC1164" s="17">
        <f>IF(MONTH(Table1[[#This Row],[Reporting date]])&lt;Pol_Inc_Month_Shifted,YEAR(Table1[[#This Row],[Reporting date]])-1,YEAR(Table1[[#This Row],[Reporting date]]))</f>
        <v>2008</v>
      </c>
      <c r="AD1164" s="17">
        <f>Table1[[#This Row],[Reporting year (shifted)]]-Table1[[#This Row],[Policy Year (shifted)]]</f>
        <v>1</v>
      </c>
    </row>
    <row r="1165" spans="1:30" ht="13.9">
      <c r="A1165" s="8" t="s">
        <v>2935</v>
      </c>
      <c r="B1165" s="8" t="s">
        <v>1217</v>
      </c>
      <c r="C1165" s="8" t="s">
        <v>123</v>
      </c>
      <c r="D1165" s="9">
        <v>38521</v>
      </c>
      <c r="E1165" s="9">
        <v>38572</v>
      </c>
      <c r="F1165" s="17">
        <f>IF(MONTH(Table1[[#This Row],[Loss date]])&lt;Policy_Inception_Month,YEAR(Table1[[#This Row],[Loss date]])-1,YEAR(Table1[[#This Row],[Loss date]]))</f>
        <v>2005</v>
      </c>
      <c r="G1165" s="10" t="s">
        <v>125</v>
      </c>
      <c r="H1165" s="10" t="s">
        <v>2</v>
      </c>
      <c r="I1165" s="11">
        <v>69.996705745980648</v>
      </c>
      <c r="J1165" s="11">
        <v>0</v>
      </c>
      <c r="K1165" s="11">
        <v>69.996705745980648</v>
      </c>
      <c r="L1165" s="12">
        <v>0</v>
      </c>
      <c r="M1165" s="12">
        <v>0</v>
      </c>
      <c r="N1165" s="12">
        <v>69.996705745980648</v>
      </c>
      <c r="O1165" s="70">
        <f>IF(Table1[[#This Row],[Overall amount]]=0,0,1)</f>
        <v>1</v>
      </c>
      <c r="P1165" s="70">
        <f>Table1[[#This Row],[Overall amount]]*Exchange_Rate</f>
        <v>69.996705745980648</v>
      </c>
      <c r="Q1165" s="70">
        <f>Table1[[#This Row],[Overall (destination currency)]]*(1+Claims_Inflation)^((Revalue_at_date-Table1[[#This Row],[Loss date]])/365.25)</f>
        <v>115.62000000000002</v>
      </c>
      <c r="R1165" s="70">
        <f>INT(Table1[[#This Row],[Reporting date]])-INT(Table1[[#This Row],[Loss date]])</f>
        <v>51</v>
      </c>
      <c r="S1165" s="69" t="s">
        <v>9</v>
      </c>
      <c r="T1165" s="70">
        <f>VLOOKUP(Table1[[#This Row],[Policy Year]],exposure_table,3,FALSE)</f>
        <v>409.50481038040112</v>
      </c>
      <c r="U1165" s="17">
        <f>IF(MONTH(Table1[[#This Row],[Reporting date]])&lt;Policy_Inception_Month,YEAR(Table1[[#This Row],[Reporting date]])-1,YEAR(Table1[[#This Row],[Reporting date]]))</f>
        <v>2005</v>
      </c>
      <c r="V1165" s="17">
        <f>Table1[[#This Row],[Reporting year]]-Table1[[#This Row],[Policy Year]]</f>
        <v>0</v>
      </c>
      <c r="W1165" s="17">
        <f>INT(Table1[[#This Row],[Reporting date]])-INT(Table1[[#This Row],[Loss date]])</f>
        <v>51</v>
      </c>
      <c r="X1165" s="17">
        <f>INT((YEAR(Table1[[#This Row],[Loss date]])*12+MONTH(Table1[[#This Row],[Loss date]])-Earliest_Month)/4)</f>
        <v>0</v>
      </c>
      <c r="Y1165" s="17">
        <f>INT((YEAR(Table1[[#This Row],[Reporting date]])*12+MONTH(Table1[[#This Row],[Reporting date]])-Earliest_Month)/4)</f>
        <v>1</v>
      </c>
      <c r="Z1165" s="17">
        <f>Table1[[#This Row],[Reporting third]]-Table1[[#This Row],[Policy third]]</f>
        <v>1</v>
      </c>
      <c r="AA1165" s="71">
        <f>IF(Table1[[#This Row],[Overall amount]]=0,"N/A",Table1[[#This Row],[Outstanding]]/Table1[[#This Row],[Overall amount]])</f>
        <v>0</v>
      </c>
      <c r="AB1165" s="17">
        <f>IF(MONTH(Table1[[#This Row],[Loss date]])&lt;Pol_Inc_Month_Shifted,YEAR(Table1[[#This Row],[Loss date]])-1,YEAR(Table1[[#This Row],[Loss date]]))</f>
        <v>2004</v>
      </c>
      <c r="AC1165" s="17">
        <f>IF(MONTH(Table1[[#This Row],[Reporting date]])&lt;Pol_Inc_Month_Shifted,YEAR(Table1[[#This Row],[Reporting date]])-1,YEAR(Table1[[#This Row],[Reporting date]]))</f>
        <v>2004</v>
      </c>
      <c r="AD1165" s="17">
        <f>Table1[[#This Row],[Reporting year (shifted)]]-Table1[[#This Row],[Policy Year (shifted)]]</f>
        <v>0</v>
      </c>
    </row>
    <row r="1166" spans="1:30" ht="13.9">
      <c r="A1166" s="8" t="s">
        <v>2936</v>
      </c>
      <c r="B1166" s="8" t="s">
        <v>1218</v>
      </c>
      <c r="C1166" s="8" t="s">
        <v>123</v>
      </c>
      <c r="D1166" s="9">
        <v>38687</v>
      </c>
      <c r="E1166" s="9">
        <v>38695</v>
      </c>
      <c r="F1166" s="17">
        <f>IF(MONTH(Table1[[#This Row],[Loss date]])&lt;Policy_Inception_Month,YEAR(Table1[[#This Row],[Loss date]])-1,YEAR(Table1[[#This Row],[Loss date]]))</f>
        <v>2005</v>
      </c>
      <c r="G1166" s="10" t="s">
        <v>126</v>
      </c>
      <c r="H1166" s="10" t="s">
        <v>2</v>
      </c>
      <c r="I1166" s="11">
        <v>502.48588217130691</v>
      </c>
      <c r="J1166" s="11">
        <v>0</v>
      </c>
      <c r="K1166" s="11">
        <v>502.48588217130691</v>
      </c>
      <c r="L1166" s="12">
        <v>0</v>
      </c>
      <c r="M1166" s="12">
        <v>0</v>
      </c>
      <c r="N1166" s="12">
        <v>502.48588217130691</v>
      </c>
      <c r="O1166" s="70">
        <f>IF(Table1[[#This Row],[Overall amount]]=0,0,1)</f>
        <v>1</v>
      </c>
      <c r="P1166" s="70">
        <f>Table1[[#This Row],[Overall amount]]*Exchange_Rate</f>
        <v>502.48588217130691</v>
      </c>
      <c r="Q1166" s="70">
        <f>Table1[[#This Row],[Overall (destination currency)]]*(1+Claims_Inflation)^((Revalue_at_date-Table1[[#This Row],[Loss date]])/365.25)</f>
        <v>811.79999999999984</v>
      </c>
      <c r="R1166" s="70">
        <f>INT(Table1[[#This Row],[Reporting date]])-INT(Table1[[#This Row],[Loss date]])</f>
        <v>8</v>
      </c>
      <c r="S1166" s="69" t="s">
        <v>9</v>
      </c>
      <c r="T1166" s="70">
        <f>VLOOKUP(Table1[[#This Row],[Policy Year]],exposure_table,3,FALSE)</f>
        <v>409.50481038040112</v>
      </c>
      <c r="U1166" s="17">
        <f>IF(MONTH(Table1[[#This Row],[Reporting date]])&lt;Policy_Inception_Month,YEAR(Table1[[#This Row],[Reporting date]])-1,YEAR(Table1[[#This Row],[Reporting date]]))</f>
        <v>2005</v>
      </c>
      <c r="V1166" s="17">
        <f>Table1[[#This Row],[Reporting year]]-Table1[[#This Row],[Policy Year]]</f>
        <v>0</v>
      </c>
      <c r="W1166" s="17">
        <f>INT(Table1[[#This Row],[Reporting date]])-INT(Table1[[#This Row],[Loss date]])</f>
        <v>8</v>
      </c>
      <c r="X1166" s="17">
        <f>INT((YEAR(Table1[[#This Row],[Loss date]])*12+MONTH(Table1[[#This Row],[Loss date]])-Earliest_Month)/4)</f>
        <v>2</v>
      </c>
      <c r="Y1166" s="17">
        <f>INT((YEAR(Table1[[#This Row],[Reporting date]])*12+MONTH(Table1[[#This Row],[Reporting date]])-Earliest_Month)/4)</f>
        <v>2</v>
      </c>
      <c r="Z1166" s="17">
        <f>Table1[[#This Row],[Reporting third]]-Table1[[#This Row],[Policy third]]</f>
        <v>0</v>
      </c>
      <c r="AA1166" s="71">
        <f>IF(Table1[[#This Row],[Overall amount]]=0,"N/A",Table1[[#This Row],[Outstanding]]/Table1[[#This Row],[Overall amount]])</f>
        <v>0</v>
      </c>
      <c r="AB1166" s="17">
        <f>IF(MONTH(Table1[[#This Row],[Loss date]])&lt;Pol_Inc_Month_Shifted,YEAR(Table1[[#This Row],[Loss date]])-1,YEAR(Table1[[#This Row],[Loss date]]))</f>
        <v>2005</v>
      </c>
      <c r="AC1166" s="17">
        <f>IF(MONTH(Table1[[#This Row],[Reporting date]])&lt;Pol_Inc_Month_Shifted,YEAR(Table1[[#This Row],[Reporting date]])-1,YEAR(Table1[[#This Row],[Reporting date]]))</f>
        <v>2005</v>
      </c>
      <c r="AD1166" s="17">
        <f>Table1[[#This Row],[Reporting year (shifted)]]-Table1[[#This Row],[Policy Year (shifted)]]</f>
        <v>0</v>
      </c>
    </row>
    <row r="1167" spans="1:30" ht="13.9">
      <c r="A1167" s="8" t="s">
        <v>2937</v>
      </c>
      <c r="B1167" s="8" t="s">
        <v>1219</v>
      </c>
      <c r="C1167" s="8" t="s">
        <v>123</v>
      </c>
      <c r="D1167" s="9">
        <v>39028</v>
      </c>
      <c r="E1167" s="9">
        <v>39038</v>
      </c>
      <c r="F1167" s="17">
        <f>IF(MONTH(Table1[[#This Row],[Loss date]])&lt;Policy_Inception_Month,YEAR(Table1[[#This Row],[Loss date]])-1,YEAR(Table1[[#This Row],[Loss date]]))</f>
        <v>2006</v>
      </c>
      <c r="G1167" s="10" t="s">
        <v>125</v>
      </c>
      <c r="H1167" s="10" t="s">
        <v>2</v>
      </c>
      <c r="I1167" s="11">
        <v>685.26864452079371</v>
      </c>
      <c r="J1167" s="11">
        <v>0</v>
      </c>
      <c r="K1167" s="11">
        <v>685.26864452079371</v>
      </c>
      <c r="L1167" s="12">
        <v>0</v>
      </c>
      <c r="M1167" s="12">
        <v>45.912999182893181</v>
      </c>
      <c r="N1167" s="12">
        <v>639.35564533790057</v>
      </c>
      <c r="O1167" s="70">
        <f>IF(Table1[[#This Row],[Overall amount]]=0,0,1)</f>
        <v>1</v>
      </c>
      <c r="P1167" s="70">
        <f>Table1[[#This Row],[Overall amount]]*Exchange_Rate</f>
        <v>639.35564533790057</v>
      </c>
      <c r="Q1167" s="70">
        <f>Table1[[#This Row],[Overall (destination currency)]]*(1+Claims_Inflation)^((Revalue_at_date-Table1[[#This Row],[Loss date]])/365.25)</f>
        <v>986.92740000000003</v>
      </c>
      <c r="R1167" s="70">
        <f>INT(Table1[[#This Row],[Reporting date]])-INT(Table1[[#This Row],[Loss date]])</f>
        <v>10</v>
      </c>
      <c r="S1167" s="69" t="s">
        <v>9</v>
      </c>
      <c r="T1167" s="70">
        <f>VLOOKUP(Table1[[#This Row],[Policy Year]],exposure_table,3,FALSE)</f>
        <v>483.32023209000977</v>
      </c>
      <c r="U1167" s="17">
        <f>IF(MONTH(Table1[[#This Row],[Reporting date]])&lt;Policy_Inception_Month,YEAR(Table1[[#This Row],[Reporting date]])-1,YEAR(Table1[[#This Row],[Reporting date]]))</f>
        <v>2006</v>
      </c>
      <c r="V1167" s="17">
        <f>Table1[[#This Row],[Reporting year]]-Table1[[#This Row],[Policy Year]]</f>
        <v>0</v>
      </c>
      <c r="W1167" s="17">
        <f>INT(Table1[[#This Row],[Reporting date]])-INT(Table1[[#This Row],[Loss date]])</f>
        <v>10</v>
      </c>
      <c r="X1167" s="17">
        <f>INT((YEAR(Table1[[#This Row],[Loss date]])*12+MONTH(Table1[[#This Row],[Loss date]])-Earliest_Month)/4)</f>
        <v>4</v>
      </c>
      <c r="Y1167" s="17">
        <f>INT((YEAR(Table1[[#This Row],[Reporting date]])*12+MONTH(Table1[[#This Row],[Reporting date]])-Earliest_Month)/4)</f>
        <v>4</v>
      </c>
      <c r="Z1167" s="17">
        <f>Table1[[#This Row],[Reporting third]]-Table1[[#This Row],[Policy third]]</f>
        <v>0</v>
      </c>
      <c r="AA1167" s="71">
        <f>IF(Table1[[#This Row],[Overall amount]]=0,"N/A",Table1[[#This Row],[Outstanding]]/Table1[[#This Row],[Overall amount]])</f>
        <v>0</v>
      </c>
      <c r="AB1167" s="17">
        <f>IF(MONTH(Table1[[#This Row],[Loss date]])&lt;Pol_Inc_Month_Shifted,YEAR(Table1[[#This Row],[Loss date]])-1,YEAR(Table1[[#This Row],[Loss date]]))</f>
        <v>2005</v>
      </c>
      <c r="AC1167" s="17">
        <f>IF(MONTH(Table1[[#This Row],[Reporting date]])&lt;Pol_Inc_Month_Shifted,YEAR(Table1[[#This Row],[Reporting date]])-1,YEAR(Table1[[#This Row],[Reporting date]]))</f>
        <v>2005</v>
      </c>
      <c r="AD1167" s="17">
        <f>Table1[[#This Row],[Reporting year (shifted)]]-Table1[[#This Row],[Policy Year (shifted)]]</f>
        <v>0</v>
      </c>
    </row>
    <row r="1168" spans="1:30" ht="13.9">
      <c r="A1168" s="8" t="s">
        <v>2938</v>
      </c>
      <c r="B1168" s="8" t="s">
        <v>1220</v>
      </c>
      <c r="C1168" s="8" t="s">
        <v>123</v>
      </c>
      <c r="D1168" s="9">
        <v>38996</v>
      </c>
      <c r="E1168" s="9">
        <v>39109</v>
      </c>
      <c r="F1168" s="17">
        <f>IF(MONTH(Table1[[#This Row],[Loss date]])&lt;Policy_Inception_Month,YEAR(Table1[[#This Row],[Loss date]])-1,YEAR(Table1[[#This Row],[Loss date]]))</f>
        <v>2006</v>
      </c>
      <c r="G1168" s="10" t="s">
        <v>124</v>
      </c>
      <c r="H1168" s="10" t="s">
        <v>2</v>
      </c>
      <c r="I1168" s="11">
        <v>1126.6637808714418</v>
      </c>
      <c r="J1168" s="11">
        <v>0</v>
      </c>
      <c r="K1168" s="11">
        <v>1126.6637808714418</v>
      </c>
      <c r="L1168" s="12">
        <v>0</v>
      </c>
      <c r="M1168" s="12">
        <v>0</v>
      </c>
      <c r="N1168" s="12">
        <v>1126.6637808714418</v>
      </c>
      <c r="O1168" s="70">
        <f>IF(Table1[[#This Row],[Overall amount]]=0,0,1)</f>
        <v>1</v>
      </c>
      <c r="P1168" s="70">
        <f>Table1[[#This Row],[Overall amount]]*Exchange_Rate</f>
        <v>1126.6637808714418</v>
      </c>
      <c r="Q1168" s="70">
        <f>Table1[[#This Row],[Overall (destination currency)]]*(1+Claims_Inflation)^((Revalue_at_date-Table1[[#This Row],[Loss date]])/365.25)</f>
        <v>1746.6000000000001</v>
      </c>
      <c r="R1168" s="70">
        <f>INT(Table1[[#This Row],[Reporting date]])-INT(Table1[[#This Row],[Loss date]])</f>
        <v>113</v>
      </c>
      <c r="S1168" s="69" t="s">
        <v>9</v>
      </c>
      <c r="T1168" s="70">
        <f>VLOOKUP(Table1[[#This Row],[Policy Year]],exposure_table,3,FALSE)</f>
        <v>483.32023209000977</v>
      </c>
      <c r="U1168" s="17">
        <f>IF(MONTH(Table1[[#This Row],[Reporting date]])&lt;Policy_Inception_Month,YEAR(Table1[[#This Row],[Reporting date]])-1,YEAR(Table1[[#This Row],[Reporting date]]))</f>
        <v>2006</v>
      </c>
      <c r="V1168" s="17">
        <f>Table1[[#This Row],[Reporting year]]-Table1[[#This Row],[Policy Year]]</f>
        <v>0</v>
      </c>
      <c r="W1168" s="17">
        <f>INT(Table1[[#This Row],[Reporting date]])-INT(Table1[[#This Row],[Loss date]])</f>
        <v>113</v>
      </c>
      <c r="X1168" s="17">
        <f>INT((YEAR(Table1[[#This Row],[Loss date]])*12+MONTH(Table1[[#This Row],[Loss date]])-Earliest_Month)/4)</f>
        <v>4</v>
      </c>
      <c r="Y1168" s="17">
        <f>INT((YEAR(Table1[[#This Row],[Reporting date]])*12+MONTH(Table1[[#This Row],[Reporting date]])-Earliest_Month)/4)</f>
        <v>5</v>
      </c>
      <c r="Z1168" s="17">
        <f>Table1[[#This Row],[Reporting third]]-Table1[[#This Row],[Policy third]]</f>
        <v>1</v>
      </c>
      <c r="AA1168" s="71">
        <f>IF(Table1[[#This Row],[Overall amount]]=0,"N/A",Table1[[#This Row],[Outstanding]]/Table1[[#This Row],[Overall amount]])</f>
        <v>0</v>
      </c>
      <c r="AB1168" s="17">
        <f>IF(MONTH(Table1[[#This Row],[Loss date]])&lt;Pol_Inc_Month_Shifted,YEAR(Table1[[#This Row],[Loss date]])-1,YEAR(Table1[[#This Row],[Loss date]]))</f>
        <v>2005</v>
      </c>
      <c r="AC1168" s="17">
        <f>IF(MONTH(Table1[[#This Row],[Reporting date]])&lt;Pol_Inc_Month_Shifted,YEAR(Table1[[#This Row],[Reporting date]])-1,YEAR(Table1[[#This Row],[Reporting date]]))</f>
        <v>2006</v>
      </c>
      <c r="AD1168" s="17">
        <f>Table1[[#This Row],[Reporting year (shifted)]]-Table1[[#This Row],[Policy Year (shifted)]]</f>
        <v>1</v>
      </c>
    </row>
    <row r="1169" spans="1:30" ht="13.9">
      <c r="A1169" s="8" t="s">
        <v>2939</v>
      </c>
      <c r="B1169" s="8" t="s">
        <v>1221</v>
      </c>
      <c r="C1169" s="8" t="s">
        <v>123</v>
      </c>
      <c r="D1169" s="9">
        <v>39648</v>
      </c>
      <c r="E1169" s="9">
        <v>39741</v>
      </c>
      <c r="F1169" s="17">
        <f>IF(MONTH(Table1[[#This Row],[Loss date]])&lt;Policy_Inception_Month,YEAR(Table1[[#This Row],[Loss date]])-1,YEAR(Table1[[#This Row],[Loss date]]))</f>
        <v>2008</v>
      </c>
      <c r="G1169" s="10" t="s">
        <v>126</v>
      </c>
      <c r="H1169" s="10" t="s">
        <v>2</v>
      </c>
      <c r="I1169" s="11">
        <v>11103.733455352185</v>
      </c>
      <c r="J1169" s="11">
        <v>0</v>
      </c>
      <c r="K1169" s="11">
        <v>11103.733455352185</v>
      </c>
      <c r="L1169" s="12">
        <v>0</v>
      </c>
      <c r="M1169" s="12">
        <v>0</v>
      </c>
      <c r="N1169" s="12">
        <v>11103.733455352185</v>
      </c>
      <c r="O1169" s="70">
        <f>IF(Table1[[#This Row],[Overall amount]]=0,0,1)</f>
        <v>1</v>
      </c>
      <c r="P1169" s="70">
        <f>Table1[[#This Row],[Overall amount]]*Exchange_Rate</f>
        <v>11103.733455352185</v>
      </c>
      <c r="Q1169" s="70">
        <f>Table1[[#This Row],[Overall (destination currency)]]*(1+Claims_Inflation)^((Revalue_at_date-Table1[[#This Row],[Loss date]])/365.25)</f>
        <v>15777.696</v>
      </c>
      <c r="R1169" s="70">
        <f>INT(Table1[[#This Row],[Reporting date]])-INT(Table1[[#This Row],[Loss date]])</f>
        <v>93</v>
      </c>
      <c r="S1169" s="69" t="s">
        <v>9</v>
      </c>
      <c r="T1169" s="70">
        <f>VLOOKUP(Table1[[#This Row],[Policy Year]],exposure_table,3,FALSE)</f>
        <v>601.98581780480015</v>
      </c>
      <c r="U1169" s="17">
        <f>IF(MONTH(Table1[[#This Row],[Reporting date]])&lt;Policy_Inception_Month,YEAR(Table1[[#This Row],[Reporting date]])-1,YEAR(Table1[[#This Row],[Reporting date]]))</f>
        <v>2008</v>
      </c>
      <c r="V1169" s="17">
        <f>Table1[[#This Row],[Reporting year]]-Table1[[#This Row],[Policy Year]]</f>
        <v>0</v>
      </c>
      <c r="W1169" s="17">
        <f>INT(Table1[[#This Row],[Reporting date]])-INT(Table1[[#This Row],[Loss date]])</f>
        <v>93</v>
      </c>
      <c r="X1169" s="17">
        <f>INT((YEAR(Table1[[#This Row],[Loss date]])*12+MONTH(Table1[[#This Row],[Loss date]])-Earliest_Month)/4)</f>
        <v>9</v>
      </c>
      <c r="Y1169" s="17">
        <f>INT((YEAR(Table1[[#This Row],[Reporting date]])*12+MONTH(Table1[[#This Row],[Reporting date]])-Earliest_Month)/4)</f>
        <v>10</v>
      </c>
      <c r="Z1169" s="17">
        <f>Table1[[#This Row],[Reporting third]]-Table1[[#This Row],[Policy third]]</f>
        <v>1</v>
      </c>
      <c r="AA1169" s="71">
        <f>IF(Table1[[#This Row],[Overall amount]]=0,"N/A",Table1[[#This Row],[Outstanding]]/Table1[[#This Row],[Overall amount]])</f>
        <v>0</v>
      </c>
      <c r="AB1169" s="17">
        <f>IF(MONTH(Table1[[#This Row],[Loss date]])&lt;Pol_Inc_Month_Shifted,YEAR(Table1[[#This Row],[Loss date]])-1,YEAR(Table1[[#This Row],[Loss date]]))</f>
        <v>2007</v>
      </c>
      <c r="AC1169" s="17">
        <f>IF(MONTH(Table1[[#This Row],[Reporting date]])&lt;Pol_Inc_Month_Shifted,YEAR(Table1[[#This Row],[Reporting date]])-1,YEAR(Table1[[#This Row],[Reporting date]]))</f>
        <v>2007</v>
      </c>
      <c r="AD1169" s="17">
        <f>Table1[[#This Row],[Reporting year (shifted)]]-Table1[[#This Row],[Policy Year (shifted)]]</f>
        <v>0</v>
      </c>
    </row>
    <row r="1170" spans="1:30" ht="13.9">
      <c r="A1170" s="8" t="s">
        <v>2940</v>
      </c>
      <c r="B1170" s="8" t="s">
        <v>1222</v>
      </c>
      <c r="C1170" s="8" t="s">
        <v>123</v>
      </c>
      <c r="D1170" s="9">
        <v>39544</v>
      </c>
      <c r="E1170" s="9">
        <v>39844</v>
      </c>
      <c r="F1170" s="17">
        <f>IF(MONTH(Table1[[#This Row],[Loss date]])&lt;Policy_Inception_Month,YEAR(Table1[[#This Row],[Loss date]])-1,YEAR(Table1[[#This Row],[Loss date]]))</f>
        <v>2008</v>
      </c>
      <c r="G1170" s="10" t="s">
        <v>131</v>
      </c>
      <c r="H1170" s="10" t="s">
        <v>2</v>
      </c>
      <c r="I1170" s="11">
        <v>4247.5989008225024</v>
      </c>
      <c r="J1170" s="11">
        <v>0</v>
      </c>
      <c r="K1170" s="11">
        <v>4247.5989008225024</v>
      </c>
      <c r="L1170" s="12">
        <v>0</v>
      </c>
      <c r="M1170" s="12">
        <v>0</v>
      </c>
      <c r="N1170" s="12">
        <v>4247.5989008225024</v>
      </c>
      <c r="O1170" s="70">
        <f>IF(Table1[[#This Row],[Overall amount]]=0,0,1)</f>
        <v>1</v>
      </c>
      <c r="P1170" s="70">
        <f>Table1[[#This Row],[Overall amount]]*Exchange_Rate</f>
        <v>4247.5989008225024</v>
      </c>
      <c r="Q1170" s="70">
        <f>Table1[[#This Row],[Overall (destination currency)]]*(1+Claims_Inflation)^((Revalue_at_date-Table1[[#This Row],[Loss date]])/365.25)</f>
        <v>6120</v>
      </c>
      <c r="R1170" s="70">
        <f>INT(Table1[[#This Row],[Reporting date]])-INT(Table1[[#This Row],[Loss date]])</f>
        <v>300</v>
      </c>
      <c r="S1170" s="69" t="s">
        <v>9</v>
      </c>
      <c r="T1170" s="70">
        <f>VLOOKUP(Table1[[#This Row],[Policy Year]],exposure_table,3,FALSE)</f>
        <v>601.98581780480015</v>
      </c>
      <c r="U1170" s="17">
        <f>IF(MONTH(Table1[[#This Row],[Reporting date]])&lt;Policy_Inception_Month,YEAR(Table1[[#This Row],[Reporting date]])-1,YEAR(Table1[[#This Row],[Reporting date]]))</f>
        <v>2008</v>
      </c>
      <c r="V1170" s="17">
        <f>Table1[[#This Row],[Reporting year]]-Table1[[#This Row],[Policy Year]]</f>
        <v>0</v>
      </c>
      <c r="W1170" s="17">
        <f>INT(Table1[[#This Row],[Reporting date]])-INT(Table1[[#This Row],[Loss date]])</f>
        <v>300</v>
      </c>
      <c r="X1170" s="17">
        <f>INT((YEAR(Table1[[#This Row],[Loss date]])*12+MONTH(Table1[[#This Row],[Loss date]])-Earliest_Month)/4)</f>
        <v>9</v>
      </c>
      <c r="Y1170" s="17">
        <f>INT((YEAR(Table1[[#This Row],[Reporting date]])*12+MONTH(Table1[[#This Row],[Reporting date]])-Earliest_Month)/4)</f>
        <v>11</v>
      </c>
      <c r="Z1170" s="17">
        <f>Table1[[#This Row],[Reporting third]]-Table1[[#This Row],[Policy third]]</f>
        <v>2</v>
      </c>
      <c r="AA1170" s="71">
        <f>IF(Table1[[#This Row],[Overall amount]]=0,"N/A",Table1[[#This Row],[Outstanding]]/Table1[[#This Row],[Overall amount]])</f>
        <v>0</v>
      </c>
      <c r="AB1170" s="17">
        <f>IF(MONTH(Table1[[#This Row],[Loss date]])&lt;Pol_Inc_Month_Shifted,YEAR(Table1[[#This Row],[Loss date]])-1,YEAR(Table1[[#This Row],[Loss date]]))</f>
        <v>2007</v>
      </c>
      <c r="AC1170" s="17">
        <f>IF(MONTH(Table1[[#This Row],[Reporting date]])&lt;Pol_Inc_Month_Shifted,YEAR(Table1[[#This Row],[Reporting date]])-1,YEAR(Table1[[#This Row],[Reporting date]]))</f>
        <v>2008</v>
      </c>
      <c r="AD1170" s="17">
        <f>Table1[[#This Row],[Reporting year (shifted)]]-Table1[[#This Row],[Policy Year (shifted)]]</f>
        <v>1</v>
      </c>
    </row>
    <row r="1171" spans="1:30" ht="13.9">
      <c r="A1171" s="8" t="s">
        <v>2941</v>
      </c>
      <c r="B1171" s="8" t="s">
        <v>1223</v>
      </c>
      <c r="C1171" s="8" t="s">
        <v>123</v>
      </c>
      <c r="D1171" s="9">
        <v>39014</v>
      </c>
      <c r="E1171" s="9">
        <v>39041</v>
      </c>
      <c r="F1171" s="17">
        <f>IF(MONTH(Table1[[#This Row],[Loss date]])&lt;Policy_Inception_Month,YEAR(Table1[[#This Row],[Loss date]])-1,YEAR(Table1[[#This Row],[Loss date]]))</f>
        <v>2006</v>
      </c>
      <c r="G1171" s="10" t="s">
        <v>126</v>
      </c>
      <c r="H1171" s="10" t="s">
        <v>2</v>
      </c>
      <c r="I1171" s="11">
        <v>413.57432436160809</v>
      </c>
      <c r="J1171" s="11">
        <v>0</v>
      </c>
      <c r="K1171" s="11">
        <v>413.57432436160809</v>
      </c>
      <c r="L1171" s="12">
        <v>0</v>
      </c>
      <c r="M1171" s="12">
        <v>0</v>
      </c>
      <c r="N1171" s="12">
        <v>413.57432436160809</v>
      </c>
      <c r="O1171" s="70">
        <f>IF(Table1[[#This Row],[Overall amount]]=0,0,1)</f>
        <v>1</v>
      </c>
      <c r="P1171" s="70">
        <f>Table1[[#This Row],[Overall amount]]*Exchange_Rate</f>
        <v>413.57432436160809</v>
      </c>
      <c r="Q1171" s="70">
        <f>Table1[[#This Row],[Overall (destination currency)]]*(1+Claims_Inflation)^((Revalue_at_date-Table1[[#This Row],[Loss date]])/365.25)</f>
        <v>639.6</v>
      </c>
      <c r="R1171" s="70">
        <f>INT(Table1[[#This Row],[Reporting date]])-INT(Table1[[#This Row],[Loss date]])</f>
        <v>27</v>
      </c>
      <c r="S1171" s="69" t="s">
        <v>9</v>
      </c>
      <c r="T1171" s="70">
        <f>VLOOKUP(Table1[[#This Row],[Policy Year]],exposure_table,3,FALSE)</f>
        <v>483.32023209000977</v>
      </c>
      <c r="U1171" s="17">
        <f>IF(MONTH(Table1[[#This Row],[Reporting date]])&lt;Policy_Inception_Month,YEAR(Table1[[#This Row],[Reporting date]])-1,YEAR(Table1[[#This Row],[Reporting date]]))</f>
        <v>2006</v>
      </c>
      <c r="V1171" s="17">
        <f>Table1[[#This Row],[Reporting year]]-Table1[[#This Row],[Policy Year]]</f>
        <v>0</v>
      </c>
      <c r="W1171" s="17">
        <f>INT(Table1[[#This Row],[Reporting date]])-INT(Table1[[#This Row],[Loss date]])</f>
        <v>27</v>
      </c>
      <c r="X1171" s="17">
        <f>INT((YEAR(Table1[[#This Row],[Loss date]])*12+MONTH(Table1[[#This Row],[Loss date]])-Earliest_Month)/4)</f>
        <v>4</v>
      </c>
      <c r="Y1171" s="17">
        <f>INT((YEAR(Table1[[#This Row],[Reporting date]])*12+MONTH(Table1[[#This Row],[Reporting date]])-Earliest_Month)/4)</f>
        <v>4</v>
      </c>
      <c r="Z1171" s="17">
        <f>Table1[[#This Row],[Reporting third]]-Table1[[#This Row],[Policy third]]</f>
        <v>0</v>
      </c>
      <c r="AA1171" s="71">
        <f>IF(Table1[[#This Row],[Overall amount]]=0,"N/A",Table1[[#This Row],[Outstanding]]/Table1[[#This Row],[Overall amount]])</f>
        <v>0</v>
      </c>
      <c r="AB1171" s="17">
        <f>IF(MONTH(Table1[[#This Row],[Loss date]])&lt;Pol_Inc_Month_Shifted,YEAR(Table1[[#This Row],[Loss date]])-1,YEAR(Table1[[#This Row],[Loss date]]))</f>
        <v>2005</v>
      </c>
      <c r="AC1171" s="17">
        <f>IF(MONTH(Table1[[#This Row],[Reporting date]])&lt;Pol_Inc_Month_Shifted,YEAR(Table1[[#This Row],[Reporting date]])-1,YEAR(Table1[[#This Row],[Reporting date]]))</f>
        <v>2005</v>
      </c>
      <c r="AD1171" s="17">
        <f>Table1[[#This Row],[Reporting year (shifted)]]-Table1[[#This Row],[Policy Year (shifted)]]</f>
        <v>0</v>
      </c>
    </row>
    <row r="1172" spans="1:30" ht="13.9">
      <c r="A1172" s="8" t="s">
        <v>2942</v>
      </c>
      <c r="B1172" s="8" t="s">
        <v>1224</v>
      </c>
      <c r="C1172" s="8" t="s">
        <v>123</v>
      </c>
      <c r="D1172" s="9">
        <v>39825</v>
      </c>
      <c r="E1172" s="9">
        <v>39929</v>
      </c>
      <c r="F1172" s="17">
        <f>IF(MONTH(Table1[[#This Row],[Loss date]])&lt;Policy_Inception_Month,YEAR(Table1[[#This Row],[Loss date]])-1,YEAR(Table1[[#This Row],[Loss date]]))</f>
        <v>2008</v>
      </c>
      <c r="G1172" s="10" t="s">
        <v>126</v>
      </c>
      <c r="H1172" s="10" t="s">
        <v>2</v>
      </c>
      <c r="I1172" s="11">
        <v>12891.724161767723</v>
      </c>
      <c r="J1172" s="11">
        <v>0</v>
      </c>
      <c r="K1172" s="11">
        <v>12891.724161767723</v>
      </c>
      <c r="L1172" s="12">
        <v>0</v>
      </c>
      <c r="M1172" s="12">
        <v>219.15931075005128</v>
      </c>
      <c r="N1172" s="12">
        <v>12672.564851017671</v>
      </c>
      <c r="O1172" s="70">
        <f>IF(Table1[[#This Row],[Overall amount]]=0,0,1)</f>
        <v>1</v>
      </c>
      <c r="P1172" s="70">
        <f>Table1[[#This Row],[Overall amount]]*Exchange_Rate</f>
        <v>12672.564851017671</v>
      </c>
      <c r="Q1172" s="70">
        <f>Table1[[#This Row],[Overall (destination currency)]]*(1+Claims_Inflation)^((Revalue_at_date-Table1[[#This Row],[Loss date]])/365.25)</f>
        <v>17586.149172000001</v>
      </c>
      <c r="R1172" s="70">
        <f>INT(Table1[[#This Row],[Reporting date]])-INT(Table1[[#This Row],[Loss date]])</f>
        <v>104</v>
      </c>
      <c r="S1172" s="69" t="s">
        <v>9</v>
      </c>
      <c r="T1172" s="70">
        <f>VLOOKUP(Table1[[#This Row],[Policy Year]],exposure_table,3,FALSE)</f>
        <v>601.98581780480015</v>
      </c>
      <c r="U1172" s="17">
        <f>IF(MONTH(Table1[[#This Row],[Reporting date]])&lt;Policy_Inception_Month,YEAR(Table1[[#This Row],[Reporting date]])-1,YEAR(Table1[[#This Row],[Reporting date]]))</f>
        <v>2009</v>
      </c>
      <c r="V1172" s="17">
        <f>Table1[[#This Row],[Reporting year]]-Table1[[#This Row],[Policy Year]]</f>
        <v>1</v>
      </c>
      <c r="W1172" s="17">
        <f>INT(Table1[[#This Row],[Reporting date]])-INT(Table1[[#This Row],[Loss date]])</f>
        <v>104</v>
      </c>
      <c r="X1172" s="17">
        <f>INT((YEAR(Table1[[#This Row],[Loss date]])*12+MONTH(Table1[[#This Row],[Loss date]])-Earliest_Month)/4)</f>
        <v>11</v>
      </c>
      <c r="Y1172" s="17">
        <f>INT((YEAR(Table1[[#This Row],[Reporting date]])*12+MONTH(Table1[[#This Row],[Reporting date]])-Earliest_Month)/4)</f>
        <v>12</v>
      </c>
      <c r="Z1172" s="17">
        <f>Table1[[#This Row],[Reporting third]]-Table1[[#This Row],[Policy third]]</f>
        <v>1</v>
      </c>
      <c r="AA1172" s="71">
        <f>IF(Table1[[#This Row],[Overall amount]]=0,"N/A",Table1[[#This Row],[Outstanding]]/Table1[[#This Row],[Overall amount]])</f>
        <v>0</v>
      </c>
      <c r="AB1172" s="17">
        <f>IF(MONTH(Table1[[#This Row],[Loss date]])&lt;Pol_Inc_Month_Shifted,YEAR(Table1[[#This Row],[Loss date]])-1,YEAR(Table1[[#This Row],[Loss date]]))</f>
        <v>2008</v>
      </c>
      <c r="AC1172" s="17">
        <f>IF(MONTH(Table1[[#This Row],[Reporting date]])&lt;Pol_Inc_Month_Shifted,YEAR(Table1[[#This Row],[Reporting date]])-1,YEAR(Table1[[#This Row],[Reporting date]]))</f>
        <v>2008</v>
      </c>
      <c r="AD1172" s="17">
        <f>Table1[[#This Row],[Reporting year (shifted)]]-Table1[[#This Row],[Policy Year (shifted)]]</f>
        <v>0</v>
      </c>
    </row>
    <row r="1173" spans="1:30" ht="13.9">
      <c r="A1173" s="8" t="s">
        <v>2943</v>
      </c>
      <c r="B1173" s="8" t="s">
        <v>1225</v>
      </c>
      <c r="C1173" s="8" t="s">
        <v>123</v>
      </c>
      <c r="D1173" s="9">
        <v>39963</v>
      </c>
      <c r="E1173" s="9">
        <v>40004</v>
      </c>
      <c r="F1173" s="17">
        <f>IF(MONTH(Table1[[#This Row],[Loss date]])&lt;Policy_Inception_Month,YEAR(Table1[[#This Row],[Loss date]])-1,YEAR(Table1[[#This Row],[Loss date]]))</f>
        <v>2009</v>
      </c>
      <c r="G1173" s="10" t="s">
        <v>126</v>
      </c>
      <c r="H1173" s="10" t="s">
        <v>2</v>
      </c>
      <c r="I1173" s="11">
        <v>1392.1156927453894</v>
      </c>
      <c r="J1173" s="11">
        <v>0</v>
      </c>
      <c r="K1173" s="11">
        <v>1392.1156927453894</v>
      </c>
      <c r="L1173" s="12">
        <v>0</v>
      </c>
      <c r="M1173" s="12">
        <v>0</v>
      </c>
      <c r="N1173" s="12">
        <v>1392.1156927453894</v>
      </c>
      <c r="O1173" s="70">
        <f>IF(Table1[[#This Row],[Overall amount]]=0,0,1)</f>
        <v>1</v>
      </c>
      <c r="P1173" s="70">
        <f>Table1[[#This Row],[Overall amount]]*Exchange_Rate</f>
        <v>1392.1156927453894</v>
      </c>
      <c r="Q1173" s="70">
        <f>Table1[[#This Row],[Overall (destination currency)]]*(1+Claims_Inflation)^((Revalue_at_date-Table1[[#This Row],[Loss date]])/365.25)</f>
        <v>1896.6000000000001</v>
      </c>
      <c r="R1173" s="70">
        <f>INT(Table1[[#This Row],[Reporting date]])-INT(Table1[[#This Row],[Loss date]])</f>
        <v>41</v>
      </c>
      <c r="S1173" s="69" t="s">
        <v>9</v>
      </c>
      <c r="T1173" s="70">
        <f>VLOOKUP(Table1[[#This Row],[Policy Year]],exposure_table,3,FALSE)</f>
        <v>760.22808576000011</v>
      </c>
      <c r="U1173" s="17">
        <f>IF(MONTH(Table1[[#This Row],[Reporting date]])&lt;Policy_Inception_Month,YEAR(Table1[[#This Row],[Reporting date]])-1,YEAR(Table1[[#This Row],[Reporting date]]))</f>
        <v>2009</v>
      </c>
      <c r="V1173" s="17">
        <f>Table1[[#This Row],[Reporting year]]-Table1[[#This Row],[Policy Year]]</f>
        <v>0</v>
      </c>
      <c r="W1173" s="17">
        <f>INT(Table1[[#This Row],[Reporting date]])-INT(Table1[[#This Row],[Loss date]])</f>
        <v>41</v>
      </c>
      <c r="X1173" s="17">
        <f>INT((YEAR(Table1[[#This Row],[Loss date]])*12+MONTH(Table1[[#This Row],[Loss date]])-Earliest_Month)/4)</f>
        <v>12</v>
      </c>
      <c r="Y1173" s="17">
        <f>INT((YEAR(Table1[[#This Row],[Reporting date]])*12+MONTH(Table1[[#This Row],[Reporting date]])-Earliest_Month)/4)</f>
        <v>12</v>
      </c>
      <c r="Z1173" s="17">
        <f>Table1[[#This Row],[Reporting third]]-Table1[[#This Row],[Policy third]]</f>
        <v>0</v>
      </c>
      <c r="AA1173" s="71">
        <f>IF(Table1[[#This Row],[Overall amount]]=0,"N/A",Table1[[#This Row],[Outstanding]]/Table1[[#This Row],[Overall amount]])</f>
        <v>0</v>
      </c>
      <c r="AB1173" s="17">
        <f>IF(MONTH(Table1[[#This Row],[Loss date]])&lt;Pol_Inc_Month_Shifted,YEAR(Table1[[#This Row],[Loss date]])-1,YEAR(Table1[[#This Row],[Loss date]]))</f>
        <v>2008</v>
      </c>
      <c r="AC1173" s="17">
        <f>IF(MONTH(Table1[[#This Row],[Reporting date]])&lt;Pol_Inc_Month_Shifted,YEAR(Table1[[#This Row],[Reporting date]])-1,YEAR(Table1[[#This Row],[Reporting date]]))</f>
        <v>2008</v>
      </c>
      <c r="AD1173" s="17">
        <f>Table1[[#This Row],[Reporting year (shifted)]]-Table1[[#This Row],[Policy Year (shifted)]]</f>
        <v>0</v>
      </c>
    </row>
    <row r="1174" spans="1:30" ht="13.9">
      <c r="A1174" s="8" t="s">
        <v>2944</v>
      </c>
      <c r="B1174" s="8" t="s">
        <v>1226</v>
      </c>
      <c r="C1174" s="8" t="s">
        <v>123</v>
      </c>
      <c r="D1174" s="9">
        <v>40035</v>
      </c>
      <c r="E1174" s="9">
        <v>40056</v>
      </c>
      <c r="F1174" s="17">
        <f>IF(MONTH(Table1[[#This Row],[Loss date]])&lt;Policy_Inception_Month,YEAR(Table1[[#This Row],[Loss date]])-1,YEAR(Table1[[#This Row],[Loss date]]))</f>
        <v>2009</v>
      </c>
      <c r="G1174" s="10" t="s">
        <v>126</v>
      </c>
      <c r="H1174" s="10" t="s">
        <v>2</v>
      </c>
      <c r="I1174" s="11">
        <v>1225.0374979130374</v>
      </c>
      <c r="J1174" s="11">
        <v>0</v>
      </c>
      <c r="K1174" s="11">
        <v>1225.0374979130374</v>
      </c>
      <c r="L1174" s="12">
        <v>0</v>
      </c>
      <c r="M1174" s="12">
        <v>0</v>
      </c>
      <c r="N1174" s="12">
        <v>1225.0374979130374</v>
      </c>
      <c r="O1174" s="70">
        <f>IF(Table1[[#This Row],[Overall amount]]=0,0,1)</f>
        <v>1</v>
      </c>
      <c r="P1174" s="70">
        <f>Table1[[#This Row],[Overall amount]]*Exchange_Rate</f>
        <v>1225.0374979130374</v>
      </c>
      <c r="Q1174" s="70">
        <f>Table1[[#This Row],[Overall (destination currency)]]*(1+Claims_Inflation)^((Revalue_at_date-Table1[[#This Row],[Loss date]])/365.25)</f>
        <v>1653</v>
      </c>
      <c r="R1174" s="70">
        <f>INT(Table1[[#This Row],[Reporting date]])-INT(Table1[[#This Row],[Loss date]])</f>
        <v>21</v>
      </c>
      <c r="S1174" s="69" t="s">
        <v>9</v>
      </c>
      <c r="T1174" s="70">
        <f>VLOOKUP(Table1[[#This Row],[Policy Year]],exposure_table,3,FALSE)</f>
        <v>760.22808576000011</v>
      </c>
      <c r="U1174" s="17">
        <f>IF(MONTH(Table1[[#This Row],[Reporting date]])&lt;Policy_Inception_Month,YEAR(Table1[[#This Row],[Reporting date]])-1,YEAR(Table1[[#This Row],[Reporting date]]))</f>
        <v>2009</v>
      </c>
      <c r="V1174" s="17">
        <f>Table1[[#This Row],[Reporting year]]-Table1[[#This Row],[Policy Year]]</f>
        <v>0</v>
      </c>
      <c r="W1174" s="17">
        <f>INT(Table1[[#This Row],[Reporting date]])-INT(Table1[[#This Row],[Loss date]])</f>
        <v>21</v>
      </c>
      <c r="X1174" s="17">
        <f>INT((YEAR(Table1[[#This Row],[Loss date]])*12+MONTH(Table1[[#This Row],[Loss date]])-Earliest_Month)/4)</f>
        <v>13</v>
      </c>
      <c r="Y1174" s="17">
        <f>INT((YEAR(Table1[[#This Row],[Reporting date]])*12+MONTH(Table1[[#This Row],[Reporting date]])-Earliest_Month)/4)</f>
        <v>13</v>
      </c>
      <c r="Z1174" s="17">
        <f>Table1[[#This Row],[Reporting third]]-Table1[[#This Row],[Policy third]]</f>
        <v>0</v>
      </c>
      <c r="AA1174" s="71">
        <f>IF(Table1[[#This Row],[Overall amount]]=0,"N/A",Table1[[#This Row],[Outstanding]]/Table1[[#This Row],[Overall amount]])</f>
        <v>0</v>
      </c>
      <c r="AB1174" s="17">
        <f>IF(MONTH(Table1[[#This Row],[Loss date]])&lt;Pol_Inc_Month_Shifted,YEAR(Table1[[#This Row],[Loss date]])-1,YEAR(Table1[[#This Row],[Loss date]]))</f>
        <v>2008</v>
      </c>
      <c r="AC1174" s="17">
        <f>IF(MONTH(Table1[[#This Row],[Reporting date]])&lt;Pol_Inc_Month_Shifted,YEAR(Table1[[#This Row],[Reporting date]])-1,YEAR(Table1[[#This Row],[Reporting date]]))</f>
        <v>2008</v>
      </c>
      <c r="AD1174" s="17">
        <f>Table1[[#This Row],[Reporting year (shifted)]]-Table1[[#This Row],[Policy Year (shifted)]]</f>
        <v>0</v>
      </c>
    </row>
    <row r="1175" spans="1:30" ht="13.9">
      <c r="A1175" s="8" t="s">
        <v>2945</v>
      </c>
      <c r="B1175" s="8" t="s">
        <v>1227</v>
      </c>
      <c r="C1175" s="8" t="s">
        <v>123</v>
      </c>
      <c r="D1175" s="9">
        <v>40042</v>
      </c>
      <c r="E1175" s="9">
        <v>40068</v>
      </c>
      <c r="F1175" s="17">
        <f>IF(MONTH(Table1[[#This Row],[Loss date]])&lt;Policy_Inception_Month,YEAR(Table1[[#This Row],[Loss date]])-1,YEAR(Table1[[#This Row],[Loss date]]))</f>
        <v>2009</v>
      </c>
      <c r="G1175" s="10" t="s">
        <v>125</v>
      </c>
      <c r="H1175" s="10" t="s">
        <v>2</v>
      </c>
      <c r="I1175" s="11">
        <v>6660.1748970083991</v>
      </c>
      <c r="J1175" s="11">
        <v>0</v>
      </c>
      <c r="K1175" s="11">
        <v>6660.1748970083991</v>
      </c>
      <c r="L1175" s="12">
        <v>0</v>
      </c>
      <c r="M1175" s="12">
        <v>0</v>
      </c>
      <c r="N1175" s="12">
        <v>6660.1748970083991</v>
      </c>
      <c r="O1175" s="70">
        <f>IF(Table1[[#This Row],[Overall amount]]=0,0,1)</f>
        <v>1</v>
      </c>
      <c r="P1175" s="70">
        <f>Table1[[#This Row],[Overall amount]]*Exchange_Rate</f>
        <v>6660.1748970083991</v>
      </c>
      <c r="Q1175" s="70">
        <f>Table1[[#This Row],[Overall (destination currency)]]*(1+Claims_Inflation)^((Revalue_at_date-Table1[[#This Row],[Loss date]])/365.25)</f>
        <v>8978.4839999999986</v>
      </c>
      <c r="R1175" s="70">
        <f>INT(Table1[[#This Row],[Reporting date]])-INT(Table1[[#This Row],[Loss date]])</f>
        <v>26</v>
      </c>
      <c r="S1175" s="69" t="s">
        <v>9</v>
      </c>
      <c r="T1175" s="70">
        <f>VLOOKUP(Table1[[#This Row],[Policy Year]],exposure_table,3,FALSE)</f>
        <v>760.22808576000011</v>
      </c>
      <c r="U1175" s="17">
        <f>IF(MONTH(Table1[[#This Row],[Reporting date]])&lt;Policy_Inception_Month,YEAR(Table1[[#This Row],[Reporting date]])-1,YEAR(Table1[[#This Row],[Reporting date]]))</f>
        <v>2009</v>
      </c>
      <c r="V1175" s="17">
        <f>Table1[[#This Row],[Reporting year]]-Table1[[#This Row],[Policy Year]]</f>
        <v>0</v>
      </c>
      <c r="W1175" s="17">
        <f>INT(Table1[[#This Row],[Reporting date]])-INT(Table1[[#This Row],[Loss date]])</f>
        <v>26</v>
      </c>
      <c r="X1175" s="17">
        <f>INT((YEAR(Table1[[#This Row],[Loss date]])*12+MONTH(Table1[[#This Row],[Loss date]])-Earliest_Month)/4)</f>
        <v>13</v>
      </c>
      <c r="Y1175" s="17">
        <f>INT((YEAR(Table1[[#This Row],[Reporting date]])*12+MONTH(Table1[[#This Row],[Reporting date]])-Earliest_Month)/4)</f>
        <v>13</v>
      </c>
      <c r="Z1175" s="17">
        <f>Table1[[#This Row],[Reporting third]]-Table1[[#This Row],[Policy third]]</f>
        <v>0</v>
      </c>
      <c r="AA1175" s="71">
        <f>IF(Table1[[#This Row],[Overall amount]]=0,"N/A",Table1[[#This Row],[Outstanding]]/Table1[[#This Row],[Overall amount]])</f>
        <v>0</v>
      </c>
      <c r="AB1175" s="17">
        <f>IF(MONTH(Table1[[#This Row],[Loss date]])&lt;Pol_Inc_Month_Shifted,YEAR(Table1[[#This Row],[Loss date]])-1,YEAR(Table1[[#This Row],[Loss date]]))</f>
        <v>2008</v>
      </c>
      <c r="AC1175" s="17">
        <f>IF(MONTH(Table1[[#This Row],[Reporting date]])&lt;Pol_Inc_Month_Shifted,YEAR(Table1[[#This Row],[Reporting date]])-1,YEAR(Table1[[#This Row],[Reporting date]]))</f>
        <v>2008</v>
      </c>
      <c r="AD1175" s="17">
        <f>Table1[[#This Row],[Reporting year (shifted)]]-Table1[[#This Row],[Policy Year (shifted)]]</f>
        <v>0</v>
      </c>
    </row>
    <row r="1176" spans="1:30" ht="13.9">
      <c r="A1176" s="8" t="s">
        <v>2946</v>
      </c>
      <c r="B1176" s="8" t="s">
        <v>1228</v>
      </c>
      <c r="C1176" s="8" t="s">
        <v>123</v>
      </c>
      <c r="D1176" s="9">
        <v>39904</v>
      </c>
      <c r="E1176" s="9">
        <v>40125</v>
      </c>
      <c r="F1176" s="17">
        <f>IF(MONTH(Table1[[#This Row],[Loss date]])&lt;Policy_Inception_Month,YEAR(Table1[[#This Row],[Loss date]])-1,YEAR(Table1[[#This Row],[Loss date]]))</f>
        <v>2009</v>
      </c>
      <c r="G1176" s="10" t="s">
        <v>126</v>
      </c>
      <c r="H1176" s="10" t="s">
        <v>2</v>
      </c>
      <c r="I1176" s="11">
        <v>468.84337117430204</v>
      </c>
      <c r="J1176" s="11">
        <v>0</v>
      </c>
      <c r="K1176" s="11">
        <v>468.84337117430204</v>
      </c>
      <c r="L1176" s="12">
        <v>0</v>
      </c>
      <c r="M1176" s="12">
        <v>0</v>
      </c>
      <c r="N1176" s="12">
        <v>468.84337117430204</v>
      </c>
      <c r="O1176" s="70">
        <f>IF(Table1[[#This Row],[Overall amount]]=0,0,1)</f>
        <v>1</v>
      </c>
      <c r="P1176" s="70">
        <f>Table1[[#This Row],[Overall amount]]*Exchange_Rate</f>
        <v>468.84337117430204</v>
      </c>
      <c r="Q1176" s="70">
        <f>Table1[[#This Row],[Overall (destination currency)]]*(1+Claims_Inflation)^((Revalue_at_date-Table1[[#This Row],[Loss date]])/365.25)</f>
        <v>643.79999999999995</v>
      </c>
      <c r="R1176" s="70">
        <f>INT(Table1[[#This Row],[Reporting date]])-INT(Table1[[#This Row],[Loss date]])</f>
        <v>221</v>
      </c>
      <c r="S1176" s="69" t="s">
        <v>9</v>
      </c>
      <c r="T1176" s="70">
        <f>VLOOKUP(Table1[[#This Row],[Policy Year]],exposure_table,3,FALSE)</f>
        <v>760.22808576000011</v>
      </c>
      <c r="U1176" s="17">
        <f>IF(MONTH(Table1[[#This Row],[Reporting date]])&lt;Policy_Inception_Month,YEAR(Table1[[#This Row],[Reporting date]])-1,YEAR(Table1[[#This Row],[Reporting date]]))</f>
        <v>2009</v>
      </c>
      <c r="V1176" s="17">
        <f>Table1[[#This Row],[Reporting year]]-Table1[[#This Row],[Policy Year]]</f>
        <v>0</v>
      </c>
      <c r="W1176" s="17">
        <f>INT(Table1[[#This Row],[Reporting date]])-INT(Table1[[#This Row],[Loss date]])</f>
        <v>221</v>
      </c>
      <c r="X1176" s="17">
        <f>INT((YEAR(Table1[[#This Row],[Loss date]])*12+MONTH(Table1[[#This Row],[Loss date]])-Earliest_Month)/4)</f>
        <v>12</v>
      </c>
      <c r="Y1176" s="17">
        <f>INT((YEAR(Table1[[#This Row],[Reporting date]])*12+MONTH(Table1[[#This Row],[Reporting date]])-Earliest_Month)/4)</f>
        <v>13</v>
      </c>
      <c r="Z1176" s="17">
        <f>Table1[[#This Row],[Reporting third]]-Table1[[#This Row],[Policy third]]</f>
        <v>1</v>
      </c>
      <c r="AA1176" s="71">
        <f>IF(Table1[[#This Row],[Overall amount]]=0,"N/A",Table1[[#This Row],[Outstanding]]/Table1[[#This Row],[Overall amount]])</f>
        <v>0</v>
      </c>
      <c r="AB1176" s="17">
        <f>IF(MONTH(Table1[[#This Row],[Loss date]])&lt;Pol_Inc_Month_Shifted,YEAR(Table1[[#This Row],[Loss date]])-1,YEAR(Table1[[#This Row],[Loss date]]))</f>
        <v>2008</v>
      </c>
      <c r="AC1176" s="17">
        <f>IF(MONTH(Table1[[#This Row],[Reporting date]])&lt;Pol_Inc_Month_Shifted,YEAR(Table1[[#This Row],[Reporting date]])-1,YEAR(Table1[[#This Row],[Reporting date]]))</f>
        <v>2008</v>
      </c>
      <c r="AD1176" s="17">
        <f>Table1[[#This Row],[Reporting year (shifted)]]-Table1[[#This Row],[Policy Year (shifted)]]</f>
        <v>0</v>
      </c>
    </row>
    <row r="1177" spans="1:30" ht="13.9">
      <c r="A1177" s="8" t="s">
        <v>2947</v>
      </c>
      <c r="B1177" s="8" t="s">
        <v>1229</v>
      </c>
      <c r="C1177" s="8" t="s">
        <v>123</v>
      </c>
      <c r="D1177" s="9">
        <v>39517</v>
      </c>
      <c r="E1177" s="9">
        <v>39768</v>
      </c>
      <c r="F1177" s="17">
        <f>IF(MONTH(Table1[[#This Row],[Loss date]])&lt;Policy_Inception_Month,YEAR(Table1[[#This Row],[Loss date]])-1,YEAR(Table1[[#This Row],[Loss date]]))</f>
        <v>2007</v>
      </c>
      <c r="G1177" s="10" t="s">
        <v>126</v>
      </c>
      <c r="H1177" s="10" t="s">
        <v>2</v>
      </c>
      <c r="I1177" s="11">
        <v>752.41286884880139</v>
      </c>
      <c r="J1177" s="11">
        <v>0</v>
      </c>
      <c r="K1177" s="11">
        <v>752.41286884880139</v>
      </c>
      <c r="L1177" s="12">
        <v>0</v>
      </c>
      <c r="M1177" s="12">
        <v>0</v>
      </c>
      <c r="N1177" s="12">
        <v>752.41286884880139</v>
      </c>
      <c r="O1177" s="70">
        <f>IF(Table1[[#This Row],[Overall amount]]=0,0,1)</f>
        <v>1</v>
      </c>
      <c r="P1177" s="70">
        <f>Table1[[#This Row],[Overall amount]]*Exchange_Rate</f>
        <v>752.41286884880139</v>
      </c>
      <c r="Q1177" s="70">
        <f>Table1[[#This Row],[Overall (destination currency)]]*(1+Claims_Inflation)^((Revalue_at_date-Table1[[#This Row],[Loss date]])/365.25)</f>
        <v>1088.0040000000001</v>
      </c>
      <c r="R1177" s="70">
        <f>INT(Table1[[#This Row],[Reporting date]])-INT(Table1[[#This Row],[Loss date]])</f>
        <v>251</v>
      </c>
      <c r="S1177" s="69" t="s">
        <v>9</v>
      </c>
      <c r="T1177" s="70">
        <f>VLOOKUP(Table1[[#This Row],[Policy Year]],exposure_table,3,FALSE)</f>
        <v>547.7736362475523</v>
      </c>
      <c r="U1177" s="17">
        <f>IF(MONTH(Table1[[#This Row],[Reporting date]])&lt;Policy_Inception_Month,YEAR(Table1[[#This Row],[Reporting date]])-1,YEAR(Table1[[#This Row],[Reporting date]]))</f>
        <v>2008</v>
      </c>
      <c r="V1177" s="17">
        <f>Table1[[#This Row],[Reporting year]]-Table1[[#This Row],[Policy Year]]</f>
        <v>1</v>
      </c>
      <c r="W1177" s="17">
        <f>INT(Table1[[#This Row],[Reporting date]])-INT(Table1[[#This Row],[Loss date]])</f>
        <v>251</v>
      </c>
      <c r="X1177" s="17">
        <f>INT((YEAR(Table1[[#This Row],[Loss date]])*12+MONTH(Table1[[#This Row],[Loss date]])-Earliest_Month)/4)</f>
        <v>8</v>
      </c>
      <c r="Y1177" s="17">
        <f>INT((YEAR(Table1[[#This Row],[Reporting date]])*12+MONTH(Table1[[#This Row],[Reporting date]])-Earliest_Month)/4)</f>
        <v>10</v>
      </c>
      <c r="Z1177" s="17">
        <f>Table1[[#This Row],[Reporting third]]-Table1[[#This Row],[Policy third]]</f>
        <v>2</v>
      </c>
      <c r="AA1177" s="71">
        <f>IF(Table1[[#This Row],[Overall amount]]=0,"N/A",Table1[[#This Row],[Outstanding]]/Table1[[#This Row],[Overall amount]])</f>
        <v>0</v>
      </c>
      <c r="AB1177" s="17">
        <f>IF(MONTH(Table1[[#This Row],[Loss date]])&lt;Pol_Inc_Month_Shifted,YEAR(Table1[[#This Row],[Loss date]])-1,YEAR(Table1[[#This Row],[Loss date]]))</f>
        <v>2007</v>
      </c>
      <c r="AC1177" s="17">
        <f>IF(MONTH(Table1[[#This Row],[Reporting date]])&lt;Pol_Inc_Month_Shifted,YEAR(Table1[[#This Row],[Reporting date]])-1,YEAR(Table1[[#This Row],[Reporting date]]))</f>
        <v>2007</v>
      </c>
      <c r="AD1177" s="17">
        <f>Table1[[#This Row],[Reporting year (shifted)]]-Table1[[#This Row],[Policy Year (shifted)]]</f>
        <v>0</v>
      </c>
    </row>
    <row r="1178" spans="1:30" ht="13.9">
      <c r="A1178" s="8" t="s">
        <v>2948</v>
      </c>
      <c r="B1178" s="8" t="s">
        <v>1230</v>
      </c>
      <c r="C1178" s="8" t="s">
        <v>123</v>
      </c>
      <c r="D1178" s="9">
        <v>40081</v>
      </c>
      <c r="E1178" s="9">
        <v>40174</v>
      </c>
      <c r="F1178" s="17">
        <f>IF(MONTH(Table1[[#This Row],[Loss date]])&lt;Policy_Inception_Month,YEAR(Table1[[#This Row],[Loss date]])-1,YEAR(Table1[[#This Row],[Loss date]]))</f>
        <v>2009</v>
      </c>
      <c r="G1178" s="10" t="s">
        <v>126</v>
      </c>
      <c r="H1178" s="10" t="s">
        <v>2</v>
      </c>
      <c r="I1178" s="11">
        <v>2757.7761650118209</v>
      </c>
      <c r="J1178" s="11">
        <v>0</v>
      </c>
      <c r="K1178" s="11">
        <v>2757.7761650118209</v>
      </c>
      <c r="L1178" s="12">
        <v>0</v>
      </c>
      <c r="M1178" s="12">
        <v>0</v>
      </c>
      <c r="N1178" s="12">
        <v>2757.7761650118209</v>
      </c>
      <c r="O1178" s="70">
        <f>IF(Table1[[#This Row],[Overall amount]]=0,0,1)</f>
        <v>1</v>
      </c>
      <c r="P1178" s="70">
        <f>Table1[[#This Row],[Overall amount]]*Exchange_Rate</f>
        <v>2757.7761650118209</v>
      </c>
      <c r="Q1178" s="70">
        <f>Table1[[#This Row],[Overall (destination currency)]]*(1+Claims_Inflation)^((Revalue_at_date-Table1[[#This Row],[Loss date]])/365.25)</f>
        <v>3698.4</v>
      </c>
      <c r="R1178" s="70">
        <f>INT(Table1[[#This Row],[Reporting date]])-INT(Table1[[#This Row],[Loss date]])</f>
        <v>93</v>
      </c>
      <c r="S1178" s="69" t="s">
        <v>9</v>
      </c>
      <c r="T1178" s="70">
        <f>VLOOKUP(Table1[[#This Row],[Policy Year]],exposure_table,3,FALSE)</f>
        <v>760.22808576000011</v>
      </c>
      <c r="U1178" s="17">
        <f>IF(MONTH(Table1[[#This Row],[Reporting date]])&lt;Policy_Inception_Month,YEAR(Table1[[#This Row],[Reporting date]])-1,YEAR(Table1[[#This Row],[Reporting date]]))</f>
        <v>2009</v>
      </c>
      <c r="V1178" s="17">
        <f>Table1[[#This Row],[Reporting year]]-Table1[[#This Row],[Policy Year]]</f>
        <v>0</v>
      </c>
      <c r="W1178" s="17">
        <f>INT(Table1[[#This Row],[Reporting date]])-INT(Table1[[#This Row],[Loss date]])</f>
        <v>93</v>
      </c>
      <c r="X1178" s="17">
        <f>INT((YEAR(Table1[[#This Row],[Loss date]])*12+MONTH(Table1[[#This Row],[Loss date]])-Earliest_Month)/4)</f>
        <v>13</v>
      </c>
      <c r="Y1178" s="17">
        <f>INT((YEAR(Table1[[#This Row],[Reporting date]])*12+MONTH(Table1[[#This Row],[Reporting date]])-Earliest_Month)/4)</f>
        <v>14</v>
      </c>
      <c r="Z1178" s="17">
        <f>Table1[[#This Row],[Reporting third]]-Table1[[#This Row],[Policy third]]</f>
        <v>1</v>
      </c>
      <c r="AA1178" s="71">
        <f>IF(Table1[[#This Row],[Overall amount]]=0,"N/A",Table1[[#This Row],[Outstanding]]/Table1[[#This Row],[Overall amount]])</f>
        <v>0</v>
      </c>
      <c r="AB1178" s="17">
        <f>IF(MONTH(Table1[[#This Row],[Loss date]])&lt;Pol_Inc_Month_Shifted,YEAR(Table1[[#This Row],[Loss date]])-1,YEAR(Table1[[#This Row],[Loss date]]))</f>
        <v>2008</v>
      </c>
      <c r="AC1178" s="17">
        <f>IF(MONTH(Table1[[#This Row],[Reporting date]])&lt;Pol_Inc_Month_Shifted,YEAR(Table1[[#This Row],[Reporting date]])-1,YEAR(Table1[[#This Row],[Reporting date]]))</f>
        <v>2009</v>
      </c>
      <c r="AD1178" s="17">
        <f>Table1[[#This Row],[Reporting year (shifted)]]-Table1[[#This Row],[Policy Year (shifted)]]</f>
        <v>1</v>
      </c>
    </row>
    <row r="1179" spans="1:30" ht="13.9">
      <c r="A1179" s="8" t="s">
        <v>2949</v>
      </c>
      <c r="B1179" s="8" t="s">
        <v>1231</v>
      </c>
      <c r="C1179" s="8" t="s">
        <v>123</v>
      </c>
      <c r="D1179" s="9">
        <v>40201</v>
      </c>
      <c r="E1179" s="9">
        <v>40259</v>
      </c>
      <c r="F1179" s="17">
        <f>IF(MONTH(Table1[[#This Row],[Loss date]])&lt;Policy_Inception_Month,YEAR(Table1[[#This Row],[Loss date]])-1,YEAR(Table1[[#This Row],[Loss date]]))</f>
        <v>2009</v>
      </c>
      <c r="G1179" s="10" t="s">
        <v>125</v>
      </c>
      <c r="H1179" s="10" t="s">
        <v>2</v>
      </c>
      <c r="I1179" s="11">
        <v>7367.6952034247306</v>
      </c>
      <c r="J1179" s="11">
        <v>0</v>
      </c>
      <c r="K1179" s="11">
        <v>7367.6952034247306</v>
      </c>
      <c r="L1179" s="12">
        <v>0</v>
      </c>
      <c r="M1179" s="12">
        <v>0</v>
      </c>
      <c r="N1179" s="12">
        <v>7367.6952034247306</v>
      </c>
      <c r="O1179" s="70">
        <f>IF(Table1[[#This Row],[Overall amount]]=0,0,1)</f>
        <v>1</v>
      </c>
      <c r="P1179" s="70">
        <f>Table1[[#This Row],[Overall amount]]*Exchange_Rate</f>
        <v>7367.6952034247306</v>
      </c>
      <c r="Q1179" s="70">
        <f>Table1[[#This Row],[Overall (destination currency)]]*(1+Claims_Inflation)^((Revalue_at_date-Table1[[#This Row],[Loss date]])/365.25)</f>
        <v>9723.5519999999997</v>
      </c>
      <c r="R1179" s="70">
        <f>INT(Table1[[#This Row],[Reporting date]])-INT(Table1[[#This Row],[Loss date]])</f>
        <v>58</v>
      </c>
      <c r="S1179" s="69" t="s">
        <v>9</v>
      </c>
      <c r="T1179" s="70">
        <f>VLOOKUP(Table1[[#This Row],[Policy Year]],exposure_table,3,FALSE)</f>
        <v>760.22808576000011</v>
      </c>
      <c r="U1179" s="17">
        <f>IF(MONTH(Table1[[#This Row],[Reporting date]])&lt;Policy_Inception_Month,YEAR(Table1[[#This Row],[Reporting date]])-1,YEAR(Table1[[#This Row],[Reporting date]]))</f>
        <v>2009</v>
      </c>
      <c r="V1179" s="17">
        <f>Table1[[#This Row],[Reporting year]]-Table1[[#This Row],[Policy Year]]</f>
        <v>0</v>
      </c>
      <c r="W1179" s="17">
        <f>INT(Table1[[#This Row],[Reporting date]])-INT(Table1[[#This Row],[Loss date]])</f>
        <v>58</v>
      </c>
      <c r="X1179" s="17">
        <f>INT((YEAR(Table1[[#This Row],[Loss date]])*12+MONTH(Table1[[#This Row],[Loss date]])-Earliest_Month)/4)</f>
        <v>14</v>
      </c>
      <c r="Y1179" s="17">
        <f>INT((YEAR(Table1[[#This Row],[Reporting date]])*12+MONTH(Table1[[#This Row],[Reporting date]])-Earliest_Month)/4)</f>
        <v>14</v>
      </c>
      <c r="Z1179" s="17">
        <f>Table1[[#This Row],[Reporting third]]-Table1[[#This Row],[Policy third]]</f>
        <v>0</v>
      </c>
      <c r="AA1179" s="71">
        <f>IF(Table1[[#This Row],[Overall amount]]=0,"N/A",Table1[[#This Row],[Outstanding]]/Table1[[#This Row],[Overall amount]])</f>
        <v>0</v>
      </c>
      <c r="AB1179" s="17">
        <f>IF(MONTH(Table1[[#This Row],[Loss date]])&lt;Pol_Inc_Month_Shifted,YEAR(Table1[[#This Row],[Loss date]])-1,YEAR(Table1[[#This Row],[Loss date]]))</f>
        <v>2009</v>
      </c>
      <c r="AC1179" s="17">
        <f>IF(MONTH(Table1[[#This Row],[Reporting date]])&lt;Pol_Inc_Month_Shifted,YEAR(Table1[[#This Row],[Reporting date]])-1,YEAR(Table1[[#This Row],[Reporting date]]))</f>
        <v>2009</v>
      </c>
      <c r="AD1179" s="17">
        <f>Table1[[#This Row],[Reporting year (shifted)]]-Table1[[#This Row],[Policy Year (shifted)]]</f>
        <v>0</v>
      </c>
    </row>
    <row r="1180" spans="1:30" ht="13.9">
      <c r="A1180" s="8" t="s">
        <v>2950</v>
      </c>
      <c r="B1180" s="8" t="s">
        <v>1232</v>
      </c>
      <c r="C1180" s="8" t="s">
        <v>123</v>
      </c>
      <c r="D1180" s="9">
        <v>40474</v>
      </c>
      <c r="E1180" s="9">
        <v>40575</v>
      </c>
      <c r="F1180" s="17">
        <f>IF(MONTH(Table1[[#This Row],[Loss date]])&lt;Policy_Inception_Month,YEAR(Table1[[#This Row],[Loss date]])-1,YEAR(Table1[[#This Row],[Loss date]]))</f>
        <v>2010</v>
      </c>
      <c r="G1180" s="10" t="s">
        <v>126</v>
      </c>
      <c r="H1180" s="10" t="s">
        <v>2</v>
      </c>
      <c r="I1180" s="11">
        <v>834.11010060567867</v>
      </c>
      <c r="J1180" s="11">
        <v>0</v>
      </c>
      <c r="K1180" s="11">
        <v>834.11010060567867</v>
      </c>
      <c r="L1180" s="12">
        <v>0</v>
      </c>
      <c r="M1180" s="12">
        <v>0</v>
      </c>
      <c r="N1180" s="12">
        <v>834.11010060567867</v>
      </c>
      <c r="O1180" s="70">
        <f>IF(Table1[[#This Row],[Overall amount]]=0,0,1)</f>
        <v>1</v>
      </c>
      <c r="P1180" s="70">
        <f>Table1[[#This Row],[Overall amount]]*Exchange_Rate</f>
        <v>834.11010060567867</v>
      </c>
      <c r="Q1180" s="70">
        <f>Table1[[#This Row],[Overall (destination currency)]]*(1+Claims_Inflation)^((Revalue_at_date-Table1[[#This Row],[Loss date]])/365.25)</f>
        <v>1061.3999999999999</v>
      </c>
      <c r="R1180" s="70">
        <f>INT(Table1[[#This Row],[Reporting date]])-INT(Table1[[#This Row],[Loss date]])</f>
        <v>101</v>
      </c>
      <c r="S1180" s="69" t="s">
        <v>9</v>
      </c>
      <c r="T1180" s="70">
        <f>VLOOKUP(Table1[[#This Row],[Policy Year]],exposure_table,3,FALSE)</f>
        <v>837.11513600000012</v>
      </c>
      <c r="U1180" s="17">
        <f>IF(MONTH(Table1[[#This Row],[Reporting date]])&lt;Policy_Inception_Month,YEAR(Table1[[#This Row],[Reporting date]])-1,YEAR(Table1[[#This Row],[Reporting date]]))</f>
        <v>2010</v>
      </c>
      <c r="V1180" s="17">
        <f>Table1[[#This Row],[Reporting year]]-Table1[[#This Row],[Policy Year]]</f>
        <v>0</v>
      </c>
      <c r="W1180" s="17">
        <f>INT(Table1[[#This Row],[Reporting date]])-INT(Table1[[#This Row],[Loss date]])</f>
        <v>101</v>
      </c>
      <c r="X1180" s="17">
        <f>INT((YEAR(Table1[[#This Row],[Loss date]])*12+MONTH(Table1[[#This Row],[Loss date]])-Earliest_Month)/4)</f>
        <v>16</v>
      </c>
      <c r="Y1180" s="17">
        <f>INT((YEAR(Table1[[#This Row],[Reporting date]])*12+MONTH(Table1[[#This Row],[Reporting date]])-Earliest_Month)/4)</f>
        <v>17</v>
      </c>
      <c r="Z1180" s="17">
        <f>Table1[[#This Row],[Reporting third]]-Table1[[#This Row],[Policy third]]</f>
        <v>1</v>
      </c>
      <c r="AA1180" s="71">
        <f>IF(Table1[[#This Row],[Overall amount]]=0,"N/A",Table1[[#This Row],[Outstanding]]/Table1[[#This Row],[Overall amount]])</f>
        <v>0</v>
      </c>
      <c r="AB1180" s="17">
        <f>IF(MONTH(Table1[[#This Row],[Loss date]])&lt;Pol_Inc_Month_Shifted,YEAR(Table1[[#This Row],[Loss date]])-1,YEAR(Table1[[#This Row],[Loss date]]))</f>
        <v>2009</v>
      </c>
      <c r="AC1180" s="17">
        <f>IF(MONTH(Table1[[#This Row],[Reporting date]])&lt;Pol_Inc_Month_Shifted,YEAR(Table1[[#This Row],[Reporting date]])-1,YEAR(Table1[[#This Row],[Reporting date]]))</f>
        <v>2010</v>
      </c>
      <c r="AD1180" s="17">
        <f>Table1[[#This Row],[Reporting year (shifted)]]-Table1[[#This Row],[Policy Year (shifted)]]</f>
        <v>1</v>
      </c>
    </row>
    <row r="1181" spans="1:30" ht="13.9">
      <c r="A1181" s="8" t="s">
        <v>2951</v>
      </c>
      <c r="B1181" s="8" t="s">
        <v>1233</v>
      </c>
      <c r="C1181" s="8" t="s">
        <v>123</v>
      </c>
      <c r="D1181" s="9">
        <v>40369</v>
      </c>
      <c r="E1181" s="9">
        <v>40504</v>
      </c>
      <c r="F1181" s="17">
        <f>IF(MONTH(Table1[[#This Row],[Loss date]])&lt;Policy_Inception_Month,YEAR(Table1[[#This Row],[Loss date]])-1,YEAR(Table1[[#This Row],[Loss date]]))</f>
        <v>2010</v>
      </c>
      <c r="G1181" s="10" t="s">
        <v>131</v>
      </c>
      <c r="H1181" s="10" t="s">
        <v>2</v>
      </c>
      <c r="I1181" s="11">
        <v>647.207293898442</v>
      </c>
      <c r="J1181" s="11">
        <v>0</v>
      </c>
      <c r="K1181" s="11">
        <v>647.207293898442</v>
      </c>
      <c r="L1181" s="12">
        <v>0</v>
      </c>
      <c r="M1181" s="12">
        <v>0</v>
      </c>
      <c r="N1181" s="12">
        <v>647.207293898442</v>
      </c>
      <c r="O1181" s="70">
        <f>IF(Table1[[#This Row],[Overall amount]]=0,0,1)</f>
        <v>1</v>
      </c>
      <c r="P1181" s="70">
        <f>Table1[[#This Row],[Overall amount]]*Exchange_Rate</f>
        <v>647.207293898442</v>
      </c>
      <c r="Q1181" s="70">
        <f>Table1[[#This Row],[Overall (destination currency)]]*(1+Claims_Inflation)^((Revalue_at_date-Table1[[#This Row],[Loss date]])/365.25)</f>
        <v>835.19999999999982</v>
      </c>
      <c r="R1181" s="70">
        <f>INT(Table1[[#This Row],[Reporting date]])-INT(Table1[[#This Row],[Loss date]])</f>
        <v>135</v>
      </c>
      <c r="S1181" s="69" t="s">
        <v>9</v>
      </c>
      <c r="T1181" s="70">
        <f>VLOOKUP(Table1[[#This Row],[Policy Year]],exposure_table,3,FALSE)</f>
        <v>837.11513600000012</v>
      </c>
      <c r="U1181" s="17">
        <f>IF(MONTH(Table1[[#This Row],[Reporting date]])&lt;Policy_Inception_Month,YEAR(Table1[[#This Row],[Reporting date]])-1,YEAR(Table1[[#This Row],[Reporting date]]))</f>
        <v>2010</v>
      </c>
      <c r="V1181" s="17">
        <f>Table1[[#This Row],[Reporting year]]-Table1[[#This Row],[Policy Year]]</f>
        <v>0</v>
      </c>
      <c r="W1181" s="17">
        <f>INT(Table1[[#This Row],[Reporting date]])-INT(Table1[[#This Row],[Loss date]])</f>
        <v>135</v>
      </c>
      <c r="X1181" s="17">
        <f>INT((YEAR(Table1[[#This Row],[Loss date]])*12+MONTH(Table1[[#This Row],[Loss date]])-Earliest_Month)/4)</f>
        <v>15</v>
      </c>
      <c r="Y1181" s="17">
        <f>INT((YEAR(Table1[[#This Row],[Reporting date]])*12+MONTH(Table1[[#This Row],[Reporting date]])-Earliest_Month)/4)</f>
        <v>16</v>
      </c>
      <c r="Z1181" s="17">
        <f>Table1[[#This Row],[Reporting third]]-Table1[[#This Row],[Policy third]]</f>
        <v>1</v>
      </c>
      <c r="AA1181" s="71">
        <f>IF(Table1[[#This Row],[Overall amount]]=0,"N/A",Table1[[#This Row],[Outstanding]]/Table1[[#This Row],[Overall amount]])</f>
        <v>0</v>
      </c>
      <c r="AB1181" s="17">
        <f>IF(MONTH(Table1[[#This Row],[Loss date]])&lt;Pol_Inc_Month_Shifted,YEAR(Table1[[#This Row],[Loss date]])-1,YEAR(Table1[[#This Row],[Loss date]]))</f>
        <v>2009</v>
      </c>
      <c r="AC1181" s="17">
        <f>IF(MONTH(Table1[[#This Row],[Reporting date]])&lt;Pol_Inc_Month_Shifted,YEAR(Table1[[#This Row],[Reporting date]])-1,YEAR(Table1[[#This Row],[Reporting date]]))</f>
        <v>2009</v>
      </c>
      <c r="AD1181" s="17">
        <f>Table1[[#This Row],[Reporting year (shifted)]]-Table1[[#This Row],[Policy Year (shifted)]]</f>
        <v>0</v>
      </c>
    </row>
    <row r="1182" spans="1:30" ht="13.9">
      <c r="A1182" s="8" t="s">
        <v>2952</v>
      </c>
      <c r="B1182" s="8" t="s">
        <v>1234</v>
      </c>
      <c r="C1182" s="8" t="s">
        <v>123</v>
      </c>
      <c r="D1182" s="9">
        <v>40560</v>
      </c>
      <c r="E1182" s="9">
        <v>40572</v>
      </c>
      <c r="F1182" s="17">
        <f>IF(MONTH(Table1[[#This Row],[Loss date]])&lt;Policy_Inception_Month,YEAR(Table1[[#This Row],[Loss date]])-1,YEAR(Table1[[#This Row],[Loss date]]))</f>
        <v>2010</v>
      </c>
      <c r="G1182" s="10" t="s">
        <v>126</v>
      </c>
      <c r="H1182" s="10" t="s">
        <v>2</v>
      </c>
      <c r="I1182" s="11">
        <v>663.93247616387964</v>
      </c>
      <c r="J1182" s="11">
        <v>0</v>
      </c>
      <c r="K1182" s="11">
        <v>663.93247616387964</v>
      </c>
      <c r="L1182" s="12">
        <v>0</v>
      </c>
      <c r="M1182" s="12">
        <v>0</v>
      </c>
      <c r="N1182" s="12">
        <v>663.93247616387964</v>
      </c>
      <c r="O1182" s="70">
        <f>IF(Table1[[#This Row],[Overall amount]]=0,0,1)</f>
        <v>1</v>
      </c>
      <c r="P1182" s="70">
        <f>Table1[[#This Row],[Overall amount]]*Exchange_Rate</f>
        <v>663.93247616387964</v>
      </c>
      <c r="Q1182" s="70">
        <f>Table1[[#This Row],[Overall (destination currency)]]*(1+Claims_Inflation)^((Revalue_at_date-Table1[[#This Row],[Loss date]])/365.25)</f>
        <v>835.19999999999982</v>
      </c>
      <c r="R1182" s="70">
        <f>INT(Table1[[#This Row],[Reporting date]])-INT(Table1[[#This Row],[Loss date]])</f>
        <v>12</v>
      </c>
      <c r="S1182" s="69" t="s">
        <v>9</v>
      </c>
      <c r="T1182" s="70">
        <f>VLOOKUP(Table1[[#This Row],[Policy Year]],exposure_table,3,FALSE)</f>
        <v>837.11513600000012</v>
      </c>
      <c r="U1182" s="17">
        <f>IF(MONTH(Table1[[#This Row],[Reporting date]])&lt;Policy_Inception_Month,YEAR(Table1[[#This Row],[Reporting date]])-1,YEAR(Table1[[#This Row],[Reporting date]]))</f>
        <v>2010</v>
      </c>
      <c r="V1182" s="17">
        <f>Table1[[#This Row],[Reporting year]]-Table1[[#This Row],[Policy Year]]</f>
        <v>0</v>
      </c>
      <c r="W1182" s="17">
        <f>INT(Table1[[#This Row],[Reporting date]])-INT(Table1[[#This Row],[Loss date]])</f>
        <v>12</v>
      </c>
      <c r="X1182" s="17">
        <f>INT((YEAR(Table1[[#This Row],[Loss date]])*12+MONTH(Table1[[#This Row],[Loss date]])-Earliest_Month)/4)</f>
        <v>17</v>
      </c>
      <c r="Y1182" s="17">
        <f>INT((YEAR(Table1[[#This Row],[Reporting date]])*12+MONTH(Table1[[#This Row],[Reporting date]])-Earliest_Month)/4)</f>
        <v>17</v>
      </c>
      <c r="Z1182" s="17">
        <f>Table1[[#This Row],[Reporting third]]-Table1[[#This Row],[Policy third]]</f>
        <v>0</v>
      </c>
      <c r="AA1182" s="71">
        <f>IF(Table1[[#This Row],[Overall amount]]=0,"N/A",Table1[[#This Row],[Outstanding]]/Table1[[#This Row],[Overall amount]])</f>
        <v>0</v>
      </c>
      <c r="AB1182" s="17">
        <f>IF(MONTH(Table1[[#This Row],[Loss date]])&lt;Pol_Inc_Month_Shifted,YEAR(Table1[[#This Row],[Loss date]])-1,YEAR(Table1[[#This Row],[Loss date]]))</f>
        <v>2010</v>
      </c>
      <c r="AC1182" s="17">
        <f>IF(MONTH(Table1[[#This Row],[Reporting date]])&lt;Pol_Inc_Month_Shifted,YEAR(Table1[[#This Row],[Reporting date]])-1,YEAR(Table1[[#This Row],[Reporting date]]))</f>
        <v>2010</v>
      </c>
      <c r="AD1182" s="17">
        <f>Table1[[#This Row],[Reporting year (shifted)]]-Table1[[#This Row],[Policy Year (shifted)]]</f>
        <v>0</v>
      </c>
    </row>
    <row r="1183" spans="1:30" ht="13.9">
      <c r="A1183" s="8" t="s">
        <v>2953</v>
      </c>
      <c r="B1183" s="8" t="s">
        <v>1235</v>
      </c>
      <c r="C1183" s="8" t="s">
        <v>123</v>
      </c>
      <c r="D1183" s="9">
        <v>40699</v>
      </c>
      <c r="E1183" s="9">
        <v>40763</v>
      </c>
      <c r="F1183" s="17">
        <f>IF(MONTH(Table1[[#This Row],[Loss date]])&lt;Policy_Inception_Month,YEAR(Table1[[#This Row],[Loss date]])-1,YEAR(Table1[[#This Row],[Loss date]]))</f>
        <v>2011</v>
      </c>
      <c r="G1183" s="10" t="s">
        <v>125</v>
      </c>
      <c r="H1183" s="10" t="s">
        <v>2</v>
      </c>
      <c r="I1183" s="11">
        <v>7562.2062566386458</v>
      </c>
      <c r="J1183" s="11">
        <v>0</v>
      </c>
      <c r="K1183" s="11">
        <v>7562.2062566386458</v>
      </c>
      <c r="L1183" s="12">
        <v>0</v>
      </c>
      <c r="M1183" s="12">
        <v>0</v>
      </c>
      <c r="N1183" s="12">
        <v>7562.2062566386458</v>
      </c>
      <c r="O1183" s="70">
        <f>IF(Table1[[#This Row],[Overall amount]]=0,0,1)</f>
        <v>1</v>
      </c>
      <c r="P1183" s="70">
        <f>Table1[[#This Row],[Overall amount]]*Exchange_Rate</f>
        <v>7562.2062566386458</v>
      </c>
      <c r="Q1183" s="70">
        <f>Table1[[#This Row],[Overall (destination currency)]]*(1+Claims_Inflation)^((Revalue_at_date-Table1[[#This Row],[Loss date]])/365.25)</f>
        <v>9337.9439999999995</v>
      </c>
      <c r="R1183" s="70">
        <f>INT(Table1[[#This Row],[Reporting date]])-INT(Table1[[#This Row],[Loss date]])</f>
        <v>64</v>
      </c>
      <c r="S1183" s="69" t="s">
        <v>9</v>
      </c>
      <c r="T1183" s="70">
        <f>VLOOKUP(Table1[[#This Row],[Policy Year]],exposure_table,3,FALSE)</f>
        <v>870.52680000000009</v>
      </c>
      <c r="U1183" s="17">
        <f>IF(MONTH(Table1[[#This Row],[Reporting date]])&lt;Policy_Inception_Month,YEAR(Table1[[#This Row],[Reporting date]])-1,YEAR(Table1[[#This Row],[Reporting date]]))</f>
        <v>2011</v>
      </c>
      <c r="V1183" s="17">
        <f>Table1[[#This Row],[Reporting year]]-Table1[[#This Row],[Policy Year]]</f>
        <v>0</v>
      </c>
      <c r="W1183" s="17">
        <f>INT(Table1[[#This Row],[Reporting date]])-INT(Table1[[#This Row],[Loss date]])</f>
        <v>64</v>
      </c>
      <c r="X1183" s="17">
        <f>INT((YEAR(Table1[[#This Row],[Loss date]])*12+MONTH(Table1[[#This Row],[Loss date]])-Earliest_Month)/4)</f>
        <v>18</v>
      </c>
      <c r="Y1183" s="17">
        <f>INT((YEAR(Table1[[#This Row],[Reporting date]])*12+MONTH(Table1[[#This Row],[Reporting date]])-Earliest_Month)/4)</f>
        <v>19</v>
      </c>
      <c r="Z1183" s="17">
        <f>Table1[[#This Row],[Reporting third]]-Table1[[#This Row],[Policy third]]</f>
        <v>1</v>
      </c>
      <c r="AA1183" s="71">
        <f>IF(Table1[[#This Row],[Overall amount]]=0,"N/A",Table1[[#This Row],[Outstanding]]/Table1[[#This Row],[Overall amount]])</f>
        <v>0</v>
      </c>
      <c r="AB1183" s="17">
        <f>IF(MONTH(Table1[[#This Row],[Loss date]])&lt;Pol_Inc_Month_Shifted,YEAR(Table1[[#This Row],[Loss date]])-1,YEAR(Table1[[#This Row],[Loss date]]))</f>
        <v>2010</v>
      </c>
      <c r="AC1183" s="17">
        <f>IF(MONTH(Table1[[#This Row],[Reporting date]])&lt;Pol_Inc_Month_Shifted,YEAR(Table1[[#This Row],[Reporting date]])-1,YEAR(Table1[[#This Row],[Reporting date]]))</f>
        <v>2010</v>
      </c>
      <c r="AD1183" s="17">
        <f>Table1[[#This Row],[Reporting year (shifted)]]-Table1[[#This Row],[Policy Year (shifted)]]</f>
        <v>0</v>
      </c>
    </row>
    <row r="1184" spans="1:30" ht="13.9">
      <c r="A1184" s="8" t="s">
        <v>2954</v>
      </c>
      <c r="B1184" s="8" t="s">
        <v>1236</v>
      </c>
      <c r="C1184" s="8" t="s">
        <v>123</v>
      </c>
      <c r="D1184" s="9">
        <v>40322</v>
      </c>
      <c r="E1184" s="9">
        <v>40826</v>
      </c>
      <c r="F1184" s="17">
        <f>IF(MONTH(Table1[[#This Row],[Loss date]])&lt;Policy_Inception_Month,YEAR(Table1[[#This Row],[Loss date]])-1,YEAR(Table1[[#This Row],[Loss date]]))</f>
        <v>2010</v>
      </c>
      <c r="G1184" s="10" t="s">
        <v>125</v>
      </c>
      <c r="H1184" s="10" t="s">
        <v>2</v>
      </c>
      <c r="I1184" s="11">
        <v>11124.716229521588</v>
      </c>
      <c r="J1184" s="11">
        <v>0</v>
      </c>
      <c r="K1184" s="11">
        <v>11124.716229521588</v>
      </c>
      <c r="L1184" s="12">
        <v>0</v>
      </c>
      <c r="M1184" s="12">
        <v>0</v>
      </c>
      <c r="N1184" s="12">
        <v>11124.716229521588</v>
      </c>
      <c r="O1184" s="70">
        <f>IF(Table1[[#This Row],[Overall amount]]=0,0,1)</f>
        <v>1</v>
      </c>
      <c r="P1184" s="70">
        <f>Table1[[#This Row],[Overall amount]]*Exchange_Rate</f>
        <v>11124.716229521588</v>
      </c>
      <c r="Q1184" s="70">
        <f>Table1[[#This Row],[Overall (destination currency)]]*(1+Claims_Inflation)^((Revalue_at_date-Table1[[#This Row],[Loss date]])/365.25)</f>
        <v>14446.500000000002</v>
      </c>
      <c r="R1184" s="70">
        <f>INT(Table1[[#This Row],[Reporting date]])-INT(Table1[[#This Row],[Loss date]])</f>
        <v>504</v>
      </c>
      <c r="S1184" s="69" t="s">
        <v>9</v>
      </c>
      <c r="T1184" s="70">
        <f>VLOOKUP(Table1[[#This Row],[Policy Year]],exposure_table,3,FALSE)</f>
        <v>837.11513600000012</v>
      </c>
      <c r="U1184" s="17">
        <f>IF(MONTH(Table1[[#This Row],[Reporting date]])&lt;Policy_Inception_Month,YEAR(Table1[[#This Row],[Reporting date]])-1,YEAR(Table1[[#This Row],[Reporting date]]))</f>
        <v>2011</v>
      </c>
      <c r="V1184" s="17">
        <f>Table1[[#This Row],[Reporting year]]-Table1[[#This Row],[Policy Year]]</f>
        <v>1</v>
      </c>
      <c r="W1184" s="17">
        <f>INT(Table1[[#This Row],[Reporting date]])-INT(Table1[[#This Row],[Loss date]])</f>
        <v>504</v>
      </c>
      <c r="X1184" s="17">
        <f>INT((YEAR(Table1[[#This Row],[Loss date]])*12+MONTH(Table1[[#This Row],[Loss date]])-Earliest_Month)/4)</f>
        <v>15</v>
      </c>
      <c r="Y1184" s="17">
        <f>INT((YEAR(Table1[[#This Row],[Reporting date]])*12+MONTH(Table1[[#This Row],[Reporting date]])-Earliest_Month)/4)</f>
        <v>19</v>
      </c>
      <c r="Z1184" s="17">
        <f>Table1[[#This Row],[Reporting third]]-Table1[[#This Row],[Policy third]]</f>
        <v>4</v>
      </c>
      <c r="AA1184" s="71">
        <f>IF(Table1[[#This Row],[Overall amount]]=0,"N/A",Table1[[#This Row],[Outstanding]]/Table1[[#This Row],[Overall amount]])</f>
        <v>0</v>
      </c>
      <c r="AB1184" s="17">
        <f>IF(MONTH(Table1[[#This Row],[Loss date]])&lt;Pol_Inc_Month_Shifted,YEAR(Table1[[#This Row],[Loss date]])-1,YEAR(Table1[[#This Row],[Loss date]]))</f>
        <v>2009</v>
      </c>
      <c r="AC1184" s="17">
        <f>IF(MONTH(Table1[[#This Row],[Reporting date]])&lt;Pol_Inc_Month_Shifted,YEAR(Table1[[#This Row],[Reporting date]])-1,YEAR(Table1[[#This Row],[Reporting date]]))</f>
        <v>2010</v>
      </c>
      <c r="AD1184" s="17">
        <f>Table1[[#This Row],[Reporting year (shifted)]]-Table1[[#This Row],[Policy Year (shifted)]]</f>
        <v>1</v>
      </c>
    </row>
    <row r="1185" spans="1:30" ht="13.9">
      <c r="A1185" s="8" t="s">
        <v>2955</v>
      </c>
      <c r="B1185" s="8" t="s">
        <v>1237</v>
      </c>
      <c r="C1185" s="8" t="s">
        <v>123</v>
      </c>
      <c r="D1185" s="9">
        <v>38470</v>
      </c>
      <c r="E1185" s="9">
        <v>38865</v>
      </c>
      <c r="F1185" s="17">
        <f>IF(MONTH(Table1[[#This Row],[Loss date]])&lt;Policy_Inception_Month,YEAR(Table1[[#This Row],[Loss date]])-1,YEAR(Table1[[#This Row],[Loss date]]))</f>
        <v>2005</v>
      </c>
      <c r="G1185" s="10" t="s">
        <v>125</v>
      </c>
      <c r="H1185" s="10" t="s">
        <v>2</v>
      </c>
      <c r="I1185" s="11">
        <v>3927.1656024897679</v>
      </c>
      <c r="J1185" s="11">
        <v>0</v>
      </c>
      <c r="K1185" s="11">
        <v>3927.1656024897679</v>
      </c>
      <c r="L1185" s="12">
        <v>0</v>
      </c>
      <c r="M1185" s="12">
        <v>0</v>
      </c>
      <c r="N1185" s="12">
        <v>3927.1656024897679</v>
      </c>
      <c r="O1185" s="70">
        <f>IF(Table1[[#This Row],[Overall amount]]=0,0,1)</f>
        <v>1</v>
      </c>
      <c r="P1185" s="70">
        <f>Table1[[#This Row],[Overall amount]]*Exchange_Rate</f>
        <v>3927.1656024897679</v>
      </c>
      <c r="Q1185" s="70">
        <f>Table1[[#This Row],[Overall (destination currency)]]*(1+Claims_Inflation)^((Revalue_at_date-Table1[[#This Row],[Loss date]])/365.25)</f>
        <v>6531.2039999999988</v>
      </c>
      <c r="R1185" s="70">
        <f>INT(Table1[[#This Row],[Reporting date]])-INT(Table1[[#This Row],[Loss date]])</f>
        <v>395</v>
      </c>
      <c r="S1185" s="69" t="s">
        <v>9</v>
      </c>
      <c r="T1185" s="70">
        <f>VLOOKUP(Table1[[#This Row],[Policy Year]],exposure_table,3,FALSE)</f>
        <v>409.50481038040112</v>
      </c>
      <c r="U1185" s="17">
        <f>IF(MONTH(Table1[[#This Row],[Reporting date]])&lt;Policy_Inception_Month,YEAR(Table1[[#This Row],[Reporting date]])-1,YEAR(Table1[[#This Row],[Reporting date]]))</f>
        <v>2006</v>
      </c>
      <c r="V1185" s="17">
        <f>Table1[[#This Row],[Reporting year]]-Table1[[#This Row],[Policy Year]]</f>
        <v>1</v>
      </c>
      <c r="W1185" s="17">
        <f>INT(Table1[[#This Row],[Reporting date]])-INT(Table1[[#This Row],[Loss date]])</f>
        <v>395</v>
      </c>
      <c r="X1185" s="17">
        <f>INT((YEAR(Table1[[#This Row],[Loss date]])*12+MONTH(Table1[[#This Row],[Loss date]])-Earliest_Month)/4)</f>
        <v>0</v>
      </c>
      <c r="Y1185" s="17">
        <f>INT((YEAR(Table1[[#This Row],[Reporting date]])*12+MONTH(Table1[[#This Row],[Reporting date]])-Earliest_Month)/4)</f>
        <v>3</v>
      </c>
      <c r="Z1185" s="17">
        <f>Table1[[#This Row],[Reporting third]]-Table1[[#This Row],[Policy third]]</f>
        <v>3</v>
      </c>
      <c r="AA1185" s="71">
        <f>IF(Table1[[#This Row],[Overall amount]]=0,"N/A",Table1[[#This Row],[Outstanding]]/Table1[[#This Row],[Overall amount]])</f>
        <v>0</v>
      </c>
      <c r="AB1185" s="17">
        <f>IF(MONTH(Table1[[#This Row],[Loss date]])&lt;Pol_Inc_Month_Shifted,YEAR(Table1[[#This Row],[Loss date]])-1,YEAR(Table1[[#This Row],[Loss date]]))</f>
        <v>2004</v>
      </c>
      <c r="AC1185" s="17">
        <f>IF(MONTH(Table1[[#This Row],[Reporting date]])&lt;Pol_Inc_Month_Shifted,YEAR(Table1[[#This Row],[Reporting date]])-1,YEAR(Table1[[#This Row],[Reporting date]]))</f>
        <v>2005</v>
      </c>
      <c r="AD1185" s="17">
        <f>Table1[[#This Row],[Reporting year (shifted)]]-Table1[[#This Row],[Policy Year (shifted)]]</f>
        <v>1</v>
      </c>
    </row>
    <row r="1186" spans="1:30" ht="13.9">
      <c r="A1186" s="8" t="s">
        <v>2956</v>
      </c>
      <c r="B1186" s="8" t="s">
        <v>1238</v>
      </c>
      <c r="C1186" s="8" t="s">
        <v>123</v>
      </c>
      <c r="D1186" s="9">
        <v>39125</v>
      </c>
      <c r="E1186" s="9">
        <v>39153</v>
      </c>
      <c r="F1186" s="17">
        <f>IF(MONTH(Table1[[#This Row],[Loss date]])&lt;Policy_Inception_Month,YEAR(Table1[[#This Row],[Loss date]])-1,YEAR(Table1[[#This Row],[Loss date]]))</f>
        <v>2006</v>
      </c>
      <c r="G1186" s="10" t="s">
        <v>125</v>
      </c>
      <c r="H1186" s="10" t="s">
        <v>2</v>
      </c>
      <c r="I1186" s="11">
        <v>403.60792768021054</v>
      </c>
      <c r="J1186" s="11">
        <v>0</v>
      </c>
      <c r="K1186" s="11">
        <v>403.60792768021054</v>
      </c>
      <c r="L1186" s="12">
        <v>0</v>
      </c>
      <c r="M1186" s="12">
        <v>0</v>
      </c>
      <c r="N1186" s="12">
        <v>403.60792768021054</v>
      </c>
      <c r="O1186" s="70">
        <f>IF(Table1[[#This Row],[Overall amount]]=0,0,1)</f>
        <v>1</v>
      </c>
      <c r="P1186" s="70">
        <f>Table1[[#This Row],[Overall amount]]*Exchange_Rate</f>
        <v>403.60792768021054</v>
      </c>
      <c r="Q1186" s="70">
        <f>Table1[[#This Row],[Overall (destination currency)]]*(1+Claims_Inflation)^((Revalue_at_date-Table1[[#This Row],[Loss date]])/365.25)</f>
        <v>615</v>
      </c>
      <c r="R1186" s="70">
        <f>INT(Table1[[#This Row],[Reporting date]])-INT(Table1[[#This Row],[Loss date]])</f>
        <v>28</v>
      </c>
      <c r="S1186" s="69" t="s">
        <v>9</v>
      </c>
      <c r="T1186" s="70">
        <f>VLOOKUP(Table1[[#This Row],[Policy Year]],exposure_table,3,FALSE)</f>
        <v>483.32023209000977</v>
      </c>
      <c r="U1186" s="17">
        <f>IF(MONTH(Table1[[#This Row],[Reporting date]])&lt;Policy_Inception_Month,YEAR(Table1[[#This Row],[Reporting date]])-1,YEAR(Table1[[#This Row],[Reporting date]]))</f>
        <v>2006</v>
      </c>
      <c r="V1186" s="17">
        <f>Table1[[#This Row],[Reporting year]]-Table1[[#This Row],[Policy Year]]</f>
        <v>0</v>
      </c>
      <c r="W1186" s="17">
        <f>INT(Table1[[#This Row],[Reporting date]])-INT(Table1[[#This Row],[Loss date]])</f>
        <v>28</v>
      </c>
      <c r="X1186" s="17">
        <f>INT((YEAR(Table1[[#This Row],[Loss date]])*12+MONTH(Table1[[#This Row],[Loss date]])-Earliest_Month)/4)</f>
        <v>5</v>
      </c>
      <c r="Y1186" s="17">
        <f>INT((YEAR(Table1[[#This Row],[Reporting date]])*12+MONTH(Table1[[#This Row],[Reporting date]])-Earliest_Month)/4)</f>
        <v>5</v>
      </c>
      <c r="Z1186" s="17">
        <f>Table1[[#This Row],[Reporting third]]-Table1[[#This Row],[Policy third]]</f>
        <v>0</v>
      </c>
      <c r="AA1186" s="71">
        <f>IF(Table1[[#This Row],[Overall amount]]=0,"N/A",Table1[[#This Row],[Outstanding]]/Table1[[#This Row],[Overall amount]])</f>
        <v>0</v>
      </c>
      <c r="AB1186" s="17">
        <f>IF(MONTH(Table1[[#This Row],[Loss date]])&lt;Pol_Inc_Month_Shifted,YEAR(Table1[[#This Row],[Loss date]])-1,YEAR(Table1[[#This Row],[Loss date]]))</f>
        <v>2006</v>
      </c>
      <c r="AC1186" s="17">
        <f>IF(MONTH(Table1[[#This Row],[Reporting date]])&lt;Pol_Inc_Month_Shifted,YEAR(Table1[[#This Row],[Reporting date]])-1,YEAR(Table1[[#This Row],[Reporting date]]))</f>
        <v>2006</v>
      </c>
      <c r="AD1186" s="17">
        <f>Table1[[#This Row],[Reporting year (shifted)]]-Table1[[#This Row],[Policy Year (shifted)]]</f>
        <v>0</v>
      </c>
    </row>
    <row r="1187" spans="1:30" ht="13.9">
      <c r="A1187" s="8" t="s">
        <v>2957</v>
      </c>
      <c r="B1187" s="8" t="s">
        <v>1239</v>
      </c>
      <c r="C1187" s="8" t="s">
        <v>123</v>
      </c>
      <c r="D1187" s="9">
        <v>39117</v>
      </c>
      <c r="E1187" s="9">
        <v>39347</v>
      </c>
      <c r="F1187" s="17">
        <f>IF(MONTH(Table1[[#This Row],[Loss date]])&lt;Policy_Inception_Month,YEAR(Table1[[#This Row],[Loss date]])-1,YEAR(Table1[[#This Row],[Loss date]]))</f>
        <v>2006</v>
      </c>
      <c r="G1187" s="10" t="s">
        <v>125</v>
      </c>
      <c r="H1187" s="10" t="s">
        <v>2</v>
      </c>
      <c r="I1187" s="11">
        <v>317.6246858926209</v>
      </c>
      <c r="J1187" s="11">
        <v>0</v>
      </c>
      <c r="K1187" s="11">
        <v>317.6246858926209</v>
      </c>
      <c r="L1187" s="12">
        <v>0</v>
      </c>
      <c r="M1187" s="12">
        <v>30.809594531584224</v>
      </c>
      <c r="N1187" s="12">
        <v>286.81509136103671</v>
      </c>
      <c r="O1187" s="70">
        <f>IF(Table1[[#This Row],[Overall amount]]=0,0,1)</f>
        <v>1</v>
      </c>
      <c r="P1187" s="70">
        <f>Table1[[#This Row],[Overall amount]]*Exchange_Rate</f>
        <v>286.81509136103671</v>
      </c>
      <c r="Q1187" s="70">
        <f>Table1[[#This Row],[Overall (destination currency)]]*(1+Claims_Inflation)^((Revalue_at_date-Table1[[#This Row],[Loss date]])/365.25)</f>
        <v>437.50350000000009</v>
      </c>
      <c r="R1187" s="70">
        <f>INT(Table1[[#This Row],[Reporting date]])-INT(Table1[[#This Row],[Loss date]])</f>
        <v>230</v>
      </c>
      <c r="S1187" s="69" t="s">
        <v>9</v>
      </c>
      <c r="T1187" s="70">
        <f>VLOOKUP(Table1[[#This Row],[Policy Year]],exposure_table,3,FALSE)</f>
        <v>483.32023209000977</v>
      </c>
      <c r="U1187" s="17">
        <f>IF(MONTH(Table1[[#This Row],[Reporting date]])&lt;Policy_Inception_Month,YEAR(Table1[[#This Row],[Reporting date]])-1,YEAR(Table1[[#This Row],[Reporting date]]))</f>
        <v>2007</v>
      </c>
      <c r="V1187" s="17">
        <f>Table1[[#This Row],[Reporting year]]-Table1[[#This Row],[Policy Year]]</f>
        <v>1</v>
      </c>
      <c r="W1187" s="17">
        <f>INT(Table1[[#This Row],[Reporting date]])-INT(Table1[[#This Row],[Loss date]])</f>
        <v>230</v>
      </c>
      <c r="X1187" s="17">
        <f>INT((YEAR(Table1[[#This Row],[Loss date]])*12+MONTH(Table1[[#This Row],[Loss date]])-Earliest_Month)/4)</f>
        <v>5</v>
      </c>
      <c r="Y1187" s="17">
        <f>INT((YEAR(Table1[[#This Row],[Reporting date]])*12+MONTH(Table1[[#This Row],[Reporting date]])-Earliest_Month)/4)</f>
        <v>7</v>
      </c>
      <c r="Z1187" s="17">
        <f>Table1[[#This Row],[Reporting third]]-Table1[[#This Row],[Policy third]]</f>
        <v>2</v>
      </c>
      <c r="AA1187" s="71">
        <f>IF(Table1[[#This Row],[Overall amount]]=0,"N/A",Table1[[#This Row],[Outstanding]]/Table1[[#This Row],[Overall amount]])</f>
        <v>0</v>
      </c>
      <c r="AB1187" s="17">
        <f>IF(MONTH(Table1[[#This Row],[Loss date]])&lt;Pol_Inc_Month_Shifted,YEAR(Table1[[#This Row],[Loss date]])-1,YEAR(Table1[[#This Row],[Loss date]]))</f>
        <v>2006</v>
      </c>
      <c r="AC1187" s="17">
        <f>IF(MONTH(Table1[[#This Row],[Reporting date]])&lt;Pol_Inc_Month_Shifted,YEAR(Table1[[#This Row],[Reporting date]])-1,YEAR(Table1[[#This Row],[Reporting date]]))</f>
        <v>2006</v>
      </c>
      <c r="AD1187" s="17">
        <f>Table1[[#This Row],[Reporting year (shifted)]]-Table1[[#This Row],[Policy Year (shifted)]]</f>
        <v>0</v>
      </c>
    </row>
    <row r="1188" spans="1:30" ht="13.9">
      <c r="A1188" s="8" t="s">
        <v>2958</v>
      </c>
      <c r="B1188" s="8" t="s">
        <v>1240</v>
      </c>
      <c r="C1188" s="8" t="s">
        <v>123</v>
      </c>
      <c r="D1188" s="9">
        <v>39200</v>
      </c>
      <c r="E1188" s="9">
        <v>39454</v>
      </c>
      <c r="F1188" s="17">
        <f>IF(MONTH(Table1[[#This Row],[Loss date]])&lt;Policy_Inception_Month,YEAR(Table1[[#This Row],[Loss date]])-1,YEAR(Table1[[#This Row],[Loss date]]))</f>
        <v>2007</v>
      </c>
      <c r="G1188" s="10" t="s">
        <v>124</v>
      </c>
      <c r="H1188" s="10" t="s">
        <v>2</v>
      </c>
      <c r="I1188" s="11">
        <v>7224.5568412370912</v>
      </c>
      <c r="J1188" s="11">
        <v>0</v>
      </c>
      <c r="K1188" s="11">
        <v>7224.5568412370912</v>
      </c>
      <c r="L1188" s="12">
        <v>0</v>
      </c>
      <c r="M1188" s="12">
        <v>0</v>
      </c>
      <c r="N1188" s="12">
        <v>7224.5568412370912</v>
      </c>
      <c r="O1188" s="70">
        <f>IF(Table1[[#This Row],[Overall amount]]=0,0,1)</f>
        <v>1</v>
      </c>
      <c r="P1188" s="70">
        <f>Table1[[#This Row],[Overall amount]]*Exchange_Rate</f>
        <v>7224.5568412370912</v>
      </c>
      <c r="Q1188" s="70">
        <f>Table1[[#This Row],[Overall (destination currency)]]*(1+Claims_Inflation)^((Revalue_at_date-Table1[[#This Row],[Loss date]])/365.25)</f>
        <v>10898.724</v>
      </c>
      <c r="R1188" s="70">
        <f>INT(Table1[[#This Row],[Reporting date]])-INT(Table1[[#This Row],[Loss date]])</f>
        <v>254</v>
      </c>
      <c r="S1188" s="69" t="s">
        <v>9</v>
      </c>
      <c r="T1188" s="70">
        <f>VLOOKUP(Table1[[#This Row],[Policy Year]],exposure_table,3,FALSE)</f>
        <v>547.7736362475523</v>
      </c>
      <c r="U1188" s="17">
        <f>IF(MONTH(Table1[[#This Row],[Reporting date]])&lt;Policy_Inception_Month,YEAR(Table1[[#This Row],[Reporting date]])-1,YEAR(Table1[[#This Row],[Reporting date]]))</f>
        <v>2007</v>
      </c>
      <c r="V1188" s="17">
        <f>Table1[[#This Row],[Reporting year]]-Table1[[#This Row],[Policy Year]]</f>
        <v>0</v>
      </c>
      <c r="W1188" s="17">
        <f>INT(Table1[[#This Row],[Reporting date]])-INT(Table1[[#This Row],[Loss date]])</f>
        <v>254</v>
      </c>
      <c r="X1188" s="17">
        <f>INT((YEAR(Table1[[#This Row],[Loss date]])*12+MONTH(Table1[[#This Row],[Loss date]])-Earliest_Month)/4)</f>
        <v>6</v>
      </c>
      <c r="Y1188" s="17">
        <f>INT((YEAR(Table1[[#This Row],[Reporting date]])*12+MONTH(Table1[[#This Row],[Reporting date]])-Earliest_Month)/4)</f>
        <v>8</v>
      </c>
      <c r="Z1188" s="17">
        <f>Table1[[#This Row],[Reporting third]]-Table1[[#This Row],[Policy third]]</f>
        <v>2</v>
      </c>
      <c r="AA1188" s="71">
        <f>IF(Table1[[#This Row],[Overall amount]]=0,"N/A",Table1[[#This Row],[Outstanding]]/Table1[[#This Row],[Overall amount]])</f>
        <v>0</v>
      </c>
      <c r="AB1188" s="17">
        <f>IF(MONTH(Table1[[#This Row],[Loss date]])&lt;Pol_Inc_Month_Shifted,YEAR(Table1[[#This Row],[Loss date]])-1,YEAR(Table1[[#This Row],[Loss date]]))</f>
        <v>2006</v>
      </c>
      <c r="AC1188" s="17">
        <f>IF(MONTH(Table1[[#This Row],[Reporting date]])&lt;Pol_Inc_Month_Shifted,YEAR(Table1[[#This Row],[Reporting date]])-1,YEAR(Table1[[#This Row],[Reporting date]]))</f>
        <v>2007</v>
      </c>
      <c r="AD1188" s="17">
        <f>Table1[[#This Row],[Reporting year (shifted)]]-Table1[[#This Row],[Policy Year (shifted)]]</f>
        <v>1</v>
      </c>
    </row>
    <row r="1189" spans="1:30" ht="13.9">
      <c r="A1189" s="8" t="s">
        <v>2959</v>
      </c>
      <c r="B1189" s="8" t="s">
        <v>1241</v>
      </c>
      <c r="C1189" s="8" t="s">
        <v>123</v>
      </c>
      <c r="D1189" s="9">
        <v>39550</v>
      </c>
      <c r="E1189" s="9">
        <v>39557</v>
      </c>
      <c r="F1189" s="17">
        <f>IF(MONTH(Table1[[#This Row],[Loss date]])&lt;Policy_Inception_Month,YEAR(Table1[[#This Row],[Loss date]])-1,YEAR(Table1[[#This Row],[Loss date]]))</f>
        <v>2008</v>
      </c>
      <c r="G1189" s="10" t="s">
        <v>125</v>
      </c>
      <c r="H1189" s="10" t="s">
        <v>2</v>
      </c>
      <c r="I1189" s="11">
        <v>66378.312122860982</v>
      </c>
      <c r="J1189" s="11">
        <v>0</v>
      </c>
      <c r="K1189" s="11">
        <v>66378.312122860982</v>
      </c>
      <c r="L1189" s="12">
        <v>0</v>
      </c>
      <c r="M1189" s="12">
        <v>0</v>
      </c>
      <c r="N1189" s="12">
        <v>66378.312122860982</v>
      </c>
      <c r="O1189" s="70">
        <f>IF(Table1[[#This Row],[Overall amount]]=0,0,1)</f>
        <v>1</v>
      </c>
      <c r="P1189" s="70">
        <f>Table1[[#This Row],[Overall amount]]*Exchange_Rate</f>
        <v>66378.312122860982</v>
      </c>
      <c r="Q1189" s="70">
        <f>Table1[[#This Row],[Overall (destination currency)]]*(1+Claims_Inflation)^((Revalue_at_date-Table1[[#This Row],[Loss date]])/365.25)</f>
        <v>95562.18</v>
      </c>
      <c r="R1189" s="70">
        <f>INT(Table1[[#This Row],[Reporting date]])-INT(Table1[[#This Row],[Loss date]])</f>
        <v>7</v>
      </c>
      <c r="S1189" s="69" t="s">
        <v>9</v>
      </c>
      <c r="T1189" s="70">
        <f>VLOOKUP(Table1[[#This Row],[Policy Year]],exposure_table,3,FALSE)</f>
        <v>601.98581780480015</v>
      </c>
      <c r="U1189" s="17">
        <f>IF(MONTH(Table1[[#This Row],[Reporting date]])&lt;Policy_Inception_Month,YEAR(Table1[[#This Row],[Reporting date]])-1,YEAR(Table1[[#This Row],[Reporting date]]))</f>
        <v>2008</v>
      </c>
      <c r="V1189" s="17">
        <f>Table1[[#This Row],[Reporting year]]-Table1[[#This Row],[Policy Year]]</f>
        <v>0</v>
      </c>
      <c r="W1189" s="17">
        <f>INT(Table1[[#This Row],[Reporting date]])-INT(Table1[[#This Row],[Loss date]])</f>
        <v>7</v>
      </c>
      <c r="X1189" s="17">
        <f>INT((YEAR(Table1[[#This Row],[Loss date]])*12+MONTH(Table1[[#This Row],[Loss date]])-Earliest_Month)/4)</f>
        <v>9</v>
      </c>
      <c r="Y1189" s="17">
        <f>INT((YEAR(Table1[[#This Row],[Reporting date]])*12+MONTH(Table1[[#This Row],[Reporting date]])-Earliest_Month)/4)</f>
        <v>9</v>
      </c>
      <c r="Z1189" s="17">
        <f>Table1[[#This Row],[Reporting third]]-Table1[[#This Row],[Policy third]]</f>
        <v>0</v>
      </c>
      <c r="AA1189" s="71">
        <f>IF(Table1[[#This Row],[Overall amount]]=0,"N/A",Table1[[#This Row],[Outstanding]]/Table1[[#This Row],[Overall amount]])</f>
        <v>0</v>
      </c>
      <c r="AB1189" s="17">
        <f>IF(MONTH(Table1[[#This Row],[Loss date]])&lt;Pol_Inc_Month_Shifted,YEAR(Table1[[#This Row],[Loss date]])-1,YEAR(Table1[[#This Row],[Loss date]]))</f>
        <v>2007</v>
      </c>
      <c r="AC1189" s="17">
        <f>IF(MONTH(Table1[[#This Row],[Reporting date]])&lt;Pol_Inc_Month_Shifted,YEAR(Table1[[#This Row],[Reporting date]])-1,YEAR(Table1[[#This Row],[Reporting date]]))</f>
        <v>2007</v>
      </c>
      <c r="AD1189" s="17">
        <f>Table1[[#This Row],[Reporting year (shifted)]]-Table1[[#This Row],[Policy Year (shifted)]]</f>
        <v>0</v>
      </c>
    </row>
    <row r="1190" spans="1:30" ht="13.9">
      <c r="A1190" s="8" t="s">
        <v>2960</v>
      </c>
      <c r="B1190" s="8" t="s">
        <v>1242</v>
      </c>
      <c r="C1190" s="8" t="s">
        <v>123</v>
      </c>
      <c r="D1190" s="9">
        <v>39282</v>
      </c>
      <c r="E1190" s="9">
        <v>39672</v>
      </c>
      <c r="F1190" s="17">
        <f>IF(MONTH(Table1[[#This Row],[Loss date]])&lt;Policy_Inception_Month,YEAR(Table1[[#This Row],[Loss date]])-1,YEAR(Table1[[#This Row],[Loss date]]))</f>
        <v>2007</v>
      </c>
      <c r="G1190" s="10" t="s">
        <v>127</v>
      </c>
      <c r="H1190" s="10" t="s">
        <v>2</v>
      </c>
      <c r="I1190" s="11">
        <v>2260.8663733104145</v>
      </c>
      <c r="J1190" s="11">
        <v>0</v>
      </c>
      <c r="K1190" s="11">
        <v>2260.8663733104145</v>
      </c>
      <c r="L1190" s="12">
        <v>0</v>
      </c>
      <c r="M1190" s="12">
        <v>149.21718063848735</v>
      </c>
      <c r="N1190" s="12">
        <v>2111.6491926719273</v>
      </c>
      <c r="O1190" s="70">
        <f>IF(Table1[[#This Row],[Overall amount]]=0,0,1)</f>
        <v>1</v>
      </c>
      <c r="P1190" s="70">
        <f>Table1[[#This Row],[Overall amount]]*Exchange_Rate</f>
        <v>2111.6491926719273</v>
      </c>
      <c r="Q1190" s="70">
        <f>Table1[[#This Row],[Overall (destination currency)]]*(1+Claims_Inflation)^((Revalue_at_date-Table1[[#This Row],[Loss date]])/365.25)</f>
        <v>3150.8602080000005</v>
      </c>
      <c r="R1190" s="70">
        <f>INT(Table1[[#This Row],[Reporting date]])-INT(Table1[[#This Row],[Loss date]])</f>
        <v>390</v>
      </c>
      <c r="S1190" s="69" t="s">
        <v>9</v>
      </c>
      <c r="T1190" s="70">
        <f>VLOOKUP(Table1[[#This Row],[Policy Year]],exposure_table,3,FALSE)</f>
        <v>547.7736362475523</v>
      </c>
      <c r="U1190" s="17">
        <f>IF(MONTH(Table1[[#This Row],[Reporting date]])&lt;Policy_Inception_Month,YEAR(Table1[[#This Row],[Reporting date]])-1,YEAR(Table1[[#This Row],[Reporting date]]))</f>
        <v>2008</v>
      </c>
      <c r="V1190" s="17">
        <f>Table1[[#This Row],[Reporting year]]-Table1[[#This Row],[Policy Year]]</f>
        <v>1</v>
      </c>
      <c r="W1190" s="17">
        <f>INT(Table1[[#This Row],[Reporting date]])-INT(Table1[[#This Row],[Loss date]])</f>
        <v>390</v>
      </c>
      <c r="X1190" s="17">
        <f>INT((YEAR(Table1[[#This Row],[Loss date]])*12+MONTH(Table1[[#This Row],[Loss date]])-Earliest_Month)/4)</f>
        <v>6</v>
      </c>
      <c r="Y1190" s="17">
        <f>INT((YEAR(Table1[[#This Row],[Reporting date]])*12+MONTH(Table1[[#This Row],[Reporting date]])-Earliest_Month)/4)</f>
        <v>10</v>
      </c>
      <c r="Z1190" s="17">
        <f>Table1[[#This Row],[Reporting third]]-Table1[[#This Row],[Policy third]]</f>
        <v>4</v>
      </c>
      <c r="AA1190" s="71">
        <f>IF(Table1[[#This Row],[Overall amount]]=0,"N/A",Table1[[#This Row],[Outstanding]]/Table1[[#This Row],[Overall amount]])</f>
        <v>0</v>
      </c>
      <c r="AB1190" s="17">
        <f>IF(MONTH(Table1[[#This Row],[Loss date]])&lt;Pol_Inc_Month_Shifted,YEAR(Table1[[#This Row],[Loss date]])-1,YEAR(Table1[[#This Row],[Loss date]]))</f>
        <v>2006</v>
      </c>
      <c r="AC1190" s="17">
        <f>IF(MONTH(Table1[[#This Row],[Reporting date]])&lt;Pol_Inc_Month_Shifted,YEAR(Table1[[#This Row],[Reporting date]])-1,YEAR(Table1[[#This Row],[Reporting date]]))</f>
        <v>2007</v>
      </c>
      <c r="AD1190" s="17">
        <f>Table1[[#This Row],[Reporting year (shifted)]]-Table1[[#This Row],[Policy Year (shifted)]]</f>
        <v>1</v>
      </c>
    </row>
    <row r="1191" spans="1:30" ht="13.9">
      <c r="A1191" s="8" t="s">
        <v>2961</v>
      </c>
      <c r="B1191" s="8" t="s">
        <v>1243</v>
      </c>
      <c r="C1191" s="8" t="s">
        <v>123</v>
      </c>
      <c r="D1191" s="9">
        <v>39097</v>
      </c>
      <c r="E1191" s="9">
        <v>39703</v>
      </c>
      <c r="F1191" s="17">
        <f>IF(MONTH(Table1[[#This Row],[Loss date]])&lt;Policy_Inception_Month,YEAR(Table1[[#This Row],[Loss date]])-1,YEAR(Table1[[#This Row],[Loss date]]))</f>
        <v>2006</v>
      </c>
      <c r="G1191" s="10" t="s">
        <v>125</v>
      </c>
      <c r="H1191" s="10" t="s">
        <v>2</v>
      </c>
      <c r="I1191" s="11">
        <v>1055.9294008769411</v>
      </c>
      <c r="J1191" s="11">
        <v>0</v>
      </c>
      <c r="K1191" s="11">
        <v>1055.9294008769411</v>
      </c>
      <c r="L1191" s="12">
        <v>0</v>
      </c>
      <c r="M1191" s="12">
        <v>0</v>
      </c>
      <c r="N1191" s="12">
        <v>1055.9294008769411</v>
      </c>
      <c r="O1191" s="70">
        <f>IF(Table1[[#This Row],[Overall amount]]=0,0,1)</f>
        <v>1</v>
      </c>
      <c r="P1191" s="70">
        <f>Table1[[#This Row],[Overall amount]]*Exchange_Rate</f>
        <v>1055.9294008769411</v>
      </c>
      <c r="Q1191" s="70">
        <f>Table1[[#This Row],[Overall (destination currency)]]*(1+Claims_Inflation)^((Revalue_at_date-Table1[[#This Row],[Loss date]])/365.25)</f>
        <v>1615.0079999999998</v>
      </c>
      <c r="R1191" s="70">
        <f>INT(Table1[[#This Row],[Reporting date]])-INT(Table1[[#This Row],[Loss date]])</f>
        <v>606</v>
      </c>
      <c r="S1191" s="69" t="s">
        <v>9</v>
      </c>
      <c r="T1191" s="70">
        <f>VLOOKUP(Table1[[#This Row],[Policy Year]],exposure_table,3,FALSE)</f>
        <v>483.32023209000977</v>
      </c>
      <c r="U1191" s="17">
        <f>IF(MONTH(Table1[[#This Row],[Reporting date]])&lt;Policy_Inception_Month,YEAR(Table1[[#This Row],[Reporting date]])-1,YEAR(Table1[[#This Row],[Reporting date]]))</f>
        <v>2008</v>
      </c>
      <c r="V1191" s="17">
        <f>Table1[[#This Row],[Reporting year]]-Table1[[#This Row],[Policy Year]]</f>
        <v>2</v>
      </c>
      <c r="W1191" s="17">
        <f>INT(Table1[[#This Row],[Reporting date]])-INT(Table1[[#This Row],[Loss date]])</f>
        <v>606</v>
      </c>
      <c r="X1191" s="17">
        <f>INT((YEAR(Table1[[#This Row],[Loss date]])*12+MONTH(Table1[[#This Row],[Loss date]])-Earliest_Month)/4)</f>
        <v>5</v>
      </c>
      <c r="Y1191" s="17">
        <f>INT((YEAR(Table1[[#This Row],[Reporting date]])*12+MONTH(Table1[[#This Row],[Reporting date]])-Earliest_Month)/4)</f>
        <v>10</v>
      </c>
      <c r="Z1191" s="17">
        <f>Table1[[#This Row],[Reporting third]]-Table1[[#This Row],[Policy third]]</f>
        <v>5</v>
      </c>
      <c r="AA1191" s="71">
        <f>IF(Table1[[#This Row],[Overall amount]]=0,"N/A",Table1[[#This Row],[Outstanding]]/Table1[[#This Row],[Overall amount]])</f>
        <v>0</v>
      </c>
      <c r="AB1191" s="17">
        <f>IF(MONTH(Table1[[#This Row],[Loss date]])&lt;Pol_Inc_Month_Shifted,YEAR(Table1[[#This Row],[Loss date]])-1,YEAR(Table1[[#This Row],[Loss date]]))</f>
        <v>2006</v>
      </c>
      <c r="AC1191" s="17">
        <f>IF(MONTH(Table1[[#This Row],[Reporting date]])&lt;Pol_Inc_Month_Shifted,YEAR(Table1[[#This Row],[Reporting date]])-1,YEAR(Table1[[#This Row],[Reporting date]]))</f>
        <v>2007</v>
      </c>
      <c r="AD1191" s="17">
        <f>Table1[[#This Row],[Reporting year (shifted)]]-Table1[[#This Row],[Policy Year (shifted)]]</f>
        <v>1</v>
      </c>
    </row>
    <row r="1192" spans="1:30" ht="13.9">
      <c r="A1192" s="8" t="s">
        <v>2962</v>
      </c>
      <c r="B1192" s="8" t="s">
        <v>1244</v>
      </c>
      <c r="C1192" s="8" t="s">
        <v>123</v>
      </c>
      <c r="D1192" s="9">
        <v>39756</v>
      </c>
      <c r="E1192" s="9">
        <v>39770</v>
      </c>
      <c r="F1192" s="17">
        <f>IF(MONTH(Table1[[#This Row],[Loss date]])&lt;Policy_Inception_Month,YEAR(Table1[[#This Row],[Loss date]])-1,YEAR(Table1[[#This Row],[Loss date]]))</f>
        <v>2008</v>
      </c>
      <c r="G1192" s="10" t="s">
        <v>131</v>
      </c>
      <c r="H1192" s="10" t="s">
        <v>2</v>
      </c>
      <c r="I1192" s="11">
        <v>637.23421729237054</v>
      </c>
      <c r="J1192" s="11">
        <v>0</v>
      </c>
      <c r="K1192" s="11">
        <v>637.23421729237054</v>
      </c>
      <c r="L1192" s="12">
        <v>0</v>
      </c>
      <c r="M1192" s="12">
        <v>0</v>
      </c>
      <c r="N1192" s="12">
        <v>637.23421729237054</v>
      </c>
      <c r="O1192" s="70">
        <f>IF(Table1[[#This Row],[Overall amount]]=0,0,1)</f>
        <v>1</v>
      </c>
      <c r="P1192" s="70">
        <f>Table1[[#This Row],[Overall amount]]*Exchange_Rate</f>
        <v>637.23421729237054</v>
      </c>
      <c r="Q1192" s="70">
        <f>Table1[[#This Row],[Overall (destination currency)]]*(1+Claims_Inflation)^((Revalue_at_date-Table1[[#This Row],[Loss date]])/365.25)</f>
        <v>892.50000000000011</v>
      </c>
      <c r="R1192" s="70">
        <f>INT(Table1[[#This Row],[Reporting date]])-INT(Table1[[#This Row],[Loss date]])</f>
        <v>14</v>
      </c>
      <c r="S1192" s="69" t="s">
        <v>9</v>
      </c>
      <c r="T1192" s="70">
        <f>VLOOKUP(Table1[[#This Row],[Policy Year]],exposure_table,3,FALSE)</f>
        <v>601.98581780480015</v>
      </c>
      <c r="U1192" s="17">
        <f>IF(MONTH(Table1[[#This Row],[Reporting date]])&lt;Policy_Inception_Month,YEAR(Table1[[#This Row],[Reporting date]])-1,YEAR(Table1[[#This Row],[Reporting date]]))</f>
        <v>2008</v>
      </c>
      <c r="V1192" s="17">
        <f>Table1[[#This Row],[Reporting year]]-Table1[[#This Row],[Policy Year]]</f>
        <v>0</v>
      </c>
      <c r="W1192" s="17">
        <f>INT(Table1[[#This Row],[Reporting date]])-INT(Table1[[#This Row],[Loss date]])</f>
        <v>14</v>
      </c>
      <c r="X1192" s="17">
        <f>INT((YEAR(Table1[[#This Row],[Loss date]])*12+MONTH(Table1[[#This Row],[Loss date]])-Earliest_Month)/4)</f>
        <v>10</v>
      </c>
      <c r="Y1192" s="17">
        <f>INT((YEAR(Table1[[#This Row],[Reporting date]])*12+MONTH(Table1[[#This Row],[Reporting date]])-Earliest_Month)/4)</f>
        <v>10</v>
      </c>
      <c r="Z1192" s="17">
        <f>Table1[[#This Row],[Reporting third]]-Table1[[#This Row],[Policy third]]</f>
        <v>0</v>
      </c>
      <c r="AA1192" s="71">
        <f>IF(Table1[[#This Row],[Overall amount]]=0,"N/A",Table1[[#This Row],[Outstanding]]/Table1[[#This Row],[Overall amount]])</f>
        <v>0</v>
      </c>
      <c r="AB1192" s="17">
        <f>IF(MONTH(Table1[[#This Row],[Loss date]])&lt;Pol_Inc_Month_Shifted,YEAR(Table1[[#This Row],[Loss date]])-1,YEAR(Table1[[#This Row],[Loss date]]))</f>
        <v>2007</v>
      </c>
      <c r="AC1192" s="17">
        <f>IF(MONTH(Table1[[#This Row],[Reporting date]])&lt;Pol_Inc_Month_Shifted,YEAR(Table1[[#This Row],[Reporting date]])-1,YEAR(Table1[[#This Row],[Reporting date]]))</f>
        <v>2007</v>
      </c>
      <c r="AD1192" s="17">
        <f>Table1[[#This Row],[Reporting year (shifted)]]-Table1[[#This Row],[Policy Year (shifted)]]</f>
        <v>0</v>
      </c>
    </row>
    <row r="1193" spans="1:30" ht="13.9">
      <c r="A1193" s="8" t="s">
        <v>2963</v>
      </c>
      <c r="B1193" s="8" t="s">
        <v>1245</v>
      </c>
      <c r="C1193" s="8" t="s">
        <v>123</v>
      </c>
      <c r="D1193" s="9">
        <v>39685</v>
      </c>
      <c r="E1193" s="9">
        <v>39798</v>
      </c>
      <c r="F1193" s="17">
        <f>IF(MONTH(Table1[[#This Row],[Loss date]])&lt;Policy_Inception_Month,YEAR(Table1[[#This Row],[Loss date]])-1,YEAR(Table1[[#This Row],[Loss date]]))</f>
        <v>2008</v>
      </c>
      <c r="G1193" s="10" t="s">
        <v>124</v>
      </c>
      <c r="H1193" s="10" t="s">
        <v>2</v>
      </c>
      <c r="I1193" s="11">
        <v>5056.8227255042393</v>
      </c>
      <c r="J1193" s="11">
        <v>0</v>
      </c>
      <c r="K1193" s="11">
        <v>5056.8227255042393</v>
      </c>
      <c r="L1193" s="12">
        <v>0</v>
      </c>
      <c r="M1193" s="12">
        <v>0</v>
      </c>
      <c r="N1193" s="12">
        <v>5056.8227255042393</v>
      </c>
      <c r="O1193" s="70">
        <f>IF(Table1[[#This Row],[Overall amount]]=0,0,1)</f>
        <v>1</v>
      </c>
      <c r="P1193" s="70">
        <f>Table1[[#This Row],[Overall amount]]*Exchange_Rate</f>
        <v>5056.8227255042393</v>
      </c>
      <c r="Q1193" s="70">
        <f>Table1[[#This Row],[Overall (destination currency)]]*(1+Claims_Inflation)^((Revalue_at_date-Table1[[#This Row],[Loss date]])/365.25)</f>
        <v>7149.996000000001</v>
      </c>
      <c r="R1193" s="70">
        <f>INT(Table1[[#This Row],[Reporting date]])-INT(Table1[[#This Row],[Loss date]])</f>
        <v>113</v>
      </c>
      <c r="S1193" s="69" t="s">
        <v>9</v>
      </c>
      <c r="T1193" s="70">
        <f>VLOOKUP(Table1[[#This Row],[Policy Year]],exposure_table,3,FALSE)</f>
        <v>601.98581780480015</v>
      </c>
      <c r="U1193" s="17">
        <f>IF(MONTH(Table1[[#This Row],[Reporting date]])&lt;Policy_Inception_Month,YEAR(Table1[[#This Row],[Reporting date]])-1,YEAR(Table1[[#This Row],[Reporting date]]))</f>
        <v>2008</v>
      </c>
      <c r="V1193" s="17">
        <f>Table1[[#This Row],[Reporting year]]-Table1[[#This Row],[Policy Year]]</f>
        <v>0</v>
      </c>
      <c r="W1193" s="17">
        <f>INT(Table1[[#This Row],[Reporting date]])-INT(Table1[[#This Row],[Loss date]])</f>
        <v>113</v>
      </c>
      <c r="X1193" s="17">
        <f>INT((YEAR(Table1[[#This Row],[Loss date]])*12+MONTH(Table1[[#This Row],[Loss date]])-Earliest_Month)/4)</f>
        <v>10</v>
      </c>
      <c r="Y1193" s="17">
        <f>INT((YEAR(Table1[[#This Row],[Reporting date]])*12+MONTH(Table1[[#This Row],[Reporting date]])-Earliest_Month)/4)</f>
        <v>11</v>
      </c>
      <c r="Z1193" s="17">
        <f>Table1[[#This Row],[Reporting third]]-Table1[[#This Row],[Policy third]]</f>
        <v>1</v>
      </c>
      <c r="AA1193" s="71">
        <f>IF(Table1[[#This Row],[Overall amount]]=0,"N/A",Table1[[#This Row],[Outstanding]]/Table1[[#This Row],[Overall amount]])</f>
        <v>0</v>
      </c>
      <c r="AB1193" s="17">
        <f>IF(MONTH(Table1[[#This Row],[Loss date]])&lt;Pol_Inc_Month_Shifted,YEAR(Table1[[#This Row],[Loss date]])-1,YEAR(Table1[[#This Row],[Loss date]]))</f>
        <v>2007</v>
      </c>
      <c r="AC1193" s="17">
        <f>IF(MONTH(Table1[[#This Row],[Reporting date]])&lt;Pol_Inc_Month_Shifted,YEAR(Table1[[#This Row],[Reporting date]])-1,YEAR(Table1[[#This Row],[Reporting date]]))</f>
        <v>2008</v>
      </c>
      <c r="AD1193" s="17">
        <f>Table1[[#This Row],[Reporting year (shifted)]]-Table1[[#This Row],[Policy Year (shifted)]]</f>
        <v>1</v>
      </c>
    </row>
    <row r="1194" spans="1:30" ht="13.9">
      <c r="A1194" s="8" t="s">
        <v>2964</v>
      </c>
      <c r="B1194" s="8" t="s">
        <v>1246</v>
      </c>
      <c r="C1194" s="8" t="s">
        <v>123</v>
      </c>
      <c r="D1194" s="9">
        <v>39521</v>
      </c>
      <c r="E1194" s="9">
        <v>39921</v>
      </c>
      <c r="F1194" s="17">
        <f>IF(MONTH(Table1[[#This Row],[Loss date]])&lt;Policy_Inception_Month,YEAR(Table1[[#This Row],[Loss date]])-1,YEAR(Table1[[#This Row],[Loss date]]))</f>
        <v>2007</v>
      </c>
      <c r="G1194" s="10" t="s">
        <v>131</v>
      </c>
      <c r="H1194" s="10" t="s">
        <v>2</v>
      </c>
      <c r="I1194" s="11">
        <v>5092.5506096950612</v>
      </c>
      <c r="J1194" s="11">
        <v>0</v>
      </c>
      <c r="K1194" s="11">
        <v>5092.5506096950612</v>
      </c>
      <c r="L1194" s="12">
        <v>0</v>
      </c>
      <c r="M1194" s="12">
        <v>0</v>
      </c>
      <c r="N1194" s="12">
        <v>5092.5506096950612</v>
      </c>
      <c r="O1194" s="70">
        <f>IF(Table1[[#This Row],[Overall amount]]=0,0,1)</f>
        <v>1</v>
      </c>
      <c r="P1194" s="70">
        <f>Table1[[#This Row],[Overall amount]]*Exchange_Rate</f>
        <v>5092.5506096950612</v>
      </c>
      <c r="Q1194" s="70">
        <f>Table1[[#This Row],[Overall (destination currency)]]*(1+Claims_Inflation)^((Revalue_at_date-Table1[[#This Row],[Loss date]])/365.25)</f>
        <v>7359.9959999999992</v>
      </c>
      <c r="R1194" s="70">
        <f>INT(Table1[[#This Row],[Reporting date]])-INT(Table1[[#This Row],[Loss date]])</f>
        <v>400</v>
      </c>
      <c r="S1194" s="69" t="s">
        <v>9</v>
      </c>
      <c r="T1194" s="70">
        <f>VLOOKUP(Table1[[#This Row],[Policy Year]],exposure_table,3,FALSE)</f>
        <v>547.7736362475523</v>
      </c>
      <c r="U1194" s="17">
        <f>IF(MONTH(Table1[[#This Row],[Reporting date]])&lt;Policy_Inception_Month,YEAR(Table1[[#This Row],[Reporting date]])-1,YEAR(Table1[[#This Row],[Reporting date]]))</f>
        <v>2009</v>
      </c>
      <c r="V1194" s="17">
        <f>Table1[[#This Row],[Reporting year]]-Table1[[#This Row],[Policy Year]]</f>
        <v>2</v>
      </c>
      <c r="W1194" s="17">
        <f>INT(Table1[[#This Row],[Reporting date]])-INT(Table1[[#This Row],[Loss date]])</f>
        <v>400</v>
      </c>
      <c r="X1194" s="17">
        <f>INT((YEAR(Table1[[#This Row],[Loss date]])*12+MONTH(Table1[[#This Row],[Loss date]])-Earliest_Month)/4)</f>
        <v>8</v>
      </c>
      <c r="Y1194" s="17">
        <f>INT((YEAR(Table1[[#This Row],[Reporting date]])*12+MONTH(Table1[[#This Row],[Reporting date]])-Earliest_Month)/4)</f>
        <v>12</v>
      </c>
      <c r="Z1194" s="17">
        <f>Table1[[#This Row],[Reporting third]]-Table1[[#This Row],[Policy third]]</f>
        <v>4</v>
      </c>
      <c r="AA1194" s="71">
        <f>IF(Table1[[#This Row],[Overall amount]]=0,"N/A",Table1[[#This Row],[Outstanding]]/Table1[[#This Row],[Overall amount]])</f>
        <v>0</v>
      </c>
      <c r="AB1194" s="17">
        <f>IF(MONTH(Table1[[#This Row],[Loss date]])&lt;Pol_Inc_Month_Shifted,YEAR(Table1[[#This Row],[Loss date]])-1,YEAR(Table1[[#This Row],[Loss date]]))</f>
        <v>2007</v>
      </c>
      <c r="AC1194" s="17">
        <f>IF(MONTH(Table1[[#This Row],[Reporting date]])&lt;Pol_Inc_Month_Shifted,YEAR(Table1[[#This Row],[Reporting date]])-1,YEAR(Table1[[#This Row],[Reporting date]]))</f>
        <v>2008</v>
      </c>
      <c r="AD1194" s="17">
        <f>Table1[[#This Row],[Reporting year (shifted)]]-Table1[[#This Row],[Policy Year (shifted)]]</f>
        <v>1</v>
      </c>
    </row>
    <row r="1195" spans="1:30" ht="13.9">
      <c r="A1195" s="8" t="s">
        <v>2965</v>
      </c>
      <c r="B1195" s="8" t="s">
        <v>1247</v>
      </c>
      <c r="C1195" s="8" t="s">
        <v>123</v>
      </c>
      <c r="D1195" s="9">
        <v>39599</v>
      </c>
      <c r="E1195" s="9">
        <v>40004</v>
      </c>
      <c r="F1195" s="17">
        <f>IF(MONTH(Table1[[#This Row],[Loss date]])&lt;Policy_Inception_Month,YEAR(Table1[[#This Row],[Loss date]])-1,YEAR(Table1[[#This Row],[Loss date]]))</f>
        <v>2008</v>
      </c>
      <c r="G1195" s="10" t="s">
        <v>125</v>
      </c>
      <c r="H1195" s="10" t="s">
        <v>2</v>
      </c>
      <c r="I1195" s="11">
        <v>665.60706621861846</v>
      </c>
      <c r="J1195" s="11">
        <v>0</v>
      </c>
      <c r="K1195" s="11">
        <v>665.60706621861846</v>
      </c>
      <c r="L1195" s="12">
        <v>0</v>
      </c>
      <c r="M1195" s="12">
        <v>0</v>
      </c>
      <c r="N1195" s="12">
        <v>665.60706621861846</v>
      </c>
      <c r="O1195" s="70">
        <f>IF(Table1[[#This Row],[Overall amount]]=0,0,1)</f>
        <v>1</v>
      </c>
      <c r="P1195" s="70">
        <f>Table1[[#This Row],[Overall amount]]*Exchange_Rate</f>
        <v>665.60706621861846</v>
      </c>
      <c r="Q1195" s="70">
        <f>Table1[[#This Row],[Overall (destination currency)]]*(1+Claims_Inflation)^((Revalue_at_date-Table1[[#This Row],[Loss date]])/365.25)</f>
        <v>951.99599999999987</v>
      </c>
      <c r="R1195" s="70">
        <f>INT(Table1[[#This Row],[Reporting date]])-INT(Table1[[#This Row],[Loss date]])</f>
        <v>405</v>
      </c>
      <c r="S1195" s="69" t="s">
        <v>9</v>
      </c>
      <c r="T1195" s="70">
        <f>VLOOKUP(Table1[[#This Row],[Policy Year]],exposure_table,3,FALSE)</f>
        <v>601.98581780480015</v>
      </c>
      <c r="U1195" s="17">
        <f>IF(MONTH(Table1[[#This Row],[Reporting date]])&lt;Policy_Inception_Month,YEAR(Table1[[#This Row],[Reporting date]])-1,YEAR(Table1[[#This Row],[Reporting date]]))</f>
        <v>2009</v>
      </c>
      <c r="V1195" s="17">
        <f>Table1[[#This Row],[Reporting year]]-Table1[[#This Row],[Policy Year]]</f>
        <v>1</v>
      </c>
      <c r="W1195" s="17">
        <f>INT(Table1[[#This Row],[Reporting date]])-INT(Table1[[#This Row],[Loss date]])</f>
        <v>405</v>
      </c>
      <c r="X1195" s="17">
        <f>INT((YEAR(Table1[[#This Row],[Loss date]])*12+MONTH(Table1[[#This Row],[Loss date]])-Earliest_Month)/4)</f>
        <v>9</v>
      </c>
      <c r="Y1195" s="17">
        <f>INT((YEAR(Table1[[#This Row],[Reporting date]])*12+MONTH(Table1[[#This Row],[Reporting date]])-Earliest_Month)/4)</f>
        <v>12</v>
      </c>
      <c r="Z1195" s="17">
        <f>Table1[[#This Row],[Reporting third]]-Table1[[#This Row],[Policy third]]</f>
        <v>3</v>
      </c>
      <c r="AA1195" s="71">
        <f>IF(Table1[[#This Row],[Overall amount]]=0,"N/A",Table1[[#This Row],[Outstanding]]/Table1[[#This Row],[Overall amount]])</f>
        <v>0</v>
      </c>
      <c r="AB1195" s="17">
        <f>IF(MONTH(Table1[[#This Row],[Loss date]])&lt;Pol_Inc_Month_Shifted,YEAR(Table1[[#This Row],[Loss date]])-1,YEAR(Table1[[#This Row],[Loss date]]))</f>
        <v>2007</v>
      </c>
      <c r="AC1195" s="17">
        <f>IF(MONTH(Table1[[#This Row],[Reporting date]])&lt;Pol_Inc_Month_Shifted,YEAR(Table1[[#This Row],[Reporting date]])-1,YEAR(Table1[[#This Row],[Reporting date]]))</f>
        <v>2008</v>
      </c>
      <c r="AD1195" s="17">
        <f>Table1[[#This Row],[Reporting year (shifted)]]-Table1[[#This Row],[Policy Year (shifted)]]</f>
        <v>1</v>
      </c>
    </row>
    <row r="1196" spans="1:30" ht="13.9">
      <c r="A1196" s="8" t="s">
        <v>2966</v>
      </c>
      <c r="B1196" s="8" t="s">
        <v>1248</v>
      </c>
      <c r="C1196" s="8" t="s">
        <v>123</v>
      </c>
      <c r="D1196" s="9">
        <v>39829</v>
      </c>
      <c r="E1196" s="9">
        <v>40019</v>
      </c>
      <c r="F1196" s="17">
        <f>IF(MONTH(Table1[[#This Row],[Loss date]])&lt;Policy_Inception_Month,YEAR(Table1[[#This Row],[Loss date]])-1,YEAR(Table1[[#This Row],[Loss date]]))</f>
        <v>2008</v>
      </c>
      <c r="G1196" s="10" t="s">
        <v>125</v>
      </c>
      <c r="H1196" s="10" t="s">
        <v>2</v>
      </c>
      <c r="I1196" s="11">
        <v>894.74443018030058</v>
      </c>
      <c r="J1196" s="11">
        <v>0</v>
      </c>
      <c r="K1196" s="11">
        <v>894.74443018030058</v>
      </c>
      <c r="L1196" s="12">
        <v>0</v>
      </c>
      <c r="M1196" s="12">
        <v>0</v>
      </c>
      <c r="N1196" s="12">
        <v>894.74443018030058</v>
      </c>
      <c r="O1196" s="70">
        <f>IF(Table1[[#This Row],[Overall amount]]=0,0,1)</f>
        <v>1</v>
      </c>
      <c r="P1196" s="70">
        <f>Table1[[#This Row],[Overall amount]]*Exchange_Rate</f>
        <v>894.74443018030058</v>
      </c>
      <c r="Q1196" s="70">
        <f>Table1[[#This Row],[Overall (destination currency)]]*(1+Claims_Inflation)^((Revalue_at_date-Table1[[#This Row],[Loss date]])/365.25)</f>
        <v>1241.0040000000001</v>
      </c>
      <c r="R1196" s="70">
        <f>INT(Table1[[#This Row],[Reporting date]])-INT(Table1[[#This Row],[Loss date]])</f>
        <v>190</v>
      </c>
      <c r="S1196" s="69" t="s">
        <v>9</v>
      </c>
      <c r="T1196" s="70">
        <f>VLOOKUP(Table1[[#This Row],[Policy Year]],exposure_table,3,FALSE)</f>
        <v>601.98581780480015</v>
      </c>
      <c r="U1196" s="17">
        <f>IF(MONTH(Table1[[#This Row],[Reporting date]])&lt;Policy_Inception_Month,YEAR(Table1[[#This Row],[Reporting date]])-1,YEAR(Table1[[#This Row],[Reporting date]]))</f>
        <v>2009</v>
      </c>
      <c r="V1196" s="17">
        <f>Table1[[#This Row],[Reporting year]]-Table1[[#This Row],[Policy Year]]</f>
        <v>1</v>
      </c>
      <c r="W1196" s="17">
        <f>INT(Table1[[#This Row],[Reporting date]])-INT(Table1[[#This Row],[Loss date]])</f>
        <v>190</v>
      </c>
      <c r="X1196" s="17">
        <f>INT((YEAR(Table1[[#This Row],[Loss date]])*12+MONTH(Table1[[#This Row],[Loss date]])-Earliest_Month)/4)</f>
        <v>11</v>
      </c>
      <c r="Y1196" s="17">
        <f>INT((YEAR(Table1[[#This Row],[Reporting date]])*12+MONTH(Table1[[#This Row],[Reporting date]])-Earliest_Month)/4)</f>
        <v>12</v>
      </c>
      <c r="Z1196" s="17">
        <f>Table1[[#This Row],[Reporting third]]-Table1[[#This Row],[Policy third]]</f>
        <v>1</v>
      </c>
      <c r="AA1196" s="71">
        <f>IF(Table1[[#This Row],[Overall amount]]=0,"N/A",Table1[[#This Row],[Outstanding]]/Table1[[#This Row],[Overall amount]])</f>
        <v>0</v>
      </c>
      <c r="AB1196" s="17">
        <f>IF(MONTH(Table1[[#This Row],[Loss date]])&lt;Pol_Inc_Month_Shifted,YEAR(Table1[[#This Row],[Loss date]])-1,YEAR(Table1[[#This Row],[Loss date]]))</f>
        <v>2008</v>
      </c>
      <c r="AC1196" s="17">
        <f>IF(MONTH(Table1[[#This Row],[Reporting date]])&lt;Pol_Inc_Month_Shifted,YEAR(Table1[[#This Row],[Reporting date]])-1,YEAR(Table1[[#This Row],[Reporting date]]))</f>
        <v>2008</v>
      </c>
      <c r="AD1196" s="17">
        <f>Table1[[#This Row],[Reporting year (shifted)]]-Table1[[#This Row],[Policy Year (shifted)]]</f>
        <v>0</v>
      </c>
    </row>
    <row r="1197" spans="1:30" ht="13.9">
      <c r="A1197" s="8" t="s">
        <v>2967</v>
      </c>
      <c r="B1197" s="8" t="s">
        <v>1249</v>
      </c>
      <c r="C1197" s="8" t="s">
        <v>123</v>
      </c>
      <c r="D1197" s="9">
        <v>40103</v>
      </c>
      <c r="E1197" s="9">
        <v>40104</v>
      </c>
      <c r="F1197" s="17">
        <f>IF(MONTH(Table1[[#This Row],[Loss date]])&lt;Policy_Inception_Month,YEAR(Table1[[#This Row],[Loss date]])-1,YEAR(Table1[[#This Row],[Loss date]]))</f>
        <v>2009</v>
      </c>
      <c r="G1197" s="10" t="s">
        <v>131</v>
      </c>
      <c r="H1197" s="10" t="s">
        <v>2</v>
      </c>
      <c r="I1197" s="11">
        <v>1402.2411071328158</v>
      </c>
      <c r="J1197" s="11">
        <v>0</v>
      </c>
      <c r="K1197" s="11">
        <v>1402.2411071328158</v>
      </c>
      <c r="L1197" s="12">
        <v>0</v>
      </c>
      <c r="M1197" s="12">
        <v>0</v>
      </c>
      <c r="N1197" s="12">
        <v>1402.2411071328158</v>
      </c>
      <c r="O1197" s="70">
        <f>IF(Table1[[#This Row],[Overall amount]]=0,0,1)</f>
        <v>1</v>
      </c>
      <c r="P1197" s="70">
        <f>Table1[[#This Row],[Overall amount]]*Exchange_Rate</f>
        <v>1402.2411071328158</v>
      </c>
      <c r="Q1197" s="70">
        <f>Table1[[#This Row],[Overall (destination currency)]]*(1+Claims_Inflation)^((Revalue_at_date-Table1[[#This Row],[Loss date]])/365.25)</f>
        <v>1875.0000000000002</v>
      </c>
      <c r="R1197" s="70">
        <f>INT(Table1[[#This Row],[Reporting date]])-INT(Table1[[#This Row],[Loss date]])</f>
        <v>1</v>
      </c>
      <c r="S1197" s="69" t="s">
        <v>9</v>
      </c>
      <c r="T1197" s="70">
        <f>VLOOKUP(Table1[[#This Row],[Policy Year]],exposure_table,3,FALSE)</f>
        <v>760.22808576000011</v>
      </c>
      <c r="U1197" s="17">
        <f>IF(MONTH(Table1[[#This Row],[Reporting date]])&lt;Policy_Inception_Month,YEAR(Table1[[#This Row],[Reporting date]])-1,YEAR(Table1[[#This Row],[Reporting date]]))</f>
        <v>2009</v>
      </c>
      <c r="V1197" s="17">
        <f>Table1[[#This Row],[Reporting year]]-Table1[[#This Row],[Policy Year]]</f>
        <v>0</v>
      </c>
      <c r="W1197" s="17">
        <f>INT(Table1[[#This Row],[Reporting date]])-INT(Table1[[#This Row],[Loss date]])</f>
        <v>1</v>
      </c>
      <c r="X1197" s="17">
        <f>INT((YEAR(Table1[[#This Row],[Loss date]])*12+MONTH(Table1[[#This Row],[Loss date]])-Earliest_Month)/4)</f>
        <v>13</v>
      </c>
      <c r="Y1197" s="17">
        <f>INT((YEAR(Table1[[#This Row],[Reporting date]])*12+MONTH(Table1[[#This Row],[Reporting date]])-Earliest_Month)/4)</f>
        <v>13</v>
      </c>
      <c r="Z1197" s="17">
        <f>Table1[[#This Row],[Reporting third]]-Table1[[#This Row],[Policy third]]</f>
        <v>0</v>
      </c>
      <c r="AA1197" s="71">
        <f>IF(Table1[[#This Row],[Overall amount]]=0,"N/A",Table1[[#This Row],[Outstanding]]/Table1[[#This Row],[Overall amount]])</f>
        <v>0</v>
      </c>
      <c r="AB1197" s="17">
        <f>IF(MONTH(Table1[[#This Row],[Loss date]])&lt;Pol_Inc_Month_Shifted,YEAR(Table1[[#This Row],[Loss date]])-1,YEAR(Table1[[#This Row],[Loss date]]))</f>
        <v>2008</v>
      </c>
      <c r="AC1197" s="17">
        <f>IF(MONTH(Table1[[#This Row],[Reporting date]])&lt;Pol_Inc_Month_Shifted,YEAR(Table1[[#This Row],[Reporting date]])-1,YEAR(Table1[[#This Row],[Reporting date]]))</f>
        <v>2008</v>
      </c>
      <c r="AD1197" s="17">
        <f>Table1[[#This Row],[Reporting year (shifted)]]-Table1[[#This Row],[Policy Year (shifted)]]</f>
        <v>0</v>
      </c>
    </row>
    <row r="1198" spans="1:30" ht="13.9">
      <c r="A1198" s="8" t="s">
        <v>2968</v>
      </c>
      <c r="B1198" s="8" t="s">
        <v>1250</v>
      </c>
      <c r="C1198" s="8" t="s">
        <v>123</v>
      </c>
      <c r="D1198" s="9">
        <v>40133</v>
      </c>
      <c r="E1198" s="9">
        <v>40162</v>
      </c>
      <c r="F1198" s="17">
        <f>IF(MONTH(Table1[[#This Row],[Loss date]])&lt;Policy_Inception_Month,YEAR(Table1[[#This Row],[Loss date]])-1,YEAR(Table1[[#This Row],[Loss date]]))</f>
        <v>2009</v>
      </c>
      <c r="G1198" s="10" t="s">
        <v>131</v>
      </c>
      <c r="H1198" s="10" t="s">
        <v>2</v>
      </c>
      <c r="I1198" s="11">
        <v>574.86218506844352</v>
      </c>
      <c r="J1198" s="11">
        <v>0</v>
      </c>
      <c r="K1198" s="11">
        <v>574.86218506844352</v>
      </c>
      <c r="L1198" s="12">
        <v>0</v>
      </c>
      <c r="M1198" s="12">
        <v>0</v>
      </c>
      <c r="N1198" s="12">
        <v>574.86218506844352</v>
      </c>
      <c r="O1198" s="70">
        <f>IF(Table1[[#This Row],[Overall amount]]=0,0,1)</f>
        <v>1</v>
      </c>
      <c r="P1198" s="70">
        <f>Table1[[#This Row],[Overall amount]]*Exchange_Rate</f>
        <v>574.86218506844352</v>
      </c>
      <c r="Q1198" s="70">
        <f>Table1[[#This Row],[Overall (destination currency)]]*(1+Claims_Inflation)^((Revalue_at_date-Table1[[#This Row],[Loss date]])/365.25)</f>
        <v>765.6</v>
      </c>
      <c r="R1198" s="70">
        <f>INT(Table1[[#This Row],[Reporting date]])-INT(Table1[[#This Row],[Loss date]])</f>
        <v>29</v>
      </c>
      <c r="S1198" s="69" t="s">
        <v>9</v>
      </c>
      <c r="T1198" s="70">
        <f>VLOOKUP(Table1[[#This Row],[Policy Year]],exposure_table,3,FALSE)</f>
        <v>760.22808576000011</v>
      </c>
      <c r="U1198" s="17">
        <f>IF(MONTH(Table1[[#This Row],[Reporting date]])&lt;Policy_Inception_Month,YEAR(Table1[[#This Row],[Reporting date]])-1,YEAR(Table1[[#This Row],[Reporting date]]))</f>
        <v>2009</v>
      </c>
      <c r="V1198" s="17">
        <f>Table1[[#This Row],[Reporting year]]-Table1[[#This Row],[Policy Year]]</f>
        <v>0</v>
      </c>
      <c r="W1198" s="17">
        <f>INT(Table1[[#This Row],[Reporting date]])-INT(Table1[[#This Row],[Loss date]])</f>
        <v>29</v>
      </c>
      <c r="X1198" s="17">
        <f>INT((YEAR(Table1[[#This Row],[Loss date]])*12+MONTH(Table1[[#This Row],[Loss date]])-Earliest_Month)/4)</f>
        <v>13</v>
      </c>
      <c r="Y1198" s="17">
        <f>INT((YEAR(Table1[[#This Row],[Reporting date]])*12+MONTH(Table1[[#This Row],[Reporting date]])-Earliest_Month)/4)</f>
        <v>14</v>
      </c>
      <c r="Z1198" s="17">
        <f>Table1[[#This Row],[Reporting third]]-Table1[[#This Row],[Policy third]]</f>
        <v>1</v>
      </c>
      <c r="AA1198" s="71">
        <f>IF(Table1[[#This Row],[Overall amount]]=0,"N/A",Table1[[#This Row],[Outstanding]]/Table1[[#This Row],[Overall amount]])</f>
        <v>0</v>
      </c>
      <c r="AB1198" s="17">
        <f>IF(MONTH(Table1[[#This Row],[Loss date]])&lt;Pol_Inc_Month_Shifted,YEAR(Table1[[#This Row],[Loss date]])-1,YEAR(Table1[[#This Row],[Loss date]]))</f>
        <v>2008</v>
      </c>
      <c r="AC1198" s="17">
        <f>IF(MONTH(Table1[[#This Row],[Reporting date]])&lt;Pol_Inc_Month_Shifted,YEAR(Table1[[#This Row],[Reporting date]])-1,YEAR(Table1[[#This Row],[Reporting date]]))</f>
        <v>2009</v>
      </c>
      <c r="AD1198" s="17">
        <f>Table1[[#This Row],[Reporting year (shifted)]]-Table1[[#This Row],[Policy Year (shifted)]]</f>
        <v>1</v>
      </c>
    </row>
    <row r="1199" spans="1:30" ht="13.9">
      <c r="A1199" s="8" t="s">
        <v>2969</v>
      </c>
      <c r="B1199" s="8" t="s">
        <v>1251</v>
      </c>
      <c r="C1199" s="8" t="s">
        <v>123</v>
      </c>
      <c r="D1199" s="9">
        <v>40225</v>
      </c>
      <c r="E1199" s="9">
        <v>40232</v>
      </c>
      <c r="F1199" s="17">
        <f>IF(MONTH(Table1[[#This Row],[Loss date]])&lt;Policy_Inception_Month,YEAR(Table1[[#This Row],[Loss date]])-1,YEAR(Table1[[#This Row],[Loss date]]))</f>
        <v>2009</v>
      </c>
      <c r="G1199" s="10" t="s">
        <v>126</v>
      </c>
      <c r="H1199" s="10" t="s">
        <v>2</v>
      </c>
      <c r="I1199" s="11">
        <v>846.50250498249773</v>
      </c>
      <c r="J1199" s="11">
        <v>0</v>
      </c>
      <c r="K1199" s="11">
        <v>846.50250498249773</v>
      </c>
      <c r="L1199" s="12">
        <v>0</v>
      </c>
      <c r="M1199" s="12">
        <v>0</v>
      </c>
      <c r="N1199" s="12">
        <v>846.50250498249773</v>
      </c>
      <c r="O1199" s="70">
        <f>IF(Table1[[#This Row],[Overall amount]]=0,0,1)</f>
        <v>1</v>
      </c>
      <c r="P1199" s="70">
        <f>Table1[[#This Row],[Overall amount]]*Exchange_Rate</f>
        <v>846.50250498249773</v>
      </c>
      <c r="Q1199" s="70">
        <f>Table1[[#This Row],[Overall (destination currency)]]*(1+Claims_Inflation)^((Revalue_at_date-Table1[[#This Row],[Loss date]])/365.25)</f>
        <v>1113.5999999999997</v>
      </c>
      <c r="R1199" s="70">
        <f>INT(Table1[[#This Row],[Reporting date]])-INT(Table1[[#This Row],[Loss date]])</f>
        <v>7</v>
      </c>
      <c r="S1199" s="69" t="s">
        <v>9</v>
      </c>
      <c r="T1199" s="70">
        <f>VLOOKUP(Table1[[#This Row],[Policy Year]],exposure_table,3,FALSE)</f>
        <v>760.22808576000011</v>
      </c>
      <c r="U1199" s="17">
        <f>IF(MONTH(Table1[[#This Row],[Reporting date]])&lt;Policy_Inception_Month,YEAR(Table1[[#This Row],[Reporting date]])-1,YEAR(Table1[[#This Row],[Reporting date]]))</f>
        <v>2009</v>
      </c>
      <c r="V1199" s="17">
        <f>Table1[[#This Row],[Reporting year]]-Table1[[#This Row],[Policy Year]]</f>
        <v>0</v>
      </c>
      <c r="W1199" s="17">
        <f>INT(Table1[[#This Row],[Reporting date]])-INT(Table1[[#This Row],[Loss date]])</f>
        <v>7</v>
      </c>
      <c r="X1199" s="17">
        <f>INT((YEAR(Table1[[#This Row],[Loss date]])*12+MONTH(Table1[[#This Row],[Loss date]])-Earliest_Month)/4)</f>
        <v>14</v>
      </c>
      <c r="Y1199" s="17">
        <f>INT((YEAR(Table1[[#This Row],[Reporting date]])*12+MONTH(Table1[[#This Row],[Reporting date]])-Earliest_Month)/4)</f>
        <v>14</v>
      </c>
      <c r="Z1199" s="17">
        <f>Table1[[#This Row],[Reporting third]]-Table1[[#This Row],[Policy third]]</f>
        <v>0</v>
      </c>
      <c r="AA1199" s="71">
        <f>IF(Table1[[#This Row],[Overall amount]]=0,"N/A",Table1[[#This Row],[Outstanding]]/Table1[[#This Row],[Overall amount]])</f>
        <v>0</v>
      </c>
      <c r="AB1199" s="17">
        <f>IF(MONTH(Table1[[#This Row],[Loss date]])&lt;Pol_Inc_Month_Shifted,YEAR(Table1[[#This Row],[Loss date]])-1,YEAR(Table1[[#This Row],[Loss date]]))</f>
        <v>2009</v>
      </c>
      <c r="AC1199" s="17">
        <f>IF(MONTH(Table1[[#This Row],[Reporting date]])&lt;Pol_Inc_Month_Shifted,YEAR(Table1[[#This Row],[Reporting date]])-1,YEAR(Table1[[#This Row],[Reporting date]]))</f>
        <v>2009</v>
      </c>
      <c r="AD1199" s="17">
        <f>Table1[[#This Row],[Reporting year (shifted)]]-Table1[[#This Row],[Policy Year (shifted)]]</f>
        <v>0</v>
      </c>
    </row>
    <row r="1200" spans="1:30" ht="13.9">
      <c r="A1200" s="8" t="s">
        <v>2970</v>
      </c>
      <c r="B1200" s="8" t="s">
        <v>1252</v>
      </c>
      <c r="C1200" s="8" t="s">
        <v>123</v>
      </c>
      <c r="D1200" s="9">
        <v>40020</v>
      </c>
      <c r="E1200" s="9">
        <v>40298</v>
      </c>
      <c r="F1200" s="17">
        <f>IF(MONTH(Table1[[#This Row],[Loss date]])&lt;Policy_Inception_Month,YEAR(Table1[[#This Row],[Loss date]])-1,YEAR(Table1[[#This Row],[Loss date]]))</f>
        <v>2009</v>
      </c>
      <c r="G1200" s="10" t="s">
        <v>126</v>
      </c>
      <c r="H1200" s="10" t="s">
        <v>2</v>
      </c>
      <c r="I1200" s="11">
        <v>347.47162417304548</v>
      </c>
      <c r="J1200" s="11">
        <v>0</v>
      </c>
      <c r="K1200" s="11">
        <v>347.47162417304548</v>
      </c>
      <c r="L1200" s="12">
        <v>0</v>
      </c>
      <c r="M1200" s="12">
        <v>0</v>
      </c>
      <c r="N1200" s="12">
        <v>347.47162417304548</v>
      </c>
      <c r="O1200" s="70">
        <f>IF(Table1[[#This Row],[Overall amount]]=0,0,1)</f>
        <v>1</v>
      </c>
      <c r="P1200" s="70">
        <f>Table1[[#This Row],[Overall amount]]*Exchange_Rate</f>
        <v>347.47162417304548</v>
      </c>
      <c r="Q1200" s="70">
        <f>Table1[[#This Row],[Overall (destination currency)]]*(1+Claims_Inflation)^((Revalue_at_date-Table1[[#This Row],[Loss date]])/365.25)</f>
        <v>469.7999999999999</v>
      </c>
      <c r="R1200" s="70">
        <f>INT(Table1[[#This Row],[Reporting date]])-INT(Table1[[#This Row],[Loss date]])</f>
        <v>278</v>
      </c>
      <c r="S1200" s="69" t="s">
        <v>9</v>
      </c>
      <c r="T1200" s="70">
        <f>VLOOKUP(Table1[[#This Row],[Policy Year]],exposure_table,3,FALSE)</f>
        <v>760.22808576000011</v>
      </c>
      <c r="U1200" s="17">
        <f>IF(MONTH(Table1[[#This Row],[Reporting date]])&lt;Policy_Inception_Month,YEAR(Table1[[#This Row],[Reporting date]])-1,YEAR(Table1[[#This Row],[Reporting date]]))</f>
        <v>2010</v>
      </c>
      <c r="V1200" s="17">
        <f>Table1[[#This Row],[Reporting year]]-Table1[[#This Row],[Policy Year]]</f>
        <v>1</v>
      </c>
      <c r="W1200" s="17">
        <f>INT(Table1[[#This Row],[Reporting date]])-INT(Table1[[#This Row],[Loss date]])</f>
        <v>278</v>
      </c>
      <c r="X1200" s="17">
        <f>INT((YEAR(Table1[[#This Row],[Loss date]])*12+MONTH(Table1[[#This Row],[Loss date]])-Earliest_Month)/4)</f>
        <v>12</v>
      </c>
      <c r="Y1200" s="17">
        <f>INT((YEAR(Table1[[#This Row],[Reporting date]])*12+MONTH(Table1[[#This Row],[Reporting date]])-Earliest_Month)/4)</f>
        <v>15</v>
      </c>
      <c r="Z1200" s="17">
        <f>Table1[[#This Row],[Reporting third]]-Table1[[#This Row],[Policy third]]</f>
        <v>3</v>
      </c>
      <c r="AA1200" s="71">
        <f>IF(Table1[[#This Row],[Overall amount]]=0,"N/A",Table1[[#This Row],[Outstanding]]/Table1[[#This Row],[Overall amount]])</f>
        <v>0</v>
      </c>
      <c r="AB1200" s="17">
        <f>IF(MONTH(Table1[[#This Row],[Loss date]])&lt;Pol_Inc_Month_Shifted,YEAR(Table1[[#This Row],[Loss date]])-1,YEAR(Table1[[#This Row],[Loss date]]))</f>
        <v>2008</v>
      </c>
      <c r="AC1200" s="17">
        <f>IF(MONTH(Table1[[#This Row],[Reporting date]])&lt;Pol_Inc_Month_Shifted,YEAR(Table1[[#This Row],[Reporting date]])-1,YEAR(Table1[[#This Row],[Reporting date]]))</f>
        <v>2009</v>
      </c>
      <c r="AD1200" s="17">
        <f>Table1[[#This Row],[Reporting year (shifted)]]-Table1[[#This Row],[Policy Year (shifted)]]</f>
        <v>1</v>
      </c>
    </row>
    <row r="1201" spans="1:30" ht="13.9">
      <c r="A1201" s="8" t="s">
        <v>2971</v>
      </c>
      <c r="B1201" s="8" t="s">
        <v>1253</v>
      </c>
      <c r="C1201" s="8" t="s">
        <v>123</v>
      </c>
      <c r="D1201" s="9">
        <v>40232</v>
      </c>
      <c r="E1201" s="9">
        <v>40307</v>
      </c>
      <c r="F1201" s="17">
        <f>IF(MONTH(Table1[[#This Row],[Loss date]])&lt;Policy_Inception_Month,YEAR(Table1[[#This Row],[Loss date]])-1,YEAR(Table1[[#This Row],[Loss date]]))</f>
        <v>2009</v>
      </c>
      <c r="G1201" s="10" t="s">
        <v>131</v>
      </c>
      <c r="H1201" s="10" t="s">
        <v>2</v>
      </c>
      <c r="I1201" s="11">
        <v>7223.4587288031516</v>
      </c>
      <c r="J1201" s="11">
        <v>0</v>
      </c>
      <c r="K1201" s="11">
        <v>7223.4587288031516</v>
      </c>
      <c r="L1201" s="12">
        <v>0</v>
      </c>
      <c r="M1201" s="12">
        <v>0</v>
      </c>
      <c r="N1201" s="12">
        <v>7223.4587288031516</v>
      </c>
      <c r="O1201" s="70">
        <f>IF(Table1[[#This Row],[Overall amount]]=0,0,1)</f>
        <v>1</v>
      </c>
      <c r="P1201" s="70">
        <f>Table1[[#This Row],[Overall amount]]*Exchange_Rate</f>
        <v>7223.4587288031516</v>
      </c>
      <c r="Q1201" s="70">
        <f>Table1[[#This Row],[Overall (destination currency)]]*(1+Claims_Inflation)^((Revalue_at_date-Table1[[#This Row],[Loss date]])/365.25)</f>
        <v>9493.8000000000011</v>
      </c>
      <c r="R1201" s="70">
        <f>INT(Table1[[#This Row],[Reporting date]])-INT(Table1[[#This Row],[Loss date]])</f>
        <v>75</v>
      </c>
      <c r="S1201" s="69" t="s">
        <v>9</v>
      </c>
      <c r="T1201" s="70">
        <f>VLOOKUP(Table1[[#This Row],[Policy Year]],exposure_table,3,FALSE)</f>
        <v>760.22808576000011</v>
      </c>
      <c r="U1201" s="17">
        <f>IF(MONTH(Table1[[#This Row],[Reporting date]])&lt;Policy_Inception_Month,YEAR(Table1[[#This Row],[Reporting date]])-1,YEAR(Table1[[#This Row],[Reporting date]]))</f>
        <v>2010</v>
      </c>
      <c r="V1201" s="17">
        <f>Table1[[#This Row],[Reporting year]]-Table1[[#This Row],[Policy Year]]</f>
        <v>1</v>
      </c>
      <c r="W1201" s="17">
        <f>INT(Table1[[#This Row],[Reporting date]])-INT(Table1[[#This Row],[Loss date]])</f>
        <v>75</v>
      </c>
      <c r="X1201" s="17">
        <f>INT((YEAR(Table1[[#This Row],[Loss date]])*12+MONTH(Table1[[#This Row],[Loss date]])-Earliest_Month)/4)</f>
        <v>14</v>
      </c>
      <c r="Y1201" s="17">
        <f>INT((YEAR(Table1[[#This Row],[Reporting date]])*12+MONTH(Table1[[#This Row],[Reporting date]])-Earliest_Month)/4)</f>
        <v>15</v>
      </c>
      <c r="Z1201" s="17">
        <f>Table1[[#This Row],[Reporting third]]-Table1[[#This Row],[Policy third]]</f>
        <v>1</v>
      </c>
      <c r="AA1201" s="71">
        <f>IF(Table1[[#This Row],[Overall amount]]=0,"N/A",Table1[[#This Row],[Outstanding]]/Table1[[#This Row],[Overall amount]])</f>
        <v>0</v>
      </c>
      <c r="AB1201" s="17">
        <f>IF(MONTH(Table1[[#This Row],[Loss date]])&lt;Pol_Inc_Month_Shifted,YEAR(Table1[[#This Row],[Loss date]])-1,YEAR(Table1[[#This Row],[Loss date]]))</f>
        <v>2009</v>
      </c>
      <c r="AC1201" s="17">
        <f>IF(MONTH(Table1[[#This Row],[Reporting date]])&lt;Pol_Inc_Month_Shifted,YEAR(Table1[[#This Row],[Reporting date]])-1,YEAR(Table1[[#This Row],[Reporting date]]))</f>
        <v>2009</v>
      </c>
      <c r="AD1201" s="17">
        <f>Table1[[#This Row],[Reporting year (shifted)]]-Table1[[#This Row],[Policy Year (shifted)]]</f>
        <v>0</v>
      </c>
    </row>
    <row r="1202" spans="1:30" ht="13.9">
      <c r="A1202" s="8" t="s">
        <v>2972</v>
      </c>
      <c r="B1202" s="8" t="s">
        <v>1254</v>
      </c>
      <c r="C1202" s="8" t="s">
        <v>123</v>
      </c>
      <c r="D1202" s="9">
        <v>39827</v>
      </c>
      <c r="E1202" s="9">
        <v>40327</v>
      </c>
      <c r="F1202" s="17">
        <f>IF(MONTH(Table1[[#This Row],[Loss date]])&lt;Policy_Inception_Month,YEAR(Table1[[#This Row],[Loss date]])-1,YEAR(Table1[[#This Row],[Loss date]]))</f>
        <v>2008</v>
      </c>
      <c r="G1202" s="10" t="s">
        <v>131</v>
      </c>
      <c r="H1202" s="10" t="s">
        <v>2</v>
      </c>
      <c r="I1202" s="11">
        <v>8360.3306669545364</v>
      </c>
      <c r="J1202" s="11">
        <v>0</v>
      </c>
      <c r="K1202" s="11">
        <v>8360.3306669545364</v>
      </c>
      <c r="L1202" s="12">
        <v>0</v>
      </c>
      <c r="M1202" s="12">
        <v>0</v>
      </c>
      <c r="N1202" s="12">
        <v>8360.3306669545364</v>
      </c>
      <c r="O1202" s="70">
        <f>IF(Table1[[#This Row],[Overall amount]]=0,0,1)</f>
        <v>1</v>
      </c>
      <c r="P1202" s="70">
        <f>Table1[[#This Row],[Overall amount]]*Exchange_Rate</f>
        <v>8360.3306669545364</v>
      </c>
      <c r="Q1202" s="70">
        <f>Table1[[#This Row],[Overall (destination currency)]]*(1+Claims_Inflation)^((Revalue_at_date-Table1[[#This Row],[Loss date]])/365.25)</f>
        <v>11598.815999999999</v>
      </c>
      <c r="R1202" s="70">
        <f>INT(Table1[[#This Row],[Reporting date]])-INT(Table1[[#This Row],[Loss date]])</f>
        <v>500</v>
      </c>
      <c r="S1202" s="69" t="s">
        <v>9</v>
      </c>
      <c r="T1202" s="70">
        <f>VLOOKUP(Table1[[#This Row],[Policy Year]],exposure_table,3,FALSE)</f>
        <v>601.98581780480015</v>
      </c>
      <c r="U1202" s="17">
        <f>IF(MONTH(Table1[[#This Row],[Reporting date]])&lt;Policy_Inception_Month,YEAR(Table1[[#This Row],[Reporting date]])-1,YEAR(Table1[[#This Row],[Reporting date]]))</f>
        <v>2010</v>
      </c>
      <c r="V1202" s="17">
        <f>Table1[[#This Row],[Reporting year]]-Table1[[#This Row],[Policy Year]]</f>
        <v>2</v>
      </c>
      <c r="W1202" s="17">
        <f>INT(Table1[[#This Row],[Reporting date]])-INT(Table1[[#This Row],[Loss date]])</f>
        <v>500</v>
      </c>
      <c r="X1202" s="17">
        <f>INT((YEAR(Table1[[#This Row],[Loss date]])*12+MONTH(Table1[[#This Row],[Loss date]])-Earliest_Month)/4)</f>
        <v>11</v>
      </c>
      <c r="Y1202" s="17">
        <f>INT((YEAR(Table1[[#This Row],[Reporting date]])*12+MONTH(Table1[[#This Row],[Reporting date]])-Earliest_Month)/4)</f>
        <v>15</v>
      </c>
      <c r="Z1202" s="17">
        <f>Table1[[#This Row],[Reporting third]]-Table1[[#This Row],[Policy third]]</f>
        <v>4</v>
      </c>
      <c r="AA1202" s="71">
        <f>IF(Table1[[#This Row],[Overall amount]]=0,"N/A",Table1[[#This Row],[Outstanding]]/Table1[[#This Row],[Overall amount]])</f>
        <v>0</v>
      </c>
      <c r="AB1202" s="17">
        <f>IF(MONTH(Table1[[#This Row],[Loss date]])&lt;Pol_Inc_Month_Shifted,YEAR(Table1[[#This Row],[Loss date]])-1,YEAR(Table1[[#This Row],[Loss date]]))</f>
        <v>2008</v>
      </c>
      <c r="AC1202" s="17">
        <f>IF(MONTH(Table1[[#This Row],[Reporting date]])&lt;Pol_Inc_Month_Shifted,YEAR(Table1[[#This Row],[Reporting date]])-1,YEAR(Table1[[#This Row],[Reporting date]]))</f>
        <v>2009</v>
      </c>
      <c r="AD1202" s="17">
        <f>Table1[[#This Row],[Reporting year (shifted)]]-Table1[[#This Row],[Policy Year (shifted)]]</f>
        <v>1</v>
      </c>
    </row>
    <row r="1203" spans="1:30" ht="13.9">
      <c r="A1203" s="8" t="s">
        <v>2973</v>
      </c>
      <c r="B1203" s="8" t="s">
        <v>1255</v>
      </c>
      <c r="C1203" s="8" t="s">
        <v>123</v>
      </c>
      <c r="D1203" s="9">
        <v>40111</v>
      </c>
      <c r="E1203" s="9">
        <v>40399</v>
      </c>
      <c r="F1203" s="17">
        <f>IF(MONTH(Table1[[#This Row],[Loss date]])&lt;Policy_Inception_Month,YEAR(Table1[[#This Row],[Loss date]])-1,YEAR(Table1[[#This Row],[Loss date]]))</f>
        <v>2009</v>
      </c>
      <c r="G1203" s="10" t="s">
        <v>126</v>
      </c>
      <c r="H1203" s="10" t="s">
        <v>2</v>
      </c>
      <c r="I1203" s="11">
        <v>2914.0842173510464</v>
      </c>
      <c r="J1203" s="11">
        <v>0</v>
      </c>
      <c r="K1203" s="11">
        <v>2914.0842173510464</v>
      </c>
      <c r="L1203" s="12">
        <v>0</v>
      </c>
      <c r="M1203" s="12">
        <v>0</v>
      </c>
      <c r="N1203" s="12">
        <v>2914.0842173510464</v>
      </c>
      <c r="O1203" s="70">
        <f>IF(Table1[[#This Row],[Overall amount]]=0,0,1)</f>
        <v>1</v>
      </c>
      <c r="P1203" s="70">
        <f>Table1[[#This Row],[Overall amount]]*Exchange_Rate</f>
        <v>2914.0842173510464</v>
      </c>
      <c r="Q1203" s="70">
        <f>Table1[[#This Row],[Overall (destination currency)]]*(1+Claims_Inflation)^((Revalue_at_date-Table1[[#This Row],[Loss date]])/365.25)</f>
        <v>3892.3920000000003</v>
      </c>
      <c r="R1203" s="70">
        <f>INT(Table1[[#This Row],[Reporting date]])-INT(Table1[[#This Row],[Loss date]])</f>
        <v>288</v>
      </c>
      <c r="S1203" s="69" t="s">
        <v>9</v>
      </c>
      <c r="T1203" s="70">
        <f>VLOOKUP(Table1[[#This Row],[Policy Year]],exposure_table,3,FALSE)</f>
        <v>760.22808576000011</v>
      </c>
      <c r="U1203" s="17">
        <f>IF(MONTH(Table1[[#This Row],[Reporting date]])&lt;Policy_Inception_Month,YEAR(Table1[[#This Row],[Reporting date]])-1,YEAR(Table1[[#This Row],[Reporting date]]))</f>
        <v>2010</v>
      </c>
      <c r="V1203" s="17">
        <f>Table1[[#This Row],[Reporting year]]-Table1[[#This Row],[Policy Year]]</f>
        <v>1</v>
      </c>
      <c r="W1203" s="17">
        <f>INT(Table1[[#This Row],[Reporting date]])-INT(Table1[[#This Row],[Loss date]])</f>
        <v>288</v>
      </c>
      <c r="X1203" s="17">
        <f>INT((YEAR(Table1[[#This Row],[Loss date]])*12+MONTH(Table1[[#This Row],[Loss date]])-Earliest_Month)/4)</f>
        <v>13</v>
      </c>
      <c r="Y1203" s="17">
        <f>INT((YEAR(Table1[[#This Row],[Reporting date]])*12+MONTH(Table1[[#This Row],[Reporting date]])-Earliest_Month)/4)</f>
        <v>16</v>
      </c>
      <c r="Z1203" s="17">
        <f>Table1[[#This Row],[Reporting third]]-Table1[[#This Row],[Policy third]]</f>
        <v>3</v>
      </c>
      <c r="AA1203" s="71">
        <f>IF(Table1[[#This Row],[Overall amount]]=0,"N/A",Table1[[#This Row],[Outstanding]]/Table1[[#This Row],[Overall amount]])</f>
        <v>0</v>
      </c>
      <c r="AB1203" s="17">
        <f>IF(MONTH(Table1[[#This Row],[Loss date]])&lt;Pol_Inc_Month_Shifted,YEAR(Table1[[#This Row],[Loss date]])-1,YEAR(Table1[[#This Row],[Loss date]]))</f>
        <v>2008</v>
      </c>
      <c r="AC1203" s="17">
        <f>IF(MONTH(Table1[[#This Row],[Reporting date]])&lt;Pol_Inc_Month_Shifted,YEAR(Table1[[#This Row],[Reporting date]])-1,YEAR(Table1[[#This Row],[Reporting date]]))</f>
        <v>2009</v>
      </c>
      <c r="AD1203" s="17">
        <f>Table1[[#This Row],[Reporting year (shifted)]]-Table1[[#This Row],[Policy Year (shifted)]]</f>
        <v>1</v>
      </c>
    </row>
    <row r="1204" spans="1:30" ht="13.9">
      <c r="A1204" s="8" t="s">
        <v>2974</v>
      </c>
      <c r="B1204" s="8" t="s">
        <v>1256</v>
      </c>
      <c r="C1204" s="8" t="s">
        <v>123</v>
      </c>
      <c r="D1204" s="9">
        <v>40574</v>
      </c>
      <c r="E1204" s="9">
        <v>40642</v>
      </c>
      <c r="F1204" s="17">
        <f>IF(MONTH(Table1[[#This Row],[Loss date]])&lt;Policy_Inception_Month,YEAR(Table1[[#This Row],[Loss date]])-1,YEAR(Table1[[#This Row],[Loss date]]))</f>
        <v>2010</v>
      </c>
      <c r="G1204" s="10" t="s">
        <v>131</v>
      </c>
      <c r="H1204" s="10" t="s">
        <v>2</v>
      </c>
      <c r="I1204" s="11">
        <v>637.45963667824492</v>
      </c>
      <c r="J1204" s="11">
        <v>0</v>
      </c>
      <c r="K1204" s="11">
        <v>637.45963667824492</v>
      </c>
      <c r="L1204" s="12">
        <v>0</v>
      </c>
      <c r="M1204" s="12">
        <v>0</v>
      </c>
      <c r="N1204" s="12">
        <v>637.45963667824492</v>
      </c>
      <c r="O1204" s="70">
        <f>IF(Table1[[#This Row],[Overall amount]]=0,0,1)</f>
        <v>1</v>
      </c>
      <c r="P1204" s="70">
        <f>Table1[[#This Row],[Overall amount]]*Exchange_Rate</f>
        <v>637.45963667824492</v>
      </c>
      <c r="Q1204" s="70">
        <f>Table1[[#This Row],[Overall (destination currency)]]*(1+Claims_Inflation)^((Revalue_at_date-Table1[[#This Row],[Loss date]])/365.25)</f>
        <v>800.4</v>
      </c>
      <c r="R1204" s="70">
        <f>INT(Table1[[#This Row],[Reporting date]])-INT(Table1[[#This Row],[Loss date]])</f>
        <v>68</v>
      </c>
      <c r="S1204" s="69" t="s">
        <v>9</v>
      </c>
      <c r="T1204" s="70">
        <f>VLOOKUP(Table1[[#This Row],[Policy Year]],exposure_table,3,FALSE)</f>
        <v>837.11513600000012</v>
      </c>
      <c r="U1204" s="17">
        <f>IF(MONTH(Table1[[#This Row],[Reporting date]])&lt;Policy_Inception_Month,YEAR(Table1[[#This Row],[Reporting date]])-1,YEAR(Table1[[#This Row],[Reporting date]]))</f>
        <v>2011</v>
      </c>
      <c r="V1204" s="17">
        <f>Table1[[#This Row],[Reporting year]]-Table1[[#This Row],[Policy Year]]</f>
        <v>1</v>
      </c>
      <c r="W1204" s="17">
        <f>INT(Table1[[#This Row],[Reporting date]])-INT(Table1[[#This Row],[Loss date]])</f>
        <v>68</v>
      </c>
      <c r="X1204" s="17">
        <f>INT((YEAR(Table1[[#This Row],[Loss date]])*12+MONTH(Table1[[#This Row],[Loss date]])-Earliest_Month)/4)</f>
        <v>17</v>
      </c>
      <c r="Y1204" s="17">
        <f>INT((YEAR(Table1[[#This Row],[Reporting date]])*12+MONTH(Table1[[#This Row],[Reporting date]])-Earliest_Month)/4)</f>
        <v>18</v>
      </c>
      <c r="Z1204" s="17">
        <f>Table1[[#This Row],[Reporting third]]-Table1[[#This Row],[Policy third]]</f>
        <v>1</v>
      </c>
      <c r="AA1204" s="71">
        <f>IF(Table1[[#This Row],[Overall amount]]=0,"N/A",Table1[[#This Row],[Outstanding]]/Table1[[#This Row],[Overall amount]])</f>
        <v>0</v>
      </c>
      <c r="AB1204" s="17">
        <f>IF(MONTH(Table1[[#This Row],[Loss date]])&lt;Pol_Inc_Month_Shifted,YEAR(Table1[[#This Row],[Loss date]])-1,YEAR(Table1[[#This Row],[Loss date]]))</f>
        <v>2010</v>
      </c>
      <c r="AC1204" s="17">
        <f>IF(MONTH(Table1[[#This Row],[Reporting date]])&lt;Pol_Inc_Month_Shifted,YEAR(Table1[[#This Row],[Reporting date]])-1,YEAR(Table1[[#This Row],[Reporting date]]))</f>
        <v>2010</v>
      </c>
      <c r="AD1204" s="17">
        <f>Table1[[#This Row],[Reporting year (shifted)]]-Table1[[#This Row],[Policy Year (shifted)]]</f>
        <v>0</v>
      </c>
    </row>
    <row r="1205" spans="1:30" ht="13.9">
      <c r="A1205" s="8" t="s">
        <v>2975</v>
      </c>
      <c r="B1205" s="8" t="s">
        <v>1257</v>
      </c>
      <c r="C1205" s="8" t="s">
        <v>123</v>
      </c>
      <c r="D1205" s="9">
        <v>40647</v>
      </c>
      <c r="E1205" s="9">
        <v>40654</v>
      </c>
      <c r="F1205" s="17">
        <f>IF(MONTH(Table1[[#This Row],[Loss date]])&lt;Policy_Inception_Month,YEAR(Table1[[#This Row],[Loss date]])-1,YEAR(Table1[[#This Row],[Loss date]]))</f>
        <v>2011</v>
      </c>
      <c r="G1205" s="10" t="s">
        <v>125</v>
      </c>
      <c r="H1205" s="10" t="s">
        <v>2</v>
      </c>
      <c r="I1205" s="11">
        <v>615.71891419431108</v>
      </c>
      <c r="J1205" s="11">
        <v>0</v>
      </c>
      <c r="K1205" s="11">
        <v>615.71891419431108</v>
      </c>
      <c r="L1205" s="12">
        <v>0</v>
      </c>
      <c r="M1205" s="12">
        <v>0</v>
      </c>
      <c r="N1205" s="12">
        <v>615.71891419431108</v>
      </c>
      <c r="O1205" s="70">
        <f>IF(Table1[[#This Row],[Overall amount]]=0,0,1)</f>
        <v>1</v>
      </c>
      <c r="P1205" s="70">
        <f>Table1[[#This Row],[Overall amount]]*Exchange_Rate</f>
        <v>615.71891419431108</v>
      </c>
      <c r="Q1205" s="70">
        <f>Table1[[#This Row],[Overall (destination currency)]]*(1+Claims_Inflation)^((Revalue_at_date-Table1[[#This Row],[Loss date]])/365.25)</f>
        <v>765.60000000000014</v>
      </c>
      <c r="R1205" s="70">
        <f>INT(Table1[[#This Row],[Reporting date]])-INT(Table1[[#This Row],[Loss date]])</f>
        <v>7</v>
      </c>
      <c r="S1205" s="69" t="s">
        <v>9</v>
      </c>
      <c r="T1205" s="70">
        <f>VLOOKUP(Table1[[#This Row],[Policy Year]],exposure_table,3,FALSE)</f>
        <v>870.52680000000009</v>
      </c>
      <c r="U1205" s="17">
        <f>IF(MONTH(Table1[[#This Row],[Reporting date]])&lt;Policy_Inception_Month,YEAR(Table1[[#This Row],[Reporting date]])-1,YEAR(Table1[[#This Row],[Reporting date]]))</f>
        <v>2011</v>
      </c>
      <c r="V1205" s="17">
        <f>Table1[[#This Row],[Reporting year]]-Table1[[#This Row],[Policy Year]]</f>
        <v>0</v>
      </c>
      <c r="W1205" s="17">
        <f>INT(Table1[[#This Row],[Reporting date]])-INT(Table1[[#This Row],[Loss date]])</f>
        <v>7</v>
      </c>
      <c r="X1205" s="17">
        <f>INT((YEAR(Table1[[#This Row],[Loss date]])*12+MONTH(Table1[[#This Row],[Loss date]])-Earliest_Month)/4)</f>
        <v>18</v>
      </c>
      <c r="Y1205" s="17">
        <f>INT((YEAR(Table1[[#This Row],[Reporting date]])*12+MONTH(Table1[[#This Row],[Reporting date]])-Earliest_Month)/4)</f>
        <v>18</v>
      </c>
      <c r="Z1205" s="17">
        <f>Table1[[#This Row],[Reporting third]]-Table1[[#This Row],[Policy third]]</f>
        <v>0</v>
      </c>
      <c r="AA1205" s="71">
        <f>IF(Table1[[#This Row],[Overall amount]]=0,"N/A",Table1[[#This Row],[Outstanding]]/Table1[[#This Row],[Overall amount]])</f>
        <v>0</v>
      </c>
      <c r="AB1205" s="17">
        <f>IF(MONTH(Table1[[#This Row],[Loss date]])&lt;Pol_Inc_Month_Shifted,YEAR(Table1[[#This Row],[Loss date]])-1,YEAR(Table1[[#This Row],[Loss date]]))</f>
        <v>2010</v>
      </c>
      <c r="AC1205" s="17">
        <f>IF(MONTH(Table1[[#This Row],[Reporting date]])&lt;Pol_Inc_Month_Shifted,YEAR(Table1[[#This Row],[Reporting date]])-1,YEAR(Table1[[#This Row],[Reporting date]]))</f>
        <v>2010</v>
      </c>
      <c r="AD1205" s="17">
        <f>Table1[[#This Row],[Reporting year (shifted)]]-Table1[[#This Row],[Policy Year (shifted)]]</f>
        <v>0</v>
      </c>
    </row>
    <row r="1206" spans="1:30" ht="13.9">
      <c r="A1206" s="8" t="s">
        <v>2976</v>
      </c>
      <c r="B1206" s="8" t="s">
        <v>1258</v>
      </c>
      <c r="C1206" s="8" t="s">
        <v>123</v>
      </c>
      <c r="D1206" s="9">
        <v>40222</v>
      </c>
      <c r="E1206" s="9">
        <v>40948</v>
      </c>
      <c r="F1206" s="17">
        <f>IF(MONTH(Table1[[#This Row],[Loss date]])&lt;Policy_Inception_Month,YEAR(Table1[[#This Row],[Loss date]])-1,YEAR(Table1[[#This Row],[Loss date]]))</f>
        <v>2009</v>
      </c>
      <c r="G1206" s="10" t="s">
        <v>125</v>
      </c>
      <c r="H1206" s="10" t="s">
        <v>2</v>
      </c>
      <c r="I1206" s="11">
        <v>634.62250878738109</v>
      </c>
      <c r="J1206" s="11">
        <v>0</v>
      </c>
      <c r="K1206" s="11">
        <v>634.62250878738109</v>
      </c>
      <c r="L1206" s="12">
        <v>0</v>
      </c>
      <c r="M1206" s="12">
        <v>0</v>
      </c>
      <c r="N1206" s="12">
        <v>634.62250878738109</v>
      </c>
      <c r="O1206" s="70">
        <f>IF(Table1[[#This Row],[Overall amount]]=0,0,1)</f>
        <v>1</v>
      </c>
      <c r="P1206" s="70">
        <f>Table1[[#This Row],[Overall amount]]*Exchange_Rate</f>
        <v>634.62250878738109</v>
      </c>
      <c r="Q1206" s="70">
        <f>Table1[[#This Row],[Overall (destination currency)]]*(1+Claims_Inflation)^((Revalue_at_date-Table1[[#This Row],[Loss date]])/365.25)</f>
        <v>835.19999999999993</v>
      </c>
      <c r="R1206" s="70">
        <f>INT(Table1[[#This Row],[Reporting date]])-INT(Table1[[#This Row],[Loss date]])</f>
        <v>726</v>
      </c>
      <c r="S1206" s="69" t="s">
        <v>9</v>
      </c>
      <c r="T1206" s="70">
        <f>VLOOKUP(Table1[[#This Row],[Policy Year]],exposure_table,3,FALSE)</f>
        <v>760.22808576000011</v>
      </c>
      <c r="U1206" s="17">
        <f>IF(MONTH(Table1[[#This Row],[Reporting date]])&lt;Policy_Inception_Month,YEAR(Table1[[#This Row],[Reporting date]])-1,YEAR(Table1[[#This Row],[Reporting date]]))</f>
        <v>2011</v>
      </c>
      <c r="V1206" s="17">
        <f>Table1[[#This Row],[Reporting year]]-Table1[[#This Row],[Policy Year]]</f>
        <v>2</v>
      </c>
      <c r="W1206" s="17">
        <f>INT(Table1[[#This Row],[Reporting date]])-INT(Table1[[#This Row],[Loss date]])</f>
        <v>726</v>
      </c>
      <c r="X1206" s="17">
        <f>INT((YEAR(Table1[[#This Row],[Loss date]])*12+MONTH(Table1[[#This Row],[Loss date]])-Earliest_Month)/4)</f>
        <v>14</v>
      </c>
      <c r="Y1206" s="17">
        <f>INT((YEAR(Table1[[#This Row],[Reporting date]])*12+MONTH(Table1[[#This Row],[Reporting date]])-Earliest_Month)/4)</f>
        <v>20</v>
      </c>
      <c r="Z1206" s="17">
        <f>Table1[[#This Row],[Reporting third]]-Table1[[#This Row],[Policy third]]</f>
        <v>6</v>
      </c>
      <c r="AA1206" s="71">
        <f>IF(Table1[[#This Row],[Overall amount]]=0,"N/A",Table1[[#This Row],[Outstanding]]/Table1[[#This Row],[Overall amount]])</f>
        <v>0</v>
      </c>
      <c r="AB1206" s="17">
        <f>IF(MONTH(Table1[[#This Row],[Loss date]])&lt;Pol_Inc_Month_Shifted,YEAR(Table1[[#This Row],[Loss date]])-1,YEAR(Table1[[#This Row],[Loss date]]))</f>
        <v>2009</v>
      </c>
      <c r="AC1206" s="17">
        <f>IF(MONTH(Table1[[#This Row],[Reporting date]])&lt;Pol_Inc_Month_Shifted,YEAR(Table1[[#This Row],[Reporting date]])-1,YEAR(Table1[[#This Row],[Reporting date]]))</f>
        <v>2011</v>
      </c>
      <c r="AD1206" s="17">
        <f>Table1[[#This Row],[Reporting year (shifted)]]-Table1[[#This Row],[Policy Year (shifted)]]</f>
        <v>2</v>
      </c>
    </row>
    <row r="1207" spans="1:30" ht="13.9">
      <c r="A1207" s="8" t="s">
        <v>2977</v>
      </c>
      <c r="B1207" s="8" t="s">
        <v>1259</v>
      </c>
      <c r="C1207" s="8" t="s">
        <v>123</v>
      </c>
      <c r="D1207" s="9">
        <v>39026</v>
      </c>
      <c r="E1207" s="9">
        <v>39769</v>
      </c>
      <c r="F1207" s="17">
        <f>IF(MONTH(Table1[[#This Row],[Loss date]])&lt;Policy_Inception_Month,YEAR(Table1[[#This Row],[Loss date]])-1,YEAR(Table1[[#This Row],[Loss date]]))</f>
        <v>2006</v>
      </c>
      <c r="G1207" s="10" t="s">
        <v>125</v>
      </c>
      <c r="H1207" s="10" t="s">
        <v>2</v>
      </c>
      <c r="I1207" s="11">
        <v>633.07659876471405</v>
      </c>
      <c r="J1207" s="11">
        <v>0</v>
      </c>
      <c r="K1207" s="11">
        <v>633.07659876471405</v>
      </c>
      <c r="L1207" s="12">
        <v>0</v>
      </c>
      <c r="M1207" s="12">
        <v>44.315361913529983</v>
      </c>
      <c r="N1207" s="12">
        <v>588.76123685118409</v>
      </c>
      <c r="O1207" s="70">
        <f>IF(Table1[[#This Row],[Overall amount]]=0,0,1)</f>
        <v>1</v>
      </c>
      <c r="P1207" s="70">
        <f>Table1[[#This Row],[Overall amount]]*Exchange_Rate</f>
        <v>588.76123685118409</v>
      </c>
      <c r="Q1207" s="70">
        <f>Table1[[#This Row],[Overall (destination currency)]]*(1+Claims_Inflation)^((Revalue_at_date-Table1[[#This Row],[Loss date]])/365.25)</f>
        <v>909.07128000000012</v>
      </c>
      <c r="R1207" s="70">
        <f>INT(Table1[[#This Row],[Reporting date]])-INT(Table1[[#This Row],[Loss date]])</f>
        <v>743</v>
      </c>
      <c r="S1207" s="69" t="s">
        <v>9</v>
      </c>
      <c r="T1207" s="70">
        <f>VLOOKUP(Table1[[#This Row],[Policy Year]],exposure_table,3,FALSE)</f>
        <v>483.32023209000977</v>
      </c>
      <c r="U1207" s="17">
        <f>IF(MONTH(Table1[[#This Row],[Reporting date]])&lt;Policy_Inception_Month,YEAR(Table1[[#This Row],[Reporting date]])-1,YEAR(Table1[[#This Row],[Reporting date]]))</f>
        <v>2008</v>
      </c>
      <c r="V1207" s="17">
        <f>Table1[[#This Row],[Reporting year]]-Table1[[#This Row],[Policy Year]]</f>
        <v>2</v>
      </c>
      <c r="W1207" s="17">
        <f>INT(Table1[[#This Row],[Reporting date]])-INT(Table1[[#This Row],[Loss date]])</f>
        <v>743</v>
      </c>
      <c r="X1207" s="17">
        <f>INT((YEAR(Table1[[#This Row],[Loss date]])*12+MONTH(Table1[[#This Row],[Loss date]])-Earliest_Month)/4)</f>
        <v>4</v>
      </c>
      <c r="Y1207" s="17">
        <f>INT((YEAR(Table1[[#This Row],[Reporting date]])*12+MONTH(Table1[[#This Row],[Reporting date]])-Earliest_Month)/4)</f>
        <v>10</v>
      </c>
      <c r="Z1207" s="17">
        <f>Table1[[#This Row],[Reporting third]]-Table1[[#This Row],[Policy third]]</f>
        <v>6</v>
      </c>
      <c r="AA1207" s="71">
        <f>IF(Table1[[#This Row],[Overall amount]]=0,"N/A",Table1[[#This Row],[Outstanding]]/Table1[[#This Row],[Overall amount]])</f>
        <v>0</v>
      </c>
      <c r="AB1207" s="17">
        <f>IF(MONTH(Table1[[#This Row],[Loss date]])&lt;Pol_Inc_Month_Shifted,YEAR(Table1[[#This Row],[Loss date]])-1,YEAR(Table1[[#This Row],[Loss date]]))</f>
        <v>2005</v>
      </c>
      <c r="AC1207" s="17">
        <f>IF(MONTH(Table1[[#This Row],[Reporting date]])&lt;Pol_Inc_Month_Shifted,YEAR(Table1[[#This Row],[Reporting date]])-1,YEAR(Table1[[#This Row],[Reporting date]]))</f>
        <v>2007</v>
      </c>
      <c r="AD1207" s="17">
        <f>Table1[[#This Row],[Reporting year (shifted)]]-Table1[[#This Row],[Policy Year (shifted)]]</f>
        <v>2</v>
      </c>
    </row>
    <row r="1208" spans="1:30" ht="13.9">
      <c r="A1208" s="8" t="s">
        <v>2978</v>
      </c>
      <c r="B1208" s="8" t="s">
        <v>1260</v>
      </c>
      <c r="C1208" s="8" t="s">
        <v>123</v>
      </c>
      <c r="D1208" s="9">
        <v>40123</v>
      </c>
      <c r="E1208" s="9">
        <v>40337</v>
      </c>
      <c r="F1208" s="17">
        <f>IF(MONTH(Table1[[#This Row],[Loss date]])&lt;Policy_Inception_Month,YEAR(Table1[[#This Row],[Loss date]])-1,YEAR(Table1[[#This Row],[Loss date]]))</f>
        <v>2009</v>
      </c>
      <c r="G1208" s="10" t="s">
        <v>126</v>
      </c>
      <c r="H1208" s="10" t="s">
        <v>2</v>
      </c>
      <c r="I1208" s="11">
        <v>16491.277933058936</v>
      </c>
      <c r="J1208" s="11">
        <v>0</v>
      </c>
      <c r="K1208" s="11">
        <v>16491.277933058936</v>
      </c>
      <c r="L1208" s="12">
        <v>0</v>
      </c>
      <c r="M1208" s="12">
        <v>0</v>
      </c>
      <c r="N1208" s="12">
        <v>16491.277933058936</v>
      </c>
      <c r="O1208" s="70">
        <f>IF(Table1[[#This Row],[Overall amount]]=0,0,1)</f>
        <v>1</v>
      </c>
      <c r="P1208" s="70">
        <f>Table1[[#This Row],[Overall amount]]*Exchange_Rate</f>
        <v>16491.277933058936</v>
      </c>
      <c r="Q1208" s="70">
        <f>Table1[[#This Row],[Overall (destination currency)]]*(1+Claims_Inflation)^((Revalue_at_date-Table1[[#This Row],[Loss date]])/365.25)</f>
        <v>21992.399999999998</v>
      </c>
      <c r="R1208" s="70">
        <f>INT(Table1[[#This Row],[Reporting date]])-INT(Table1[[#This Row],[Loss date]])</f>
        <v>214</v>
      </c>
      <c r="S1208" s="69" t="s">
        <v>9</v>
      </c>
      <c r="T1208" s="70">
        <f>VLOOKUP(Table1[[#This Row],[Policy Year]],exposure_table,3,FALSE)</f>
        <v>760.22808576000011</v>
      </c>
      <c r="U1208" s="17">
        <f>IF(MONTH(Table1[[#This Row],[Reporting date]])&lt;Policy_Inception_Month,YEAR(Table1[[#This Row],[Reporting date]])-1,YEAR(Table1[[#This Row],[Reporting date]]))</f>
        <v>2010</v>
      </c>
      <c r="V1208" s="17">
        <f>Table1[[#This Row],[Reporting year]]-Table1[[#This Row],[Policy Year]]</f>
        <v>1</v>
      </c>
      <c r="W1208" s="17">
        <f>INT(Table1[[#This Row],[Reporting date]])-INT(Table1[[#This Row],[Loss date]])</f>
        <v>214</v>
      </c>
      <c r="X1208" s="17">
        <f>INT((YEAR(Table1[[#This Row],[Loss date]])*12+MONTH(Table1[[#This Row],[Loss date]])-Earliest_Month)/4)</f>
        <v>13</v>
      </c>
      <c r="Y1208" s="17">
        <f>INT((YEAR(Table1[[#This Row],[Reporting date]])*12+MONTH(Table1[[#This Row],[Reporting date]])-Earliest_Month)/4)</f>
        <v>15</v>
      </c>
      <c r="Z1208" s="17">
        <f>Table1[[#This Row],[Reporting third]]-Table1[[#This Row],[Policy third]]</f>
        <v>2</v>
      </c>
      <c r="AA1208" s="71">
        <f>IF(Table1[[#This Row],[Overall amount]]=0,"N/A",Table1[[#This Row],[Outstanding]]/Table1[[#This Row],[Overall amount]])</f>
        <v>0</v>
      </c>
      <c r="AB1208" s="17">
        <f>IF(MONTH(Table1[[#This Row],[Loss date]])&lt;Pol_Inc_Month_Shifted,YEAR(Table1[[#This Row],[Loss date]])-1,YEAR(Table1[[#This Row],[Loss date]]))</f>
        <v>2008</v>
      </c>
      <c r="AC1208" s="17">
        <f>IF(MONTH(Table1[[#This Row],[Reporting date]])&lt;Pol_Inc_Month_Shifted,YEAR(Table1[[#This Row],[Reporting date]])-1,YEAR(Table1[[#This Row],[Reporting date]]))</f>
        <v>2009</v>
      </c>
      <c r="AD1208" s="17">
        <f>Table1[[#This Row],[Reporting year (shifted)]]-Table1[[#This Row],[Policy Year (shifted)]]</f>
        <v>1</v>
      </c>
    </row>
    <row r="1209" spans="1:30" ht="13.9">
      <c r="A1209" s="8" t="s">
        <v>2979</v>
      </c>
      <c r="B1209" s="8" t="s">
        <v>1261</v>
      </c>
      <c r="C1209" s="8" t="s">
        <v>123</v>
      </c>
      <c r="D1209" s="9">
        <v>40781</v>
      </c>
      <c r="E1209" s="9">
        <v>40810</v>
      </c>
      <c r="F1209" s="17">
        <f>IF(MONTH(Table1[[#This Row],[Loss date]])&lt;Policy_Inception_Month,YEAR(Table1[[#This Row],[Loss date]])-1,YEAR(Table1[[#This Row],[Loss date]]))</f>
        <v>2011</v>
      </c>
      <c r="G1209" s="10" t="s">
        <v>125</v>
      </c>
      <c r="H1209" s="10" t="s">
        <v>2</v>
      </c>
      <c r="I1209" s="11">
        <v>698.07110055631631</v>
      </c>
      <c r="J1209" s="11">
        <v>0</v>
      </c>
      <c r="K1209" s="11">
        <v>698.07110055631631</v>
      </c>
      <c r="L1209" s="12">
        <v>0</v>
      </c>
      <c r="M1209" s="12">
        <v>0</v>
      </c>
      <c r="N1209" s="12">
        <v>698.07110055631631</v>
      </c>
      <c r="O1209" s="70">
        <f>IF(Table1[[#This Row],[Overall amount]]=0,0,1)</f>
        <v>1</v>
      </c>
      <c r="P1209" s="70">
        <f>Table1[[#This Row],[Overall amount]]*Exchange_Rate</f>
        <v>698.07110055631631</v>
      </c>
      <c r="Q1209" s="70">
        <f>Table1[[#This Row],[Overall (destination currency)]]*(1+Claims_Inflation)^((Revalue_at_date-Table1[[#This Row],[Loss date]])/365.25)</f>
        <v>852.60000000000014</v>
      </c>
      <c r="R1209" s="70">
        <f>INT(Table1[[#This Row],[Reporting date]])-INT(Table1[[#This Row],[Loss date]])</f>
        <v>29</v>
      </c>
      <c r="S1209" s="69" t="s">
        <v>9</v>
      </c>
      <c r="T1209" s="70">
        <f>VLOOKUP(Table1[[#This Row],[Policy Year]],exposure_table,3,FALSE)</f>
        <v>870.52680000000009</v>
      </c>
      <c r="U1209" s="17">
        <f>IF(MONTH(Table1[[#This Row],[Reporting date]])&lt;Policy_Inception_Month,YEAR(Table1[[#This Row],[Reporting date]])-1,YEAR(Table1[[#This Row],[Reporting date]]))</f>
        <v>2011</v>
      </c>
      <c r="V1209" s="17">
        <f>Table1[[#This Row],[Reporting year]]-Table1[[#This Row],[Policy Year]]</f>
        <v>0</v>
      </c>
      <c r="W1209" s="17">
        <f>INT(Table1[[#This Row],[Reporting date]])-INT(Table1[[#This Row],[Loss date]])</f>
        <v>29</v>
      </c>
      <c r="X1209" s="17">
        <f>INT((YEAR(Table1[[#This Row],[Loss date]])*12+MONTH(Table1[[#This Row],[Loss date]])-Earliest_Month)/4)</f>
        <v>19</v>
      </c>
      <c r="Y1209" s="17">
        <f>INT((YEAR(Table1[[#This Row],[Reporting date]])*12+MONTH(Table1[[#This Row],[Reporting date]])-Earliest_Month)/4)</f>
        <v>19</v>
      </c>
      <c r="Z1209" s="17">
        <f>Table1[[#This Row],[Reporting third]]-Table1[[#This Row],[Policy third]]</f>
        <v>0</v>
      </c>
      <c r="AA1209" s="71">
        <f>IF(Table1[[#This Row],[Overall amount]]=0,"N/A",Table1[[#This Row],[Outstanding]]/Table1[[#This Row],[Overall amount]])</f>
        <v>0</v>
      </c>
      <c r="AB1209" s="17">
        <f>IF(MONTH(Table1[[#This Row],[Loss date]])&lt;Pol_Inc_Month_Shifted,YEAR(Table1[[#This Row],[Loss date]])-1,YEAR(Table1[[#This Row],[Loss date]]))</f>
        <v>2010</v>
      </c>
      <c r="AC1209" s="17">
        <f>IF(MONTH(Table1[[#This Row],[Reporting date]])&lt;Pol_Inc_Month_Shifted,YEAR(Table1[[#This Row],[Reporting date]])-1,YEAR(Table1[[#This Row],[Reporting date]]))</f>
        <v>2010</v>
      </c>
      <c r="AD1209" s="17">
        <f>Table1[[#This Row],[Reporting year (shifted)]]-Table1[[#This Row],[Policy Year (shifted)]]</f>
        <v>0</v>
      </c>
    </row>
    <row r="1210" spans="1:30" ht="13.9">
      <c r="A1210" s="8" t="s">
        <v>2980</v>
      </c>
      <c r="B1210" s="8" t="s">
        <v>1262</v>
      </c>
      <c r="C1210" s="8" t="s">
        <v>123</v>
      </c>
      <c r="D1210" s="9">
        <v>38618</v>
      </c>
      <c r="E1210" s="9">
        <v>38782</v>
      </c>
      <c r="F1210" s="17">
        <f>IF(MONTH(Table1[[#This Row],[Loss date]])&lt;Policy_Inception_Month,YEAR(Table1[[#This Row],[Loss date]])-1,YEAR(Table1[[#This Row],[Loss date]]))</f>
        <v>2005</v>
      </c>
      <c r="G1210" s="10" t="s">
        <v>126</v>
      </c>
      <c r="H1210" s="10" t="s">
        <v>2</v>
      </c>
      <c r="I1210" s="11">
        <v>603.48573548050103</v>
      </c>
      <c r="J1210" s="11">
        <v>0</v>
      </c>
      <c r="K1210" s="11">
        <v>603.48573548050103</v>
      </c>
      <c r="L1210" s="12">
        <v>0</v>
      </c>
      <c r="M1210" s="12">
        <v>0</v>
      </c>
      <c r="N1210" s="12">
        <v>603.48573548050103</v>
      </c>
      <c r="O1210" s="70">
        <f>IF(Table1[[#This Row],[Overall amount]]=0,0,1)</f>
        <v>1</v>
      </c>
      <c r="P1210" s="70">
        <f>Table1[[#This Row],[Overall amount]]*Exchange_Rate</f>
        <v>603.48573548050103</v>
      </c>
      <c r="Q1210" s="70">
        <f>Table1[[#This Row],[Overall (destination currency)]]*(1+Claims_Inflation)^((Revalue_at_date-Table1[[#This Row],[Loss date]])/365.25)</f>
        <v>984</v>
      </c>
      <c r="R1210" s="70">
        <f>INT(Table1[[#This Row],[Reporting date]])-INT(Table1[[#This Row],[Loss date]])</f>
        <v>164</v>
      </c>
      <c r="S1210" s="69" t="s">
        <v>9</v>
      </c>
      <c r="T1210" s="70">
        <f>VLOOKUP(Table1[[#This Row],[Policy Year]],exposure_table,3,FALSE)</f>
        <v>409.50481038040112</v>
      </c>
      <c r="U1210" s="17">
        <f>IF(MONTH(Table1[[#This Row],[Reporting date]])&lt;Policy_Inception_Month,YEAR(Table1[[#This Row],[Reporting date]])-1,YEAR(Table1[[#This Row],[Reporting date]]))</f>
        <v>2005</v>
      </c>
      <c r="V1210" s="17">
        <f>Table1[[#This Row],[Reporting year]]-Table1[[#This Row],[Policy Year]]</f>
        <v>0</v>
      </c>
      <c r="W1210" s="17">
        <f>INT(Table1[[#This Row],[Reporting date]])-INT(Table1[[#This Row],[Loss date]])</f>
        <v>164</v>
      </c>
      <c r="X1210" s="17">
        <f>INT((YEAR(Table1[[#This Row],[Loss date]])*12+MONTH(Table1[[#This Row],[Loss date]])-Earliest_Month)/4)</f>
        <v>1</v>
      </c>
      <c r="Y1210" s="17">
        <f>INT((YEAR(Table1[[#This Row],[Reporting date]])*12+MONTH(Table1[[#This Row],[Reporting date]])-Earliest_Month)/4)</f>
        <v>2</v>
      </c>
      <c r="Z1210" s="17">
        <f>Table1[[#This Row],[Reporting third]]-Table1[[#This Row],[Policy third]]</f>
        <v>1</v>
      </c>
      <c r="AA1210" s="71">
        <f>IF(Table1[[#This Row],[Overall amount]]=0,"N/A",Table1[[#This Row],[Outstanding]]/Table1[[#This Row],[Overall amount]])</f>
        <v>0</v>
      </c>
      <c r="AB1210" s="17">
        <f>IF(MONTH(Table1[[#This Row],[Loss date]])&lt;Pol_Inc_Month_Shifted,YEAR(Table1[[#This Row],[Loss date]])-1,YEAR(Table1[[#This Row],[Loss date]]))</f>
        <v>2004</v>
      </c>
      <c r="AC1210" s="17">
        <f>IF(MONTH(Table1[[#This Row],[Reporting date]])&lt;Pol_Inc_Month_Shifted,YEAR(Table1[[#This Row],[Reporting date]])-1,YEAR(Table1[[#This Row],[Reporting date]]))</f>
        <v>2005</v>
      </c>
      <c r="AD1210" s="17">
        <f>Table1[[#This Row],[Reporting year (shifted)]]-Table1[[#This Row],[Policy Year (shifted)]]</f>
        <v>1</v>
      </c>
    </row>
    <row r="1211" spans="1:30" ht="13.9">
      <c r="A1211" s="8" t="s">
        <v>2981</v>
      </c>
      <c r="B1211" s="8" t="s">
        <v>1263</v>
      </c>
      <c r="C1211" s="8" t="s">
        <v>123</v>
      </c>
      <c r="D1211" s="9">
        <v>38739</v>
      </c>
      <c r="E1211" s="9">
        <v>38751</v>
      </c>
      <c r="F1211" s="17">
        <f>IF(MONTH(Table1[[#This Row],[Loss date]])&lt;Policy_Inception_Month,YEAR(Table1[[#This Row],[Loss date]])-1,YEAR(Table1[[#This Row],[Loss date]]))</f>
        <v>2005</v>
      </c>
      <c r="G1211" s="10" t="s">
        <v>125</v>
      </c>
      <c r="H1211" s="10" t="s">
        <v>2</v>
      </c>
      <c r="I1211" s="11">
        <v>2046.960490987803</v>
      </c>
      <c r="J1211" s="11">
        <v>0</v>
      </c>
      <c r="K1211" s="11">
        <v>2046.960490987803</v>
      </c>
      <c r="L1211" s="12">
        <v>0</v>
      </c>
      <c r="M1211" s="12">
        <v>0</v>
      </c>
      <c r="N1211" s="12">
        <v>2046.960490987803</v>
      </c>
      <c r="O1211" s="70">
        <f>IF(Table1[[#This Row],[Overall amount]]=0,0,1)</f>
        <v>1</v>
      </c>
      <c r="P1211" s="70">
        <f>Table1[[#This Row],[Overall amount]]*Exchange_Rate</f>
        <v>2046.960490987803</v>
      </c>
      <c r="Q1211" s="70">
        <f>Table1[[#This Row],[Overall (destination currency)]]*(1+Claims_Inflation)^((Revalue_at_date-Table1[[#This Row],[Loss date]])/365.25)</f>
        <v>3284.1120000000005</v>
      </c>
      <c r="R1211" s="70">
        <f>INT(Table1[[#This Row],[Reporting date]])-INT(Table1[[#This Row],[Loss date]])</f>
        <v>12</v>
      </c>
      <c r="S1211" s="69" t="s">
        <v>9</v>
      </c>
      <c r="T1211" s="70">
        <f>VLOOKUP(Table1[[#This Row],[Policy Year]],exposure_table,3,FALSE)</f>
        <v>409.50481038040112</v>
      </c>
      <c r="U1211" s="17">
        <f>IF(MONTH(Table1[[#This Row],[Reporting date]])&lt;Policy_Inception_Month,YEAR(Table1[[#This Row],[Reporting date]])-1,YEAR(Table1[[#This Row],[Reporting date]]))</f>
        <v>2005</v>
      </c>
      <c r="V1211" s="17">
        <f>Table1[[#This Row],[Reporting year]]-Table1[[#This Row],[Policy Year]]</f>
        <v>0</v>
      </c>
      <c r="W1211" s="17">
        <f>INT(Table1[[#This Row],[Reporting date]])-INT(Table1[[#This Row],[Loss date]])</f>
        <v>12</v>
      </c>
      <c r="X1211" s="17">
        <f>INT((YEAR(Table1[[#This Row],[Loss date]])*12+MONTH(Table1[[#This Row],[Loss date]])-Earliest_Month)/4)</f>
        <v>2</v>
      </c>
      <c r="Y1211" s="17">
        <f>INT((YEAR(Table1[[#This Row],[Reporting date]])*12+MONTH(Table1[[#This Row],[Reporting date]])-Earliest_Month)/4)</f>
        <v>2</v>
      </c>
      <c r="Z1211" s="17">
        <f>Table1[[#This Row],[Reporting third]]-Table1[[#This Row],[Policy third]]</f>
        <v>0</v>
      </c>
      <c r="AA1211" s="71">
        <f>IF(Table1[[#This Row],[Overall amount]]=0,"N/A",Table1[[#This Row],[Outstanding]]/Table1[[#This Row],[Overall amount]])</f>
        <v>0</v>
      </c>
      <c r="AB1211" s="17">
        <f>IF(MONTH(Table1[[#This Row],[Loss date]])&lt;Pol_Inc_Month_Shifted,YEAR(Table1[[#This Row],[Loss date]])-1,YEAR(Table1[[#This Row],[Loss date]]))</f>
        <v>2005</v>
      </c>
      <c r="AC1211" s="17">
        <f>IF(MONTH(Table1[[#This Row],[Reporting date]])&lt;Pol_Inc_Month_Shifted,YEAR(Table1[[#This Row],[Reporting date]])-1,YEAR(Table1[[#This Row],[Reporting date]]))</f>
        <v>2005</v>
      </c>
      <c r="AD1211" s="17">
        <f>Table1[[#This Row],[Reporting year (shifted)]]-Table1[[#This Row],[Policy Year (shifted)]]</f>
        <v>0</v>
      </c>
    </row>
    <row r="1212" spans="1:30" ht="13.9">
      <c r="A1212" s="8" t="s">
        <v>2982</v>
      </c>
      <c r="B1212" s="8" t="s">
        <v>1264</v>
      </c>
      <c r="C1212" s="8" t="s">
        <v>123</v>
      </c>
      <c r="D1212" s="9">
        <v>38683</v>
      </c>
      <c r="E1212" s="9">
        <v>38808</v>
      </c>
      <c r="F1212" s="17">
        <f>IF(MONTH(Table1[[#This Row],[Loss date]])&lt;Policy_Inception_Month,YEAR(Table1[[#This Row],[Loss date]])-1,YEAR(Table1[[#This Row],[Loss date]]))</f>
        <v>2005</v>
      </c>
      <c r="G1212" s="10" t="s">
        <v>125</v>
      </c>
      <c r="H1212" s="10" t="s">
        <v>2</v>
      </c>
      <c r="I1212" s="11">
        <v>5005.0777297817622</v>
      </c>
      <c r="J1212" s="11">
        <v>0</v>
      </c>
      <c r="K1212" s="11">
        <v>5005.0777297817622</v>
      </c>
      <c r="L1212" s="12">
        <v>0</v>
      </c>
      <c r="M1212" s="12">
        <v>0</v>
      </c>
      <c r="N1212" s="12">
        <v>5005.0777297817622</v>
      </c>
      <c r="O1212" s="70">
        <f>IF(Table1[[#This Row],[Overall amount]]=0,0,1)</f>
        <v>1</v>
      </c>
      <c r="P1212" s="70">
        <f>Table1[[#This Row],[Overall amount]]*Exchange_Rate</f>
        <v>5005.0777297817622</v>
      </c>
      <c r="Q1212" s="70">
        <f>Table1[[#This Row],[Overall (destination currency)]]*(1+Claims_Inflation)^((Revalue_at_date-Table1[[#This Row],[Loss date]])/365.25)</f>
        <v>8090.3639999999987</v>
      </c>
      <c r="R1212" s="70">
        <f>INT(Table1[[#This Row],[Reporting date]])-INT(Table1[[#This Row],[Loss date]])</f>
        <v>125</v>
      </c>
      <c r="S1212" s="69" t="s">
        <v>9</v>
      </c>
      <c r="T1212" s="70">
        <f>VLOOKUP(Table1[[#This Row],[Policy Year]],exposure_table,3,FALSE)</f>
        <v>409.50481038040112</v>
      </c>
      <c r="U1212" s="17">
        <f>IF(MONTH(Table1[[#This Row],[Reporting date]])&lt;Policy_Inception_Month,YEAR(Table1[[#This Row],[Reporting date]])-1,YEAR(Table1[[#This Row],[Reporting date]]))</f>
        <v>2006</v>
      </c>
      <c r="V1212" s="17">
        <f>Table1[[#This Row],[Reporting year]]-Table1[[#This Row],[Policy Year]]</f>
        <v>1</v>
      </c>
      <c r="W1212" s="17">
        <f>INT(Table1[[#This Row],[Reporting date]])-INT(Table1[[#This Row],[Loss date]])</f>
        <v>125</v>
      </c>
      <c r="X1212" s="17">
        <f>INT((YEAR(Table1[[#This Row],[Loss date]])*12+MONTH(Table1[[#This Row],[Loss date]])-Earliest_Month)/4)</f>
        <v>1</v>
      </c>
      <c r="Y1212" s="17">
        <f>INT((YEAR(Table1[[#This Row],[Reporting date]])*12+MONTH(Table1[[#This Row],[Reporting date]])-Earliest_Month)/4)</f>
        <v>3</v>
      </c>
      <c r="Z1212" s="17">
        <f>Table1[[#This Row],[Reporting third]]-Table1[[#This Row],[Policy third]]</f>
        <v>2</v>
      </c>
      <c r="AA1212" s="71">
        <f>IF(Table1[[#This Row],[Overall amount]]=0,"N/A",Table1[[#This Row],[Outstanding]]/Table1[[#This Row],[Overall amount]])</f>
        <v>0</v>
      </c>
      <c r="AB1212" s="17">
        <f>IF(MONTH(Table1[[#This Row],[Loss date]])&lt;Pol_Inc_Month_Shifted,YEAR(Table1[[#This Row],[Loss date]])-1,YEAR(Table1[[#This Row],[Loss date]]))</f>
        <v>2004</v>
      </c>
      <c r="AC1212" s="17">
        <f>IF(MONTH(Table1[[#This Row],[Reporting date]])&lt;Pol_Inc_Month_Shifted,YEAR(Table1[[#This Row],[Reporting date]])-1,YEAR(Table1[[#This Row],[Reporting date]]))</f>
        <v>2005</v>
      </c>
      <c r="AD1212" s="17">
        <f>Table1[[#This Row],[Reporting year (shifted)]]-Table1[[#This Row],[Policy Year (shifted)]]</f>
        <v>1</v>
      </c>
    </row>
    <row r="1213" spans="1:30" ht="13.9">
      <c r="A1213" s="8" t="s">
        <v>2983</v>
      </c>
      <c r="B1213" s="8" t="s">
        <v>1265</v>
      </c>
      <c r="C1213" s="8" t="s">
        <v>123</v>
      </c>
      <c r="D1213" s="9">
        <v>38893</v>
      </c>
      <c r="E1213" s="9">
        <v>38989</v>
      </c>
      <c r="F1213" s="17">
        <f>IF(MONTH(Table1[[#This Row],[Loss date]])&lt;Policy_Inception_Month,YEAR(Table1[[#This Row],[Loss date]])-1,YEAR(Table1[[#This Row],[Loss date]]))</f>
        <v>2006</v>
      </c>
      <c r="G1213" s="10" t="s">
        <v>125</v>
      </c>
      <c r="H1213" s="10" t="s">
        <v>2</v>
      </c>
      <c r="I1213" s="11">
        <v>3273.0692070685755</v>
      </c>
      <c r="J1213" s="11">
        <v>0</v>
      </c>
      <c r="K1213" s="11">
        <v>3273.0692070685755</v>
      </c>
      <c r="L1213" s="12">
        <v>0</v>
      </c>
      <c r="M1213" s="12">
        <v>0</v>
      </c>
      <c r="N1213" s="12">
        <v>3273.0692070685755</v>
      </c>
      <c r="O1213" s="70">
        <f>IF(Table1[[#This Row],[Overall amount]]=0,0,1)</f>
        <v>1</v>
      </c>
      <c r="P1213" s="70">
        <f>Table1[[#This Row],[Overall amount]]*Exchange_Rate</f>
        <v>3273.0692070685755</v>
      </c>
      <c r="Q1213" s="70">
        <f>Table1[[#This Row],[Overall (destination currency)]]*(1+Claims_Inflation)^((Revalue_at_date-Table1[[#This Row],[Loss date]])/365.25)</f>
        <v>5144.3399999999992</v>
      </c>
      <c r="R1213" s="70">
        <f>INT(Table1[[#This Row],[Reporting date]])-INT(Table1[[#This Row],[Loss date]])</f>
        <v>96</v>
      </c>
      <c r="S1213" s="69" t="s">
        <v>9</v>
      </c>
      <c r="T1213" s="70">
        <f>VLOOKUP(Table1[[#This Row],[Policy Year]],exposure_table,3,FALSE)</f>
        <v>483.32023209000977</v>
      </c>
      <c r="U1213" s="17">
        <f>IF(MONTH(Table1[[#This Row],[Reporting date]])&lt;Policy_Inception_Month,YEAR(Table1[[#This Row],[Reporting date]])-1,YEAR(Table1[[#This Row],[Reporting date]]))</f>
        <v>2006</v>
      </c>
      <c r="V1213" s="17">
        <f>Table1[[#This Row],[Reporting year]]-Table1[[#This Row],[Policy Year]]</f>
        <v>0</v>
      </c>
      <c r="W1213" s="17">
        <f>INT(Table1[[#This Row],[Reporting date]])-INT(Table1[[#This Row],[Loss date]])</f>
        <v>96</v>
      </c>
      <c r="X1213" s="17">
        <f>INT((YEAR(Table1[[#This Row],[Loss date]])*12+MONTH(Table1[[#This Row],[Loss date]])-Earliest_Month)/4)</f>
        <v>3</v>
      </c>
      <c r="Y1213" s="17">
        <f>INT((YEAR(Table1[[#This Row],[Reporting date]])*12+MONTH(Table1[[#This Row],[Reporting date]])-Earliest_Month)/4)</f>
        <v>4</v>
      </c>
      <c r="Z1213" s="17">
        <f>Table1[[#This Row],[Reporting third]]-Table1[[#This Row],[Policy third]]</f>
        <v>1</v>
      </c>
      <c r="AA1213" s="71">
        <f>IF(Table1[[#This Row],[Overall amount]]=0,"N/A",Table1[[#This Row],[Outstanding]]/Table1[[#This Row],[Overall amount]])</f>
        <v>0</v>
      </c>
      <c r="AB1213" s="17">
        <f>IF(MONTH(Table1[[#This Row],[Loss date]])&lt;Pol_Inc_Month_Shifted,YEAR(Table1[[#This Row],[Loss date]])-1,YEAR(Table1[[#This Row],[Loss date]]))</f>
        <v>2005</v>
      </c>
      <c r="AC1213" s="17">
        <f>IF(MONTH(Table1[[#This Row],[Reporting date]])&lt;Pol_Inc_Month_Shifted,YEAR(Table1[[#This Row],[Reporting date]])-1,YEAR(Table1[[#This Row],[Reporting date]]))</f>
        <v>2005</v>
      </c>
      <c r="AD1213" s="17">
        <f>Table1[[#This Row],[Reporting year (shifted)]]-Table1[[#This Row],[Policy Year (shifted)]]</f>
        <v>0</v>
      </c>
    </row>
    <row r="1214" spans="1:30" ht="13.9">
      <c r="A1214" s="8" t="s">
        <v>2984</v>
      </c>
      <c r="B1214" s="8" t="s">
        <v>1266</v>
      </c>
      <c r="C1214" s="8" t="s">
        <v>123</v>
      </c>
      <c r="D1214" s="9">
        <v>38744</v>
      </c>
      <c r="E1214" s="9">
        <v>39111</v>
      </c>
      <c r="F1214" s="17">
        <f>IF(MONTH(Table1[[#This Row],[Loss date]])&lt;Policy_Inception_Month,YEAR(Table1[[#This Row],[Loss date]])-1,YEAR(Table1[[#This Row],[Loss date]]))</f>
        <v>2005</v>
      </c>
      <c r="G1214" s="10" t="s">
        <v>126</v>
      </c>
      <c r="H1214" s="10" t="s">
        <v>2</v>
      </c>
      <c r="I1214" s="11">
        <v>460.29677078770737</v>
      </c>
      <c r="J1214" s="11">
        <v>0</v>
      </c>
      <c r="K1214" s="11">
        <v>460.29677078770737</v>
      </c>
      <c r="L1214" s="12">
        <v>0</v>
      </c>
      <c r="M1214" s="12">
        <v>0</v>
      </c>
      <c r="N1214" s="12">
        <v>460.29677078770737</v>
      </c>
      <c r="O1214" s="70">
        <f>IF(Table1[[#This Row],[Overall amount]]=0,0,1)</f>
        <v>1</v>
      </c>
      <c r="P1214" s="70">
        <f>Table1[[#This Row],[Overall amount]]*Exchange_Rate</f>
        <v>460.29677078770737</v>
      </c>
      <c r="Q1214" s="70">
        <f>Table1[[#This Row],[Overall (destination currency)]]*(1+Claims_Inflation)^((Revalue_at_date-Table1[[#This Row],[Loss date]])/365.25)</f>
        <v>738</v>
      </c>
      <c r="R1214" s="70">
        <f>INT(Table1[[#This Row],[Reporting date]])-INT(Table1[[#This Row],[Loss date]])</f>
        <v>367</v>
      </c>
      <c r="S1214" s="69" t="s">
        <v>9</v>
      </c>
      <c r="T1214" s="70">
        <f>VLOOKUP(Table1[[#This Row],[Policy Year]],exposure_table,3,FALSE)</f>
        <v>409.50481038040112</v>
      </c>
      <c r="U1214" s="17">
        <f>IF(MONTH(Table1[[#This Row],[Reporting date]])&lt;Policy_Inception_Month,YEAR(Table1[[#This Row],[Reporting date]])-1,YEAR(Table1[[#This Row],[Reporting date]]))</f>
        <v>2006</v>
      </c>
      <c r="V1214" s="17">
        <f>Table1[[#This Row],[Reporting year]]-Table1[[#This Row],[Policy Year]]</f>
        <v>1</v>
      </c>
      <c r="W1214" s="17">
        <f>INT(Table1[[#This Row],[Reporting date]])-INT(Table1[[#This Row],[Loss date]])</f>
        <v>367</v>
      </c>
      <c r="X1214" s="17">
        <f>INT((YEAR(Table1[[#This Row],[Loss date]])*12+MONTH(Table1[[#This Row],[Loss date]])-Earliest_Month)/4)</f>
        <v>2</v>
      </c>
      <c r="Y1214" s="17">
        <f>INT((YEAR(Table1[[#This Row],[Reporting date]])*12+MONTH(Table1[[#This Row],[Reporting date]])-Earliest_Month)/4)</f>
        <v>5</v>
      </c>
      <c r="Z1214" s="17">
        <f>Table1[[#This Row],[Reporting third]]-Table1[[#This Row],[Policy third]]</f>
        <v>3</v>
      </c>
      <c r="AA1214" s="71">
        <f>IF(Table1[[#This Row],[Overall amount]]=0,"N/A",Table1[[#This Row],[Outstanding]]/Table1[[#This Row],[Overall amount]])</f>
        <v>0</v>
      </c>
      <c r="AB1214" s="17">
        <f>IF(MONTH(Table1[[#This Row],[Loss date]])&lt;Pol_Inc_Month_Shifted,YEAR(Table1[[#This Row],[Loss date]])-1,YEAR(Table1[[#This Row],[Loss date]]))</f>
        <v>2005</v>
      </c>
      <c r="AC1214" s="17">
        <f>IF(MONTH(Table1[[#This Row],[Reporting date]])&lt;Pol_Inc_Month_Shifted,YEAR(Table1[[#This Row],[Reporting date]])-1,YEAR(Table1[[#This Row],[Reporting date]]))</f>
        <v>2006</v>
      </c>
      <c r="AD1214" s="17">
        <f>Table1[[#This Row],[Reporting year (shifted)]]-Table1[[#This Row],[Policy Year (shifted)]]</f>
        <v>1</v>
      </c>
    </row>
    <row r="1215" spans="1:30" ht="13.9">
      <c r="A1215" s="8" t="s">
        <v>2985</v>
      </c>
      <c r="B1215" s="8" t="s">
        <v>1267</v>
      </c>
      <c r="C1215" s="8" t="s">
        <v>123</v>
      </c>
      <c r="D1215" s="9">
        <v>39175</v>
      </c>
      <c r="E1215" s="9">
        <v>39195</v>
      </c>
      <c r="F1215" s="17">
        <f>IF(MONTH(Table1[[#This Row],[Loss date]])&lt;Policy_Inception_Month,YEAR(Table1[[#This Row],[Loss date]])-1,YEAR(Table1[[#This Row],[Loss date]]))</f>
        <v>2007</v>
      </c>
      <c r="G1215" s="10" t="s">
        <v>131</v>
      </c>
      <c r="H1215" s="10" t="s">
        <v>2</v>
      </c>
      <c r="I1215" s="11">
        <v>455.07016938136007</v>
      </c>
      <c r="J1215" s="11">
        <v>0</v>
      </c>
      <c r="K1215" s="11">
        <v>455.07016938136007</v>
      </c>
      <c r="L1215" s="12">
        <v>0</v>
      </c>
      <c r="M1215" s="12">
        <v>0</v>
      </c>
      <c r="N1215" s="12">
        <v>455.07016938136007</v>
      </c>
      <c r="O1215" s="70">
        <f>IF(Table1[[#This Row],[Overall amount]]=0,0,1)</f>
        <v>1</v>
      </c>
      <c r="P1215" s="70">
        <f>Table1[[#This Row],[Overall amount]]*Exchange_Rate</f>
        <v>455.07016938136007</v>
      </c>
      <c r="Q1215" s="70">
        <f>Table1[[#This Row],[Overall (destination currency)]]*(1+Claims_Inflation)^((Revalue_at_date-Table1[[#This Row],[Loss date]])/365.25)</f>
        <v>688.8</v>
      </c>
      <c r="R1215" s="70">
        <f>INT(Table1[[#This Row],[Reporting date]])-INT(Table1[[#This Row],[Loss date]])</f>
        <v>20</v>
      </c>
      <c r="S1215" s="69" t="s">
        <v>9</v>
      </c>
      <c r="T1215" s="70">
        <f>VLOOKUP(Table1[[#This Row],[Policy Year]],exposure_table,3,FALSE)</f>
        <v>547.7736362475523</v>
      </c>
      <c r="U1215" s="17">
        <f>IF(MONTH(Table1[[#This Row],[Reporting date]])&lt;Policy_Inception_Month,YEAR(Table1[[#This Row],[Reporting date]])-1,YEAR(Table1[[#This Row],[Reporting date]]))</f>
        <v>2007</v>
      </c>
      <c r="V1215" s="17">
        <f>Table1[[#This Row],[Reporting year]]-Table1[[#This Row],[Policy Year]]</f>
        <v>0</v>
      </c>
      <c r="W1215" s="17">
        <f>INT(Table1[[#This Row],[Reporting date]])-INT(Table1[[#This Row],[Loss date]])</f>
        <v>20</v>
      </c>
      <c r="X1215" s="17">
        <f>INT((YEAR(Table1[[#This Row],[Loss date]])*12+MONTH(Table1[[#This Row],[Loss date]])-Earliest_Month)/4)</f>
        <v>6</v>
      </c>
      <c r="Y1215" s="17">
        <f>INT((YEAR(Table1[[#This Row],[Reporting date]])*12+MONTH(Table1[[#This Row],[Reporting date]])-Earliest_Month)/4)</f>
        <v>6</v>
      </c>
      <c r="Z1215" s="17">
        <f>Table1[[#This Row],[Reporting third]]-Table1[[#This Row],[Policy third]]</f>
        <v>0</v>
      </c>
      <c r="AA1215" s="71">
        <f>IF(Table1[[#This Row],[Overall amount]]=0,"N/A",Table1[[#This Row],[Outstanding]]/Table1[[#This Row],[Overall amount]])</f>
        <v>0</v>
      </c>
      <c r="AB1215" s="17">
        <f>IF(MONTH(Table1[[#This Row],[Loss date]])&lt;Pol_Inc_Month_Shifted,YEAR(Table1[[#This Row],[Loss date]])-1,YEAR(Table1[[#This Row],[Loss date]]))</f>
        <v>2006</v>
      </c>
      <c r="AC1215" s="17">
        <f>IF(MONTH(Table1[[#This Row],[Reporting date]])&lt;Pol_Inc_Month_Shifted,YEAR(Table1[[#This Row],[Reporting date]])-1,YEAR(Table1[[#This Row],[Reporting date]]))</f>
        <v>2006</v>
      </c>
      <c r="AD1215" s="17">
        <f>Table1[[#This Row],[Reporting year (shifted)]]-Table1[[#This Row],[Policy Year (shifted)]]</f>
        <v>0</v>
      </c>
    </row>
    <row r="1216" spans="1:30" ht="13.9">
      <c r="A1216" s="8" t="s">
        <v>2986</v>
      </c>
      <c r="B1216" s="8" t="s">
        <v>1268</v>
      </c>
      <c r="C1216" s="8" t="s">
        <v>123</v>
      </c>
      <c r="D1216" s="9">
        <v>39117</v>
      </c>
      <c r="E1216" s="9">
        <v>39216</v>
      </c>
      <c r="F1216" s="17">
        <f>IF(MONTH(Table1[[#This Row],[Loss date]])&lt;Policy_Inception_Month,YEAR(Table1[[#This Row],[Loss date]])-1,YEAR(Table1[[#This Row],[Loss date]]))</f>
        <v>2006</v>
      </c>
      <c r="G1216" s="10" t="s">
        <v>125</v>
      </c>
      <c r="H1216" s="10" t="s">
        <v>2</v>
      </c>
      <c r="I1216" s="11">
        <v>5703.5402667402423</v>
      </c>
      <c r="J1216" s="11">
        <v>0</v>
      </c>
      <c r="K1216" s="11">
        <v>5703.5402667402423</v>
      </c>
      <c r="L1216" s="12">
        <v>0</v>
      </c>
      <c r="M1216" s="12">
        <v>0</v>
      </c>
      <c r="N1216" s="12">
        <v>5703.5402667402423</v>
      </c>
      <c r="O1216" s="70">
        <f>IF(Table1[[#This Row],[Overall amount]]=0,0,1)</f>
        <v>1</v>
      </c>
      <c r="P1216" s="70">
        <f>Table1[[#This Row],[Overall amount]]*Exchange_Rate</f>
        <v>5703.5402667402423</v>
      </c>
      <c r="Q1216" s="70">
        <f>Table1[[#This Row],[Overall (destination currency)]]*(1+Claims_Inflation)^((Revalue_at_date-Table1[[#This Row],[Loss date]])/365.25)</f>
        <v>8700.0959999999995</v>
      </c>
      <c r="R1216" s="70">
        <f>INT(Table1[[#This Row],[Reporting date]])-INT(Table1[[#This Row],[Loss date]])</f>
        <v>99</v>
      </c>
      <c r="S1216" s="69" t="s">
        <v>9</v>
      </c>
      <c r="T1216" s="70">
        <f>VLOOKUP(Table1[[#This Row],[Policy Year]],exposure_table,3,FALSE)</f>
        <v>483.32023209000977</v>
      </c>
      <c r="U1216" s="17">
        <f>IF(MONTH(Table1[[#This Row],[Reporting date]])&lt;Policy_Inception_Month,YEAR(Table1[[#This Row],[Reporting date]])-1,YEAR(Table1[[#This Row],[Reporting date]]))</f>
        <v>2007</v>
      </c>
      <c r="V1216" s="17">
        <f>Table1[[#This Row],[Reporting year]]-Table1[[#This Row],[Policy Year]]</f>
        <v>1</v>
      </c>
      <c r="W1216" s="17">
        <f>INT(Table1[[#This Row],[Reporting date]])-INT(Table1[[#This Row],[Loss date]])</f>
        <v>99</v>
      </c>
      <c r="X1216" s="17">
        <f>INT((YEAR(Table1[[#This Row],[Loss date]])*12+MONTH(Table1[[#This Row],[Loss date]])-Earliest_Month)/4)</f>
        <v>5</v>
      </c>
      <c r="Y1216" s="17">
        <f>INT((YEAR(Table1[[#This Row],[Reporting date]])*12+MONTH(Table1[[#This Row],[Reporting date]])-Earliest_Month)/4)</f>
        <v>6</v>
      </c>
      <c r="Z1216" s="17">
        <f>Table1[[#This Row],[Reporting third]]-Table1[[#This Row],[Policy third]]</f>
        <v>1</v>
      </c>
      <c r="AA1216" s="71">
        <f>IF(Table1[[#This Row],[Overall amount]]=0,"N/A",Table1[[#This Row],[Outstanding]]/Table1[[#This Row],[Overall amount]])</f>
        <v>0</v>
      </c>
      <c r="AB1216" s="17">
        <f>IF(MONTH(Table1[[#This Row],[Loss date]])&lt;Pol_Inc_Month_Shifted,YEAR(Table1[[#This Row],[Loss date]])-1,YEAR(Table1[[#This Row],[Loss date]]))</f>
        <v>2006</v>
      </c>
      <c r="AC1216" s="17">
        <f>IF(MONTH(Table1[[#This Row],[Reporting date]])&lt;Pol_Inc_Month_Shifted,YEAR(Table1[[#This Row],[Reporting date]])-1,YEAR(Table1[[#This Row],[Reporting date]]))</f>
        <v>2006</v>
      </c>
      <c r="AD1216" s="17">
        <f>Table1[[#This Row],[Reporting year (shifted)]]-Table1[[#This Row],[Policy Year (shifted)]]</f>
        <v>0</v>
      </c>
    </row>
    <row r="1217" spans="1:30" ht="13.9">
      <c r="A1217" s="8" t="s">
        <v>2987</v>
      </c>
      <c r="B1217" s="8" t="s">
        <v>1269</v>
      </c>
      <c r="C1217" s="8" t="s">
        <v>123</v>
      </c>
      <c r="D1217" s="9">
        <v>39339</v>
      </c>
      <c r="E1217" s="9">
        <v>39349</v>
      </c>
      <c r="F1217" s="17">
        <f>IF(MONTH(Table1[[#This Row],[Loss date]])&lt;Policy_Inception_Month,YEAR(Table1[[#This Row],[Loss date]])-1,YEAR(Table1[[#This Row],[Loss date]]))</f>
        <v>2007</v>
      </c>
      <c r="G1217" s="10" t="s">
        <v>125</v>
      </c>
      <c r="H1217" s="10" t="s">
        <v>2</v>
      </c>
      <c r="I1217" s="11">
        <v>1825.3469722044538</v>
      </c>
      <c r="J1217" s="11">
        <v>0</v>
      </c>
      <c r="K1217" s="11">
        <v>1825.3469722044538</v>
      </c>
      <c r="L1217" s="12">
        <v>0</v>
      </c>
      <c r="M1217" s="12">
        <v>0</v>
      </c>
      <c r="N1217" s="12">
        <v>1825.3469722044538</v>
      </c>
      <c r="O1217" s="70">
        <f>IF(Table1[[#This Row],[Overall amount]]=0,0,1)</f>
        <v>1</v>
      </c>
      <c r="P1217" s="70">
        <f>Table1[[#This Row],[Overall amount]]*Exchange_Rate</f>
        <v>1825.3469722044538</v>
      </c>
      <c r="Q1217" s="70">
        <f>Table1[[#This Row],[Overall (destination currency)]]*(1+Claims_Inflation)^((Revalue_at_date-Table1[[#This Row],[Loss date]])/365.25)</f>
        <v>2703</v>
      </c>
      <c r="R1217" s="70">
        <f>INT(Table1[[#This Row],[Reporting date]])-INT(Table1[[#This Row],[Loss date]])</f>
        <v>10</v>
      </c>
      <c r="S1217" s="69" t="s">
        <v>9</v>
      </c>
      <c r="T1217" s="70">
        <f>VLOOKUP(Table1[[#This Row],[Policy Year]],exposure_table,3,FALSE)</f>
        <v>547.7736362475523</v>
      </c>
      <c r="U1217" s="17">
        <f>IF(MONTH(Table1[[#This Row],[Reporting date]])&lt;Policy_Inception_Month,YEAR(Table1[[#This Row],[Reporting date]])-1,YEAR(Table1[[#This Row],[Reporting date]]))</f>
        <v>2007</v>
      </c>
      <c r="V1217" s="17">
        <f>Table1[[#This Row],[Reporting year]]-Table1[[#This Row],[Policy Year]]</f>
        <v>0</v>
      </c>
      <c r="W1217" s="17">
        <f>INT(Table1[[#This Row],[Reporting date]])-INT(Table1[[#This Row],[Loss date]])</f>
        <v>10</v>
      </c>
      <c r="X1217" s="17">
        <f>INT((YEAR(Table1[[#This Row],[Loss date]])*12+MONTH(Table1[[#This Row],[Loss date]])-Earliest_Month)/4)</f>
        <v>7</v>
      </c>
      <c r="Y1217" s="17">
        <f>INT((YEAR(Table1[[#This Row],[Reporting date]])*12+MONTH(Table1[[#This Row],[Reporting date]])-Earliest_Month)/4)</f>
        <v>7</v>
      </c>
      <c r="Z1217" s="17">
        <f>Table1[[#This Row],[Reporting third]]-Table1[[#This Row],[Policy third]]</f>
        <v>0</v>
      </c>
      <c r="AA1217" s="71">
        <f>IF(Table1[[#This Row],[Overall amount]]=0,"N/A",Table1[[#This Row],[Outstanding]]/Table1[[#This Row],[Overall amount]])</f>
        <v>0</v>
      </c>
      <c r="AB1217" s="17">
        <f>IF(MONTH(Table1[[#This Row],[Loss date]])&lt;Pol_Inc_Month_Shifted,YEAR(Table1[[#This Row],[Loss date]])-1,YEAR(Table1[[#This Row],[Loss date]]))</f>
        <v>2006</v>
      </c>
      <c r="AC1217" s="17">
        <f>IF(MONTH(Table1[[#This Row],[Reporting date]])&lt;Pol_Inc_Month_Shifted,YEAR(Table1[[#This Row],[Reporting date]])-1,YEAR(Table1[[#This Row],[Reporting date]]))</f>
        <v>2006</v>
      </c>
      <c r="AD1217" s="17">
        <f>Table1[[#This Row],[Reporting year (shifted)]]-Table1[[#This Row],[Policy Year (shifted)]]</f>
        <v>0</v>
      </c>
    </row>
    <row r="1218" spans="1:30" ht="13.9">
      <c r="A1218" s="8" t="s">
        <v>2988</v>
      </c>
      <c r="B1218" s="8" t="s">
        <v>1270</v>
      </c>
      <c r="C1218" s="8" t="s">
        <v>123</v>
      </c>
      <c r="D1218" s="9">
        <v>39337</v>
      </c>
      <c r="E1218" s="9">
        <v>39393</v>
      </c>
      <c r="F1218" s="17">
        <f>IF(MONTH(Table1[[#This Row],[Loss date]])&lt;Policy_Inception_Month,YEAR(Table1[[#This Row],[Loss date]])-1,YEAR(Table1[[#This Row],[Loss date]]))</f>
        <v>2007</v>
      </c>
      <c r="G1218" s="10" t="s">
        <v>130</v>
      </c>
      <c r="H1218" s="10" t="s">
        <v>2</v>
      </c>
      <c r="I1218" s="11">
        <v>34.431308999093844</v>
      </c>
      <c r="J1218" s="11">
        <v>0</v>
      </c>
      <c r="K1218" s="11">
        <v>34.431308999093844</v>
      </c>
      <c r="L1218" s="12">
        <v>0</v>
      </c>
      <c r="M1218" s="12">
        <v>0</v>
      </c>
      <c r="N1218" s="12">
        <v>34.431308999093844</v>
      </c>
      <c r="O1218" s="70">
        <f>IF(Table1[[#This Row],[Overall amount]]=0,0,1)</f>
        <v>1</v>
      </c>
      <c r="P1218" s="70">
        <f>Table1[[#This Row],[Overall amount]]*Exchange_Rate</f>
        <v>34.431308999093844</v>
      </c>
      <c r="Q1218" s="70">
        <f>Table1[[#This Row],[Overall (destination currency)]]*(1+Claims_Inflation)^((Revalue_at_date-Table1[[#This Row],[Loss date]])/365.25)</f>
        <v>51.000000000000007</v>
      </c>
      <c r="R1218" s="70">
        <f>INT(Table1[[#This Row],[Reporting date]])-INT(Table1[[#This Row],[Loss date]])</f>
        <v>56</v>
      </c>
      <c r="S1218" s="69" t="s">
        <v>9</v>
      </c>
      <c r="T1218" s="70">
        <f>VLOOKUP(Table1[[#This Row],[Policy Year]],exposure_table,3,FALSE)</f>
        <v>547.7736362475523</v>
      </c>
      <c r="U1218" s="17">
        <f>IF(MONTH(Table1[[#This Row],[Reporting date]])&lt;Policy_Inception_Month,YEAR(Table1[[#This Row],[Reporting date]])-1,YEAR(Table1[[#This Row],[Reporting date]]))</f>
        <v>2007</v>
      </c>
      <c r="V1218" s="17">
        <f>Table1[[#This Row],[Reporting year]]-Table1[[#This Row],[Policy Year]]</f>
        <v>0</v>
      </c>
      <c r="W1218" s="17">
        <f>INT(Table1[[#This Row],[Reporting date]])-INT(Table1[[#This Row],[Loss date]])</f>
        <v>56</v>
      </c>
      <c r="X1218" s="17">
        <f>INT((YEAR(Table1[[#This Row],[Loss date]])*12+MONTH(Table1[[#This Row],[Loss date]])-Earliest_Month)/4)</f>
        <v>7</v>
      </c>
      <c r="Y1218" s="17">
        <f>INT((YEAR(Table1[[#This Row],[Reporting date]])*12+MONTH(Table1[[#This Row],[Reporting date]])-Earliest_Month)/4)</f>
        <v>7</v>
      </c>
      <c r="Z1218" s="17">
        <f>Table1[[#This Row],[Reporting third]]-Table1[[#This Row],[Policy third]]</f>
        <v>0</v>
      </c>
      <c r="AA1218" s="71">
        <f>IF(Table1[[#This Row],[Overall amount]]=0,"N/A",Table1[[#This Row],[Outstanding]]/Table1[[#This Row],[Overall amount]])</f>
        <v>0</v>
      </c>
      <c r="AB1218" s="17">
        <f>IF(MONTH(Table1[[#This Row],[Loss date]])&lt;Pol_Inc_Month_Shifted,YEAR(Table1[[#This Row],[Loss date]])-1,YEAR(Table1[[#This Row],[Loss date]]))</f>
        <v>2006</v>
      </c>
      <c r="AC1218" s="17">
        <f>IF(MONTH(Table1[[#This Row],[Reporting date]])&lt;Pol_Inc_Month_Shifted,YEAR(Table1[[#This Row],[Reporting date]])-1,YEAR(Table1[[#This Row],[Reporting date]]))</f>
        <v>2006</v>
      </c>
      <c r="AD1218" s="17">
        <f>Table1[[#This Row],[Reporting year (shifted)]]-Table1[[#This Row],[Policy Year (shifted)]]</f>
        <v>0</v>
      </c>
    </row>
    <row r="1219" spans="1:30" ht="13.9">
      <c r="A1219" s="8" t="s">
        <v>2989</v>
      </c>
      <c r="B1219" s="8" t="s">
        <v>1271</v>
      </c>
      <c r="C1219" s="8" t="s">
        <v>123</v>
      </c>
      <c r="D1219" s="9">
        <v>38791</v>
      </c>
      <c r="E1219" s="9">
        <v>39398</v>
      </c>
      <c r="F1219" s="17">
        <f>IF(MONTH(Table1[[#This Row],[Loss date]])&lt;Policy_Inception_Month,YEAR(Table1[[#This Row],[Loss date]])-1,YEAR(Table1[[#This Row],[Loss date]]))</f>
        <v>2005</v>
      </c>
      <c r="G1219" s="10" t="s">
        <v>126</v>
      </c>
      <c r="H1219" s="10" t="s">
        <v>2</v>
      </c>
      <c r="I1219" s="11">
        <v>6784.3864096353409</v>
      </c>
      <c r="J1219" s="11">
        <v>0</v>
      </c>
      <c r="K1219" s="11">
        <v>6784.3864096353409</v>
      </c>
      <c r="L1219" s="12">
        <v>0</v>
      </c>
      <c r="M1219" s="12">
        <v>0</v>
      </c>
      <c r="N1219" s="12">
        <v>6784.3864096353409</v>
      </c>
      <c r="O1219" s="70">
        <f>IF(Table1[[#This Row],[Overall amount]]=0,0,1)</f>
        <v>1</v>
      </c>
      <c r="P1219" s="70">
        <f>Table1[[#This Row],[Overall amount]]*Exchange_Rate</f>
        <v>6784.3864096353409</v>
      </c>
      <c r="Q1219" s="70">
        <f>Table1[[#This Row],[Overall (destination currency)]]*(1+Claims_Inflation)^((Revalue_at_date-Table1[[#This Row],[Loss date]])/365.25)</f>
        <v>10809.42</v>
      </c>
      <c r="R1219" s="70">
        <f>INT(Table1[[#This Row],[Reporting date]])-INT(Table1[[#This Row],[Loss date]])</f>
        <v>607</v>
      </c>
      <c r="S1219" s="69" t="s">
        <v>9</v>
      </c>
      <c r="T1219" s="70">
        <f>VLOOKUP(Table1[[#This Row],[Policy Year]],exposure_table,3,FALSE)</f>
        <v>409.50481038040112</v>
      </c>
      <c r="U1219" s="17">
        <f>IF(MONTH(Table1[[#This Row],[Reporting date]])&lt;Policy_Inception_Month,YEAR(Table1[[#This Row],[Reporting date]])-1,YEAR(Table1[[#This Row],[Reporting date]]))</f>
        <v>2007</v>
      </c>
      <c r="V1219" s="17">
        <f>Table1[[#This Row],[Reporting year]]-Table1[[#This Row],[Policy Year]]</f>
        <v>2</v>
      </c>
      <c r="W1219" s="17">
        <f>INT(Table1[[#This Row],[Reporting date]])-INT(Table1[[#This Row],[Loss date]])</f>
        <v>607</v>
      </c>
      <c r="X1219" s="17">
        <f>INT((YEAR(Table1[[#This Row],[Loss date]])*12+MONTH(Table1[[#This Row],[Loss date]])-Earliest_Month)/4)</f>
        <v>2</v>
      </c>
      <c r="Y1219" s="17">
        <f>INT((YEAR(Table1[[#This Row],[Reporting date]])*12+MONTH(Table1[[#This Row],[Reporting date]])-Earliest_Month)/4)</f>
        <v>7</v>
      </c>
      <c r="Z1219" s="17">
        <f>Table1[[#This Row],[Reporting third]]-Table1[[#This Row],[Policy third]]</f>
        <v>5</v>
      </c>
      <c r="AA1219" s="71">
        <f>IF(Table1[[#This Row],[Overall amount]]=0,"N/A",Table1[[#This Row],[Outstanding]]/Table1[[#This Row],[Overall amount]])</f>
        <v>0</v>
      </c>
      <c r="AB1219" s="17">
        <f>IF(MONTH(Table1[[#This Row],[Loss date]])&lt;Pol_Inc_Month_Shifted,YEAR(Table1[[#This Row],[Loss date]])-1,YEAR(Table1[[#This Row],[Loss date]]))</f>
        <v>2005</v>
      </c>
      <c r="AC1219" s="17">
        <f>IF(MONTH(Table1[[#This Row],[Reporting date]])&lt;Pol_Inc_Month_Shifted,YEAR(Table1[[#This Row],[Reporting date]])-1,YEAR(Table1[[#This Row],[Reporting date]]))</f>
        <v>2006</v>
      </c>
      <c r="AD1219" s="17">
        <f>Table1[[#This Row],[Reporting year (shifted)]]-Table1[[#This Row],[Policy Year (shifted)]]</f>
        <v>1</v>
      </c>
    </row>
    <row r="1220" spans="1:30" ht="13.9">
      <c r="A1220" s="8" t="s">
        <v>2990</v>
      </c>
      <c r="B1220" s="8" t="s">
        <v>1272</v>
      </c>
      <c r="C1220" s="8" t="s">
        <v>123</v>
      </c>
      <c r="D1220" s="9">
        <v>39559</v>
      </c>
      <c r="E1220" s="9">
        <v>39592</v>
      </c>
      <c r="F1220" s="17">
        <f>IF(MONTH(Table1[[#This Row],[Loss date]])&lt;Policy_Inception_Month,YEAR(Table1[[#This Row],[Loss date]])-1,YEAR(Table1[[#This Row],[Loss date]]))</f>
        <v>2008</v>
      </c>
      <c r="G1220" s="10" t="s">
        <v>126</v>
      </c>
      <c r="H1220" s="10" t="s">
        <v>2</v>
      </c>
      <c r="I1220" s="11">
        <v>567.4824478916097</v>
      </c>
      <c r="J1220" s="11">
        <v>0</v>
      </c>
      <c r="K1220" s="11">
        <v>567.4824478916097</v>
      </c>
      <c r="L1220" s="12">
        <v>0</v>
      </c>
      <c r="M1220" s="12">
        <v>0</v>
      </c>
      <c r="N1220" s="12">
        <v>567.4824478916097</v>
      </c>
      <c r="O1220" s="70">
        <f>IF(Table1[[#This Row],[Overall amount]]=0,0,1)</f>
        <v>1</v>
      </c>
      <c r="P1220" s="70">
        <f>Table1[[#This Row],[Overall amount]]*Exchange_Rate</f>
        <v>567.4824478916097</v>
      </c>
      <c r="Q1220" s="70">
        <f>Table1[[#This Row],[Overall (destination currency)]]*(1+Claims_Inflation)^((Revalue_at_date-Table1[[#This Row],[Loss date]])/365.25)</f>
        <v>816.00000000000011</v>
      </c>
      <c r="R1220" s="70">
        <f>INT(Table1[[#This Row],[Reporting date]])-INT(Table1[[#This Row],[Loss date]])</f>
        <v>33</v>
      </c>
      <c r="S1220" s="69" t="s">
        <v>9</v>
      </c>
      <c r="T1220" s="70">
        <f>VLOOKUP(Table1[[#This Row],[Policy Year]],exposure_table,3,FALSE)</f>
        <v>601.98581780480015</v>
      </c>
      <c r="U1220" s="17">
        <f>IF(MONTH(Table1[[#This Row],[Reporting date]])&lt;Policy_Inception_Month,YEAR(Table1[[#This Row],[Reporting date]])-1,YEAR(Table1[[#This Row],[Reporting date]]))</f>
        <v>2008</v>
      </c>
      <c r="V1220" s="17">
        <f>Table1[[#This Row],[Reporting year]]-Table1[[#This Row],[Policy Year]]</f>
        <v>0</v>
      </c>
      <c r="W1220" s="17">
        <f>INT(Table1[[#This Row],[Reporting date]])-INT(Table1[[#This Row],[Loss date]])</f>
        <v>33</v>
      </c>
      <c r="X1220" s="17">
        <f>INT((YEAR(Table1[[#This Row],[Loss date]])*12+MONTH(Table1[[#This Row],[Loss date]])-Earliest_Month)/4)</f>
        <v>9</v>
      </c>
      <c r="Y1220" s="17">
        <f>INT((YEAR(Table1[[#This Row],[Reporting date]])*12+MONTH(Table1[[#This Row],[Reporting date]])-Earliest_Month)/4)</f>
        <v>9</v>
      </c>
      <c r="Z1220" s="17">
        <f>Table1[[#This Row],[Reporting third]]-Table1[[#This Row],[Policy third]]</f>
        <v>0</v>
      </c>
      <c r="AA1220" s="71">
        <f>IF(Table1[[#This Row],[Overall amount]]=0,"N/A",Table1[[#This Row],[Outstanding]]/Table1[[#This Row],[Overall amount]])</f>
        <v>0</v>
      </c>
      <c r="AB1220" s="17">
        <f>IF(MONTH(Table1[[#This Row],[Loss date]])&lt;Pol_Inc_Month_Shifted,YEAR(Table1[[#This Row],[Loss date]])-1,YEAR(Table1[[#This Row],[Loss date]]))</f>
        <v>2007</v>
      </c>
      <c r="AC1220" s="17">
        <f>IF(MONTH(Table1[[#This Row],[Reporting date]])&lt;Pol_Inc_Month_Shifted,YEAR(Table1[[#This Row],[Reporting date]])-1,YEAR(Table1[[#This Row],[Reporting date]]))</f>
        <v>2007</v>
      </c>
      <c r="AD1220" s="17">
        <f>Table1[[#This Row],[Reporting year (shifted)]]-Table1[[#This Row],[Policy Year (shifted)]]</f>
        <v>0</v>
      </c>
    </row>
    <row r="1221" spans="1:30" ht="13.9">
      <c r="A1221" s="8" t="s">
        <v>2991</v>
      </c>
      <c r="B1221" s="8" t="s">
        <v>1273</v>
      </c>
      <c r="C1221" s="8" t="s">
        <v>123</v>
      </c>
      <c r="D1221" s="9">
        <v>39860</v>
      </c>
      <c r="E1221" s="9">
        <v>39879</v>
      </c>
      <c r="F1221" s="17">
        <f>IF(MONTH(Table1[[#This Row],[Loss date]])&lt;Policy_Inception_Month,YEAR(Table1[[#This Row],[Loss date]])-1,YEAR(Table1[[#This Row],[Loss date]]))</f>
        <v>2008</v>
      </c>
      <c r="G1221" s="10" t="s">
        <v>125</v>
      </c>
      <c r="H1221" s="10" t="s">
        <v>2</v>
      </c>
      <c r="I1221" s="11">
        <v>443.07337332444121</v>
      </c>
      <c r="J1221" s="11">
        <v>0</v>
      </c>
      <c r="K1221" s="11">
        <v>443.07337332444121</v>
      </c>
      <c r="L1221" s="12">
        <v>0</v>
      </c>
      <c r="M1221" s="12">
        <v>0</v>
      </c>
      <c r="N1221" s="12">
        <v>443.07337332444121</v>
      </c>
      <c r="O1221" s="70">
        <f>IF(Table1[[#This Row],[Overall amount]]=0,0,1)</f>
        <v>1</v>
      </c>
      <c r="P1221" s="70">
        <f>Table1[[#This Row],[Overall amount]]*Exchange_Rate</f>
        <v>443.07337332444121</v>
      </c>
      <c r="Q1221" s="70">
        <f>Table1[[#This Row],[Overall (destination currency)]]*(1+Claims_Inflation)^((Revalue_at_date-Table1[[#This Row],[Loss date]])/365.25)</f>
        <v>612</v>
      </c>
      <c r="R1221" s="70">
        <f>INT(Table1[[#This Row],[Reporting date]])-INT(Table1[[#This Row],[Loss date]])</f>
        <v>19</v>
      </c>
      <c r="S1221" s="69" t="s">
        <v>9</v>
      </c>
      <c r="T1221" s="70">
        <f>VLOOKUP(Table1[[#This Row],[Policy Year]],exposure_table,3,FALSE)</f>
        <v>601.98581780480015</v>
      </c>
      <c r="U1221" s="17">
        <f>IF(MONTH(Table1[[#This Row],[Reporting date]])&lt;Policy_Inception_Month,YEAR(Table1[[#This Row],[Reporting date]])-1,YEAR(Table1[[#This Row],[Reporting date]]))</f>
        <v>2008</v>
      </c>
      <c r="V1221" s="17">
        <f>Table1[[#This Row],[Reporting year]]-Table1[[#This Row],[Policy Year]]</f>
        <v>0</v>
      </c>
      <c r="W1221" s="17">
        <f>INT(Table1[[#This Row],[Reporting date]])-INT(Table1[[#This Row],[Loss date]])</f>
        <v>19</v>
      </c>
      <c r="X1221" s="17">
        <f>INT((YEAR(Table1[[#This Row],[Loss date]])*12+MONTH(Table1[[#This Row],[Loss date]])-Earliest_Month)/4)</f>
        <v>11</v>
      </c>
      <c r="Y1221" s="17">
        <f>INT((YEAR(Table1[[#This Row],[Reporting date]])*12+MONTH(Table1[[#This Row],[Reporting date]])-Earliest_Month)/4)</f>
        <v>11</v>
      </c>
      <c r="Z1221" s="17">
        <f>Table1[[#This Row],[Reporting third]]-Table1[[#This Row],[Policy third]]</f>
        <v>0</v>
      </c>
      <c r="AA1221" s="71">
        <f>IF(Table1[[#This Row],[Overall amount]]=0,"N/A",Table1[[#This Row],[Outstanding]]/Table1[[#This Row],[Overall amount]])</f>
        <v>0</v>
      </c>
      <c r="AB1221" s="17">
        <f>IF(MONTH(Table1[[#This Row],[Loss date]])&lt;Pol_Inc_Month_Shifted,YEAR(Table1[[#This Row],[Loss date]])-1,YEAR(Table1[[#This Row],[Loss date]]))</f>
        <v>2008</v>
      </c>
      <c r="AC1221" s="17">
        <f>IF(MONTH(Table1[[#This Row],[Reporting date]])&lt;Pol_Inc_Month_Shifted,YEAR(Table1[[#This Row],[Reporting date]])-1,YEAR(Table1[[#This Row],[Reporting date]]))</f>
        <v>2008</v>
      </c>
      <c r="AD1221" s="17">
        <f>Table1[[#This Row],[Reporting year (shifted)]]-Table1[[#This Row],[Policy Year (shifted)]]</f>
        <v>0</v>
      </c>
    </row>
    <row r="1222" spans="1:30" ht="13.9">
      <c r="A1222" s="8" t="s">
        <v>2992</v>
      </c>
      <c r="B1222" s="8" t="s">
        <v>1274</v>
      </c>
      <c r="C1222" s="8" t="s">
        <v>123</v>
      </c>
      <c r="D1222" s="9">
        <v>39725</v>
      </c>
      <c r="E1222" s="9">
        <v>39936</v>
      </c>
      <c r="F1222" s="17">
        <f>IF(MONTH(Table1[[#This Row],[Loss date]])&lt;Policy_Inception_Month,YEAR(Table1[[#This Row],[Loss date]])-1,YEAR(Table1[[#This Row],[Loss date]]))</f>
        <v>2008</v>
      </c>
      <c r="G1222" s="10" t="s">
        <v>126</v>
      </c>
      <c r="H1222" s="10" t="s">
        <v>2</v>
      </c>
      <c r="I1222" s="11">
        <v>725.25816621660488</v>
      </c>
      <c r="J1222" s="11">
        <v>0</v>
      </c>
      <c r="K1222" s="11">
        <v>725.25816621660488</v>
      </c>
      <c r="L1222" s="12">
        <v>0</v>
      </c>
      <c r="M1222" s="12">
        <v>61.646944128411405</v>
      </c>
      <c r="N1222" s="12">
        <v>663.61122208819347</v>
      </c>
      <c r="O1222" s="70">
        <f>IF(Table1[[#This Row],[Overall amount]]=0,0,1)</f>
        <v>1</v>
      </c>
      <c r="P1222" s="70">
        <f>Table1[[#This Row],[Overall amount]]*Exchange_Rate</f>
        <v>663.61122208819347</v>
      </c>
      <c r="Q1222" s="70">
        <f>Table1[[#This Row],[Overall (destination currency)]]*(1+Claims_Inflation)^((Revalue_at_date-Table1[[#This Row],[Loss date]])/365.25)</f>
        <v>933.30000000000007</v>
      </c>
      <c r="R1222" s="70">
        <f>INT(Table1[[#This Row],[Reporting date]])-INT(Table1[[#This Row],[Loss date]])</f>
        <v>211</v>
      </c>
      <c r="S1222" s="69" t="s">
        <v>9</v>
      </c>
      <c r="T1222" s="70">
        <f>VLOOKUP(Table1[[#This Row],[Policy Year]],exposure_table,3,FALSE)</f>
        <v>601.98581780480015</v>
      </c>
      <c r="U1222" s="17">
        <f>IF(MONTH(Table1[[#This Row],[Reporting date]])&lt;Policy_Inception_Month,YEAR(Table1[[#This Row],[Reporting date]])-1,YEAR(Table1[[#This Row],[Reporting date]]))</f>
        <v>2009</v>
      </c>
      <c r="V1222" s="17">
        <f>Table1[[#This Row],[Reporting year]]-Table1[[#This Row],[Policy Year]]</f>
        <v>1</v>
      </c>
      <c r="W1222" s="17">
        <f>INT(Table1[[#This Row],[Reporting date]])-INT(Table1[[#This Row],[Loss date]])</f>
        <v>211</v>
      </c>
      <c r="X1222" s="17">
        <f>INT((YEAR(Table1[[#This Row],[Loss date]])*12+MONTH(Table1[[#This Row],[Loss date]])-Earliest_Month)/4)</f>
        <v>10</v>
      </c>
      <c r="Y1222" s="17">
        <f>INT((YEAR(Table1[[#This Row],[Reporting date]])*12+MONTH(Table1[[#This Row],[Reporting date]])-Earliest_Month)/4)</f>
        <v>12</v>
      </c>
      <c r="Z1222" s="17">
        <f>Table1[[#This Row],[Reporting third]]-Table1[[#This Row],[Policy third]]</f>
        <v>2</v>
      </c>
      <c r="AA1222" s="71">
        <f>IF(Table1[[#This Row],[Overall amount]]=0,"N/A",Table1[[#This Row],[Outstanding]]/Table1[[#This Row],[Overall amount]])</f>
        <v>0</v>
      </c>
      <c r="AB1222" s="17">
        <f>IF(MONTH(Table1[[#This Row],[Loss date]])&lt;Pol_Inc_Month_Shifted,YEAR(Table1[[#This Row],[Loss date]])-1,YEAR(Table1[[#This Row],[Loss date]]))</f>
        <v>2007</v>
      </c>
      <c r="AC1222" s="17">
        <f>IF(MONTH(Table1[[#This Row],[Reporting date]])&lt;Pol_Inc_Month_Shifted,YEAR(Table1[[#This Row],[Reporting date]])-1,YEAR(Table1[[#This Row],[Reporting date]]))</f>
        <v>2008</v>
      </c>
      <c r="AD1222" s="17">
        <f>Table1[[#This Row],[Reporting year (shifted)]]-Table1[[#This Row],[Policy Year (shifted)]]</f>
        <v>1</v>
      </c>
    </row>
    <row r="1223" spans="1:30" ht="13.9">
      <c r="A1223" s="8" t="s">
        <v>2993</v>
      </c>
      <c r="B1223" s="8" t="s">
        <v>1275</v>
      </c>
      <c r="C1223" s="8" t="s">
        <v>123</v>
      </c>
      <c r="D1223" s="9">
        <v>39397</v>
      </c>
      <c r="E1223" s="9">
        <v>39479</v>
      </c>
      <c r="F1223" s="17">
        <f>IF(MONTH(Table1[[#This Row],[Loss date]])&lt;Policy_Inception_Month,YEAR(Table1[[#This Row],[Loss date]])-1,YEAR(Table1[[#This Row],[Loss date]]))</f>
        <v>2007</v>
      </c>
      <c r="G1223" s="10" t="s">
        <v>125</v>
      </c>
      <c r="H1223" s="10" t="s">
        <v>2</v>
      </c>
      <c r="I1223" s="11">
        <v>4434.407743948359</v>
      </c>
      <c r="J1223" s="11">
        <v>0</v>
      </c>
      <c r="K1223" s="11">
        <v>4434.407743948359</v>
      </c>
      <c r="L1223" s="12">
        <v>0</v>
      </c>
      <c r="M1223" s="12">
        <v>0</v>
      </c>
      <c r="N1223" s="12">
        <v>4434.407743948359</v>
      </c>
      <c r="O1223" s="70">
        <f>IF(Table1[[#This Row],[Overall amount]]=0,0,1)</f>
        <v>1</v>
      </c>
      <c r="P1223" s="70">
        <f>Table1[[#This Row],[Overall amount]]*Exchange_Rate</f>
        <v>4434.407743948359</v>
      </c>
      <c r="Q1223" s="70">
        <f>Table1[[#This Row],[Overall (destination currency)]]*(1+Claims_Inflation)^((Revalue_at_date-Table1[[#This Row],[Loss date]])/365.25)</f>
        <v>6515.8560000000007</v>
      </c>
      <c r="R1223" s="70">
        <f>INT(Table1[[#This Row],[Reporting date]])-INT(Table1[[#This Row],[Loss date]])</f>
        <v>82</v>
      </c>
      <c r="S1223" s="69" t="s">
        <v>9</v>
      </c>
      <c r="T1223" s="70">
        <f>VLOOKUP(Table1[[#This Row],[Policy Year]],exposure_table,3,FALSE)</f>
        <v>547.7736362475523</v>
      </c>
      <c r="U1223" s="17">
        <f>IF(MONTH(Table1[[#This Row],[Reporting date]])&lt;Policy_Inception_Month,YEAR(Table1[[#This Row],[Reporting date]])-1,YEAR(Table1[[#This Row],[Reporting date]]))</f>
        <v>2007</v>
      </c>
      <c r="V1223" s="17">
        <f>Table1[[#This Row],[Reporting year]]-Table1[[#This Row],[Policy Year]]</f>
        <v>0</v>
      </c>
      <c r="W1223" s="17">
        <f>INT(Table1[[#This Row],[Reporting date]])-INT(Table1[[#This Row],[Loss date]])</f>
        <v>82</v>
      </c>
      <c r="X1223" s="17">
        <f>INT((YEAR(Table1[[#This Row],[Loss date]])*12+MONTH(Table1[[#This Row],[Loss date]])-Earliest_Month)/4)</f>
        <v>7</v>
      </c>
      <c r="Y1223" s="17">
        <f>INT((YEAR(Table1[[#This Row],[Reporting date]])*12+MONTH(Table1[[#This Row],[Reporting date]])-Earliest_Month)/4)</f>
        <v>8</v>
      </c>
      <c r="Z1223" s="17">
        <f>Table1[[#This Row],[Reporting third]]-Table1[[#This Row],[Policy third]]</f>
        <v>1</v>
      </c>
      <c r="AA1223" s="71">
        <f>IF(Table1[[#This Row],[Overall amount]]=0,"N/A",Table1[[#This Row],[Outstanding]]/Table1[[#This Row],[Overall amount]])</f>
        <v>0</v>
      </c>
      <c r="AB1223" s="17">
        <f>IF(MONTH(Table1[[#This Row],[Loss date]])&lt;Pol_Inc_Month_Shifted,YEAR(Table1[[#This Row],[Loss date]])-1,YEAR(Table1[[#This Row],[Loss date]]))</f>
        <v>2006</v>
      </c>
      <c r="AC1223" s="17">
        <f>IF(MONTH(Table1[[#This Row],[Reporting date]])&lt;Pol_Inc_Month_Shifted,YEAR(Table1[[#This Row],[Reporting date]])-1,YEAR(Table1[[#This Row],[Reporting date]]))</f>
        <v>2007</v>
      </c>
      <c r="AD1223" s="17">
        <f>Table1[[#This Row],[Reporting year (shifted)]]-Table1[[#This Row],[Policy Year (shifted)]]</f>
        <v>1</v>
      </c>
    </row>
    <row r="1224" spans="1:30" ht="13.9">
      <c r="A1224" s="8" t="s">
        <v>2994</v>
      </c>
      <c r="B1224" s="8" t="s">
        <v>1276</v>
      </c>
      <c r="C1224" s="8" t="s">
        <v>123</v>
      </c>
      <c r="D1224" s="9">
        <v>39285</v>
      </c>
      <c r="E1224" s="9">
        <v>39503</v>
      </c>
      <c r="F1224" s="17">
        <f>IF(MONTH(Table1[[#This Row],[Loss date]])&lt;Policy_Inception_Month,YEAR(Table1[[#This Row],[Loss date]])-1,YEAR(Table1[[#This Row],[Loss date]]))</f>
        <v>2007</v>
      </c>
      <c r="G1224" s="10" t="s">
        <v>125</v>
      </c>
      <c r="H1224" s="10" t="s">
        <v>2</v>
      </c>
      <c r="I1224" s="11">
        <v>10514.000983488144</v>
      </c>
      <c r="J1224" s="11">
        <v>0</v>
      </c>
      <c r="K1224" s="11">
        <v>10514.000983488144</v>
      </c>
      <c r="L1224" s="12">
        <v>0</v>
      </c>
      <c r="M1224" s="12">
        <v>0</v>
      </c>
      <c r="N1224" s="12">
        <v>10514.000983488144</v>
      </c>
      <c r="O1224" s="70">
        <f>IF(Table1[[#This Row],[Overall amount]]=0,0,1)</f>
        <v>1</v>
      </c>
      <c r="P1224" s="70">
        <f>Table1[[#This Row],[Overall amount]]*Exchange_Rate</f>
        <v>10514.000983488144</v>
      </c>
      <c r="Q1224" s="70">
        <f>Table1[[#This Row],[Overall (destination currency)]]*(1+Claims_Inflation)^((Revalue_at_date-Table1[[#This Row],[Loss date]])/365.25)</f>
        <v>15681.995999999999</v>
      </c>
      <c r="R1224" s="70">
        <f>INT(Table1[[#This Row],[Reporting date]])-INT(Table1[[#This Row],[Loss date]])</f>
        <v>218</v>
      </c>
      <c r="S1224" s="69" t="s">
        <v>9</v>
      </c>
      <c r="T1224" s="70">
        <f>VLOOKUP(Table1[[#This Row],[Policy Year]],exposure_table,3,FALSE)</f>
        <v>547.7736362475523</v>
      </c>
      <c r="U1224" s="17">
        <f>IF(MONTH(Table1[[#This Row],[Reporting date]])&lt;Policy_Inception_Month,YEAR(Table1[[#This Row],[Reporting date]])-1,YEAR(Table1[[#This Row],[Reporting date]]))</f>
        <v>2007</v>
      </c>
      <c r="V1224" s="17">
        <f>Table1[[#This Row],[Reporting year]]-Table1[[#This Row],[Policy Year]]</f>
        <v>0</v>
      </c>
      <c r="W1224" s="17">
        <f>INT(Table1[[#This Row],[Reporting date]])-INT(Table1[[#This Row],[Loss date]])</f>
        <v>218</v>
      </c>
      <c r="X1224" s="17">
        <f>INT((YEAR(Table1[[#This Row],[Loss date]])*12+MONTH(Table1[[#This Row],[Loss date]])-Earliest_Month)/4)</f>
        <v>6</v>
      </c>
      <c r="Y1224" s="17">
        <f>INT((YEAR(Table1[[#This Row],[Reporting date]])*12+MONTH(Table1[[#This Row],[Reporting date]])-Earliest_Month)/4)</f>
        <v>8</v>
      </c>
      <c r="Z1224" s="17">
        <f>Table1[[#This Row],[Reporting third]]-Table1[[#This Row],[Policy third]]</f>
        <v>2</v>
      </c>
      <c r="AA1224" s="71">
        <f>IF(Table1[[#This Row],[Overall amount]]=0,"N/A",Table1[[#This Row],[Outstanding]]/Table1[[#This Row],[Overall amount]])</f>
        <v>0</v>
      </c>
      <c r="AB1224" s="17">
        <f>IF(MONTH(Table1[[#This Row],[Loss date]])&lt;Pol_Inc_Month_Shifted,YEAR(Table1[[#This Row],[Loss date]])-1,YEAR(Table1[[#This Row],[Loss date]]))</f>
        <v>2006</v>
      </c>
      <c r="AC1224" s="17">
        <f>IF(MONTH(Table1[[#This Row],[Reporting date]])&lt;Pol_Inc_Month_Shifted,YEAR(Table1[[#This Row],[Reporting date]])-1,YEAR(Table1[[#This Row],[Reporting date]]))</f>
        <v>2007</v>
      </c>
      <c r="AD1224" s="17">
        <f>Table1[[#This Row],[Reporting year (shifted)]]-Table1[[#This Row],[Policy Year (shifted)]]</f>
        <v>1</v>
      </c>
    </row>
    <row r="1225" spans="1:30" ht="13.9">
      <c r="A1225" s="8" t="s">
        <v>2995</v>
      </c>
      <c r="B1225" s="8" t="s">
        <v>1277</v>
      </c>
      <c r="C1225" s="8" t="s">
        <v>123</v>
      </c>
      <c r="D1225" s="9">
        <v>40245</v>
      </c>
      <c r="E1225" s="9">
        <v>40253</v>
      </c>
      <c r="F1225" s="17">
        <f>IF(MONTH(Table1[[#This Row],[Loss date]])&lt;Policy_Inception_Month,YEAR(Table1[[#This Row],[Loss date]])-1,YEAR(Table1[[#This Row],[Loss date]]))</f>
        <v>2009</v>
      </c>
      <c r="G1225" s="10" t="s">
        <v>131</v>
      </c>
      <c r="H1225" s="10" t="s">
        <v>2</v>
      </c>
      <c r="I1225" s="11">
        <v>610.05131568873355</v>
      </c>
      <c r="J1225" s="11">
        <v>0</v>
      </c>
      <c r="K1225" s="11">
        <v>610.05131568873355</v>
      </c>
      <c r="L1225" s="12">
        <v>0</v>
      </c>
      <c r="M1225" s="12">
        <v>0</v>
      </c>
      <c r="N1225" s="12">
        <v>610.05131568873355</v>
      </c>
      <c r="O1225" s="70">
        <f>IF(Table1[[#This Row],[Overall amount]]=0,0,1)</f>
        <v>1</v>
      </c>
      <c r="P1225" s="70">
        <f>Table1[[#This Row],[Overall amount]]*Exchange_Rate</f>
        <v>610.05131568873355</v>
      </c>
      <c r="Q1225" s="70">
        <f>Table1[[#This Row],[Overall (destination currency)]]*(1+Claims_Inflation)^((Revalue_at_date-Table1[[#This Row],[Loss date]])/365.25)</f>
        <v>800.4</v>
      </c>
      <c r="R1225" s="70">
        <f>INT(Table1[[#This Row],[Reporting date]])-INT(Table1[[#This Row],[Loss date]])</f>
        <v>8</v>
      </c>
      <c r="S1225" s="69" t="s">
        <v>9</v>
      </c>
      <c r="T1225" s="70">
        <f>VLOOKUP(Table1[[#This Row],[Policy Year]],exposure_table,3,FALSE)</f>
        <v>760.22808576000011</v>
      </c>
      <c r="U1225" s="17">
        <f>IF(MONTH(Table1[[#This Row],[Reporting date]])&lt;Policy_Inception_Month,YEAR(Table1[[#This Row],[Reporting date]])-1,YEAR(Table1[[#This Row],[Reporting date]]))</f>
        <v>2009</v>
      </c>
      <c r="V1225" s="17">
        <f>Table1[[#This Row],[Reporting year]]-Table1[[#This Row],[Policy Year]]</f>
        <v>0</v>
      </c>
      <c r="W1225" s="17">
        <f>INT(Table1[[#This Row],[Reporting date]])-INT(Table1[[#This Row],[Loss date]])</f>
        <v>8</v>
      </c>
      <c r="X1225" s="17">
        <f>INT((YEAR(Table1[[#This Row],[Loss date]])*12+MONTH(Table1[[#This Row],[Loss date]])-Earliest_Month)/4)</f>
        <v>14</v>
      </c>
      <c r="Y1225" s="17">
        <f>INT((YEAR(Table1[[#This Row],[Reporting date]])*12+MONTH(Table1[[#This Row],[Reporting date]])-Earliest_Month)/4)</f>
        <v>14</v>
      </c>
      <c r="Z1225" s="17">
        <f>Table1[[#This Row],[Reporting third]]-Table1[[#This Row],[Policy third]]</f>
        <v>0</v>
      </c>
      <c r="AA1225" s="71">
        <f>IF(Table1[[#This Row],[Overall amount]]=0,"N/A",Table1[[#This Row],[Outstanding]]/Table1[[#This Row],[Overall amount]])</f>
        <v>0</v>
      </c>
      <c r="AB1225" s="17">
        <f>IF(MONTH(Table1[[#This Row],[Loss date]])&lt;Pol_Inc_Month_Shifted,YEAR(Table1[[#This Row],[Loss date]])-1,YEAR(Table1[[#This Row],[Loss date]]))</f>
        <v>2009</v>
      </c>
      <c r="AC1225" s="17">
        <f>IF(MONTH(Table1[[#This Row],[Reporting date]])&lt;Pol_Inc_Month_Shifted,YEAR(Table1[[#This Row],[Reporting date]])-1,YEAR(Table1[[#This Row],[Reporting date]]))</f>
        <v>2009</v>
      </c>
      <c r="AD1225" s="17">
        <f>Table1[[#This Row],[Reporting year (shifted)]]-Table1[[#This Row],[Policy Year (shifted)]]</f>
        <v>0</v>
      </c>
    </row>
    <row r="1226" spans="1:30" ht="13.9">
      <c r="A1226" s="8" t="s">
        <v>2996</v>
      </c>
      <c r="B1226" s="8" t="s">
        <v>1278</v>
      </c>
      <c r="C1226" s="8" t="s">
        <v>123</v>
      </c>
      <c r="D1226" s="9">
        <v>40221</v>
      </c>
      <c r="E1226" s="9">
        <v>40525</v>
      </c>
      <c r="F1226" s="17">
        <f>IF(MONTH(Table1[[#This Row],[Loss date]])&lt;Policy_Inception_Month,YEAR(Table1[[#This Row],[Loss date]])-1,YEAR(Table1[[#This Row],[Loss date]]))</f>
        <v>2009</v>
      </c>
      <c r="G1226" s="10" t="s">
        <v>126</v>
      </c>
      <c r="H1226" s="10" t="s">
        <v>2</v>
      </c>
      <c r="I1226" s="11">
        <v>21008.122379783879</v>
      </c>
      <c r="J1226" s="11">
        <v>0</v>
      </c>
      <c r="K1226" s="11">
        <v>21008.122379783879</v>
      </c>
      <c r="L1226" s="12">
        <v>0</v>
      </c>
      <c r="M1226" s="12">
        <v>0</v>
      </c>
      <c r="N1226" s="12">
        <v>21008.122379783879</v>
      </c>
      <c r="O1226" s="70">
        <f>IF(Table1[[#This Row],[Overall amount]]=0,0,1)</f>
        <v>1</v>
      </c>
      <c r="P1226" s="70">
        <f>Table1[[#This Row],[Overall amount]]*Exchange_Rate</f>
        <v>21008.122379783879</v>
      </c>
      <c r="Q1226" s="70">
        <f>Table1[[#This Row],[Overall (destination currency)]]*(1+Claims_Inflation)^((Revalue_at_date-Table1[[#This Row],[Loss date]])/365.25)</f>
        <v>27651.599999999999</v>
      </c>
      <c r="R1226" s="70">
        <f>INT(Table1[[#This Row],[Reporting date]])-INT(Table1[[#This Row],[Loss date]])</f>
        <v>304</v>
      </c>
      <c r="S1226" s="69" t="s">
        <v>9</v>
      </c>
      <c r="T1226" s="70">
        <f>VLOOKUP(Table1[[#This Row],[Policy Year]],exposure_table,3,FALSE)</f>
        <v>760.22808576000011</v>
      </c>
      <c r="U1226" s="17">
        <f>IF(MONTH(Table1[[#This Row],[Reporting date]])&lt;Policy_Inception_Month,YEAR(Table1[[#This Row],[Reporting date]])-1,YEAR(Table1[[#This Row],[Reporting date]]))</f>
        <v>2010</v>
      </c>
      <c r="V1226" s="17">
        <f>Table1[[#This Row],[Reporting year]]-Table1[[#This Row],[Policy Year]]</f>
        <v>1</v>
      </c>
      <c r="W1226" s="17">
        <f>INT(Table1[[#This Row],[Reporting date]])-INT(Table1[[#This Row],[Loss date]])</f>
        <v>304</v>
      </c>
      <c r="X1226" s="17">
        <f>INT((YEAR(Table1[[#This Row],[Loss date]])*12+MONTH(Table1[[#This Row],[Loss date]])-Earliest_Month)/4)</f>
        <v>14</v>
      </c>
      <c r="Y1226" s="17">
        <f>INT((YEAR(Table1[[#This Row],[Reporting date]])*12+MONTH(Table1[[#This Row],[Reporting date]])-Earliest_Month)/4)</f>
        <v>17</v>
      </c>
      <c r="Z1226" s="17">
        <f>Table1[[#This Row],[Reporting third]]-Table1[[#This Row],[Policy third]]</f>
        <v>3</v>
      </c>
      <c r="AA1226" s="71">
        <f>IF(Table1[[#This Row],[Overall amount]]=0,"N/A",Table1[[#This Row],[Outstanding]]/Table1[[#This Row],[Overall amount]])</f>
        <v>0</v>
      </c>
      <c r="AB1226" s="17">
        <f>IF(MONTH(Table1[[#This Row],[Loss date]])&lt;Pol_Inc_Month_Shifted,YEAR(Table1[[#This Row],[Loss date]])-1,YEAR(Table1[[#This Row],[Loss date]]))</f>
        <v>2009</v>
      </c>
      <c r="AC1226" s="17">
        <f>IF(MONTH(Table1[[#This Row],[Reporting date]])&lt;Pol_Inc_Month_Shifted,YEAR(Table1[[#This Row],[Reporting date]])-1,YEAR(Table1[[#This Row],[Reporting date]]))</f>
        <v>2010</v>
      </c>
      <c r="AD1226" s="17">
        <f>Table1[[#This Row],[Reporting year (shifted)]]-Table1[[#This Row],[Policy Year (shifted)]]</f>
        <v>1</v>
      </c>
    </row>
    <row r="1227" spans="1:30" ht="13.9">
      <c r="A1227" s="8" t="s">
        <v>2997</v>
      </c>
      <c r="B1227" s="8" t="s">
        <v>1279</v>
      </c>
      <c r="C1227" s="8" t="s">
        <v>123</v>
      </c>
      <c r="D1227" s="9">
        <v>40761</v>
      </c>
      <c r="E1227" s="9">
        <v>40789</v>
      </c>
      <c r="F1227" s="17">
        <f>IF(MONTH(Table1[[#This Row],[Loss date]])&lt;Policy_Inception_Month,YEAR(Table1[[#This Row],[Loss date]])-1,YEAR(Table1[[#This Row],[Loss date]]))</f>
        <v>2011</v>
      </c>
      <c r="G1227" s="10" t="s">
        <v>125</v>
      </c>
      <c r="H1227" s="10" t="s">
        <v>2</v>
      </c>
      <c r="I1227" s="11">
        <v>383.62515805435783</v>
      </c>
      <c r="J1227" s="11">
        <v>0</v>
      </c>
      <c r="K1227" s="11">
        <v>383.62515805435783</v>
      </c>
      <c r="L1227" s="12">
        <v>146.98281917791485</v>
      </c>
      <c r="M1227" s="12">
        <v>0</v>
      </c>
      <c r="N1227" s="12">
        <v>530.60797723227267</v>
      </c>
      <c r="O1227" s="70">
        <f>IF(Table1[[#This Row],[Overall amount]]=0,0,1)</f>
        <v>1</v>
      </c>
      <c r="P1227" s="70">
        <f>Table1[[#This Row],[Overall amount]]*Exchange_Rate</f>
        <v>530.60797723227267</v>
      </c>
      <c r="Q1227" s="70">
        <f>Table1[[#This Row],[Overall (destination currency)]]*(1+Claims_Inflation)^((Revalue_at_date-Table1[[#This Row],[Loss date]])/365.25)</f>
        <v>649.79999999999995</v>
      </c>
      <c r="R1227" s="70">
        <f>INT(Table1[[#This Row],[Reporting date]])-INT(Table1[[#This Row],[Loss date]])</f>
        <v>28</v>
      </c>
      <c r="S1227" s="69" t="s">
        <v>9</v>
      </c>
      <c r="T1227" s="70">
        <f>VLOOKUP(Table1[[#This Row],[Policy Year]],exposure_table,3,FALSE)</f>
        <v>870.52680000000009</v>
      </c>
      <c r="U1227" s="17">
        <f>IF(MONTH(Table1[[#This Row],[Reporting date]])&lt;Policy_Inception_Month,YEAR(Table1[[#This Row],[Reporting date]])-1,YEAR(Table1[[#This Row],[Reporting date]]))</f>
        <v>2011</v>
      </c>
      <c r="V1227" s="17">
        <f>Table1[[#This Row],[Reporting year]]-Table1[[#This Row],[Policy Year]]</f>
        <v>0</v>
      </c>
      <c r="W1227" s="17">
        <f>INT(Table1[[#This Row],[Reporting date]])-INT(Table1[[#This Row],[Loss date]])</f>
        <v>28</v>
      </c>
      <c r="X1227" s="17">
        <f>INT((YEAR(Table1[[#This Row],[Loss date]])*12+MONTH(Table1[[#This Row],[Loss date]])-Earliest_Month)/4)</f>
        <v>19</v>
      </c>
      <c r="Y1227" s="17">
        <f>INT((YEAR(Table1[[#This Row],[Reporting date]])*12+MONTH(Table1[[#This Row],[Reporting date]])-Earliest_Month)/4)</f>
        <v>19</v>
      </c>
      <c r="Z1227" s="17">
        <f>Table1[[#This Row],[Reporting third]]-Table1[[#This Row],[Policy third]]</f>
        <v>0</v>
      </c>
      <c r="AA1227" s="71">
        <f>IF(Table1[[#This Row],[Overall amount]]=0,"N/A",Table1[[#This Row],[Outstanding]]/Table1[[#This Row],[Overall amount]])</f>
        <v>0</v>
      </c>
      <c r="AB1227" s="17">
        <f>IF(MONTH(Table1[[#This Row],[Loss date]])&lt;Pol_Inc_Month_Shifted,YEAR(Table1[[#This Row],[Loss date]])-1,YEAR(Table1[[#This Row],[Loss date]]))</f>
        <v>2010</v>
      </c>
      <c r="AC1227" s="17">
        <f>IF(MONTH(Table1[[#This Row],[Reporting date]])&lt;Pol_Inc_Month_Shifted,YEAR(Table1[[#This Row],[Reporting date]])-1,YEAR(Table1[[#This Row],[Reporting date]]))</f>
        <v>2010</v>
      </c>
      <c r="AD1227" s="17">
        <f>Table1[[#This Row],[Reporting year (shifted)]]-Table1[[#This Row],[Policy Year (shifted)]]</f>
        <v>0</v>
      </c>
    </row>
    <row r="1228" spans="1:30" ht="13.9">
      <c r="A1228" s="8" t="s">
        <v>2998</v>
      </c>
      <c r="B1228" s="8" t="s">
        <v>1280</v>
      </c>
      <c r="C1228" s="8" t="s">
        <v>123</v>
      </c>
      <c r="D1228" s="9">
        <v>38473</v>
      </c>
      <c r="E1228" s="9">
        <v>38499</v>
      </c>
      <c r="F1228" s="17">
        <f>IF(MONTH(Table1[[#This Row],[Loss date]])&lt;Policy_Inception_Month,YEAR(Table1[[#This Row],[Loss date]])-1,YEAR(Table1[[#This Row],[Loss date]]))</f>
        <v>2005</v>
      </c>
      <c r="G1228" s="10" t="s">
        <v>131</v>
      </c>
      <c r="H1228" s="10" t="s">
        <v>2</v>
      </c>
      <c r="I1228" s="11">
        <v>3406.7262903116512</v>
      </c>
      <c r="J1228" s="11">
        <v>0</v>
      </c>
      <c r="K1228" s="11">
        <v>3406.7262903116512</v>
      </c>
      <c r="L1228" s="12">
        <v>0</v>
      </c>
      <c r="M1228" s="12">
        <v>0</v>
      </c>
      <c r="N1228" s="12">
        <v>3406.7262903116512</v>
      </c>
      <c r="O1228" s="70">
        <f>IF(Table1[[#This Row],[Overall amount]]=0,0,1)</f>
        <v>1</v>
      </c>
      <c r="P1228" s="70">
        <f>Table1[[#This Row],[Overall amount]]*Exchange_Rate</f>
        <v>3406.7262903116512</v>
      </c>
      <c r="Q1228" s="70">
        <f>Table1[[#This Row],[Overall (destination currency)]]*(1+Claims_Inflation)^((Revalue_at_date-Table1[[#This Row],[Loss date]])/365.25)</f>
        <v>5663.4</v>
      </c>
      <c r="R1228" s="70">
        <f>INT(Table1[[#This Row],[Reporting date]])-INT(Table1[[#This Row],[Loss date]])</f>
        <v>26</v>
      </c>
      <c r="S1228" s="69" t="s">
        <v>9</v>
      </c>
      <c r="T1228" s="70">
        <f>VLOOKUP(Table1[[#This Row],[Policy Year]],exposure_table,3,FALSE)</f>
        <v>409.50481038040112</v>
      </c>
      <c r="U1228" s="17">
        <f>IF(MONTH(Table1[[#This Row],[Reporting date]])&lt;Policy_Inception_Month,YEAR(Table1[[#This Row],[Reporting date]])-1,YEAR(Table1[[#This Row],[Reporting date]]))</f>
        <v>2005</v>
      </c>
      <c r="V1228" s="17">
        <f>Table1[[#This Row],[Reporting year]]-Table1[[#This Row],[Policy Year]]</f>
        <v>0</v>
      </c>
      <c r="W1228" s="17">
        <f>INT(Table1[[#This Row],[Reporting date]])-INT(Table1[[#This Row],[Loss date]])</f>
        <v>26</v>
      </c>
      <c r="X1228" s="17">
        <f>INT((YEAR(Table1[[#This Row],[Loss date]])*12+MONTH(Table1[[#This Row],[Loss date]])-Earliest_Month)/4)</f>
        <v>0</v>
      </c>
      <c r="Y1228" s="17">
        <f>INT((YEAR(Table1[[#This Row],[Reporting date]])*12+MONTH(Table1[[#This Row],[Reporting date]])-Earliest_Month)/4)</f>
        <v>0</v>
      </c>
      <c r="Z1228" s="17">
        <f>Table1[[#This Row],[Reporting third]]-Table1[[#This Row],[Policy third]]</f>
        <v>0</v>
      </c>
      <c r="AA1228" s="71">
        <f>IF(Table1[[#This Row],[Overall amount]]=0,"N/A",Table1[[#This Row],[Outstanding]]/Table1[[#This Row],[Overall amount]])</f>
        <v>0</v>
      </c>
      <c r="AB1228" s="17">
        <f>IF(MONTH(Table1[[#This Row],[Loss date]])&lt;Pol_Inc_Month_Shifted,YEAR(Table1[[#This Row],[Loss date]])-1,YEAR(Table1[[#This Row],[Loss date]]))</f>
        <v>2004</v>
      </c>
      <c r="AC1228" s="17">
        <f>IF(MONTH(Table1[[#This Row],[Reporting date]])&lt;Pol_Inc_Month_Shifted,YEAR(Table1[[#This Row],[Reporting date]])-1,YEAR(Table1[[#This Row],[Reporting date]]))</f>
        <v>2004</v>
      </c>
      <c r="AD1228" s="17">
        <f>Table1[[#This Row],[Reporting year (shifted)]]-Table1[[#This Row],[Policy Year (shifted)]]</f>
        <v>0</v>
      </c>
    </row>
    <row r="1229" spans="1:30" ht="13.9">
      <c r="A1229" s="8" t="s">
        <v>2999</v>
      </c>
      <c r="B1229" s="8" t="s">
        <v>1281</v>
      </c>
      <c r="C1229" s="8" t="s">
        <v>123</v>
      </c>
      <c r="D1229" s="9">
        <v>38535</v>
      </c>
      <c r="E1229" s="9">
        <v>38867</v>
      </c>
      <c r="F1229" s="17">
        <f>IF(MONTH(Table1[[#This Row],[Loss date]])&lt;Policy_Inception_Month,YEAR(Table1[[#This Row],[Loss date]])-1,YEAR(Table1[[#This Row],[Loss date]]))</f>
        <v>2005</v>
      </c>
      <c r="G1229" s="10" t="s">
        <v>131</v>
      </c>
      <c r="H1229" s="10" t="s">
        <v>2</v>
      </c>
      <c r="I1229" s="11">
        <v>1095.2808812931869</v>
      </c>
      <c r="J1229" s="11">
        <v>0</v>
      </c>
      <c r="K1229" s="11">
        <v>1095.2808812931869</v>
      </c>
      <c r="L1229" s="12">
        <v>0</v>
      </c>
      <c r="M1229" s="12">
        <v>0</v>
      </c>
      <c r="N1229" s="12">
        <v>1095.2808812931869</v>
      </c>
      <c r="O1229" s="70">
        <f>IF(Table1[[#This Row],[Overall amount]]=0,0,1)</f>
        <v>1</v>
      </c>
      <c r="P1229" s="70">
        <f>Table1[[#This Row],[Overall amount]]*Exchange_Rate</f>
        <v>1095.2808812931869</v>
      </c>
      <c r="Q1229" s="70">
        <f>Table1[[#This Row],[Overall (destination currency)]]*(1+Claims_Inflation)^((Revalue_at_date-Table1[[#This Row],[Loss date]])/365.25)</f>
        <v>1805.7960000000003</v>
      </c>
      <c r="R1229" s="70">
        <f>INT(Table1[[#This Row],[Reporting date]])-INT(Table1[[#This Row],[Loss date]])</f>
        <v>332</v>
      </c>
      <c r="S1229" s="69" t="s">
        <v>9</v>
      </c>
      <c r="T1229" s="70">
        <f>VLOOKUP(Table1[[#This Row],[Policy Year]],exposure_table,3,FALSE)</f>
        <v>409.50481038040112</v>
      </c>
      <c r="U1229" s="17">
        <f>IF(MONTH(Table1[[#This Row],[Reporting date]])&lt;Policy_Inception_Month,YEAR(Table1[[#This Row],[Reporting date]])-1,YEAR(Table1[[#This Row],[Reporting date]]))</f>
        <v>2006</v>
      </c>
      <c r="V1229" s="17">
        <f>Table1[[#This Row],[Reporting year]]-Table1[[#This Row],[Policy Year]]</f>
        <v>1</v>
      </c>
      <c r="W1229" s="17">
        <f>INT(Table1[[#This Row],[Reporting date]])-INT(Table1[[#This Row],[Loss date]])</f>
        <v>332</v>
      </c>
      <c r="X1229" s="17">
        <f>INT((YEAR(Table1[[#This Row],[Loss date]])*12+MONTH(Table1[[#This Row],[Loss date]])-Earliest_Month)/4)</f>
        <v>0</v>
      </c>
      <c r="Y1229" s="17">
        <f>INT((YEAR(Table1[[#This Row],[Reporting date]])*12+MONTH(Table1[[#This Row],[Reporting date]])-Earliest_Month)/4)</f>
        <v>3</v>
      </c>
      <c r="Z1229" s="17">
        <f>Table1[[#This Row],[Reporting third]]-Table1[[#This Row],[Policy third]]</f>
        <v>3</v>
      </c>
      <c r="AA1229" s="71">
        <f>IF(Table1[[#This Row],[Overall amount]]=0,"N/A",Table1[[#This Row],[Outstanding]]/Table1[[#This Row],[Overall amount]])</f>
        <v>0</v>
      </c>
      <c r="AB1229" s="17">
        <f>IF(MONTH(Table1[[#This Row],[Loss date]])&lt;Pol_Inc_Month_Shifted,YEAR(Table1[[#This Row],[Loss date]])-1,YEAR(Table1[[#This Row],[Loss date]]))</f>
        <v>2004</v>
      </c>
      <c r="AC1229" s="17">
        <f>IF(MONTH(Table1[[#This Row],[Reporting date]])&lt;Pol_Inc_Month_Shifted,YEAR(Table1[[#This Row],[Reporting date]])-1,YEAR(Table1[[#This Row],[Reporting date]]))</f>
        <v>2005</v>
      </c>
      <c r="AD1229" s="17">
        <f>Table1[[#This Row],[Reporting year (shifted)]]-Table1[[#This Row],[Policy Year (shifted)]]</f>
        <v>1</v>
      </c>
    </row>
    <row r="1230" spans="1:30" ht="13.9">
      <c r="A1230" s="8" t="s">
        <v>3000</v>
      </c>
      <c r="B1230" s="8" t="s">
        <v>1282</v>
      </c>
      <c r="C1230" s="8" t="s">
        <v>123</v>
      </c>
      <c r="D1230" s="9">
        <v>39357</v>
      </c>
      <c r="E1230" s="9">
        <v>39767</v>
      </c>
      <c r="F1230" s="17">
        <f>IF(MONTH(Table1[[#This Row],[Loss date]])&lt;Policy_Inception_Month,YEAR(Table1[[#This Row],[Loss date]])-1,YEAR(Table1[[#This Row],[Loss date]]))</f>
        <v>2007</v>
      </c>
      <c r="G1230" s="10" t="s">
        <v>126</v>
      </c>
      <c r="H1230" s="10" t="s">
        <v>2</v>
      </c>
      <c r="I1230" s="11">
        <v>1104.7494016091455</v>
      </c>
      <c r="J1230" s="11">
        <v>0</v>
      </c>
      <c r="K1230" s="11">
        <v>1104.7494016091455</v>
      </c>
      <c r="L1230" s="12">
        <v>0</v>
      </c>
      <c r="M1230" s="12">
        <v>0</v>
      </c>
      <c r="N1230" s="12">
        <v>1104.7494016091455</v>
      </c>
      <c r="O1230" s="70">
        <f>IF(Table1[[#This Row],[Overall amount]]=0,0,1)</f>
        <v>1</v>
      </c>
      <c r="P1230" s="70">
        <f>Table1[[#This Row],[Overall amount]]*Exchange_Rate</f>
        <v>1104.7494016091455</v>
      </c>
      <c r="Q1230" s="70">
        <f>Table1[[#This Row],[Overall (destination currency)]]*(1+Claims_Inflation)^((Revalue_at_date-Table1[[#This Row],[Loss date]])/365.25)</f>
        <v>1632.0000000000002</v>
      </c>
      <c r="R1230" s="70">
        <f>INT(Table1[[#This Row],[Reporting date]])-INT(Table1[[#This Row],[Loss date]])</f>
        <v>410</v>
      </c>
      <c r="S1230" s="69" t="s">
        <v>9</v>
      </c>
      <c r="T1230" s="70">
        <f>VLOOKUP(Table1[[#This Row],[Policy Year]],exposure_table,3,FALSE)</f>
        <v>547.7736362475523</v>
      </c>
      <c r="U1230" s="17">
        <f>IF(MONTH(Table1[[#This Row],[Reporting date]])&lt;Policy_Inception_Month,YEAR(Table1[[#This Row],[Reporting date]])-1,YEAR(Table1[[#This Row],[Reporting date]]))</f>
        <v>2008</v>
      </c>
      <c r="V1230" s="17">
        <f>Table1[[#This Row],[Reporting year]]-Table1[[#This Row],[Policy Year]]</f>
        <v>1</v>
      </c>
      <c r="W1230" s="17">
        <f>INT(Table1[[#This Row],[Reporting date]])-INT(Table1[[#This Row],[Loss date]])</f>
        <v>410</v>
      </c>
      <c r="X1230" s="17">
        <f>INT((YEAR(Table1[[#This Row],[Loss date]])*12+MONTH(Table1[[#This Row],[Loss date]])-Earliest_Month)/4)</f>
        <v>7</v>
      </c>
      <c r="Y1230" s="17">
        <f>INT((YEAR(Table1[[#This Row],[Reporting date]])*12+MONTH(Table1[[#This Row],[Reporting date]])-Earliest_Month)/4)</f>
        <v>10</v>
      </c>
      <c r="Z1230" s="17">
        <f>Table1[[#This Row],[Reporting third]]-Table1[[#This Row],[Policy third]]</f>
        <v>3</v>
      </c>
      <c r="AA1230" s="71">
        <f>IF(Table1[[#This Row],[Overall amount]]=0,"N/A",Table1[[#This Row],[Outstanding]]/Table1[[#This Row],[Overall amount]])</f>
        <v>0</v>
      </c>
      <c r="AB1230" s="17">
        <f>IF(MONTH(Table1[[#This Row],[Loss date]])&lt;Pol_Inc_Month_Shifted,YEAR(Table1[[#This Row],[Loss date]])-1,YEAR(Table1[[#This Row],[Loss date]]))</f>
        <v>2006</v>
      </c>
      <c r="AC1230" s="17">
        <f>IF(MONTH(Table1[[#This Row],[Reporting date]])&lt;Pol_Inc_Month_Shifted,YEAR(Table1[[#This Row],[Reporting date]])-1,YEAR(Table1[[#This Row],[Reporting date]]))</f>
        <v>2007</v>
      </c>
      <c r="AD1230" s="17">
        <f>Table1[[#This Row],[Reporting year (shifted)]]-Table1[[#This Row],[Policy Year (shifted)]]</f>
        <v>1</v>
      </c>
    </row>
    <row r="1231" spans="1:30" ht="13.9">
      <c r="A1231" s="8" t="s">
        <v>3001</v>
      </c>
      <c r="B1231" s="8" t="s">
        <v>1283</v>
      </c>
      <c r="C1231" s="8" t="s">
        <v>123</v>
      </c>
      <c r="D1231" s="9">
        <v>39126</v>
      </c>
      <c r="E1231" s="9">
        <v>39391</v>
      </c>
      <c r="F1231" s="17">
        <f>IF(MONTH(Table1[[#This Row],[Loss date]])&lt;Policy_Inception_Month,YEAR(Table1[[#This Row],[Loss date]])-1,YEAR(Table1[[#This Row],[Loss date]]))</f>
        <v>2006</v>
      </c>
      <c r="G1231" s="10" t="s">
        <v>126</v>
      </c>
      <c r="H1231" s="10" t="s">
        <v>2</v>
      </c>
      <c r="I1231" s="11">
        <v>2614.2873894244353</v>
      </c>
      <c r="J1231" s="11">
        <v>0</v>
      </c>
      <c r="K1231" s="11">
        <v>2614.2873894244353</v>
      </c>
      <c r="L1231" s="12">
        <v>0</v>
      </c>
      <c r="M1231" s="12">
        <v>0</v>
      </c>
      <c r="N1231" s="12">
        <v>2614.2873894244353</v>
      </c>
      <c r="O1231" s="70">
        <f>IF(Table1[[#This Row],[Overall amount]]=0,0,1)</f>
        <v>1</v>
      </c>
      <c r="P1231" s="70">
        <f>Table1[[#This Row],[Overall amount]]*Exchange_Rate</f>
        <v>2614.2873894244353</v>
      </c>
      <c r="Q1231" s="70">
        <f>Table1[[#This Row],[Overall (destination currency)]]*(1+Claims_Inflation)^((Revalue_at_date-Table1[[#This Row],[Loss date]])/365.25)</f>
        <v>3983.0040000000004</v>
      </c>
      <c r="R1231" s="70">
        <f>INT(Table1[[#This Row],[Reporting date]])-INT(Table1[[#This Row],[Loss date]])</f>
        <v>265</v>
      </c>
      <c r="S1231" s="69" t="s">
        <v>9</v>
      </c>
      <c r="T1231" s="70">
        <f>VLOOKUP(Table1[[#This Row],[Policy Year]],exposure_table,3,FALSE)</f>
        <v>483.32023209000977</v>
      </c>
      <c r="U1231" s="17">
        <f>IF(MONTH(Table1[[#This Row],[Reporting date]])&lt;Policy_Inception_Month,YEAR(Table1[[#This Row],[Reporting date]])-1,YEAR(Table1[[#This Row],[Reporting date]]))</f>
        <v>2007</v>
      </c>
      <c r="V1231" s="17">
        <f>Table1[[#This Row],[Reporting year]]-Table1[[#This Row],[Policy Year]]</f>
        <v>1</v>
      </c>
      <c r="W1231" s="17">
        <f>INT(Table1[[#This Row],[Reporting date]])-INT(Table1[[#This Row],[Loss date]])</f>
        <v>265</v>
      </c>
      <c r="X1231" s="17">
        <f>INT((YEAR(Table1[[#This Row],[Loss date]])*12+MONTH(Table1[[#This Row],[Loss date]])-Earliest_Month)/4)</f>
        <v>5</v>
      </c>
      <c r="Y1231" s="17">
        <f>INT((YEAR(Table1[[#This Row],[Reporting date]])*12+MONTH(Table1[[#This Row],[Reporting date]])-Earliest_Month)/4)</f>
        <v>7</v>
      </c>
      <c r="Z1231" s="17">
        <f>Table1[[#This Row],[Reporting third]]-Table1[[#This Row],[Policy third]]</f>
        <v>2</v>
      </c>
      <c r="AA1231" s="71">
        <f>IF(Table1[[#This Row],[Overall amount]]=0,"N/A",Table1[[#This Row],[Outstanding]]/Table1[[#This Row],[Overall amount]])</f>
        <v>0</v>
      </c>
      <c r="AB1231" s="17">
        <f>IF(MONTH(Table1[[#This Row],[Loss date]])&lt;Pol_Inc_Month_Shifted,YEAR(Table1[[#This Row],[Loss date]])-1,YEAR(Table1[[#This Row],[Loss date]]))</f>
        <v>2006</v>
      </c>
      <c r="AC1231" s="17">
        <f>IF(MONTH(Table1[[#This Row],[Reporting date]])&lt;Pol_Inc_Month_Shifted,YEAR(Table1[[#This Row],[Reporting date]])-1,YEAR(Table1[[#This Row],[Reporting date]]))</f>
        <v>2006</v>
      </c>
      <c r="AD1231" s="17">
        <f>Table1[[#This Row],[Reporting year (shifted)]]-Table1[[#This Row],[Policy Year (shifted)]]</f>
        <v>0</v>
      </c>
    </row>
    <row r="1232" spans="1:30" ht="13.9">
      <c r="A1232" s="8" t="s">
        <v>3002</v>
      </c>
      <c r="B1232" s="8" t="s">
        <v>1284</v>
      </c>
      <c r="C1232" s="8" t="s">
        <v>123</v>
      </c>
      <c r="D1232" s="9">
        <v>38618</v>
      </c>
      <c r="E1232" s="9">
        <v>39007</v>
      </c>
      <c r="F1232" s="17">
        <f>IF(MONTH(Table1[[#This Row],[Loss date]])&lt;Policy_Inception_Month,YEAR(Table1[[#This Row],[Loss date]])-1,YEAR(Table1[[#This Row],[Loss date]]))</f>
        <v>2005</v>
      </c>
      <c r="G1232" s="10" t="s">
        <v>131</v>
      </c>
      <c r="H1232" s="10" t="s">
        <v>2</v>
      </c>
      <c r="I1232" s="11">
        <v>422.2560252828506</v>
      </c>
      <c r="J1232" s="11">
        <v>0</v>
      </c>
      <c r="K1232" s="11">
        <v>422.2560252828506</v>
      </c>
      <c r="L1232" s="12">
        <v>0</v>
      </c>
      <c r="M1232" s="12">
        <v>0</v>
      </c>
      <c r="N1232" s="12">
        <v>422.2560252828506</v>
      </c>
      <c r="O1232" s="70">
        <f>IF(Table1[[#This Row],[Overall amount]]=0,0,1)</f>
        <v>1</v>
      </c>
      <c r="P1232" s="70">
        <f>Table1[[#This Row],[Overall amount]]*Exchange_Rate</f>
        <v>422.2560252828506</v>
      </c>
      <c r="Q1232" s="70">
        <f>Table1[[#This Row],[Overall (destination currency)]]*(1+Claims_Inflation)^((Revalue_at_date-Table1[[#This Row],[Loss date]])/365.25)</f>
        <v>688.5</v>
      </c>
      <c r="R1232" s="70">
        <f>INT(Table1[[#This Row],[Reporting date]])-INT(Table1[[#This Row],[Loss date]])</f>
        <v>389</v>
      </c>
      <c r="S1232" s="69" t="s">
        <v>9</v>
      </c>
      <c r="T1232" s="70">
        <f>VLOOKUP(Table1[[#This Row],[Policy Year]],exposure_table,3,FALSE)</f>
        <v>409.50481038040112</v>
      </c>
      <c r="U1232" s="17">
        <f>IF(MONTH(Table1[[#This Row],[Reporting date]])&lt;Policy_Inception_Month,YEAR(Table1[[#This Row],[Reporting date]])-1,YEAR(Table1[[#This Row],[Reporting date]]))</f>
        <v>2006</v>
      </c>
      <c r="V1232" s="17">
        <f>Table1[[#This Row],[Reporting year]]-Table1[[#This Row],[Policy Year]]</f>
        <v>1</v>
      </c>
      <c r="W1232" s="17">
        <f>INT(Table1[[#This Row],[Reporting date]])-INT(Table1[[#This Row],[Loss date]])</f>
        <v>389</v>
      </c>
      <c r="X1232" s="17">
        <f>INT((YEAR(Table1[[#This Row],[Loss date]])*12+MONTH(Table1[[#This Row],[Loss date]])-Earliest_Month)/4)</f>
        <v>1</v>
      </c>
      <c r="Y1232" s="17">
        <f>INT((YEAR(Table1[[#This Row],[Reporting date]])*12+MONTH(Table1[[#This Row],[Reporting date]])-Earliest_Month)/4)</f>
        <v>4</v>
      </c>
      <c r="Z1232" s="17">
        <f>Table1[[#This Row],[Reporting third]]-Table1[[#This Row],[Policy third]]</f>
        <v>3</v>
      </c>
      <c r="AA1232" s="71">
        <f>IF(Table1[[#This Row],[Overall amount]]=0,"N/A",Table1[[#This Row],[Outstanding]]/Table1[[#This Row],[Overall amount]])</f>
        <v>0</v>
      </c>
      <c r="AB1232" s="17">
        <f>IF(MONTH(Table1[[#This Row],[Loss date]])&lt;Pol_Inc_Month_Shifted,YEAR(Table1[[#This Row],[Loss date]])-1,YEAR(Table1[[#This Row],[Loss date]]))</f>
        <v>2004</v>
      </c>
      <c r="AC1232" s="17">
        <f>IF(MONTH(Table1[[#This Row],[Reporting date]])&lt;Pol_Inc_Month_Shifted,YEAR(Table1[[#This Row],[Reporting date]])-1,YEAR(Table1[[#This Row],[Reporting date]]))</f>
        <v>2005</v>
      </c>
      <c r="AD1232" s="17">
        <f>Table1[[#This Row],[Reporting year (shifted)]]-Table1[[#This Row],[Policy Year (shifted)]]</f>
        <v>1</v>
      </c>
    </row>
    <row r="1233" spans="1:30" ht="13.9">
      <c r="A1233" s="8" t="s">
        <v>3003</v>
      </c>
      <c r="B1233" s="8" t="s">
        <v>1285</v>
      </c>
      <c r="C1233" s="8" t="s">
        <v>123</v>
      </c>
      <c r="D1233" s="9">
        <v>39519</v>
      </c>
      <c r="E1233" s="9">
        <v>39819</v>
      </c>
      <c r="F1233" s="17">
        <f>IF(MONTH(Table1[[#This Row],[Loss date]])&lt;Policy_Inception_Month,YEAR(Table1[[#This Row],[Loss date]])-1,YEAR(Table1[[#This Row],[Loss date]]))</f>
        <v>2007</v>
      </c>
      <c r="G1233" s="10" t="s">
        <v>131</v>
      </c>
      <c r="H1233" s="10" t="s">
        <v>2</v>
      </c>
      <c r="I1233" s="11">
        <v>1281.7936209937102</v>
      </c>
      <c r="J1233" s="11">
        <v>0</v>
      </c>
      <c r="K1233" s="11">
        <v>1281.7936209937102</v>
      </c>
      <c r="L1233" s="12">
        <v>0</v>
      </c>
      <c r="M1233" s="12">
        <v>0</v>
      </c>
      <c r="N1233" s="12">
        <v>1281.7936209937102</v>
      </c>
      <c r="O1233" s="70">
        <f>IF(Table1[[#This Row],[Overall amount]]=0,0,1)</f>
        <v>1</v>
      </c>
      <c r="P1233" s="70">
        <f>Table1[[#This Row],[Overall amount]]*Exchange_Rate</f>
        <v>1281.7936209937102</v>
      </c>
      <c r="Q1233" s="70">
        <f>Table1[[#This Row],[Overall (destination currency)]]*(1+Claims_Inflation)^((Revalue_at_date-Table1[[#This Row],[Loss date]])/365.25)</f>
        <v>1853.0040000000001</v>
      </c>
      <c r="R1233" s="70">
        <f>INT(Table1[[#This Row],[Reporting date]])-INT(Table1[[#This Row],[Loss date]])</f>
        <v>300</v>
      </c>
      <c r="S1233" s="69" t="s">
        <v>9</v>
      </c>
      <c r="T1233" s="70">
        <f>VLOOKUP(Table1[[#This Row],[Policy Year]],exposure_table,3,FALSE)</f>
        <v>547.7736362475523</v>
      </c>
      <c r="U1233" s="17">
        <f>IF(MONTH(Table1[[#This Row],[Reporting date]])&lt;Policy_Inception_Month,YEAR(Table1[[#This Row],[Reporting date]])-1,YEAR(Table1[[#This Row],[Reporting date]]))</f>
        <v>2008</v>
      </c>
      <c r="V1233" s="17">
        <f>Table1[[#This Row],[Reporting year]]-Table1[[#This Row],[Policy Year]]</f>
        <v>1</v>
      </c>
      <c r="W1233" s="17">
        <f>INT(Table1[[#This Row],[Reporting date]])-INT(Table1[[#This Row],[Loss date]])</f>
        <v>300</v>
      </c>
      <c r="X1233" s="17">
        <f>INT((YEAR(Table1[[#This Row],[Loss date]])*12+MONTH(Table1[[#This Row],[Loss date]])-Earliest_Month)/4)</f>
        <v>8</v>
      </c>
      <c r="Y1233" s="17">
        <f>INT((YEAR(Table1[[#This Row],[Reporting date]])*12+MONTH(Table1[[#This Row],[Reporting date]])-Earliest_Month)/4)</f>
        <v>11</v>
      </c>
      <c r="Z1233" s="17">
        <f>Table1[[#This Row],[Reporting third]]-Table1[[#This Row],[Policy third]]</f>
        <v>3</v>
      </c>
      <c r="AA1233" s="71">
        <f>IF(Table1[[#This Row],[Overall amount]]=0,"N/A",Table1[[#This Row],[Outstanding]]/Table1[[#This Row],[Overall amount]])</f>
        <v>0</v>
      </c>
      <c r="AB1233" s="17">
        <f>IF(MONTH(Table1[[#This Row],[Loss date]])&lt;Pol_Inc_Month_Shifted,YEAR(Table1[[#This Row],[Loss date]])-1,YEAR(Table1[[#This Row],[Loss date]]))</f>
        <v>2007</v>
      </c>
      <c r="AC1233" s="17">
        <f>IF(MONTH(Table1[[#This Row],[Reporting date]])&lt;Pol_Inc_Month_Shifted,YEAR(Table1[[#This Row],[Reporting date]])-1,YEAR(Table1[[#This Row],[Reporting date]]))</f>
        <v>2008</v>
      </c>
      <c r="AD1233" s="17">
        <f>Table1[[#This Row],[Reporting year (shifted)]]-Table1[[#This Row],[Policy Year (shifted)]]</f>
        <v>1</v>
      </c>
    </row>
    <row r="1234" spans="1:30" ht="13.9">
      <c r="A1234" s="8" t="s">
        <v>3004</v>
      </c>
      <c r="B1234" s="8" t="s">
        <v>1286</v>
      </c>
      <c r="C1234" s="8" t="s">
        <v>123</v>
      </c>
      <c r="D1234" s="9">
        <v>39664</v>
      </c>
      <c r="E1234" s="9">
        <v>39889</v>
      </c>
      <c r="F1234" s="17">
        <f>IF(MONTH(Table1[[#This Row],[Loss date]])&lt;Policy_Inception_Month,YEAR(Table1[[#This Row],[Loss date]])-1,YEAR(Table1[[#This Row],[Loss date]]))</f>
        <v>2008</v>
      </c>
      <c r="G1234" s="10" t="s">
        <v>124</v>
      </c>
      <c r="H1234" s="10" t="s">
        <v>2</v>
      </c>
      <c r="I1234" s="11">
        <v>395.65486986414436</v>
      </c>
      <c r="J1234" s="11">
        <v>0</v>
      </c>
      <c r="K1234" s="11">
        <v>395.65486986414436</v>
      </c>
      <c r="L1234" s="12">
        <v>0</v>
      </c>
      <c r="M1234" s="12">
        <v>4.3522035685055878</v>
      </c>
      <c r="N1234" s="12">
        <v>391.30266629563874</v>
      </c>
      <c r="O1234" s="70">
        <f>IF(Table1[[#This Row],[Overall amount]]=0,0,1)</f>
        <v>1</v>
      </c>
      <c r="P1234" s="70">
        <f>Table1[[#This Row],[Overall amount]]*Exchange_Rate</f>
        <v>391.30266629563874</v>
      </c>
      <c r="Q1234" s="70">
        <f>Table1[[#This Row],[Overall (destination currency)]]*(1+Claims_Inflation)^((Revalue_at_date-Table1[[#This Row],[Loss date]])/365.25)</f>
        <v>554.82899999999995</v>
      </c>
      <c r="R1234" s="70">
        <f>INT(Table1[[#This Row],[Reporting date]])-INT(Table1[[#This Row],[Loss date]])</f>
        <v>225</v>
      </c>
      <c r="S1234" s="69" t="s">
        <v>9</v>
      </c>
      <c r="T1234" s="70">
        <f>VLOOKUP(Table1[[#This Row],[Policy Year]],exposure_table,3,FALSE)</f>
        <v>601.98581780480015</v>
      </c>
      <c r="U1234" s="17">
        <f>IF(MONTH(Table1[[#This Row],[Reporting date]])&lt;Policy_Inception_Month,YEAR(Table1[[#This Row],[Reporting date]])-1,YEAR(Table1[[#This Row],[Reporting date]]))</f>
        <v>2008</v>
      </c>
      <c r="V1234" s="17">
        <f>Table1[[#This Row],[Reporting year]]-Table1[[#This Row],[Policy Year]]</f>
        <v>0</v>
      </c>
      <c r="W1234" s="17">
        <f>INT(Table1[[#This Row],[Reporting date]])-INT(Table1[[#This Row],[Loss date]])</f>
        <v>225</v>
      </c>
      <c r="X1234" s="17">
        <f>INT((YEAR(Table1[[#This Row],[Loss date]])*12+MONTH(Table1[[#This Row],[Loss date]])-Earliest_Month)/4)</f>
        <v>10</v>
      </c>
      <c r="Y1234" s="17">
        <f>INT((YEAR(Table1[[#This Row],[Reporting date]])*12+MONTH(Table1[[#This Row],[Reporting date]])-Earliest_Month)/4)</f>
        <v>11</v>
      </c>
      <c r="Z1234" s="17">
        <f>Table1[[#This Row],[Reporting third]]-Table1[[#This Row],[Policy third]]</f>
        <v>1</v>
      </c>
      <c r="AA1234" s="71">
        <f>IF(Table1[[#This Row],[Overall amount]]=0,"N/A",Table1[[#This Row],[Outstanding]]/Table1[[#This Row],[Overall amount]])</f>
        <v>0</v>
      </c>
      <c r="AB1234" s="17">
        <f>IF(MONTH(Table1[[#This Row],[Loss date]])&lt;Pol_Inc_Month_Shifted,YEAR(Table1[[#This Row],[Loss date]])-1,YEAR(Table1[[#This Row],[Loss date]]))</f>
        <v>2007</v>
      </c>
      <c r="AC1234" s="17">
        <f>IF(MONTH(Table1[[#This Row],[Reporting date]])&lt;Pol_Inc_Month_Shifted,YEAR(Table1[[#This Row],[Reporting date]])-1,YEAR(Table1[[#This Row],[Reporting date]]))</f>
        <v>2008</v>
      </c>
      <c r="AD1234" s="17">
        <f>Table1[[#This Row],[Reporting year (shifted)]]-Table1[[#This Row],[Policy Year (shifted)]]</f>
        <v>1</v>
      </c>
    </row>
    <row r="1235" spans="1:30" ht="13.9">
      <c r="A1235" s="8" t="s">
        <v>3005</v>
      </c>
      <c r="B1235" s="8" t="s">
        <v>1287</v>
      </c>
      <c r="C1235" s="8" t="s">
        <v>123</v>
      </c>
      <c r="D1235" s="9">
        <v>39216</v>
      </c>
      <c r="E1235" s="9">
        <v>39928</v>
      </c>
      <c r="F1235" s="17">
        <f>IF(MONTH(Table1[[#This Row],[Loss date]])&lt;Policy_Inception_Month,YEAR(Table1[[#This Row],[Loss date]])-1,YEAR(Table1[[#This Row],[Loss date]]))</f>
        <v>2007</v>
      </c>
      <c r="G1235" s="10" t="s">
        <v>126</v>
      </c>
      <c r="H1235" s="10" t="s">
        <v>2</v>
      </c>
      <c r="I1235" s="11">
        <v>767.92728613278848</v>
      </c>
      <c r="J1235" s="11">
        <v>0</v>
      </c>
      <c r="K1235" s="11">
        <v>767.92728613278848</v>
      </c>
      <c r="L1235" s="12">
        <v>0</v>
      </c>
      <c r="M1235" s="12">
        <v>0</v>
      </c>
      <c r="N1235" s="12">
        <v>767.92728613278848</v>
      </c>
      <c r="O1235" s="70">
        <f>IF(Table1[[#This Row],[Overall amount]]=0,0,1)</f>
        <v>1</v>
      </c>
      <c r="P1235" s="70">
        <f>Table1[[#This Row],[Overall amount]]*Exchange_Rate</f>
        <v>767.92728613278848</v>
      </c>
      <c r="Q1235" s="70">
        <f>Table1[[#This Row],[Overall (destination currency)]]*(1+Claims_Inflation)^((Revalue_at_date-Table1[[#This Row],[Loss date]])/365.25)</f>
        <v>1155.9960000000001</v>
      </c>
      <c r="R1235" s="70">
        <f>INT(Table1[[#This Row],[Reporting date]])-INT(Table1[[#This Row],[Loss date]])</f>
        <v>712</v>
      </c>
      <c r="S1235" s="69" t="s">
        <v>9</v>
      </c>
      <c r="T1235" s="70">
        <f>VLOOKUP(Table1[[#This Row],[Policy Year]],exposure_table,3,FALSE)</f>
        <v>547.7736362475523</v>
      </c>
      <c r="U1235" s="17">
        <f>IF(MONTH(Table1[[#This Row],[Reporting date]])&lt;Policy_Inception_Month,YEAR(Table1[[#This Row],[Reporting date]])-1,YEAR(Table1[[#This Row],[Reporting date]]))</f>
        <v>2009</v>
      </c>
      <c r="V1235" s="17">
        <f>Table1[[#This Row],[Reporting year]]-Table1[[#This Row],[Policy Year]]</f>
        <v>2</v>
      </c>
      <c r="W1235" s="17">
        <f>INT(Table1[[#This Row],[Reporting date]])-INT(Table1[[#This Row],[Loss date]])</f>
        <v>712</v>
      </c>
      <c r="X1235" s="17">
        <f>INT((YEAR(Table1[[#This Row],[Loss date]])*12+MONTH(Table1[[#This Row],[Loss date]])-Earliest_Month)/4)</f>
        <v>6</v>
      </c>
      <c r="Y1235" s="17">
        <f>INT((YEAR(Table1[[#This Row],[Reporting date]])*12+MONTH(Table1[[#This Row],[Reporting date]])-Earliest_Month)/4)</f>
        <v>12</v>
      </c>
      <c r="Z1235" s="17">
        <f>Table1[[#This Row],[Reporting third]]-Table1[[#This Row],[Policy third]]</f>
        <v>6</v>
      </c>
      <c r="AA1235" s="71">
        <f>IF(Table1[[#This Row],[Overall amount]]=0,"N/A",Table1[[#This Row],[Outstanding]]/Table1[[#This Row],[Overall amount]])</f>
        <v>0</v>
      </c>
      <c r="AB1235" s="17">
        <f>IF(MONTH(Table1[[#This Row],[Loss date]])&lt;Pol_Inc_Month_Shifted,YEAR(Table1[[#This Row],[Loss date]])-1,YEAR(Table1[[#This Row],[Loss date]]))</f>
        <v>2006</v>
      </c>
      <c r="AC1235" s="17">
        <f>IF(MONTH(Table1[[#This Row],[Reporting date]])&lt;Pol_Inc_Month_Shifted,YEAR(Table1[[#This Row],[Reporting date]])-1,YEAR(Table1[[#This Row],[Reporting date]]))</f>
        <v>2008</v>
      </c>
      <c r="AD1235" s="17">
        <f>Table1[[#This Row],[Reporting year (shifted)]]-Table1[[#This Row],[Policy Year (shifted)]]</f>
        <v>2</v>
      </c>
    </row>
    <row r="1236" spans="1:30" ht="13.9">
      <c r="A1236" s="8" t="s">
        <v>3006</v>
      </c>
      <c r="B1236" s="8" t="s">
        <v>1288</v>
      </c>
      <c r="C1236" s="8" t="s">
        <v>123</v>
      </c>
      <c r="D1236" s="9">
        <v>39905</v>
      </c>
      <c r="E1236" s="9">
        <v>39943</v>
      </c>
      <c r="F1236" s="17">
        <f>IF(MONTH(Table1[[#This Row],[Loss date]])&lt;Policy_Inception_Month,YEAR(Table1[[#This Row],[Loss date]])-1,YEAR(Table1[[#This Row],[Loss date]]))</f>
        <v>2009</v>
      </c>
      <c r="G1236" s="10" t="s">
        <v>125</v>
      </c>
      <c r="H1236" s="10" t="s">
        <v>2</v>
      </c>
      <c r="I1236" s="11">
        <v>849.1000604710963</v>
      </c>
      <c r="J1236" s="11">
        <v>0</v>
      </c>
      <c r="K1236" s="11">
        <v>849.1000604710963</v>
      </c>
      <c r="L1236" s="12">
        <v>0</v>
      </c>
      <c r="M1236" s="12">
        <v>0</v>
      </c>
      <c r="N1236" s="12">
        <v>849.1000604710963</v>
      </c>
      <c r="O1236" s="70">
        <f>IF(Table1[[#This Row],[Overall amount]]=0,0,1)</f>
        <v>1</v>
      </c>
      <c r="P1236" s="70">
        <f>Table1[[#This Row],[Overall amount]]*Exchange_Rate</f>
        <v>849.1000604710963</v>
      </c>
      <c r="Q1236" s="70">
        <f>Table1[[#This Row],[Overall (destination currency)]]*(1+Claims_Inflation)^((Revalue_at_date-Table1[[#This Row],[Loss date]])/365.25)</f>
        <v>1165.8</v>
      </c>
      <c r="R1236" s="70">
        <f>INT(Table1[[#This Row],[Reporting date]])-INT(Table1[[#This Row],[Loss date]])</f>
        <v>38</v>
      </c>
      <c r="S1236" s="69" t="s">
        <v>9</v>
      </c>
      <c r="T1236" s="70">
        <f>VLOOKUP(Table1[[#This Row],[Policy Year]],exposure_table,3,FALSE)</f>
        <v>760.22808576000011</v>
      </c>
      <c r="U1236" s="17">
        <f>IF(MONTH(Table1[[#This Row],[Reporting date]])&lt;Policy_Inception_Month,YEAR(Table1[[#This Row],[Reporting date]])-1,YEAR(Table1[[#This Row],[Reporting date]]))</f>
        <v>2009</v>
      </c>
      <c r="V1236" s="17">
        <f>Table1[[#This Row],[Reporting year]]-Table1[[#This Row],[Policy Year]]</f>
        <v>0</v>
      </c>
      <c r="W1236" s="17">
        <f>INT(Table1[[#This Row],[Reporting date]])-INT(Table1[[#This Row],[Loss date]])</f>
        <v>38</v>
      </c>
      <c r="X1236" s="17">
        <f>INT((YEAR(Table1[[#This Row],[Loss date]])*12+MONTH(Table1[[#This Row],[Loss date]])-Earliest_Month)/4)</f>
        <v>12</v>
      </c>
      <c r="Y1236" s="17">
        <f>INT((YEAR(Table1[[#This Row],[Reporting date]])*12+MONTH(Table1[[#This Row],[Reporting date]])-Earliest_Month)/4)</f>
        <v>12</v>
      </c>
      <c r="Z1236" s="17">
        <f>Table1[[#This Row],[Reporting third]]-Table1[[#This Row],[Policy third]]</f>
        <v>0</v>
      </c>
      <c r="AA1236" s="71">
        <f>IF(Table1[[#This Row],[Overall amount]]=0,"N/A",Table1[[#This Row],[Outstanding]]/Table1[[#This Row],[Overall amount]])</f>
        <v>0</v>
      </c>
      <c r="AB1236" s="17">
        <f>IF(MONTH(Table1[[#This Row],[Loss date]])&lt;Pol_Inc_Month_Shifted,YEAR(Table1[[#This Row],[Loss date]])-1,YEAR(Table1[[#This Row],[Loss date]]))</f>
        <v>2008</v>
      </c>
      <c r="AC1236" s="17">
        <f>IF(MONTH(Table1[[#This Row],[Reporting date]])&lt;Pol_Inc_Month_Shifted,YEAR(Table1[[#This Row],[Reporting date]])-1,YEAR(Table1[[#This Row],[Reporting date]]))</f>
        <v>2008</v>
      </c>
      <c r="AD1236" s="17">
        <f>Table1[[#This Row],[Reporting year (shifted)]]-Table1[[#This Row],[Policy Year (shifted)]]</f>
        <v>0</v>
      </c>
    </row>
    <row r="1237" spans="1:30" ht="13.9">
      <c r="A1237" s="8" t="s">
        <v>3007</v>
      </c>
      <c r="B1237" s="8" t="s">
        <v>1289</v>
      </c>
      <c r="C1237" s="8" t="s">
        <v>123</v>
      </c>
      <c r="D1237" s="9">
        <v>38799</v>
      </c>
      <c r="E1237" s="9">
        <v>40001</v>
      </c>
      <c r="F1237" s="17">
        <f>IF(MONTH(Table1[[#This Row],[Loss date]])&lt;Policy_Inception_Month,YEAR(Table1[[#This Row],[Loss date]])-1,YEAR(Table1[[#This Row],[Loss date]]))</f>
        <v>2005</v>
      </c>
      <c r="G1237" s="10" t="s">
        <v>125</v>
      </c>
      <c r="H1237" s="10" t="s">
        <v>2</v>
      </c>
      <c r="I1237" s="11">
        <v>886.53946132296937</v>
      </c>
      <c r="J1237" s="11">
        <v>0</v>
      </c>
      <c r="K1237" s="11">
        <v>886.53946132296937</v>
      </c>
      <c r="L1237" s="12">
        <v>0</v>
      </c>
      <c r="M1237" s="12">
        <v>0</v>
      </c>
      <c r="N1237" s="12">
        <v>886.53946132296937</v>
      </c>
      <c r="O1237" s="70">
        <f>IF(Table1[[#This Row],[Overall amount]]=0,0,1)</f>
        <v>1</v>
      </c>
      <c r="P1237" s="70">
        <f>Table1[[#This Row],[Overall amount]]*Exchange_Rate</f>
        <v>886.53946132296937</v>
      </c>
      <c r="Q1237" s="70">
        <f>Table1[[#This Row],[Overall (destination currency)]]*(1+Claims_Inflation)^((Revalue_at_date-Table1[[#This Row],[Loss date]])/365.25)</f>
        <v>1410.9959999999999</v>
      </c>
      <c r="R1237" s="70">
        <f>INT(Table1[[#This Row],[Reporting date]])-INT(Table1[[#This Row],[Loss date]])</f>
        <v>1202</v>
      </c>
      <c r="S1237" s="69" t="s">
        <v>9</v>
      </c>
      <c r="T1237" s="70">
        <f>VLOOKUP(Table1[[#This Row],[Policy Year]],exposure_table,3,FALSE)</f>
        <v>409.50481038040112</v>
      </c>
      <c r="U1237" s="17">
        <f>IF(MONTH(Table1[[#This Row],[Reporting date]])&lt;Policy_Inception_Month,YEAR(Table1[[#This Row],[Reporting date]])-1,YEAR(Table1[[#This Row],[Reporting date]]))</f>
        <v>2009</v>
      </c>
      <c r="V1237" s="17">
        <f>Table1[[#This Row],[Reporting year]]-Table1[[#This Row],[Policy Year]]</f>
        <v>4</v>
      </c>
      <c r="W1237" s="17">
        <f>INT(Table1[[#This Row],[Reporting date]])-INT(Table1[[#This Row],[Loss date]])</f>
        <v>1202</v>
      </c>
      <c r="X1237" s="17">
        <f>INT((YEAR(Table1[[#This Row],[Loss date]])*12+MONTH(Table1[[#This Row],[Loss date]])-Earliest_Month)/4)</f>
        <v>2</v>
      </c>
      <c r="Y1237" s="17">
        <f>INT((YEAR(Table1[[#This Row],[Reporting date]])*12+MONTH(Table1[[#This Row],[Reporting date]])-Earliest_Month)/4)</f>
        <v>12</v>
      </c>
      <c r="Z1237" s="17">
        <f>Table1[[#This Row],[Reporting third]]-Table1[[#This Row],[Policy third]]</f>
        <v>10</v>
      </c>
      <c r="AA1237" s="71">
        <f>IF(Table1[[#This Row],[Overall amount]]=0,"N/A",Table1[[#This Row],[Outstanding]]/Table1[[#This Row],[Overall amount]])</f>
        <v>0</v>
      </c>
      <c r="AB1237" s="17">
        <f>IF(MONTH(Table1[[#This Row],[Loss date]])&lt;Pol_Inc_Month_Shifted,YEAR(Table1[[#This Row],[Loss date]])-1,YEAR(Table1[[#This Row],[Loss date]]))</f>
        <v>2005</v>
      </c>
      <c r="AC1237" s="17">
        <f>IF(MONTH(Table1[[#This Row],[Reporting date]])&lt;Pol_Inc_Month_Shifted,YEAR(Table1[[#This Row],[Reporting date]])-1,YEAR(Table1[[#This Row],[Reporting date]]))</f>
        <v>2008</v>
      </c>
      <c r="AD1237" s="17">
        <f>Table1[[#This Row],[Reporting year (shifted)]]-Table1[[#This Row],[Policy Year (shifted)]]</f>
        <v>3</v>
      </c>
    </row>
    <row r="1238" spans="1:30" ht="13.9">
      <c r="A1238" s="8" t="s">
        <v>3008</v>
      </c>
      <c r="B1238" s="8" t="s">
        <v>1290</v>
      </c>
      <c r="C1238" s="8" t="s">
        <v>123</v>
      </c>
      <c r="D1238" s="9">
        <v>39945</v>
      </c>
      <c r="E1238" s="9">
        <v>39970</v>
      </c>
      <c r="F1238" s="17">
        <f>IF(MONTH(Table1[[#This Row],[Loss date]])&lt;Policy_Inception_Month,YEAR(Table1[[#This Row],[Loss date]])-1,YEAR(Table1[[#This Row],[Loss date]]))</f>
        <v>2009</v>
      </c>
      <c r="G1238" s="10" t="s">
        <v>126</v>
      </c>
      <c r="H1238" s="10" t="s">
        <v>2</v>
      </c>
      <c r="I1238" s="11">
        <v>738.97983592513708</v>
      </c>
      <c r="J1238" s="11">
        <v>0</v>
      </c>
      <c r="K1238" s="11">
        <v>738.97983592513708</v>
      </c>
      <c r="L1238" s="12">
        <v>0</v>
      </c>
      <c r="M1238" s="12">
        <v>0</v>
      </c>
      <c r="N1238" s="12">
        <v>738.97983592513708</v>
      </c>
      <c r="O1238" s="70">
        <f>IF(Table1[[#This Row],[Overall amount]]=0,0,1)</f>
        <v>1</v>
      </c>
      <c r="P1238" s="70">
        <f>Table1[[#This Row],[Overall amount]]*Exchange_Rate</f>
        <v>738.97983592513708</v>
      </c>
      <c r="Q1238" s="70">
        <f>Table1[[#This Row],[Overall (destination currency)]]*(1+Claims_Inflation)^((Revalue_at_date-Table1[[#This Row],[Loss date]])/365.25)</f>
        <v>1009.1999999999999</v>
      </c>
      <c r="R1238" s="70">
        <f>INT(Table1[[#This Row],[Reporting date]])-INT(Table1[[#This Row],[Loss date]])</f>
        <v>25</v>
      </c>
      <c r="S1238" s="69" t="s">
        <v>9</v>
      </c>
      <c r="T1238" s="70">
        <f>VLOOKUP(Table1[[#This Row],[Policy Year]],exposure_table,3,FALSE)</f>
        <v>760.22808576000011</v>
      </c>
      <c r="U1238" s="17">
        <f>IF(MONTH(Table1[[#This Row],[Reporting date]])&lt;Policy_Inception_Month,YEAR(Table1[[#This Row],[Reporting date]])-1,YEAR(Table1[[#This Row],[Reporting date]]))</f>
        <v>2009</v>
      </c>
      <c r="V1238" s="17">
        <f>Table1[[#This Row],[Reporting year]]-Table1[[#This Row],[Policy Year]]</f>
        <v>0</v>
      </c>
      <c r="W1238" s="17">
        <f>INT(Table1[[#This Row],[Reporting date]])-INT(Table1[[#This Row],[Loss date]])</f>
        <v>25</v>
      </c>
      <c r="X1238" s="17">
        <f>INT((YEAR(Table1[[#This Row],[Loss date]])*12+MONTH(Table1[[#This Row],[Loss date]])-Earliest_Month)/4)</f>
        <v>12</v>
      </c>
      <c r="Y1238" s="17">
        <f>INT((YEAR(Table1[[#This Row],[Reporting date]])*12+MONTH(Table1[[#This Row],[Reporting date]])-Earliest_Month)/4)</f>
        <v>12</v>
      </c>
      <c r="Z1238" s="17">
        <f>Table1[[#This Row],[Reporting third]]-Table1[[#This Row],[Policy third]]</f>
        <v>0</v>
      </c>
      <c r="AA1238" s="71">
        <f>IF(Table1[[#This Row],[Overall amount]]=0,"N/A",Table1[[#This Row],[Outstanding]]/Table1[[#This Row],[Overall amount]])</f>
        <v>0</v>
      </c>
      <c r="AB1238" s="17">
        <f>IF(MONTH(Table1[[#This Row],[Loss date]])&lt;Pol_Inc_Month_Shifted,YEAR(Table1[[#This Row],[Loss date]])-1,YEAR(Table1[[#This Row],[Loss date]]))</f>
        <v>2008</v>
      </c>
      <c r="AC1238" s="17">
        <f>IF(MONTH(Table1[[#This Row],[Reporting date]])&lt;Pol_Inc_Month_Shifted,YEAR(Table1[[#This Row],[Reporting date]])-1,YEAR(Table1[[#This Row],[Reporting date]]))</f>
        <v>2008</v>
      </c>
      <c r="AD1238" s="17">
        <f>Table1[[#This Row],[Reporting year (shifted)]]-Table1[[#This Row],[Policy Year (shifted)]]</f>
        <v>0</v>
      </c>
    </row>
    <row r="1239" spans="1:30" ht="13.9">
      <c r="A1239" s="8" t="s">
        <v>3009</v>
      </c>
      <c r="B1239" s="8" t="s">
        <v>1291</v>
      </c>
      <c r="C1239" s="8" t="s">
        <v>123</v>
      </c>
      <c r="D1239" s="9">
        <v>40015</v>
      </c>
      <c r="E1239" s="9">
        <v>40057</v>
      </c>
      <c r="F1239" s="17">
        <f>IF(MONTH(Table1[[#This Row],[Loss date]])&lt;Policy_Inception_Month,YEAR(Table1[[#This Row],[Loss date]])-1,YEAR(Table1[[#This Row],[Loss date]]))</f>
        <v>2009</v>
      </c>
      <c r="G1239" s="10" t="s">
        <v>124</v>
      </c>
      <c r="H1239" s="10" t="s">
        <v>2</v>
      </c>
      <c r="I1239" s="11">
        <v>1607.5908566254393</v>
      </c>
      <c r="J1239" s="11">
        <v>0</v>
      </c>
      <c r="K1239" s="11">
        <v>1607.5908566254393</v>
      </c>
      <c r="L1239" s="12">
        <v>0</v>
      </c>
      <c r="M1239" s="12">
        <v>0</v>
      </c>
      <c r="N1239" s="12">
        <v>1607.5908566254393</v>
      </c>
      <c r="O1239" s="70">
        <f>IF(Table1[[#This Row],[Overall amount]]=0,0,1)</f>
        <v>1</v>
      </c>
      <c r="P1239" s="70">
        <f>Table1[[#This Row],[Overall amount]]*Exchange_Rate</f>
        <v>1607.5908566254393</v>
      </c>
      <c r="Q1239" s="70">
        <f>Table1[[#This Row],[Overall (destination currency)]]*(1+Claims_Inflation)^((Revalue_at_date-Table1[[#This Row],[Loss date]])/365.25)</f>
        <v>2175.0000000000005</v>
      </c>
      <c r="R1239" s="70">
        <f>INT(Table1[[#This Row],[Reporting date]])-INT(Table1[[#This Row],[Loss date]])</f>
        <v>42</v>
      </c>
      <c r="S1239" s="69" t="s">
        <v>9</v>
      </c>
      <c r="T1239" s="70">
        <f>VLOOKUP(Table1[[#This Row],[Policy Year]],exposure_table,3,FALSE)</f>
        <v>760.22808576000011</v>
      </c>
      <c r="U1239" s="17">
        <f>IF(MONTH(Table1[[#This Row],[Reporting date]])&lt;Policy_Inception_Month,YEAR(Table1[[#This Row],[Reporting date]])-1,YEAR(Table1[[#This Row],[Reporting date]]))</f>
        <v>2009</v>
      </c>
      <c r="V1239" s="17">
        <f>Table1[[#This Row],[Reporting year]]-Table1[[#This Row],[Policy Year]]</f>
        <v>0</v>
      </c>
      <c r="W1239" s="17">
        <f>INT(Table1[[#This Row],[Reporting date]])-INT(Table1[[#This Row],[Loss date]])</f>
        <v>42</v>
      </c>
      <c r="X1239" s="17">
        <f>INT((YEAR(Table1[[#This Row],[Loss date]])*12+MONTH(Table1[[#This Row],[Loss date]])-Earliest_Month)/4)</f>
        <v>12</v>
      </c>
      <c r="Y1239" s="17">
        <f>INT((YEAR(Table1[[#This Row],[Reporting date]])*12+MONTH(Table1[[#This Row],[Reporting date]])-Earliest_Month)/4)</f>
        <v>13</v>
      </c>
      <c r="Z1239" s="17">
        <f>Table1[[#This Row],[Reporting third]]-Table1[[#This Row],[Policy third]]</f>
        <v>1</v>
      </c>
      <c r="AA1239" s="71">
        <f>IF(Table1[[#This Row],[Overall amount]]=0,"N/A",Table1[[#This Row],[Outstanding]]/Table1[[#This Row],[Overall amount]])</f>
        <v>0</v>
      </c>
      <c r="AB1239" s="17">
        <f>IF(MONTH(Table1[[#This Row],[Loss date]])&lt;Pol_Inc_Month_Shifted,YEAR(Table1[[#This Row],[Loss date]])-1,YEAR(Table1[[#This Row],[Loss date]]))</f>
        <v>2008</v>
      </c>
      <c r="AC1239" s="17">
        <f>IF(MONTH(Table1[[#This Row],[Reporting date]])&lt;Pol_Inc_Month_Shifted,YEAR(Table1[[#This Row],[Reporting date]])-1,YEAR(Table1[[#This Row],[Reporting date]]))</f>
        <v>2008</v>
      </c>
      <c r="AD1239" s="17">
        <f>Table1[[#This Row],[Reporting year (shifted)]]-Table1[[#This Row],[Policy Year (shifted)]]</f>
        <v>0</v>
      </c>
    </row>
    <row r="1240" spans="1:30" ht="13.9">
      <c r="A1240" s="8" t="s">
        <v>3010</v>
      </c>
      <c r="B1240" s="8" t="s">
        <v>1292</v>
      </c>
      <c r="C1240" s="8" t="s">
        <v>123</v>
      </c>
      <c r="D1240" s="9">
        <v>40057</v>
      </c>
      <c r="E1240" s="9">
        <v>40069</v>
      </c>
      <c r="F1240" s="17">
        <f>IF(MONTH(Table1[[#This Row],[Loss date]])&lt;Policy_Inception_Month,YEAR(Table1[[#This Row],[Loss date]])-1,YEAR(Table1[[#This Row],[Loss date]]))</f>
        <v>2009</v>
      </c>
      <c r="G1240" s="10" t="s">
        <v>125</v>
      </c>
      <c r="H1240" s="10" t="s">
        <v>2</v>
      </c>
      <c r="I1240" s="11">
        <v>814.78423186284192</v>
      </c>
      <c r="J1240" s="11">
        <v>0</v>
      </c>
      <c r="K1240" s="11">
        <v>814.78423186284192</v>
      </c>
      <c r="L1240" s="12">
        <v>0</v>
      </c>
      <c r="M1240" s="12">
        <v>0</v>
      </c>
      <c r="N1240" s="12">
        <v>814.78423186284192</v>
      </c>
      <c r="O1240" s="70">
        <f>IF(Table1[[#This Row],[Overall amount]]=0,0,1)</f>
        <v>1</v>
      </c>
      <c r="P1240" s="70">
        <f>Table1[[#This Row],[Overall amount]]*Exchange_Rate</f>
        <v>814.78423186284192</v>
      </c>
      <c r="Q1240" s="70">
        <f>Table1[[#This Row],[Overall (destination currency)]]*(1+Claims_Inflation)^((Revalue_at_date-Table1[[#This Row],[Loss date]])/365.25)</f>
        <v>1096.2</v>
      </c>
      <c r="R1240" s="70">
        <f>INT(Table1[[#This Row],[Reporting date]])-INT(Table1[[#This Row],[Loss date]])</f>
        <v>12</v>
      </c>
      <c r="S1240" s="69" t="s">
        <v>9</v>
      </c>
      <c r="T1240" s="70">
        <f>VLOOKUP(Table1[[#This Row],[Policy Year]],exposure_table,3,FALSE)</f>
        <v>760.22808576000011</v>
      </c>
      <c r="U1240" s="17">
        <f>IF(MONTH(Table1[[#This Row],[Reporting date]])&lt;Policy_Inception_Month,YEAR(Table1[[#This Row],[Reporting date]])-1,YEAR(Table1[[#This Row],[Reporting date]]))</f>
        <v>2009</v>
      </c>
      <c r="V1240" s="17">
        <f>Table1[[#This Row],[Reporting year]]-Table1[[#This Row],[Policy Year]]</f>
        <v>0</v>
      </c>
      <c r="W1240" s="17">
        <f>INT(Table1[[#This Row],[Reporting date]])-INT(Table1[[#This Row],[Loss date]])</f>
        <v>12</v>
      </c>
      <c r="X1240" s="17">
        <f>INT((YEAR(Table1[[#This Row],[Loss date]])*12+MONTH(Table1[[#This Row],[Loss date]])-Earliest_Month)/4)</f>
        <v>13</v>
      </c>
      <c r="Y1240" s="17">
        <f>INT((YEAR(Table1[[#This Row],[Reporting date]])*12+MONTH(Table1[[#This Row],[Reporting date]])-Earliest_Month)/4)</f>
        <v>13</v>
      </c>
      <c r="Z1240" s="17">
        <f>Table1[[#This Row],[Reporting third]]-Table1[[#This Row],[Policy third]]</f>
        <v>0</v>
      </c>
      <c r="AA1240" s="71">
        <f>IF(Table1[[#This Row],[Overall amount]]=0,"N/A",Table1[[#This Row],[Outstanding]]/Table1[[#This Row],[Overall amount]])</f>
        <v>0</v>
      </c>
      <c r="AB1240" s="17">
        <f>IF(MONTH(Table1[[#This Row],[Loss date]])&lt;Pol_Inc_Month_Shifted,YEAR(Table1[[#This Row],[Loss date]])-1,YEAR(Table1[[#This Row],[Loss date]]))</f>
        <v>2008</v>
      </c>
      <c r="AC1240" s="17">
        <f>IF(MONTH(Table1[[#This Row],[Reporting date]])&lt;Pol_Inc_Month_Shifted,YEAR(Table1[[#This Row],[Reporting date]])-1,YEAR(Table1[[#This Row],[Reporting date]]))</f>
        <v>2008</v>
      </c>
      <c r="AD1240" s="17">
        <f>Table1[[#This Row],[Reporting year (shifted)]]-Table1[[#This Row],[Policy Year (shifted)]]</f>
        <v>0</v>
      </c>
    </row>
    <row r="1241" spans="1:30" ht="13.9">
      <c r="A1241" s="8" t="s">
        <v>3011</v>
      </c>
      <c r="B1241" s="8" t="s">
        <v>1293</v>
      </c>
      <c r="C1241" s="8" t="s">
        <v>123</v>
      </c>
      <c r="D1241" s="9">
        <v>40081</v>
      </c>
      <c r="E1241" s="9">
        <v>40117</v>
      </c>
      <c r="F1241" s="17">
        <f>IF(MONTH(Table1[[#This Row],[Loss date]])&lt;Policy_Inception_Month,YEAR(Table1[[#This Row],[Loss date]])-1,YEAR(Table1[[#This Row],[Loss date]]))</f>
        <v>2009</v>
      </c>
      <c r="G1241" s="10" t="s">
        <v>126</v>
      </c>
      <c r="H1241" s="10" t="s">
        <v>2</v>
      </c>
      <c r="I1241" s="11">
        <v>726.57827579156356</v>
      </c>
      <c r="J1241" s="11">
        <v>0</v>
      </c>
      <c r="K1241" s="11">
        <v>726.57827579156356</v>
      </c>
      <c r="L1241" s="12">
        <v>0</v>
      </c>
      <c r="M1241" s="12">
        <v>0</v>
      </c>
      <c r="N1241" s="12">
        <v>726.57827579156356</v>
      </c>
      <c r="O1241" s="70">
        <f>IF(Table1[[#This Row],[Overall amount]]=0,0,1)</f>
        <v>1</v>
      </c>
      <c r="P1241" s="70">
        <f>Table1[[#This Row],[Overall amount]]*Exchange_Rate</f>
        <v>726.57827579156356</v>
      </c>
      <c r="Q1241" s="70">
        <f>Table1[[#This Row],[Overall (destination currency)]]*(1+Claims_Inflation)^((Revalue_at_date-Table1[[#This Row],[Loss date]])/365.25)</f>
        <v>974.40000000000009</v>
      </c>
      <c r="R1241" s="70">
        <f>INT(Table1[[#This Row],[Reporting date]])-INT(Table1[[#This Row],[Loss date]])</f>
        <v>36</v>
      </c>
      <c r="S1241" s="69" t="s">
        <v>9</v>
      </c>
      <c r="T1241" s="70">
        <f>VLOOKUP(Table1[[#This Row],[Policy Year]],exposure_table,3,FALSE)</f>
        <v>760.22808576000011</v>
      </c>
      <c r="U1241" s="17">
        <f>IF(MONTH(Table1[[#This Row],[Reporting date]])&lt;Policy_Inception_Month,YEAR(Table1[[#This Row],[Reporting date]])-1,YEAR(Table1[[#This Row],[Reporting date]]))</f>
        <v>2009</v>
      </c>
      <c r="V1241" s="17">
        <f>Table1[[#This Row],[Reporting year]]-Table1[[#This Row],[Policy Year]]</f>
        <v>0</v>
      </c>
      <c r="W1241" s="17">
        <f>INT(Table1[[#This Row],[Reporting date]])-INT(Table1[[#This Row],[Loss date]])</f>
        <v>36</v>
      </c>
      <c r="X1241" s="17">
        <f>INT((YEAR(Table1[[#This Row],[Loss date]])*12+MONTH(Table1[[#This Row],[Loss date]])-Earliest_Month)/4)</f>
        <v>13</v>
      </c>
      <c r="Y1241" s="17">
        <f>INT((YEAR(Table1[[#This Row],[Reporting date]])*12+MONTH(Table1[[#This Row],[Reporting date]])-Earliest_Month)/4)</f>
        <v>13</v>
      </c>
      <c r="Z1241" s="17">
        <f>Table1[[#This Row],[Reporting third]]-Table1[[#This Row],[Policy third]]</f>
        <v>0</v>
      </c>
      <c r="AA1241" s="71">
        <f>IF(Table1[[#This Row],[Overall amount]]=0,"N/A",Table1[[#This Row],[Outstanding]]/Table1[[#This Row],[Overall amount]])</f>
        <v>0</v>
      </c>
      <c r="AB1241" s="17">
        <f>IF(MONTH(Table1[[#This Row],[Loss date]])&lt;Pol_Inc_Month_Shifted,YEAR(Table1[[#This Row],[Loss date]])-1,YEAR(Table1[[#This Row],[Loss date]]))</f>
        <v>2008</v>
      </c>
      <c r="AC1241" s="17">
        <f>IF(MONTH(Table1[[#This Row],[Reporting date]])&lt;Pol_Inc_Month_Shifted,YEAR(Table1[[#This Row],[Reporting date]])-1,YEAR(Table1[[#This Row],[Reporting date]]))</f>
        <v>2008</v>
      </c>
      <c r="AD1241" s="17">
        <f>Table1[[#This Row],[Reporting year (shifted)]]-Table1[[#This Row],[Policy Year (shifted)]]</f>
        <v>0</v>
      </c>
    </row>
    <row r="1242" spans="1:30" ht="13.9">
      <c r="A1242" s="8" t="s">
        <v>3012</v>
      </c>
      <c r="B1242" s="8" t="s">
        <v>1294</v>
      </c>
      <c r="C1242" s="8" t="s">
        <v>123</v>
      </c>
      <c r="D1242" s="9">
        <v>40426</v>
      </c>
      <c r="E1242" s="9">
        <v>40494</v>
      </c>
      <c r="F1242" s="17">
        <f>IF(MONTH(Table1[[#This Row],[Loss date]])&lt;Policy_Inception_Month,YEAR(Table1[[#This Row],[Loss date]])-1,YEAR(Table1[[#This Row],[Loss date]]))</f>
        <v>2010</v>
      </c>
      <c r="G1242" s="10" t="s">
        <v>125</v>
      </c>
      <c r="H1242" s="10" t="s">
        <v>2</v>
      </c>
      <c r="I1242" s="11">
        <v>1536.216174413106</v>
      </c>
      <c r="J1242" s="11">
        <v>0</v>
      </c>
      <c r="K1242" s="11">
        <v>1536.216174413106</v>
      </c>
      <c r="L1242" s="12">
        <v>0</v>
      </c>
      <c r="M1242" s="12">
        <v>0</v>
      </c>
      <c r="N1242" s="12">
        <v>1536.216174413106</v>
      </c>
      <c r="O1242" s="70">
        <f>IF(Table1[[#This Row],[Overall amount]]=0,0,1)</f>
        <v>1</v>
      </c>
      <c r="P1242" s="70">
        <f>Table1[[#This Row],[Overall amount]]*Exchange_Rate</f>
        <v>1536.216174413106</v>
      </c>
      <c r="Q1242" s="70">
        <f>Table1[[#This Row],[Overall (destination currency)]]*(1+Claims_Inflation)^((Revalue_at_date-Table1[[#This Row],[Loss date]])/365.25)</f>
        <v>1967.4</v>
      </c>
      <c r="R1242" s="70">
        <f>INT(Table1[[#This Row],[Reporting date]])-INT(Table1[[#This Row],[Loss date]])</f>
        <v>68</v>
      </c>
      <c r="S1242" s="69" t="s">
        <v>9</v>
      </c>
      <c r="T1242" s="70">
        <f>VLOOKUP(Table1[[#This Row],[Policy Year]],exposure_table,3,FALSE)</f>
        <v>837.11513600000012</v>
      </c>
      <c r="U1242" s="17">
        <f>IF(MONTH(Table1[[#This Row],[Reporting date]])&lt;Policy_Inception_Month,YEAR(Table1[[#This Row],[Reporting date]])-1,YEAR(Table1[[#This Row],[Reporting date]]))</f>
        <v>2010</v>
      </c>
      <c r="V1242" s="17">
        <f>Table1[[#This Row],[Reporting year]]-Table1[[#This Row],[Policy Year]]</f>
        <v>0</v>
      </c>
      <c r="W1242" s="17">
        <f>INT(Table1[[#This Row],[Reporting date]])-INT(Table1[[#This Row],[Loss date]])</f>
        <v>68</v>
      </c>
      <c r="X1242" s="17">
        <f>INT((YEAR(Table1[[#This Row],[Loss date]])*12+MONTH(Table1[[#This Row],[Loss date]])-Earliest_Month)/4)</f>
        <v>16</v>
      </c>
      <c r="Y1242" s="17">
        <f>INT((YEAR(Table1[[#This Row],[Reporting date]])*12+MONTH(Table1[[#This Row],[Reporting date]])-Earliest_Month)/4)</f>
        <v>16</v>
      </c>
      <c r="Z1242" s="17">
        <f>Table1[[#This Row],[Reporting third]]-Table1[[#This Row],[Policy third]]</f>
        <v>0</v>
      </c>
      <c r="AA1242" s="71">
        <f>IF(Table1[[#This Row],[Overall amount]]=0,"N/A",Table1[[#This Row],[Outstanding]]/Table1[[#This Row],[Overall amount]])</f>
        <v>0</v>
      </c>
      <c r="AB1242" s="17">
        <f>IF(MONTH(Table1[[#This Row],[Loss date]])&lt;Pol_Inc_Month_Shifted,YEAR(Table1[[#This Row],[Loss date]])-1,YEAR(Table1[[#This Row],[Loss date]]))</f>
        <v>2009</v>
      </c>
      <c r="AC1242" s="17">
        <f>IF(MONTH(Table1[[#This Row],[Reporting date]])&lt;Pol_Inc_Month_Shifted,YEAR(Table1[[#This Row],[Reporting date]])-1,YEAR(Table1[[#This Row],[Reporting date]]))</f>
        <v>2009</v>
      </c>
      <c r="AD1242" s="17">
        <f>Table1[[#This Row],[Reporting year (shifted)]]-Table1[[#This Row],[Policy Year (shifted)]]</f>
        <v>0</v>
      </c>
    </row>
    <row r="1243" spans="1:30" ht="13.9">
      <c r="A1243" s="8" t="s">
        <v>3013</v>
      </c>
      <c r="B1243" s="8" t="s">
        <v>1295</v>
      </c>
      <c r="C1243" s="8" t="s">
        <v>123</v>
      </c>
      <c r="D1243" s="9">
        <v>40113</v>
      </c>
      <c r="E1243" s="9">
        <v>40776</v>
      </c>
      <c r="F1243" s="17">
        <f>IF(MONTH(Table1[[#This Row],[Loss date]])&lt;Policy_Inception_Month,YEAR(Table1[[#This Row],[Loss date]])-1,YEAR(Table1[[#This Row],[Loss date]]))</f>
        <v>2009</v>
      </c>
      <c r="G1243" s="10" t="s">
        <v>131</v>
      </c>
      <c r="H1243" s="10" t="s">
        <v>2</v>
      </c>
      <c r="I1243" s="11">
        <v>664.5397720423764</v>
      </c>
      <c r="J1243" s="11">
        <v>12486.967413677947</v>
      </c>
      <c r="K1243" s="11">
        <v>13151.507185720324</v>
      </c>
      <c r="L1243" s="12">
        <v>0</v>
      </c>
      <c r="M1243" s="12">
        <v>0</v>
      </c>
      <c r="N1243" s="12">
        <v>13151.507185720324</v>
      </c>
      <c r="O1243" s="70">
        <f>IF(Table1[[#This Row],[Overall amount]]=0,0,1)</f>
        <v>1</v>
      </c>
      <c r="P1243" s="70">
        <f>Table1[[#This Row],[Overall amount]]*Exchange_Rate</f>
        <v>13151.507185720324</v>
      </c>
      <c r="Q1243" s="70">
        <f>Table1[[#This Row],[Overall (destination currency)]]*(1+Claims_Inflation)^((Revalue_at_date-Table1[[#This Row],[Loss date]])/365.25)</f>
        <v>17562</v>
      </c>
      <c r="R1243" s="70">
        <f>INT(Table1[[#This Row],[Reporting date]])-INT(Table1[[#This Row],[Loss date]])</f>
        <v>663</v>
      </c>
      <c r="S1243" s="69" t="s">
        <v>16</v>
      </c>
      <c r="T1243" s="70">
        <f>VLOOKUP(Table1[[#This Row],[Policy Year]],exposure_table,3,FALSE)</f>
        <v>760.22808576000011</v>
      </c>
      <c r="U1243" s="17">
        <f>IF(MONTH(Table1[[#This Row],[Reporting date]])&lt;Policy_Inception_Month,YEAR(Table1[[#This Row],[Reporting date]])-1,YEAR(Table1[[#This Row],[Reporting date]]))</f>
        <v>2011</v>
      </c>
      <c r="V1243" s="17">
        <f>Table1[[#This Row],[Reporting year]]-Table1[[#This Row],[Policy Year]]</f>
        <v>2</v>
      </c>
      <c r="W1243" s="17">
        <f>INT(Table1[[#This Row],[Reporting date]])-INT(Table1[[#This Row],[Loss date]])</f>
        <v>663</v>
      </c>
      <c r="X1243" s="17">
        <f>INT((YEAR(Table1[[#This Row],[Loss date]])*12+MONTH(Table1[[#This Row],[Loss date]])-Earliest_Month)/4)</f>
        <v>13</v>
      </c>
      <c r="Y1243" s="17">
        <f>INT((YEAR(Table1[[#This Row],[Reporting date]])*12+MONTH(Table1[[#This Row],[Reporting date]])-Earliest_Month)/4)</f>
        <v>19</v>
      </c>
      <c r="Z1243" s="17">
        <f>Table1[[#This Row],[Reporting third]]-Table1[[#This Row],[Policy third]]</f>
        <v>6</v>
      </c>
      <c r="AA1243" s="71">
        <f>IF(Table1[[#This Row],[Overall amount]]=0,"N/A",Table1[[#This Row],[Outstanding]]/Table1[[#This Row],[Overall amount]])</f>
        <v>0.94947044755722576</v>
      </c>
      <c r="AB1243" s="17">
        <f>IF(MONTH(Table1[[#This Row],[Loss date]])&lt;Pol_Inc_Month_Shifted,YEAR(Table1[[#This Row],[Loss date]])-1,YEAR(Table1[[#This Row],[Loss date]]))</f>
        <v>2008</v>
      </c>
      <c r="AC1243" s="17">
        <f>IF(MONTH(Table1[[#This Row],[Reporting date]])&lt;Pol_Inc_Month_Shifted,YEAR(Table1[[#This Row],[Reporting date]])-1,YEAR(Table1[[#This Row],[Reporting date]]))</f>
        <v>2010</v>
      </c>
      <c r="AD1243" s="17">
        <f>Table1[[#This Row],[Reporting year (shifted)]]-Table1[[#This Row],[Policy Year (shifted)]]</f>
        <v>2</v>
      </c>
    </row>
    <row r="1244" spans="1:30" ht="13.9">
      <c r="A1244" s="8" t="s">
        <v>3014</v>
      </c>
      <c r="B1244" s="8" t="s">
        <v>1296</v>
      </c>
      <c r="C1244" s="8" t="s">
        <v>123</v>
      </c>
      <c r="D1244" s="9">
        <v>40767</v>
      </c>
      <c r="E1244" s="9">
        <v>40837</v>
      </c>
      <c r="F1244" s="17">
        <f>IF(MONTH(Table1[[#This Row],[Loss date]])&lt;Policy_Inception_Month,YEAR(Table1[[#This Row],[Loss date]])-1,YEAR(Table1[[#This Row],[Loss date]]))</f>
        <v>2011</v>
      </c>
      <c r="G1244" s="10" t="s">
        <v>131</v>
      </c>
      <c r="H1244" s="10" t="s">
        <v>2</v>
      </c>
      <c r="I1244" s="11">
        <v>3235.4792444863524</v>
      </c>
      <c r="J1244" s="11">
        <v>0</v>
      </c>
      <c r="K1244" s="11">
        <v>3235.4792444863524</v>
      </c>
      <c r="L1244" s="12">
        <v>0</v>
      </c>
      <c r="M1244" s="12">
        <v>0</v>
      </c>
      <c r="N1244" s="12">
        <v>3235.4792444863524</v>
      </c>
      <c r="O1244" s="70">
        <f>IF(Table1[[#This Row],[Overall amount]]=0,0,1)</f>
        <v>1</v>
      </c>
      <c r="P1244" s="70">
        <f>Table1[[#This Row],[Overall amount]]*Exchange_Rate</f>
        <v>3235.4792444863524</v>
      </c>
      <c r="Q1244" s="70">
        <f>Table1[[#This Row],[Overall (destination currency)]]*(1+Claims_Inflation)^((Revalue_at_date-Table1[[#This Row],[Loss date]])/365.25)</f>
        <v>3959.1</v>
      </c>
      <c r="R1244" s="70">
        <f>INT(Table1[[#This Row],[Reporting date]])-INT(Table1[[#This Row],[Loss date]])</f>
        <v>70</v>
      </c>
      <c r="S1244" s="69" t="s">
        <v>9</v>
      </c>
      <c r="T1244" s="70">
        <f>VLOOKUP(Table1[[#This Row],[Policy Year]],exposure_table,3,FALSE)</f>
        <v>870.52680000000009</v>
      </c>
      <c r="U1244" s="17">
        <f>IF(MONTH(Table1[[#This Row],[Reporting date]])&lt;Policy_Inception_Month,YEAR(Table1[[#This Row],[Reporting date]])-1,YEAR(Table1[[#This Row],[Reporting date]]))</f>
        <v>2011</v>
      </c>
      <c r="V1244" s="17">
        <f>Table1[[#This Row],[Reporting year]]-Table1[[#This Row],[Policy Year]]</f>
        <v>0</v>
      </c>
      <c r="W1244" s="17">
        <f>INT(Table1[[#This Row],[Reporting date]])-INT(Table1[[#This Row],[Loss date]])</f>
        <v>70</v>
      </c>
      <c r="X1244" s="17">
        <f>INT((YEAR(Table1[[#This Row],[Loss date]])*12+MONTH(Table1[[#This Row],[Loss date]])-Earliest_Month)/4)</f>
        <v>19</v>
      </c>
      <c r="Y1244" s="17">
        <f>INT((YEAR(Table1[[#This Row],[Reporting date]])*12+MONTH(Table1[[#This Row],[Reporting date]])-Earliest_Month)/4)</f>
        <v>19</v>
      </c>
      <c r="Z1244" s="17">
        <f>Table1[[#This Row],[Reporting third]]-Table1[[#This Row],[Policy third]]</f>
        <v>0</v>
      </c>
      <c r="AA1244" s="71">
        <f>IF(Table1[[#This Row],[Overall amount]]=0,"N/A",Table1[[#This Row],[Outstanding]]/Table1[[#This Row],[Overall amount]])</f>
        <v>0</v>
      </c>
      <c r="AB1244" s="17">
        <f>IF(MONTH(Table1[[#This Row],[Loss date]])&lt;Pol_Inc_Month_Shifted,YEAR(Table1[[#This Row],[Loss date]])-1,YEAR(Table1[[#This Row],[Loss date]]))</f>
        <v>2010</v>
      </c>
      <c r="AC1244" s="17">
        <f>IF(MONTH(Table1[[#This Row],[Reporting date]])&lt;Pol_Inc_Month_Shifted,YEAR(Table1[[#This Row],[Reporting date]])-1,YEAR(Table1[[#This Row],[Reporting date]]))</f>
        <v>2010</v>
      </c>
      <c r="AD1244" s="17">
        <f>Table1[[#This Row],[Reporting year (shifted)]]-Table1[[#This Row],[Policy Year (shifted)]]</f>
        <v>0</v>
      </c>
    </row>
    <row r="1245" spans="1:30" ht="13.9">
      <c r="A1245" s="8" t="s">
        <v>3015</v>
      </c>
      <c r="B1245" s="8" t="s">
        <v>1297</v>
      </c>
      <c r="C1245" s="8" t="s">
        <v>123</v>
      </c>
      <c r="D1245" s="9">
        <v>39052</v>
      </c>
      <c r="E1245" s="9">
        <v>39090</v>
      </c>
      <c r="F1245" s="17">
        <f>IF(MONTH(Table1[[#This Row],[Loss date]])&lt;Policy_Inception_Month,YEAR(Table1[[#This Row],[Loss date]])-1,YEAR(Table1[[#This Row],[Loss date]]))</f>
        <v>2006</v>
      </c>
      <c r="G1245" s="10" t="s">
        <v>124</v>
      </c>
      <c r="H1245" s="10" t="s">
        <v>2</v>
      </c>
      <c r="I1245" s="11">
        <v>63.950612970576543</v>
      </c>
      <c r="J1245" s="11">
        <v>0</v>
      </c>
      <c r="K1245" s="11">
        <v>63.950612970576543</v>
      </c>
      <c r="L1245" s="12">
        <v>0</v>
      </c>
      <c r="M1245" s="12">
        <v>0</v>
      </c>
      <c r="N1245" s="12">
        <v>63.950612970576543</v>
      </c>
      <c r="O1245" s="70">
        <f>IF(Table1[[#This Row],[Overall amount]]=0,0,1)</f>
        <v>1</v>
      </c>
      <c r="P1245" s="70">
        <f>Table1[[#This Row],[Overall amount]]*Exchange_Rate</f>
        <v>63.950612970576543</v>
      </c>
      <c r="Q1245" s="70">
        <f>Table1[[#This Row],[Overall (destination currency)]]*(1+Claims_Inflation)^((Revalue_at_date-Table1[[#This Row],[Loss date]])/365.25)</f>
        <v>98.400000000000034</v>
      </c>
      <c r="R1245" s="70">
        <f>INT(Table1[[#This Row],[Reporting date]])-INT(Table1[[#This Row],[Loss date]])</f>
        <v>38</v>
      </c>
      <c r="S1245" s="69" t="s">
        <v>9</v>
      </c>
      <c r="T1245" s="70">
        <f>VLOOKUP(Table1[[#This Row],[Policy Year]],exposure_table,3,FALSE)</f>
        <v>483.32023209000977</v>
      </c>
      <c r="U1245" s="17">
        <f>IF(MONTH(Table1[[#This Row],[Reporting date]])&lt;Policy_Inception_Month,YEAR(Table1[[#This Row],[Reporting date]])-1,YEAR(Table1[[#This Row],[Reporting date]]))</f>
        <v>2006</v>
      </c>
      <c r="V1245" s="17">
        <f>Table1[[#This Row],[Reporting year]]-Table1[[#This Row],[Policy Year]]</f>
        <v>0</v>
      </c>
      <c r="W1245" s="17">
        <f>INT(Table1[[#This Row],[Reporting date]])-INT(Table1[[#This Row],[Loss date]])</f>
        <v>38</v>
      </c>
      <c r="X1245" s="17">
        <f>INT((YEAR(Table1[[#This Row],[Loss date]])*12+MONTH(Table1[[#This Row],[Loss date]])-Earliest_Month)/4)</f>
        <v>5</v>
      </c>
      <c r="Y1245" s="17">
        <f>INT((YEAR(Table1[[#This Row],[Reporting date]])*12+MONTH(Table1[[#This Row],[Reporting date]])-Earliest_Month)/4)</f>
        <v>5</v>
      </c>
      <c r="Z1245" s="17">
        <f>Table1[[#This Row],[Reporting third]]-Table1[[#This Row],[Policy third]]</f>
        <v>0</v>
      </c>
      <c r="AA1245" s="71">
        <f>IF(Table1[[#This Row],[Overall amount]]=0,"N/A",Table1[[#This Row],[Outstanding]]/Table1[[#This Row],[Overall amount]])</f>
        <v>0</v>
      </c>
      <c r="AB1245" s="17">
        <f>IF(MONTH(Table1[[#This Row],[Loss date]])&lt;Pol_Inc_Month_Shifted,YEAR(Table1[[#This Row],[Loss date]])-1,YEAR(Table1[[#This Row],[Loss date]]))</f>
        <v>2006</v>
      </c>
      <c r="AC1245" s="17">
        <f>IF(MONTH(Table1[[#This Row],[Reporting date]])&lt;Pol_Inc_Month_Shifted,YEAR(Table1[[#This Row],[Reporting date]])-1,YEAR(Table1[[#This Row],[Reporting date]]))</f>
        <v>2006</v>
      </c>
      <c r="AD1245" s="17">
        <f>Table1[[#This Row],[Reporting year (shifted)]]-Table1[[#This Row],[Policy Year (shifted)]]</f>
        <v>0</v>
      </c>
    </row>
    <row r="1246" spans="1:30" ht="13.9">
      <c r="A1246" s="8" t="s">
        <v>3016</v>
      </c>
      <c r="B1246" s="8" t="s">
        <v>1298</v>
      </c>
      <c r="C1246" s="8" t="s">
        <v>123</v>
      </c>
      <c r="D1246" s="9">
        <v>38700</v>
      </c>
      <c r="E1246" s="9">
        <v>39577</v>
      </c>
      <c r="F1246" s="17">
        <f>IF(MONTH(Table1[[#This Row],[Loss date]])&lt;Policy_Inception_Month,YEAR(Table1[[#This Row],[Loss date]])-1,YEAR(Table1[[#This Row],[Loss date]]))</f>
        <v>2005</v>
      </c>
      <c r="G1246" s="10" t="s">
        <v>125</v>
      </c>
      <c r="H1246" s="10" t="s">
        <v>2</v>
      </c>
      <c r="I1246" s="11">
        <v>5232.1531755843953</v>
      </c>
      <c r="J1246" s="11">
        <v>0</v>
      </c>
      <c r="K1246" s="11">
        <v>5232.1531755843953</v>
      </c>
      <c r="L1246" s="12">
        <v>0</v>
      </c>
      <c r="M1246" s="12">
        <v>156.96459526753188</v>
      </c>
      <c r="N1246" s="12">
        <v>5075.1885803168634</v>
      </c>
      <c r="O1246" s="70">
        <f>IF(Table1[[#This Row],[Overall amount]]=0,0,1)</f>
        <v>1</v>
      </c>
      <c r="P1246" s="70">
        <f>Table1[[#This Row],[Overall amount]]*Exchange_Rate</f>
        <v>5075.1885803168634</v>
      </c>
      <c r="Q1246" s="70">
        <f>Table1[[#This Row],[Overall (destination currency)]]*(1+Claims_Inflation)^((Revalue_at_date-Table1[[#This Row],[Loss date]])/365.25)</f>
        <v>8185.0850399999981</v>
      </c>
      <c r="R1246" s="70">
        <f>INT(Table1[[#This Row],[Reporting date]])-INT(Table1[[#This Row],[Loss date]])</f>
        <v>877</v>
      </c>
      <c r="S1246" s="69" t="s">
        <v>9</v>
      </c>
      <c r="T1246" s="70">
        <f>VLOOKUP(Table1[[#This Row],[Policy Year]],exposure_table,3,FALSE)</f>
        <v>409.50481038040112</v>
      </c>
      <c r="U1246" s="17">
        <f>IF(MONTH(Table1[[#This Row],[Reporting date]])&lt;Policy_Inception_Month,YEAR(Table1[[#This Row],[Reporting date]])-1,YEAR(Table1[[#This Row],[Reporting date]]))</f>
        <v>2008</v>
      </c>
      <c r="V1246" s="17">
        <f>Table1[[#This Row],[Reporting year]]-Table1[[#This Row],[Policy Year]]</f>
        <v>3</v>
      </c>
      <c r="W1246" s="17">
        <f>INT(Table1[[#This Row],[Reporting date]])-INT(Table1[[#This Row],[Loss date]])</f>
        <v>877</v>
      </c>
      <c r="X1246" s="17">
        <f>INT((YEAR(Table1[[#This Row],[Loss date]])*12+MONTH(Table1[[#This Row],[Loss date]])-Earliest_Month)/4)</f>
        <v>2</v>
      </c>
      <c r="Y1246" s="17">
        <f>INT((YEAR(Table1[[#This Row],[Reporting date]])*12+MONTH(Table1[[#This Row],[Reporting date]])-Earliest_Month)/4)</f>
        <v>9</v>
      </c>
      <c r="Z1246" s="17">
        <f>Table1[[#This Row],[Reporting third]]-Table1[[#This Row],[Policy third]]</f>
        <v>7</v>
      </c>
      <c r="AA1246" s="71">
        <f>IF(Table1[[#This Row],[Overall amount]]=0,"N/A",Table1[[#This Row],[Outstanding]]/Table1[[#This Row],[Overall amount]])</f>
        <v>0</v>
      </c>
      <c r="AB1246" s="17">
        <f>IF(MONTH(Table1[[#This Row],[Loss date]])&lt;Pol_Inc_Month_Shifted,YEAR(Table1[[#This Row],[Loss date]])-1,YEAR(Table1[[#This Row],[Loss date]]))</f>
        <v>2005</v>
      </c>
      <c r="AC1246" s="17">
        <f>IF(MONTH(Table1[[#This Row],[Reporting date]])&lt;Pol_Inc_Month_Shifted,YEAR(Table1[[#This Row],[Reporting date]])-1,YEAR(Table1[[#This Row],[Reporting date]]))</f>
        <v>2007</v>
      </c>
      <c r="AD1246" s="17">
        <f>Table1[[#This Row],[Reporting year (shifted)]]-Table1[[#This Row],[Policy Year (shifted)]]</f>
        <v>2</v>
      </c>
    </row>
    <row r="1247" spans="1:30" ht="13.9">
      <c r="A1247" s="8" t="s">
        <v>3017</v>
      </c>
      <c r="B1247" s="8" t="s">
        <v>1299</v>
      </c>
      <c r="C1247" s="8" t="s">
        <v>123</v>
      </c>
      <c r="D1247" s="9">
        <v>38652</v>
      </c>
      <c r="E1247" s="9">
        <v>39719</v>
      </c>
      <c r="F1247" s="17">
        <f>IF(MONTH(Table1[[#This Row],[Loss date]])&lt;Policy_Inception_Month,YEAR(Table1[[#This Row],[Loss date]])-1,YEAR(Table1[[#This Row],[Loss date]]))</f>
        <v>2005</v>
      </c>
      <c r="G1247" s="10" t="s">
        <v>131</v>
      </c>
      <c r="H1247" s="10" t="s">
        <v>2</v>
      </c>
      <c r="I1247" s="11">
        <v>560.33657462058511</v>
      </c>
      <c r="J1247" s="11">
        <v>0</v>
      </c>
      <c r="K1247" s="11">
        <v>560.33657462058511</v>
      </c>
      <c r="L1247" s="12">
        <v>0</v>
      </c>
      <c r="M1247" s="12">
        <v>0</v>
      </c>
      <c r="N1247" s="12">
        <v>560.33657462058511</v>
      </c>
      <c r="O1247" s="70">
        <f>IF(Table1[[#This Row],[Overall amount]]=0,0,1)</f>
        <v>1</v>
      </c>
      <c r="P1247" s="70">
        <f>Table1[[#This Row],[Overall amount]]*Exchange_Rate</f>
        <v>560.33657462058511</v>
      </c>
      <c r="Q1247" s="70">
        <f>Table1[[#This Row],[Overall (destination currency)]]*(1+Claims_Inflation)^((Revalue_at_date-Table1[[#This Row],[Loss date]])/365.25)</f>
        <v>909.50399999999991</v>
      </c>
      <c r="R1247" s="70">
        <f>INT(Table1[[#This Row],[Reporting date]])-INT(Table1[[#This Row],[Loss date]])</f>
        <v>1067</v>
      </c>
      <c r="S1247" s="69" t="s">
        <v>9</v>
      </c>
      <c r="T1247" s="70">
        <f>VLOOKUP(Table1[[#This Row],[Policy Year]],exposure_table,3,FALSE)</f>
        <v>409.50481038040112</v>
      </c>
      <c r="U1247" s="17">
        <f>IF(MONTH(Table1[[#This Row],[Reporting date]])&lt;Policy_Inception_Month,YEAR(Table1[[#This Row],[Reporting date]])-1,YEAR(Table1[[#This Row],[Reporting date]]))</f>
        <v>2008</v>
      </c>
      <c r="V1247" s="17">
        <f>Table1[[#This Row],[Reporting year]]-Table1[[#This Row],[Policy Year]]</f>
        <v>3</v>
      </c>
      <c r="W1247" s="17">
        <f>INT(Table1[[#This Row],[Reporting date]])-INT(Table1[[#This Row],[Loss date]])</f>
        <v>1067</v>
      </c>
      <c r="X1247" s="17">
        <f>INT((YEAR(Table1[[#This Row],[Loss date]])*12+MONTH(Table1[[#This Row],[Loss date]])-Earliest_Month)/4)</f>
        <v>1</v>
      </c>
      <c r="Y1247" s="17">
        <f>INT((YEAR(Table1[[#This Row],[Reporting date]])*12+MONTH(Table1[[#This Row],[Reporting date]])-Earliest_Month)/4)</f>
        <v>10</v>
      </c>
      <c r="Z1247" s="17">
        <f>Table1[[#This Row],[Reporting third]]-Table1[[#This Row],[Policy third]]</f>
        <v>9</v>
      </c>
      <c r="AA1247" s="71">
        <f>IF(Table1[[#This Row],[Overall amount]]=0,"N/A",Table1[[#This Row],[Outstanding]]/Table1[[#This Row],[Overall amount]])</f>
        <v>0</v>
      </c>
      <c r="AB1247" s="17">
        <f>IF(MONTH(Table1[[#This Row],[Loss date]])&lt;Pol_Inc_Month_Shifted,YEAR(Table1[[#This Row],[Loss date]])-1,YEAR(Table1[[#This Row],[Loss date]]))</f>
        <v>2004</v>
      </c>
      <c r="AC1247" s="17">
        <f>IF(MONTH(Table1[[#This Row],[Reporting date]])&lt;Pol_Inc_Month_Shifted,YEAR(Table1[[#This Row],[Reporting date]])-1,YEAR(Table1[[#This Row],[Reporting date]]))</f>
        <v>2007</v>
      </c>
      <c r="AD1247" s="17">
        <f>Table1[[#This Row],[Reporting year (shifted)]]-Table1[[#This Row],[Policy Year (shifted)]]</f>
        <v>3</v>
      </c>
    </row>
    <row r="1248" spans="1:30" ht="13.9">
      <c r="A1248" s="8" t="s">
        <v>3018</v>
      </c>
      <c r="B1248" s="8" t="s">
        <v>1300</v>
      </c>
      <c r="C1248" s="8" t="s">
        <v>123</v>
      </c>
      <c r="D1248" s="9">
        <v>39656</v>
      </c>
      <c r="E1248" s="9">
        <v>39749</v>
      </c>
      <c r="F1248" s="17">
        <f>IF(MONTH(Table1[[#This Row],[Loss date]])&lt;Policy_Inception_Month,YEAR(Table1[[#This Row],[Loss date]])-1,YEAR(Table1[[#This Row],[Loss date]]))</f>
        <v>2008</v>
      </c>
      <c r="G1248" s="10" t="s">
        <v>124</v>
      </c>
      <c r="H1248" s="10" t="s">
        <v>2</v>
      </c>
      <c r="I1248" s="11">
        <v>10779.290512004331</v>
      </c>
      <c r="J1248" s="11">
        <v>0</v>
      </c>
      <c r="K1248" s="11">
        <v>10779.290512004331</v>
      </c>
      <c r="L1248" s="12">
        <v>0</v>
      </c>
      <c r="M1248" s="12">
        <v>0</v>
      </c>
      <c r="N1248" s="12">
        <v>10779.290512004331</v>
      </c>
      <c r="O1248" s="70">
        <f>IF(Table1[[#This Row],[Overall amount]]=0,0,1)</f>
        <v>1</v>
      </c>
      <c r="P1248" s="70">
        <f>Table1[[#This Row],[Overall amount]]*Exchange_Rate</f>
        <v>10779.290512004331</v>
      </c>
      <c r="Q1248" s="70">
        <f>Table1[[#This Row],[Overall (destination currency)]]*(1+Claims_Inflation)^((Revalue_at_date-Table1[[#This Row],[Loss date]])/365.25)</f>
        <v>15300.324000000001</v>
      </c>
      <c r="R1248" s="70">
        <f>INT(Table1[[#This Row],[Reporting date]])-INT(Table1[[#This Row],[Loss date]])</f>
        <v>93</v>
      </c>
      <c r="S1248" s="69" t="s">
        <v>9</v>
      </c>
      <c r="T1248" s="70">
        <f>VLOOKUP(Table1[[#This Row],[Policy Year]],exposure_table,3,FALSE)</f>
        <v>601.98581780480015</v>
      </c>
      <c r="U1248" s="17">
        <f>IF(MONTH(Table1[[#This Row],[Reporting date]])&lt;Policy_Inception_Month,YEAR(Table1[[#This Row],[Reporting date]])-1,YEAR(Table1[[#This Row],[Reporting date]]))</f>
        <v>2008</v>
      </c>
      <c r="V1248" s="17">
        <f>Table1[[#This Row],[Reporting year]]-Table1[[#This Row],[Policy Year]]</f>
        <v>0</v>
      </c>
      <c r="W1248" s="17">
        <f>INT(Table1[[#This Row],[Reporting date]])-INT(Table1[[#This Row],[Loss date]])</f>
        <v>93</v>
      </c>
      <c r="X1248" s="17">
        <f>INT((YEAR(Table1[[#This Row],[Loss date]])*12+MONTH(Table1[[#This Row],[Loss date]])-Earliest_Month)/4)</f>
        <v>9</v>
      </c>
      <c r="Y1248" s="17">
        <f>INT((YEAR(Table1[[#This Row],[Reporting date]])*12+MONTH(Table1[[#This Row],[Reporting date]])-Earliest_Month)/4)</f>
        <v>10</v>
      </c>
      <c r="Z1248" s="17">
        <f>Table1[[#This Row],[Reporting third]]-Table1[[#This Row],[Policy third]]</f>
        <v>1</v>
      </c>
      <c r="AA1248" s="71">
        <f>IF(Table1[[#This Row],[Overall amount]]=0,"N/A",Table1[[#This Row],[Outstanding]]/Table1[[#This Row],[Overall amount]])</f>
        <v>0</v>
      </c>
      <c r="AB1248" s="17">
        <f>IF(MONTH(Table1[[#This Row],[Loss date]])&lt;Pol_Inc_Month_Shifted,YEAR(Table1[[#This Row],[Loss date]])-1,YEAR(Table1[[#This Row],[Loss date]]))</f>
        <v>2007</v>
      </c>
      <c r="AC1248" s="17">
        <f>IF(MONTH(Table1[[#This Row],[Reporting date]])&lt;Pol_Inc_Month_Shifted,YEAR(Table1[[#This Row],[Reporting date]])-1,YEAR(Table1[[#This Row],[Reporting date]]))</f>
        <v>2007</v>
      </c>
      <c r="AD1248" s="17">
        <f>Table1[[#This Row],[Reporting year (shifted)]]-Table1[[#This Row],[Policy Year (shifted)]]</f>
        <v>0</v>
      </c>
    </row>
    <row r="1249" spans="1:30" ht="13.9">
      <c r="A1249" s="8" t="s">
        <v>3019</v>
      </c>
      <c r="B1249" s="8" t="s">
        <v>1301</v>
      </c>
      <c r="C1249" s="8" t="s">
        <v>123</v>
      </c>
      <c r="D1249" s="9">
        <v>39966</v>
      </c>
      <c r="E1249" s="9">
        <v>39980</v>
      </c>
      <c r="F1249" s="17">
        <f>IF(MONTH(Table1[[#This Row],[Loss date]])&lt;Policy_Inception_Month,YEAR(Table1[[#This Row],[Loss date]])-1,YEAR(Table1[[#This Row],[Loss date]]))</f>
        <v>2009</v>
      </c>
      <c r="G1249" s="10" t="s">
        <v>126</v>
      </c>
      <c r="H1249" s="10" t="s">
        <v>2</v>
      </c>
      <c r="I1249" s="11">
        <v>766.60936611520276</v>
      </c>
      <c r="J1249" s="11">
        <v>0</v>
      </c>
      <c r="K1249" s="11">
        <v>766.60936611520276</v>
      </c>
      <c r="L1249" s="12">
        <v>0</v>
      </c>
      <c r="M1249" s="12">
        <v>0</v>
      </c>
      <c r="N1249" s="12">
        <v>766.60936611520276</v>
      </c>
      <c r="O1249" s="70">
        <f>IF(Table1[[#This Row],[Overall amount]]=0,0,1)</f>
        <v>1</v>
      </c>
      <c r="P1249" s="70">
        <f>Table1[[#This Row],[Overall amount]]*Exchange_Rate</f>
        <v>766.60936611520276</v>
      </c>
      <c r="Q1249" s="70">
        <f>Table1[[#This Row],[Overall (destination currency)]]*(1+Claims_Inflation)^((Revalue_at_date-Table1[[#This Row],[Loss date]])/365.25)</f>
        <v>1044.0000000000002</v>
      </c>
      <c r="R1249" s="70">
        <f>INT(Table1[[#This Row],[Reporting date]])-INT(Table1[[#This Row],[Loss date]])</f>
        <v>14</v>
      </c>
      <c r="S1249" s="69" t="s">
        <v>9</v>
      </c>
      <c r="T1249" s="70">
        <f>VLOOKUP(Table1[[#This Row],[Policy Year]],exposure_table,3,FALSE)</f>
        <v>760.22808576000011</v>
      </c>
      <c r="U1249" s="17">
        <f>IF(MONTH(Table1[[#This Row],[Reporting date]])&lt;Policy_Inception_Month,YEAR(Table1[[#This Row],[Reporting date]])-1,YEAR(Table1[[#This Row],[Reporting date]]))</f>
        <v>2009</v>
      </c>
      <c r="V1249" s="17">
        <f>Table1[[#This Row],[Reporting year]]-Table1[[#This Row],[Policy Year]]</f>
        <v>0</v>
      </c>
      <c r="W1249" s="17">
        <f>INT(Table1[[#This Row],[Reporting date]])-INT(Table1[[#This Row],[Loss date]])</f>
        <v>14</v>
      </c>
      <c r="X1249" s="17">
        <f>INT((YEAR(Table1[[#This Row],[Loss date]])*12+MONTH(Table1[[#This Row],[Loss date]])-Earliest_Month)/4)</f>
        <v>12</v>
      </c>
      <c r="Y1249" s="17">
        <f>INT((YEAR(Table1[[#This Row],[Reporting date]])*12+MONTH(Table1[[#This Row],[Reporting date]])-Earliest_Month)/4)</f>
        <v>12</v>
      </c>
      <c r="Z1249" s="17">
        <f>Table1[[#This Row],[Reporting third]]-Table1[[#This Row],[Policy third]]</f>
        <v>0</v>
      </c>
      <c r="AA1249" s="71">
        <f>IF(Table1[[#This Row],[Overall amount]]=0,"N/A",Table1[[#This Row],[Outstanding]]/Table1[[#This Row],[Overall amount]])</f>
        <v>0</v>
      </c>
      <c r="AB1249" s="17">
        <f>IF(MONTH(Table1[[#This Row],[Loss date]])&lt;Pol_Inc_Month_Shifted,YEAR(Table1[[#This Row],[Loss date]])-1,YEAR(Table1[[#This Row],[Loss date]]))</f>
        <v>2008</v>
      </c>
      <c r="AC1249" s="17">
        <f>IF(MONTH(Table1[[#This Row],[Reporting date]])&lt;Pol_Inc_Month_Shifted,YEAR(Table1[[#This Row],[Reporting date]])-1,YEAR(Table1[[#This Row],[Reporting date]]))</f>
        <v>2008</v>
      </c>
      <c r="AD1249" s="17">
        <f>Table1[[#This Row],[Reporting year (shifted)]]-Table1[[#This Row],[Policy Year (shifted)]]</f>
        <v>0</v>
      </c>
    </row>
    <row r="1250" spans="1:30" ht="13.9">
      <c r="A1250" s="8" t="s">
        <v>3020</v>
      </c>
      <c r="B1250" s="8" t="s">
        <v>1302</v>
      </c>
      <c r="C1250" s="8" t="s">
        <v>123</v>
      </c>
      <c r="D1250" s="9">
        <v>39147</v>
      </c>
      <c r="E1250" s="9">
        <v>40207</v>
      </c>
      <c r="F1250" s="17">
        <f>IF(MONTH(Table1[[#This Row],[Loss date]])&lt;Policy_Inception_Month,YEAR(Table1[[#This Row],[Loss date]])-1,YEAR(Table1[[#This Row],[Loss date]]))</f>
        <v>2006</v>
      </c>
      <c r="G1250" s="10" t="s">
        <v>125</v>
      </c>
      <c r="H1250" s="10" t="s">
        <v>2</v>
      </c>
      <c r="I1250" s="11">
        <v>1018.2371291945697</v>
      </c>
      <c r="J1250" s="11">
        <v>0</v>
      </c>
      <c r="K1250" s="11">
        <v>1018.2371291945697</v>
      </c>
      <c r="L1250" s="12">
        <v>0</v>
      </c>
      <c r="M1250" s="12">
        <v>0</v>
      </c>
      <c r="N1250" s="12">
        <v>1018.2371291945697</v>
      </c>
      <c r="O1250" s="70">
        <f>IF(Table1[[#This Row],[Overall amount]]=0,0,1)</f>
        <v>1</v>
      </c>
      <c r="P1250" s="70">
        <f>Table1[[#This Row],[Overall amount]]*Exchange_Rate</f>
        <v>1018.2371291945697</v>
      </c>
      <c r="Q1250" s="70">
        <f>Table1[[#This Row],[Overall (destination currency)]]*(1+Claims_Inflation)^((Revalue_at_date-Table1[[#This Row],[Loss date]])/365.25)</f>
        <v>1546.9920000000002</v>
      </c>
      <c r="R1250" s="70">
        <f>INT(Table1[[#This Row],[Reporting date]])-INT(Table1[[#This Row],[Loss date]])</f>
        <v>1060</v>
      </c>
      <c r="S1250" s="69" t="s">
        <v>9</v>
      </c>
      <c r="T1250" s="70">
        <f>VLOOKUP(Table1[[#This Row],[Policy Year]],exposure_table,3,FALSE)</f>
        <v>483.32023209000977</v>
      </c>
      <c r="U1250" s="17">
        <f>IF(MONTH(Table1[[#This Row],[Reporting date]])&lt;Policy_Inception_Month,YEAR(Table1[[#This Row],[Reporting date]])-1,YEAR(Table1[[#This Row],[Reporting date]]))</f>
        <v>2009</v>
      </c>
      <c r="V1250" s="17">
        <f>Table1[[#This Row],[Reporting year]]-Table1[[#This Row],[Policy Year]]</f>
        <v>3</v>
      </c>
      <c r="W1250" s="17">
        <f>INT(Table1[[#This Row],[Reporting date]])-INT(Table1[[#This Row],[Loss date]])</f>
        <v>1060</v>
      </c>
      <c r="X1250" s="17">
        <f>INT((YEAR(Table1[[#This Row],[Loss date]])*12+MONTH(Table1[[#This Row],[Loss date]])-Earliest_Month)/4)</f>
        <v>5</v>
      </c>
      <c r="Y1250" s="17">
        <f>INT((YEAR(Table1[[#This Row],[Reporting date]])*12+MONTH(Table1[[#This Row],[Reporting date]])-Earliest_Month)/4)</f>
        <v>14</v>
      </c>
      <c r="Z1250" s="17">
        <f>Table1[[#This Row],[Reporting third]]-Table1[[#This Row],[Policy third]]</f>
        <v>9</v>
      </c>
      <c r="AA1250" s="71">
        <f>IF(Table1[[#This Row],[Overall amount]]=0,"N/A",Table1[[#This Row],[Outstanding]]/Table1[[#This Row],[Overall amount]])</f>
        <v>0</v>
      </c>
      <c r="AB1250" s="17">
        <f>IF(MONTH(Table1[[#This Row],[Loss date]])&lt;Pol_Inc_Month_Shifted,YEAR(Table1[[#This Row],[Loss date]])-1,YEAR(Table1[[#This Row],[Loss date]]))</f>
        <v>2006</v>
      </c>
      <c r="AC1250" s="17">
        <f>IF(MONTH(Table1[[#This Row],[Reporting date]])&lt;Pol_Inc_Month_Shifted,YEAR(Table1[[#This Row],[Reporting date]])-1,YEAR(Table1[[#This Row],[Reporting date]]))</f>
        <v>2009</v>
      </c>
      <c r="AD1250" s="17">
        <f>Table1[[#This Row],[Reporting year (shifted)]]-Table1[[#This Row],[Policy Year (shifted)]]</f>
        <v>3</v>
      </c>
    </row>
    <row r="1251" spans="1:30" ht="13.9">
      <c r="A1251" s="8" t="s">
        <v>3021</v>
      </c>
      <c r="B1251" s="8" t="s">
        <v>1303</v>
      </c>
      <c r="C1251" s="8" t="s">
        <v>123</v>
      </c>
      <c r="D1251" s="9">
        <v>39133</v>
      </c>
      <c r="E1251" s="9">
        <v>40387</v>
      </c>
      <c r="F1251" s="17">
        <f>IF(MONTH(Table1[[#This Row],[Loss date]])&lt;Policy_Inception_Month,YEAR(Table1[[#This Row],[Loss date]])-1,YEAR(Table1[[#This Row],[Loss date]]))</f>
        <v>2006</v>
      </c>
      <c r="G1251" s="10" t="s">
        <v>132</v>
      </c>
      <c r="H1251" s="10" t="s">
        <v>2</v>
      </c>
      <c r="I1251" s="11">
        <v>1113.3041532338088</v>
      </c>
      <c r="J1251" s="11">
        <v>0</v>
      </c>
      <c r="K1251" s="11">
        <v>1113.3041532338088</v>
      </c>
      <c r="L1251" s="12">
        <v>0</v>
      </c>
      <c r="M1251" s="12">
        <v>0</v>
      </c>
      <c r="N1251" s="12">
        <v>1113.3041532338088</v>
      </c>
      <c r="O1251" s="70">
        <f>IF(Table1[[#This Row],[Overall amount]]=0,0,1)</f>
        <v>1</v>
      </c>
      <c r="P1251" s="70">
        <f>Table1[[#This Row],[Overall amount]]*Exchange_Rate</f>
        <v>1113.3041532338088</v>
      </c>
      <c r="Q1251" s="70">
        <f>Table1[[#This Row],[Overall (destination currency)]]*(1+Claims_Inflation)^((Revalue_at_date-Table1[[#This Row],[Loss date]])/365.25)</f>
        <v>1694.5920000000001</v>
      </c>
      <c r="R1251" s="70">
        <f>INT(Table1[[#This Row],[Reporting date]])-INT(Table1[[#This Row],[Loss date]])</f>
        <v>1254</v>
      </c>
      <c r="S1251" s="69" t="s">
        <v>9</v>
      </c>
      <c r="T1251" s="70">
        <f>VLOOKUP(Table1[[#This Row],[Policy Year]],exposure_table,3,FALSE)</f>
        <v>483.32023209000977</v>
      </c>
      <c r="U1251" s="17">
        <f>IF(MONTH(Table1[[#This Row],[Reporting date]])&lt;Policy_Inception_Month,YEAR(Table1[[#This Row],[Reporting date]])-1,YEAR(Table1[[#This Row],[Reporting date]]))</f>
        <v>2010</v>
      </c>
      <c r="V1251" s="17">
        <f>Table1[[#This Row],[Reporting year]]-Table1[[#This Row],[Policy Year]]</f>
        <v>4</v>
      </c>
      <c r="W1251" s="17">
        <f>INT(Table1[[#This Row],[Reporting date]])-INT(Table1[[#This Row],[Loss date]])</f>
        <v>1254</v>
      </c>
      <c r="X1251" s="17">
        <f>INT((YEAR(Table1[[#This Row],[Loss date]])*12+MONTH(Table1[[#This Row],[Loss date]])-Earliest_Month)/4)</f>
        <v>5</v>
      </c>
      <c r="Y1251" s="17">
        <f>INT((YEAR(Table1[[#This Row],[Reporting date]])*12+MONTH(Table1[[#This Row],[Reporting date]])-Earliest_Month)/4)</f>
        <v>15</v>
      </c>
      <c r="Z1251" s="17">
        <f>Table1[[#This Row],[Reporting third]]-Table1[[#This Row],[Policy third]]</f>
        <v>10</v>
      </c>
      <c r="AA1251" s="71">
        <f>IF(Table1[[#This Row],[Overall amount]]=0,"N/A",Table1[[#This Row],[Outstanding]]/Table1[[#This Row],[Overall amount]])</f>
        <v>0</v>
      </c>
      <c r="AB1251" s="17">
        <f>IF(MONTH(Table1[[#This Row],[Loss date]])&lt;Pol_Inc_Month_Shifted,YEAR(Table1[[#This Row],[Loss date]])-1,YEAR(Table1[[#This Row],[Loss date]]))</f>
        <v>2006</v>
      </c>
      <c r="AC1251" s="17">
        <f>IF(MONTH(Table1[[#This Row],[Reporting date]])&lt;Pol_Inc_Month_Shifted,YEAR(Table1[[#This Row],[Reporting date]])-1,YEAR(Table1[[#This Row],[Reporting date]]))</f>
        <v>2009</v>
      </c>
      <c r="AD1251" s="17">
        <f>Table1[[#This Row],[Reporting year (shifted)]]-Table1[[#This Row],[Policy Year (shifted)]]</f>
        <v>3</v>
      </c>
    </row>
    <row r="1252" spans="1:30" ht="13.9">
      <c r="A1252" s="8" t="s">
        <v>3022</v>
      </c>
      <c r="B1252" s="8" t="s">
        <v>1304</v>
      </c>
      <c r="C1252" s="8" t="s">
        <v>123</v>
      </c>
      <c r="D1252" s="9">
        <v>39112</v>
      </c>
      <c r="E1252" s="9">
        <v>39158</v>
      </c>
      <c r="F1252" s="17">
        <f>IF(MONTH(Table1[[#This Row],[Loss date]])&lt;Policy_Inception_Month,YEAR(Table1[[#This Row],[Loss date]])-1,YEAR(Table1[[#This Row],[Loss date]]))</f>
        <v>2006</v>
      </c>
      <c r="G1252" s="10" t="s">
        <v>132</v>
      </c>
      <c r="H1252" s="10" t="s">
        <v>2</v>
      </c>
      <c r="I1252" s="11">
        <v>96.697836859121836</v>
      </c>
      <c r="J1252" s="11">
        <v>0</v>
      </c>
      <c r="K1252" s="11">
        <v>96.697836859121836</v>
      </c>
      <c r="L1252" s="12">
        <v>0</v>
      </c>
      <c r="M1252" s="12">
        <v>0</v>
      </c>
      <c r="N1252" s="12">
        <v>96.697836859121836</v>
      </c>
      <c r="O1252" s="70">
        <f>IF(Table1[[#This Row],[Overall amount]]=0,0,1)</f>
        <v>1</v>
      </c>
      <c r="P1252" s="70">
        <f>Table1[[#This Row],[Overall amount]]*Exchange_Rate</f>
        <v>96.697836859121836</v>
      </c>
      <c r="Q1252" s="70">
        <f>Table1[[#This Row],[Overall (destination currency)]]*(1+Claims_Inflation)^((Revalue_at_date-Table1[[#This Row],[Loss date]])/365.25)</f>
        <v>147.6</v>
      </c>
      <c r="R1252" s="70">
        <f>INT(Table1[[#This Row],[Reporting date]])-INT(Table1[[#This Row],[Loss date]])</f>
        <v>46</v>
      </c>
      <c r="S1252" s="69" t="s">
        <v>9</v>
      </c>
      <c r="T1252" s="70">
        <f>VLOOKUP(Table1[[#This Row],[Policy Year]],exposure_table,3,FALSE)</f>
        <v>483.32023209000977</v>
      </c>
      <c r="U1252" s="17">
        <f>IF(MONTH(Table1[[#This Row],[Reporting date]])&lt;Policy_Inception_Month,YEAR(Table1[[#This Row],[Reporting date]])-1,YEAR(Table1[[#This Row],[Reporting date]]))</f>
        <v>2006</v>
      </c>
      <c r="V1252" s="17">
        <f>Table1[[#This Row],[Reporting year]]-Table1[[#This Row],[Policy Year]]</f>
        <v>0</v>
      </c>
      <c r="W1252" s="17">
        <f>INT(Table1[[#This Row],[Reporting date]])-INT(Table1[[#This Row],[Loss date]])</f>
        <v>46</v>
      </c>
      <c r="X1252" s="17">
        <f>INT((YEAR(Table1[[#This Row],[Loss date]])*12+MONTH(Table1[[#This Row],[Loss date]])-Earliest_Month)/4)</f>
        <v>5</v>
      </c>
      <c r="Y1252" s="17">
        <f>INT((YEAR(Table1[[#This Row],[Reporting date]])*12+MONTH(Table1[[#This Row],[Reporting date]])-Earliest_Month)/4)</f>
        <v>5</v>
      </c>
      <c r="Z1252" s="17">
        <f>Table1[[#This Row],[Reporting third]]-Table1[[#This Row],[Policy third]]</f>
        <v>0</v>
      </c>
      <c r="AA1252" s="71">
        <f>IF(Table1[[#This Row],[Overall amount]]=0,"N/A",Table1[[#This Row],[Outstanding]]/Table1[[#This Row],[Overall amount]])</f>
        <v>0</v>
      </c>
      <c r="AB1252" s="17">
        <f>IF(MONTH(Table1[[#This Row],[Loss date]])&lt;Pol_Inc_Month_Shifted,YEAR(Table1[[#This Row],[Loss date]])-1,YEAR(Table1[[#This Row],[Loss date]]))</f>
        <v>2006</v>
      </c>
      <c r="AC1252" s="17">
        <f>IF(MONTH(Table1[[#This Row],[Reporting date]])&lt;Pol_Inc_Month_Shifted,YEAR(Table1[[#This Row],[Reporting date]])-1,YEAR(Table1[[#This Row],[Reporting date]]))</f>
        <v>2006</v>
      </c>
      <c r="AD1252" s="17">
        <f>Table1[[#This Row],[Reporting year (shifted)]]-Table1[[#This Row],[Policy Year (shifted)]]</f>
        <v>0</v>
      </c>
    </row>
    <row r="1253" spans="1:30" ht="13.9">
      <c r="A1253" s="8" t="s">
        <v>3023</v>
      </c>
      <c r="B1253" s="8" t="s">
        <v>1305</v>
      </c>
      <c r="C1253" s="8" t="s">
        <v>123</v>
      </c>
      <c r="D1253" s="9">
        <v>38914</v>
      </c>
      <c r="E1253" s="9">
        <v>39158</v>
      </c>
      <c r="F1253" s="17">
        <f>IF(MONTH(Table1[[#This Row],[Loss date]])&lt;Policy_Inception_Month,YEAR(Table1[[#This Row],[Loss date]])-1,YEAR(Table1[[#This Row],[Loss date]]))</f>
        <v>2006</v>
      </c>
      <c r="G1253" s="10" t="s">
        <v>132</v>
      </c>
      <c r="H1253" s="10" t="s">
        <v>2</v>
      </c>
      <c r="I1253" s="11">
        <v>94.17381354644877</v>
      </c>
      <c r="J1253" s="11">
        <v>0</v>
      </c>
      <c r="K1253" s="11">
        <v>94.17381354644877</v>
      </c>
      <c r="L1253" s="12">
        <v>0</v>
      </c>
      <c r="M1253" s="12">
        <v>0</v>
      </c>
      <c r="N1253" s="12">
        <v>94.17381354644877</v>
      </c>
      <c r="O1253" s="70">
        <f>IF(Table1[[#This Row],[Overall amount]]=0,0,1)</f>
        <v>1</v>
      </c>
      <c r="P1253" s="70">
        <f>Table1[[#This Row],[Overall amount]]*Exchange_Rate</f>
        <v>94.17381354644877</v>
      </c>
      <c r="Q1253" s="70">
        <f>Table1[[#This Row],[Overall (destination currency)]]*(1+Claims_Inflation)^((Revalue_at_date-Table1[[#This Row],[Loss date]])/365.25)</f>
        <v>147.6</v>
      </c>
      <c r="R1253" s="70">
        <f>INT(Table1[[#This Row],[Reporting date]])-INT(Table1[[#This Row],[Loss date]])</f>
        <v>244</v>
      </c>
      <c r="S1253" s="69" t="s">
        <v>9</v>
      </c>
      <c r="T1253" s="70">
        <f>VLOOKUP(Table1[[#This Row],[Policy Year]],exposure_table,3,FALSE)</f>
        <v>483.32023209000977</v>
      </c>
      <c r="U1253" s="17">
        <f>IF(MONTH(Table1[[#This Row],[Reporting date]])&lt;Policy_Inception_Month,YEAR(Table1[[#This Row],[Reporting date]])-1,YEAR(Table1[[#This Row],[Reporting date]]))</f>
        <v>2006</v>
      </c>
      <c r="V1253" s="17">
        <f>Table1[[#This Row],[Reporting year]]-Table1[[#This Row],[Policy Year]]</f>
        <v>0</v>
      </c>
      <c r="W1253" s="17">
        <f>INT(Table1[[#This Row],[Reporting date]])-INT(Table1[[#This Row],[Loss date]])</f>
        <v>244</v>
      </c>
      <c r="X1253" s="17">
        <f>INT((YEAR(Table1[[#This Row],[Loss date]])*12+MONTH(Table1[[#This Row],[Loss date]])-Earliest_Month)/4)</f>
        <v>3</v>
      </c>
      <c r="Y1253" s="17">
        <f>INT((YEAR(Table1[[#This Row],[Reporting date]])*12+MONTH(Table1[[#This Row],[Reporting date]])-Earliest_Month)/4)</f>
        <v>5</v>
      </c>
      <c r="Z1253" s="17">
        <f>Table1[[#This Row],[Reporting third]]-Table1[[#This Row],[Policy third]]</f>
        <v>2</v>
      </c>
      <c r="AA1253" s="71">
        <f>IF(Table1[[#This Row],[Overall amount]]=0,"N/A",Table1[[#This Row],[Outstanding]]/Table1[[#This Row],[Overall amount]])</f>
        <v>0</v>
      </c>
      <c r="AB1253" s="17">
        <f>IF(MONTH(Table1[[#This Row],[Loss date]])&lt;Pol_Inc_Month_Shifted,YEAR(Table1[[#This Row],[Loss date]])-1,YEAR(Table1[[#This Row],[Loss date]]))</f>
        <v>2005</v>
      </c>
      <c r="AC1253" s="17">
        <f>IF(MONTH(Table1[[#This Row],[Reporting date]])&lt;Pol_Inc_Month_Shifted,YEAR(Table1[[#This Row],[Reporting date]])-1,YEAR(Table1[[#This Row],[Reporting date]]))</f>
        <v>2006</v>
      </c>
      <c r="AD1253" s="17">
        <f>Table1[[#This Row],[Reporting year (shifted)]]-Table1[[#This Row],[Policy Year (shifted)]]</f>
        <v>1</v>
      </c>
    </row>
    <row r="1254" spans="1:30" ht="13.9">
      <c r="A1254" s="8" t="s">
        <v>3024</v>
      </c>
      <c r="B1254" s="8" t="s">
        <v>1306</v>
      </c>
      <c r="C1254" s="8" t="s">
        <v>123</v>
      </c>
      <c r="D1254" s="9">
        <v>39118</v>
      </c>
      <c r="E1254" s="9">
        <v>39331</v>
      </c>
      <c r="F1254" s="17">
        <f>IF(MONTH(Table1[[#This Row],[Loss date]])&lt;Policy_Inception_Month,YEAR(Table1[[#This Row],[Loss date]])-1,YEAR(Table1[[#This Row],[Loss date]]))</f>
        <v>2006</v>
      </c>
      <c r="G1254" s="10" t="s">
        <v>125</v>
      </c>
      <c r="H1254" s="10" t="s">
        <v>2</v>
      </c>
      <c r="I1254" s="11">
        <v>752.36948785002687</v>
      </c>
      <c r="J1254" s="11">
        <v>0</v>
      </c>
      <c r="K1254" s="11">
        <v>752.36948785002687</v>
      </c>
      <c r="L1254" s="12">
        <v>0</v>
      </c>
      <c r="M1254" s="12">
        <v>0</v>
      </c>
      <c r="N1254" s="12">
        <v>752.36948785002687</v>
      </c>
      <c r="O1254" s="70">
        <f>IF(Table1[[#This Row],[Overall amount]]=0,0,1)</f>
        <v>1</v>
      </c>
      <c r="P1254" s="70">
        <f>Table1[[#This Row],[Overall amount]]*Exchange_Rate</f>
        <v>752.36948785002687</v>
      </c>
      <c r="Q1254" s="70">
        <f>Table1[[#This Row],[Overall (destination currency)]]*(1+Claims_Inflation)^((Revalue_at_date-Table1[[#This Row],[Loss date]])/365.25)</f>
        <v>1147.5</v>
      </c>
      <c r="R1254" s="70">
        <f>INT(Table1[[#This Row],[Reporting date]])-INT(Table1[[#This Row],[Loss date]])</f>
        <v>213</v>
      </c>
      <c r="S1254" s="69" t="s">
        <v>9</v>
      </c>
      <c r="T1254" s="70">
        <f>VLOOKUP(Table1[[#This Row],[Policy Year]],exposure_table,3,FALSE)</f>
        <v>483.32023209000977</v>
      </c>
      <c r="U1254" s="17">
        <f>IF(MONTH(Table1[[#This Row],[Reporting date]])&lt;Policy_Inception_Month,YEAR(Table1[[#This Row],[Reporting date]])-1,YEAR(Table1[[#This Row],[Reporting date]]))</f>
        <v>2007</v>
      </c>
      <c r="V1254" s="17">
        <f>Table1[[#This Row],[Reporting year]]-Table1[[#This Row],[Policy Year]]</f>
        <v>1</v>
      </c>
      <c r="W1254" s="17">
        <f>INT(Table1[[#This Row],[Reporting date]])-INT(Table1[[#This Row],[Loss date]])</f>
        <v>213</v>
      </c>
      <c r="X1254" s="17">
        <f>INT((YEAR(Table1[[#This Row],[Loss date]])*12+MONTH(Table1[[#This Row],[Loss date]])-Earliest_Month)/4)</f>
        <v>5</v>
      </c>
      <c r="Y1254" s="17">
        <f>INT((YEAR(Table1[[#This Row],[Reporting date]])*12+MONTH(Table1[[#This Row],[Reporting date]])-Earliest_Month)/4)</f>
        <v>7</v>
      </c>
      <c r="Z1254" s="17">
        <f>Table1[[#This Row],[Reporting third]]-Table1[[#This Row],[Policy third]]</f>
        <v>2</v>
      </c>
      <c r="AA1254" s="71">
        <f>IF(Table1[[#This Row],[Overall amount]]=0,"N/A",Table1[[#This Row],[Outstanding]]/Table1[[#This Row],[Overall amount]])</f>
        <v>0</v>
      </c>
      <c r="AB1254" s="17">
        <f>IF(MONTH(Table1[[#This Row],[Loss date]])&lt;Pol_Inc_Month_Shifted,YEAR(Table1[[#This Row],[Loss date]])-1,YEAR(Table1[[#This Row],[Loss date]]))</f>
        <v>2006</v>
      </c>
      <c r="AC1254" s="17">
        <f>IF(MONTH(Table1[[#This Row],[Reporting date]])&lt;Pol_Inc_Month_Shifted,YEAR(Table1[[#This Row],[Reporting date]])-1,YEAR(Table1[[#This Row],[Reporting date]]))</f>
        <v>2006</v>
      </c>
      <c r="AD1254" s="17">
        <f>Table1[[#This Row],[Reporting year (shifted)]]-Table1[[#This Row],[Policy Year (shifted)]]</f>
        <v>0</v>
      </c>
    </row>
    <row r="1255" spans="1:30" ht="13.9">
      <c r="A1255" s="8" t="s">
        <v>3025</v>
      </c>
      <c r="B1255" s="8" t="s">
        <v>1307</v>
      </c>
      <c r="C1255" s="8" t="s">
        <v>123</v>
      </c>
      <c r="D1255" s="9">
        <v>39438</v>
      </c>
      <c r="E1255" s="9">
        <v>39457</v>
      </c>
      <c r="F1255" s="17">
        <f>IF(MONTH(Table1[[#This Row],[Loss date]])&lt;Policy_Inception_Month,YEAR(Table1[[#This Row],[Loss date]])-1,YEAR(Table1[[#This Row],[Loss date]]))</f>
        <v>2007</v>
      </c>
      <c r="G1255" s="10" t="s">
        <v>125</v>
      </c>
      <c r="H1255" s="10" t="s">
        <v>2</v>
      </c>
      <c r="I1255" s="11">
        <v>471.13636779672714</v>
      </c>
      <c r="J1255" s="11">
        <v>0</v>
      </c>
      <c r="K1255" s="11">
        <v>471.13636779672714</v>
      </c>
      <c r="L1255" s="12">
        <v>0</v>
      </c>
      <c r="M1255" s="12">
        <v>0</v>
      </c>
      <c r="N1255" s="12">
        <v>471.13636779672714</v>
      </c>
      <c r="O1255" s="70">
        <f>IF(Table1[[#This Row],[Overall amount]]=0,0,1)</f>
        <v>1</v>
      </c>
      <c r="P1255" s="70">
        <f>Table1[[#This Row],[Overall amount]]*Exchange_Rate</f>
        <v>471.13636779672714</v>
      </c>
      <c r="Q1255" s="70">
        <f>Table1[[#This Row],[Overall (destination currency)]]*(1+Claims_Inflation)^((Revalue_at_date-Table1[[#This Row],[Loss date]])/365.25)</f>
        <v>688.5</v>
      </c>
      <c r="R1255" s="70">
        <f>INT(Table1[[#This Row],[Reporting date]])-INT(Table1[[#This Row],[Loss date]])</f>
        <v>19</v>
      </c>
      <c r="S1255" s="69" t="s">
        <v>9</v>
      </c>
      <c r="T1255" s="70">
        <f>VLOOKUP(Table1[[#This Row],[Policy Year]],exposure_table,3,FALSE)</f>
        <v>547.7736362475523</v>
      </c>
      <c r="U1255" s="17">
        <f>IF(MONTH(Table1[[#This Row],[Reporting date]])&lt;Policy_Inception_Month,YEAR(Table1[[#This Row],[Reporting date]])-1,YEAR(Table1[[#This Row],[Reporting date]]))</f>
        <v>2007</v>
      </c>
      <c r="V1255" s="17">
        <f>Table1[[#This Row],[Reporting year]]-Table1[[#This Row],[Policy Year]]</f>
        <v>0</v>
      </c>
      <c r="W1255" s="17">
        <f>INT(Table1[[#This Row],[Reporting date]])-INT(Table1[[#This Row],[Loss date]])</f>
        <v>19</v>
      </c>
      <c r="X1255" s="17">
        <f>INT((YEAR(Table1[[#This Row],[Loss date]])*12+MONTH(Table1[[#This Row],[Loss date]])-Earliest_Month)/4)</f>
        <v>8</v>
      </c>
      <c r="Y1255" s="17">
        <f>INT((YEAR(Table1[[#This Row],[Reporting date]])*12+MONTH(Table1[[#This Row],[Reporting date]])-Earliest_Month)/4)</f>
        <v>8</v>
      </c>
      <c r="Z1255" s="17">
        <f>Table1[[#This Row],[Reporting third]]-Table1[[#This Row],[Policy third]]</f>
        <v>0</v>
      </c>
      <c r="AA1255" s="71">
        <f>IF(Table1[[#This Row],[Overall amount]]=0,"N/A",Table1[[#This Row],[Outstanding]]/Table1[[#This Row],[Overall amount]])</f>
        <v>0</v>
      </c>
      <c r="AB1255" s="17">
        <f>IF(MONTH(Table1[[#This Row],[Loss date]])&lt;Pol_Inc_Month_Shifted,YEAR(Table1[[#This Row],[Loss date]])-1,YEAR(Table1[[#This Row],[Loss date]]))</f>
        <v>2007</v>
      </c>
      <c r="AC1255" s="17">
        <f>IF(MONTH(Table1[[#This Row],[Reporting date]])&lt;Pol_Inc_Month_Shifted,YEAR(Table1[[#This Row],[Reporting date]])-1,YEAR(Table1[[#This Row],[Reporting date]]))</f>
        <v>2007</v>
      </c>
      <c r="AD1255" s="17">
        <f>Table1[[#This Row],[Reporting year (shifted)]]-Table1[[#This Row],[Policy Year (shifted)]]</f>
        <v>0</v>
      </c>
    </row>
    <row r="1256" spans="1:30" ht="13.9">
      <c r="A1256" s="8" t="s">
        <v>3026</v>
      </c>
      <c r="B1256" s="8" t="s">
        <v>1308</v>
      </c>
      <c r="C1256" s="8" t="s">
        <v>123</v>
      </c>
      <c r="D1256" s="9">
        <v>40320</v>
      </c>
      <c r="E1256" s="9">
        <v>40383</v>
      </c>
      <c r="F1256" s="17">
        <f>IF(MONTH(Table1[[#This Row],[Loss date]])&lt;Policy_Inception_Month,YEAR(Table1[[#This Row],[Loss date]])-1,YEAR(Table1[[#This Row],[Loss date]]))</f>
        <v>2010</v>
      </c>
      <c r="G1256" s="10" t="s">
        <v>126</v>
      </c>
      <c r="H1256" s="10" t="s">
        <v>2</v>
      </c>
      <c r="I1256" s="11">
        <v>7027.1503232718769</v>
      </c>
      <c r="J1256" s="11">
        <v>0</v>
      </c>
      <c r="K1256" s="11">
        <v>7027.1503232718769</v>
      </c>
      <c r="L1256" s="12">
        <v>0</v>
      </c>
      <c r="M1256" s="12">
        <v>0</v>
      </c>
      <c r="N1256" s="12">
        <v>7027.1503232718769</v>
      </c>
      <c r="O1256" s="70">
        <f>IF(Table1[[#This Row],[Overall amount]]=0,0,1)</f>
        <v>1</v>
      </c>
      <c r="P1256" s="70">
        <f>Table1[[#This Row],[Overall amount]]*Exchange_Rate</f>
        <v>7027.1503232718769</v>
      </c>
      <c r="Q1256" s="70">
        <f>Table1[[#This Row],[Overall (destination currency)]]*(1+Claims_Inflation)^((Revalue_at_date-Table1[[#This Row],[Loss date]])/365.25)</f>
        <v>9127.86</v>
      </c>
      <c r="R1256" s="70">
        <f>INT(Table1[[#This Row],[Reporting date]])-INT(Table1[[#This Row],[Loss date]])</f>
        <v>63</v>
      </c>
      <c r="S1256" s="69" t="s">
        <v>9</v>
      </c>
      <c r="T1256" s="70">
        <f>VLOOKUP(Table1[[#This Row],[Policy Year]],exposure_table,3,FALSE)</f>
        <v>837.11513600000012</v>
      </c>
      <c r="U1256" s="17">
        <f>IF(MONTH(Table1[[#This Row],[Reporting date]])&lt;Policy_Inception_Month,YEAR(Table1[[#This Row],[Reporting date]])-1,YEAR(Table1[[#This Row],[Reporting date]]))</f>
        <v>2010</v>
      </c>
      <c r="V1256" s="17">
        <f>Table1[[#This Row],[Reporting year]]-Table1[[#This Row],[Policy Year]]</f>
        <v>0</v>
      </c>
      <c r="W1256" s="17">
        <f>INT(Table1[[#This Row],[Reporting date]])-INT(Table1[[#This Row],[Loss date]])</f>
        <v>63</v>
      </c>
      <c r="X1256" s="17">
        <f>INT((YEAR(Table1[[#This Row],[Loss date]])*12+MONTH(Table1[[#This Row],[Loss date]])-Earliest_Month)/4)</f>
        <v>15</v>
      </c>
      <c r="Y1256" s="17">
        <f>INT((YEAR(Table1[[#This Row],[Reporting date]])*12+MONTH(Table1[[#This Row],[Reporting date]])-Earliest_Month)/4)</f>
        <v>15</v>
      </c>
      <c r="Z1256" s="17">
        <f>Table1[[#This Row],[Reporting third]]-Table1[[#This Row],[Policy third]]</f>
        <v>0</v>
      </c>
      <c r="AA1256" s="71">
        <f>IF(Table1[[#This Row],[Overall amount]]=0,"N/A",Table1[[#This Row],[Outstanding]]/Table1[[#This Row],[Overall amount]])</f>
        <v>0</v>
      </c>
      <c r="AB1256" s="17">
        <f>IF(MONTH(Table1[[#This Row],[Loss date]])&lt;Pol_Inc_Month_Shifted,YEAR(Table1[[#This Row],[Loss date]])-1,YEAR(Table1[[#This Row],[Loss date]]))</f>
        <v>2009</v>
      </c>
      <c r="AC1256" s="17">
        <f>IF(MONTH(Table1[[#This Row],[Reporting date]])&lt;Pol_Inc_Month_Shifted,YEAR(Table1[[#This Row],[Reporting date]])-1,YEAR(Table1[[#This Row],[Reporting date]]))</f>
        <v>2009</v>
      </c>
      <c r="AD1256" s="17">
        <f>Table1[[#This Row],[Reporting year (shifted)]]-Table1[[#This Row],[Policy Year (shifted)]]</f>
        <v>0</v>
      </c>
    </row>
    <row r="1257" spans="1:30" ht="13.9">
      <c r="A1257" s="8" t="s">
        <v>3027</v>
      </c>
      <c r="B1257" s="8" t="s">
        <v>1309</v>
      </c>
      <c r="C1257" s="8" t="s">
        <v>123</v>
      </c>
      <c r="D1257" s="9">
        <v>39913</v>
      </c>
      <c r="E1257" s="9">
        <v>40572</v>
      </c>
      <c r="F1257" s="17">
        <f>IF(MONTH(Table1[[#This Row],[Loss date]])&lt;Policy_Inception_Month,YEAR(Table1[[#This Row],[Loss date]])-1,YEAR(Table1[[#This Row],[Loss date]]))</f>
        <v>2009</v>
      </c>
      <c r="G1257" s="10" t="s">
        <v>125</v>
      </c>
      <c r="H1257" s="10" t="s">
        <v>2</v>
      </c>
      <c r="I1257" s="11">
        <v>837.32124354448865</v>
      </c>
      <c r="J1257" s="11">
        <v>0</v>
      </c>
      <c r="K1257" s="11">
        <v>837.32124354448865</v>
      </c>
      <c r="L1257" s="12">
        <v>0</v>
      </c>
      <c r="M1257" s="12">
        <v>0</v>
      </c>
      <c r="N1257" s="12">
        <v>837.32124354448865</v>
      </c>
      <c r="O1257" s="70">
        <f>IF(Table1[[#This Row],[Overall amount]]=0,0,1)</f>
        <v>1</v>
      </c>
      <c r="P1257" s="70">
        <f>Table1[[#This Row],[Overall amount]]*Exchange_Rate</f>
        <v>837.32124354448865</v>
      </c>
      <c r="Q1257" s="70">
        <f>Table1[[#This Row],[Overall (destination currency)]]*(1+Claims_Inflation)^((Revalue_at_date-Table1[[#This Row],[Loss date]])/365.25)</f>
        <v>1148.3999999999999</v>
      </c>
      <c r="R1257" s="70">
        <f>INT(Table1[[#This Row],[Reporting date]])-INT(Table1[[#This Row],[Loss date]])</f>
        <v>659</v>
      </c>
      <c r="S1257" s="69" t="s">
        <v>9</v>
      </c>
      <c r="T1257" s="70">
        <f>VLOOKUP(Table1[[#This Row],[Policy Year]],exposure_table,3,FALSE)</f>
        <v>760.22808576000011</v>
      </c>
      <c r="U1257" s="17">
        <f>IF(MONTH(Table1[[#This Row],[Reporting date]])&lt;Policy_Inception_Month,YEAR(Table1[[#This Row],[Reporting date]])-1,YEAR(Table1[[#This Row],[Reporting date]]))</f>
        <v>2010</v>
      </c>
      <c r="V1257" s="17">
        <f>Table1[[#This Row],[Reporting year]]-Table1[[#This Row],[Policy Year]]</f>
        <v>1</v>
      </c>
      <c r="W1257" s="17">
        <f>INT(Table1[[#This Row],[Reporting date]])-INT(Table1[[#This Row],[Loss date]])</f>
        <v>659</v>
      </c>
      <c r="X1257" s="17">
        <f>INT((YEAR(Table1[[#This Row],[Loss date]])*12+MONTH(Table1[[#This Row],[Loss date]])-Earliest_Month)/4)</f>
        <v>12</v>
      </c>
      <c r="Y1257" s="17">
        <f>INT((YEAR(Table1[[#This Row],[Reporting date]])*12+MONTH(Table1[[#This Row],[Reporting date]])-Earliest_Month)/4)</f>
        <v>17</v>
      </c>
      <c r="Z1257" s="17">
        <f>Table1[[#This Row],[Reporting third]]-Table1[[#This Row],[Policy third]]</f>
        <v>5</v>
      </c>
      <c r="AA1257" s="71">
        <f>IF(Table1[[#This Row],[Overall amount]]=0,"N/A",Table1[[#This Row],[Outstanding]]/Table1[[#This Row],[Overall amount]])</f>
        <v>0</v>
      </c>
      <c r="AB1257" s="17">
        <f>IF(MONTH(Table1[[#This Row],[Loss date]])&lt;Pol_Inc_Month_Shifted,YEAR(Table1[[#This Row],[Loss date]])-1,YEAR(Table1[[#This Row],[Loss date]]))</f>
        <v>2008</v>
      </c>
      <c r="AC1257" s="17">
        <f>IF(MONTH(Table1[[#This Row],[Reporting date]])&lt;Pol_Inc_Month_Shifted,YEAR(Table1[[#This Row],[Reporting date]])-1,YEAR(Table1[[#This Row],[Reporting date]]))</f>
        <v>2010</v>
      </c>
      <c r="AD1257" s="17">
        <f>Table1[[#This Row],[Reporting year (shifted)]]-Table1[[#This Row],[Policy Year (shifted)]]</f>
        <v>2</v>
      </c>
    </row>
    <row r="1258" spans="1:30" ht="13.9">
      <c r="A1258" s="8" t="s">
        <v>3028</v>
      </c>
      <c r="B1258" s="8" t="s">
        <v>1310</v>
      </c>
      <c r="C1258" s="8" t="s">
        <v>123</v>
      </c>
      <c r="D1258" s="9">
        <v>39452</v>
      </c>
      <c r="E1258" s="9">
        <v>40587</v>
      </c>
      <c r="F1258" s="17">
        <f>IF(MONTH(Table1[[#This Row],[Loss date]])&lt;Policy_Inception_Month,YEAR(Table1[[#This Row],[Loss date]])-1,YEAR(Table1[[#This Row],[Loss date]]))</f>
        <v>2007</v>
      </c>
      <c r="G1258" s="10" t="s">
        <v>125</v>
      </c>
      <c r="H1258" s="10" t="s">
        <v>2</v>
      </c>
      <c r="I1258" s="11">
        <v>2181.6664101879269</v>
      </c>
      <c r="J1258" s="11">
        <v>0</v>
      </c>
      <c r="K1258" s="11">
        <v>2181.6664101879269</v>
      </c>
      <c r="L1258" s="12">
        <v>123.40347058045417</v>
      </c>
      <c r="M1258" s="12">
        <v>0</v>
      </c>
      <c r="N1258" s="12">
        <v>2305.0698807683812</v>
      </c>
      <c r="O1258" s="70">
        <f>IF(Table1[[#This Row],[Overall amount]]=0,0,1)</f>
        <v>1</v>
      </c>
      <c r="P1258" s="70">
        <f>Table1[[#This Row],[Overall amount]]*Exchange_Rate</f>
        <v>2305.0698807683812</v>
      </c>
      <c r="Q1258" s="70">
        <f>Table1[[#This Row],[Overall (destination currency)]]*(1+Claims_Inflation)^((Revalue_at_date-Table1[[#This Row],[Loss date]])/365.25)</f>
        <v>3362.2439999999997</v>
      </c>
      <c r="R1258" s="70">
        <f>INT(Table1[[#This Row],[Reporting date]])-INT(Table1[[#This Row],[Loss date]])</f>
        <v>1135</v>
      </c>
      <c r="S1258" s="69" t="s">
        <v>9</v>
      </c>
      <c r="T1258" s="70">
        <f>VLOOKUP(Table1[[#This Row],[Policy Year]],exposure_table,3,FALSE)</f>
        <v>547.7736362475523</v>
      </c>
      <c r="U1258" s="17">
        <f>IF(MONTH(Table1[[#This Row],[Reporting date]])&lt;Policy_Inception_Month,YEAR(Table1[[#This Row],[Reporting date]])-1,YEAR(Table1[[#This Row],[Reporting date]]))</f>
        <v>2010</v>
      </c>
      <c r="V1258" s="17">
        <f>Table1[[#This Row],[Reporting year]]-Table1[[#This Row],[Policy Year]]</f>
        <v>3</v>
      </c>
      <c r="W1258" s="17">
        <f>INT(Table1[[#This Row],[Reporting date]])-INT(Table1[[#This Row],[Loss date]])</f>
        <v>1135</v>
      </c>
      <c r="X1258" s="17">
        <f>INT((YEAR(Table1[[#This Row],[Loss date]])*12+MONTH(Table1[[#This Row],[Loss date]])-Earliest_Month)/4)</f>
        <v>8</v>
      </c>
      <c r="Y1258" s="17">
        <f>INT((YEAR(Table1[[#This Row],[Reporting date]])*12+MONTH(Table1[[#This Row],[Reporting date]])-Earliest_Month)/4)</f>
        <v>17</v>
      </c>
      <c r="Z1258" s="17">
        <f>Table1[[#This Row],[Reporting third]]-Table1[[#This Row],[Policy third]]</f>
        <v>9</v>
      </c>
      <c r="AA1258" s="71">
        <f>IF(Table1[[#This Row],[Overall amount]]=0,"N/A",Table1[[#This Row],[Outstanding]]/Table1[[#This Row],[Overall amount]])</f>
        <v>0</v>
      </c>
      <c r="AB1258" s="17">
        <f>IF(MONTH(Table1[[#This Row],[Loss date]])&lt;Pol_Inc_Month_Shifted,YEAR(Table1[[#This Row],[Loss date]])-1,YEAR(Table1[[#This Row],[Loss date]]))</f>
        <v>2007</v>
      </c>
      <c r="AC1258" s="17">
        <f>IF(MONTH(Table1[[#This Row],[Reporting date]])&lt;Pol_Inc_Month_Shifted,YEAR(Table1[[#This Row],[Reporting date]])-1,YEAR(Table1[[#This Row],[Reporting date]]))</f>
        <v>2010</v>
      </c>
      <c r="AD1258" s="17">
        <f>Table1[[#This Row],[Reporting year (shifted)]]-Table1[[#This Row],[Policy Year (shifted)]]</f>
        <v>3</v>
      </c>
    </row>
    <row r="1259" spans="1:30" ht="13.9">
      <c r="A1259" s="8" t="s">
        <v>3029</v>
      </c>
      <c r="B1259" s="8" t="s">
        <v>1311</v>
      </c>
      <c r="C1259" s="8" t="s">
        <v>123</v>
      </c>
      <c r="D1259" s="9">
        <v>39257</v>
      </c>
      <c r="E1259" s="9">
        <v>39279</v>
      </c>
      <c r="F1259" s="17">
        <f>IF(MONTH(Table1[[#This Row],[Loss date]])&lt;Policy_Inception_Month,YEAR(Table1[[#This Row],[Loss date]])-1,YEAR(Table1[[#This Row],[Loss date]]))</f>
        <v>2007</v>
      </c>
      <c r="G1259" s="10" t="s">
        <v>126</v>
      </c>
      <c r="H1259" s="10" t="s">
        <v>2</v>
      </c>
      <c r="I1259" s="11">
        <v>783.5023777331794</v>
      </c>
      <c r="J1259" s="11">
        <v>0</v>
      </c>
      <c r="K1259" s="11">
        <v>783.5023777331794</v>
      </c>
      <c r="L1259" s="12">
        <v>0</v>
      </c>
      <c r="M1259" s="12">
        <v>0</v>
      </c>
      <c r="N1259" s="12">
        <v>783.5023777331794</v>
      </c>
      <c r="O1259" s="70">
        <f>IF(Table1[[#This Row],[Overall amount]]=0,0,1)</f>
        <v>1</v>
      </c>
      <c r="P1259" s="70">
        <f>Table1[[#This Row],[Overall amount]]*Exchange_Rate</f>
        <v>783.5023777331794</v>
      </c>
      <c r="Q1259" s="70">
        <f>Table1[[#This Row],[Overall (destination currency)]]*(1+Claims_Inflation)^((Revalue_at_date-Table1[[#This Row],[Loss date]])/365.25)</f>
        <v>1173</v>
      </c>
      <c r="R1259" s="70">
        <f>INT(Table1[[#This Row],[Reporting date]])-INT(Table1[[#This Row],[Loss date]])</f>
        <v>22</v>
      </c>
      <c r="S1259" s="69" t="s">
        <v>9</v>
      </c>
      <c r="T1259" s="70">
        <f>VLOOKUP(Table1[[#This Row],[Policy Year]],exposure_table,3,FALSE)</f>
        <v>547.7736362475523</v>
      </c>
      <c r="U1259" s="17">
        <f>IF(MONTH(Table1[[#This Row],[Reporting date]])&lt;Policy_Inception_Month,YEAR(Table1[[#This Row],[Reporting date]])-1,YEAR(Table1[[#This Row],[Reporting date]]))</f>
        <v>2007</v>
      </c>
      <c r="V1259" s="17">
        <f>Table1[[#This Row],[Reporting year]]-Table1[[#This Row],[Policy Year]]</f>
        <v>0</v>
      </c>
      <c r="W1259" s="17">
        <f>INT(Table1[[#This Row],[Reporting date]])-INT(Table1[[#This Row],[Loss date]])</f>
        <v>22</v>
      </c>
      <c r="X1259" s="17">
        <f>INT((YEAR(Table1[[#This Row],[Loss date]])*12+MONTH(Table1[[#This Row],[Loss date]])-Earliest_Month)/4)</f>
        <v>6</v>
      </c>
      <c r="Y1259" s="17">
        <f>INT((YEAR(Table1[[#This Row],[Reporting date]])*12+MONTH(Table1[[#This Row],[Reporting date]])-Earliest_Month)/4)</f>
        <v>6</v>
      </c>
      <c r="Z1259" s="17">
        <f>Table1[[#This Row],[Reporting third]]-Table1[[#This Row],[Policy third]]</f>
        <v>0</v>
      </c>
      <c r="AA1259" s="71">
        <f>IF(Table1[[#This Row],[Overall amount]]=0,"N/A",Table1[[#This Row],[Outstanding]]/Table1[[#This Row],[Overall amount]])</f>
        <v>0</v>
      </c>
      <c r="AB1259" s="17">
        <f>IF(MONTH(Table1[[#This Row],[Loss date]])&lt;Pol_Inc_Month_Shifted,YEAR(Table1[[#This Row],[Loss date]])-1,YEAR(Table1[[#This Row],[Loss date]]))</f>
        <v>2006</v>
      </c>
      <c r="AC1259" s="17">
        <f>IF(MONTH(Table1[[#This Row],[Reporting date]])&lt;Pol_Inc_Month_Shifted,YEAR(Table1[[#This Row],[Reporting date]])-1,YEAR(Table1[[#This Row],[Reporting date]]))</f>
        <v>2006</v>
      </c>
      <c r="AD1259" s="17">
        <f>Table1[[#This Row],[Reporting year (shifted)]]-Table1[[#This Row],[Policy Year (shifted)]]</f>
        <v>0</v>
      </c>
    </row>
    <row r="1260" spans="1:30" ht="13.9">
      <c r="A1260" s="8" t="s">
        <v>3030</v>
      </c>
      <c r="B1260" s="8" t="s">
        <v>1312</v>
      </c>
      <c r="C1260" s="8" t="s">
        <v>118</v>
      </c>
      <c r="D1260" s="9">
        <v>39295</v>
      </c>
      <c r="E1260" s="9">
        <v>39296</v>
      </c>
      <c r="F1260" s="17">
        <f>IF(MONTH(Table1[[#This Row],[Loss date]])&lt;Policy_Inception_Month,YEAR(Table1[[#This Row],[Loss date]])-1,YEAR(Table1[[#This Row],[Loss date]]))</f>
        <v>2007</v>
      </c>
      <c r="G1260" s="10" t="s">
        <v>129</v>
      </c>
      <c r="H1260" s="10" t="s">
        <v>2</v>
      </c>
      <c r="I1260" s="11">
        <v>1787.194519272314</v>
      </c>
      <c r="J1260" s="11">
        <v>0</v>
      </c>
      <c r="K1260" s="11">
        <v>1787.194519272314</v>
      </c>
      <c r="L1260" s="12">
        <v>0</v>
      </c>
      <c r="M1260" s="12">
        <v>0</v>
      </c>
      <c r="N1260" s="12">
        <v>1787.194519272314</v>
      </c>
      <c r="O1260" s="70">
        <f>IF(Table1[[#This Row],[Overall amount]]=0,0,1)</f>
        <v>1</v>
      </c>
      <c r="P1260" s="70">
        <f>Table1[[#This Row],[Overall amount]]*Exchange_Rate</f>
        <v>1787.194519272314</v>
      </c>
      <c r="Q1260" s="70">
        <f>Table1[[#This Row],[Overall (destination currency)]]*(1+Claims_Inflation)^((Revalue_at_date-Table1[[#This Row],[Loss date]])/365.25)</f>
        <v>2662.1039999999998</v>
      </c>
      <c r="R1260" s="70">
        <f>INT(Table1[[#This Row],[Reporting date]])-INT(Table1[[#This Row],[Loss date]])</f>
        <v>1</v>
      </c>
      <c r="S1260" s="69" t="s">
        <v>9</v>
      </c>
      <c r="T1260" s="70">
        <f>VLOOKUP(Table1[[#This Row],[Policy Year]],exposure_table,3,FALSE)</f>
        <v>547.7736362475523</v>
      </c>
      <c r="U1260" s="17">
        <f>IF(MONTH(Table1[[#This Row],[Reporting date]])&lt;Policy_Inception_Month,YEAR(Table1[[#This Row],[Reporting date]])-1,YEAR(Table1[[#This Row],[Reporting date]]))</f>
        <v>2007</v>
      </c>
      <c r="V1260" s="17">
        <f>Table1[[#This Row],[Reporting year]]-Table1[[#This Row],[Policy Year]]</f>
        <v>0</v>
      </c>
      <c r="W1260" s="17">
        <f>INT(Table1[[#This Row],[Reporting date]])-INT(Table1[[#This Row],[Loss date]])</f>
        <v>1</v>
      </c>
      <c r="X1260" s="17">
        <f>INT((YEAR(Table1[[#This Row],[Loss date]])*12+MONTH(Table1[[#This Row],[Loss date]])-Earliest_Month)/4)</f>
        <v>7</v>
      </c>
      <c r="Y1260" s="17">
        <f>INT((YEAR(Table1[[#This Row],[Reporting date]])*12+MONTH(Table1[[#This Row],[Reporting date]])-Earliest_Month)/4)</f>
        <v>7</v>
      </c>
      <c r="Z1260" s="17">
        <f>Table1[[#This Row],[Reporting third]]-Table1[[#This Row],[Policy third]]</f>
        <v>0</v>
      </c>
      <c r="AA1260" s="71">
        <f>IF(Table1[[#This Row],[Overall amount]]=0,"N/A",Table1[[#This Row],[Outstanding]]/Table1[[#This Row],[Overall amount]])</f>
        <v>0</v>
      </c>
      <c r="AB1260" s="17">
        <f>IF(MONTH(Table1[[#This Row],[Loss date]])&lt;Pol_Inc_Month_Shifted,YEAR(Table1[[#This Row],[Loss date]])-1,YEAR(Table1[[#This Row],[Loss date]]))</f>
        <v>2006</v>
      </c>
      <c r="AC1260" s="17">
        <f>IF(MONTH(Table1[[#This Row],[Reporting date]])&lt;Pol_Inc_Month_Shifted,YEAR(Table1[[#This Row],[Reporting date]])-1,YEAR(Table1[[#This Row],[Reporting date]]))</f>
        <v>2006</v>
      </c>
      <c r="AD1260" s="17">
        <f>Table1[[#This Row],[Reporting year (shifted)]]-Table1[[#This Row],[Policy Year (shifted)]]</f>
        <v>0</v>
      </c>
    </row>
    <row r="1261" spans="1:30" ht="13.9">
      <c r="A1261" s="8" t="s">
        <v>3031</v>
      </c>
      <c r="B1261" s="8" t="s">
        <v>1313</v>
      </c>
      <c r="C1261" s="8" t="s">
        <v>118</v>
      </c>
      <c r="D1261" s="9">
        <v>39746</v>
      </c>
      <c r="E1261" s="9">
        <v>39749</v>
      </c>
      <c r="F1261" s="17">
        <f>IF(MONTH(Table1[[#This Row],[Loss date]])&lt;Policy_Inception_Month,YEAR(Table1[[#This Row],[Loss date]])-1,YEAR(Table1[[#This Row],[Loss date]]))</f>
        <v>2008</v>
      </c>
      <c r="G1261" s="10" t="s">
        <v>126</v>
      </c>
      <c r="H1261" s="10" t="s">
        <v>2</v>
      </c>
      <c r="I1261" s="11">
        <v>12744.707165549753</v>
      </c>
      <c r="J1261" s="11">
        <v>0</v>
      </c>
      <c r="K1261" s="11">
        <v>12744.707165549753</v>
      </c>
      <c r="L1261" s="12">
        <v>0</v>
      </c>
      <c r="M1261" s="12">
        <v>0</v>
      </c>
      <c r="N1261" s="12">
        <v>12744.707165549753</v>
      </c>
      <c r="O1261" s="70">
        <f>IF(Table1[[#This Row],[Overall amount]]=0,0,1)</f>
        <v>1</v>
      </c>
      <c r="P1261" s="70">
        <f>Table1[[#This Row],[Overall amount]]*Exchange_Rate</f>
        <v>12744.707165549753</v>
      </c>
      <c r="Q1261" s="70">
        <f>Table1[[#This Row],[Overall (destination currency)]]*(1+Claims_Inflation)^((Revalue_at_date-Table1[[#This Row],[Loss date]])/365.25)</f>
        <v>17873.892</v>
      </c>
      <c r="R1261" s="70">
        <f>INT(Table1[[#This Row],[Reporting date]])-INT(Table1[[#This Row],[Loss date]])</f>
        <v>3</v>
      </c>
      <c r="S1261" s="69" t="s">
        <v>9</v>
      </c>
      <c r="T1261" s="70">
        <f>VLOOKUP(Table1[[#This Row],[Policy Year]],exposure_table,3,FALSE)</f>
        <v>601.98581780480015</v>
      </c>
      <c r="U1261" s="17">
        <f>IF(MONTH(Table1[[#This Row],[Reporting date]])&lt;Policy_Inception_Month,YEAR(Table1[[#This Row],[Reporting date]])-1,YEAR(Table1[[#This Row],[Reporting date]]))</f>
        <v>2008</v>
      </c>
      <c r="V1261" s="17">
        <f>Table1[[#This Row],[Reporting year]]-Table1[[#This Row],[Policy Year]]</f>
        <v>0</v>
      </c>
      <c r="W1261" s="17">
        <f>INT(Table1[[#This Row],[Reporting date]])-INT(Table1[[#This Row],[Loss date]])</f>
        <v>3</v>
      </c>
      <c r="X1261" s="17">
        <f>INT((YEAR(Table1[[#This Row],[Loss date]])*12+MONTH(Table1[[#This Row],[Loss date]])-Earliest_Month)/4)</f>
        <v>10</v>
      </c>
      <c r="Y1261" s="17">
        <f>INT((YEAR(Table1[[#This Row],[Reporting date]])*12+MONTH(Table1[[#This Row],[Reporting date]])-Earliest_Month)/4)</f>
        <v>10</v>
      </c>
      <c r="Z1261" s="17">
        <f>Table1[[#This Row],[Reporting third]]-Table1[[#This Row],[Policy third]]</f>
        <v>0</v>
      </c>
      <c r="AA1261" s="71">
        <f>IF(Table1[[#This Row],[Overall amount]]=0,"N/A",Table1[[#This Row],[Outstanding]]/Table1[[#This Row],[Overall amount]])</f>
        <v>0</v>
      </c>
      <c r="AB1261" s="17">
        <f>IF(MONTH(Table1[[#This Row],[Loss date]])&lt;Pol_Inc_Month_Shifted,YEAR(Table1[[#This Row],[Loss date]])-1,YEAR(Table1[[#This Row],[Loss date]]))</f>
        <v>2007</v>
      </c>
      <c r="AC1261" s="17">
        <f>IF(MONTH(Table1[[#This Row],[Reporting date]])&lt;Pol_Inc_Month_Shifted,YEAR(Table1[[#This Row],[Reporting date]])-1,YEAR(Table1[[#This Row],[Reporting date]]))</f>
        <v>2007</v>
      </c>
      <c r="AD1261" s="17">
        <f>Table1[[#This Row],[Reporting year (shifted)]]-Table1[[#This Row],[Policy Year (shifted)]]</f>
        <v>0</v>
      </c>
    </row>
    <row r="1262" spans="1:30" ht="13.9">
      <c r="A1262" s="8" t="s">
        <v>3032</v>
      </c>
      <c r="B1262" s="8" t="s">
        <v>1314</v>
      </c>
      <c r="C1262" s="8" t="s">
        <v>118</v>
      </c>
      <c r="D1262" s="9">
        <v>39997</v>
      </c>
      <c r="E1262" s="9">
        <v>40000</v>
      </c>
      <c r="F1262" s="17">
        <f>IF(MONTH(Table1[[#This Row],[Loss date]])&lt;Policy_Inception_Month,YEAR(Table1[[#This Row],[Loss date]])-1,YEAR(Table1[[#This Row],[Loss date]]))</f>
        <v>2009</v>
      </c>
      <c r="G1262" s="10" t="s">
        <v>131</v>
      </c>
      <c r="H1262" s="10" t="s">
        <v>2</v>
      </c>
      <c r="I1262" s="11">
        <v>295.08634551806892</v>
      </c>
      <c r="J1262" s="11">
        <v>0</v>
      </c>
      <c r="K1262" s="11">
        <v>295.08634551806892</v>
      </c>
      <c r="L1262" s="12">
        <v>0</v>
      </c>
      <c r="M1262" s="12">
        <v>0</v>
      </c>
      <c r="N1262" s="12">
        <v>295.08634551806892</v>
      </c>
      <c r="O1262" s="70">
        <f>IF(Table1[[#This Row],[Overall amount]]=0,0,1)</f>
        <v>1</v>
      </c>
      <c r="P1262" s="70">
        <f>Table1[[#This Row],[Overall amount]]*Exchange_Rate</f>
        <v>295.08634551806892</v>
      </c>
      <c r="Q1262" s="70">
        <f>Table1[[#This Row],[Overall (destination currency)]]*(1+Claims_Inflation)^((Revalue_at_date-Table1[[#This Row],[Loss date]])/365.25)</f>
        <v>400.2</v>
      </c>
      <c r="R1262" s="70">
        <f>INT(Table1[[#This Row],[Reporting date]])-INT(Table1[[#This Row],[Loss date]])</f>
        <v>3</v>
      </c>
      <c r="S1262" s="69" t="s">
        <v>9</v>
      </c>
      <c r="T1262" s="70">
        <f>VLOOKUP(Table1[[#This Row],[Policy Year]],exposure_table,3,FALSE)</f>
        <v>760.22808576000011</v>
      </c>
      <c r="U1262" s="17">
        <f>IF(MONTH(Table1[[#This Row],[Reporting date]])&lt;Policy_Inception_Month,YEAR(Table1[[#This Row],[Reporting date]])-1,YEAR(Table1[[#This Row],[Reporting date]]))</f>
        <v>2009</v>
      </c>
      <c r="V1262" s="17">
        <f>Table1[[#This Row],[Reporting year]]-Table1[[#This Row],[Policy Year]]</f>
        <v>0</v>
      </c>
      <c r="W1262" s="17">
        <f>INT(Table1[[#This Row],[Reporting date]])-INT(Table1[[#This Row],[Loss date]])</f>
        <v>3</v>
      </c>
      <c r="X1262" s="17">
        <f>INT((YEAR(Table1[[#This Row],[Loss date]])*12+MONTH(Table1[[#This Row],[Loss date]])-Earliest_Month)/4)</f>
        <v>12</v>
      </c>
      <c r="Y1262" s="17">
        <f>INT((YEAR(Table1[[#This Row],[Reporting date]])*12+MONTH(Table1[[#This Row],[Reporting date]])-Earliest_Month)/4)</f>
        <v>12</v>
      </c>
      <c r="Z1262" s="17">
        <f>Table1[[#This Row],[Reporting third]]-Table1[[#This Row],[Policy third]]</f>
        <v>0</v>
      </c>
      <c r="AA1262" s="71">
        <f>IF(Table1[[#This Row],[Overall amount]]=0,"N/A",Table1[[#This Row],[Outstanding]]/Table1[[#This Row],[Overall amount]])</f>
        <v>0</v>
      </c>
      <c r="AB1262" s="17">
        <f>IF(MONTH(Table1[[#This Row],[Loss date]])&lt;Pol_Inc_Month_Shifted,YEAR(Table1[[#This Row],[Loss date]])-1,YEAR(Table1[[#This Row],[Loss date]]))</f>
        <v>2008</v>
      </c>
      <c r="AC1262" s="17">
        <f>IF(MONTH(Table1[[#This Row],[Reporting date]])&lt;Pol_Inc_Month_Shifted,YEAR(Table1[[#This Row],[Reporting date]])-1,YEAR(Table1[[#This Row],[Reporting date]]))</f>
        <v>2008</v>
      </c>
      <c r="AD1262" s="17">
        <f>Table1[[#This Row],[Reporting year (shifted)]]-Table1[[#This Row],[Policy Year (shifted)]]</f>
        <v>0</v>
      </c>
    </row>
    <row r="1263" spans="1:30" ht="13.9">
      <c r="A1263" s="8" t="s">
        <v>3033</v>
      </c>
      <c r="B1263" s="8" t="s">
        <v>1315</v>
      </c>
      <c r="C1263" s="8" t="s">
        <v>118</v>
      </c>
      <c r="D1263" s="9">
        <v>38454</v>
      </c>
      <c r="E1263" s="9">
        <v>38466</v>
      </c>
      <c r="F1263" s="17">
        <f>IF(MONTH(Table1[[#This Row],[Loss date]])&lt;Policy_Inception_Month,YEAR(Table1[[#This Row],[Loss date]])-1,YEAR(Table1[[#This Row],[Loss date]]))</f>
        <v>2005</v>
      </c>
      <c r="G1263" s="10" t="s">
        <v>124</v>
      </c>
      <c r="H1263" s="10" t="s">
        <v>2</v>
      </c>
      <c r="I1263" s="11">
        <v>173.42899787647636</v>
      </c>
      <c r="J1263" s="11">
        <v>0</v>
      </c>
      <c r="K1263" s="11">
        <v>173.42899787647636</v>
      </c>
      <c r="L1263" s="12">
        <v>0</v>
      </c>
      <c r="M1263" s="12">
        <v>0</v>
      </c>
      <c r="N1263" s="12">
        <v>173.42899787647636</v>
      </c>
      <c r="O1263" s="70">
        <f>IF(Table1[[#This Row],[Overall amount]]=0,0,1)</f>
        <v>1</v>
      </c>
      <c r="P1263" s="70">
        <f>Table1[[#This Row],[Overall amount]]*Exchange_Rate</f>
        <v>173.42899787647636</v>
      </c>
      <c r="Q1263" s="70">
        <f>Table1[[#This Row],[Overall (destination currency)]]*(1+Claims_Inflation)^((Revalue_at_date-Table1[[#This Row],[Loss date]])/365.25)</f>
        <v>289.04399999999998</v>
      </c>
      <c r="R1263" s="70">
        <f>INT(Table1[[#This Row],[Reporting date]])-INT(Table1[[#This Row],[Loss date]])</f>
        <v>12</v>
      </c>
      <c r="S1263" s="69" t="s">
        <v>9</v>
      </c>
      <c r="T1263" s="70">
        <f>VLOOKUP(Table1[[#This Row],[Policy Year]],exposure_table,3,FALSE)</f>
        <v>409.50481038040112</v>
      </c>
      <c r="U1263" s="17">
        <f>IF(MONTH(Table1[[#This Row],[Reporting date]])&lt;Policy_Inception_Month,YEAR(Table1[[#This Row],[Reporting date]])-1,YEAR(Table1[[#This Row],[Reporting date]]))</f>
        <v>2005</v>
      </c>
      <c r="V1263" s="17">
        <f>Table1[[#This Row],[Reporting year]]-Table1[[#This Row],[Policy Year]]</f>
        <v>0</v>
      </c>
      <c r="W1263" s="17">
        <f>INT(Table1[[#This Row],[Reporting date]])-INT(Table1[[#This Row],[Loss date]])</f>
        <v>12</v>
      </c>
      <c r="X1263" s="17">
        <f>INT((YEAR(Table1[[#This Row],[Loss date]])*12+MONTH(Table1[[#This Row],[Loss date]])-Earliest_Month)/4)</f>
        <v>0</v>
      </c>
      <c r="Y1263" s="17">
        <f>INT((YEAR(Table1[[#This Row],[Reporting date]])*12+MONTH(Table1[[#This Row],[Reporting date]])-Earliest_Month)/4)</f>
        <v>0</v>
      </c>
      <c r="Z1263" s="17">
        <f>Table1[[#This Row],[Reporting third]]-Table1[[#This Row],[Policy third]]</f>
        <v>0</v>
      </c>
      <c r="AA1263" s="71">
        <f>IF(Table1[[#This Row],[Overall amount]]=0,"N/A",Table1[[#This Row],[Outstanding]]/Table1[[#This Row],[Overall amount]])</f>
        <v>0</v>
      </c>
      <c r="AB1263" s="17">
        <f>IF(MONTH(Table1[[#This Row],[Loss date]])&lt;Pol_Inc_Month_Shifted,YEAR(Table1[[#This Row],[Loss date]])-1,YEAR(Table1[[#This Row],[Loss date]]))</f>
        <v>2004</v>
      </c>
      <c r="AC1263" s="17">
        <f>IF(MONTH(Table1[[#This Row],[Reporting date]])&lt;Pol_Inc_Month_Shifted,YEAR(Table1[[#This Row],[Reporting date]])-1,YEAR(Table1[[#This Row],[Reporting date]]))</f>
        <v>2004</v>
      </c>
      <c r="AD1263" s="17">
        <f>Table1[[#This Row],[Reporting year (shifted)]]-Table1[[#This Row],[Policy Year (shifted)]]</f>
        <v>0</v>
      </c>
    </row>
    <row r="1264" spans="1:30" ht="13.9">
      <c r="A1264" s="8" t="s">
        <v>3034</v>
      </c>
      <c r="B1264" s="8" t="s">
        <v>1316</v>
      </c>
      <c r="C1264" s="8" t="s">
        <v>118</v>
      </c>
      <c r="D1264" s="9">
        <v>40313</v>
      </c>
      <c r="E1264" s="9">
        <v>40316</v>
      </c>
      <c r="F1264" s="17">
        <f>IF(MONTH(Table1[[#This Row],[Loss date]])&lt;Policy_Inception_Month,YEAR(Table1[[#This Row],[Loss date]])-1,YEAR(Table1[[#This Row],[Loss date]]))</f>
        <v>2010</v>
      </c>
      <c r="G1264" s="10" t="s">
        <v>144</v>
      </c>
      <c r="H1264" s="10" t="s">
        <v>2</v>
      </c>
      <c r="I1264" s="11">
        <v>106871.53139787269</v>
      </c>
      <c r="J1264" s="11">
        <v>0</v>
      </c>
      <c r="K1264" s="11">
        <v>106871.53139787269</v>
      </c>
      <c r="L1264" s="12">
        <v>0</v>
      </c>
      <c r="M1264" s="12">
        <v>0</v>
      </c>
      <c r="N1264" s="12">
        <v>106871.53139787269</v>
      </c>
      <c r="O1264" s="70">
        <f>IF(Table1[[#This Row],[Overall amount]]=0,0,1)</f>
        <v>1</v>
      </c>
      <c r="P1264" s="70">
        <f>Table1[[#This Row],[Overall amount]]*Exchange_Rate</f>
        <v>106871.53139787269</v>
      </c>
      <c r="Q1264" s="70">
        <f>Table1[[#This Row],[Overall (destination currency)]]*(1+Claims_Inflation)^((Revalue_at_date-Table1[[#This Row],[Loss date]])/365.25)</f>
        <v>138949.77599999998</v>
      </c>
      <c r="R1264" s="70">
        <f>INT(Table1[[#This Row],[Reporting date]])-INT(Table1[[#This Row],[Loss date]])</f>
        <v>3</v>
      </c>
      <c r="S1264" s="69" t="s">
        <v>9</v>
      </c>
      <c r="T1264" s="70">
        <f>VLOOKUP(Table1[[#This Row],[Policy Year]],exposure_table,3,FALSE)</f>
        <v>837.11513600000012</v>
      </c>
      <c r="U1264" s="17">
        <f>IF(MONTH(Table1[[#This Row],[Reporting date]])&lt;Policy_Inception_Month,YEAR(Table1[[#This Row],[Reporting date]])-1,YEAR(Table1[[#This Row],[Reporting date]]))</f>
        <v>2010</v>
      </c>
      <c r="V1264" s="17">
        <f>Table1[[#This Row],[Reporting year]]-Table1[[#This Row],[Policy Year]]</f>
        <v>0</v>
      </c>
      <c r="W1264" s="17">
        <f>INT(Table1[[#This Row],[Reporting date]])-INT(Table1[[#This Row],[Loss date]])</f>
        <v>3</v>
      </c>
      <c r="X1264" s="17">
        <f>INT((YEAR(Table1[[#This Row],[Loss date]])*12+MONTH(Table1[[#This Row],[Loss date]])-Earliest_Month)/4)</f>
        <v>15</v>
      </c>
      <c r="Y1264" s="17">
        <f>INT((YEAR(Table1[[#This Row],[Reporting date]])*12+MONTH(Table1[[#This Row],[Reporting date]])-Earliest_Month)/4)</f>
        <v>15</v>
      </c>
      <c r="Z1264" s="17">
        <f>Table1[[#This Row],[Reporting third]]-Table1[[#This Row],[Policy third]]</f>
        <v>0</v>
      </c>
      <c r="AA1264" s="71">
        <f>IF(Table1[[#This Row],[Overall amount]]=0,"N/A",Table1[[#This Row],[Outstanding]]/Table1[[#This Row],[Overall amount]])</f>
        <v>0</v>
      </c>
      <c r="AB1264" s="17">
        <f>IF(MONTH(Table1[[#This Row],[Loss date]])&lt;Pol_Inc_Month_Shifted,YEAR(Table1[[#This Row],[Loss date]])-1,YEAR(Table1[[#This Row],[Loss date]]))</f>
        <v>2009</v>
      </c>
      <c r="AC1264" s="17">
        <f>IF(MONTH(Table1[[#This Row],[Reporting date]])&lt;Pol_Inc_Month_Shifted,YEAR(Table1[[#This Row],[Reporting date]])-1,YEAR(Table1[[#This Row],[Reporting date]]))</f>
        <v>2009</v>
      </c>
      <c r="AD1264" s="17">
        <f>Table1[[#This Row],[Reporting year (shifted)]]-Table1[[#This Row],[Policy Year (shifted)]]</f>
        <v>0</v>
      </c>
    </row>
    <row r="1265" spans="1:30" ht="13.9">
      <c r="A1265" s="8" t="s">
        <v>3035</v>
      </c>
      <c r="B1265" s="8" t="s">
        <v>1317</v>
      </c>
      <c r="C1265" s="8" t="s">
        <v>118</v>
      </c>
      <c r="D1265" s="9">
        <v>38783</v>
      </c>
      <c r="E1265" s="9">
        <v>38783</v>
      </c>
      <c r="F1265" s="17">
        <f>IF(MONTH(Table1[[#This Row],[Loss date]])&lt;Policy_Inception_Month,YEAR(Table1[[#This Row],[Loss date]])-1,YEAR(Table1[[#This Row],[Loss date]]))</f>
        <v>2005</v>
      </c>
      <c r="G1265" s="10" t="s">
        <v>126</v>
      </c>
      <c r="H1265" s="10" t="s">
        <v>2</v>
      </c>
      <c r="I1265" s="11">
        <v>724.89823738885684</v>
      </c>
      <c r="J1265" s="11">
        <v>0</v>
      </c>
      <c r="K1265" s="11">
        <v>724.89823738885684</v>
      </c>
      <c r="L1265" s="12">
        <v>0</v>
      </c>
      <c r="M1265" s="12">
        <v>0</v>
      </c>
      <c r="N1265" s="12">
        <v>724.89823738885684</v>
      </c>
      <c r="O1265" s="70">
        <f>IF(Table1[[#This Row],[Overall amount]]=0,0,1)</f>
        <v>1</v>
      </c>
      <c r="P1265" s="70">
        <f>Table1[[#This Row],[Overall amount]]*Exchange_Rate</f>
        <v>724.89823738885684</v>
      </c>
      <c r="Q1265" s="70">
        <f>Table1[[#This Row],[Overall (destination currency)]]*(1+Claims_Inflation)^((Revalue_at_date-Table1[[#This Row],[Loss date]])/365.25)</f>
        <v>1156.2</v>
      </c>
      <c r="R1265" s="70">
        <f>INT(Table1[[#This Row],[Reporting date]])-INT(Table1[[#This Row],[Loss date]])</f>
        <v>0</v>
      </c>
      <c r="S1265" s="69" t="s">
        <v>9</v>
      </c>
      <c r="T1265" s="70">
        <f>VLOOKUP(Table1[[#This Row],[Policy Year]],exposure_table,3,FALSE)</f>
        <v>409.50481038040112</v>
      </c>
      <c r="U1265" s="17">
        <f>IF(MONTH(Table1[[#This Row],[Reporting date]])&lt;Policy_Inception_Month,YEAR(Table1[[#This Row],[Reporting date]])-1,YEAR(Table1[[#This Row],[Reporting date]]))</f>
        <v>2005</v>
      </c>
      <c r="V1265" s="17">
        <f>Table1[[#This Row],[Reporting year]]-Table1[[#This Row],[Policy Year]]</f>
        <v>0</v>
      </c>
      <c r="W1265" s="17">
        <f>INT(Table1[[#This Row],[Reporting date]])-INT(Table1[[#This Row],[Loss date]])</f>
        <v>0</v>
      </c>
      <c r="X1265" s="17">
        <f>INT((YEAR(Table1[[#This Row],[Loss date]])*12+MONTH(Table1[[#This Row],[Loss date]])-Earliest_Month)/4)</f>
        <v>2</v>
      </c>
      <c r="Y1265" s="17">
        <f>INT((YEAR(Table1[[#This Row],[Reporting date]])*12+MONTH(Table1[[#This Row],[Reporting date]])-Earliest_Month)/4)</f>
        <v>2</v>
      </c>
      <c r="Z1265" s="17">
        <f>Table1[[#This Row],[Reporting third]]-Table1[[#This Row],[Policy third]]</f>
        <v>0</v>
      </c>
      <c r="AA1265" s="71">
        <f>IF(Table1[[#This Row],[Overall amount]]=0,"N/A",Table1[[#This Row],[Outstanding]]/Table1[[#This Row],[Overall amount]])</f>
        <v>0</v>
      </c>
      <c r="AB1265" s="17">
        <f>IF(MONTH(Table1[[#This Row],[Loss date]])&lt;Pol_Inc_Month_Shifted,YEAR(Table1[[#This Row],[Loss date]])-1,YEAR(Table1[[#This Row],[Loss date]]))</f>
        <v>2005</v>
      </c>
      <c r="AC1265" s="17">
        <f>IF(MONTH(Table1[[#This Row],[Reporting date]])&lt;Pol_Inc_Month_Shifted,YEAR(Table1[[#This Row],[Reporting date]])-1,YEAR(Table1[[#This Row],[Reporting date]]))</f>
        <v>2005</v>
      </c>
      <c r="AD1265" s="17">
        <f>Table1[[#This Row],[Reporting year (shifted)]]-Table1[[#This Row],[Policy Year (shifted)]]</f>
        <v>0</v>
      </c>
    </row>
    <row r="1266" spans="1:30" ht="13.9">
      <c r="A1266" s="8" t="s">
        <v>3036</v>
      </c>
      <c r="B1266" s="8" t="s">
        <v>1318</v>
      </c>
      <c r="C1266" s="8" t="s">
        <v>118</v>
      </c>
      <c r="D1266" s="9">
        <v>39022</v>
      </c>
      <c r="E1266" s="9">
        <v>39111</v>
      </c>
      <c r="F1266" s="17">
        <f>IF(MONTH(Table1[[#This Row],[Loss date]])&lt;Policy_Inception_Month,YEAR(Table1[[#This Row],[Loss date]])-1,YEAR(Table1[[#This Row],[Loss date]]))</f>
        <v>2006</v>
      </c>
      <c r="G1266" s="10" t="s">
        <v>119</v>
      </c>
      <c r="H1266" s="10" t="s">
        <v>2</v>
      </c>
      <c r="I1266" s="11">
        <v>18075.930336101959</v>
      </c>
      <c r="J1266" s="11">
        <v>0</v>
      </c>
      <c r="K1266" s="11">
        <v>18075.930336101959</v>
      </c>
      <c r="L1266" s="12">
        <v>0</v>
      </c>
      <c r="M1266" s="12">
        <v>795.34093478848615</v>
      </c>
      <c r="N1266" s="12">
        <v>17280.589401313475</v>
      </c>
      <c r="O1266" s="70">
        <f>IF(Table1[[#This Row],[Overall amount]]=0,0,1)</f>
        <v>1</v>
      </c>
      <c r="P1266" s="70">
        <f>Table1[[#This Row],[Overall amount]]*Exchange_Rate</f>
        <v>17280.589401313475</v>
      </c>
      <c r="Q1266" s="70">
        <f>Table1[[#This Row],[Overall (destination currency)]]*(1+Claims_Inflation)^((Revalue_at_date-Table1[[#This Row],[Loss date]])/365.25)</f>
        <v>26696.192928000011</v>
      </c>
      <c r="R1266" s="70">
        <f>INT(Table1[[#This Row],[Reporting date]])-INT(Table1[[#This Row],[Loss date]])</f>
        <v>89</v>
      </c>
      <c r="S1266" s="69" t="s">
        <v>9</v>
      </c>
      <c r="T1266" s="70">
        <f>VLOOKUP(Table1[[#This Row],[Policy Year]],exposure_table,3,FALSE)</f>
        <v>483.32023209000977</v>
      </c>
      <c r="U1266" s="17">
        <f>IF(MONTH(Table1[[#This Row],[Reporting date]])&lt;Policy_Inception_Month,YEAR(Table1[[#This Row],[Reporting date]])-1,YEAR(Table1[[#This Row],[Reporting date]]))</f>
        <v>2006</v>
      </c>
      <c r="V1266" s="17">
        <f>Table1[[#This Row],[Reporting year]]-Table1[[#This Row],[Policy Year]]</f>
        <v>0</v>
      </c>
      <c r="W1266" s="17">
        <f>INT(Table1[[#This Row],[Reporting date]])-INT(Table1[[#This Row],[Loss date]])</f>
        <v>89</v>
      </c>
      <c r="X1266" s="17">
        <f>INT((YEAR(Table1[[#This Row],[Loss date]])*12+MONTH(Table1[[#This Row],[Loss date]])-Earliest_Month)/4)</f>
        <v>4</v>
      </c>
      <c r="Y1266" s="17">
        <f>INT((YEAR(Table1[[#This Row],[Reporting date]])*12+MONTH(Table1[[#This Row],[Reporting date]])-Earliest_Month)/4)</f>
        <v>5</v>
      </c>
      <c r="Z1266" s="17">
        <f>Table1[[#This Row],[Reporting third]]-Table1[[#This Row],[Policy third]]</f>
        <v>1</v>
      </c>
      <c r="AA1266" s="71">
        <f>IF(Table1[[#This Row],[Overall amount]]=0,"N/A",Table1[[#This Row],[Outstanding]]/Table1[[#This Row],[Overall amount]])</f>
        <v>0</v>
      </c>
      <c r="AB1266" s="17">
        <f>IF(MONTH(Table1[[#This Row],[Loss date]])&lt;Pol_Inc_Month_Shifted,YEAR(Table1[[#This Row],[Loss date]])-1,YEAR(Table1[[#This Row],[Loss date]]))</f>
        <v>2005</v>
      </c>
      <c r="AC1266" s="17">
        <f>IF(MONTH(Table1[[#This Row],[Reporting date]])&lt;Pol_Inc_Month_Shifted,YEAR(Table1[[#This Row],[Reporting date]])-1,YEAR(Table1[[#This Row],[Reporting date]]))</f>
        <v>2006</v>
      </c>
      <c r="AD1266" s="17">
        <f>Table1[[#This Row],[Reporting year (shifted)]]-Table1[[#This Row],[Policy Year (shifted)]]</f>
        <v>1</v>
      </c>
    </row>
    <row r="1267" spans="1:30" ht="13.9">
      <c r="A1267" s="8" t="s">
        <v>3037</v>
      </c>
      <c r="B1267" s="8" t="s">
        <v>1319</v>
      </c>
      <c r="C1267" s="8" t="s">
        <v>118</v>
      </c>
      <c r="D1267" s="9">
        <v>38976</v>
      </c>
      <c r="E1267" s="9">
        <v>39090</v>
      </c>
      <c r="F1267" s="17">
        <f>IF(MONTH(Table1[[#This Row],[Loss date]])&lt;Policy_Inception_Month,YEAR(Table1[[#This Row],[Loss date]])-1,YEAR(Table1[[#This Row],[Loss date]]))</f>
        <v>2006</v>
      </c>
      <c r="G1267" s="10" t="s">
        <v>124</v>
      </c>
      <c r="H1267" s="10" t="s">
        <v>2</v>
      </c>
      <c r="I1267" s="11">
        <v>12605.008677355901</v>
      </c>
      <c r="J1267" s="11">
        <v>0</v>
      </c>
      <c r="K1267" s="11">
        <v>12605.008677355901</v>
      </c>
      <c r="L1267" s="12">
        <v>0</v>
      </c>
      <c r="M1267" s="12">
        <v>0</v>
      </c>
      <c r="N1267" s="12">
        <v>12605.008677355901</v>
      </c>
      <c r="O1267" s="70">
        <f>IF(Table1[[#This Row],[Overall amount]]=0,0,1)</f>
        <v>1</v>
      </c>
      <c r="P1267" s="70">
        <f>Table1[[#This Row],[Overall amount]]*Exchange_Rate</f>
        <v>12605.008677355901</v>
      </c>
      <c r="Q1267" s="70">
        <f>Table1[[#This Row],[Overall (destination currency)]]*(1+Claims_Inflation)^((Revalue_at_date-Table1[[#This Row],[Loss date]])/365.25)</f>
        <v>19593.071999999996</v>
      </c>
      <c r="R1267" s="70">
        <f>INT(Table1[[#This Row],[Reporting date]])-INT(Table1[[#This Row],[Loss date]])</f>
        <v>114</v>
      </c>
      <c r="S1267" s="69" t="s">
        <v>9</v>
      </c>
      <c r="T1267" s="70">
        <f>VLOOKUP(Table1[[#This Row],[Policy Year]],exposure_table,3,FALSE)</f>
        <v>483.32023209000977</v>
      </c>
      <c r="U1267" s="17">
        <f>IF(MONTH(Table1[[#This Row],[Reporting date]])&lt;Policy_Inception_Month,YEAR(Table1[[#This Row],[Reporting date]])-1,YEAR(Table1[[#This Row],[Reporting date]]))</f>
        <v>2006</v>
      </c>
      <c r="V1267" s="17">
        <f>Table1[[#This Row],[Reporting year]]-Table1[[#This Row],[Policy Year]]</f>
        <v>0</v>
      </c>
      <c r="W1267" s="17">
        <f>INT(Table1[[#This Row],[Reporting date]])-INT(Table1[[#This Row],[Loss date]])</f>
        <v>114</v>
      </c>
      <c r="X1267" s="17">
        <f>INT((YEAR(Table1[[#This Row],[Loss date]])*12+MONTH(Table1[[#This Row],[Loss date]])-Earliest_Month)/4)</f>
        <v>4</v>
      </c>
      <c r="Y1267" s="17">
        <f>INT((YEAR(Table1[[#This Row],[Reporting date]])*12+MONTH(Table1[[#This Row],[Reporting date]])-Earliest_Month)/4)</f>
        <v>5</v>
      </c>
      <c r="Z1267" s="17">
        <f>Table1[[#This Row],[Reporting third]]-Table1[[#This Row],[Policy third]]</f>
        <v>1</v>
      </c>
      <c r="AA1267" s="71">
        <f>IF(Table1[[#This Row],[Overall amount]]=0,"N/A",Table1[[#This Row],[Outstanding]]/Table1[[#This Row],[Overall amount]])</f>
        <v>0</v>
      </c>
      <c r="AB1267" s="17">
        <f>IF(MONTH(Table1[[#This Row],[Loss date]])&lt;Pol_Inc_Month_Shifted,YEAR(Table1[[#This Row],[Loss date]])-1,YEAR(Table1[[#This Row],[Loss date]]))</f>
        <v>2005</v>
      </c>
      <c r="AC1267" s="17">
        <f>IF(MONTH(Table1[[#This Row],[Reporting date]])&lt;Pol_Inc_Month_Shifted,YEAR(Table1[[#This Row],[Reporting date]])-1,YEAR(Table1[[#This Row],[Reporting date]]))</f>
        <v>2006</v>
      </c>
      <c r="AD1267" s="17">
        <f>Table1[[#This Row],[Reporting year (shifted)]]-Table1[[#This Row],[Policy Year (shifted)]]</f>
        <v>1</v>
      </c>
    </row>
    <row r="1268" spans="1:30" ht="13.9">
      <c r="A1268" s="8" t="s">
        <v>3038</v>
      </c>
      <c r="B1268" s="8" t="s">
        <v>1320</v>
      </c>
      <c r="C1268" s="8" t="s">
        <v>118</v>
      </c>
      <c r="D1268" s="9">
        <v>39119</v>
      </c>
      <c r="E1268" s="9">
        <v>39156</v>
      </c>
      <c r="F1268" s="17">
        <f>IF(MONTH(Table1[[#This Row],[Loss date]])&lt;Policy_Inception_Month,YEAR(Table1[[#This Row],[Loss date]])-1,YEAR(Table1[[#This Row],[Loss date]]))</f>
        <v>2006</v>
      </c>
      <c r="G1268" s="10" t="s">
        <v>119</v>
      </c>
      <c r="H1268" s="10" t="s">
        <v>2</v>
      </c>
      <c r="I1268" s="11">
        <v>685.58377433515216</v>
      </c>
      <c r="J1268" s="11">
        <v>0</v>
      </c>
      <c r="K1268" s="11">
        <v>685.58377433515216</v>
      </c>
      <c r="L1268" s="12">
        <v>0</v>
      </c>
      <c r="M1268" s="12">
        <v>0</v>
      </c>
      <c r="N1268" s="12">
        <v>685.58377433515216</v>
      </c>
      <c r="O1268" s="70">
        <f>IF(Table1[[#This Row],[Overall amount]]=0,0,1)</f>
        <v>1</v>
      </c>
      <c r="P1268" s="70">
        <f>Table1[[#This Row],[Overall amount]]*Exchange_Rate</f>
        <v>685.58377433515216</v>
      </c>
      <c r="Q1268" s="70">
        <f>Table1[[#This Row],[Overall (destination currency)]]*(1+Claims_Inflation)^((Revalue_at_date-Table1[[#This Row],[Loss date]])/365.25)</f>
        <v>1045.5</v>
      </c>
      <c r="R1268" s="70">
        <f>INT(Table1[[#This Row],[Reporting date]])-INT(Table1[[#This Row],[Loss date]])</f>
        <v>37</v>
      </c>
      <c r="S1268" s="69" t="s">
        <v>9</v>
      </c>
      <c r="T1268" s="70">
        <f>VLOOKUP(Table1[[#This Row],[Policy Year]],exposure_table,3,FALSE)</f>
        <v>483.32023209000977</v>
      </c>
      <c r="U1268" s="17">
        <f>IF(MONTH(Table1[[#This Row],[Reporting date]])&lt;Policy_Inception_Month,YEAR(Table1[[#This Row],[Reporting date]])-1,YEAR(Table1[[#This Row],[Reporting date]]))</f>
        <v>2006</v>
      </c>
      <c r="V1268" s="17">
        <f>Table1[[#This Row],[Reporting year]]-Table1[[#This Row],[Policy Year]]</f>
        <v>0</v>
      </c>
      <c r="W1268" s="17">
        <f>INT(Table1[[#This Row],[Reporting date]])-INT(Table1[[#This Row],[Loss date]])</f>
        <v>37</v>
      </c>
      <c r="X1268" s="17">
        <f>INT((YEAR(Table1[[#This Row],[Loss date]])*12+MONTH(Table1[[#This Row],[Loss date]])-Earliest_Month)/4)</f>
        <v>5</v>
      </c>
      <c r="Y1268" s="17">
        <f>INT((YEAR(Table1[[#This Row],[Reporting date]])*12+MONTH(Table1[[#This Row],[Reporting date]])-Earliest_Month)/4)</f>
        <v>5</v>
      </c>
      <c r="Z1268" s="17">
        <f>Table1[[#This Row],[Reporting third]]-Table1[[#This Row],[Policy third]]</f>
        <v>0</v>
      </c>
      <c r="AA1268" s="71">
        <f>IF(Table1[[#This Row],[Overall amount]]=0,"N/A",Table1[[#This Row],[Outstanding]]/Table1[[#This Row],[Overall amount]])</f>
        <v>0</v>
      </c>
      <c r="AB1268" s="17">
        <f>IF(MONTH(Table1[[#This Row],[Loss date]])&lt;Pol_Inc_Month_Shifted,YEAR(Table1[[#This Row],[Loss date]])-1,YEAR(Table1[[#This Row],[Loss date]]))</f>
        <v>2006</v>
      </c>
      <c r="AC1268" s="17">
        <f>IF(MONTH(Table1[[#This Row],[Reporting date]])&lt;Pol_Inc_Month_Shifted,YEAR(Table1[[#This Row],[Reporting date]])-1,YEAR(Table1[[#This Row],[Reporting date]]))</f>
        <v>2006</v>
      </c>
      <c r="AD1268" s="17">
        <f>Table1[[#This Row],[Reporting year (shifted)]]-Table1[[#This Row],[Policy Year (shifted)]]</f>
        <v>0</v>
      </c>
    </row>
    <row r="1269" spans="1:30" ht="13.9">
      <c r="A1269" s="8" t="s">
        <v>3039</v>
      </c>
      <c r="B1269" s="8" t="s">
        <v>1321</v>
      </c>
      <c r="C1269" s="8" t="s">
        <v>118</v>
      </c>
      <c r="D1269" s="9">
        <v>39831</v>
      </c>
      <c r="E1269" s="9">
        <v>39843</v>
      </c>
      <c r="F1269" s="17">
        <f>IF(MONTH(Table1[[#This Row],[Loss date]])&lt;Policy_Inception_Month,YEAR(Table1[[#This Row],[Loss date]])-1,YEAR(Table1[[#This Row],[Loss date]]))</f>
        <v>2008</v>
      </c>
      <c r="G1269" s="10" t="s">
        <v>124</v>
      </c>
      <c r="H1269" s="10" t="s">
        <v>2</v>
      </c>
      <c r="I1269" s="11">
        <v>294.24020306865759</v>
      </c>
      <c r="J1269" s="11">
        <v>0</v>
      </c>
      <c r="K1269" s="11">
        <v>294.24020306865759</v>
      </c>
      <c r="L1269" s="12">
        <v>0</v>
      </c>
      <c r="M1269" s="12">
        <v>17.06593177798214</v>
      </c>
      <c r="N1269" s="12">
        <v>277.17427129067545</v>
      </c>
      <c r="O1269" s="70">
        <f>IF(Table1[[#This Row],[Overall amount]]=0,0,1)</f>
        <v>1</v>
      </c>
      <c r="P1269" s="70">
        <f>Table1[[#This Row],[Overall amount]]*Exchange_Rate</f>
        <v>277.17427129067545</v>
      </c>
      <c r="Q1269" s="70">
        <f>Table1[[#This Row],[Overall (destination currency)]]*(1+Claims_Inflation)^((Revalue_at_date-Table1[[#This Row],[Loss date]])/365.25)</f>
        <v>384.33600000000001</v>
      </c>
      <c r="R1269" s="70">
        <f>INT(Table1[[#This Row],[Reporting date]])-INT(Table1[[#This Row],[Loss date]])</f>
        <v>12</v>
      </c>
      <c r="S1269" s="69" t="s">
        <v>9</v>
      </c>
      <c r="T1269" s="70">
        <f>VLOOKUP(Table1[[#This Row],[Policy Year]],exposure_table,3,FALSE)</f>
        <v>601.98581780480015</v>
      </c>
      <c r="U1269" s="17">
        <f>IF(MONTH(Table1[[#This Row],[Reporting date]])&lt;Policy_Inception_Month,YEAR(Table1[[#This Row],[Reporting date]])-1,YEAR(Table1[[#This Row],[Reporting date]]))</f>
        <v>2008</v>
      </c>
      <c r="V1269" s="17">
        <f>Table1[[#This Row],[Reporting year]]-Table1[[#This Row],[Policy Year]]</f>
        <v>0</v>
      </c>
      <c r="W1269" s="17">
        <f>INT(Table1[[#This Row],[Reporting date]])-INT(Table1[[#This Row],[Loss date]])</f>
        <v>12</v>
      </c>
      <c r="X1269" s="17">
        <f>INT((YEAR(Table1[[#This Row],[Loss date]])*12+MONTH(Table1[[#This Row],[Loss date]])-Earliest_Month)/4)</f>
        <v>11</v>
      </c>
      <c r="Y1269" s="17">
        <f>INT((YEAR(Table1[[#This Row],[Reporting date]])*12+MONTH(Table1[[#This Row],[Reporting date]])-Earliest_Month)/4)</f>
        <v>11</v>
      </c>
      <c r="Z1269" s="17">
        <f>Table1[[#This Row],[Reporting third]]-Table1[[#This Row],[Policy third]]</f>
        <v>0</v>
      </c>
      <c r="AA1269" s="71">
        <f>IF(Table1[[#This Row],[Overall amount]]=0,"N/A",Table1[[#This Row],[Outstanding]]/Table1[[#This Row],[Overall amount]])</f>
        <v>0</v>
      </c>
      <c r="AB1269" s="17">
        <f>IF(MONTH(Table1[[#This Row],[Loss date]])&lt;Pol_Inc_Month_Shifted,YEAR(Table1[[#This Row],[Loss date]])-1,YEAR(Table1[[#This Row],[Loss date]]))</f>
        <v>2008</v>
      </c>
      <c r="AC1269" s="17">
        <f>IF(MONTH(Table1[[#This Row],[Reporting date]])&lt;Pol_Inc_Month_Shifted,YEAR(Table1[[#This Row],[Reporting date]])-1,YEAR(Table1[[#This Row],[Reporting date]]))</f>
        <v>2008</v>
      </c>
      <c r="AD1269" s="17">
        <f>Table1[[#This Row],[Reporting year (shifted)]]-Table1[[#This Row],[Policy Year (shifted)]]</f>
        <v>0</v>
      </c>
    </row>
    <row r="1270" spans="1:30" ht="13.9">
      <c r="A1270" s="8" t="s">
        <v>3040</v>
      </c>
      <c r="B1270" s="8" t="s">
        <v>1322</v>
      </c>
      <c r="C1270" s="8" t="s">
        <v>118</v>
      </c>
      <c r="D1270" s="9">
        <v>39375</v>
      </c>
      <c r="E1270" s="9">
        <v>39410</v>
      </c>
      <c r="F1270" s="17">
        <f>IF(MONTH(Table1[[#This Row],[Loss date]])&lt;Policy_Inception_Month,YEAR(Table1[[#This Row],[Loss date]])-1,YEAR(Table1[[#This Row],[Loss date]]))</f>
        <v>2007</v>
      </c>
      <c r="G1270" s="10" t="s">
        <v>119</v>
      </c>
      <c r="H1270" s="10" t="s">
        <v>2</v>
      </c>
      <c r="I1270" s="11">
        <v>224.94243383983564</v>
      </c>
      <c r="J1270" s="11">
        <v>0</v>
      </c>
      <c r="K1270" s="11">
        <v>224.94243383983564</v>
      </c>
      <c r="L1270" s="12">
        <v>0</v>
      </c>
      <c r="M1270" s="12">
        <v>2.2494243383983563</v>
      </c>
      <c r="N1270" s="12">
        <v>222.69300950143727</v>
      </c>
      <c r="O1270" s="70">
        <f>IF(Table1[[#This Row],[Overall amount]]=0,0,1)</f>
        <v>1</v>
      </c>
      <c r="P1270" s="70">
        <f>Table1[[#This Row],[Overall amount]]*Exchange_Rate</f>
        <v>222.69300950143727</v>
      </c>
      <c r="Q1270" s="70">
        <f>Table1[[#This Row],[Overall (destination currency)]]*(1+Claims_Inflation)^((Revalue_at_date-Table1[[#This Row],[Loss date]])/365.25)</f>
        <v>328.185</v>
      </c>
      <c r="R1270" s="70">
        <f>INT(Table1[[#This Row],[Reporting date]])-INT(Table1[[#This Row],[Loss date]])</f>
        <v>35</v>
      </c>
      <c r="S1270" s="69" t="s">
        <v>9</v>
      </c>
      <c r="T1270" s="70">
        <f>VLOOKUP(Table1[[#This Row],[Policy Year]],exposure_table,3,FALSE)</f>
        <v>547.7736362475523</v>
      </c>
      <c r="U1270" s="17">
        <f>IF(MONTH(Table1[[#This Row],[Reporting date]])&lt;Policy_Inception_Month,YEAR(Table1[[#This Row],[Reporting date]])-1,YEAR(Table1[[#This Row],[Reporting date]]))</f>
        <v>2007</v>
      </c>
      <c r="V1270" s="17">
        <f>Table1[[#This Row],[Reporting year]]-Table1[[#This Row],[Policy Year]]</f>
        <v>0</v>
      </c>
      <c r="W1270" s="17">
        <f>INT(Table1[[#This Row],[Reporting date]])-INT(Table1[[#This Row],[Loss date]])</f>
        <v>35</v>
      </c>
      <c r="X1270" s="17">
        <f>INT((YEAR(Table1[[#This Row],[Loss date]])*12+MONTH(Table1[[#This Row],[Loss date]])-Earliest_Month)/4)</f>
        <v>7</v>
      </c>
      <c r="Y1270" s="17">
        <f>INT((YEAR(Table1[[#This Row],[Reporting date]])*12+MONTH(Table1[[#This Row],[Reporting date]])-Earliest_Month)/4)</f>
        <v>7</v>
      </c>
      <c r="Z1270" s="17">
        <f>Table1[[#This Row],[Reporting third]]-Table1[[#This Row],[Policy third]]</f>
        <v>0</v>
      </c>
      <c r="AA1270" s="71">
        <f>IF(Table1[[#This Row],[Overall amount]]=0,"N/A",Table1[[#This Row],[Outstanding]]/Table1[[#This Row],[Overall amount]])</f>
        <v>0</v>
      </c>
      <c r="AB1270" s="17">
        <f>IF(MONTH(Table1[[#This Row],[Loss date]])&lt;Pol_Inc_Month_Shifted,YEAR(Table1[[#This Row],[Loss date]])-1,YEAR(Table1[[#This Row],[Loss date]]))</f>
        <v>2006</v>
      </c>
      <c r="AC1270" s="17">
        <f>IF(MONTH(Table1[[#This Row],[Reporting date]])&lt;Pol_Inc_Month_Shifted,YEAR(Table1[[#This Row],[Reporting date]])-1,YEAR(Table1[[#This Row],[Reporting date]]))</f>
        <v>2006</v>
      </c>
      <c r="AD1270" s="17">
        <f>Table1[[#This Row],[Reporting year (shifted)]]-Table1[[#This Row],[Policy Year (shifted)]]</f>
        <v>0</v>
      </c>
    </row>
    <row r="1271" spans="1:30" ht="13.9">
      <c r="A1271" s="8" t="s">
        <v>3041</v>
      </c>
      <c r="B1271" s="8" t="s">
        <v>1323</v>
      </c>
      <c r="C1271" s="8" t="s">
        <v>118</v>
      </c>
      <c r="D1271" s="9">
        <v>39673</v>
      </c>
      <c r="E1271" s="9">
        <v>39711</v>
      </c>
      <c r="F1271" s="17">
        <f>IF(MONTH(Table1[[#This Row],[Loss date]])&lt;Policy_Inception_Month,YEAR(Table1[[#This Row],[Loss date]])-1,YEAR(Table1[[#This Row],[Loss date]]))</f>
        <v>2008</v>
      </c>
      <c r="G1271" s="10" t="s">
        <v>129</v>
      </c>
      <c r="H1271" s="10" t="s">
        <v>2</v>
      </c>
      <c r="I1271" s="11">
        <v>486.16055277308891</v>
      </c>
      <c r="J1271" s="11">
        <v>0</v>
      </c>
      <c r="K1271" s="11">
        <v>486.16055277308891</v>
      </c>
      <c r="L1271" s="12">
        <v>0</v>
      </c>
      <c r="M1271" s="12">
        <v>0</v>
      </c>
      <c r="N1271" s="12">
        <v>486.16055277308891</v>
      </c>
      <c r="O1271" s="70">
        <f>IF(Table1[[#This Row],[Overall amount]]=0,0,1)</f>
        <v>1</v>
      </c>
      <c r="P1271" s="70">
        <f>Table1[[#This Row],[Overall amount]]*Exchange_Rate</f>
        <v>486.16055277308891</v>
      </c>
      <c r="Q1271" s="70">
        <f>Table1[[#This Row],[Overall (destination currency)]]*(1+Claims_Inflation)^((Revalue_at_date-Table1[[#This Row],[Loss date]])/365.25)</f>
        <v>688.5</v>
      </c>
      <c r="R1271" s="70">
        <f>INT(Table1[[#This Row],[Reporting date]])-INT(Table1[[#This Row],[Loss date]])</f>
        <v>38</v>
      </c>
      <c r="S1271" s="69" t="s">
        <v>9</v>
      </c>
      <c r="T1271" s="70">
        <f>VLOOKUP(Table1[[#This Row],[Policy Year]],exposure_table,3,FALSE)</f>
        <v>601.98581780480015</v>
      </c>
      <c r="U1271" s="17">
        <f>IF(MONTH(Table1[[#This Row],[Reporting date]])&lt;Policy_Inception_Month,YEAR(Table1[[#This Row],[Reporting date]])-1,YEAR(Table1[[#This Row],[Reporting date]]))</f>
        <v>2008</v>
      </c>
      <c r="V1271" s="17">
        <f>Table1[[#This Row],[Reporting year]]-Table1[[#This Row],[Policy Year]]</f>
        <v>0</v>
      </c>
      <c r="W1271" s="17">
        <f>INT(Table1[[#This Row],[Reporting date]])-INT(Table1[[#This Row],[Loss date]])</f>
        <v>38</v>
      </c>
      <c r="X1271" s="17">
        <f>INT((YEAR(Table1[[#This Row],[Loss date]])*12+MONTH(Table1[[#This Row],[Loss date]])-Earliest_Month)/4)</f>
        <v>10</v>
      </c>
      <c r="Y1271" s="17">
        <f>INT((YEAR(Table1[[#This Row],[Reporting date]])*12+MONTH(Table1[[#This Row],[Reporting date]])-Earliest_Month)/4)</f>
        <v>10</v>
      </c>
      <c r="Z1271" s="17">
        <f>Table1[[#This Row],[Reporting third]]-Table1[[#This Row],[Policy third]]</f>
        <v>0</v>
      </c>
      <c r="AA1271" s="71">
        <f>IF(Table1[[#This Row],[Overall amount]]=0,"N/A",Table1[[#This Row],[Outstanding]]/Table1[[#This Row],[Overall amount]])</f>
        <v>0</v>
      </c>
      <c r="AB1271" s="17">
        <f>IF(MONTH(Table1[[#This Row],[Loss date]])&lt;Pol_Inc_Month_Shifted,YEAR(Table1[[#This Row],[Loss date]])-1,YEAR(Table1[[#This Row],[Loss date]]))</f>
        <v>2007</v>
      </c>
      <c r="AC1271" s="17">
        <f>IF(MONTH(Table1[[#This Row],[Reporting date]])&lt;Pol_Inc_Month_Shifted,YEAR(Table1[[#This Row],[Reporting date]])-1,YEAR(Table1[[#This Row],[Reporting date]]))</f>
        <v>2007</v>
      </c>
      <c r="AD1271" s="17">
        <f>Table1[[#This Row],[Reporting year (shifted)]]-Table1[[#This Row],[Policy Year (shifted)]]</f>
        <v>0</v>
      </c>
    </row>
    <row r="1272" spans="1:30" ht="13.9">
      <c r="A1272" s="8" t="s">
        <v>3042</v>
      </c>
      <c r="B1272" s="8" t="s">
        <v>1324</v>
      </c>
      <c r="C1272" s="8" t="s">
        <v>118</v>
      </c>
      <c r="D1272" s="9">
        <v>39683</v>
      </c>
      <c r="E1272" s="9">
        <v>39711</v>
      </c>
      <c r="F1272" s="17">
        <f>IF(MONTH(Table1[[#This Row],[Loss date]])&lt;Policy_Inception_Month,YEAR(Table1[[#This Row],[Loss date]])-1,YEAR(Table1[[#This Row],[Loss date]]))</f>
        <v>2008</v>
      </c>
      <c r="G1272" s="10" t="s">
        <v>129</v>
      </c>
      <c r="H1272" s="10" t="s">
        <v>2</v>
      </c>
      <c r="I1272" s="11">
        <v>300.50307570533914</v>
      </c>
      <c r="J1272" s="11">
        <v>0</v>
      </c>
      <c r="K1272" s="11">
        <v>300.50307570533914</v>
      </c>
      <c r="L1272" s="12">
        <v>0</v>
      </c>
      <c r="M1272" s="12">
        <v>0</v>
      </c>
      <c r="N1272" s="12">
        <v>300.50307570533914</v>
      </c>
      <c r="O1272" s="70">
        <f>IF(Table1[[#This Row],[Overall amount]]=0,0,1)</f>
        <v>1</v>
      </c>
      <c r="P1272" s="70">
        <f>Table1[[#This Row],[Overall amount]]*Exchange_Rate</f>
        <v>300.50307570533914</v>
      </c>
      <c r="Q1272" s="70">
        <f>Table1[[#This Row],[Overall (destination currency)]]*(1+Claims_Inflation)^((Revalue_at_date-Table1[[#This Row],[Loss date]])/365.25)</f>
        <v>425.00400000000008</v>
      </c>
      <c r="R1272" s="70">
        <f>INT(Table1[[#This Row],[Reporting date]])-INT(Table1[[#This Row],[Loss date]])</f>
        <v>28</v>
      </c>
      <c r="S1272" s="69" t="s">
        <v>9</v>
      </c>
      <c r="T1272" s="70">
        <f>VLOOKUP(Table1[[#This Row],[Policy Year]],exposure_table,3,FALSE)</f>
        <v>601.98581780480015</v>
      </c>
      <c r="U1272" s="17">
        <f>IF(MONTH(Table1[[#This Row],[Reporting date]])&lt;Policy_Inception_Month,YEAR(Table1[[#This Row],[Reporting date]])-1,YEAR(Table1[[#This Row],[Reporting date]]))</f>
        <v>2008</v>
      </c>
      <c r="V1272" s="17">
        <f>Table1[[#This Row],[Reporting year]]-Table1[[#This Row],[Policy Year]]</f>
        <v>0</v>
      </c>
      <c r="W1272" s="17">
        <f>INT(Table1[[#This Row],[Reporting date]])-INT(Table1[[#This Row],[Loss date]])</f>
        <v>28</v>
      </c>
      <c r="X1272" s="17">
        <f>INT((YEAR(Table1[[#This Row],[Loss date]])*12+MONTH(Table1[[#This Row],[Loss date]])-Earliest_Month)/4)</f>
        <v>10</v>
      </c>
      <c r="Y1272" s="17">
        <f>INT((YEAR(Table1[[#This Row],[Reporting date]])*12+MONTH(Table1[[#This Row],[Reporting date]])-Earliest_Month)/4)</f>
        <v>10</v>
      </c>
      <c r="Z1272" s="17">
        <f>Table1[[#This Row],[Reporting third]]-Table1[[#This Row],[Policy third]]</f>
        <v>0</v>
      </c>
      <c r="AA1272" s="71">
        <f>IF(Table1[[#This Row],[Overall amount]]=0,"N/A",Table1[[#This Row],[Outstanding]]/Table1[[#This Row],[Overall amount]])</f>
        <v>0</v>
      </c>
      <c r="AB1272" s="17">
        <f>IF(MONTH(Table1[[#This Row],[Loss date]])&lt;Pol_Inc_Month_Shifted,YEAR(Table1[[#This Row],[Loss date]])-1,YEAR(Table1[[#This Row],[Loss date]]))</f>
        <v>2007</v>
      </c>
      <c r="AC1272" s="17">
        <f>IF(MONTH(Table1[[#This Row],[Reporting date]])&lt;Pol_Inc_Month_Shifted,YEAR(Table1[[#This Row],[Reporting date]])-1,YEAR(Table1[[#This Row],[Reporting date]]))</f>
        <v>2007</v>
      </c>
      <c r="AD1272" s="17">
        <f>Table1[[#This Row],[Reporting year (shifted)]]-Table1[[#This Row],[Policy Year (shifted)]]</f>
        <v>0</v>
      </c>
    </row>
    <row r="1273" spans="1:30" ht="13.9">
      <c r="A1273" s="8" t="s">
        <v>3043</v>
      </c>
      <c r="B1273" s="8" t="s">
        <v>1325</v>
      </c>
      <c r="C1273" s="8" t="s">
        <v>118</v>
      </c>
      <c r="D1273" s="9">
        <v>39684</v>
      </c>
      <c r="E1273" s="9">
        <v>39711</v>
      </c>
      <c r="F1273" s="17">
        <f>IF(MONTH(Table1[[#This Row],[Loss date]])&lt;Policy_Inception_Month,YEAR(Table1[[#This Row],[Loss date]])-1,YEAR(Table1[[#This Row],[Loss date]]))</f>
        <v>2008</v>
      </c>
      <c r="G1273" s="10" t="s">
        <v>129</v>
      </c>
      <c r="H1273" s="10" t="s">
        <v>2</v>
      </c>
      <c r="I1273" s="11">
        <v>426.77018387635883</v>
      </c>
      <c r="J1273" s="11">
        <v>0</v>
      </c>
      <c r="K1273" s="11">
        <v>426.77018387635883</v>
      </c>
      <c r="L1273" s="12">
        <v>0</v>
      </c>
      <c r="M1273" s="12">
        <v>1.2803105516290765</v>
      </c>
      <c r="N1273" s="12">
        <v>425.48987332472973</v>
      </c>
      <c r="O1273" s="70">
        <f>IF(Table1[[#This Row],[Overall amount]]=0,0,1)</f>
        <v>1</v>
      </c>
      <c r="P1273" s="70">
        <f>Table1[[#This Row],[Overall amount]]*Exchange_Rate</f>
        <v>425.48987332472973</v>
      </c>
      <c r="Q1273" s="70">
        <f>Table1[[#This Row],[Overall (destination currency)]]*(1+Claims_Inflation)^((Revalue_at_date-Table1[[#This Row],[Loss date]])/365.25)</f>
        <v>601.69348799999989</v>
      </c>
      <c r="R1273" s="70">
        <f>INT(Table1[[#This Row],[Reporting date]])-INT(Table1[[#This Row],[Loss date]])</f>
        <v>27</v>
      </c>
      <c r="S1273" s="69" t="s">
        <v>9</v>
      </c>
      <c r="T1273" s="70">
        <f>VLOOKUP(Table1[[#This Row],[Policy Year]],exposure_table,3,FALSE)</f>
        <v>601.98581780480015</v>
      </c>
      <c r="U1273" s="17">
        <f>IF(MONTH(Table1[[#This Row],[Reporting date]])&lt;Policy_Inception_Month,YEAR(Table1[[#This Row],[Reporting date]])-1,YEAR(Table1[[#This Row],[Reporting date]]))</f>
        <v>2008</v>
      </c>
      <c r="V1273" s="17">
        <f>Table1[[#This Row],[Reporting year]]-Table1[[#This Row],[Policy Year]]</f>
        <v>0</v>
      </c>
      <c r="W1273" s="17">
        <f>INT(Table1[[#This Row],[Reporting date]])-INT(Table1[[#This Row],[Loss date]])</f>
        <v>27</v>
      </c>
      <c r="X1273" s="17">
        <f>INT((YEAR(Table1[[#This Row],[Loss date]])*12+MONTH(Table1[[#This Row],[Loss date]])-Earliest_Month)/4)</f>
        <v>10</v>
      </c>
      <c r="Y1273" s="17">
        <f>INT((YEAR(Table1[[#This Row],[Reporting date]])*12+MONTH(Table1[[#This Row],[Reporting date]])-Earliest_Month)/4)</f>
        <v>10</v>
      </c>
      <c r="Z1273" s="17">
        <f>Table1[[#This Row],[Reporting third]]-Table1[[#This Row],[Policy third]]</f>
        <v>0</v>
      </c>
      <c r="AA1273" s="71">
        <f>IF(Table1[[#This Row],[Overall amount]]=0,"N/A",Table1[[#This Row],[Outstanding]]/Table1[[#This Row],[Overall amount]])</f>
        <v>0</v>
      </c>
      <c r="AB1273" s="17">
        <f>IF(MONTH(Table1[[#This Row],[Loss date]])&lt;Pol_Inc_Month_Shifted,YEAR(Table1[[#This Row],[Loss date]])-1,YEAR(Table1[[#This Row],[Loss date]]))</f>
        <v>2007</v>
      </c>
      <c r="AC1273" s="17">
        <f>IF(MONTH(Table1[[#This Row],[Reporting date]])&lt;Pol_Inc_Month_Shifted,YEAR(Table1[[#This Row],[Reporting date]])-1,YEAR(Table1[[#This Row],[Reporting date]]))</f>
        <v>2007</v>
      </c>
      <c r="AD1273" s="17">
        <f>Table1[[#This Row],[Reporting year (shifted)]]-Table1[[#This Row],[Policy Year (shifted)]]</f>
        <v>0</v>
      </c>
    </row>
    <row r="1274" spans="1:30" ht="13.9">
      <c r="A1274" s="8" t="s">
        <v>3044</v>
      </c>
      <c r="B1274" s="8" t="s">
        <v>1326</v>
      </c>
      <c r="C1274" s="8" t="s">
        <v>118</v>
      </c>
      <c r="D1274" s="9">
        <v>39929</v>
      </c>
      <c r="E1274" s="9">
        <v>39936</v>
      </c>
      <c r="F1274" s="17">
        <f>IF(MONTH(Table1[[#This Row],[Loss date]])&lt;Policy_Inception_Month,YEAR(Table1[[#This Row],[Loss date]])-1,YEAR(Table1[[#This Row],[Loss date]]))</f>
        <v>2009</v>
      </c>
      <c r="G1274" s="10" t="s">
        <v>144</v>
      </c>
      <c r="H1274" s="10" t="s">
        <v>2</v>
      </c>
      <c r="I1274" s="11">
        <v>12358.280723519887</v>
      </c>
      <c r="J1274" s="11">
        <v>0</v>
      </c>
      <c r="K1274" s="11">
        <v>12358.280723519887</v>
      </c>
      <c r="L1274" s="12">
        <v>0</v>
      </c>
      <c r="M1274" s="12">
        <v>0</v>
      </c>
      <c r="N1274" s="12">
        <v>12358.280723519887</v>
      </c>
      <c r="O1274" s="70">
        <f>IF(Table1[[#This Row],[Overall amount]]=0,0,1)</f>
        <v>1</v>
      </c>
      <c r="P1274" s="70">
        <f>Table1[[#This Row],[Overall amount]]*Exchange_Rate</f>
        <v>12358.280723519887</v>
      </c>
      <c r="Q1274" s="70">
        <f>Table1[[#This Row],[Overall (destination currency)]]*(1+Claims_Inflation)^((Revalue_at_date-Table1[[#This Row],[Loss date]])/365.25)</f>
        <v>16913.400000000001</v>
      </c>
      <c r="R1274" s="70">
        <f>INT(Table1[[#This Row],[Reporting date]])-INT(Table1[[#This Row],[Loss date]])</f>
        <v>7</v>
      </c>
      <c r="S1274" s="69" t="s">
        <v>9</v>
      </c>
      <c r="T1274" s="70">
        <f>VLOOKUP(Table1[[#This Row],[Policy Year]],exposure_table,3,FALSE)</f>
        <v>760.22808576000011</v>
      </c>
      <c r="U1274" s="17">
        <f>IF(MONTH(Table1[[#This Row],[Reporting date]])&lt;Policy_Inception_Month,YEAR(Table1[[#This Row],[Reporting date]])-1,YEAR(Table1[[#This Row],[Reporting date]]))</f>
        <v>2009</v>
      </c>
      <c r="V1274" s="17">
        <f>Table1[[#This Row],[Reporting year]]-Table1[[#This Row],[Policy Year]]</f>
        <v>0</v>
      </c>
      <c r="W1274" s="17">
        <f>INT(Table1[[#This Row],[Reporting date]])-INT(Table1[[#This Row],[Loss date]])</f>
        <v>7</v>
      </c>
      <c r="X1274" s="17">
        <f>INT((YEAR(Table1[[#This Row],[Loss date]])*12+MONTH(Table1[[#This Row],[Loss date]])-Earliest_Month)/4)</f>
        <v>12</v>
      </c>
      <c r="Y1274" s="17">
        <f>INT((YEAR(Table1[[#This Row],[Reporting date]])*12+MONTH(Table1[[#This Row],[Reporting date]])-Earliest_Month)/4)</f>
        <v>12</v>
      </c>
      <c r="Z1274" s="17">
        <f>Table1[[#This Row],[Reporting third]]-Table1[[#This Row],[Policy third]]</f>
        <v>0</v>
      </c>
      <c r="AA1274" s="71">
        <f>IF(Table1[[#This Row],[Overall amount]]=0,"N/A",Table1[[#This Row],[Outstanding]]/Table1[[#This Row],[Overall amount]])</f>
        <v>0</v>
      </c>
      <c r="AB1274" s="17">
        <f>IF(MONTH(Table1[[#This Row],[Loss date]])&lt;Pol_Inc_Month_Shifted,YEAR(Table1[[#This Row],[Loss date]])-1,YEAR(Table1[[#This Row],[Loss date]]))</f>
        <v>2008</v>
      </c>
      <c r="AC1274" s="17">
        <f>IF(MONTH(Table1[[#This Row],[Reporting date]])&lt;Pol_Inc_Month_Shifted,YEAR(Table1[[#This Row],[Reporting date]])-1,YEAR(Table1[[#This Row],[Reporting date]]))</f>
        <v>2008</v>
      </c>
      <c r="AD1274" s="17">
        <f>Table1[[#This Row],[Reporting year (shifted)]]-Table1[[#This Row],[Policy Year (shifted)]]</f>
        <v>0</v>
      </c>
    </row>
    <row r="1275" spans="1:30" ht="13.9">
      <c r="A1275" s="8" t="s">
        <v>3045</v>
      </c>
      <c r="B1275" s="8" t="s">
        <v>1327</v>
      </c>
      <c r="C1275" s="8" t="s">
        <v>118</v>
      </c>
      <c r="D1275" s="9">
        <v>39936</v>
      </c>
      <c r="E1275" s="9">
        <v>39965</v>
      </c>
      <c r="F1275" s="17">
        <f>IF(MONTH(Table1[[#This Row],[Loss date]])&lt;Policy_Inception_Month,YEAR(Table1[[#This Row],[Loss date]])-1,YEAR(Table1[[#This Row],[Loss date]]))</f>
        <v>2009</v>
      </c>
      <c r="G1275" s="10" t="s">
        <v>128</v>
      </c>
      <c r="H1275" s="10" t="s">
        <v>2</v>
      </c>
      <c r="I1275" s="11">
        <v>1030.7835883485334</v>
      </c>
      <c r="J1275" s="11">
        <v>0</v>
      </c>
      <c r="K1275" s="11">
        <v>1030.7835883485334</v>
      </c>
      <c r="L1275" s="12">
        <v>0</v>
      </c>
      <c r="M1275" s="12">
        <v>0</v>
      </c>
      <c r="N1275" s="12">
        <v>1030.7835883485334</v>
      </c>
      <c r="O1275" s="70">
        <f>IF(Table1[[#This Row],[Overall amount]]=0,0,1)</f>
        <v>1</v>
      </c>
      <c r="P1275" s="70">
        <f>Table1[[#This Row],[Overall amount]]*Exchange_Rate</f>
        <v>1030.7835883485334</v>
      </c>
      <c r="Q1275" s="70">
        <f>Table1[[#This Row],[Overall (destination currency)]]*(1+Claims_Inflation)^((Revalue_at_date-Table1[[#This Row],[Loss date]])/365.25)</f>
        <v>1409.3999999999999</v>
      </c>
      <c r="R1275" s="70">
        <f>INT(Table1[[#This Row],[Reporting date]])-INT(Table1[[#This Row],[Loss date]])</f>
        <v>29</v>
      </c>
      <c r="S1275" s="69" t="s">
        <v>9</v>
      </c>
      <c r="T1275" s="70">
        <f>VLOOKUP(Table1[[#This Row],[Policy Year]],exposure_table,3,FALSE)</f>
        <v>760.22808576000011</v>
      </c>
      <c r="U1275" s="17">
        <f>IF(MONTH(Table1[[#This Row],[Reporting date]])&lt;Policy_Inception_Month,YEAR(Table1[[#This Row],[Reporting date]])-1,YEAR(Table1[[#This Row],[Reporting date]]))</f>
        <v>2009</v>
      </c>
      <c r="V1275" s="17">
        <f>Table1[[#This Row],[Reporting year]]-Table1[[#This Row],[Policy Year]]</f>
        <v>0</v>
      </c>
      <c r="W1275" s="17">
        <f>INT(Table1[[#This Row],[Reporting date]])-INT(Table1[[#This Row],[Loss date]])</f>
        <v>29</v>
      </c>
      <c r="X1275" s="17">
        <f>INT((YEAR(Table1[[#This Row],[Loss date]])*12+MONTH(Table1[[#This Row],[Loss date]])-Earliest_Month)/4)</f>
        <v>12</v>
      </c>
      <c r="Y1275" s="17">
        <f>INT((YEAR(Table1[[#This Row],[Reporting date]])*12+MONTH(Table1[[#This Row],[Reporting date]])-Earliest_Month)/4)</f>
        <v>12</v>
      </c>
      <c r="Z1275" s="17">
        <f>Table1[[#This Row],[Reporting third]]-Table1[[#This Row],[Policy third]]</f>
        <v>0</v>
      </c>
      <c r="AA1275" s="71">
        <f>IF(Table1[[#This Row],[Overall amount]]=0,"N/A",Table1[[#This Row],[Outstanding]]/Table1[[#This Row],[Overall amount]])</f>
        <v>0</v>
      </c>
      <c r="AB1275" s="17">
        <f>IF(MONTH(Table1[[#This Row],[Loss date]])&lt;Pol_Inc_Month_Shifted,YEAR(Table1[[#This Row],[Loss date]])-1,YEAR(Table1[[#This Row],[Loss date]]))</f>
        <v>2008</v>
      </c>
      <c r="AC1275" s="17">
        <f>IF(MONTH(Table1[[#This Row],[Reporting date]])&lt;Pol_Inc_Month_Shifted,YEAR(Table1[[#This Row],[Reporting date]])-1,YEAR(Table1[[#This Row],[Reporting date]]))</f>
        <v>2008</v>
      </c>
      <c r="AD1275" s="17">
        <f>Table1[[#This Row],[Reporting year (shifted)]]-Table1[[#This Row],[Policy Year (shifted)]]</f>
        <v>0</v>
      </c>
    </row>
    <row r="1276" spans="1:30" ht="13.9">
      <c r="A1276" s="8" t="s">
        <v>3046</v>
      </c>
      <c r="B1276" s="8" t="s">
        <v>1328</v>
      </c>
      <c r="C1276" s="8" t="s">
        <v>118</v>
      </c>
      <c r="D1276" s="9">
        <v>39990</v>
      </c>
      <c r="E1276" s="9">
        <v>39999</v>
      </c>
      <c r="F1276" s="17">
        <f>IF(MONTH(Table1[[#This Row],[Loss date]])&lt;Policy_Inception_Month,YEAR(Table1[[#This Row],[Loss date]])-1,YEAR(Table1[[#This Row],[Loss date]]))</f>
        <v>2009</v>
      </c>
      <c r="G1276" s="10" t="s">
        <v>129</v>
      </c>
      <c r="H1276" s="10" t="s">
        <v>2</v>
      </c>
      <c r="I1276" s="11">
        <v>769.07100169905777</v>
      </c>
      <c r="J1276" s="11">
        <v>0</v>
      </c>
      <c r="K1276" s="11">
        <v>769.07100169905777</v>
      </c>
      <c r="L1276" s="12">
        <v>0</v>
      </c>
      <c r="M1276" s="12">
        <v>0</v>
      </c>
      <c r="N1276" s="12">
        <v>769.07100169905777</v>
      </c>
      <c r="O1276" s="70">
        <f>IF(Table1[[#This Row],[Overall amount]]=0,0,1)</f>
        <v>1</v>
      </c>
      <c r="P1276" s="70">
        <f>Table1[[#This Row],[Overall amount]]*Exchange_Rate</f>
        <v>769.07100169905777</v>
      </c>
      <c r="Q1276" s="70">
        <f>Table1[[#This Row],[Overall (destination currency)]]*(1+Claims_Inflation)^((Revalue_at_date-Table1[[#This Row],[Loss date]])/365.25)</f>
        <v>1044</v>
      </c>
      <c r="R1276" s="70">
        <f>INT(Table1[[#This Row],[Reporting date]])-INT(Table1[[#This Row],[Loss date]])</f>
        <v>9</v>
      </c>
      <c r="S1276" s="69" t="s">
        <v>9</v>
      </c>
      <c r="T1276" s="70">
        <f>VLOOKUP(Table1[[#This Row],[Policy Year]],exposure_table,3,FALSE)</f>
        <v>760.22808576000011</v>
      </c>
      <c r="U1276" s="17">
        <f>IF(MONTH(Table1[[#This Row],[Reporting date]])&lt;Policy_Inception_Month,YEAR(Table1[[#This Row],[Reporting date]])-1,YEAR(Table1[[#This Row],[Reporting date]]))</f>
        <v>2009</v>
      </c>
      <c r="V1276" s="17">
        <f>Table1[[#This Row],[Reporting year]]-Table1[[#This Row],[Policy Year]]</f>
        <v>0</v>
      </c>
      <c r="W1276" s="17">
        <f>INT(Table1[[#This Row],[Reporting date]])-INT(Table1[[#This Row],[Loss date]])</f>
        <v>9</v>
      </c>
      <c r="X1276" s="17">
        <f>INT((YEAR(Table1[[#This Row],[Loss date]])*12+MONTH(Table1[[#This Row],[Loss date]])-Earliest_Month)/4)</f>
        <v>12</v>
      </c>
      <c r="Y1276" s="17">
        <f>INT((YEAR(Table1[[#This Row],[Reporting date]])*12+MONTH(Table1[[#This Row],[Reporting date]])-Earliest_Month)/4)</f>
        <v>12</v>
      </c>
      <c r="Z1276" s="17">
        <f>Table1[[#This Row],[Reporting third]]-Table1[[#This Row],[Policy third]]</f>
        <v>0</v>
      </c>
      <c r="AA1276" s="71">
        <f>IF(Table1[[#This Row],[Overall amount]]=0,"N/A",Table1[[#This Row],[Outstanding]]/Table1[[#This Row],[Overall amount]])</f>
        <v>0</v>
      </c>
      <c r="AB1276" s="17">
        <f>IF(MONTH(Table1[[#This Row],[Loss date]])&lt;Pol_Inc_Month_Shifted,YEAR(Table1[[#This Row],[Loss date]])-1,YEAR(Table1[[#This Row],[Loss date]]))</f>
        <v>2008</v>
      </c>
      <c r="AC1276" s="17">
        <f>IF(MONTH(Table1[[#This Row],[Reporting date]])&lt;Pol_Inc_Month_Shifted,YEAR(Table1[[#This Row],[Reporting date]])-1,YEAR(Table1[[#This Row],[Reporting date]]))</f>
        <v>2008</v>
      </c>
      <c r="AD1276" s="17">
        <f>Table1[[#This Row],[Reporting year (shifted)]]-Table1[[#This Row],[Policy Year (shifted)]]</f>
        <v>0</v>
      </c>
    </row>
    <row r="1277" spans="1:30" ht="13.9">
      <c r="A1277" s="8" t="s">
        <v>3047</v>
      </c>
      <c r="B1277" s="8" t="s">
        <v>1329</v>
      </c>
      <c r="C1277" s="8" t="s">
        <v>118</v>
      </c>
      <c r="D1277" s="9">
        <v>39236</v>
      </c>
      <c r="E1277" s="9">
        <v>39243</v>
      </c>
      <c r="F1277" s="17">
        <f>IF(MONTH(Table1[[#This Row],[Loss date]])&lt;Policy_Inception_Month,YEAR(Table1[[#This Row],[Loss date]])-1,YEAR(Table1[[#This Row],[Loss date]]))</f>
        <v>2007</v>
      </c>
      <c r="G1277" s="10" t="s">
        <v>129</v>
      </c>
      <c r="H1277" s="10" t="s">
        <v>2</v>
      </c>
      <c r="I1277" s="11">
        <v>0</v>
      </c>
      <c r="J1277" s="11">
        <v>0</v>
      </c>
      <c r="K1277" s="11">
        <v>0</v>
      </c>
      <c r="L1277" s="12">
        <v>0</v>
      </c>
      <c r="M1277" s="12">
        <v>0</v>
      </c>
      <c r="N1277" s="12">
        <v>0</v>
      </c>
      <c r="O1277" s="70">
        <f>IF(Table1[[#This Row],[Overall amount]]=0,0,1)</f>
        <v>0</v>
      </c>
      <c r="P1277" s="70">
        <f>Table1[[#This Row],[Overall amount]]*Exchange_Rate</f>
        <v>0</v>
      </c>
      <c r="Q1277" s="70">
        <f>Table1[[#This Row],[Overall (destination currency)]]*(1+Claims_Inflation)^((Revalue_at_date-Table1[[#This Row],[Loss date]])/365.25)</f>
        <v>0</v>
      </c>
      <c r="R1277" s="70">
        <f>INT(Table1[[#This Row],[Reporting date]])-INT(Table1[[#This Row],[Loss date]])</f>
        <v>7</v>
      </c>
      <c r="S1277" s="69" t="s">
        <v>9</v>
      </c>
      <c r="T1277" s="70">
        <f>VLOOKUP(Table1[[#This Row],[Policy Year]],exposure_table,3,FALSE)</f>
        <v>547.7736362475523</v>
      </c>
      <c r="U1277" s="17">
        <f>IF(MONTH(Table1[[#This Row],[Reporting date]])&lt;Policy_Inception_Month,YEAR(Table1[[#This Row],[Reporting date]])-1,YEAR(Table1[[#This Row],[Reporting date]]))</f>
        <v>2007</v>
      </c>
      <c r="V1277" s="17">
        <f>Table1[[#This Row],[Reporting year]]-Table1[[#This Row],[Policy Year]]</f>
        <v>0</v>
      </c>
      <c r="W1277" s="17">
        <f>INT(Table1[[#This Row],[Reporting date]])-INT(Table1[[#This Row],[Loss date]])</f>
        <v>7</v>
      </c>
      <c r="X1277" s="17">
        <f>INT((YEAR(Table1[[#This Row],[Loss date]])*12+MONTH(Table1[[#This Row],[Loss date]])-Earliest_Month)/4)</f>
        <v>6</v>
      </c>
      <c r="Y1277" s="17">
        <f>INT((YEAR(Table1[[#This Row],[Reporting date]])*12+MONTH(Table1[[#This Row],[Reporting date]])-Earliest_Month)/4)</f>
        <v>6</v>
      </c>
      <c r="Z1277" s="17">
        <f>Table1[[#This Row],[Reporting third]]-Table1[[#This Row],[Policy third]]</f>
        <v>0</v>
      </c>
      <c r="AA1277" s="71" t="str">
        <f>IF(Table1[[#This Row],[Overall amount]]=0,"N/A",Table1[[#This Row],[Outstanding]]/Table1[[#This Row],[Overall amount]])</f>
        <v>N/A</v>
      </c>
      <c r="AB1277" s="17">
        <f>IF(MONTH(Table1[[#This Row],[Loss date]])&lt;Pol_Inc_Month_Shifted,YEAR(Table1[[#This Row],[Loss date]])-1,YEAR(Table1[[#This Row],[Loss date]]))</f>
        <v>2006</v>
      </c>
      <c r="AC1277" s="17">
        <f>IF(MONTH(Table1[[#This Row],[Reporting date]])&lt;Pol_Inc_Month_Shifted,YEAR(Table1[[#This Row],[Reporting date]])-1,YEAR(Table1[[#This Row],[Reporting date]]))</f>
        <v>2006</v>
      </c>
      <c r="AD1277" s="17">
        <f>Table1[[#This Row],[Reporting year (shifted)]]-Table1[[#This Row],[Policy Year (shifted)]]</f>
        <v>0</v>
      </c>
    </row>
    <row r="1278" spans="1:30" ht="13.9">
      <c r="A1278" s="8" t="s">
        <v>3048</v>
      </c>
      <c r="B1278" s="8" t="s">
        <v>1330</v>
      </c>
      <c r="C1278" s="8" t="s">
        <v>118</v>
      </c>
      <c r="D1278" s="9">
        <v>39676</v>
      </c>
      <c r="E1278" s="9">
        <v>39689</v>
      </c>
      <c r="F1278" s="17">
        <f>IF(MONTH(Table1[[#This Row],[Loss date]])&lt;Policy_Inception_Month,YEAR(Table1[[#This Row],[Loss date]])-1,YEAR(Table1[[#This Row],[Loss date]]))</f>
        <v>2008</v>
      </c>
      <c r="G1278" s="10" t="s">
        <v>119</v>
      </c>
      <c r="H1278" s="10" t="s">
        <v>2</v>
      </c>
      <c r="I1278" s="11">
        <v>480.3538538129647</v>
      </c>
      <c r="J1278" s="11">
        <v>0</v>
      </c>
      <c r="K1278" s="11">
        <v>480.3538538129647</v>
      </c>
      <c r="L1278" s="12">
        <v>0</v>
      </c>
      <c r="M1278" s="12">
        <v>0</v>
      </c>
      <c r="N1278" s="12">
        <v>480.3538538129647</v>
      </c>
      <c r="O1278" s="70">
        <f>IF(Table1[[#This Row],[Overall amount]]=0,0,1)</f>
        <v>1</v>
      </c>
      <c r="P1278" s="70">
        <f>Table1[[#This Row],[Overall amount]]*Exchange_Rate</f>
        <v>480.3538538129647</v>
      </c>
      <c r="Q1278" s="70">
        <f>Table1[[#This Row],[Overall (destination currency)]]*(1+Claims_Inflation)^((Revalue_at_date-Table1[[#This Row],[Loss date]])/365.25)</f>
        <v>680.00399999999991</v>
      </c>
      <c r="R1278" s="70">
        <f>INT(Table1[[#This Row],[Reporting date]])-INT(Table1[[#This Row],[Loss date]])</f>
        <v>13</v>
      </c>
      <c r="S1278" s="69" t="s">
        <v>9</v>
      </c>
      <c r="T1278" s="70">
        <f>VLOOKUP(Table1[[#This Row],[Policy Year]],exposure_table,3,FALSE)</f>
        <v>601.98581780480015</v>
      </c>
      <c r="U1278" s="17">
        <f>IF(MONTH(Table1[[#This Row],[Reporting date]])&lt;Policy_Inception_Month,YEAR(Table1[[#This Row],[Reporting date]])-1,YEAR(Table1[[#This Row],[Reporting date]]))</f>
        <v>2008</v>
      </c>
      <c r="V1278" s="17">
        <f>Table1[[#This Row],[Reporting year]]-Table1[[#This Row],[Policy Year]]</f>
        <v>0</v>
      </c>
      <c r="W1278" s="17">
        <f>INT(Table1[[#This Row],[Reporting date]])-INT(Table1[[#This Row],[Loss date]])</f>
        <v>13</v>
      </c>
      <c r="X1278" s="17">
        <f>INT((YEAR(Table1[[#This Row],[Loss date]])*12+MONTH(Table1[[#This Row],[Loss date]])-Earliest_Month)/4)</f>
        <v>10</v>
      </c>
      <c r="Y1278" s="17">
        <f>INT((YEAR(Table1[[#This Row],[Reporting date]])*12+MONTH(Table1[[#This Row],[Reporting date]])-Earliest_Month)/4)</f>
        <v>10</v>
      </c>
      <c r="Z1278" s="17">
        <f>Table1[[#This Row],[Reporting third]]-Table1[[#This Row],[Policy third]]</f>
        <v>0</v>
      </c>
      <c r="AA1278" s="71">
        <f>IF(Table1[[#This Row],[Overall amount]]=0,"N/A",Table1[[#This Row],[Outstanding]]/Table1[[#This Row],[Overall amount]])</f>
        <v>0</v>
      </c>
      <c r="AB1278" s="17">
        <f>IF(MONTH(Table1[[#This Row],[Loss date]])&lt;Pol_Inc_Month_Shifted,YEAR(Table1[[#This Row],[Loss date]])-1,YEAR(Table1[[#This Row],[Loss date]]))</f>
        <v>2007</v>
      </c>
      <c r="AC1278" s="17">
        <f>IF(MONTH(Table1[[#This Row],[Reporting date]])&lt;Pol_Inc_Month_Shifted,YEAR(Table1[[#This Row],[Reporting date]])-1,YEAR(Table1[[#This Row],[Reporting date]]))</f>
        <v>2007</v>
      </c>
      <c r="AD1278" s="17">
        <f>Table1[[#This Row],[Reporting year (shifted)]]-Table1[[#This Row],[Policy Year (shifted)]]</f>
        <v>0</v>
      </c>
    </row>
    <row r="1279" spans="1:30" ht="13.9">
      <c r="A1279" s="8" t="s">
        <v>3049</v>
      </c>
      <c r="B1279" s="8" t="s">
        <v>1331</v>
      </c>
      <c r="C1279" s="8" t="s">
        <v>118</v>
      </c>
      <c r="D1279" s="9">
        <v>39706</v>
      </c>
      <c r="E1279" s="9">
        <v>39724</v>
      </c>
      <c r="F1279" s="17">
        <f>IF(MONTH(Table1[[#This Row],[Loss date]])&lt;Policy_Inception_Month,YEAR(Table1[[#This Row],[Loss date]])-1,YEAR(Table1[[#This Row],[Loss date]]))</f>
        <v>2008</v>
      </c>
      <c r="G1279" s="10" t="s">
        <v>119</v>
      </c>
      <c r="H1279" s="10" t="s">
        <v>2</v>
      </c>
      <c r="I1279" s="11">
        <v>494.33401122264553</v>
      </c>
      <c r="J1279" s="11">
        <v>0</v>
      </c>
      <c r="K1279" s="11">
        <v>494.33401122264553</v>
      </c>
      <c r="L1279" s="12">
        <v>0</v>
      </c>
      <c r="M1279" s="12">
        <v>0</v>
      </c>
      <c r="N1279" s="12">
        <v>494.33401122264553</v>
      </c>
      <c r="O1279" s="70">
        <f>IF(Table1[[#This Row],[Overall amount]]=0,0,1)</f>
        <v>1</v>
      </c>
      <c r="P1279" s="70">
        <f>Table1[[#This Row],[Overall amount]]*Exchange_Rate</f>
        <v>494.33401122264553</v>
      </c>
      <c r="Q1279" s="70">
        <f>Table1[[#This Row],[Overall (destination currency)]]*(1+Claims_Inflation)^((Revalue_at_date-Table1[[#This Row],[Loss date]])/365.25)</f>
        <v>696.99599999999998</v>
      </c>
      <c r="R1279" s="70">
        <f>INT(Table1[[#This Row],[Reporting date]])-INT(Table1[[#This Row],[Loss date]])</f>
        <v>18</v>
      </c>
      <c r="S1279" s="69" t="s">
        <v>9</v>
      </c>
      <c r="T1279" s="70">
        <f>VLOOKUP(Table1[[#This Row],[Policy Year]],exposure_table,3,FALSE)</f>
        <v>601.98581780480015</v>
      </c>
      <c r="U1279" s="17">
        <f>IF(MONTH(Table1[[#This Row],[Reporting date]])&lt;Policy_Inception_Month,YEAR(Table1[[#This Row],[Reporting date]])-1,YEAR(Table1[[#This Row],[Reporting date]]))</f>
        <v>2008</v>
      </c>
      <c r="V1279" s="17">
        <f>Table1[[#This Row],[Reporting year]]-Table1[[#This Row],[Policy Year]]</f>
        <v>0</v>
      </c>
      <c r="W1279" s="17">
        <f>INT(Table1[[#This Row],[Reporting date]])-INT(Table1[[#This Row],[Loss date]])</f>
        <v>18</v>
      </c>
      <c r="X1279" s="17">
        <f>INT((YEAR(Table1[[#This Row],[Loss date]])*12+MONTH(Table1[[#This Row],[Loss date]])-Earliest_Month)/4)</f>
        <v>10</v>
      </c>
      <c r="Y1279" s="17">
        <f>INT((YEAR(Table1[[#This Row],[Reporting date]])*12+MONTH(Table1[[#This Row],[Reporting date]])-Earliest_Month)/4)</f>
        <v>10</v>
      </c>
      <c r="Z1279" s="17">
        <f>Table1[[#This Row],[Reporting third]]-Table1[[#This Row],[Policy third]]</f>
        <v>0</v>
      </c>
      <c r="AA1279" s="71">
        <f>IF(Table1[[#This Row],[Overall amount]]=0,"N/A",Table1[[#This Row],[Outstanding]]/Table1[[#This Row],[Overall amount]])</f>
        <v>0</v>
      </c>
      <c r="AB1279" s="17">
        <f>IF(MONTH(Table1[[#This Row],[Loss date]])&lt;Pol_Inc_Month_Shifted,YEAR(Table1[[#This Row],[Loss date]])-1,YEAR(Table1[[#This Row],[Loss date]]))</f>
        <v>2007</v>
      </c>
      <c r="AC1279" s="17">
        <f>IF(MONTH(Table1[[#This Row],[Reporting date]])&lt;Pol_Inc_Month_Shifted,YEAR(Table1[[#This Row],[Reporting date]])-1,YEAR(Table1[[#This Row],[Reporting date]]))</f>
        <v>2007</v>
      </c>
      <c r="AD1279" s="17">
        <f>Table1[[#This Row],[Reporting year (shifted)]]-Table1[[#This Row],[Policy Year (shifted)]]</f>
        <v>0</v>
      </c>
    </row>
    <row r="1280" spans="1:30" ht="13.9">
      <c r="A1280" s="8" t="s">
        <v>3050</v>
      </c>
      <c r="B1280" s="8" t="s">
        <v>1332</v>
      </c>
      <c r="C1280" s="8" t="s">
        <v>118</v>
      </c>
      <c r="D1280" s="9">
        <v>39661</v>
      </c>
      <c r="E1280" s="9">
        <v>39724</v>
      </c>
      <c r="F1280" s="17">
        <f>IF(MONTH(Table1[[#This Row],[Loss date]])&lt;Policy_Inception_Month,YEAR(Table1[[#This Row],[Loss date]])-1,YEAR(Table1[[#This Row],[Loss date]]))</f>
        <v>2008</v>
      </c>
      <c r="G1280" s="10" t="s">
        <v>119</v>
      </c>
      <c r="H1280" s="10" t="s">
        <v>2</v>
      </c>
      <c r="I1280" s="11">
        <v>533.3151912420675</v>
      </c>
      <c r="J1280" s="11">
        <v>0</v>
      </c>
      <c r="K1280" s="11">
        <v>533.3151912420675</v>
      </c>
      <c r="L1280" s="12">
        <v>0</v>
      </c>
      <c r="M1280" s="12">
        <v>0</v>
      </c>
      <c r="N1280" s="12">
        <v>533.3151912420675</v>
      </c>
      <c r="O1280" s="70">
        <f>IF(Table1[[#This Row],[Overall amount]]=0,0,1)</f>
        <v>1</v>
      </c>
      <c r="P1280" s="70">
        <f>Table1[[#This Row],[Overall amount]]*Exchange_Rate</f>
        <v>533.3151912420675</v>
      </c>
      <c r="Q1280" s="70">
        <f>Table1[[#This Row],[Overall (destination currency)]]*(1+Claims_Inflation)^((Revalue_at_date-Table1[[#This Row],[Loss date]])/365.25)</f>
        <v>756.49199999999996</v>
      </c>
      <c r="R1280" s="70">
        <f>INT(Table1[[#This Row],[Reporting date]])-INT(Table1[[#This Row],[Loss date]])</f>
        <v>63</v>
      </c>
      <c r="S1280" s="69" t="s">
        <v>9</v>
      </c>
      <c r="T1280" s="70">
        <f>VLOOKUP(Table1[[#This Row],[Policy Year]],exposure_table,3,FALSE)</f>
        <v>601.98581780480015</v>
      </c>
      <c r="U1280" s="17">
        <f>IF(MONTH(Table1[[#This Row],[Reporting date]])&lt;Policy_Inception_Month,YEAR(Table1[[#This Row],[Reporting date]])-1,YEAR(Table1[[#This Row],[Reporting date]]))</f>
        <v>2008</v>
      </c>
      <c r="V1280" s="17">
        <f>Table1[[#This Row],[Reporting year]]-Table1[[#This Row],[Policy Year]]</f>
        <v>0</v>
      </c>
      <c r="W1280" s="17">
        <f>INT(Table1[[#This Row],[Reporting date]])-INT(Table1[[#This Row],[Loss date]])</f>
        <v>63</v>
      </c>
      <c r="X1280" s="17">
        <f>INT((YEAR(Table1[[#This Row],[Loss date]])*12+MONTH(Table1[[#This Row],[Loss date]])-Earliest_Month)/4)</f>
        <v>10</v>
      </c>
      <c r="Y1280" s="17">
        <f>INT((YEAR(Table1[[#This Row],[Reporting date]])*12+MONTH(Table1[[#This Row],[Reporting date]])-Earliest_Month)/4)</f>
        <v>10</v>
      </c>
      <c r="Z1280" s="17">
        <f>Table1[[#This Row],[Reporting third]]-Table1[[#This Row],[Policy third]]</f>
        <v>0</v>
      </c>
      <c r="AA1280" s="71">
        <f>IF(Table1[[#This Row],[Overall amount]]=0,"N/A",Table1[[#This Row],[Outstanding]]/Table1[[#This Row],[Overall amount]])</f>
        <v>0</v>
      </c>
      <c r="AB1280" s="17">
        <f>IF(MONTH(Table1[[#This Row],[Loss date]])&lt;Pol_Inc_Month_Shifted,YEAR(Table1[[#This Row],[Loss date]])-1,YEAR(Table1[[#This Row],[Loss date]]))</f>
        <v>2007</v>
      </c>
      <c r="AC1280" s="17">
        <f>IF(MONTH(Table1[[#This Row],[Reporting date]])&lt;Pol_Inc_Month_Shifted,YEAR(Table1[[#This Row],[Reporting date]])-1,YEAR(Table1[[#This Row],[Reporting date]]))</f>
        <v>2007</v>
      </c>
      <c r="AD1280" s="17">
        <f>Table1[[#This Row],[Reporting year (shifted)]]-Table1[[#This Row],[Policy Year (shifted)]]</f>
        <v>0</v>
      </c>
    </row>
    <row r="1281" spans="1:30" ht="13.9">
      <c r="A1281" s="8" t="s">
        <v>3051</v>
      </c>
      <c r="B1281" s="8" t="s">
        <v>1333</v>
      </c>
      <c r="C1281" s="8" t="s">
        <v>118</v>
      </c>
      <c r="D1281" s="9">
        <v>39620</v>
      </c>
      <c r="E1281" s="9">
        <v>39763</v>
      </c>
      <c r="F1281" s="17">
        <f>IF(MONTH(Table1[[#This Row],[Loss date]])&lt;Policy_Inception_Month,YEAR(Table1[[#This Row],[Loss date]])-1,YEAR(Table1[[#This Row],[Loss date]]))</f>
        <v>2008</v>
      </c>
      <c r="G1281" s="10" t="s">
        <v>119</v>
      </c>
      <c r="H1281" s="10" t="s">
        <v>2</v>
      </c>
      <c r="I1281" s="11">
        <v>286.0627038567917</v>
      </c>
      <c r="J1281" s="11">
        <v>0</v>
      </c>
      <c r="K1281" s="11">
        <v>286.0627038567917</v>
      </c>
      <c r="L1281" s="12">
        <v>0</v>
      </c>
      <c r="M1281" s="12">
        <v>0</v>
      </c>
      <c r="N1281" s="12">
        <v>286.0627038567917</v>
      </c>
      <c r="O1281" s="70">
        <f>IF(Table1[[#This Row],[Overall amount]]=0,0,1)</f>
        <v>1</v>
      </c>
      <c r="P1281" s="70">
        <f>Table1[[#This Row],[Overall amount]]*Exchange_Rate</f>
        <v>286.0627038567917</v>
      </c>
      <c r="Q1281" s="70">
        <f>Table1[[#This Row],[Overall (destination currency)]]*(1+Claims_Inflation)^((Revalue_at_date-Table1[[#This Row],[Loss date]])/365.25)</f>
        <v>408.00000000000011</v>
      </c>
      <c r="R1281" s="70">
        <f>INT(Table1[[#This Row],[Reporting date]])-INT(Table1[[#This Row],[Loss date]])</f>
        <v>143</v>
      </c>
      <c r="S1281" s="69" t="s">
        <v>9</v>
      </c>
      <c r="T1281" s="70">
        <f>VLOOKUP(Table1[[#This Row],[Policy Year]],exposure_table,3,FALSE)</f>
        <v>601.98581780480015</v>
      </c>
      <c r="U1281" s="17">
        <f>IF(MONTH(Table1[[#This Row],[Reporting date]])&lt;Policy_Inception_Month,YEAR(Table1[[#This Row],[Reporting date]])-1,YEAR(Table1[[#This Row],[Reporting date]]))</f>
        <v>2008</v>
      </c>
      <c r="V1281" s="17">
        <f>Table1[[#This Row],[Reporting year]]-Table1[[#This Row],[Policy Year]]</f>
        <v>0</v>
      </c>
      <c r="W1281" s="17">
        <f>INT(Table1[[#This Row],[Reporting date]])-INT(Table1[[#This Row],[Loss date]])</f>
        <v>143</v>
      </c>
      <c r="X1281" s="17">
        <f>INT((YEAR(Table1[[#This Row],[Loss date]])*12+MONTH(Table1[[#This Row],[Loss date]])-Earliest_Month)/4)</f>
        <v>9</v>
      </c>
      <c r="Y1281" s="17">
        <f>INT((YEAR(Table1[[#This Row],[Reporting date]])*12+MONTH(Table1[[#This Row],[Reporting date]])-Earliest_Month)/4)</f>
        <v>10</v>
      </c>
      <c r="Z1281" s="17">
        <f>Table1[[#This Row],[Reporting third]]-Table1[[#This Row],[Policy third]]</f>
        <v>1</v>
      </c>
      <c r="AA1281" s="71">
        <f>IF(Table1[[#This Row],[Overall amount]]=0,"N/A",Table1[[#This Row],[Outstanding]]/Table1[[#This Row],[Overall amount]])</f>
        <v>0</v>
      </c>
      <c r="AB1281" s="17">
        <f>IF(MONTH(Table1[[#This Row],[Loss date]])&lt;Pol_Inc_Month_Shifted,YEAR(Table1[[#This Row],[Loss date]])-1,YEAR(Table1[[#This Row],[Loss date]]))</f>
        <v>2007</v>
      </c>
      <c r="AC1281" s="17">
        <f>IF(MONTH(Table1[[#This Row],[Reporting date]])&lt;Pol_Inc_Month_Shifted,YEAR(Table1[[#This Row],[Reporting date]])-1,YEAR(Table1[[#This Row],[Reporting date]]))</f>
        <v>2007</v>
      </c>
      <c r="AD1281" s="17">
        <f>Table1[[#This Row],[Reporting year (shifted)]]-Table1[[#This Row],[Policy Year (shifted)]]</f>
        <v>0</v>
      </c>
    </row>
    <row r="1282" spans="1:30" ht="13.9">
      <c r="A1282" s="8" t="s">
        <v>3052</v>
      </c>
      <c r="B1282" s="8" t="s">
        <v>1334</v>
      </c>
      <c r="C1282" s="8" t="s">
        <v>118</v>
      </c>
      <c r="D1282" s="9">
        <v>38443</v>
      </c>
      <c r="E1282" s="9">
        <v>38552</v>
      </c>
      <c r="F1282" s="17">
        <f>IF(MONTH(Table1[[#This Row],[Loss date]])&lt;Policy_Inception_Month,YEAR(Table1[[#This Row],[Loss date]])-1,YEAR(Table1[[#This Row],[Loss date]]))</f>
        <v>2005</v>
      </c>
      <c r="G1282" s="10" t="s">
        <v>132</v>
      </c>
      <c r="H1282" s="10" t="s">
        <v>2</v>
      </c>
      <c r="I1282" s="11">
        <v>132.64693760255915</v>
      </c>
      <c r="J1282" s="11">
        <v>0</v>
      </c>
      <c r="K1282" s="11">
        <v>132.64693760255915</v>
      </c>
      <c r="L1282" s="12">
        <v>0</v>
      </c>
      <c r="M1282" s="12">
        <v>0</v>
      </c>
      <c r="N1282" s="12">
        <v>132.64693760255915</v>
      </c>
      <c r="O1282" s="70">
        <f>IF(Table1[[#This Row],[Overall amount]]=0,0,1)</f>
        <v>1</v>
      </c>
      <c r="P1282" s="70">
        <f>Table1[[#This Row],[Overall amount]]*Exchange_Rate</f>
        <v>132.64693760255915</v>
      </c>
      <c r="Q1282" s="70">
        <f>Table1[[#This Row],[Overall (destination currency)]]*(1+Claims_Inflation)^((Revalue_at_date-Table1[[#This Row],[Loss date]])/365.25)</f>
        <v>221.4</v>
      </c>
      <c r="R1282" s="70">
        <f>INT(Table1[[#This Row],[Reporting date]])-INT(Table1[[#This Row],[Loss date]])</f>
        <v>109</v>
      </c>
      <c r="S1282" s="69" t="s">
        <v>9</v>
      </c>
      <c r="T1282" s="70">
        <f>VLOOKUP(Table1[[#This Row],[Policy Year]],exposure_table,3,FALSE)</f>
        <v>409.50481038040112</v>
      </c>
      <c r="U1282" s="17">
        <f>IF(MONTH(Table1[[#This Row],[Reporting date]])&lt;Policy_Inception_Month,YEAR(Table1[[#This Row],[Reporting date]])-1,YEAR(Table1[[#This Row],[Reporting date]]))</f>
        <v>2005</v>
      </c>
      <c r="V1282" s="17">
        <f>Table1[[#This Row],[Reporting year]]-Table1[[#This Row],[Policy Year]]</f>
        <v>0</v>
      </c>
      <c r="W1282" s="17">
        <f>INT(Table1[[#This Row],[Reporting date]])-INT(Table1[[#This Row],[Loss date]])</f>
        <v>109</v>
      </c>
      <c r="X1282" s="17">
        <f>INT((YEAR(Table1[[#This Row],[Loss date]])*12+MONTH(Table1[[#This Row],[Loss date]])-Earliest_Month)/4)</f>
        <v>0</v>
      </c>
      <c r="Y1282" s="17">
        <f>INT((YEAR(Table1[[#This Row],[Reporting date]])*12+MONTH(Table1[[#This Row],[Reporting date]])-Earliest_Month)/4)</f>
        <v>0</v>
      </c>
      <c r="Z1282" s="17">
        <f>Table1[[#This Row],[Reporting third]]-Table1[[#This Row],[Policy third]]</f>
        <v>0</v>
      </c>
      <c r="AA1282" s="71">
        <f>IF(Table1[[#This Row],[Overall amount]]=0,"N/A",Table1[[#This Row],[Outstanding]]/Table1[[#This Row],[Overall amount]])</f>
        <v>0</v>
      </c>
      <c r="AB1282" s="17">
        <f>IF(MONTH(Table1[[#This Row],[Loss date]])&lt;Pol_Inc_Month_Shifted,YEAR(Table1[[#This Row],[Loss date]])-1,YEAR(Table1[[#This Row],[Loss date]]))</f>
        <v>2004</v>
      </c>
      <c r="AC1282" s="17">
        <f>IF(MONTH(Table1[[#This Row],[Reporting date]])&lt;Pol_Inc_Month_Shifted,YEAR(Table1[[#This Row],[Reporting date]])-1,YEAR(Table1[[#This Row],[Reporting date]]))</f>
        <v>2004</v>
      </c>
      <c r="AD1282" s="17">
        <f>Table1[[#This Row],[Reporting year (shifted)]]-Table1[[#This Row],[Policy Year (shifted)]]</f>
        <v>0</v>
      </c>
    </row>
    <row r="1283" spans="1:30" ht="13.9">
      <c r="A1283" s="8" t="s">
        <v>3053</v>
      </c>
      <c r="B1283" s="8" t="s">
        <v>1335</v>
      </c>
      <c r="C1283" s="8" t="s">
        <v>118</v>
      </c>
      <c r="D1283" s="9">
        <v>38594</v>
      </c>
      <c r="E1283" s="9">
        <v>38594</v>
      </c>
      <c r="F1283" s="17">
        <f>IF(MONTH(Table1[[#This Row],[Loss date]])&lt;Policy_Inception_Month,YEAR(Table1[[#This Row],[Loss date]])-1,YEAR(Table1[[#This Row],[Loss date]]))</f>
        <v>2005</v>
      </c>
      <c r="G1283" s="10" t="s">
        <v>132</v>
      </c>
      <c r="H1283" s="10" t="s">
        <v>2</v>
      </c>
      <c r="I1283" s="11">
        <v>135.34967334055591</v>
      </c>
      <c r="J1283" s="11">
        <v>0</v>
      </c>
      <c r="K1283" s="11">
        <v>135.34967334055591</v>
      </c>
      <c r="L1283" s="12">
        <v>0</v>
      </c>
      <c r="M1283" s="12">
        <v>0</v>
      </c>
      <c r="N1283" s="12">
        <v>135.34967334055591</v>
      </c>
      <c r="O1283" s="70">
        <f>IF(Table1[[#This Row],[Overall amount]]=0,0,1)</f>
        <v>1</v>
      </c>
      <c r="P1283" s="70">
        <f>Table1[[#This Row],[Overall amount]]*Exchange_Rate</f>
        <v>135.34967334055591</v>
      </c>
      <c r="Q1283" s="70">
        <f>Table1[[#This Row],[Overall (destination currency)]]*(1+Claims_Inflation)^((Revalue_at_date-Table1[[#This Row],[Loss date]])/365.25)</f>
        <v>221.4</v>
      </c>
      <c r="R1283" s="70">
        <f>INT(Table1[[#This Row],[Reporting date]])-INT(Table1[[#This Row],[Loss date]])</f>
        <v>0</v>
      </c>
      <c r="S1283" s="69" t="s">
        <v>9</v>
      </c>
      <c r="T1283" s="70">
        <f>VLOOKUP(Table1[[#This Row],[Policy Year]],exposure_table,3,FALSE)</f>
        <v>409.50481038040112</v>
      </c>
      <c r="U1283" s="17">
        <f>IF(MONTH(Table1[[#This Row],[Reporting date]])&lt;Policy_Inception_Month,YEAR(Table1[[#This Row],[Reporting date]])-1,YEAR(Table1[[#This Row],[Reporting date]]))</f>
        <v>2005</v>
      </c>
      <c r="V1283" s="17">
        <f>Table1[[#This Row],[Reporting year]]-Table1[[#This Row],[Policy Year]]</f>
        <v>0</v>
      </c>
      <c r="W1283" s="17">
        <f>INT(Table1[[#This Row],[Reporting date]])-INT(Table1[[#This Row],[Loss date]])</f>
        <v>0</v>
      </c>
      <c r="X1283" s="17">
        <f>INT((YEAR(Table1[[#This Row],[Loss date]])*12+MONTH(Table1[[#This Row],[Loss date]])-Earliest_Month)/4)</f>
        <v>1</v>
      </c>
      <c r="Y1283" s="17">
        <f>INT((YEAR(Table1[[#This Row],[Reporting date]])*12+MONTH(Table1[[#This Row],[Reporting date]])-Earliest_Month)/4)</f>
        <v>1</v>
      </c>
      <c r="Z1283" s="17">
        <f>Table1[[#This Row],[Reporting third]]-Table1[[#This Row],[Policy third]]</f>
        <v>0</v>
      </c>
      <c r="AA1283" s="71">
        <f>IF(Table1[[#This Row],[Overall amount]]=0,"N/A",Table1[[#This Row],[Outstanding]]/Table1[[#This Row],[Overall amount]])</f>
        <v>0</v>
      </c>
      <c r="AB1283" s="17">
        <f>IF(MONTH(Table1[[#This Row],[Loss date]])&lt;Pol_Inc_Month_Shifted,YEAR(Table1[[#This Row],[Loss date]])-1,YEAR(Table1[[#This Row],[Loss date]]))</f>
        <v>2004</v>
      </c>
      <c r="AC1283" s="17">
        <f>IF(MONTH(Table1[[#This Row],[Reporting date]])&lt;Pol_Inc_Month_Shifted,YEAR(Table1[[#This Row],[Reporting date]])-1,YEAR(Table1[[#This Row],[Reporting date]]))</f>
        <v>2004</v>
      </c>
      <c r="AD1283" s="17">
        <f>Table1[[#This Row],[Reporting year (shifted)]]-Table1[[#This Row],[Policy Year (shifted)]]</f>
        <v>0</v>
      </c>
    </row>
    <row r="1284" spans="1:30" ht="13.9">
      <c r="A1284" s="8" t="s">
        <v>3054</v>
      </c>
      <c r="B1284" s="8" t="s">
        <v>1336</v>
      </c>
      <c r="C1284" s="8" t="s">
        <v>118</v>
      </c>
      <c r="D1284" s="9">
        <v>38676</v>
      </c>
      <c r="E1284" s="9">
        <v>38676</v>
      </c>
      <c r="F1284" s="17">
        <f>IF(MONTH(Table1[[#This Row],[Loss date]])&lt;Policy_Inception_Month,YEAR(Table1[[#This Row],[Loss date]])-1,YEAR(Table1[[#This Row],[Loss date]]))</f>
        <v>2005</v>
      </c>
      <c r="G1284" s="10" t="s">
        <v>119</v>
      </c>
      <c r="H1284" s="10" t="s">
        <v>2</v>
      </c>
      <c r="I1284" s="11">
        <v>76.02243645575227</v>
      </c>
      <c r="J1284" s="11">
        <v>0</v>
      </c>
      <c r="K1284" s="11">
        <v>76.02243645575227</v>
      </c>
      <c r="L1284" s="12">
        <v>0</v>
      </c>
      <c r="M1284" s="12">
        <v>0</v>
      </c>
      <c r="N1284" s="12">
        <v>76.02243645575227</v>
      </c>
      <c r="O1284" s="70">
        <f>IF(Table1[[#This Row],[Overall amount]]=0,0,1)</f>
        <v>1</v>
      </c>
      <c r="P1284" s="70">
        <f>Table1[[#This Row],[Overall amount]]*Exchange_Rate</f>
        <v>76.02243645575227</v>
      </c>
      <c r="Q1284" s="70">
        <f>Table1[[#This Row],[Overall (destination currency)]]*(1+Claims_Inflation)^((Revalue_at_date-Table1[[#This Row],[Loss date]])/365.25)</f>
        <v>123</v>
      </c>
      <c r="R1284" s="70">
        <f>INT(Table1[[#This Row],[Reporting date]])-INT(Table1[[#This Row],[Loss date]])</f>
        <v>0</v>
      </c>
      <c r="S1284" s="69" t="s">
        <v>9</v>
      </c>
      <c r="T1284" s="70">
        <f>VLOOKUP(Table1[[#This Row],[Policy Year]],exposure_table,3,FALSE)</f>
        <v>409.50481038040112</v>
      </c>
      <c r="U1284" s="17">
        <f>IF(MONTH(Table1[[#This Row],[Reporting date]])&lt;Policy_Inception_Month,YEAR(Table1[[#This Row],[Reporting date]])-1,YEAR(Table1[[#This Row],[Reporting date]]))</f>
        <v>2005</v>
      </c>
      <c r="V1284" s="17">
        <f>Table1[[#This Row],[Reporting year]]-Table1[[#This Row],[Policy Year]]</f>
        <v>0</v>
      </c>
      <c r="W1284" s="17">
        <f>INT(Table1[[#This Row],[Reporting date]])-INT(Table1[[#This Row],[Loss date]])</f>
        <v>0</v>
      </c>
      <c r="X1284" s="17">
        <f>INT((YEAR(Table1[[#This Row],[Loss date]])*12+MONTH(Table1[[#This Row],[Loss date]])-Earliest_Month)/4)</f>
        <v>1</v>
      </c>
      <c r="Y1284" s="17">
        <f>INT((YEAR(Table1[[#This Row],[Reporting date]])*12+MONTH(Table1[[#This Row],[Reporting date]])-Earliest_Month)/4)</f>
        <v>1</v>
      </c>
      <c r="Z1284" s="17">
        <f>Table1[[#This Row],[Reporting third]]-Table1[[#This Row],[Policy third]]</f>
        <v>0</v>
      </c>
      <c r="AA1284" s="71">
        <f>IF(Table1[[#This Row],[Overall amount]]=0,"N/A",Table1[[#This Row],[Outstanding]]/Table1[[#This Row],[Overall amount]])</f>
        <v>0</v>
      </c>
      <c r="AB1284" s="17">
        <f>IF(MONTH(Table1[[#This Row],[Loss date]])&lt;Pol_Inc_Month_Shifted,YEAR(Table1[[#This Row],[Loss date]])-1,YEAR(Table1[[#This Row],[Loss date]]))</f>
        <v>2004</v>
      </c>
      <c r="AC1284" s="17">
        <f>IF(MONTH(Table1[[#This Row],[Reporting date]])&lt;Pol_Inc_Month_Shifted,YEAR(Table1[[#This Row],[Reporting date]])-1,YEAR(Table1[[#This Row],[Reporting date]]))</f>
        <v>2004</v>
      </c>
      <c r="AD1284" s="17">
        <f>Table1[[#This Row],[Reporting year (shifted)]]-Table1[[#This Row],[Policy Year (shifted)]]</f>
        <v>0</v>
      </c>
    </row>
    <row r="1285" spans="1:30" ht="13.9">
      <c r="A1285" s="8" t="s">
        <v>3055</v>
      </c>
      <c r="B1285" s="8" t="s">
        <v>1337</v>
      </c>
      <c r="C1285" s="8" t="s">
        <v>118</v>
      </c>
      <c r="D1285" s="9">
        <v>38729</v>
      </c>
      <c r="E1285" s="9">
        <v>38734</v>
      </c>
      <c r="F1285" s="17">
        <f>IF(MONTH(Table1[[#This Row],[Loss date]])&lt;Policy_Inception_Month,YEAR(Table1[[#This Row],[Loss date]])-1,YEAR(Table1[[#This Row],[Loss date]]))</f>
        <v>2005</v>
      </c>
      <c r="G1285" s="10" t="s">
        <v>129</v>
      </c>
      <c r="H1285" s="10" t="s">
        <v>2</v>
      </c>
      <c r="I1285" s="11">
        <v>612.50052830562493</v>
      </c>
      <c r="J1285" s="11">
        <v>0</v>
      </c>
      <c r="K1285" s="11">
        <v>612.50052830562493</v>
      </c>
      <c r="L1285" s="12">
        <v>0</v>
      </c>
      <c r="M1285" s="12">
        <v>0</v>
      </c>
      <c r="N1285" s="12">
        <v>612.50052830562493</v>
      </c>
      <c r="O1285" s="70">
        <f>IF(Table1[[#This Row],[Overall amount]]=0,0,1)</f>
        <v>1</v>
      </c>
      <c r="P1285" s="70">
        <f>Table1[[#This Row],[Overall amount]]*Exchange_Rate</f>
        <v>612.50052830562493</v>
      </c>
      <c r="Q1285" s="70">
        <f>Table1[[#This Row],[Overall (destination currency)]]*(1+Claims_Inflation)^((Revalue_at_date-Table1[[#This Row],[Loss date]])/365.25)</f>
        <v>983.99999999999989</v>
      </c>
      <c r="R1285" s="70">
        <f>INT(Table1[[#This Row],[Reporting date]])-INT(Table1[[#This Row],[Loss date]])</f>
        <v>5</v>
      </c>
      <c r="S1285" s="69" t="s">
        <v>9</v>
      </c>
      <c r="T1285" s="70">
        <f>VLOOKUP(Table1[[#This Row],[Policy Year]],exposure_table,3,FALSE)</f>
        <v>409.50481038040112</v>
      </c>
      <c r="U1285" s="17">
        <f>IF(MONTH(Table1[[#This Row],[Reporting date]])&lt;Policy_Inception_Month,YEAR(Table1[[#This Row],[Reporting date]])-1,YEAR(Table1[[#This Row],[Reporting date]]))</f>
        <v>2005</v>
      </c>
      <c r="V1285" s="17">
        <f>Table1[[#This Row],[Reporting year]]-Table1[[#This Row],[Policy Year]]</f>
        <v>0</v>
      </c>
      <c r="W1285" s="17">
        <f>INT(Table1[[#This Row],[Reporting date]])-INT(Table1[[#This Row],[Loss date]])</f>
        <v>5</v>
      </c>
      <c r="X1285" s="17">
        <f>INT((YEAR(Table1[[#This Row],[Loss date]])*12+MONTH(Table1[[#This Row],[Loss date]])-Earliest_Month)/4)</f>
        <v>2</v>
      </c>
      <c r="Y1285" s="17">
        <f>INT((YEAR(Table1[[#This Row],[Reporting date]])*12+MONTH(Table1[[#This Row],[Reporting date]])-Earliest_Month)/4)</f>
        <v>2</v>
      </c>
      <c r="Z1285" s="17">
        <f>Table1[[#This Row],[Reporting third]]-Table1[[#This Row],[Policy third]]</f>
        <v>0</v>
      </c>
      <c r="AA1285" s="71">
        <f>IF(Table1[[#This Row],[Overall amount]]=0,"N/A",Table1[[#This Row],[Outstanding]]/Table1[[#This Row],[Overall amount]])</f>
        <v>0</v>
      </c>
      <c r="AB1285" s="17">
        <f>IF(MONTH(Table1[[#This Row],[Loss date]])&lt;Pol_Inc_Month_Shifted,YEAR(Table1[[#This Row],[Loss date]])-1,YEAR(Table1[[#This Row],[Loss date]]))</f>
        <v>2005</v>
      </c>
      <c r="AC1285" s="17">
        <f>IF(MONTH(Table1[[#This Row],[Reporting date]])&lt;Pol_Inc_Month_Shifted,YEAR(Table1[[#This Row],[Reporting date]])-1,YEAR(Table1[[#This Row],[Reporting date]]))</f>
        <v>2005</v>
      </c>
      <c r="AD1285" s="17">
        <f>Table1[[#This Row],[Reporting year (shifted)]]-Table1[[#This Row],[Policy Year (shifted)]]</f>
        <v>0</v>
      </c>
    </row>
    <row r="1286" spans="1:30" ht="13.9">
      <c r="A1286" s="8" t="s">
        <v>3056</v>
      </c>
      <c r="B1286" s="8" t="s">
        <v>1338</v>
      </c>
      <c r="C1286" s="8" t="s">
        <v>118</v>
      </c>
      <c r="D1286" s="9">
        <v>38769</v>
      </c>
      <c r="E1286" s="9">
        <v>38773</v>
      </c>
      <c r="F1286" s="17">
        <f>IF(MONTH(Table1[[#This Row],[Loss date]])&lt;Policy_Inception_Month,YEAR(Table1[[#This Row],[Loss date]])-1,YEAR(Table1[[#This Row],[Loss date]]))</f>
        <v>2005</v>
      </c>
      <c r="G1286" s="10" t="s">
        <v>129</v>
      </c>
      <c r="H1286" s="10" t="s">
        <v>2</v>
      </c>
      <c r="I1286" s="11">
        <v>431.04740333618179</v>
      </c>
      <c r="J1286" s="11">
        <v>0</v>
      </c>
      <c r="K1286" s="11">
        <v>431.04740333618179</v>
      </c>
      <c r="L1286" s="12">
        <v>0</v>
      </c>
      <c r="M1286" s="12">
        <v>0</v>
      </c>
      <c r="N1286" s="12">
        <v>431.04740333618179</v>
      </c>
      <c r="O1286" s="70">
        <f>IF(Table1[[#This Row],[Overall amount]]=0,0,1)</f>
        <v>1</v>
      </c>
      <c r="P1286" s="70">
        <f>Table1[[#This Row],[Overall amount]]*Exchange_Rate</f>
        <v>431.04740333618179</v>
      </c>
      <c r="Q1286" s="70">
        <f>Table1[[#This Row],[Overall (destination currency)]]*(1+Claims_Inflation)^((Revalue_at_date-Table1[[#This Row],[Loss date]])/365.25)</f>
        <v>688.8</v>
      </c>
      <c r="R1286" s="70">
        <f>INT(Table1[[#This Row],[Reporting date]])-INT(Table1[[#This Row],[Loss date]])</f>
        <v>4</v>
      </c>
      <c r="S1286" s="69" t="s">
        <v>9</v>
      </c>
      <c r="T1286" s="70">
        <f>VLOOKUP(Table1[[#This Row],[Policy Year]],exposure_table,3,FALSE)</f>
        <v>409.50481038040112</v>
      </c>
      <c r="U1286" s="17">
        <f>IF(MONTH(Table1[[#This Row],[Reporting date]])&lt;Policy_Inception_Month,YEAR(Table1[[#This Row],[Reporting date]])-1,YEAR(Table1[[#This Row],[Reporting date]]))</f>
        <v>2005</v>
      </c>
      <c r="V1286" s="17">
        <f>Table1[[#This Row],[Reporting year]]-Table1[[#This Row],[Policy Year]]</f>
        <v>0</v>
      </c>
      <c r="W1286" s="17">
        <f>INT(Table1[[#This Row],[Reporting date]])-INT(Table1[[#This Row],[Loss date]])</f>
        <v>4</v>
      </c>
      <c r="X1286" s="17">
        <f>INT((YEAR(Table1[[#This Row],[Loss date]])*12+MONTH(Table1[[#This Row],[Loss date]])-Earliest_Month)/4)</f>
        <v>2</v>
      </c>
      <c r="Y1286" s="17">
        <f>INT((YEAR(Table1[[#This Row],[Reporting date]])*12+MONTH(Table1[[#This Row],[Reporting date]])-Earliest_Month)/4)</f>
        <v>2</v>
      </c>
      <c r="Z1286" s="17">
        <f>Table1[[#This Row],[Reporting third]]-Table1[[#This Row],[Policy third]]</f>
        <v>0</v>
      </c>
      <c r="AA1286" s="71">
        <f>IF(Table1[[#This Row],[Overall amount]]=0,"N/A",Table1[[#This Row],[Outstanding]]/Table1[[#This Row],[Overall amount]])</f>
        <v>0</v>
      </c>
      <c r="AB1286" s="17">
        <f>IF(MONTH(Table1[[#This Row],[Loss date]])&lt;Pol_Inc_Month_Shifted,YEAR(Table1[[#This Row],[Loss date]])-1,YEAR(Table1[[#This Row],[Loss date]]))</f>
        <v>2005</v>
      </c>
      <c r="AC1286" s="17">
        <f>IF(MONTH(Table1[[#This Row],[Reporting date]])&lt;Pol_Inc_Month_Shifted,YEAR(Table1[[#This Row],[Reporting date]])-1,YEAR(Table1[[#This Row],[Reporting date]]))</f>
        <v>2005</v>
      </c>
      <c r="AD1286" s="17">
        <f>Table1[[#This Row],[Reporting year (shifted)]]-Table1[[#This Row],[Policy Year (shifted)]]</f>
        <v>0</v>
      </c>
    </row>
    <row r="1287" spans="1:30" ht="13.9">
      <c r="A1287" s="8" t="s">
        <v>3057</v>
      </c>
      <c r="B1287" s="8" t="s">
        <v>1339</v>
      </c>
      <c r="C1287" s="8" t="s">
        <v>118</v>
      </c>
      <c r="D1287" s="9">
        <v>38718</v>
      </c>
      <c r="E1287" s="9">
        <v>38774</v>
      </c>
      <c r="F1287" s="17">
        <f>IF(MONTH(Table1[[#This Row],[Loss date]])&lt;Policy_Inception_Month,YEAR(Table1[[#This Row],[Loss date]])-1,YEAR(Table1[[#This Row],[Loss date]]))</f>
        <v>2005</v>
      </c>
      <c r="G1287" s="10" t="s">
        <v>132</v>
      </c>
      <c r="H1287" s="10" t="s">
        <v>2</v>
      </c>
      <c r="I1287" s="11">
        <v>122.3202383799274</v>
      </c>
      <c r="J1287" s="11">
        <v>0</v>
      </c>
      <c r="K1287" s="11">
        <v>122.3202383799274</v>
      </c>
      <c r="L1287" s="12">
        <v>0</v>
      </c>
      <c r="M1287" s="12">
        <v>0</v>
      </c>
      <c r="N1287" s="12">
        <v>122.3202383799274</v>
      </c>
      <c r="O1287" s="70">
        <f>IF(Table1[[#This Row],[Overall amount]]=0,0,1)</f>
        <v>1</v>
      </c>
      <c r="P1287" s="70">
        <f>Table1[[#This Row],[Overall amount]]*Exchange_Rate</f>
        <v>122.3202383799274</v>
      </c>
      <c r="Q1287" s="70">
        <f>Table1[[#This Row],[Overall (destination currency)]]*(1+Claims_Inflation)^((Revalue_at_date-Table1[[#This Row],[Loss date]])/365.25)</f>
        <v>196.80000000000004</v>
      </c>
      <c r="R1287" s="70">
        <f>INT(Table1[[#This Row],[Reporting date]])-INT(Table1[[#This Row],[Loss date]])</f>
        <v>56</v>
      </c>
      <c r="S1287" s="69" t="s">
        <v>9</v>
      </c>
      <c r="T1287" s="70">
        <f>VLOOKUP(Table1[[#This Row],[Policy Year]],exposure_table,3,FALSE)</f>
        <v>409.50481038040112</v>
      </c>
      <c r="U1287" s="17">
        <f>IF(MONTH(Table1[[#This Row],[Reporting date]])&lt;Policy_Inception_Month,YEAR(Table1[[#This Row],[Reporting date]])-1,YEAR(Table1[[#This Row],[Reporting date]]))</f>
        <v>2005</v>
      </c>
      <c r="V1287" s="17">
        <f>Table1[[#This Row],[Reporting year]]-Table1[[#This Row],[Policy Year]]</f>
        <v>0</v>
      </c>
      <c r="W1287" s="17">
        <f>INT(Table1[[#This Row],[Reporting date]])-INT(Table1[[#This Row],[Loss date]])</f>
        <v>56</v>
      </c>
      <c r="X1287" s="17">
        <f>INT((YEAR(Table1[[#This Row],[Loss date]])*12+MONTH(Table1[[#This Row],[Loss date]])-Earliest_Month)/4)</f>
        <v>2</v>
      </c>
      <c r="Y1287" s="17">
        <f>INT((YEAR(Table1[[#This Row],[Reporting date]])*12+MONTH(Table1[[#This Row],[Reporting date]])-Earliest_Month)/4)</f>
        <v>2</v>
      </c>
      <c r="Z1287" s="17">
        <f>Table1[[#This Row],[Reporting third]]-Table1[[#This Row],[Policy third]]</f>
        <v>0</v>
      </c>
      <c r="AA1287" s="71">
        <f>IF(Table1[[#This Row],[Overall amount]]=0,"N/A",Table1[[#This Row],[Outstanding]]/Table1[[#This Row],[Overall amount]])</f>
        <v>0</v>
      </c>
      <c r="AB1287" s="17">
        <f>IF(MONTH(Table1[[#This Row],[Loss date]])&lt;Pol_Inc_Month_Shifted,YEAR(Table1[[#This Row],[Loss date]])-1,YEAR(Table1[[#This Row],[Loss date]]))</f>
        <v>2005</v>
      </c>
      <c r="AC1287" s="17">
        <f>IF(MONTH(Table1[[#This Row],[Reporting date]])&lt;Pol_Inc_Month_Shifted,YEAR(Table1[[#This Row],[Reporting date]])-1,YEAR(Table1[[#This Row],[Reporting date]]))</f>
        <v>2005</v>
      </c>
      <c r="AD1287" s="17">
        <f>Table1[[#This Row],[Reporting year (shifted)]]-Table1[[#This Row],[Policy Year (shifted)]]</f>
        <v>0</v>
      </c>
    </row>
    <row r="1288" spans="1:30" ht="13.9">
      <c r="A1288" s="8" t="s">
        <v>3058</v>
      </c>
      <c r="B1288" s="8" t="s">
        <v>1340</v>
      </c>
      <c r="C1288" s="8" t="s">
        <v>118</v>
      </c>
      <c r="D1288" s="9">
        <v>38782</v>
      </c>
      <c r="E1288" s="9">
        <v>38793</v>
      </c>
      <c r="F1288" s="17">
        <f>IF(MONTH(Table1[[#This Row],[Loss date]])&lt;Policy_Inception_Month,YEAR(Table1[[#This Row],[Loss date]])-1,YEAR(Table1[[#This Row],[Loss date]]))</f>
        <v>2005</v>
      </c>
      <c r="G1288" s="10" t="s">
        <v>132</v>
      </c>
      <c r="H1288" s="10" t="s">
        <v>2</v>
      </c>
      <c r="I1288" s="11">
        <v>8154.8621741045572</v>
      </c>
      <c r="J1288" s="11">
        <v>0</v>
      </c>
      <c r="K1288" s="11">
        <v>8154.8621741045572</v>
      </c>
      <c r="L1288" s="12">
        <v>0</v>
      </c>
      <c r="M1288" s="12">
        <v>0</v>
      </c>
      <c r="N1288" s="12">
        <v>8154.8621741045572</v>
      </c>
      <c r="O1288" s="70">
        <f>IF(Table1[[#This Row],[Overall amount]]=0,0,1)</f>
        <v>1</v>
      </c>
      <c r="P1288" s="70">
        <f>Table1[[#This Row],[Overall amount]]*Exchange_Rate</f>
        <v>8154.8621741045572</v>
      </c>
      <c r="Q1288" s="70">
        <f>Table1[[#This Row],[Overall (destination currency)]]*(1+Claims_Inflation)^((Revalue_at_date-Table1[[#This Row],[Loss date]])/365.25)</f>
        <v>13008.6</v>
      </c>
      <c r="R1288" s="70">
        <f>INT(Table1[[#This Row],[Reporting date]])-INT(Table1[[#This Row],[Loss date]])</f>
        <v>11</v>
      </c>
      <c r="S1288" s="69" t="s">
        <v>9</v>
      </c>
      <c r="T1288" s="70">
        <f>VLOOKUP(Table1[[#This Row],[Policy Year]],exposure_table,3,FALSE)</f>
        <v>409.50481038040112</v>
      </c>
      <c r="U1288" s="17">
        <f>IF(MONTH(Table1[[#This Row],[Reporting date]])&lt;Policy_Inception_Month,YEAR(Table1[[#This Row],[Reporting date]])-1,YEAR(Table1[[#This Row],[Reporting date]]))</f>
        <v>2005</v>
      </c>
      <c r="V1288" s="17">
        <f>Table1[[#This Row],[Reporting year]]-Table1[[#This Row],[Policy Year]]</f>
        <v>0</v>
      </c>
      <c r="W1288" s="17">
        <f>INT(Table1[[#This Row],[Reporting date]])-INT(Table1[[#This Row],[Loss date]])</f>
        <v>11</v>
      </c>
      <c r="X1288" s="17">
        <f>INT((YEAR(Table1[[#This Row],[Loss date]])*12+MONTH(Table1[[#This Row],[Loss date]])-Earliest_Month)/4)</f>
        <v>2</v>
      </c>
      <c r="Y1288" s="17">
        <f>INT((YEAR(Table1[[#This Row],[Reporting date]])*12+MONTH(Table1[[#This Row],[Reporting date]])-Earliest_Month)/4)</f>
        <v>2</v>
      </c>
      <c r="Z1288" s="17">
        <f>Table1[[#This Row],[Reporting third]]-Table1[[#This Row],[Policy third]]</f>
        <v>0</v>
      </c>
      <c r="AA1288" s="71">
        <f>IF(Table1[[#This Row],[Overall amount]]=0,"N/A",Table1[[#This Row],[Outstanding]]/Table1[[#This Row],[Overall amount]])</f>
        <v>0</v>
      </c>
      <c r="AB1288" s="17">
        <f>IF(MONTH(Table1[[#This Row],[Loss date]])&lt;Pol_Inc_Month_Shifted,YEAR(Table1[[#This Row],[Loss date]])-1,YEAR(Table1[[#This Row],[Loss date]]))</f>
        <v>2005</v>
      </c>
      <c r="AC1288" s="17">
        <f>IF(MONTH(Table1[[#This Row],[Reporting date]])&lt;Pol_Inc_Month_Shifted,YEAR(Table1[[#This Row],[Reporting date]])-1,YEAR(Table1[[#This Row],[Reporting date]]))</f>
        <v>2005</v>
      </c>
      <c r="AD1288" s="17">
        <f>Table1[[#This Row],[Reporting year (shifted)]]-Table1[[#This Row],[Policy Year (shifted)]]</f>
        <v>0</v>
      </c>
    </row>
    <row r="1289" spans="1:30" ht="13.9">
      <c r="A1289" s="8" t="s">
        <v>3059</v>
      </c>
      <c r="B1289" s="8" t="s">
        <v>1341</v>
      </c>
      <c r="C1289" s="8" t="s">
        <v>118</v>
      </c>
      <c r="D1289" s="9">
        <v>38814</v>
      </c>
      <c r="E1289" s="9">
        <v>38815</v>
      </c>
      <c r="F1289" s="17">
        <f>IF(MONTH(Table1[[#This Row],[Loss date]])&lt;Policy_Inception_Month,YEAR(Table1[[#This Row],[Loss date]])-1,YEAR(Table1[[#This Row],[Loss date]]))</f>
        <v>2006</v>
      </c>
      <c r="G1289" s="10" t="s">
        <v>125</v>
      </c>
      <c r="H1289" s="10" t="s">
        <v>2</v>
      </c>
      <c r="I1289" s="11">
        <v>14775.189984217282</v>
      </c>
      <c r="J1289" s="11">
        <v>0</v>
      </c>
      <c r="K1289" s="11">
        <v>14775.189984217282</v>
      </c>
      <c r="L1289" s="12">
        <v>0</v>
      </c>
      <c r="M1289" s="12">
        <v>413.70531955808394</v>
      </c>
      <c r="N1289" s="12">
        <v>14361.484664659198</v>
      </c>
      <c r="O1289" s="70">
        <f>IF(Table1[[#This Row],[Overall amount]]=0,0,1)</f>
        <v>1</v>
      </c>
      <c r="P1289" s="70">
        <f>Table1[[#This Row],[Overall amount]]*Exchange_Rate</f>
        <v>14361.484664659198</v>
      </c>
      <c r="Q1289" s="70">
        <f>Table1[[#This Row],[Overall (destination currency)]]*(1+Claims_Inflation)^((Revalue_at_date-Table1[[#This Row],[Loss date]])/365.25)</f>
        <v>22811.658047999994</v>
      </c>
      <c r="R1289" s="70">
        <f>INT(Table1[[#This Row],[Reporting date]])-INT(Table1[[#This Row],[Loss date]])</f>
        <v>1</v>
      </c>
      <c r="S1289" s="69" t="s">
        <v>9</v>
      </c>
      <c r="T1289" s="70">
        <f>VLOOKUP(Table1[[#This Row],[Policy Year]],exposure_table,3,FALSE)</f>
        <v>483.32023209000977</v>
      </c>
      <c r="U1289" s="17">
        <f>IF(MONTH(Table1[[#This Row],[Reporting date]])&lt;Policy_Inception_Month,YEAR(Table1[[#This Row],[Reporting date]])-1,YEAR(Table1[[#This Row],[Reporting date]]))</f>
        <v>2006</v>
      </c>
      <c r="V1289" s="17">
        <f>Table1[[#This Row],[Reporting year]]-Table1[[#This Row],[Policy Year]]</f>
        <v>0</v>
      </c>
      <c r="W1289" s="17">
        <f>INT(Table1[[#This Row],[Reporting date]])-INT(Table1[[#This Row],[Loss date]])</f>
        <v>1</v>
      </c>
      <c r="X1289" s="17">
        <f>INT((YEAR(Table1[[#This Row],[Loss date]])*12+MONTH(Table1[[#This Row],[Loss date]])-Earliest_Month)/4)</f>
        <v>3</v>
      </c>
      <c r="Y1289" s="17">
        <f>INT((YEAR(Table1[[#This Row],[Reporting date]])*12+MONTH(Table1[[#This Row],[Reporting date]])-Earliest_Month)/4)</f>
        <v>3</v>
      </c>
      <c r="Z1289" s="17">
        <f>Table1[[#This Row],[Reporting third]]-Table1[[#This Row],[Policy third]]</f>
        <v>0</v>
      </c>
      <c r="AA1289" s="71">
        <f>IF(Table1[[#This Row],[Overall amount]]=0,"N/A",Table1[[#This Row],[Outstanding]]/Table1[[#This Row],[Overall amount]])</f>
        <v>0</v>
      </c>
      <c r="AB1289" s="17">
        <f>IF(MONTH(Table1[[#This Row],[Loss date]])&lt;Pol_Inc_Month_Shifted,YEAR(Table1[[#This Row],[Loss date]])-1,YEAR(Table1[[#This Row],[Loss date]]))</f>
        <v>2005</v>
      </c>
      <c r="AC1289" s="17">
        <f>IF(MONTH(Table1[[#This Row],[Reporting date]])&lt;Pol_Inc_Month_Shifted,YEAR(Table1[[#This Row],[Reporting date]])-1,YEAR(Table1[[#This Row],[Reporting date]]))</f>
        <v>2005</v>
      </c>
      <c r="AD1289" s="17">
        <f>Table1[[#This Row],[Reporting year (shifted)]]-Table1[[#This Row],[Policy Year (shifted)]]</f>
        <v>0</v>
      </c>
    </row>
    <row r="1290" spans="1:30" ht="13.9">
      <c r="A1290" s="8" t="s">
        <v>3060</v>
      </c>
      <c r="B1290" s="8" t="s">
        <v>1342</v>
      </c>
      <c r="C1290" s="8" t="s">
        <v>118</v>
      </c>
      <c r="D1290" s="9">
        <v>38899</v>
      </c>
      <c r="E1290" s="9">
        <v>38907</v>
      </c>
      <c r="F1290" s="17">
        <f>IF(MONTH(Table1[[#This Row],[Loss date]])&lt;Policy_Inception_Month,YEAR(Table1[[#This Row],[Loss date]])-1,YEAR(Table1[[#This Row],[Loss date]]))</f>
        <v>2006</v>
      </c>
      <c r="G1290" s="10" t="s">
        <v>132</v>
      </c>
      <c r="H1290" s="10" t="s">
        <v>2</v>
      </c>
      <c r="I1290" s="11">
        <v>219.29904763252691</v>
      </c>
      <c r="J1290" s="11">
        <v>0</v>
      </c>
      <c r="K1290" s="11">
        <v>219.29904763252691</v>
      </c>
      <c r="L1290" s="12">
        <v>0</v>
      </c>
      <c r="M1290" s="12">
        <v>0</v>
      </c>
      <c r="N1290" s="12">
        <v>219.29904763252691</v>
      </c>
      <c r="O1290" s="70">
        <f>IF(Table1[[#This Row],[Overall amount]]=0,0,1)</f>
        <v>1</v>
      </c>
      <c r="P1290" s="70">
        <f>Table1[[#This Row],[Overall amount]]*Exchange_Rate</f>
        <v>219.29904763252691</v>
      </c>
      <c r="Q1290" s="70">
        <f>Table1[[#This Row],[Overall (destination currency)]]*(1+Claims_Inflation)^((Revalue_at_date-Table1[[#This Row],[Loss date]])/365.25)</f>
        <v>344.4</v>
      </c>
      <c r="R1290" s="70">
        <f>INT(Table1[[#This Row],[Reporting date]])-INT(Table1[[#This Row],[Loss date]])</f>
        <v>8</v>
      </c>
      <c r="S1290" s="69" t="s">
        <v>9</v>
      </c>
      <c r="T1290" s="70">
        <f>VLOOKUP(Table1[[#This Row],[Policy Year]],exposure_table,3,FALSE)</f>
        <v>483.32023209000977</v>
      </c>
      <c r="U1290" s="17">
        <f>IF(MONTH(Table1[[#This Row],[Reporting date]])&lt;Policy_Inception_Month,YEAR(Table1[[#This Row],[Reporting date]])-1,YEAR(Table1[[#This Row],[Reporting date]]))</f>
        <v>2006</v>
      </c>
      <c r="V1290" s="17">
        <f>Table1[[#This Row],[Reporting year]]-Table1[[#This Row],[Policy Year]]</f>
        <v>0</v>
      </c>
      <c r="W1290" s="17">
        <f>INT(Table1[[#This Row],[Reporting date]])-INT(Table1[[#This Row],[Loss date]])</f>
        <v>8</v>
      </c>
      <c r="X1290" s="17">
        <f>INT((YEAR(Table1[[#This Row],[Loss date]])*12+MONTH(Table1[[#This Row],[Loss date]])-Earliest_Month)/4)</f>
        <v>3</v>
      </c>
      <c r="Y1290" s="17">
        <f>INT((YEAR(Table1[[#This Row],[Reporting date]])*12+MONTH(Table1[[#This Row],[Reporting date]])-Earliest_Month)/4)</f>
        <v>3</v>
      </c>
      <c r="Z1290" s="17">
        <f>Table1[[#This Row],[Reporting third]]-Table1[[#This Row],[Policy third]]</f>
        <v>0</v>
      </c>
      <c r="AA1290" s="71">
        <f>IF(Table1[[#This Row],[Overall amount]]=0,"N/A",Table1[[#This Row],[Outstanding]]/Table1[[#This Row],[Overall amount]])</f>
        <v>0</v>
      </c>
      <c r="AB1290" s="17">
        <f>IF(MONTH(Table1[[#This Row],[Loss date]])&lt;Pol_Inc_Month_Shifted,YEAR(Table1[[#This Row],[Loss date]])-1,YEAR(Table1[[#This Row],[Loss date]]))</f>
        <v>2005</v>
      </c>
      <c r="AC1290" s="17">
        <f>IF(MONTH(Table1[[#This Row],[Reporting date]])&lt;Pol_Inc_Month_Shifted,YEAR(Table1[[#This Row],[Reporting date]])-1,YEAR(Table1[[#This Row],[Reporting date]]))</f>
        <v>2005</v>
      </c>
      <c r="AD1290" s="17">
        <f>Table1[[#This Row],[Reporting year (shifted)]]-Table1[[#This Row],[Policy Year (shifted)]]</f>
        <v>0</v>
      </c>
    </row>
    <row r="1291" spans="1:30" ht="13.9">
      <c r="A1291" s="8" t="s">
        <v>3061</v>
      </c>
      <c r="B1291" s="8" t="s">
        <v>1343</v>
      </c>
      <c r="C1291" s="8" t="s">
        <v>118</v>
      </c>
      <c r="D1291" s="9">
        <v>39184</v>
      </c>
      <c r="E1291" s="9">
        <v>39185</v>
      </c>
      <c r="F1291" s="17">
        <f>IF(MONTH(Table1[[#This Row],[Loss date]])&lt;Policy_Inception_Month,YEAR(Table1[[#This Row],[Loss date]])-1,YEAR(Table1[[#This Row],[Loss date]]))</f>
        <v>2007</v>
      </c>
      <c r="G1291" s="10" t="s">
        <v>119</v>
      </c>
      <c r="H1291" s="10" t="s">
        <v>2</v>
      </c>
      <c r="I1291" s="11">
        <v>48.816170744219818</v>
      </c>
      <c r="J1291" s="11">
        <v>0</v>
      </c>
      <c r="K1291" s="11">
        <v>48.816170744219818</v>
      </c>
      <c r="L1291" s="12">
        <v>0</v>
      </c>
      <c r="M1291" s="12">
        <v>4.8328009036777617</v>
      </c>
      <c r="N1291" s="12">
        <v>43.983369840542053</v>
      </c>
      <c r="O1291" s="70">
        <f>IF(Table1[[#This Row],[Overall amount]]=0,0,1)</f>
        <v>1</v>
      </c>
      <c r="P1291" s="70">
        <f>Table1[[#This Row],[Overall amount]]*Exchange_Rate</f>
        <v>43.983369840542053</v>
      </c>
      <c r="Q1291" s="70">
        <f>Table1[[#This Row],[Overall (destination currency)]]*(1+Claims_Inflation)^((Revalue_at_date-Table1[[#This Row],[Loss date]])/365.25)</f>
        <v>66.493800000000007</v>
      </c>
      <c r="R1291" s="70">
        <f>INT(Table1[[#This Row],[Reporting date]])-INT(Table1[[#This Row],[Loss date]])</f>
        <v>1</v>
      </c>
      <c r="S1291" s="69" t="s">
        <v>9</v>
      </c>
      <c r="T1291" s="70">
        <f>VLOOKUP(Table1[[#This Row],[Policy Year]],exposure_table,3,FALSE)</f>
        <v>547.7736362475523</v>
      </c>
      <c r="U1291" s="17">
        <f>IF(MONTH(Table1[[#This Row],[Reporting date]])&lt;Policy_Inception_Month,YEAR(Table1[[#This Row],[Reporting date]])-1,YEAR(Table1[[#This Row],[Reporting date]]))</f>
        <v>2007</v>
      </c>
      <c r="V1291" s="17">
        <f>Table1[[#This Row],[Reporting year]]-Table1[[#This Row],[Policy Year]]</f>
        <v>0</v>
      </c>
      <c r="W1291" s="17">
        <f>INT(Table1[[#This Row],[Reporting date]])-INT(Table1[[#This Row],[Loss date]])</f>
        <v>1</v>
      </c>
      <c r="X1291" s="17">
        <f>INT((YEAR(Table1[[#This Row],[Loss date]])*12+MONTH(Table1[[#This Row],[Loss date]])-Earliest_Month)/4)</f>
        <v>6</v>
      </c>
      <c r="Y1291" s="17">
        <f>INT((YEAR(Table1[[#This Row],[Reporting date]])*12+MONTH(Table1[[#This Row],[Reporting date]])-Earliest_Month)/4)</f>
        <v>6</v>
      </c>
      <c r="Z1291" s="17">
        <f>Table1[[#This Row],[Reporting third]]-Table1[[#This Row],[Policy third]]</f>
        <v>0</v>
      </c>
      <c r="AA1291" s="71">
        <f>IF(Table1[[#This Row],[Overall amount]]=0,"N/A",Table1[[#This Row],[Outstanding]]/Table1[[#This Row],[Overall amount]])</f>
        <v>0</v>
      </c>
      <c r="AB1291" s="17">
        <f>IF(MONTH(Table1[[#This Row],[Loss date]])&lt;Pol_Inc_Month_Shifted,YEAR(Table1[[#This Row],[Loss date]])-1,YEAR(Table1[[#This Row],[Loss date]]))</f>
        <v>2006</v>
      </c>
      <c r="AC1291" s="17">
        <f>IF(MONTH(Table1[[#This Row],[Reporting date]])&lt;Pol_Inc_Month_Shifted,YEAR(Table1[[#This Row],[Reporting date]])-1,YEAR(Table1[[#This Row],[Reporting date]]))</f>
        <v>2006</v>
      </c>
      <c r="AD1291" s="17">
        <f>Table1[[#This Row],[Reporting year (shifted)]]-Table1[[#This Row],[Policy Year (shifted)]]</f>
        <v>0</v>
      </c>
    </row>
    <row r="1292" spans="1:30" ht="13.9">
      <c r="A1292" s="8" t="s">
        <v>3062</v>
      </c>
      <c r="B1292" s="8" t="s">
        <v>1344</v>
      </c>
      <c r="C1292" s="8" t="s">
        <v>118</v>
      </c>
      <c r="D1292" s="9">
        <v>39308</v>
      </c>
      <c r="E1292" s="9">
        <v>39310</v>
      </c>
      <c r="F1292" s="17">
        <f>IF(MONTH(Table1[[#This Row],[Loss date]])&lt;Policy_Inception_Month,YEAR(Table1[[#This Row],[Loss date]])-1,YEAR(Table1[[#This Row],[Loss date]]))</f>
        <v>2007</v>
      </c>
      <c r="G1292" s="10" t="s">
        <v>129</v>
      </c>
      <c r="H1292" s="10" t="s">
        <v>2</v>
      </c>
      <c r="I1292" s="11">
        <v>2885.6072761711862</v>
      </c>
      <c r="J1292" s="11">
        <v>0</v>
      </c>
      <c r="K1292" s="11">
        <v>2885.6072761711862</v>
      </c>
      <c r="L1292" s="12">
        <v>0</v>
      </c>
      <c r="M1292" s="12">
        <v>0</v>
      </c>
      <c r="N1292" s="12">
        <v>2885.6072761711862</v>
      </c>
      <c r="O1292" s="70">
        <f>IF(Table1[[#This Row],[Overall amount]]=0,0,1)</f>
        <v>1</v>
      </c>
      <c r="P1292" s="70">
        <f>Table1[[#This Row],[Overall amount]]*Exchange_Rate</f>
        <v>2885.6072761711862</v>
      </c>
      <c r="Q1292" s="70">
        <f>Table1[[#This Row],[Overall (destination currency)]]*(1+Claims_Inflation)^((Revalue_at_date-Table1[[#This Row],[Loss date]])/365.25)</f>
        <v>4290.78</v>
      </c>
      <c r="R1292" s="70">
        <f>INT(Table1[[#This Row],[Reporting date]])-INT(Table1[[#This Row],[Loss date]])</f>
        <v>2</v>
      </c>
      <c r="S1292" s="69" t="s">
        <v>9</v>
      </c>
      <c r="T1292" s="70">
        <f>VLOOKUP(Table1[[#This Row],[Policy Year]],exposure_table,3,FALSE)</f>
        <v>547.7736362475523</v>
      </c>
      <c r="U1292" s="17">
        <f>IF(MONTH(Table1[[#This Row],[Reporting date]])&lt;Policy_Inception_Month,YEAR(Table1[[#This Row],[Reporting date]])-1,YEAR(Table1[[#This Row],[Reporting date]]))</f>
        <v>2007</v>
      </c>
      <c r="V1292" s="17">
        <f>Table1[[#This Row],[Reporting year]]-Table1[[#This Row],[Policy Year]]</f>
        <v>0</v>
      </c>
      <c r="W1292" s="17">
        <f>INT(Table1[[#This Row],[Reporting date]])-INT(Table1[[#This Row],[Loss date]])</f>
        <v>2</v>
      </c>
      <c r="X1292" s="17">
        <f>INT((YEAR(Table1[[#This Row],[Loss date]])*12+MONTH(Table1[[#This Row],[Loss date]])-Earliest_Month)/4)</f>
        <v>7</v>
      </c>
      <c r="Y1292" s="17">
        <f>INT((YEAR(Table1[[#This Row],[Reporting date]])*12+MONTH(Table1[[#This Row],[Reporting date]])-Earliest_Month)/4)</f>
        <v>7</v>
      </c>
      <c r="Z1292" s="17">
        <f>Table1[[#This Row],[Reporting third]]-Table1[[#This Row],[Policy third]]</f>
        <v>0</v>
      </c>
      <c r="AA1292" s="71">
        <f>IF(Table1[[#This Row],[Overall amount]]=0,"N/A",Table1[[#This Row],[Outstanding]]/Table1[[#This Row],[Overall amount]])</f>
        <v>0</v>
      </c>
      <c r="AB1292" s="17">
        <f>IF(MONTH(Table1[[#This Row],[Loss date]])&lt;Pol_Inc_Month_Shifted,YEAR(Table1[[#This Row],[Loss date]])-1,YEAR(Table1[[#This Row],[Loss date]]))</f>
        <v>2006</v>
      </c>
      <c r="AC1292" s="17">
        <f>IF(MONTH(Table1[[#This Row],[Reporting date]])&lt;Pol_Inc_Month_Shifted,YEAR(Table1[[#This Row],[Reporting date]])-1,YEAR(Table1[[#This Row],[Reporting date]]))</f>
        <v>2006</v>
      </c>
      <c r="AD1292" s="17">
        <f>Table1[[#This Row],[Reporting year (shifted)]]-Table1[[#This Row],[Policy Year (shifted)]]</f>
        <v>0</v>
      </c>
    </row>
    <row r="1293" spans="1:30" ht="13.9">
      <c r="A1293" s="8" t="s">
        <v>3063</v>
      </c>
      <c r="B1293" s="8" t="s">
        <v>1345</v>
      </c>
      <c r="C1293" s="8" t="s">
        <v>118</v>
      </c>
      <c r="D1293" s="9">
        <v>39553</v>
      </c>
      <c r="E1293" s="9">
        <v>39595</v>
      </c>
      <c r="F1293" s="17">
        <f>IF(MONTH(Table1[[#This Row],[Loss date]])&lt;Policy_Inception_Month,YEAR(Table1[[#This Row],[Loss date]])-1,YEAR(Table1[[#This Row],[Loss date]]))</f>
        <v>2008</v>
      </c>
      <c r="G1293" s="10" t="s">
        <v>125</v>
      </c>
      <c r="H1293" s="10" t="s">
        <v>2</v>
      </c>
      <c r="I1293" s="11">
        <v>4845.0774705181475</v>
      </c>
      <c r="J1293" s="11">
        <v>0</v>
      </c>
      <c r="K1293" s="11">
        <v>4845.0774705181475</v>
      </c>
      <c r="L1293" s="12">
        <v>0</v>
      </c>
      <c r="M1293" s="12">
        <v>0</v>
      </c>
      <c r="N1293" s="12">
        <v>4845.0774705181475</v>
      </c>
      <c r="O1293" s="70">
        <f>IF(Table1[[#This Row],[Overall amount]]=0,0,1)</f>
        <v>1</v>
      </c>
      <c r="P1293" s="70">
        <f>Table1[[#This Row],[Overall amount]]*Exchange_Rate</f>
        <v>4845.0774705181475</v>
      </c>
      <c r="Q1293" s="70">
        <f>Table1[[#This Row],[Overall (destination currency)]]*(1+Claims_Inflation)^((Revalue_at_date-Table1[[#This Row],[Loss date]])/365.25)</f>
        <v>6972.4679999999998</v>
      </c>
      <c r="R1293" s="70">
        <f>INT(Table1[[#This Row],[Reporting date]])-INT(Table1[[#This Row],[Loss date]])</f>
        <v>42</v>
      </c>
      <c r="S1293" s="69" t="s">
        <v>9</v>
      </c>
      <c r="T1293" s="70">
        <f>VLOOKUP(Table1[[#This Row],[Policy Year]],exposure_table,3,FALSE)</f>
        <v>601.98581780480015</v>
      </c>
      <c r="U1293" s="17">
        <f>IF(MONTH(Table1[[#This Row],[Reporting date]])&lt;Policy_Inception_Month,YEAR(Table1[[#This Row],[Reporting date]])-1,YEAR(Table1[[#This Row],[Reporting date]]))</f>
        <v>2008</v>
      </c>
      <c r="V1293" s="17">
        <f>Table1[[#This Row],[Reporting year]]-Table1[[#This Row],[Policy Year]]</f>
        <v>0</v>
      </c>
      <c r="W1293" s="17">
        <f>INT(Table1[[#This Row],[Reporting date]])-INT(Table1[[#This Row],[Loss date]])</f>
        <v>42</v>
      </c>
      <c r="X1293" s="17">
        <f>INT((YEAR(Table1[[#This Row],[Loss date]])*12+MONTH(Table1[[#This Row],[Loss date]])-Earliest_Month)/4)</f>
        <v>9</v>
      </c>
      <c r="Y1293" s="17">
        <f>INT((YEAR(Table1[[#This Row],[Reporting date]])*12+MONTH(Table1[[#This Row],[Reporting date]])-Earliest_Month)/4)</f>
        <v>9</v>
      </c>
      <c r="Z1293" s="17">
        <f>Table1[[#This Row],[Reporting third]]-Table1[[#This Row],[Policy third]]</f>
        <v>0</v>
      </c>
      <c r="AA1293" s="71">
        <f>IF(Table1[[#This Row],[Overall amount]]=0,"N/A",Table1[[#This Row],[Outstanding]]/Table1[[#This Row],[Overall amount]])</f>
        <v>0</v>
      </c>
      <c r="AB1293" s="17">
        <f>IF(MONTH(Table1[[#This Row],[Loss date]])&lt;Pol_Inc_Month_Shifted,YEAR(Table1[[#This Row],[Loss date]])-1,YEAR(Table1[[#This Row],[Loss date]]))</f>
        <v>2007</v>
      </c>
      <c r="AC1293" s="17">
        <f>IF(MONTH(Table1[[#This Row],[Reporting date]])&lt;Pol_Inc_Month_Shifted,YEAR(Table1[[#This Row],[Reporting date]])-1,YEAR(Table1[[#This Row],[Reporting date]]))</f>
        <v>2007</v>
      </c>
      <c r="AD1293" s="17">
        <f>Table1[[#This Row],[Reporting year (shifted)]]-Table1[[#This Row],[Policy Year (shifted)]]</f>
        <v>0</v>
      </c>
    </row>
    <row r="1294" spans="1:30" ht="13.9">
      <c r="A1294" s="8" t="s">
        <v>3064</v>
      </c>
      <c r="B1294" s="8" t="s">
        <v>1346</v>
      </c>
      <c r="C1294" s="8" t="s">
        <v>118</v>
      </c>
      <c r="D1294" s="9">
        <v>39647</v>
      </c>
      <c r="E1294" s="9">
        <v>39661</v>
      </c>
      <c r="F1294" s="17">
        <f>IF(MONTH(Table1[[#This Row],[Loss date]])&lt;Policy_Inception_Month,YEAR(Table1[[#This Row],[Loss date]])-1,YEAR(Table1[[#This Row],[Loss date]]))</f>
        <v>2008</v>
      </c>
      <c r="G1294" s="10" t="s">
        <v>129</v>
      </c>
      <c r="H1294" s="10" t="s">
        <v>2</v>
      </c>
      <c r="I1294" s="11">
        <v>28665.999709193031</v>
      </c>
      <c r="J1294" s="11">
        <v>0</v>
      </c>
      <c r="K1294" s="11">
        <v>28665.999709193031</v>
      </c>
      <c r="L1294" s="12">
        <v>0</v>
      </c>
      <c r="M1294" s="12">
        <v>0</v>
      </c>
      <c r="N1294" s="12">
        <v>28665.999709193031</v>
      </c>
      <c r="O1294" s="70">
        <f>IF(Table1[[#This Row],[Overall amount]]=0,0,1)</f>
        <v>1</v>
      </c>
      <c r="P1294" s="70">
        <f>Table1[[#This Row],[Overall amount]]*Exchange_Rate</f>
        <v>28665.999709193031</v>
      </c>
      <c r="Q1294" s="70">
        <f>Table1[[#This Row],[Overall (destination currency)]]*(1+Claims_Inflation)^((Revalue_at_date-Table1[[#This Row],[Loss date]])/365.25)</f>
        <v>40737.995999999999</v>
      </c>
      <c r="R1294" s="70">
        <f>INT(Table1[[#This Row],[Reporting date]])-INT(Table1[[#This Row],[Loss date]])</f>
        <v>14</v>
      </c>
      <c r="S1294" s="69" t="s">
        <v>9</v>
      </c>
      <c r="T1294" s="70">
        <f>VLOOKUP(Table1[[#This Row],[Policy Year]],exposure_table,3,FALSE)</f>
        <v>601.98581780480015</v>
      </c>
      <c r="U1294" s="17">
        <f>IF(MONTH(Table1[[#This Row],[Reporting date]])&lt;Policy_Inception_Month,YEAR(Table1[[#This Row],[Reporting date]])-1,YEAR(Table1[[#This Row],[Reporting date]]))</f>
        <v>2008</v>
      </c>
      <c r="V1294" s="17">
        <f>Table1[[#This Row],[Reporting year]]-Table1[[#This Row],[Policy Year]]</f>
        <v>0</v>
      </c>
      <c r="W1294" s="17">
        <f>INT(Table1[[#This Row],[Reporting date]])-INT(Table1[[#This Row],[Loss date]])</f>
        <v>14</v>
      </c>
      <c r="X1294" s="17">
        <f>INT((YEAR(Table1[[#This Row],[Loss date]])*12+MONTH(Table1[[#This Row],[Loss date]])-Earliest_Month)/4)</f>
        <v>9</v>
      </c>
      <c r="Y1294" s="17">
        <f>INT((YEAR(Table1[[#This Row],[Reporting date]])*12+MONTH(Table1[[#This Row],[Reporting date]])-Earliest_Month)/4)</f>
        <v>10</v>
      </c>
      <c r="Z1294" s="17">
        <f>Table1[[#This Row],[Reporting third]]-Table1[[#This Row],[Policy third]]</f>
        <v>1</v>
      </c>
      <c r="AA1294" s="71">
        <f>IF(Table1[[#This Row],[Overall amount]]=0,"N/A",Table1[[#This Row],[Outstanding]]/Table1[[#This Row],[Overall amount]])</f>
        <v>0</v>
      </c>
      <c r="AB1294" s="17">
        <f>IF(MONTH(Table1[[#This Row],[Loss date]])&lt;Pol_Inc_Month_Shifted,YEAR(Table1[[#This Row],[Loss date]])-1,YEAR(Table1[[#This Row],[Loss date]]))</f>
        <v>2007</v>
      </c>
      <c r="AC1294" s="17">
        <f>IF(MONTH(Table1[[#This Row],[Reporting date]])&lt;Pol_Inc_Month_Shifted,YEAR(Table1[[#This Row],[Reporting date]])-1,YEAR(Table1[[#This Row],[Reporting date]]))</f>
        <v>2007</v>
      </c>
      <c r="AD1294" s="17">
        <f>Table1[[#This Row],[Reporting year (shifted)]]-Table1[[#This Row],[Policy Year (shifted)]]</f>
        <v>0</v>
      </c>
    </row>
    <row r="1295" spans="1:30" ht="13.9">
      <c r="A1295" s="8" t="s">
        <v>3065</v>
      </c>
      <c r="B1295" s="8" t="s">
        <v>1347</v>
      </c>
      <c r="C1295" s="8" t="s">
        <v>118</v>
      </c>
      <c r="D1295" s="9">
        <v>39749</v>
      </c>
      <c r="E1295" s="9">
        <v>39750</v>
      </c>
      <c r="F1295" s="17">
        <f>IF(MONTH(Table1[[#This Row],[Loss date]])&lt;Policy_Inception_Month,YEAR(Table1[[#This Row],[Loss date]])-1,YEAR(Table1[[#This Row],[Loss date]]))</f>
        <v>2008</v>
      </c>
      <c r="G1295" s="10" t="s">
        <v>119</v>
      </c>
      <c r="H1295" s="10" t="s">
        <v>2</v>
      </c>
      <c r="I1295" s="11">
        <v>90.948377530455019</v>
      </c>
      <c r="J1295" s="11">
        <v>0</v>
      </c>
      <c r="K1295" s="11">
        <v>90.948377530455019</v>
      </c>
      <c r="L1295" s="12">
        <v>0</v>
      </c>
      <c r="M1295" s="12">
        <v>0</v>
      </c>
      <c r="N1295" s="12">
        <v>90.948377530455019</v>
      </c>
      <c r="O1295" s="70">
        <f>IF(Table1[[#This Row],[Overall amount]]=0,0,1)</f>
        <v>1</v>
      </c>
      <c r="P1295" s="70">
        <f>Table1[[#This Row],[Overall amount]]*Exchange_Rate</f>
        <v>90.948377530455019</v>
      </c>
      <c r="Q1295" s="70">
        <f>Table1[[#This Row],[Overall (destination currency)]]*(1+Claims_Inflation)^((Revalue_at_date-Table1[[#This Row],[Loss date]])/365.25)</f>
        <v>127.50000000000001</v>
      </c>
      <c r="R1295" s="70">
        <f>INT(Table1[[#This Row],[Reporting date]])-INT(Table1[[#This Row],[Loss date]])</f>
        <v>1</v>
      </c>
      <c r="S1295" s="69" t="s">
        <v>9</v>
      </c>
      <c r="T1295" s="70">
        <f>VLOOKUP(Table1[[#This Row],[Policy Year]],exposure_table,3,FALSE)</f>
        <v>601.98581780480015</v>
      </c>
      <c r="U1295" s="17">
        <f>IF(MONTH(Table1[[#This Row],[Reporting date]])&lt;Policy_Inception_Month,YEAR(Table1[[#This Row],[Reporting date]])-1,YEAR(Table1[[#This Row],[Reporting date]]))</f>
        <v>2008</v>
      </c>
      <c r="V1295" s="17">
        <f>Table1[[#This Row],[Reporting year]]-Table1[[#This Row],[Policy Year]]</f>
        <v>0</v>
      </c>
      <c r="W1295" s="17">
        <f>INT(Table1[[#This Row],[Reporting date]])-INT(Table1[[#This Row],[Loss date]])</f>
        <v>1</v>
      </c>
      <c r="X1295" s="17">
        <f>INT((YEAR(Table1[[#This Row],[Loss date]])*12+MONTH(Table1[[#This Row],[Loss date]])-Earliest_Month)/4)</f>
        <v>10</v>
      </c>
      <c r="Y1295" s="17">
        <f>INT((YEAR(Table1[[#This Row],[Reporting date]])*12+MONTH(Table1[[#This Row],[Reporting date]])-Earliest_Month)/4)</f>
        <v>10</v>
      </c>
      <c r="Z1295" s="17">
        <f>Table1[[#This Row],[Reporting third]]-Table1[[#This Row],[Policy third]]</f>
        <v>0</v>
      </c>
      <c r="AA1295" s="71">
        <f>IF(Table1[[#This Row],[Overall amount]]=0,"N/A",Table1[[#This Row],[Outstanding]]/Table1[[#This Row],[Overall amount]])</f>
        <v>0</v>
      </c>
      <c r="AB1295" s="17">
        <f>IF(MONTH(Table1[[#This Row],[Loss date]])&lt;Pol_Inc_Month_Shifted,YEAR(Table1[[#This Row],[Loss date]])-1,YEAR(Table1[[#This Row],[Loss date]]))</f>
        <v>2007</v>
      </c>
      <c r="AC1295" s="17">
        <f>IF(MONTH(Table1[[#This Row],[Reporting date]])&lt;Pol_Inc_Month_Shifted,YEAR(Table1[[#This Row],[Reporting date]])-1,YEAR(Table1[[#This Row],[Reporting date]]))</f>
        <v>2007</v>
      </c>
      <c r="AD1295" s="17">
        <f>Table1[[#This Row],[Reporting year (shifted)]]-Table1[[#This Row],[Policy Year (shifted)]]</f>
        <v>0</v>
      </c>
    </row>
    <row r="1296" spans="1:30" ht="13.9">
      <c r="A1296" s="8" t="s">
        <v>3066</v>
      </c>
      <c r="B1296" s="8" t="s">
        <v>1348</v>
      </c>
      <c r="C1296" s="8" t="s">
        <v>118</v>
      </c>
      <c r="D1296" s="9">
        <v>39847</v>
      </c>
      <c r="E1296" s="9">
        <v>39847</v>
      </c>
      <c r="F1296" s="17">
        <f>IF(MONTH(Table1[[#This Row],[Loss date]])&lt;Policy_Inception_Month,YEAR(Table1[[#This Row],[Loss date]])-1,YEAR(Table1[[#This Row],[Loss date]]))</f>
        <v>2008</v>
      </c>
      <c r="G1296" s="10" t="s">
        <v>144</v>
      </c>
      <c r="H1296" s="10" t="s">
        <v>2</v>
      </c>
      <c r="I1296" s="11">
        <v>1228.6268499713919</v>
      </c>
      <c r="J1296" s="11">
        <v>0</v>
      </c>
      <c r="K1296" s="11">
        <v>1228.6268499713919</v>
      </c>
      <c r="L1296" s="12">
        <v>0</v>
      </c>
      <c r="M1296" s="12">
        <v>0</v>
      </c>
      <c r="N1296" s="12">
        <v>1228.6268499713919</v>
      </c>
      <c r="O1296" s="70">
        <f>IF(Table1[[#This Row],[Overall amount]]=0,0,1)</f>
        <v>1</v>
      </c>
      <c r="P1296" s="70">
        <f>Table1[[#This Row],[Overall amount]]*Exchange_Rate</f>
        <v>1228.6268499713919</v>
      </c>
      <c r="Q1296" s="70">
        <f>Table1[[#This Row],[Overall (destination currency)]]*(1+Claims_Inflation)^((Revalue_at_date-Table1[[#This Row],[Loss date]])/365.25)</f>
        <v>1700.0039999999999</v>
      </c>
      <c r="R1296" s="70">
        <f>INT(Table1[[#This Row],[Reporting date]])-INT(Table1[[#This Row],[Loss date]])</f>
        <v>0</v>
      </c>
      <c r="S1296" s="69" t="s">
        <v>9</v>
      </c>
      <c r="T1296" s="70">
        <f>VLOOKUP(Table1[[#This Row],[Policy Year]],exposure_table,3,FALSE)</f>
        <v>601.98581780480015</v>
      </c>
      <c r="U1296" s="17">
        <f>IF(MONTH(Table1[[#This Row],[Reporting date]])&lt;Policy_Inception_Month,YEAR(Table1[[#This Row],[Reporting date]])-1,YEAR(Table1[[#This Row],[Reporting date]]))</f>
        <v>2008</v>
      </c>
      <c r="V1296" s="17">
        <f>Table1[[#This Row],[Reporting year]]-Table1[[#This Row],[Policy Year]]</f>
        <v>0</v>
      </c>
      <c r="W1296" s="17">
        <f>INT(Table1[[#This Row],[Reporting date]])-INT(Table1[[#This Row],[Loss date]])</f>
        <v>0</v>
      </c>
      <c r="X1296" s="17">
        <f>INT((YEAR(Table1[[#This Row],[Loss date]])*12+MONTH(Table1[[#This Row],[Loss date]])-Earliest_Month)/4)</f>
        <v>11</v>
      </c>
      <c r="Y1296" s="17">
        <f>INT((YEAR(Table1[[#This Row],[Reporting date]])*12+MONTH(Table1[[#This Row],[Reporting date]])-Earliest_Month)/4)</f>
        <v>11</v>
      </c>
      <c r="Z1296" s="17">
        <f>Table1[[#This Row],[Reporting third]]-Table1[[#This Row],[Policy third]]</f>
        <v>0</v>
      </c>
      <c r="AA1296" s="71">
        <f>IF(Table1[[#This Row],[Overall amount]]=0,"N/A",Table1[[#This Row],[Outstanding]]/Table1[[#This Row],[Overall amount]])</f>
        <v>0</v>
      </c>
      <c r="AB1296" s="17">
        <f>IF(MONTH(Table1[[#This Row],[Loss date]])&lt;Pol_Inc_Month_Shifted,YEAR(Table1[[#This Row],[Loss date]])-1,YEAR(Table1[[#This Row],[Loss date]]))</f>
        <v>2008</v>
      </c>
      <c r="AC1296" s="17">
        <f>IF(MONTH(Table1[[#This Row],[Reporting date]])&lt;Pol_Inc_Month_Shifted,YEAR(Table1[[#This Row],[Reporting date]])-1,YEAR(Table1[[#This Row],[Reporting date]]))</f>
        <v>2008</v>
      </c>
      <c r="AD1296" s="17">
        <f>Table1[[#This Row],[Reporting year (shifted)]]-Table1[[#This Row],[Policy Year (shifted)]]</f>
        <v>0</v>
      </c>
    </row>
    <row r="1297" spans="1:30" ht="13.9">
      <c r="A1297" s="8" t="s">
        <v>3067</v>
      </c>
      <c r="B1297" s="8" t="s">
        <v>1349</v>
      </c>
      <c r="C1297" s="8" t="s">
        <v>118</v>
      </c>
      <c r="D1297" s="9">
        <v>38541</v>
      </c>
      <c r="E1297" s="9">
        <v>39088</v>
      </c>
      <c r="F1297" s="17">
        <f>IF(MONTH(Table1[[#This Row],[Loss date]])&lt;Policy_Inception_Month,YEAR(Table1[[#This Row],[Loss date]])-1,YEAR(Table1[[#This Row],[Loss date]]))</f>
        <v>2005</v>
      </c>
      <c r="G1297" s="10" t="s">
        <v>126</v>
      </c>
      <c r="H1297" s="10" t="s">
        <v>2</v>
      </c>
      <c r="I1297" s="11">
        <v>5314.0584181609129</v>
      </c>
      <c r="J1297" s="11">
        <v>0</v>
      </c>
      <c r="K1297" s="11">
        <v>5314.0584181609129</v>
      </c>
      <c r="L1297" s="12">
        <v>0</v>
      </c>
      <c r="M1297" s="12">
        <v>0</v>
      </c>
      <c r="N1297" s="12">
        <v>5314.0584181609129</v>
      </c>
      <c r="O1297" s="70">
        <f>IF(Table1[[#This Row],[Overall amount]]=0,0,1)</f>
        <v>1</v>
      </c>
      <c r="P1297" s="70">
        <f>Table1[[#This Row],[Overall amount]]*Exchange_Rate</f>
        <v>5314.0584181609129</v>
      </c>
      <c r="Q1297" s="70">
        <f>Table1[[#This Row],[Overall (destination currency)]]*(1+Claims_Inflation)^((Revalue_at_date-Table1[[#This Row],[Loss date]])/365.25)</f>
        <v>8754.2999999999993</v>
      </c>
      <c r="R1297" s="70">
        <f>INT(Table1[[#This Row],[Reporting date]])-INT(Table1[[#This Row],[Loss date]])</f>
        <v>547</v>
      </c>
      <c r="S1297" s="69" t="s">
        <v>9</v>
      </c>
      <c r="T1297" s="70">
        <f>VLOOKUP(Table1[[#This Row],[Policy Year]],exposure_table,3,FALSE)</f>
        <v>409.50481038040112</v>
      </c>
      <c r="U1297" s="17">
        <f>IF(MONTH(Table1[[#This Row],[Reporting date]])&lt;Policy_Inception_Month,YEAR(Table1[[#This Row],[Reporting date]])-1,YEAR(Table1[[#This Row],[Reporting date]]))</f>
        <v>2006</v>
      </c>
      <c r="V1297" s="17">
        <f>Table1[[#This Row],[Reporting year]]-Table1[[#This Row],[Policy Year]]</f>
        <v>1</v>
      </c>
      <c r="W1297" s="17">
        <f>INT(Table1[[#This Row],[Reporting date]])-INT(Table1[[#This Row],[Loss date]])</f>
        <v>547</v>
      </c>
      <c r="X1297" s="17">
        <f>INT((YEAR(Table1[[#This Row],[Loss date]])*12+MONTH(Table1[[#This Row],[Loss date]])-Earliest_Month)/4)</f>
        <v>0</v>
      </c>
      <c r="Y1297" s="17">
        <f>INT((YEAR(Table1[[#This Row],[Reporting date]])*12+MONTH(Table1[[#This Row],[Reporting date]])-Earliest_Month)/4)</f>
        <v>5</v>
      </c>
      <c r="Z1297" s="17">
        <f>Table1[[#This Row],[Reporting third]]-Table1[[#This Row],[Policy third]]</f>
        <v>5</v>
      </c>
      <c r="AA1297" s="71">
        <f>IF(Table1[[#This Row],[Overall amount]]=0,"N/A",Table1[[#This Row],[Outstanding]]/Table1[[#This Row],[Overall amount]])</f>
        <v>0</v>
      </c>
      <c r="AB1297" s="17">
        <f>IF(MONTH(Table1[[#This Row],[Loss date]])&lt;Pol_Inc_Month_Shifted,YEAR(Table1[[#This Row],[Loss date]])-1,YEAR(Table1[[#This Row],[Loss date]]))</f>
        <v>2004</v>
      </c>
      <c r="AC1297" s="17">
        <f>IF(MONTH(Table1[[#This Row],[Reporting date]])&lt;Pol_Inc_Month_Shifted,YEAR(Table1[[#This Row],[Reporting date]])-1,YEAR(Table1[[#This Row],[Reporting date]]))</f>
        <v>2006</v>
      </c>
      <c r="AD1297" s="17">
        <f>Table1[[#This Row],[Reporting year (shifted)]]-Table1[[#This Row],[Policy Year (shifted)]]</f>
        <v>2</v>
      </c>
    </row>
    <row r="1298" spans="1:30" ht="13.9">
      <c r="A1298" s="8" t="s">
        <v>3068</v>
      </c>
      <c r="B1298" s="8" t="s">
        <v>1350</v>
      </c>
      <c r="C1298" s="8" t="s">
        <v>118</v>
      </c>
      <c r="D1298" s="9">
        <v>38777</v>
      </c>
      <c r="E1298" s="9">
        <v>39118</v>
      </c>
      <c r="F1298" s="17">
        <f>IF(MONTH(Table1[[#This Row],[Loss date]])&lt;Policy_Inception_Month,YEAR(Table1[[#This Row],[Loss date]])-1,YEAR(Table1[[#This Row],[Loss date]]))</f>
        <v>2005</v>
      </c>
      <c r="G1298" s="10" t="s">
        <v>119</v>
      </c>
      <c r="H1298" s="10" t="s">
        <v>2</v>
      </c>
      <c r="I1298" s="11">
        <v>13310.474446875387</v>
      </c>
      <c r="J1298" s="11">
        <v>0</v>
      </c>
      <c r="K1298" s="11">
        <v>13310.474446875387</v>
      </c>
      <c r="L1298" s="12">
        <v>0</v>
      </c>
      <c r="M1298" s="12">
        <v>0</v>
      </c>
      <c r="N1298" s="12">
        <v>13310.474446875387</v>
      </c>
      <c r="O1298" s="70">
        <f>IF(Table1[[#This Row],[Overall amount]]=0,0,1)</f>
        <v>1</v>
      </c>
      <c r="P1298" s="70">
        <f>Table1[[#This Row],[Overall amount]]*Exchange_Rate</f>
        <v>13310.474446875387</v>
      </c>
      <c r="Q1298" s="70">
        <f>Table1[[#This Row],[Overall (destination currency)]]*(1+Claims_Inflation)^((Revalue_at_date-Table1[[#This Row],[Loss date]])/365.25)</f>
        <v>21246.996000000003</v>
      </c>
      <c r="R1298" s="70">
        <f>INT(Table1[[#This Row],[Reporting date]])-INT(Table1[[#This Row],[Loss date]])</f>
        <v>341</v>
      </c>
      <c r="S1298" s="69" t="s">
        <v>9</v>
      </c>
      <c r="T1298" s="70">
        <f>VLOOKUP(Table1[[#This Row],[Policy Year]],exposure_table,3,FALSE)</f>
        <v>409.50481038040112</v>
      </c>
      <c r="U1298" s="17">
        <f>IF(MONTH(Table1[[#This Row],[Reporting date]])&lt;Policy_Inception_Month,YEAR(Table1[[#This Row],[Reporting date]])-1,YEAR(Table1[[#This Row],[Reporting date]]))</f>
        <v>2006</v>
      </c>
      <c r="V1298" s="17">
        <f>Table1[[#This Row],[Reporting year]]-Table1[[#This Row],[Policy Year]]</f>
        <v>1</v>
      </c>
      <c r="W1298" s="17">
        <f>INT(Table1[[#This Row],[Reporting date]])-INT(Table1[[#This Row],[Loss date]])</f>
        <v>341</v>
      </c>
      <c r="X1298" s="17">
        <f>INT((YEAR(Table1[[#This Row],[Loss date]])*12+MONTH(Table1[[#This Row],[Loss date]])-Earliest_Month)/4)</f>
        <v>2</v>
      </c>
      <c r="Y1298" s="17">
        <f>INT((YEAR(Table1[[#This Row],[Reporting date]])*12+MONTH(Table1[[#This Row],[Reporting date]])-Earliest_Month)/4)</f>
        <v>5</v>
      </c>
      <c r="Z1298" s="17">
        <f>Table1[[#This Row],[Reporting third]]-Table1[[#This Row],[Policy third]]</f>
        <v>3</v>
      </c>
      <c r="AA1298" s="71">
        <f>IF(Table1[[#This Row],[Overall amount]]=0,"N/A",Table1[[#This Row],[Outstanding]]/Table1[[#This Row],[Overall amount]])</f>
        <v>0</v>
      </c>
      <c r="AB1298" s="17">
        <f>IF(MONTH(Table1[[#This Row],[Loss date]])&lt;Pol_Inc_Month_Shifted,YEAR(Table1[[#This Row],[Loss date]])-1,YEAR(Table1[[#This Row],[Loss date]]))</f>
        <v>2005</v>
      </c>
      <c r="AC1298" s="17">
        <f>IF(MONTH(Table1[[#This Row],[Reporting date]])&lt;Pol_Inc_Month_Shifted,YEAR(Table1[[#This Row],[Reporting date]])-1,YEAR(Table1[[#This Row],[Reporting date]]))</f>
        <v>2006</v>
      </c>
      <c r="AD1298" s="17">
        <f>Table1[[#This Row],[Reporting year (shifted)]]-Table1[[#This Row],[Policy Year (shifted)]]</f>
        <v>1</v>
      </c>
    </row>
    <row r="1299" spans="1:30" ht="13.9">
      <c r="A1299" s="8" t="s">
        <v>3069</v>
      </c>
      <c r="B1299" s="8" t="s">
        <v>1351</v>
      </c>
      <c r="C1299" s="8" t="s">
        <v>118</v>
      </c>
      <c r="D1299" s="9">
        <v>39252</v>
      </c>
      <c r="E1299" s="9">
        <v>39306</v>
      </c>
      <c r="F1299" s="17">
        <f>IF(MONTH(Table1[[#This Row],[Loss date]])&lt;Policy_Inception_Month,YEAR(Table1[[#This Row],[Loss date]])-1,YEAR(Table1[[#This Row],[Loss date]]))</f>
        <v>2007</v>
      </c>
      <c r="G1299" s="10" t="s">
        <v>129</v>
      </c>
      <c r="H1299" s="10" t="s">
        <v>2</v>
      </c>
      <c r="I1299" s="11">
        <v>101655.47368653919</v>
      </c>
      <c r="J1299" s="11">
        <v>0</v>
      </c>
      <c r="K1299" s="11">
        <v>101655.47368653919</v>
      </c>
      <c r="L1299" s="12">
        <v>0</v>
      </c>
      <c r="M1299" s="12">
        <v>0</v>
      </c>
      <c r="N1299" s="12">
        <v>101655.47368653919</v>
      </c>
      <c r="O1299" s="70">
        <f>IF(Table1[[#This Row],[Overall amount]]=0,0,1)</f>
        <v>1</v>
      </c>
      <c r="P1299" s="70">
        <f>Table1[[#This Row],[Overall amount]]*Exchange_Rate</f>
        <v>101655.47368653919</v>
      </c>
      <c r="Q1299" s="70">
        <f>Table1[[#This Row],[Overall (destination currency)]]*(1+Claims_Inflation)^((Revalue_at_date-Table1[[#This Row],[Loss date]])/365.25)</f>
        <v>152292.50400000002</v>
      </c>
      <c r="R1299" s="70">
        <f>INT(Table1[[#This Row],[Reporting date]])-INT(Table1[[#This Row],[Loss date]])</f>
        <v>54</v>
      </c>
      <c r="S1299" s="69" t="s">
        <v>9</v>
      </c>
      <c r="T1299" s="70">
        <f>VLOOKUP(Table1[[#This Row],[Policy Year]],exposure_table,3,FALSE)</f>
        <v>547.7736362475523</v>
      </c>
      <c r="U1299" s="17">
        <f>IF(MONTH(Table1[[#This Row],[Reporting date]])&lt;Policy_Inception_Month,YEAR(Table1[[#This Row],[Reporting date]])-1,YEAR(Table1[[#This Row],[Reporting date]]))</f>
        <v>2007</v>
      </c>
      <c r="V1299" s="17">
        <f>Table1[[#This Row],[Reporting year]]-Table1[[#This Row],[Policy Year]]</f>
        <v>0</v>
      </c>
      <c r="W1299" s="17">
        <f>INT(Table1[[#This Row],[Reporting date]])-INT(Table1[[#This Row],[Loss date]])</f>
        <v>54</v>
      </c>
      <c r="X1299" s="17">
        <f>INT((YEAR(Table1[[#This Row],[Loss date]])*12+MONTH(Table1[[#This Row],[Loss date]])-Earliest_Month)/4)</f>
        <v>6</v>
      </c>
      <c r="Y1299" s="17">
        <f>INT((YEAR(Table1[[#This Row],[Reporting date]])*12+MONTH(Table1[[#This Row],[Reporting date]])-Earliest_Month)/4)</f>
        <v>7</v>
      </c>
      <c r="Z1299" s="17">
        <f>Table1[[#This Row],[Reporting third]]-Table1[[#This Row],[Policy third]]</f>
        <v>1</v>
      </c>
      <c r="AA1299" s="71">
        <f>IF(Table1[[#This Row],[Overall amount]]=0,"N/A",Table1[[#This Row],[Outstanding]]/Table1[[#This Row],[Overall amount]])</f>
        <v>0</v>
      </c>
      <c r="AB1299" s="17">
        <f>IF(MONTH(Table1[[#This Row],[Loss date]])&lt;Pol_Inc_Month_Shifted,YEAR(Table1[[#This Row],[Loss date]])-1,YEAR(Table1[[#This Row],[Loss date]]))</f>
        <v>2006</v>
      </c>
      <c r="AC1299" s="17">
        <f>IF(MONTH(Table1[[#This Row],[Reporting date]])&lt;Pol_Inc_Month_Shifted,YEAR(Table1[[#This Row],[Reporting date]])-1,YEAR(Table1[[#This Row],[Reporting date]]))</f>
        <v>2006</v>
      </c>
      <c r="AD1299" s="17">
        <f>Table1[[#This Row],[Reporting year (shifted)]]-Table1[[#This Row],[Policy Year (shifted)]]</f>
        <v>0</v>
      </c>
    </row>
    <row r="1300" spans="1:30" ht="13.9">
      <c r="A1300" s="8" t="s">
        <v>3070</v>
      </c>
      <c r="B1300" s="8" t="s">
        <v>1352</v>
      </c>
      <c r="C1300" s="8" t="s">
        <v>118</v>
      </c>
      <c r="D1300" s="9">
        <v>39258</v>
      </c>
      <c r="E1300" s="9">
        <v>39306</v>
      </c>
      <c r="F1300" s="17">
        <f>IF(MONTH(Table1[[#This Row],[Loss date]])&lt;Policy_Inception_Month,YEAR(Table1[[#This Row],[Loss date]])-1,YEAR(Table1[[#This Row],[Loss date]]))</f>
        <v>2007</v>
      </c>
      <c r="G1300" s="10" t="s">
        <v>129</v>
      </c>
      <c r="H1300" s="10" t="s">
        <v>2</v>
      </c>
      <c r="I1300" s="11">
        <v>6682.3684040109129</v>
      </c>
      <c r="J1300" s="11">
        <v>0</v>
      </c>
      <c r="K1300" s="11">
        <v>6682.3684040109129</v>
      </c>
      <c r="L1300" s="12">
        <v>0</v>
      </c>
      <c r="M1300" s="12">
        <v>0</v>
      </c>
      <c r="N1300" s="12">
        <v>6682.3684040109129</v>
      </c>
      <c r="O1300" s="70">
        <f>IF(Table1[[#This Row],[Overall amount]]=0,0,1)</f>
        <v>1</v>
      </c>
      <c r="P1300" s="70">
        <f>Table1[[#This Row],[Overall amount]]*Exchange_Rate</f>
        <v>6682.3684040109129</v>
      </c>
      <c r="Q1300" s="70">
        <f>Table1[[#This Row],[Overall (destination currency)]]*(1+Claims_Inflation)^((Revalue_at_date-Table1[[#This Row],[Loss date]])/365.25)</f>
        <v>10002.995999999999</v>
      </c>
      <c r="R1300" s="70">
        <f>INT(Table1[[#This Row],[Reporting date]])-INT(Table1[[#This Row],[Loss date]])</f>
        <v>48</v>
      </c>
      <c r="S1300" s="69" t="s">
        <v>9</v>
      </c>
      <c r="T1300" s="70">
        <f>VLOOKUP(Table1[[#This Row],[Policy Year]],exposure_table,3,FALSE)</f>
        <v>547.7736362475523</v>
      </c>
      <c r="U1300" s="17">
        <f>IF(MONTH(Table1[[#This Row],[Reporting date]])&lt;Policy_Inception_Month,YEAR(Table1[[#This Row],[Reporting date]])-1,YEAR(Table1[[#This Row],[Reporting date]]))</f>
        <v>2007</v>
      </c>
      <c r="V1300" s="17">
        <f>Table1[[#This Row],[Reporting year]]-Table1[[#This Row],[Policy Year]]</f>
        <v>0</v>
      </c>
      <c r="W1300" s="17">
        <f>INT(Table1[[#This Row],[Reporting date]])-INT(Table1[[#This Row],[Loss date]])</f>
        <v>48</v>
      </c>
      <c r="X1300" s="17">
        <f>INT((YEAR(Table1[[#This Row],[Loss date]])*12+MONTH(Table1[[#This Row],[Loss date]])-Earliest_Month)/4)</f>
        <v>6</v>
      </c>
      <c r="Y1300" s="17">
        <f>INT((YEAR(Table1[[#This Row],[Reporting date]])*12+MONTH(Table1[[#This Row],[Reporting date]])-Earliest_Month)/4)</f>
        <v>7</v>
      </c>
      <c r="Z1300" s="17">
        <f>Table1[[#This Row],[Reporting third]]-Table1[[#This Row],[Policy third]]</f>
        <v>1</v>
      </c>
      <c r="AA1300" s="71">
        <f>IF(Table1[[#This Row],[Overall amount]]=0,"N/A",Table1[[#This Row],[Outstanding]]/Table1[[#This Row],[Overall amount]])</f>
        <v>0</v>
      </c>
      <c r="AB1300" s="17">
        <f>IF(MONTH(Table1[[#This Row],[Loss date]])&lt;Pol_Inc_Month_Shifted,YEAR(Table1[[#This Row],[Loss date]])-1,YEAR(Table1[[#This Row],[Loss date]]))</f>
        <v>2006</v>
      </c>
      <c r="AC1300" s="17">
        <f>IF(MONTH(Table1[[#This Row],[Reporting date]])&lt;Pol_Inc_Month_Shifted,YEAR(Table1[[#This Row],[Reporting date]])-1,YEAR(Table1[[#This Row],[Reporting date]]))</f>
        <v>2006</v>
      </c>
      <c r="AD1300" s="17">
        <f>Table1[[#This Row],[Reporting year (shifted)]]-Table1[[#This Row],[Policy Year (shifted)]]</f>
        <v>0</v>
      </c>
    </row>
    <row r="1301" spans="1:30" ht="13.9">
      <c r="A1301" s="8" t="s">
        <v>3071</v>
      </c>
      <c r="B1301" s="8" t="s">
        <v>1353</v>
      </c>
      <c r="C1301" s="8" t="s">
        <v>118</v>
      </c>
      <c r="D1301" s="9">
        <v>39628</v>
      </c>
      <c r="E1301" s="9">
        <v>39661</v>
      </c>
      <c r="F1301" s="17">
        <f>IF(MONTH(Table1[[#This Row],[Loss date]])&lt;Policy_Inception_Month,YEAR(Table1[[#This Row],[Loss date]])-1,YEAR(Table1[[#This Row],[Loss date]]))</f>
        <v>2008</v>
      </c>
      <c r="G1301" s="10" t="s">
        <v>129</v>
      </c>
      <c r="H1301" s="10" t="s">
        <v>2</v>
      </c>
      <c r="I1301" s="11">
        <v>477.28375043041052</v>
      </c>
      <c r="J1301" s="11">
        <v>0</v>
      </c>
      <c r="K1301" s="11">
        <v>477.28375043041052</v>
      </c>
      <c r="L1301" s="12">
        <v>0</v>
      </c>
      <c r="M1301" s="12">
        <v>0</v>
      </c>
      <c r="N1301" s="12">
        <v>477.28375043041052</v>
      </c>
      <c r="O1301" s="70">
        <f>IF(Table1[[#This Row],[Overall amount]]=0,0,1)</f>
        <v>1</v>
      </c>
      <c r="P1301" s="70">
        <f>Table1[[#This Row],[Overall amount]]*Exchange_Rate</f>
        <v>477.28375043041052</v>
      </c>
      <c r="Q1301" s="70">
        <f>Table1[[#This Row],[Overall (destination currency)]]*(1+Claims_Inflation)^((Revalue_at_date-Table1[[#This Row],[Loss date]])/365.25)</f>
        <v>680.00399999999991</v>
      </c>
      <c r="R1301" s="70">
        <f>INT(Table1[[#This Row],[Reporting date]])-INT(Table1[[#This Row],[Loss date]])</f>
        <v>33</v>
      </c>
      <c r="S1301" s="69" t="s">
        <v>9</v>
      </c>
      <c r="T1301" s="70">
        <f>VLOOKUP(Table1[[#This Row],[Policy Year]],exposure_table,3,FALSE)</f>
        <v>601.98581780480015</v>
      </c>
      <c r="U1301" s="17">
        <f>IF(MONTH(Table1[[#This Row],[Reporting date]])&lt;Policy_Inception_Month,YEAR(Table1[[#This Row],[Reporting date]])-1,YEAR(Table1[[#This Row],[Reporting date]]))</f>
        <v>2008</v>
      </c>
      <c r="V1301" s="17">
        <f>Table1[[#This Row],[Reporting year]]-Table1[[#This Row],[Policy Year]]</f>
        <v>0</v>
      </c>
      <c r="W1301" s="17">
        <f>INT(Table1[[#This Row],[Reporting date]])-INT(Table1[[#This Row],[Loss date]])</f>
        <v>33</v>
      </c>
      <c r="X1301" s="17">
        <f>INT((YEAR(Table1[[#This Row],[Loss date]])*12+MONTH(Table1[[#This Row],[Loss date]])-Earliest_Month)/4)</f>
        <v>9</v>
      </c>
      <c r="Y1301" s="17">
        <f>INT((YEAR(Table1[[#This Row],[Reporting date]])*12+MONTH(Table1[[#This Row],[Reporting date]])-Earliest_Month)/4)</f>
        <v>10</v>
      </c>
      <c r="Z1301" s="17">
        <f>Table1[[#This Row],[Reporting third]]-Table1[[#This Row],[Policy third]]</f>
        <v>1</v>
      </c>
      <c r="AA1301" s="71">
        <f>IF(Table1[[#This Row],[Overall amount]]=0,"N/A",Table1[[#This Row],[Outstanding]]/Table1[[#This Row],[Overall amount]])</f>
        <v>0</v>
      </c>
      <c r="AB1301" s="17">
        <f>IF(MONTH(Table1[[#This Row],[Loss date]])&lt;Pol_Inc_Month_Shifted,YEAR(Table1[[#This Row],[Loss date]])-1,YEAR(Table1[[#This Row],[Loss date]]))</f>
        <v>2007</v>
      </c>
      <c r="AC1301" s="17">
        <f>IF(MONTH(Table1[[#This Row],[Reporting date]])&lt;Pol_Inc_Month_Shifted,YEAR(Table1[[#This Row],[Reporting date]])-1,YEAR(Table1[[#This Row],[Reporting date]]))</f>
        <v>2007</v>
      </c>
      <c r="AD1301" s="17">
        <f>Table1[[#This Row],[Reporting year (shifted)]]-Table1[[#This Row],[Policy Year (shifted)]]</f>
        <v>0</v>
      </c>
    </row>
    <row r="1302" spans="1:30" ht="13.9">
      <c r="A1302" s="8" t="s">
        <v>3072</v>
      </c>
      <c r="B1302" s="8" t="s">
        <v>1354</v>
      </c>
      <c r="C1302" s="8" t="s">
        <v>118</v>
      </c>
      <c r="D1302" s="9">
        <v>39643</v>
      </c>
      <c r="E1302" s="9">
        <v>39661</v>
      </c>
      <c r="F1302" s="17">
        <f>IF(MONTH(Table1[[#This Row],[Loss date]])&lt;Policy_Inception_Month,YEAR(Table1[[#This Row],[Loss date]])-1,YEAR(Table1[[#This Row],[Loss date]]))</f>
        <v>2008</v>
      </c>
      <c r="G1302" s="10" t="s">
        <v>129</v>
      </c>
      <c r="H1302" s="10" t="s">
        <v>2</v>
      </c>
      <c r="I1302" s="11">
        <v>388.57137570446758</v>
      </c>
      <c r="J1302" s="11">
        <v>0</v>
      </c>
      <c r="K1302" s="11">
        <v>388.57137570446758</v>
      </c>
      <c r="L1302" s="12">
        <v>0</v>
      </c>
      <c r="M1302" s="12">
        <v>0</v>
      </c>
      <c r="N1302" s="12">
        <v>388.57137570446758</v>
      </c>
      <c r="O1302" s="70">
        <f>IF(Table1[[#This Row],[Overall amount]]=0,0,1)</f>
        <v>1</v>
      </c>
      <c r="P1302" s="70">
        <f>Table1[[#This Row],[Overall amount]]*Exchange_Rate</f>
        <v>388.57137570446758</v>
      </c>
      <c r="Q1302" s="70">
        <f>Table1[[#This Row],[Overall (destination currency)]]*(1+Claims_Inflation)^((Revalue_at_date-Table1[[#This Row],[Loss date]])/365.25)</f>
        <v>552.50400000000002</v>
      </c>
      <c r="R1302" s="70">
        <f>INT(Table1[[#This Row],[Reporting date]])-INT(Table1[[#This Row],[Loss date]])</f>
        <v>18</v>
      </c>
      <c r="S1302" s="69" t="s">
        <v>9</v>
      </c>
      <c r="T1302" s="70">
        <f>VLOOKUP(Table1[[#This Row],[Policy Year]],exposure_table,3,FALSE)</f>
        <v>601.98581780480015</v>
      </c>
      <c r="U1302" s="17">
        <f>IF(MONTH(Table1[[#This Row],[Reporting date]])&lt;Policy_Inception_Month,YEAR(Table1[[#This Row],[Reporting date]])-1,YEAR(Table1[[#This Row],[Reporting date]]))</f>
        <v>2008</v>
      </c>
      <c r="V1302" s="17">
        <f>Table1[[#This Row],[Reporting year]]-Table1[[#This Row],[Policy Year]]</f>
        <v>0</v>
      </c>
      <c r="W1302" s="17">
        <f>INT(Table1[[#This Row],[Reporting date]])-INT(Table1[[#This Row],[Loss date]])</f>
        <v>18</v>
      </c>
      <c r="X1302" s="17">
        <f>INT((YEAR(Table1[[#This Row],[Loss date]])*12+MONTH(Table1[[#This Row],[Loss date]])-Earliest_Month)/4)</f>
        <v>9</v>
      </c>
      <c r="Y1302" s="17">
        <f>INT((YEAR(Table1[[#This Row],[Reporting date]])*12+MONTH(Table1[[#This Row],[Reporting date]])-Earliest_Month)/4)</f>
        <v>10</v>
      </c>
      <c r="Z1302" s="17">
        <f>Table1[[#This Row],[Reporting third]]-Table1[[#This Row],[Policy third]]</f>
        <v>1</v>
      </c>
      <c r="AA1302" s="71">
        <f>IF(Table1[[#This Row],[Overall amount]]=0,"N/A",Table1[[#This Row],[Outstanding]]/Table1[[#This Row],[Overall amount]])</f>
        <v>0</v>
      </c>
      <c r="AB1302" s="17">
        <f>IF(MONTH(Table1[[#This Row],[Loss date]])&lt;Pol_Inc_Month_Shifted,YEAR(Table1[[#This Row],[Loss date]])-1,YEAR(Table1[[#This Row],[Loss date]]))</f>
        <v>2007</v>
      </c>
      <c r="AC1302" s="17">
        <f>IF(MONTH(Table1[[#This Row],[Reporting date]])&lt;Pol_Inc_Month_Shifted,YEAR(Table1[[#This Row],[Reporting date]])-1,YEAR(Table1[[#This Row],[Reporting date]]))</f>
        <v>2007</v>
      </c>
      <c r="AD1302" s="17">
        <f>Table1[[#This Row],[Reporting year (shifted)]]-Table1[[#This Row],[Policy Year (shifted)]]</f>
        <v>0</v>
      </c>
    </row>
    <row r="1303" spans="1:30" ht="13.9">
      <c r="A1303" s="8" t="s">
        <v>3073</v>
      </c>
      <c r="B1303" s="8" t="s">
        <v>1355</v>
      </c>
      <c r="C1303" s="8" t="s">
        <v>118</v>
      </c>
      <c r="D1303" s="9">
        <v>39432</v>
      </c>
      <c r="E1303" s="9">
        <v>39543</v>
      </c>
      <c r="F1303" s="17">
        <f>IF(MONTH(Table1[[#This Row],[Loss date]])&lt;Policy_Inception_Month,YEAR(Table1[[#This Row],[Loss date]])-1,YEAR(Table1[[#This Row],[Loss date]]))</f>
        <v>2007</v>
      </c>
      <c r="G1303" s="10" t="s">
        <v>129</v>
      </c>
      <c r="H1303" s="10" t="s">
        <v>2</v>
      </c>
      <c r="I1303" s="11">
        <v>517.25635452466122</v>
      </c>
      <c r="J1303" s="11">
        <v>0</v>
      </c>
      <c r="K1303" s="11">
        <v>517.25635452466122</v>
      </c>
      <c r="L1303" s="12">
        <v>0</v>
      </c>
      <c r="M1303" s="12">
        <v>0</v>
      </c>
      <c r="N1303" s="12">
        <v>517.25635452466122</v>
      </c>
      <c r="O1303" s="70">
        <f>IF(Table1[[#This Row],[Overall amount]]=0,0,1)</f>
        <v>1</v>
      </c>
      <c r="P1303" s="70">
        <f>Table1[[#This Row],[Overall amount]]*Exchange_Rate</f>
        <v>517.25635452466122</v>
      </c>
      <c r="Q1303" s="70">
        <f>Table1[[#This Row],[Overall (destination currency)]]*(1+Claims_Inflation)^((Revalue_at_date-Table1[[#This Row],[Loss date]])/365.25)</f>
        <v>756.50399999999991</v>
      </c>
      <c r="R1303" s="70">
        <f>INT(Table1[[#This Row],[Reporting date]])-INT(Table1[[#This Row],[Loss date]])</f>
        <v>111</v>
      </c>
      <c r="S1303" s="69" t="s">
        <v>9</v>
      </c>
      <c r="T1303" s="70">
        <f>VLOOKUP(Table1[[#This Row],[Policy Year]],exposure_table,3,FALSE)</f>
        <v>547.7736362475523</v>
      </c>
      <c r="U1303" s="17">
        <f>IF(MONTH(Table1[[#This Row],[Reporting date]])&lt;Policy_Inception_Month,YEAR(Table1[[#This Row],[Reporting date]])-1,YEAR(Table1[[#This Row],[Reporting date]]))</f>
        <v>2008</v>
      </c>
      <c r="V1303" s="17">
        <f>Table1[[#This Row],[Reporting year]]-Table1[[#This Row],[Policy Year]]</f>
        <v>1</v>
      </c>
      <c r="W1303" s="17">
        <f>INT(Table1[[#This Row],[Reporting date]])-INT(Table1[[#This Row],[Loss date]])</f>
        <v>111</v>
      </c>
      <c r="X1303" s="17">
        <f>INT((YEAR(Table1[[#This Row],[Loss date]])*12+MONTH(Table1[[#This Row],[Loss date]])-Earliest_Month)/4)</f>
        <v>8</v>
      </c>
      <c r="Y1303" s="17">
        <f>INT((YEAR(Table1[[#This Row],[Reporting date]])*12+MONTH(Table1[[#This Row],[Reporting date]])-Earliest_Month)/4)</f>
        <v>9</v>
      </c>
      <c r="Z1303" s="17">
        <f>Table1[[#This Row],[Reporting third]]-Table1[[#This Row],[Policy third]]</f>
        <v>1</v>
      </c>
      <c r="AA1303" s="71">
        <f>IF(Table1[[#This Row],[Overall amount]]=0,"N/A",Table1[[#This Row],[Outstanding]]/Table1[[#This Row],[Overall amount]])</f>
        <v>0</v>
      </c>
      <c r="AB1303" s="17">
        <f>IF(MONTH(Table1[[#This Row],[Loss date]])&lt;Pol_Inc_Month_Shifted,YEAR(Table1[[#This Row],[Loss date]])-1,YEAR(Table1[[#This Row],[Loss date]]))</f>
        <v>2007</v>
      </c>
      <c r="AC1303" s="17">
        <f>IF(MONTH(Table1[[#This Row],[Reporting date]])&lt;Pol_Inc_Month_Shifted,YEAR(Table1[[#This Row],[Reporting date]])-1,YEAR(Table1[[#This Row],[Reporting date]]))</f>
        <v>2007</v>
      </c>
      <c r="AD1303" s="17">
        <f>Table1[[#This Row],[Reporting year (shifted)]]-Table1[[#This Row],[Policy Year (shifted)]]</f>
        <v>0</v>
      </c>
    </row>
    <row r="1304" spans="1:30" ht="13.9">
      <c r="A1304" s="8" t="s">
        <v>3074</v>
      </c>
      <c r="B1304" s="8" t="s">
        <v>1356</v>
      </c>
      <c r="C1304" s="8" t="s">
        <v>118</v>
      </c>
      <c r="D1304" s="9">
        <v>39384</v>
      </c>
      <c r="E1304" s="9">
        <v>39543</v>
      </c>
      <c r="F1304" s="17">
        <f>IF(MONTH(Table1[[#This Row],[Loss date]])&lt;Policy_Inception_Month,YEAR(Table1[[#This Row],[Loss date]])-1,YEAR(Table1[[#This Row],[Loss date]]))</f>
        <v>2007</v>
      </c>
      <c r="G1304" s="10" t="s">
        <v>129</v>
      </c>
      <c r="H1304" s="10" t="s">
        <v>2</v>
      </c>
      <c r="I1304" s="11">
        <v>1576.4911899800825</v>
      </c>
      <c r="J1304" s="11">
        <v>0</v>
      </c>
      <c r="K1304" s="11">
        <v>1576.4911899800825</v>
      </c>
      <c r="L1304" s="12">
        <v>0</v>
      </c>
      <c r="M1304" s="12">
        <v>25.223859039681315</v>
      </c>
      <c r="N1304" s="12">
        <v>1551.2673309404013</v>
      </c>
      <c r="O1304" s="70">
        <f>IF(Table1[[#This Row],[Overall amount]]=0,0,1)</f>
        <v>1</v>
      </c>
      <c r="P1304" s="70">
        <f>Table1[[#This Row],[Overall amount]]*Exchange_Rate</f>
        <v>1551.2673309404013</v>
      </c>
      <c r="Q1304" s="70">
        <f>Table1[[#This Row],[Overall (destination currency)]]*(1+Claims_Inflation)^((Revalue_at_date-Table1[[#This Row],[Loss date]])/365.25)</f>
        <v>2283.3720000000008</v>
      </c>
      <c r="R1304" s="70">
        <f>INT(Table1[[#This Row],[Reporting date]])-INT(Table1[[#This Row],[Loss date]])</f>
        <v>159</v>
      </c>
      <c r="S1304" s="69" t="s">
        <v>9</v>
      </c>
      <c r="T1304" s="70">
        <f>VLOOKUP(Table1[[#This Row],[Policy Year]],exposure_table,3,FALSE)</f>
        <v>547.7736362475523</v>
      </c>
      <c r="U1304" s="17">
        <f>IF(MONTH(Table1[[#This Row],[Reporting date]])&lt;Policy_Inception_Month,YEAR(Table1[[#This Row],[Reporting date]])-1,YEAR(Table1[[#This Row],[Reporting date]]))</f>
        <v>2008</v>
      </c>
      <c r="V1304" s="17">
        <f>Table1[[#This Row],[Reporting year]]-Table1[[#This Row],[Policy Year]]</f>
        <v>1</v>
      </c>
      <c r="W1304" s="17">
        <f>INT(Table1[[#This Row],[Reporting date]])-INT(Table1[[#This Row],[Loss date]])</f>
        <v>159</v>
      </c>
      <c r="X1304" s="17">
        <f>INT((YEAR(Table1[[#This Row],[Loss date]])*12+MONTH(Table1[[#This Row],[Loss date]])-Earliest_Month)/4)</f>
        <v>7</v>
      </c>
      <c r="Y1304" s="17">
        <f>INT((YEAR(Table1[[#This Row],[Reporting date]])*12+MONTH(Table1[[#This Row],[Reporting date]])-Earliest_Month)/4)</f>
        <v>9</v>
      </c>
      <c r="Z1304" s="17">
        <f>Table1[[#This Row],[Reporting third]]-Table1[[#This Row],[Policy third]]</f>
        <v>2</v>
      </c>
      <c r="AA1304" s="71">
        <f>IF(Table1[[#This Row],[Overall amount]]=0,"N/A",Table1[[#This Row],[Outstanding]]/Table1[[#This Row],[Overall amount]])</f>
        <v>0</v>
      </c>
      <c r="AB1304" s="17">
        <f>IF(MONTH(Table1[[#This Row],[Loss date]])&lt;Pol_Inc_Month_Shifted,YEAR(Table1[[#This Row],[Loss date]])-1,YEAR(Table1[[#This Row],[Loss date]]))</f>
        <v>2006</v>
      </c>
      <c r="AC1304" s="17">
        <f>IF(MONTH(Table1[[#This Row],[Reporting date]])&lt;Pol_Inc_Month_Shifted,YEAR(Table1[[#This Row],[Reporting date]])-1,YEAR(Table1[[#This Row],[Reporting date]]))</f>
        <v>2007</v>
      </c>
      <c r="AD1304" s="17">
        <f>Table1[[#This Row],[Reporting year (shifted)]]-Table1[[#This Row],[Policy Year (shifted)]]</f>
        <v>1</v>
      </c>
    </row>
    <row r="1305" spans="1:30" ht="13.9">
      <c r="A1305" s="8" t="s">
        <v>3075</v>
      </c>
      <c r="B1305" s="8" t="s">
        <v>1357</v>
      </c>
      <c r="C1305" s="8" t="s">
        <v>118</v>
      </c>
      <c r="D1305" s="9">
        <v>39682</v>
      </c>
      <c r="E1305" s="9">
        <v>39682</v>
      </c>
      <c r="F1305" s="17">
        <f>IF(MONTH(Table1[[#This Row],[Loss date]])&lt;Policy_Inception_Month,YEAR(Table1[[#This Row],[Loss date]])-1,YEAR(Table1[[#This Row],[Loss date]]))</f>
        <v>2008</v>
      </c>
      <c r="G1305" s="10" t="s">
        <v>119</v>
      </c>
      <c r="H1305" s="10" t="s">
        <v>2</v>
      </c>
      <c r="I1305" s="11">
        <v>0</v>
      </c>
      <c r="J1305" s="11">
        <v>0</v>
      </c>
      <c r="K1305" s="11">
        <v>0</v>
      </c>
      <c r="L1305" s="12">
        <v>0</v>
      </c>
      <c r="M1305" s="12">
        <v>0</v>
      </c>
      <c r="N1305" s="12">
        <v>0</v>
      </c>
      <c r="O1305" s="70">
        <f>IF(Table1[[#This Row],[Overall amount]]=0,0,1)</f>
        <v>0</v>
      </c>
      <c r="P1305" s="70">
        <f>Table1[[#This Row],[Overall amount]]*Exchange_Rate</f>
        <v>0</v>
      </c>
      <c r="Q1305" s="70">
        <f>Table1[[#This Row],[Overall (destination currency)]]*(1+Claims_Inflation)^((Revalue_at_date-Table1[[#This Row],[Loss date]])/365.25)</f>
        <v>0</v>
      </c>
      <c r="R1305" s="70">
        <f>INT(Table1[[#This Row],[Reporting date]])-INT(Table1[[#This Row],[Loss date]])</f>
        <v>0</v>
      </c>
      <c r="S1305" s="69" t="s">
        <v>9</v>
      </c>
      <c r="T1305" s="70">
        <f>VLOOKUP(Table1[[#This Row],[Policy Year]],exposure_table,3,FALSE)</f>
        <v>601.98581780480015</v>
      </c>
      <c r="U1305" s="17">
        <f>IF(MONTH(Table1[[#This Row],[Reporting date]])&lt;Policy_Inception_Month,YEAR(Table1[[#This Row],[Reporting date]])-1,YEAR(Table1[[#This Row],[Reporting date]]))</f>
        <v>2008</v>
      </c>
      <c r="V1305" s="17">
        <f>Table1[[#This Row],[Reporting year]]-Table1[[#This Row],[Policy Year]]</f>
        <v>0</v>
      </c>
      <c r="W1305" s="17">
        <f>INT(Table1[[#This Row],[Reporting date]])-INT(Table1[[#This Row],[Loss date]])</f>
        <v>0</v>
      </c>
      <c r="X1305" s="17">
        <f>INT((YEAR(Table1[[#This Row],[Loss date]])*12+MONTH(Table1[[#This Row],[Loss date]])-Earliest_Month)/4)</f>
        <v>10</v>
      </c>
      <c r="Y1305" s="17">
        <f>INT((YEAR(Table1[[#This Row],[Reporting date]])*12+MONTH(Table1[[#This Row],[Reporting date]])-Earliest_Month)/4)</f>
        <v>10</v>
      </c>
      <c r="Z1305" s="17">
        <f>Table1[[#This Row],[Reporting third]]-Table1[[#This Row],[Policy third]]</f>
        <v>0</v>
      </c>
      <c r="AA1305" s="71" t="str">
        <f>IF(Table1[[#This Row],[Overall amount]]=0,"N/A",Table1[[#This Row],[Outstanding]]/Table1[[#This Row],[Overall amount]])</f>
        <v>N/A</v>
      </c>
      <c r="AB1305" s="17">
        <f>IF(MONTH(Table1[[#This Row],[Loss date]])&lt;Pol_Inc_Month_Shifted,YEAR(Table1[[#This Row],[Loss date]])-1,YEAR(Table1[[#This Row],[Loss date]]))</f>
        <v>2007</v>
      </c>
      <c r="AC1305" s="17">
        <f>IF(MONTH(Table1[[#This Row],[Reporting date]])&lt;Pol_Inc_Month_Shifted,YEAR(Table1[[#This Row],[Reporting date]])-1,YEAR(Table1[[#This Row],[Reporting date]]))</f>
        <v>2007</v>
      </c>
      <c r="AD1305" s="17">
        <f>Table1[[#This Row],[Reporting year (shifted)]]-Table1[[#This Row],[Policy Year (shifted)]]</f>
        <v>0</v>
      </c>
    </row>
    <row r="1306" spans="1:30" ht="13.9">
      <c r="A1306" s="8" t="s">
        <v>3076</v>
      </c>
      <c r="B1306" s="8" t="s">
        <v>1358</v>
      </c>
      <c r="C1306" s="8" t="s">
        <v>118</v>
      </c>
      <c r="D1306" s="9">
        <v>39684</v>
      </c>
      <c r="E1306" s="9">
        <v>39719</v>
      </c>
      <c r="F1306" s="17">
        <f>IF(MONTH(Table1[[#This Row],[Loss date]])&lt;Policy_Inception_Month,YEAR(Table1[[#This Row],[Loss date]])-1,YEAR(Table1[[#This Row],[Loss date]]))</f>
        <v>2008</v>
      </c>
      <c r="G1306" s="10" t="s">
        <v>129</v>
      </c>
      <c r="H1306" s="10" t="s">
        <v>2</v>
      </c>
      <c r="I1306" s="11">
        <v>372.67291349117261</v>
      </c>
      <c r="J1306" s="11">
        <v>0</v>
      </c>
      <c r="K1306" s="11">
        <v>372.67291349117261</v>
      </c>
      <c r="L1306" s="12">
        <v>0</v>
      </c>
      <c r="M1306" s="12">
        <v>0</v>
      </c>
      <c r="N1306" s="12">
        <v>372.67291349117261</v>
      </c>
      <c r="O1306" s="70">
        <f>IF(Table1[[#This Row],[Overall amount]]=0,0,1)</f>
        <v>1</v>
      </c>
      <c r="P1306" s="70">
        <f>Table1[[#This Row],[Overall amount]]*Exchange_Rate</f>
        <v>372.67291349117261</v>
      </c>
      <c r="Q1306" s="70">
        <f>Table1[[#This Row],[Overall (destination currency)]]*(1+Claims_Inflation)^((Revalue_at_date-Table1[[#This Row],[Loss date]])/365.25)</f>
        <v>527.00400000000002</v>
      </c>
      <c r="R1306" s="70">
        <f>INT(Table1[[#This Row],[Reporting date]])-INT(Table1[[#This Row],[Loss date]])</f>
        <v>35</v>
      </c>
      <c r="S1306" s="69" t="s">
        <v>9</v>
      </c>
      <c r="T1306" s="70">
        <f>VLOOKUP(Table1[[#This Row],[Policy Year]],exposure_table,3,FALSE)</f>
        <v>601.98581780480015</v>
      </c>
      <c r="U1306" s="17">
        <f>IF(MONTH(Table1[[#This Row],[Reporting date]])&lt;Policy_Inception_Month,YEAR(Table1[[#This Row],[Reporting date]])-1,YEAR(Table1[[#This Row],[Reporting date]]))</f>
        <v>2008</v>
      </c>
      <c r="V1306" s="17">
        <f>Table1[[#This Row],[Reporting year]]-Table1[[#This Row],[Policy Year]]</f>
        <v>0</v>
      </c>
      <c r="W1306" s="17">
        <f>INT(Table1[[#This Row],[Reporting date]])-INT(Table1[[#This Row],[Loss date]])</f>
        <v>35</v>
      </c>
      <c r="X1306" s="17">
        <f>INT((YEAR(Table1[[#This Row],[Loss date]])*12+MONTH(Table1[[#This Row],[Loss date]])-Earliest_Month)/4)</f>
        <v>10</v>
      </c>
      <c r="Y1306" s="17">
        <f>INT((YEAR(Table1[[#This Row],[Reporting date]])*12+MONTH(Table1[[#This Row],[Reporting date]])-Earliest_Month)/4)</f>
        <v>10</v>
      </c>
      <c r="Z1306" s="17">
        <f>Table1[[#This Row],[Reporting third]]-Table1[[#This Row],[Policy third]]</f>
        <v>0</v>
      </c>
      <c r="AA1306" s="71">
        <f>IF(Table1[[#This Row],[Overall amount]]=0,"N/A",Table1[[#This Row],[Outstanding]]/Table1[[#This Row],[Overall amount]])</f>
        <v>0</v>
      </c>
      <c r="AB1306" s="17">
        <f>IF(MONTH(Table1[[#This Row],[Loss date]])&lt;Pol_Inc_Month_Shifted,YEAR(Table1[[#This Row],[Loss date]])-1,YEAR(Table1[[#This Row],[Loss date]]))</f>
        <v>2007</v>
      </c>
      <c r="AC1306" s="17">
        <f>IF(MONTH(Table1[[#This Row],[Reporting date]])&lt;Pol_Inc_Month_Shifted,YEAR(Table1[[#This Row],[Reporting date]])-1,YEAR(Table1[[#This Row],[Reporting date]]))</f>
        <v>2007</v>
      </c>
      <c r="AD1306" s="17">
        <f>Table1[[#This Row],[Reporting year (shifted)]]-Table1[[#This Row],[Policy Year (shifted)]]</f>
        <v>0</v>
      </c>
    </row>
    <row r="1307" spans="1:30" ht="13.9">
      <c r="A1307" s="8" t="s">
        <v>3077</v>
      </c>
      <c r="B1307" s="8" t="s">
        <v>1359</v>
      </c>
      <c r="C1307" s="8" t="s">
        <v>118</v>
      </c>
      <c r="D1307" s="9">
        <v>40834</v>
      </c>
      <c r="E1307" s="9">
        <v>40957</v>
      </c>
      <c r="F1307" s="17">
        <f>IF(MONTH(Table1[[#This Row],[Loss date]])&lt;Policy_Inception_Month,YEAR(Table1[[#This Row],[Loss date]])-1,YEAR(Table1[[#This Row],[Loss date]]))</f>
        <v>2011</v>
      </c>
      <c r="G1307" s="10" t="s">
        <v>144</v>
      </c>
      <c r="H1307" s="10" t="s">
        <v>2</v>
      </c>
      <c r="I1307" s="11">
        <v>889.54918243849693</v>
      </c>
      <c r="J1307" s="11">
        <v>0</v>
      </c>
      <c r="K1307" s="11">
        <v>889.54918243849693</v>
      </c>
      <c r="L1307" s="12">
        <v>0</v>
      </c>
      <c r="M1307" s="12">
        <v>0</v>
      </c>
      <c r="N1307" s="12">
        <v>889.54918243849693</v>
      </c>
      <c r="O1307" s="70">
        <f>IF(Table1[[#This Row],[Overall amount]]=0,0,1)</f>
        <v>1</v>
      </c>
      <c r="P1307" s="70">
        <f>Table1[[#This Row],[Overall amount]]*Exchange_Rate</f>
        <v>889.54918243849693</v>
      </c>
      <c r="Q1307" s="70">
        <f>Table1[[#This Row],[Overall (destination currency)]]*(1+Claims_Inflation)^((Revalue_at_date-Table1[[#This Row],[Loss date]])/365.25)</f>
        <v>1078.8000000000002</v>
      </c>
      <c r="R1307" s="70">
        <f>INT(Table1[[#This Row],[Reporting date]])-INT(Table1[[#This Row],[Loss date]])</f>
        <v>123</v>
      </c>
      <c r="S1307" s="69" t="s">
        <v>9</v>
      </c>
      <c r="T1307" s="70">
        <f>VLOOKUP(Table1[[#This Row],[Policy Year]],exposure_table,3,FALSE)</f>
        <v>870.52680000000009</v>
      </c>
      <c r="U1307" s="17">
        <f>IF(MONTH(Table1[[#This Row],[Reporting date]])&lt;Policy_Inception_Month,YEAR(Table1[[#This Row],[Reporting date]])-1,YEAR(Table1[[#This Row],[Reporting date]]))</f>
        <v>2011</v>
      </c>
      <c r="V1307" s="17">
        <f>Table1[[#This Row],[Reporting year]]-Table1[[#This Row],[Policy Year]]</f>
        <v>0</v>
      </c>
      <c r="W1307" s="17">
        <f>INT(Table1[[#This Row],[Reporting date]])-INT(Table1[[#This Row],[Loss date]])</f>
        <v>123</v>
      </c>
      <c r="X1307" s="17">
        <f>INT((YEAR(Table1[[#This Row],[Loss date]])*12+MONTH(Table1[[#This Row],[Loss date]])-Earliest_Month)/4)</f>
        <v>19</v>
      </c>
      <c r="Y1307" s="17">
        <f>INT((YEAR(Table1[[#This Row],[Reporting date]])*12+MONTH(Table1[[#This Row],[Reporting date]])-Earliest_Month)/4)</f>
        <v>20</v>
      </c>
      <c r="Z1307" s="17">
        <f>Table1[[#This Row],[Reporting third]]-Table1[[#This Row],[Policy third]]</f>
        <v>1</v>
      </c>
      <c r="AA1307" s="71">
        <f>IF(Table1[[#This Row],[Overall amount]]=0,"N/A",Table1[[#This Row],[Outstanding]]/Table1[[#This Row],[Overall amount]])</f>
        <v>0</v>
      </c>
      <c r="AB1307" s="17">
        <f>IF(MONTH(Table1[[#This Row],[Loss date]])&lt;Pol_Inc_Month_Shifted,YEAR(Table1[[#This Row],[Loss date]])-1,YEAR(Table1[[#This Row],[Loss date]]))</f>
        <v>2010</v>
      </c>
      <c r="AC1307" s="17">
        <f>IF(MONTH(Table1[[#This Row],[Reporting date]])&lt;Pol_Inc_Month_Shifted,YEAR(Table1[[#This Row],[Reporting date]])-1,YEAR(Table1[[#This Row],[Reporting date]]))</f>
        <v>2011</v>
      </c>
      <c r="AD1307" s="17">
        <f>Table1[[#This Row],[Reporting year (shifted)]]-Table1[[#This Row],[Policy Year (shifted)]]</f>
        <v>1</v>
      </c>
    </row>
    <row r="1308" spans="1:30" ht="13.9">
      <c r="A1308" s="8" t="s">
        <v>3078</v>
      </c>
      <c r="B1308" s="8" t="s">
        <v>1360</v>
      </c>
      <c r="C1308" s="8" t="s">
        <v>118</v>
      </c>
      <c r="D1308" s="9">
        <v>38603</v>
      </c>
      <c r="E1308" s="9">
        <v>38604</v>
      </c>
      <c r="F1308" s="17">
        <f>IF(MONTH(Table1[[#This Row],[Loss date]])&lt;Policy_Inception_Month,YEAR(Table1[[#This Row],[Loss date]])-1,YEAR(Table1[[#This Row],[Loss date]]))</f>
        <v>2005</v>
      </c>
      <c r="G1308" s="10" t="s">
        <v>144</v>
      </c>
      <c r="H1308" s="10" t="s">
        <v>2</v>
      </c>
      <c r="I1308" s="11">
        <v>1340.0679715759793</v>
      </c>
      <c r="J1308" s="11">
        <v>0</v>
      </c>
      <c r="K1308" s="11">
        <v>1340.0679715759793</v>
      </c>
      <c r="L1308" s="12">
        <v>0</v>
      </c>
      <c r="M1308" s="12">
        <v>0</v>
      </c>
      <c r="N1308" s="12">
        <v>1340.0679715759793</v>
      </c>
      <c r="O1308" s="70">
        <f>IF(Table1[[#This Row],[Overall amount]]=0,0,1)</f>
        <v>1</v>
      </c>
      <c r="P1308" s="70">
        <f>Table1[[#This Row],[Overall amount]]*Exchange_Rate</f>
        <v>1340.0679715759793</v>
      </c>
      <c r="Q1308" s="70">
        <f>Table1[[#This Row],[Overall (destination currency)]]*(1+Claims_Inflation)^((Revalue_at_date-Table1[[#This Row],[Loss date]])/365.25)</f>
        <v>2189.4</v>
      </c>
      <c r="R1308" s="70">
        <f>INT(Table1[[#This Row],[Reporting date]])-INT(Table1[[#This Row],[Loss date]])</f>
        <v>1</v>
      </c>
      <c r="S1308" s="69" t="s">
        <v>9</v>
      </c>
      <c r="T1308" s="70">
        <f>VLOOKUP(Table1[[#This Row],[Policy Year]],exposure_table,3,FALSE)</f>
        <v>409.50481038040112</v>
      </c>
      <c r="U1308" s="17">
        <f>IF(MONTH(Table1[[#This Row],[Reporting date]])&lt;Policy_Inception_Month,YEAR(Table1[[#This Row],[Reporting date]])-1,YEAR(Table1[[#This Row],[Reporting date]]))</f>
        <v>2005</v>
      </c>
      <c r="V1308" s="17">
        <f>Table1[[#This Row],[Reporting year]]-Table1[[#This Row],[Policy Year]]</f>
        <v>0</v>
      </c>
      <c r="W1308" s="17">
        <f>INT(Table1[[#This Row],[Reporting date]])-INT(Table1[[#This Row],[Loss date]])</f>
        <v>1</v>
      </c>
      <c r="X1308" s="17">
        <f>INT((YEAR(Table1[[#This Row],[Loss date]])*12+MONTH(Table1[[#This Row],[Loss date]])-Earliest_Month)/4)</f>
        <v>1</v>
      </c>
      <c r="Y1308" s="17">
        <f>INT((YEAR(Table1[[#This Row],[Reporting date]])*12+MONTH(Table1[[#This Row],[Reporting date]])-Earliest_Month)/4)</f>
        <v>1</v>
      </c>
      <c r="Z1308" s="17">
        <f>Table1[[#This Row],[Reporting third]]-Table1[[#This Row],[Policy third]]</f>
        <v>0</v>
      </c>
      <c r="AA1308" s="71">
        <f>IF(Table1[[#This Row],[Overall amount]]=0,"N/A",Table1[[#This Row],[Outstanding]]/Table1[[#This Row],[Overall amount]])</f>
        <v>0</v>
      </c>
      <c r="AB1308" s="17">
        <f>IF(MONTH(Table1[[#This Row],[Loss date]])&lt;Pol_Inc_Month_Shifted,YEAR(Table1[[#This Row],[Loss date]])-1,YEAR(Table1[[#This Row],[Loss date]]))</f>
        <v>2004</v>
      </c>
      <c r="AC1308" s="17">
        <f>IF(MONTH(Table1[[#This Row],[Reporting date]])&lt;Pol_Inc_Month_Shifted,YEAR(Table1[[#This Row],[Reporting date]])-1,YEAR(Table1[[#This Row],[Reporting date]]))</f>
        <v>2004</v>
      </c>
      <c r="AD1308" s="17">
        <f>Table1[[#This Row],[Reporting year (shifted)]]-Table1[[#This Row],[Policy Year (shifted)]]</f>
        <v>0</v>
      </c>
    </row>
    <row r="1309" spans="1:30" ht="13.9">
      <c r="A1309" s="8" t="s">
        <v>3079</v>
      </c>
      <c r="B1309" s="8" t="s">
        <v>1361</v>
      </c>
      <c r="C1309" s="8" t="s">
        <v>118</v>
      </c>
      <c r="D1309" s="9">
        <v>38726</v>
      </c>
      <c r="E1309" s="9">
        <v>38738</v>
      </c>
      <c r="F1309" s="17">
        <f>IF(MONTH(Table1[[#This Row],[Loss date]])&lt;Policy_Inception_Month,YEAR(Table1[[#This Row],[Loss date]])-1,YEAR(Table1[[#This Row],[Loss date]]))</f>
        <v>2005</v>
      </c>
      <c r="G1309" s="10" t="s">
        <v>131</v>
      </c>
      <c r="H1309" s="10" t="s">
        <v>2</v>
      </c>
      <c r="I1309" s="11">
        <v>73.814075031849356</v>
      </c>
      <c r="J1309" s="11">
        <v>0</v>
      </c>
      <c r="K1309" s="11">
        <v>73.814075031849356</v>
      </c>
      <c r="L1309" s="12">
        <v>0</v>
      </c>
      <c r="M1309" s="12">
        <v>0</v>
      </c>
      <c r="N1309" s="12">
        <v>73.814075031849356</v>
      </c>
      <c r="O1309" s="70">
        <f>IF(Table1[[#This Row],[Overall amount]]=0,0,1)</f>
        <v>1</v>
      </c>
      <c r="P1309" s="70">
        <f>Table1[[#This Row],[Overall amount]]*Exchange_Rate</f>
        <v>73.814075031849356</v>
      </c>
      <c r="Q1309" s="70">
        <f>Table1[[#This Row],[Overall (destination currency)]]*(1+Claims_Inflation)^((Revalue_at_date-Table1[[#This Row],[Loss date]])/365.25)</f>
        <v>118.63199999999999</v>
      </c>
      <c r="R1309" s="70">
        <f>INT(Table1[[#This Row],[Reporting date]])-INT(Table1[[#This Row],[Loss date]])</f>
        <v>12</v>
      </c>
      <c r="S1309" s="69" t="s">
        <v>9</v>
      </c>
      <c r="T1309" s="70">
        <f>VLOOKUP(Table1[[#This Row],[Policy Year]],exposure_table,3,FALSE)</f>
        <v>409.50481038040112</v>
      </c>
      <c r="U1309" s="17">
        <f>IF(MONTH(Table1[[#This Row],[Reporting date]])&lt;Policy_Inception_Month,YEAR(Table1[[#This Row],[Reporting date]])-1,YEAR(Table1[[#This Row],[Reporting date]]))</f>
        <v>2005</v>
      </c>
      <c r="V1309" s="17">
        <f>Table1[[#This Row],[Reporting year]]-Table1[[#This Row],[Policy Year]]</f>
        <v>0</v>
      </c>
      <c r="W1309" s="17">
        <f>INT(Table1[[#This Row],[Reporting date]])-INT(Table1[[#This Row],[Loss date]])</f>
        <v>12</v>
      </c>
      <c r="X1309" s="17">
        <f>INT((YEAR(Table1[[#This Row],[Loss date]])*12+MONTH(Table1[[#This Row],[Loss date]])-Earliest_Month)/4)</f>
        <v>2</v>
      </c>
      <c r="Y1309" s="17">
        <f>INT((YEAR(Table1[[#This Row],[Reporting date]])*12+MONTH(Table1[[#This Row],[Reporting date]])-Earliest_Month)/4)</f>
        <v>2</v>
      </c>
      <c r="Z1309" s="17">
        <f>Table1[[#This Row],[Reporting third]]-Table1[[#This Row],[Policy third]]</f>
        <v>0</v>
      </c>
      <c r="AA1309" s="71">
        <f>IF(Table1[[#This Row],[Overall amount]]=0,"N/A",Table1[[#This Row],[Outstanding]]/Table1[[#This Row],[Overall amount]])</f>
        <v>0</v>
      </c>
      <c r="AB1309" s="17">
        <f>IF(MONTH(Table1[[#This Row],[Loss date]])&lt;Pol_Inc_Month_Shifted,YEAR(Table1[[#This Row],[Loss date]])-1,YEAR(Table1[[#This Row],[Loss date]]))</f>
        <v>2005</v>
      </c>
      <c r="AC1309" s="17">
        <f>IF(MONTH(Table1[[#This Row],[Reporting date]])&lt;Pol_Inc_Month_Shifted,YEAR(Table1[[#This Row],[Reporting date]])-1,YEAR(Table1[[#This Row],[Reporting date]]))</f>
        <v>2005</v>
      </c>
      <c r="AD1309" s="17">
        <f>Table1[[#This Row],[Reporting year (shifted)]]-Table1[[#This Row],[Policy Year (shifted)]]</f>
        <v>0</v>
      </c>
    </row>
    <row r="1310" spans="1:30" ht="13.9">
      <c r="A1310" s="8" t="s">
        <v>3080</v>
      </c>
      <c r="B1310" s="8" t="s">
        <v>1362</v>
      </c>
      <c r="C1310" s="8" t="s">
        <v>118</v>
      </c>
      <c r="D1310" s="9">
        <v>39802</v>
      </c>
      <c r="E1310" s="9">
        <v>39825</v>
      </c>
      <c r="F1310" s="17">
        <f>IF(MONTH(Table1[[#This Row],[Loss date]])&lt;Policy_Inception_Month,YEAR(Table1[[#This Row],[Loss date]])-1,YEAR(Table1[[#This Row],[Loss date]]))</f>
        <v>2008</v>
      </c>
      <c r="G1310" s="10" t="s">
        <v>131</v>
      </c>
      <c r="H1310" s="10" t="s">
        <v>2</v>
      </c>
      <c r="I1310" s="11">
        <v>122.12894554735516</v>
      </c>
      <c r="J1310" s="11">
        <v>0</v>
      </c>
      <c r="K1310" s="11">
        <v>122.12894554735516</v>
      </c>
      <c r="L1310" s="12">
        <v>0</v>
      </c>
      <c r="M1310" s="12">
        <v>0</v>
      </c>
      <c r="N1310" s="12">
        <v>122.12894554735516</v>
      </c>
      <c r="O1310" s="70">
        <f>IF(Table1[[#This Row],[Overall amount]]=0,0,1)</f>
        <v>1</v>
      </c>
      <c r="P1310" s="70">
        <f>Table1[[#This Row],[Overall amount]]*Exchange_Rate</f>
        <v>122.12894554735516</v>
      </c>
      <c r="Q1310" s="70">
        <f>Table1[[#This Row],[Overall (destination currency)]]*(1+Claims_Inflation)^((Revalue_at_date-Table1[[#This Row],[Loss date]])/365.25)</f>
        <v>170.00399999999999</v>
      </c>
      <c r="R1310" s="70">
        <f>INT(Table1[[#This Row],[Reporting date]])-INT(Table1[[#This Row],[Loss date]])</f>
        <v>23</v>
      </c>
      <c r="S1310" s="69" t="s">
        <v>9</v>
      </c>
      <c r="T1310" s="70">
        <f>VLOOKUP(Table1[[#This Row],[Policy Year]],exposure_table,3,FALSE)</f>
        <v>601.98581780480015</v>
      </c>
      <c r="U1310" s="17">
        <f>IF(MONTH(Table1[[#This Row],[Reporting date]])&lt;Policy_Inception_Month,YEAR(Table1[[#This Row],[Reporting date]])-1,YEAR(Table1[[#This Row],[Reporting date]]))</f>
        <v>2008</v>
      </c>
      <c r="V1310" s="17">
        <f>Table1[[#This Row],[Reporting year]]-Table1[[#This Row],[Policy Year]]</f>
        <v>0</v>
      </c>
      <c r="W1310" s="17">
        <f>INT(Table1[[#This Row],[Reporting date]])-INT(Table1[[#This Row],[Loss date]])</f>
        <v>23</v>
      </c>
      <c r="X1310" s="17">
        <f>INT((YEAR(Table1[[#This Row],[Loss date]])*12+MONTH(Table1[[#This Row],[Loss date]])-Earliest_Month)/4)</f>
        <v>11</v>
      </c>
      <c r="Y1310" s="17">
        <f>INT((YEAR(Table1[[#This Row],[Reporting date]])*12+MONTH(Table1[[#This Row],[Reporting date]])-Earliest_Month)/4)</f>
        <v>11</v>
      </c>
      <c r="Z1310" s="17">
        <f>Table1[[#This Row],[Reporting third]]-Table1[[#This Row],[Policy third]]</f>
        <v>0</v>
      </c>
      <c r="AA1310" s="71">
        <f>IF(Table1[[#This Row],[Overall amount]]=0,"N/A",Table1[[#This Row],[Outstanding]]/Table1[[#This Row],[Overall amount]])</f>
        <v>0</v>
      </c>
      <c r="AB1310" s="17">
        <f>IF(MONTH(Table1[[#This Row],[Loss date]])&lt;Pol_Inc_Month_Shifted,YEAR(Table1[[#This Row],[Loss date]])-1,YEAR(Table1[[#This Row],[Loss date]]))</f>
        <v>2008</v>
      </c>
      <c r="AC1310" s="17">
        <f>IF(MONTH(Table1[[#This Row],[Reporting date]])&lt;Pol_Inc_Month_Shifted,YEAR(Table1[[#This Row],[Reporting date]])-1,YEAR(Table1[[#This Row],[Reporting date]]))</f>
        <v>2008</v>
      </c>
      <c r="AD1310" s="17">
        <f>Table1[[#This Row],[Reporting year (shifted)]]-Table1[[#This Row],[Policy Year (shifted)]]</f>
        <v>0</v>
      </c>
    </row>
    <row r="1311" spans="1:30" ht="13.9">
      <c r="A1311" s="8" t="s">
        <v>3081</v>
      </c>
      <c r="B1311" s="8" t="s">
        <v>1363</v>
      </c>
      <c r="C1311" s="8" t="s">
        <v>118</v>
      </c>
      <c r="D1311" s="9">
        <v>40123</v>
      </c>
      <c r="E1311" s="9">
        <v>40280</v>
      </c>
      <c r="F1311" s="17">
        <f>IF(MONTH(Table1[[#This Row],[Loss date]])&lt;Policy_Inception_Month,YEAR(Table1[[#This Row],[Loss date]])-1,YEAR(Table1[[#This Row],[Loss date]]))</f>
        <v>2009</v>
      </c>
      <c r="G1311" s="10" t="s">
        <v>125</v>
      </c>
      <c r="H1311" s="10" t="s">
        <v>2</v>
      </c>
      <c r="I1311" s="11">
        <v>3555.7883930962894</v>
      </c>
      <c r="J1311" s="11">
        <v>0</v>
      </c>
      <c r="K1311" s="11">
        <v>3555.7883930962894</v>
      </c>
      <c r="L1311" s="12">
        <v>0</v>
      </c>
      <c r="M1311" s="12">
        <v>0</v>
      </c>
      <c r="N1311" s="12">
        <v>3555.7883930962894</v>
      </c>
      <c r="O1311" s="70">
        <f>IF(Table1[[#This Row],[Overall amount]]=0,0,1)</f>
        <v>1</v>
      </c>
      <c r="P1311" s="70">
        <f>Table1[[#This Row],[Overall amount]]*Exchange_Rate</f>
        <v>3555.7883930962894</v>
      </c>
      <c r="Q1311" s="70">
        <f>Table1[[#This Row],[Overall (destination currency)]]*(1+Claims_Inflation)^((Revalue_at_date-Table1[[#This Row],[Loss date]])/365.25)</f>
        <v>4741.9199999999992</v>
      </c>
      <c r="R1311" s="70">
        <f>INT(Table1[[#This Row],[Reporting date]])-INT(Table1[[#This Row],[Loss date]])</f>
        <v>157</v>
      </c>
      <c r="S1311" s="69" t="s">
        <v>9</v>
      </c>
      <c r="T1311" s="70">
        <f>VLOOKUP(Table1[[#This Row],[Policy Year]],exposure_table,3,FALSE)</f>
        <v>760.22808576000011</v>
      </c>
      <c r="U1311" s="17">
        <f>IF(MONTH(Table1[[#This Row],[Reporting date]])&lt;Policy_Inception_Month,YEAR(Table1[[#This Row],[Reporting date]])-1,YEAR(Table1[[#This Row],[Reporting date]]))</f>
        <v>2010</v>
      </c>
      <c r="V1311" s="17">
        <f>Table1[[#This Row],[Reporting year]]-Table1[[#This Row],[Policy Year]]</f>
        <v>1</v>
      </c>
      <c r="W1311" s="17">
        <f>INT(Table1[[#This Row],[Reporting date]])-INT(Table1[[#This Row],[Loss date]])</f>
        <v>157</v>
      </c>
      <c r="X1311" s="17">
        <f>INT((YEAR(Table1[[#This Row],[Loss date]])*12+MONTH(Table1[[#This Row],[Loss date]])-Earliest_Month)/4)</f>
        <v>13</v>
      </c>
      <c r="Y1311" s="17">
        <f>INT((YEAR(Table1[[#This Row],[Reporting date]])*12+MONTH(Table1[[#This Row],[Reporting date]])-Earliest_Month)/4)</f>
        <v>15</v>
      </c>
      <c r="Z1311" s="17">
        <f>Table1[[#This Row],[Reporting third]]-Table1[[#This Row],[Policy third]]</f>
        <v>2</v>
      </c>
      <c r="AA1311" s="71">
        <f>IF(Table1[[#This Row],[Overall amount]]=0,"N/A",Table1[[#This Row],[Outstanding]]/Table1[[#This Row],[Overall amount]])</f>
        <v>0</v>
      </c>
      <c r="AB1311" s="17">
        <f>IF(MONTH(Table1[[#This Row],[Loss date]])&lt;Pol_Inc_Month_Shifted,YEAR(Table1[[#This Row],[Loss date]])-1,YEAR(Table1[[#This Row],[Loss date]]))</f>
        <v>2008</v>
      </c>
      <c r="AC1311" s="17">
        <f>IF(MONTH(Table1[[#This Row],[Reporting date]])&lt;Pol_Inc_Month_Shifted,YEAR(Table1[[#This Row],[Reporting date]])-1,YEAR(Table1[[#This Row],[Reporting date]]))</f>
        <v>2009</v>
      </c>
      <c r="AD1311" s="17">
        <f>Table1[[#This Row],[Reporting year (shifted)]]-Table1[[#This Row],[Policy Year (shifted)]]</f>
        <v>1</v>
      </c>
    </row>
    <row r="1312" spans="1:30" ht="13.9">
      <c r="A1312" s="8" t="s">
        <v>3082</v>
      </c>
      <c r="B1312" s="8" t="s">
        <v>1364</v>
      </c>
      <c r="C1312" s="8" t="s">
        <v>118</v>
      </c>
      <c r="D1312" s="9">
        <v>40196</v>
      </c>
      <c r="E1312" s="9">
        <v>40196</v>
      </c>
      <c r="F1312" s="17">
        <f>IF(MONTH(Table1[[#This Row],[Loss date]])&lt;Policy_Inception_Month,YEAR(Table1[[#This Row],[Loss date]])-1,YEAR(Table1[[#This Row],[Loss date]]))</f>
        <v>2009</v>
      </c>
      <c r="G1312" s="10" t="s">
        <v>124</v>
      </c>
      <c r="H1312" s="10" t="s">
        <v>2</v>
      </c>
      <c r="I1312" s="11">
        <v>3727.2931090182583</v>
      </c>
      <c r="J1312" s="11">
        <v>0</v>
      </c>
      <c r="K1312" s="11">
        <v>3727.2931090182583</v>
      </c>
      <c r="L1312" s="12">
        <v>0</v>
      </c>
      <c r="M1312" s="12">
        <v>0</v>
      </c>
      <c r="N1312" s="12">
        <v>3727.2931090182583</v>
      </c>
      <c r="O1312" s="70">
        <f>IF(Table1[[#This Row],[Overall amount]]=0,0,1)</f>
        <v>1</v>
      </c>
      <c r="P1312" s="70">
        <f>Table1[[#This Row],[Overall amount]]*Exchange_Rate</f>
        <v>3727.2931090182583</v>
      </c>
      <c r="Q1312" s="70">
        <f>Table1[[#This Row],[Overall (destination currency)]]*(1+Claims_Inflation)^((Revalue_at_date-Table1[[#This Row],[Loss date]])/365.25)</f>
        <v>4922.3999999999996</v>
      </c>
      <c r="R1312" s="70">
        <f>INT(Table1[[#This Row],[Reporting date]])-INT(Table1[[#This Row],[Loss date]])</f>
        <v>0</v>
      </c>
      <c r="S1312" s="69" t="s">
        <v>9</v>
      </c>
      <c r="T1312" s="70">
        <f>VLOOKUP(Table1[[#This Row],[Policy Year]],exposure_table,3,FALSE)</f>
        <v>760.22808576000011</v>
      </c>
      <c r="U1312" s="17">
        <f>IF(MONTH(Table1[[#This Row],[Reporting date]])&lt;Policy_Inception_Month,YEAR(Table1[[#This Row],[Reporting date]])-1,YEAR(Table1[[#This Row],[Reporting date]]))</f>
        <v>2009</v>
      </c>
      <c r="V1312" s="17">
        <f>Table1[[#This Row],[Reporting year]]-Table1[[#This Row],[Policy Year]]</f>
        <v>0</v>
      </c>
      <c r="W1312" s="17">
        <f>INT(Table1[[#This Row],[Reporting date]])-INT(Table1[[#This Row],[Loss date]])</f>
        <v>0</v>
      </c>
      <c r="X1312" s="17">
        <f>INT((YEAR(Table1[[#This Row],[Loss date]])*12+MONTH(Table1[[#This Row],[Loss date]])-Earliest_Month)/4)</f>
        <v>14</v>
      </c>
      <c r="Y1312" s="17">
        <f>INT((YEAR(Table1[[#This Row],[Reporting date]])*12+MONTH(Table1[[#This Row],[Reporting date]])-Earliest_Month)/4)</f>
        <v>14</v>
      </c>
      <c r="Z1312" s="17">
        <f>Table1[[#This Row],[Reporting third]]-Table1[[#This Row],[Policy third]]</f>
        <v>0</v>
      </c>
      <c r="AA1312" s="71">
        <f>IF(Table1[[#This Row],[Overall amount]]=0,"N/A",Table1[[#This Row],[Outstanding]]/Table1[[#This Row],[Overall amount]])</f>
        <v>0</v>
      </c>
      <c r="AB1312" s="17">
        <f>IF(MONTH(Table1[[#This Row],[Loss date]])&lt;Pol_Inc_Month_Shifted,YEAR(Table1[[#This Row],[Loss date]])-1,YEAR(Table1[[#This Row],[Loss date]]))</f>
        <v>2009</v>
      </c>
      <c r="AC1312" s="17">
        <f>IF(MONTH(Table1[[#This Row],[Reporting date]])&lt;Pol_Inc_Month_Shifted,YEAR(Table1[[#This Row],[Reporting date]])-1,YEAR(Table1[[#This Row],[Reporting date]]))</f>
        <v>2009</v>
      </c>
      <c r="AD1312" s="17">
        <f>Table1[[#This Row],[Reporting year (shifted)]]-Table1[[#This Row],[Policy Year (shifted)]]</f>
        <v>0</v>
      </c>
    </row>
    <row r="1313" spans="1:30" ht="13.9">
      <c r="A1313" s="8" t="s">
        <v>3083</v>
      </c>
      <c r="B1313" s="8" t="s">
        <v>1365</v>
      </c>
      <c r="C1313" s="8" t="s">
        <v>118</v>
      </c>
      <c r="D1313" s="9">
        <v>39208</v>
      </c>
      <c r="E1313" s="9">
        <v>39221</v>
      </c>
      <c r="F1313" s="17">
        <f>IF(MONTH(Table1[[#This Row],[Loss date]])&lt;Policy_Inception_Month,YEAR(Table1[[#This Row],[Loss date]])-1,YEAR(Table1[[#This Row],[Loss date]]))</f>
        <v>2007</v>
      </c>
      <c r="G1313" s="10" t="s">
        <v>124</v>
      </c>
      <c r="H1313" s="10" t="s">
        <v>2</v>
      </c>
      <c r="I1313" s="11">
        <v>1382.8520055509446</v>
      </c>
      <c r="J1313" s="11">
        <v>0</v>
      </c>
      <c r="K1313" s="11">
        <v>1382.8520055509446</v>
      </c>
      <c r="L1313" s="12">
        <v>0</v>
      </c>
      <c r="M1313" s="12">
        <v>0</v>
      </c>
      <c r="N1313" s="12">
        <v>1382.8520055509446</v>
      </c>
      <c r="O1313" s="70">
        <f>IF(Table1[[#This Row],[Overall amount]]=0,0,1)</f>
        <v>1</v>
      </c>
      <c r="P1313" s="70">
        <f>Table1[[#This Row],[Overall amount]]*Exchange_Rate</f>
        <v>1382.8520055509446</v>
      </c>
      <c r="Q1313" s="70">
        <f>Table1[[#This Row],[Overall (destination currency)]]*(1+Claims_Inflation)^((Revalue_at_date-Table1[[#This Row],[Loss date]])/365.25)</f>
        <v>2083.8960000000002</v>
      </c>
      <c r="R1313" s="70">
        <f>INT(Table1[[#This Row],[Reporting date]])-INT(Table1[[#This Row],[Loss date]])</f>
        <v>13</v>
      </c>
      <c r="S1313" s="69" t="s">
        <v>9</v>
      </c>
      <c r="T1313" s="70">
        <f>VLOOKUP(Table1[[#This Row],[Policy Year]],exposure_table,3,FALSE)</f>
        <v>547.7736362475523</v>
      </c>
      <c r="U1313" s="17">
        <f>IF(MONTH(Table1[[#This Row],[Reporting date]])&lt;Policy_Inception_Month,YEAR(Table1[[#This Row],[Reporting date]])-1,YEAR(Table1[[#This Row],[Reporting date]]))</f>
        <v>2007</v>
      </c>
      <c r="V1313" s="17">
        <f>Table1[[#This Row],[Reporting year]]-Table1[[#This Row],[Policy Year]]</f>
        <v>0</v>
      </c>
      <c r="W1313" s="17">
        <f>INT(Table1[[#This Row],[Reporting date]])-INT(Table1[[#This Row],[Loss date]])</f>
        <v>13</v>
      </c>
      <c r="X1313" s="17">
        <f>INT((YEAR(Table1[[#This Row],[Loss date]])*12+MONTH(Table1[[#This Row],[Loss date]])-Earliest_Month)/4)</f>
        <v>6</v>
      </c>
      <c r="Y1313" s="17">
        <f>INT((YEAR(Table1[[#This Row],[Reporting date]])*12+MONTH(Table1[[#This Row],[Reporting date]])-Earliest_Month)/4)</f>
        <v>6</v>
      </c>
      <c r="Z1313" s="17">
        <f>Table1[[#This Row],[Reporting third]]-Table1[[#This Row],[Policy third]]</f>
        <v>0</v>
      </c>
      <c r="AA1313" s="71">
        <f>IF(Table1[[#This Row],[Overall amount]]=0,"N/A",Table1[[#This Row],[Outstanding]]/Table1[[#This Row],[Overall amount]])</f>
        <v>0</v>
      </c>
      <c r="AB1313" s="17">
        <f>IF(MONTH(Table1[[#This Row],[Loss date]])&lt;Pol_Inc_Month_Shifted,YEAR(Table1[[#This Row],[Loss date]])-1,YEAR(Table1[[#This Row],[Loss date]]))</f>
        <v>2006</v>
      </c>
      <c r="AC1313" s="17">
        <f>IF(MONTH(Table1[[#This Row],[Reporting date]])&lt;Pol_Inc_Month_Shifted,YEAR(Table1[[#This Row],[Reporting date]])-1,YEAR(Table1[[#This Row],[Reporting date]]))</f>
        <v>2006</v>
      </c>
      <c r="AD1313" s="17">
        <f>Table1[[#This Row],[Reporting year (shifted)]]-Table1[[#This Row],[Policy Year (shifted)]]</f>
        <v>0</v>
      </c>
    </row>
    <row r="1314" spans="1:30" ht="13.9">
      <c r="A1314" s="8" t="s">
        <v>3084</v>
      </c>
      <c r="B1314" s="8" t="s">
        <v>1366</v>
      </c>
      <c r="C1314" s="8" t="s">
        <v>118</v>
      </c>
      <c r="D1314" s="9">
        <v>39283</v>
      </c>
      <c r="E1314" s="9">
        <v>39499</v>
      </c>
      <c r="F1314" s="17">
        <f>IF(MONTH(Table1[[#This Row],[Loss date]])&lt;Policy_Inception_Month,YEAR(Table1[[#This Row],[Loss date]])-1,YEAR(Table1[[#This Row],[Loss date]]))</f>
        <v>2007</v>
      </c>
      <c r="G1314" s="10" t="s">
        <v>131</v>
      </c>
      <c r="H1314" s="10" t="s">
        <v>2</v>
      </c>
      <c r="I1314" s="11">
        <v>740.64714689420271</v>
      </c>
      <c r="J1314" s="11">
        <v>0</v>
      </c>
      <c r="K1314" s="11">
        <v>740.64714689420271</v>
      </c>
      <c r="L1314" s="12">
        <v>0</v>
      </c>
      <c r="M1314" s="12">
        <v>0</v>
      </c>
      <c r="N1314" s="12">
        <v>740.64714689420271</v>
      </c>
      <c r="O1314" s="70">
        <f>IF(Table1[[#This Row],[Overall amount]]=0,0,1)</f>
        <v>1</v>
      </c>
      <c r="P1314" s="70">
        <f>Table1[[#This Row],[Overall amount]]*Exchange_Rate</f>
        <v>740.64714689420271</v>
      </c>
      <c r="Q1314" s="70">
        <f>Table1[[#This Row],[Overall (destination currency)]]*(1+Claims_Inflation)^((Revalue_at_date-Table1[[#This Row],[Loss date]])/365.25)</f>
        <v>1104.9960000000001</v>
      </c>
      <c r="R1314" s="70">
        <f>INT(Table1[[#This Row],[Reporting date]])-INT(Table1[[#This Row],[Loss date]])</f>
        <v>216</v>
      </c>
      <c r="S1314" s="69" t="s">
        <v>9</v>
      </c>
      <c r="T1314" s="70">
        <f>VLOOKUP(Table1[[#This Row],[Policy Year]],exposure_table,3,FALSE)</f>
        <v>547.7736362475523</v>
      </c>
      <c r="U1314" s="17">
        <f>IF(MONTH(Table1[[#This Row],[Reporting date]])&lt;Policy_Inception_Month,YEAR(Table1[[#This Row],[Reporting date]])-1,YEAR(Table1[[#This Row],[Reporting date]]))</f>
        <v>2007</v>
      </c>
      <c r="V1314" s="17">
        <f>Table1[[#This Row],[Reporting year]]-Table1[[#This Row],[Policy Year]]</f>
        <v>0</v>
      </c>
      <c r="W1314" s="17">
        <f>INT(Table1[[#This Row],[Reporting date]])-INT(Table1[[#This Row],[Loss date]])</f>
        <v>216</v>
      </c>
      <c r="X1314" s="17">
        <f>INT((YEAR(Table1[[#This Row],[Loss date]])*12+MONTH(Table1[[#This Row],[Loss date]])-Earliest_Month)/4)</f>
        <v>6</v>
      </c>
      <c r="Y1314" s="17">
        <f>INT((YEAR(Table1[[#This Row],[Reporting date]])*12+MONTH(Table1[[#This Row],[Reporting date]])-Earliest_Month)/4)</f>
        <v>8</v>
      </c>
      <c r="Z1314" s="17">
        <f>Table1[[#This Row],[Reporting third]]-Table1[[#This Row],[Policy third]]</f>
        <v>2</v>
      </c>
      <c r="AA1314" s="71">
        <f>IF(Table1[[#This Row],[Overall amount]]=0,"N/A",Table1[[#This Row],[Outstanding]]/Table1[[#This Row],[Overall amount]])</f>
        <v>0</v>
      </c>
      <c r="AB1314" s="17">
        <f>IF(MONTH(Table1[[#This Row],[Loss date]])&lt;Pol_Inc_Month_Shifted,YEAR(Table1[[#This Row],[Loss date]])-1,YEAR(Table1[[#This Row],[Loss date]]))</f>
        <v>2006</v>
      </c>
      <c r="AC1314" s="17">
        <f>IF(MONTH(Table1[[#This Row],[Reporting date]])&lt;Pol_Inc_Month_Shifted,YEAR(Table1[[#This Row],[Reporting date]])-1,YEAR(Table1[[#This Row],[Reporting date]]))</f>
        <v>2007</v>
      </c>
      <c r="AD1314" s="17">
        <f>Table1[[#This Row],[Reporting year (shifted)]]-Table1[[#This Row],[Policy Year (shifted)]]</f>
        <v>1</v>
      </c>
    </row>
    <row r="1315" spans="1:30" ht="13.9">
      <c r="A1315" s="8" t="s">
        <v>3085</v>
      </c>
      <c r="B1315" s="8" t="s">
        <v>1367</v>
      </c>
      <c r="C1315" s="8" t="s">
        <v>118</v>
      </c>
      <c r="D1315" s="9">
        <v>40798</v>
      </c>
      <c r="E1315" s="9">
        <v>40844</v>
      </c>
      <c r="F1315" s="17">
        <f>IF(MONTH(Table1[[#This Row],[Loss date]])&lt;Policy_Inception_Month,YEAR(Table1[[#This Row],[Loss date]])-1,YEAR(Table1[[#This Row],[Loss date]]))</f>
        <v>2011</v>
      </c>
      <c r="G1315" s="10" t="s">
        <v>124</v>
      </c>
      <c r="H1315" s="10" t="s">
        <v>2</v>
      </c>
      <c r="I1315" s="11">
        <v>171.34484713952676</v>
      </c>
      <c r="J1315" s="11">
        <v>0</v>
      </c>
      <c r="K1315" s="11">
        <v>171.34484713952676</v>
      </c>
      <c r="L1315" s="12">
        <v>0</v>
      </c>
      <c r="M1315" s="12">
        <v>0</v>
      </c>
      <c r="N1315" s="12">
        <v>171.34484713952676</v>
      </c>
      <c r="O1315" s="70">
        <f>IF(Table1[[#This Row],[Overall amount]]=0,0,1)</f>
        <v>1</v>
      </c>
      <c r="P1315" s="70">
        <f>Table1[[#This Row],[Overall amount]]*Exchange_Rate</f>
        <v>171.34484713952676</v>
      </c>
      <c r="Q1315" s="70">
        <f>Table1[[#This Row],[Overall (destination currency)]]*(1+Claims_Inflation)^((Revalue_at_date-Table1[[#This Row],[Loss date]])/365.25)</f>
        <v>208.79999999999998</v>
      </c>
      <c r="R1315" s="70">
        <f>INT(Table1[[#This Row],[Reporting date]])-INT(Table1[[#This Row],[Loss date]])</f>
        <v>46</v>
      </c>
      <c r="S1315" s="69" t="s">
        <v>9</v>
      </c>
      <c r="T1315" s="70">
        <f>VLOOKUP(Table1[[#This Row],[Policy Year]],exposure_table,3,FALSE)</f>
        <v>870.52680000000009</v>
      </c>
      <c r="U1315" s="17">
        <f>IF(MONTH(Table1[[#This Row],[Reporting date]])&lt;Policy_Inception_Month,YEAR(Table1[[#This Row],[Reporting date]])-1,YEAR(Table1[[#This Row],[Reporting date]]))</f>
        <v>2011</v>
      </c>
      <c r="V1315" s="17">
        <f>Table1[[#This Row],[Reporting year]]-Table1[[#This Row],[Policy Year]]</f>
        <v>0</v>
      </c>
      <c r="W1315" s="17">
        <f>INT(Table1[[#This Row],[Reporting date]])-INT(Table1[[#This Row],[Loss date]])</f>
        <v>46</v>
      </c>
      <c r="X1315" s="17">
        <f>INT((YEAR(Table1[[#This Row],[Loss date]])*12+MONTH(Table1[[#This Row],[Loss date]])-Earliest_Month)/4)</f>
        <v>19</v>
      </c>
      <c r="Y1315" s="17">
        <f>INT((YEAR(Table1[[#This Row],[Reporting date]])*12+MONTH(Table1[[#This Row],[Reporting date]])-Earliest_Month)/4)</f>
        <v>19</v>
      </c>
      <c r="Z1315" s="17">
        <f>Table1[[#This Row],[Reporting third]]-Table1[[#This Row],[Policy third]]</f>
        <v>0</v>
      </c>
      <c r="AA1315" s="71">
        <f>IF(Table1[[#This Row],[Overall amount]]=0,"N/A",Table1[[#This Row],[Outstanding]]/Table1[[#This Row],[Overall amount]])</f>
        <v>0</v>
      </c>
      <c r="AB1315" s="17">
        <f>IF(MONTH(Table1[[#This Row],[Loss date]])&lt;Pol_Inc_Month_Shifted,YEAR(Table1[[#This Row],[Loss date]])-1,YEAR(Table1[[#This Row],[Loss date]]))</f>
        <v>2010</v>
      </c>
      <c r="AC1315" s="17">
        <f>IF(MONTH(Table1[[#This Row],[Reporting date]])&lt;Pol_Inc_Month_Shifted,YEAR(Table1[[#This Row],[Reporting date]])-1,YEAR(Table1[[#This Row],[Reporting date]]))</f>
        <v>2010</v>
      </c>
      <c r="AD1315" s="17">
        <f>Table1[[#This Row],[Reporting year (shifted)]]-Table1[[#This Row],[Policy Year (shifted)]]</f>
        <v>0</v>
      </c>
    </row>
    <row r="1316" spans="1:30" ht="13.9">
      <c r="A1316" s="8" t="s">
        <v>3086</v>
      </c>
      <c r="B1316" s="8" t="s">
        <v>1368</v>
      </c>
      <c r="C1316" s="8" t="s">
        <v>118</v>
      </c>
      <c r="D1316" s="9">
        <v>38560</v>
      </c>
      <c r="E1316" s="9">
        <v>38562</v>
      </c>
      <c r="F1316" s="17">
        <f>IF(MONTH(Table1[[#This Row],[Loss date]])&lt;Policy_Inception_Month,YEAR(Table1[[#This Row],[Loss date]])-1,YEAR(Table1[[#This Row],[Loss date]]))</f>
        <v>2005</v>
      </c>
      <c r="G1316" s="10" t="s">
        <v>132</v>
      </c>
      <c r="H1316" s="10" t="s">
        <v>2</v>
      </c>
      <c r="I1316" s="11">
        <v>3037.0448719532551</v>
      </c>
      <c r="J1316" s="11">
        <v>0</v>
      </c>
      <c r="K1316" s="11">
        <v>3037.0448719532551</v>
      </c>
      <c r="L1316" s="12">
        <v>0</v>
      </c>
      <c r="M1316" s="12">
        <v>0</v>
      </c>
      <c r="N1316" s="12">
        <v>3037.0448719532551</v>
      </c>
      <c r="O1316" s="70">
        <f>IF(Table1[[#This Row],[Overall amount]]=0,0,1)</f>
        <v>1</v>
      </c>
      <c r="P1316" s="70">
        <f>Table1[[#This Row],[Overall amount]]*Exchange_Rate</f>
        <v>3037.0448719532551</v>
      </c>
      <c r="Q1316" s="70">
        <f>Table1[[#This Row],[Overall (destination currency)]]*(1+Claims_Inflation)^((Revalue_at_date-Table1[[#This Row],[Loss date]])/365.25)</f>
        <v>4990.5</v>
      </c>
      <c r="R1316" s="70">
        <f>INT(Table1[[#This Row],[Reporting date]])-INT(Table1[[#This Row],[Loss date]])</f>
        <v>2</v>
      </c>
      <c r="S1316" s="69" t="s">
        <v>9</v>
      </c>
      <c r="T1316" s="70">
        <f>VLOOKUP(Table1[[#This Row],[Policy Year]],exposure_table,3,FALSE)</f>
        <v>409.50481038040112</v>
      </c>
      <c r="U1316" s="17">
        <f>IF(MONTH(Table1[[#This Row],[Reporting date]])&lt;Policy_Inception_Month,YEAR(Table1[[#This Row],[Reporting date]])-1,YEAR(Table1[[#This Row],[Reporting date]]))</f>
        <v>2005</v>
      </c>
      <c r="V1316" s="17">
        <f>Table1[[#This Row],[Reporting year]]-Table1[[#This Row],[Policy Year]]</f>
        <v>0</v>
      </c>
      <c r="W1316" s="17">
        <f>INT(Table1[[#This Row],[Reporting date]])-INT(Table1[[#This Row],[Loss date]])</f>
        <v>2</v>
      </c>
      <c r="X1316" s="17">
        <f>INT((YEAR(Table1[[#This Row],[Loss date]])*12+MONTH(Table1[[#This Row],[Loss date]])-Earliest_Month)/4)</f>
        <v>0</v>
      </c>
      <c r="Y1316" s="17">
        <f>INT((YEAR(Table1[[#This Row],[Reporting date]])*12+MONTH(Table1[[#This Row],[Reporting date]])-Earliest_Month)/4)</f>
        <v>0</v>
      </c>
      <c r="Z1316" s="17">
        <f>Table1[[#This Row],[Reporting third]]-Table1[[#This Row],[Policy third]]</f>
        <v>0</v>
      </c>
      <c r="AA1316" s="71">
        <f>IF(Table1[[#This Row],[Overall amount]]=0,"N/A",Table1[[#This Row],[Outstanding]]/Table1[[#This Row],[Overall amount]])</f>
        <v>0</v>
      </c>
      <c r="AB1316" s="17">
        <f>IF(MONTH(Table1[[#This Row],[Loss date]])&lt;Pol_Inc_Month_Shifted,YEAR(Table1[[#This Row],[Loss date]])-1,YEAR(Table1[[#This Row],[Loss date]]))</f>
        <v>2004</v>
      </c>
      <c r="AC1316" s="17">
        <f>IF(MONTH(Table1[[#This Row],[Reporting date]])&lt;Pol_Inc_Month_Shifted,YEAR(Table1[[#This Row],[Reporting date]])-1,YEAR(Table1[[#This Row],[Reporting date]]))</f>
        <v>2004</v>
      </c>
      <c r="AD1316" s="17">
        <f>Table1[[#This Row],[Reporting year (shifted)]]-Table1[[#This Row],[Policy Year (shifted)]]</f>
        <v>0</v>
      </c>
    </row>
    <row r="1317" spans="1:30" ht="13.9">
      <c r="A1317" s="8" t="s">
        <v>3087</v>
      </c>
      <c r="B1317" s="8" t="s">
        <v>1369</v>
      </c>
      <c r="C1317" s="8" t="s">
        <v>118</v>
      </c>
      <c r="D1317" s="9">
        <v>40026</v>
      </c>
      <c r="E1317" s="9">
        <v>40034</v>
      </c>
      <c r="F1317" s="17">
        <f>IF(MONTH(Table1[[#This Row],[Loss date]])&lt;Policy_Inception_Month,YEAR(Table1[[#This Row],[Loss date]])-1,YEAR(Table1[[#This Row],[Loss date]]))</f>
        <v>2009</v>
      </c>
      <c r="G1317" s="10" t="s">
        <v>145</v>
      </c>
      <c r="H1317" s="10" t="s">
        <v>2</v>
      </c>
      <c r="I1317" s="11">
        <v>708.38009358121008</v>
      </c>
      <c r="J1317" s="11">
        <v>0</v>
      </c>
      <c r="K1317" s="11">
        <v>708.38009358121008</v>
      </c>
      <c r="L1317" s="12">
        <v>0</v>
      </c>
      <c r="M1317" s="12">
        <v>0</v>
      </c>
      <c r="N1317" s="12">
        <v>708.38009358121008</v>
      </c>
      <c r="O1317" s="70">
        <f>IF(Table1[[#This Row],[Overall amount]]=0,0,1)</f>
        <v>1</v>
      </c>
      <c r="P1317" s="70">
        <f>Table1[[#This Row],[Overall amount]]*Exchange_Rate</f>
        <v>708.38009358121008</v>
      </c>
      <c r="Q1317" s="70">
        <f>Table1[[#This Row],[Overall (destination currency)]]*(1+Claims_Inflation)^((Revalue_at_date-Table1[[#This Row],[Loss date]])/365.25)</f>
        <v>957</v>
      </c>
      <c r="R1317" s="70">
        <f>INT(Table1[[#This Row],[Reporting date]])-INT(Table1[[#This Row],[Loss date]])</f>
        <v>8</v>
      </c>
      <c r="S1317" s="69" t="s">
        <v>9</v>
      </c>
      <c r="T1317" s="70">
        <f>VLOOKUP(Table1[[#This Row],[Policy Year]],exposure_table,3,FALSE)</f>
        <v>760.22808576000011</v>
      </c>
      <c r="U1317" s="17">
        <f>IF(MONTH(Table1[[#This Row],[Reporting date]])&lt;Policy_Inception_Month,YEAR(Table1[[#This Row],[Reporting date]])-1,YEAR(Table1[[#This Row],[Reporting date]]))</f>
        <v>2009</v>
      </c>
      <c r="V1317" s="17">
        <f>Table1[[#This Row],[Reporting year]]-Table1[[#This Row],[Policy Year]]</f>
        <v>0</v>
      </c>
      <c r="W1317" s="17">
        <f>INT(Table1[[#This Row],[Reporting date]])-INT(Table1[[#This Row],[Loss date]])</f>
        <v>8</v>
      </c>
      <c r="X1317" s="17">
        <f>INT((YEAR(Table1[[#This Row],[Loss date]])*12+MONTH(Table1[[#This Row],[Loss date]])-Earliest_Month)/4)</f>
        <v>13</v>
      </c>
      <c r="Y1317" s="17">
        <f>INT((YEAR(Table1[[#This Row],[Reporting date]])*12+MONTH(Table1[[#This Row],[Reporting date]])-Earliest_Month)/4)</f>
        <v>13</v>
      </c>
      <c r="Z1317" s="17">
        <f>Table1[[#This Row],[Reporting third]]-Table1[[#This Row],[Policy third]]</f>
        <v>0</v>
      </c>
      <c r="AA1317" s="71">
        <f>IF(Table1[[#This Row],[Overall amount]]=0,"N/A",Table1[[#This Row],[Outstanding]]/Table1[[#This Row],[Overall amount]])</f>
        <v>0</v>
      </c>
      <c r="AB1317" s="17">
        <f>IF(MONTH(Table1[[#This Row],[Loss date]])&lt;Pol_Inc_Month_Shifted,YEAR(Table1[[#This Row],[Loss date]])-1,YEAR(Table1[[#This Row],[Loss date]]))</f>
        <v>2008</v>
      </c>
      <c r="AC1317" s="17">
        <f>IF(MONTH(Table1[[#This Row],[Reporting date]])&lt;Pol_Inc_Month_Shifted,YEAR(Table1[[#This Row],[Reporting date]])-1,YEAR(Table1[[#This Row],[Reporting date]]))</f>
        <v>2008</v>
      </c>
      <c r="AD1317" s="17">
        <f>Table1[[#This Row],[Reporting year (shifted)]]-Table1[[#This Row],[Policy Year (shifted)]]</f>
        <v>0</v>
      </c>
    </row>
    <row r="1318" spans="1:30" ht="13.9">
      <c r="A1318" s="8" t="s">
        <v>3088</v>
      </c>
      <c r="B1318" s="8" t="s">
        <v>1370</v>
      </c>
      <c r="C1318" s="8" t="s">
        <v>118</v>
      </c>
      <c r="D1318" s="9">
        <v>40664</v>
      </c>
      <c r="E1318" s="9">
        <v>40777</v>
      </c>
      <c r="F1318" s="17">
        <f>IF(MONTH(Table1[[#This Row],[Loss date]])&lt;Policy_Inception_Month,YEAR(Table1[[#This Row],[Loss date]])-1,YEAR(Table1[[#This Row],[Loss date]]))</f>
        <v>2011</v>
      </c>
      <c r="G1318" s="10" t="s">
        <v>124</v>
      </c>
      <c r="H1318" s="10" t="s">
        <v>2</v>
      </c>
      <c r="I1318" s="11">
        <v>210.38138059369484</v>
      </c>
      <c r="J1318" s="11">
        <v>0</v>
      </c>
      <c r="K1318" s="11">
        <v>210.38138059369484</v>
      </c>
      <c r="L1318" s="12">
        <v>0</v>
      </c>
      <c r="M1318" s="12">
        <v>0</v>
      </c>
      <c r="N1318" s="12">
        <v>210.38138059369484</v>
      </c>
      <c r="O1318" s="70">
        <f>IF(Table1[[#This Row],[Overall amount]]=0,0,1)</f>
        <v>1</v>
      </c>
      <c r="P1318" s="70">
        <f>Table1[[#This Row],[Overall amount]]*Exchange_Rate</f>
        <v>210.38138059369484</v>
      </c>
      <c r="Q1318" s="70">
        <f>Table1[[#This Row],[Overall (destination currency)]]*(1+Claims_Inflation)^((Revalue_at_date-Table1[[#This Row],[Loss date]])/365.25)</f>
        <v>261</v>
      </c>
      <c r="R1318" s="70">
        <f>INT(Table1[[#This Row],[Reporting date]])-INT(Table1[[#This Row],[Loss date]])</f>
        <v>113</v>
      </c>
      <c r="S1318" s="69" t="s">
        <v>9</v>
      </c>
      <c r="T1318" s="70">
        <f>VLOOKUP(Table1[[#This Row],[Policy Year]],exposure_table,3,FALSE)</f>
        <v>870.52680000000009</v>
      </c>
      <c r="U1318" s="17">
        <f>IF(MONTH(Table1[[#This Row],[Reporting date]])&lt;Policy_Inception_Month,YEAR(Table1[[#This Row],[Reporting date]])-1,YEAR(Table1[[#This Row],[Reporting date]]))</f>
        <v>2011</v>
      </c>
      <c r="V1318" s="17">
        <f>Table1[[#This Row],[Reporting year]]-Table1[[#This Row],[Policy Year]]</f>
        <v>0</v>
      </c>
      <c r="W1318" s="17">
        <f>INT(Table1[[#This Row],[Reporting date]])-INT(Table1[[#This Row],[Loss date]])</f>
        <v>113</v>
      </c>
      <c r="X1318" s="17">
        <f>INT((YEAR(Table1[[#This Row],[Loss date]])*12+MONTH(Table1[[#This Row],[Loss date]])-Earliest_Month)/4)</f>
        <v>18</v>
      </c>
      <c r="Y1318" s="17">
        <f>INT((YEAR(Table1[[#This Row],[Reporting date]])*12+MONTH(Table1[[#This Row],[Reporting date]])-Earliest_Month)/4)</f>
        <v>19</v>
      </c>
      <c r="Z1318" s="17">
        <f>Table1[[#This Row],[Reporting third]]-Table1[[#This Row],[Policy third]]</f>
        <v>1</v>
      </c>
      <c r="AA1318" s="71">
        <f>IF(Table1[[#This Row],[Overall amount]]=0,"N/A",Table1[[#This Row],[Outstanding]]/Table1[[#This Row],[Overall amount]])</f>
        <v>0</v>
      </c>
      <c r="AB1318" s="17">
        <f>IF(MONTH(Table1[[#This Row],[Loss date]])&lt;Pol_Inc_Month_Shifted,YEAR(Table1[[#This Row],[Loss date]])-1,YEAR(Table1[[#This Row],[Loss date]]))</f>
        <v>2010</v>
      </c>
      <c r="AC1318" s="17">
        <f>IF(MONTH(Table1[[#This Row],[Reporting date]])&lt;Pol_Inc_Month_Shifted,YEAR(Table1[[#This Row],[Reporting date]])-1,YEAR(Table1[[#This Row],[Reporting date]]))</f>
        <v>2010</v>
      </c>
      <c r="AD1318" s="17">
        <f>Table1[[#This Row],[Reporting year (shifted)]]-Table1[[#This Row],[Policy Year (shifted)]]</f>
        <v>0</v>
      </c>
    </row>
    <row r="1319" spans="1:30" ht="13.9">
      <c r="A1319" s="8" t="s">
        <v>3089</v>
      </c>
      <c r="B1319" s="8" t="s">
        <v>1371</v>
      </c>
      <c r="C1319" s="8" t="s">
        <v>118</v>
      </c>
      <c r="D1319" s="9">
        <v>39015</v>
      </c>
      <c r="E1319" s="9">
        <v>39034</v>
      </c>
      <c r="F1319" s="17">
        <f>IF(MONTH(Table1[[#This Row],[Loss date]])&lt;Policy_Inception_Month,YEAR(Table1[[#This Row],[Loss date]])-1,YEAR(Table1[[#This Row],[Loss date]]))</f>
        <v>2006</v>
      </c>
      <c r="G1319" s="10" t="s">
        <v>125</v>
      </c>
      <c r="H1319" s="10" t="s">
        <v>2</v>
      </c>
      <c r="I1319" s="11">
        <v>238.63244618549001</v>
      </c>
      <c r="J1319" s="11">
        <v>0</v>
      </c>
      <c r="K1319" s="11">
        <v>238.63244618549001</v>
      </c>
      <c r="L1319" s="12">
        <v>0</v>
      </c>
      <c r="M1319" s="12">
        <v>3.8181191389678397</v>
      </c>
      <c r="N1319" s="12">
        <v>234.81432704652218</v>
      </c>
      <c r="O1319" s="70">
        <f>IF(Table1[[#This Row],[Overall amount]]=0,0,1)</f>
        <v>1</v>
      </c>
      <c r="P1319" s="70">
        <f>Table1[[#This Row],[Overall amount]]*Exchange_Rate</f>
        <v>234.81432704652218</v>
      </c>
      <c r="Q1319" s="70">
        <f>Table1[[#This Row],[Overall (destination currency)]]*(1+Claims_Inflation)^((Revalue_at_date-Table1[[#This Row],[Loss date]])/365.25)</f>
        <v>363.09599999999995</v>
      </c>
      <c r="R1319" s="70">
        <f>INT(Table1[[#This Row],[Reporting date]])-INT(Table1[[#This Row],[Loss date]])</f>
        <v>19</v>
      </c>
      <c r="S1319" s="69" t="s">
        <v>9</v>
      </c>
      <c r="T1319" s="70">
        <f>VLOOKUP(Table1[[#This Row],[Policy Year]],exposure_table,3,FALSE)</f>
        <v>483.32023209000977</v>
      </c>
      <c r="U1319" s="17">
        <f>IF(MONTH(Table1[[#This Row],[Reporting date]])&lt;Policy_Inception_Month,YEAR(Table1[[#This Row],[Reporting date]])-1,YEAR(Table1[[#This Row],[Reporting date]]))</f>
        <v>2006</v>
      </c>
      <c r="V1319" s="17">
        <f>Table1[[#This Row],[Reporting year]]-Table1[[#This Row],[Policy Year]]</f>
        <v>0</v>
      </c>
      <c r="W1319" s="17">
        <f>INT(Table1[[#This Row],[Reporting date]])-INT(Table1[[#This Row],[Loss date]])</f>
        <v>19</v>
      </c>
      <c r="X1319" s="17">
        <f>INT((YEAR(Table1[[#This Row],[Loss date]])*12+MONTH(Table1[[#This Row],[Loss date]])-Earliest_Month)/4)</f>
        <v>4</v>
      </c>
      <c r="Y1319" s="17">
        <f>INT((YEAR(Table1[[#This Row],[Reporting date]])*12+MONTH(Table1[[#This Row],[Reporting date]])-Earliest_Month)/4)</f>
        <v>4</v>
      </c>
      <c r="Z1319" s="17">
        <f>Table1[[#This Row],[Reporting third]]-Table1[[#This Row],[Policy third]]</f>
        <v>0</v>
      </c>
      <c r="AA1319" s="71">
        <f>IF(Table1[[#This Row],[Overall amount]]=0,"N/A",Table1[[#This Row],[Outstanding]]/Table1[[#This Row],[Overall amount]])</f>
        <v>0</v>
      </c>
      <c r="AB1319" s="17">
        <f>IF(MONTH(Table1[[#This Row],[Loss date]])&lt;Pol_Inc_Month_Shifted,YEAR(Table1[[#This Row],[Loss date]])-1,YEAR(Table1[[#This Row],[Loss date]]))</f>
        <v>2005</v>
      </c>
      <c r="AC1319" s="17">
        <f>IF(MONTH(Table1[[#This Row],[Reporting date]])&lt;Pol_Inc_Month_Shifted,YEAR(Table1[[#This Row],[Reporting date]])-1,YEAR(Table1[[#This Row],[Reporting date]]))</f>
        <v>2005</v>
      </c>
      <c r="AD1319" s="17">
        <f>Table1[[#This Row],[Reporting year (shifted)]]-Table1[[#This Row],[Policy Year (shifted)]]</f>
        <v>0</v>
      </c>
    </row>
    <row r="1320" spans="1:30" ht="13.9">
      <c r="A1320" s="8" t="s">
        <v>3090</v>
      </c>
      <c r="B1320" s="8" t="s">
        <v>1372</v>
      </c>
      <c r="C1320" s="8" t="s">
        <v>118</v>
      </c>
      <c r="D1320" s="9">
        <v>39885</v>
      </c>
      <c r="E1320" s="9">
        <v>40323</v>
      </c>
      <c r="F1320" s="17">
        <f>IF(MONTH(Table1[[#This Row],[Loss date]])&lt;Policy_Inception_Month,YEAR(Table1[[#This Row],[Loss date]])-1,YEAR(Table1[[#This Row],[Loss date]]))</f>
        <v>2008</v>
      </c>
      <c r="G1320" s="10" t="s">
        <v>125</v>
      </c>
      <c r="H1320" s="10" t="s">
        <v>2</v>
      </c>
      <c r="I1320" s="11">
        <v>7673.6641224317418</v>
      </c>
      <c r="J1320" s="11">
        <v>0</v>
      </c>
      <c r="K1320" s="11">
        <v>7673.6641224317418</v>
      </c>
      <c r="L1320" s="12">
        <v>0</v>
      </c>
      <c r="M1320" s="12">
        <v>0</v>
      </c>
      <c r="N1320" s="12">
        <v>7673.6641224317418</v>
      </c>
      <c r="O1320" s="70">
        <f>IF(Table1[[#This Row],[Overall amount]]=0,0,1)</f>
        <v>1</v>
      </c>
      <c r="P1320" s="70">
        <f>Table1[[#This Row],[Overall amount]]*Exchange_Rate</f>
        <v>7673.6641224317418</v>
      </c>
      <c r="Q1320" s="70">
        <f>Table1[[#This Row],[Overall (destination currency)]]*(1+Claims_Inflation)^((Revalue_at_date-Table1[[#This Row],[Loss date]])/365.25)</f>
        <v>10563.995999999999</v>
      </c>
      <c r="R1320" s="70">
        <f>INT(Table1[[#This Row],[Reporting date]])-INT(Table1[[#This Row],[Loss date]])</f>
        <v>438</v>
      </c>
      <c r="S1320" s="69" t="s">
        <v>9</v>
      </c>
      <c r="T1320" s="70">
        <f>VLOOKUP(Table1[[#This Row],[Policy Year]],exposure_table,3,FALSE)</f>
        <v>601.98581780480015</v>
      </c>
      <c r="U1320" s="17">
        <f>IF(MONTH(Table1[[#This Row],[Reporting date]])&lt;Policy_Inception_Month,YEAR(Table1[[#This Row],[Reporting date]])-1,YEAR(Table1[[#This Row],[Reporting date]]))</f>
        <v>2010</v>
      </c>
      <c r="V1320" s="17">
        <f>Table1[[#This Row],[Reporting year]]-Table1[[#This Row],[Policy Year]]</f>
        <v>2</v>
      </c>
      <c r="W1320" s="17">
        <f>INT(Table1[[#This Row],[Reporting date]])-INT(Table1[[#This Row],[Loss date]])</f>
        <v>438</v>
      </c>
      <c r="X1320" s="17">
        <f>INT((YEAR(Table1[[#This Row],[Loss date]])*12+MONTH(Table1[[#This Row],[Loss date]])-Earliest_Month)/4)</f>
        <v>11</v>
      </c>
      <c r="Y1320" s="17">
        <f>INT((YEAR(Table1[[#This Row],[Reporting date]])*12+MONTH(Table1[[#This Row],[Reporting date]])-Earliest_Month)/4)</f>
        <v>15</v>
      </c>
      <c r="Z1320" s="17">
        <f>Table1[[#This Row],[Reporting third]]-Table1[[#This Row],[Policy third]]</f>
        <v>4</v>
      </c>
      <c r="AA1320" s="71">
        <f>IF(Table1[[#This Row],[Overall amount]]=0,"N/A",Table1[[#This Row],[Outstanding]]/Table1[[#This Row],[Overall amount]])</f>
        <v>0</v>
      </c>
      <c r="AB1320" s="17">
        <f>IF(MONTH(Table1[[#This Row],[Loss date]])&lt;Pol_Inc_Month_Shifted,YEAR(Table1[[#This Row],[Loss date]])-1,YEAR(Table1[[#This Row],[Loss date]]))</f>
        <v>2008</v>
      </c>
      <c r="AC1320" s="17">
        <f>IF(MONTH(Table1[[#This Row],[Reporting date]])&lt;Pol_Inc_Month_Shifted,YEAR(Table1[[#This Row],[Reporting date]])-1,YEAR(Table1[[#This Row],[Reporting date]]))</f>
        <v>2009</v>
      </c>
      <c r="AD1320" s="17">
        <f>Table1[[#This Row],[Reporting year (shifted)]]-Table1[[#This Row],[Policy Year (shifted)]]</f>
        <v>1</v>
      </c>
    </row>
    <row r="1321" spans="1:30" ht="13.9">
      <c r="A1321" s="8" t="s">
        <v>3091</v>
      </c>
      <c r="B1321" s="8" t="s">
        <v>1373</v>
      </c>
      <c r="C1321" s="8" t="s">
        <v>118</v>
      </c>
      <c r="D1321" s="9">
        <v>40612</v>
      </c>
      <c r="E1321" s="9">
        <v>40638</v>
      </c>
      <c r="F1321" s="17">
        <f>IF(MONTH(Table1[[#This Row],[Loss date]])&lt;Policy_Inception_Month,YEAR(Table1[[#This Row],[Loss date]])-1,YEAR(Table1[[#This Row],[Loss date]]))</f>
        <v>2010</v>
      </c>
      <c r="G1321" s="10" t="s">
        <v>131</v>
      </c>
      <c r="H1321" s="10" t="s">
        <v>2</v>
      </c>
      <c r="I1321" s="11">
        <v>802.6085831392279</v>
      </c>
      <c r="J1321" s="11">
        <v>0</v>
      </c>
      <c r="K1321" s="11">
        <v>802.6085831392279</v>
      </c>
      <c r="L1321" s="12">
        <v>0</v>
      </c>
      <c r="M1321" s="12">
        <v>0</v>
      </c>
      <c r="N1321" s="12">
        <v>802.6085831392279</v>
      </c>
      <c r="O1321" s="70">
        <f>IF(Table1[[#This Row],[Overall amount]]=0,0,1)</f>
        <v>1</v>
      </c>
      <c r="P1321" s="70">
        <f>Table1[[#This Row],[Overall amount]]*Exchange_Rate</f>
        <v>802.6085831392279</v>
      </c>
      <c r="Q1321" s="70">
        <f>Table1[[#This Row],[Overall (destination currency)]]*(1+Claims_Inflation)^((Revalue_at_date-Table1[[#This Row],[Loss date]])/365.25)</f>
        <v>1002.6599999999997</v>
      </c>
      <c r="R1321" s="70">
        <f>INT(Table1[[#This Row],[Reporting date]])-INT(Table1[[#This Row],[Loss date]])</f>
        <v>26</v>
      </c>
      <c r="S1321" s="69" t="s">
        <v>9</v>
      </c>
      <c r="T1321" s="70">
        <f>VLOOKUP(Table1[[#This Row],[Policy Year]],exposure_table,3,FALSE)</f>
        <v>837.11513600000012</v>
      </c>
      <c r="U1321" s="17">
        <f>IF(MONTH(Table1[[#This Row],[Reporting date]])&lt;Policy_Inception_Month,YEAR(Table1[[#This Row],[Reporting date]])-1,YEAR(Table1[[#This Row],[Reporting date]]))</f>
        <v>2011</v>
      </c>
      <c r="V1321" s="17">
        <f>Table1[[#This Row],[Reporting year]]-Table1[[#This Row],[Policy Year]]</f>
        <v>1</v>
      </c>
      <c r="W1321" s="17">
        <f>INT(Table1[[#This Row],[Reporting date]])-INT(Table1[[#This Row],[Loss date]])</f>
        <v>26</v>
      </c>
      <c r="X1321" s="17">
        <f>INT((YEAR(Table1[[#This Row],[Loss date]])*12+MONTH(Table1[[#This Row],[Loss date]])-Earliest_Month)/4)</f>
        <v>17</v>
      </c>
      <c r="Y1321" s="17">
        <f>INT((YEAR(Table1[[#This Row],[Reporting date]])*12+MONTH(Table1[[#This Row],[Reporting date]])-Earliest_Month)/4)</f>
        <v>18</v>
      </c>
      <c r="Z1321" s="17">
        <f>Table1[[#This Row],[Reporting third]]-Table1[[#This Row],[Policy third]]</f>
        <v>1</v>
      </c>
      <c r="AA1321" s="71">
        <f>IF(Table1[[#This Row],[Overall amount]]=0,"N/A",Table1[[#This Row],[Outstanding]]/Table1[[#This Row],[Overall amount]])</f>
        <v>0</v>
      </c>
      <c r="AB1321" s="17">
        <f>IF(MONTH(Table1[[#This Row],[Loss date]])&lt;Pol_Inc_Month_Shifted,YEAR(Table1[[#This Row],[Loss date]])-1,YEAR(Table1[[#This Row],[Loss date]]))</f>
        <v>2010</v>
      </c>
      <c r="AC1321" s="17">
        <f>IF(MONTH(Table1[[#This Row],[Reporting date]])&lt;Pol_Inc_Month_Shifted,YEAR(Table1[[#This Row],[Reporting date]])-1,YEAR(Table1[[#This Row],[Reporting date]]))</f>
        <v>2010</v>
      </c>
      <c r="AD1321" s="17">
        <f>Table1[[#This Row],[Reporting year (shifted)]]-Table1[[#This Row],[Policy Year (shifted)]]</f>
        <v>0</v>
      </c>
    </row>
    <row r="1322" spans="1:30" ht="13.9">
      <c r="A1322" s="8" t="s">
        <v>3092</v>
      </c>
      <c r="B1322" s="8" t="s">
        <v>1374</v>
      </c>
      <c r="C1322" s="8" t="s">
        <v>118</v>
      </c>
      <c r="D1322" s="9">
        <v>40709</v>
      </c>
      <c r="E1322" s="9">
        <v>40718</v>
      </c>
      <c r="F1322" s="17">
        <f>IF(MONTH(Table1[[#This Row],[Loss date]])&lt;Policy_Inception_Month,YEAR(Table1[[#This Row],[Loss date]])-1,YEAR(Table1[[#This Row],[Loss date]]))</f>
        <v>2011</v>
      </c>
      <c r="G1322" s="10" t="s">
        <v>125</v>
      </c>
      <c r="H1322" s="10" t="s">
        <v>2</v>
      </c>
      <c r="I1322" s="11">
        <v>423.29962886150395</v>
      </c>
      <c r="J1322" s="11">
        <v>0</v>
      </c>
      <c r="K1322" s="11">
        <v>423.29962886150395</v>
      </c>
      <c r="L1322" s="12">
        <v>0</v>
      </c>
      <c r="M1322" s="12">
        <v>0</v>
      </c>
      <c r="N1322" s="12">
        <v>423.29962886150395</v>
      </c>
      <c r="O1322" s="70">
        <f>IF(Table1[[#This Row],[Overall amount]]=0,0,1)</f>
        <v>1</v>
      </c>
      <c r="P1322" s="70">
        <f>Table1[[#This Row],[Overall amount]]*Exchange_Rate</f>
        <v>423.29962886150395</v>
      </c>
      <c r="Q1322" s="70">
        <f>Table1[[#This Row],[Overall (destination currency)]]*(1+Claims_Inflation)^((Revalue_at_date-Table1[[#This Row],[Loss date]])/365.25)</f>
        <v>522</v>
      </c>
      <c r="R1322" s="70">
        <f>INT(Table1[[#This Row],[Reporting date]])-INT(Table1[[#This Row],[Loss date]])</f>
        <v>9</v>
      </c>
      <c r="S1322" s="69" t="s">
        <v>9</v>
      </c>
      <c r="T1322" s="70">
        <f>VLOOKUP(Table1[[#This Row],[Policy Year]],exposure_table,3,FALSE)</f>
        <v>870.52680000000009</v>
      </c>
      <c r="U1322" s="17">
        <f>IF(MONTH(Table1[[#This Row],[Reporting date]])&lt;Policy_Inception_Month,YEAR(Table1[[#This Row],[Reporting date]])-1,YEAR(Table1[[#This Row],[Reporting date]]))</f>
        <v>2011</v>
      </c>
      <c r="V1322" s="17">
        <f>Table1[[#This Row],[Reporting year]]-Table1[[#This Row],[Policy Year]]</f>
        <v>0</v>
      </c>
      <c r="W1322" s="17">
        <f>INT(Table1[[#This Row],[Reporting date]])-INT(Table1[[#This Row],[Loss date]])</f>
        <v>9</v>
      </c>
      <c r="X1322" s="17">
        <f>INT((YEAR(Table1[[#This Row],[Loss date]])*12+MONTH(Table1[[#This Row],[Loss date]])-Earliest_Month)/4)</f>
        <v>18</v>
      </c>
      <c r="Y1322" s="17">
        <f>INT((YEAR(Table1[[#This Row],[Reporting date]])*12+MONTH(Table1[[#This Row],[Reporting date]])-Earliest_Month)/4)</f>
        <v>18</v>
      </c>
      <c r="Z1322" s="17">
        <f>Table1[[#This Row],[Reporting third]]-Table1[[#This Row],[Policy third]]</f>
        <v>0</v>
      </c>
      <c r="AA1322" s="71">
        <f>IF(Table1[[#This Row],[Overall amount]]=0,"N/A",Table1[[#This Row],[Outstanding]]/Table1[[#This Row],[Overall amount]])</f>
        <v>0</v>
      </c>
      <c r="AB1322" s="17">
        <f>IF(MONTH(Table1[[#This Row],[Loss date]])&lt;Pol_Inc_Month_Shifted,YEAR(Table1[[#This Row],[Loss date]])-1,YEAR(Table1[[#This Row],[Loss date]]))</f>
        <v>2010</v>
      </c>
      <c r="AC1322" s="17">
        <f>IF(MONTH(Table1[[#This Row],[Reporting date]])&lt;Pol_Inc_Month_Shifted,YEAR(Table1[[#This Row],[Reporting date]])-1,YEAR(Table1[[#This Row],[Reporting date]]))</f>
        <v>2010</v>
      </c>
      <c r="AD1322" s="17">
        <f>Table1[[#This Row],[Reporting year (shifted)]]-Table1[[#This Row],[Policy Year (shifted)]]</f>
        <v>0</v>
      </c>
    </row>
    <row r="1323" spans="1:30" ht="13.9">
      <c r="A1323" s="8" t="s">
        <v>3093</v>
      </c>
      <c r="B1323" s="8" t="s">
        <v>1375</v>
      </c>
      <c r="C1323" s="8" t="s">
        <v>118</v>
      </c>
      <c r="D1323" s="9">
        <v>40078</v>
      </c>
      <c r="E1323" s="9">
        <v>40088</v>
      </c>
      <c r="F1323" s="17">
        <f>IF(MONTH(Table1[[#This Row],[Loss date]])&lt;Policy_Inception_Month,YEAR(Table1[[#This Row],[Loss date]])-1,YEAR(Table1[[#This Row],[Loss date]]))</f>
        <v>2009</v>
      </c>
      <c r="G1323" s="10" t="s">
        <v>126</v>
      </c>
      <c r="H1323" s="10" t="s">
        <v>2</v>
      </c>
      <c r="I1323" s="11">
        <v>466.89889161499411</v>
      </c>
      <c r="J1323" s="11">
        <v>0</v>
      </c>
      <c r="K1323" s="11">
        <v>466.89889161499411</v>
      </c>
      <c r="L1323" s="12">
        <v>0</v>
      </c>
      <c r="M1323" s="12">
        <v>0</v>
      </c>
      <c r="N1323" s="12">
        <v>466.89889161499411</v>
      </c>
      <c r="O1323" s="70">
        <f>IF(Table1[[#This Row],[Overall amount]]=0,0,1)</f>
        <v>1</v>
      </c>
      <c r="P1323" s="70">
        <f>Table1[[#This Row],[Overall amount]]*Exchange_Rate</f>
        <v>466.89889161499411</v>
      </c>
      <c r="Q1323" s="70">
        <f>Table1[[#This Row],[Overall (destination currency)]]*(1+Claims_Inflation)^((Revalue_at_date-Table1[[#This Row],[Loss date]])/365.25)</f>
        <v>626.4</v>
      </c>
      <c r="R1323" s="70">
        <f>INT(Table1[[#This Row],[Reporting date]])-INT(Table1[[#This Row],[Loss date]])</f>
        <v>10</v>
      </c>
      <c r="S1323" s="69" t="s">
        <v>9</v>
      </c>
      <c r="T1323" s="70">
        <f>VLOOKUP(Table1[[#This Row],[Policy Year]],exposure_table,3,FALSE)</f>
        <v>760.22808576000011</v>
      </c>
      <c r="U1323" s="17">
        <f>IF(MONTH(Table1[[#This Row],[Reporting date]])&lt;Policy_Inception_Month,YEAR(Table1[[#This Row],[Reporting date]])-1,YEAR(Table1[[#This Row],[Reporting date]]))</f>
        <v>2009</v>
      </c>
      <c r="V1323" s="17">
        <f>Table1[[#This Row],[Reporting year]]-Table1[[#This Row],[Policy Year]]</f>
        <v>0</v>
      </c>
      <c r="W1323" s="17">
        <f>INT(Table1[[#This Row],[Reporting date]])-INT(Table1[[#This Row],[Loss date]])</f>
        <v>10</v>
      </c>
      <c r="X1323" s="17">
        <f>INT((YEAR(Table1[[#This Row],[Loss date]])*12+MONTH(Table1[[#This Row],[Loss date]])-Earliest_Month)/4)</f>
        <v>13</v>
      </c>
      <c r="Y1323" s="17">
        <f>INT((YEAR(Table1[[#This Row],[Reporting date]])*12+MONTH(Table1[[#This Row],[Reporting date]])-Earliest_Month)/4)</f>
        <v>13</v>
      </c>
      <c r="Z1323" s="17">
        <f>Table1[[#This Row],[Reporting third]]-Table1[[#This Row],[Policy third]]</f>
        <v>0</v>
      </c>
      <c r="AA1323" s="71">
        <f>IF(Table1[[#This Row],[Overall amount]]=0,"N/A",Table1[[#This Row],[Outstanding]]/Table1[[#This Row],[Overall amount]])</f>
        <v>0</v>
      </c>
      <c r="AB1323" s="17">
        <f>IF(MONTH(Table1[[#This Row],[Loss date]])&lt;Pol_Inc_Month_Shifted,YEAR(Table1[[#This Row],[Loss date]])-1,YEAR(Table1[[#This Row],[Loss date]]))</f>
        <v>2008</v>
      </c>
      <c r="AC1323" s="17">
        <f>IF(MONTH(Table1[[#This Row],[Reporting date]])&lt;Pol_Inc_Month_Shifted,YEAR(Table1[[#This Row],[Reporting date]])-1,YEAR(Table1[[#This Row],[Reporting date]]))</f>
        <v>2008</v>
      </c>
      <c r="AD1323" s="17">
        <f>Table1[[#This Row],[Reporting year (shifted)]]-Table1[[#This Row],[Policy Year (shifted)]]</f>
        <v>0</v>
      </c>
    </row>
    <row r="1324" spans="1:30" ht="13.9">
      <c r="A1324" s="8" t="s">
        <v>3094</v>
      </c>
      <c r="B1324" s="8" t="s">
        <v>1376</v>
      </c>
      <c r="C1324" s="8" t="s">
        <v>118</v>
      </c>
      <c r="D1324" s="9">
        <v>40240</v>
      </c>
      <c r="E1324" s="9">
        <v>40246</v>
      </c>
      <c r="F1324" s="17">
        <f>IF(MONTH(Table1[[#This Row],[Loss date]])&lt;Policy_Inception_Month,YEAR(Table1[[#This Row],[Loss date]])-1,YEAR(Table1[[#This Row],[Loss date]]))</f>
        <v>2009</v>
      </c>
      <c r="G1324" s="10" t="s">
        <v>125</v>
      </c>
      <c r="H1324" s="10" t="s">
        <v>2</v>
      </c>
      <c r="I1324" s="11">
        <v>3632.4910976319907</v>
      </c>
      <c r="J1324" s="11">
        <v>0</v>
      </c>
      <c r="K1324" s="11">
        <v>3632.4910976319907</v>
      </c>
      <c r="L1324" s="12">
        <v>0</v>
      </c>
      <c r="M1324" s="12">
        <v>0</v>
      </c>
      <c r="N1324" s="12">
        <v>3632.4910976319907</v>
      </c>
      <c r="O1324" s="70">
        <f>IF(Table1[[#This Row],[Overall amount]]=0,0,1)</f>
        <v>1</v>
      </c>
      <c r="P1324" s="70">
        <f>Table1[[#This Row],[Overall amount]]*Exchange_Rate</f>
        <v>3632.4910976319907</v>
      </c>
      <c r="Q1324" s="70">
        <f>Table1[[#This Row],[Overall (destination currency)]]*(1+Claims_Inflation)^((Revalue_at_date-Table1[[#This Row],[Loss date]])/365.25)</f>
        <v>4769.0879999999988</v>
      </c>
      <c r="R1324" s="70">
        <f>INT(Table1[[#This Row],[Reporting date]])-INT(Table1[[#This Row],[Loss date]])</f>
        <v>6</v>
      </c>
      <c r="S1324" s="69" t="s">
        <v>9</v>
      </c>
      <c r="T1324" s="70">
        <f>VLOOKUP(Table1[[#This Row],[Policy Year]],exposure_table,3,FALSE)</f>
        <v>760.22808576000011</v>
      </c>
      <c r="U1324" s="17">
        <f>IF(MONTH(Table1[[#This Row],[Reporting date]])&lt;Policy_Inception_Month,YEAR(Table1[[#This Row],[Reporting date]])-1,YEAR(Table1[[#This Row],[Reporting date]]))</f>
        <v>2009</v>
      </c>
      <c r="V1324" s="17">
        <f>Table1[[#This Row],[Reporting year]]-Table1[[#This Row],[Policy Year]]</f>
        <v>0</v>
      </c>
      <c r="W1324" s="17">
        <f>INT(Table1[[#This Row],[Reporting date]])-INT(Table1[[#This Row],[Loss date]])</f>
        <v>6</v>
      </c>
      <c r="X1324" s="17">
        <f>INT((YEAR(Table1[[#This Row],[Loss date]])*12+MONTH(Table1[[#This Row],[Loss date]])-Earliest_Month)/4)</f>
        <v>14</v>
      </c>
      <c r="Y1324" s="17">
        <f>INT((YEAR(Table1[[#This Row],[Reporting date]])*12+MONTH(Table1[[#This Row],[Reporting date]])-Earliest_Month)/4)</f>
        <v>14</v>
      </c>
      <c r="Z1324" s="17">
        <f>Table1[[#This Row],[Reporting third]]-Table1[[#This Row],[Policy third]]</f>
        <v>0</v>
      </c>
      <c r="AA1324" s="71">
        <f>IF(Table1[[#This Row],[Overall amount]]=0,"N/A",Table1[[#This Row],[Outstanding]]/Table1[[#This Row],[Overall amount]])</f>
        <v>0</v>
      </c>
      <c r="AB1324" s="17">
        <f>IF(MONTH(Table1[[#This Row],[Loss date]])&lt;Pol_Inc_Month_Shifted,YEAR(Table1[[#This Row],[Loss date]])-1,YEAR(Table1[[#This Row],[Loss date]]))</f>
        <v>2009</v>
      </c>
      <c r="AC1324" s="17">
        <f>IF(MONTH(Table1[[#This Row],[Reporting date]])&lt;Pol_Inc_Month_Shifted,YEAR(Table1[[#This Row],[Reporting date]])-1,YEAR(Table1[[#This Row],[Reporting date]]))</f>
        <v>2009</v>
      </c>
      <c r="AD1324" s="17">
        <f>Table1[[#This Row],[Reporting year (shifted)]]-Table1[[#This Row],[Policy Year (shifted)]]</f>
        <v>0</v>
      </c>
    </row>
    <row r="1325" spans="1:30" ht="13.9">
      <c r="A1325" s="8" t="s">
        <v>3095</v>
      </c>
      <c r="B1325" s="8" t="s">
        <v>1377</v>
      </c>
      <c r="C1325" s="8" t="s">
        <v>118</v>
      </c>
      <c r="D1325" s="9">
        <v>40132</v>
      </c>
      <c r="E1325" s="9">
        <v>40132</v>
      </c>
      <c r="F1325" s="17">
        <f>IF(MONTH(Table1[[#This Row],[Loss date]])&lt;Policy_Inception_Month,YEAR(Table1[[#This Row],[Loss date]])-1,YEAR(Table1[[#This Row],[Loss date]]))</f>
        <v>2009</v>
      </c>
      <c r="G1325" s="10" t="s">
        <v>131</v>
      </c>
      <c r="H1325" s="10" t="s">
        <v>2</v>
      </c>
      <c r="I1325" s="11">
        <v>1058.127668177204</v>
      </c>
      <c r="J1325" s="11">
        <v>0</v>
      </c>
      <c r="K1325" s="11">
        <v>1058.127668177204</v>
      </c>
      <c r="L1325" s="12">
        <v>0</v>
      </c>
      <c r="M1325" s="12">
        <v>0</v>
      </c>
      <c r="N1325" s="12">
        <v>1058.127668177204</v>
      </c>
      <c r="O1325" s="70">
        <f>IF(Table1[[#This Row],[Overall amount]]=0,0,1)</f>
        <v>1</v>
      </c>
      <c r="P1325" s="70">
        <f>Table1[[#This Row],[Overall amount]]*Exchange_Rate</f>
        <v>1058.127668177204</v>
      </c>
      <c r="Q1325" s="70">
        <f>Table1[[#This Row],[Overall (destination currency)]]*(1+Claims_Inflation)^((Revalue_at_date-Table1[[#This Row],[Loss date]])/365.25)</f>
        <v>1409.3999999999999</v>
      </c>
      <c r="R1325" s="70">
        <f>INT(Table1[[#This Row],[Reporting date]])-INT(Table1[[#This Row],[Loss date]])</f>
        <v>0</v>
      </c>
      <c r="S1325" s="69" t="s">
        <v>9</v>
      </c>
      <c r="T1325" s="70">
        <f>VLOOKUP(Table1[[#This Row],[Policy Year]],exposure_table,3,FALSE)</f>
        <v>760.22808576000011</v>
      </c>
      <c r="U1325" s="17">
        <f>IF(MONTH(Table1[[#This Row],[Reporting date]])&lt;Policy_Inception_Month,YEAR(Table1[[#This Row],[Reporting date]])-1,YEAR(Table1[[#This Row],[Reporting date]]))</f>
        <v>2009</v>
      </c>
      <c r="V1325" s="17">
        <f>Table1[[#This Row],[Reporting year]]-Table1[[#This Row],[Policy Year]]</f>
        <v>0</v>
      </c>
      <c r="W1325" s="17">
        <f>INT(Table1[[#This Row],[Reporting date]])-INT(Table1[[#This Row],[Loss date]])</f>
        <v>0</v>
      </c>
      <c r="X1325" s="17">
        <f>INT((YEAR(Table1[[#This Row],[Loss date]])*12+MONTH(Table1[[#This Row],[Loss date]])-Earliest_Month)/4)</f>
        <v>13</v>
      </c>
      <c r="Y1325" s="17">
        <f>INT((YEAR(Table1[[#This Row],[Reporting date]])*12+MONTH(Table1[[#This Row],[Reporting date]])-Earliest_Month)/4)</f>
        <v>13</v>
      </c>
      <c r="Z1325" s="17">
        <f>Table1[[#This Row],[Reporting third]]-Table1[[#This Row],[Policy third]]</f>
        <v>0</v>
      </c>
      <c r="AA1325" s="71">
        <f>IF(Table1[[#This Row],[Overall amount]]=0,"N/A",Table1[[#This Row],[Outstanding]]/Table1[[#This Row],[Overall amount]])</f>
        <v>0</v>
      </c>
      <c r="AB1325" s="17">
        <f>IF(MONTH(Table1[[#This Row],[Loss date]])&lt;Pol_Inc_Month_Shifted,YEAR(Table1[[#This Row],[Loss date]])-1,YEAR(Table1[[#This Row],[Loss date]]))</f>
        <v>2008</v>
      </c>
      <c r="AC1325" s="17">
        <f>IF(MONTH(Table1[[#This Row],[Reporting date]])&lt;Pol_Inc_Month_Shifted,YEAR(Table1[[#This Row],[Reporting date]])-1,YEAR(Table1[[#This Row],[Reporting date]]))</f>
        <v>2008</v>
      </c>
      <c r="AD1325" s="17">
        <f>Table1[[#This Row],[Reporting year (shifted)]]-Table1[[#This Row],[Policy Year (shifted)]]</f>
        <v>0</v>
      </c>
    </row>
    <row r="1326" spans="1:30" ht="13.9">
      <c r="A1326" s="8" t="s">
        <v>3096</v>
      </c>
      <c r="B1326" s="8" t="s">
        <v>1378</v>
      </c>
      <c r="C1326" s="8" t="s">
        <v>118</v>
      </c>
      <c r="D1326" s="9">
        <v>40391</v>
      </c>
      <c r="E1326" s="9">
        <v>40474</v>
      </c>
      <c r="F1326" s="17">
        <f>IF(MONTH(Table1[[#This Row],[Loss date]])&lt;Policy_Inception_Month,YEAR(Table1[[#This Row],[Loss date]])-1,YEAR(Table1[[#This Row],[Loss date]]))</f>
        <v>2010</v>
      </c>
      <c r="G1326" s="10" t="s">
        <v>131</v>
      </c>
      <c r="H1326" s="10" t="s">
        <v>2</v>
      </c>
      <c r="I1326" s="11">
        <v>9542.1247907055767</v>
      </c>
      <c r="J1326" s="11">
        <v>0</v>
      </c>
      <c r="K1326" s="11">
        <v>9542.1247907055767</v>
      </c>
      <c r="L1326" s="12">
        <v>0</v>
      </c>
      <c r="M1326" s="12">
        <v>0</v>
      </c>
      <c r="N1326" s="12">
        <v>9542.1247907055767</v>
      </c>
      <c r="O1326" s="70">
        <f>IF(Table1[[#This Row],[Overall amount]]=0,0,1)</f>
        <v>1</v>
      </c>
      <c r="P1326" s="70">
        <f>Table1[[#This Row],[Overall amount]]*Exchange_Rate</f>
        <v>9542.1247907055767</v>
      </c>
      <c r="Q1326" s="70">
        <f>Table1[[#This Row],[Overall (destination currency)]]*(1+Claims_Inflation)^((Revalue_at_date-Table1[[#This Row],[Loss date]])/365.25)</f>
        <v>12277.667999999998</v>
      </c>
      <c r="R1326" s="70">
        <f>INT(Table1[[#This Row],[Reporting date]])-INT(Table1[[#This Row],[Loss date]])</f>
        <v>83</v>
      </c>
      <c r="S1326" s="69" t="s">
        <v>9</v>
      </c>
      <c r="T1326" s="70">
        <f>VLOOKUP(Table1[[#This Row],[Policy Year]],exposure_table,3,FALSE)</f>
        <v>837.11513600000012</v>
      </c>
      <c r="U1326" s="17">
        <f>IF(MONTH(Table1[[#This Row],[Reporting date]])&lt;Policy_Inception_Month,YEAR(Table1[[#This Row],[Reporting date]])-1,YEAR(Table1[[#This Row],[Reporting date]]))</f>
        <v>2010</v>
      </c>
      <c r="V1326" s="17">
        <f>Table1[[#This Row],[Reporting year]]-Table1[[#This Row],[Policy Year]]</f>
        <v>0</v>
      </c>
      <c r="W1326" s="17">
        <f>INT(Table1[[#This Row],[Reporting date]])-INT(Table1[[#This Row],[Loss date]])</f>
        <v>83</v>
      </c>
      <c r="X1326" s="17">
        <f>INT((YEAR(Table1[[#This Row],[Loss date]])*12+MONTH(Table1[[#This Row],[Loss date]])-Earliest_Month)/4)</f>
        <v>16</v>
      </c>
      <c r="Y1326" s="17">
        <f>INT((YEAR(Table1[[#This Row],[Reporting date]])*12+MONTH(Table1[[#This Row],[Reporting date]])-Earliest_Month)/4)</f>
        <v>16</v>
      </c>
      <c r="Z1326" s="17">
        <f>Table1[[#This Row],[Reporting third]]-Table1[[#This Row],[Policy third]]</f>
        <v>0</v>
      </c>
      <c r="AA1326" s="71">
        <f>IF(Table1[[#This Row],[Overall amount]]=0,"N/A",Table1[[#This Row],[Outstanding]]/Table1[[#This Row],[Overall amount]])</f>
        <v>0</v>
      </c>
      <c r="AB1326" s="17">
        <f>IF(MONTH(Table1[[#This Row],[Loss date]])&lt;Pol_Inc_Month_Shifted,YEAR(Table1[[#This Row],[Loss date]])-1,YEAR(Table1[[#This Row],[Loss date]]))</f>
        <v>2009</v>
      </c>
      <c r="AC1326" s="17">
        <f>IF(MONTH(Table1[[#This Row],[Reporting date]])&lt;Pol_Inc_Month_Shifted,YEAR(Table1[[#This Row],[Reporting date]])-1,YEAR(Table1[[#This Row],[Reporting date]]))</f>
        <v>2009</v>
      </c>
      <c r="AD1326" s="17">
        <f>Table1[[#This Row],[Reporting year (shifted)]]-Table1[[#This Row],[Policy Year (shifted)]]</f>
        <v>0</v>
      </c>
    </row>
    <row r="1327" spans="1:30" ht="13.9">
      <c r="A1327" s="8" t="s">
        <v>3097</v>
      </c>
      <c r="B1327" s="8" t="s">
        <v>1379</v>
      </c>
      <c r="C1327" s="8" t="s">
        <v>118</v>
      </c>
      <c r="D1327" s="9">
        <v>40594</v>
      </c>
      <c r="E1327" s="9">
        <v>40616</v>
      </c>
      <c r="F1327" s="17">
        <f>IF(MONTH(Table1[[#This Row],[Loss date]])&lt;Policy_Inception_Month,YEAR(Table1[[#This Row],[Loss date]])-1,YEAR(Table1[[#This Row],[Loss date]]))</f>
        <v>2010</v>
      </c>
      <c r="G1327" s="10" t="s">
        <v>124</v>
      </c>
      <c r="H1327" s="10" t="s">
        <v>2</v>
      </c>
      <c r="I1327" s="11">
        <v>5176.8049002576472</v>
      </c>
      <c r="J1327" s="11">
        <v>0</v>
      </c>
      <c r="K1327" s="11">
        <v>5176.8049002576472</v>
      </c>
      <c r="L1327" s="12">
        <v>0</v>
      </c>
      <c r="M1327" s="12">
        <v>0</v>
      </c>
      <c r="N1327" s="12">
        <v>5176.8049002576472</v>
      </c>
      <c r="O1327" s="70">
        <f>IF(Table1[[#This Row],[Overall amount]]=0,0,1)</f>
        <v>1</v>
      </c>
      <c r="P1327" s="70">
        <f>Table1[[#This Row],[Overall amount]]*Exchange_Rate</f>
        <v>5176.8049002576472</v>
      </c>
      <c r="Q1327" s="70">
        <f>Table1[[#This Row],[Overall (destination currency)]]*(1+Claims_Inflation)^((Revalue_at_date-Table1[[#This Row],[Loss date]])/365.25)</f>
        <v>6482.7</v>
      </c>
      <c r="R1327" s="70">
        <f>INT(Table1[[#This Row],[Reporting date]])-INT(Table1[[#This Row],[Loss date]])</f>
        <v>22</v>
      </c>
      <c r="S1327" s="69" t="s">
        <v>9</v>
      </c>
      <c r="T1327" s="70">
        <f>VLOOKUP(Table1[[#This Row],[Policy Year]],exposure_table,3,FALSE)</f>
        <v>837.11513600000012</v>
      </c>
      <c r="U1327" s="17">
        <f>IF(MONTH(Table1[[#This Row],[Reporting date]])&lt;Policy_Inception_Month,YEAR(Table1[[#This Row],[Reporting date]])-1,YEAR(Table1[[#This Row],[Reporting date]]))</f>
        <v>2010</v>
      </c>
      <c r="V1327" s="17">
        <f>Table1[[#This Row],[Reporting year]]-Table1[[#This Row],[Policy Year]]</f>
        <v>0</v>
      </c>
      <c r="W1327" s="17">
        <f>INT(Table1[[#This Row],[Reporting date]])-INT(Table1[[#This Row],[Loss date]])</f>
        <v>22</v>
      </c>
      <c r="X1327" s="17">
        <f>INT((YEAR(Table1[[#This Row],[Loss date]])*12+MONTH(Table1[[#This Row],[Loss date]])-Earliest_Month)/4)</f>
        <v>17</v>
      </c>
      <c r="Y1327" s="17">
        <f>INT((YEAR(Table1[[#This Row],[Reporting date]])*12+MONTH(Table1[[#This Row],[Reporting date]])-Earliest_Month)/4)</f>
        <v>17</v>
      </c>
      <c r="Z1327" s="17">
        <f>Table1[[#This Row],[Reporting third]]-Table1[[#This Row],[Policy third]]</f>
        <v>0</v>
      </c>
      <c r="AA1327" s="71">
        <f>IF(Table1[[#This Row],[Overall amount]]=0,"N/A",Table1[[#This Row],[Outstanding]]/Table1[[#This Row],[Overall amount]])</f>
        <v>0</v>
      </c>
      <c r="AB1327" s="17">
        <f>IF(MONTH(Table1[[#This Row],[Loss date]])&lt;Pol_Inc_Month_Shifted,YEAR(Table1[[#This Row],[Loss date]])-1,YEAR(Table1[[#This Row],[Loss date]]))</f>
        <v>2010</v>
      </c>
      <c r="AC1327" s="17">
        <f>IF(MONTH(Table1[[#This Row],[Reporting date]])&lt;Pol_Inc_Month_Shifted,YEAR(Table1[[#This Row],[Reporting date]])-1,YEAR(Table1[[#This Row],[Reporting date]]))</f>
        <v>2010</v>
      </c>
      <c r="AD1327" s="17">
        <f>Table1[[#This Row],[Reporting year (shifted)]]-Table1[[#This Row],[Policy Year (shifted)]]</f>
        <v>0</v>
      </c>
    </row>
    <row r="1328" spans="1:30" ht="13.9">
      <c r="A1328" s="8" t="s">
        <v>3098</v>
      </c>
      <c r="B1328" s="8" t="s">
        <v>1380</v>
      </c>
      <c r="C1328" s="8" t="s">
        <v>118</v>
      </c>
      <c r="D1328" s="9">
        <v>38538</v>
      </c>
      <c r="E1328" s="9">
        <v>38541</v>
      </c>
      <c r="F1328" s="17">
        <f>IF(MONTH(Table1[[#This Row],[Loss date]])&lt;Policy_Inception_Month,YEAR(Table1[[#This Row],[Loss date]])-1,YEAR(Table1[[#This Row],[Loss date]]))</f>
        <v>2005</v>
      </c>
      <c r="G1328" s="10" t="s">
        <v>125</v>
      </c>
      <c r="H1328" s="10" t="s">
        <v>2</v>
      </c>
      <c r="I1328" s="11">
        <v>67412.95350907727</v>
      </c>
      <c r="J1328" s="11">
        <v>0</v>
      </c>
      <c r="K1328" s="11">
        <v>67412.95350907727</v>
      </c>
      <c r="L1328" s="12">
        <v>0</v>
      </c>
      <c r="M1328" s="12">
        <v>0</v>
      </c>
      <c r="N1328" s="12">
        <v>67412.95350907727</v>
      </c>
      <c r="O1328" s="70">
        <f>IF(Table1[[#This Row],[Overall amount]]=0,0,1)</f>
        <v>1</v>
      </c>
      <c r="P1328" s="70">
        <f>Table1[[#This Row],[Overall amount]]*Exchange_Rate</f>
        <v>67412.95350907727</v>
      </c>
      <c r="Q1328" s="70">
        <f>Table1[[#This Row],[Overall (destination currency)]]*(1+Claims_Inflation)^((Revalue_at_date-Table1[[#This Row],[Loss date]])/365.25)</f>
        <v>111099.59999999999</v>
      </c>
      <c r="R1328" s="70">
        <f>INT(Table1[[#This Row],[Reporting date]])-INT(Table1[[#This Row],[Loss date]])</f>
        <v>3</v>
      </c>
      <c r="S1328" s="69" t="s">
        <v>9</v>
      </c>
      <c r="T1328" s="70">
        <f>VLOOKUP(Table1[[#This Row],[Policy Year]],exposure_table,3,FALSE)</f>
        <v>409.50481038040112</v>
      </c>
      <c r="U1328" s="17">
        <f>IF(MONTH(Table1[[#This Row],[Reporting date]])&lt;Policy_Inception_Month,YEAR(Table1[[#This Row],[Reporting date]])-1,YEAR(Table1[[#This Row],[Reporting date]]))</f>
        <v>2005</v>
      </c>
      <c r="V1328" s="17">
        <f>Table1[[#This Row],[Reporting year]]-Table1[[#This Row],[Policy Year]]</f>
        <v>0</v>
      </c>
      <c r="W1328" s="17">
        <f>INT(Table1[[#This Row],[Reporting date]])-INT(Table1[[#This Row],[Loss date]])</f>
        <v>3</v>
      </c>
      <c r="X1328" s="17">
        <f>INT((YEAR(Table1[[#This Row],[Loss date]])*12+MONTH(Table1[[#This Row],[Loss date]])-Earliest_Month)/4)</f>
        <v>0</v>
      </c>
      <c r="Y1328" s="17">
        <f>INT((YEAR(Table1[[#This Row],[Reporting date]])*12+MONTH(Table1[[#This Row],[Reporting date]])-Earliest_Month)/4)</f>
        <v>0</v>
      </c>
      <c r="Z1328" s="17">
        <f>Table1[[#This Row],[Reporting third]]-Table1[[#This Row],[Policy third]]</f>
        <v>0</v>
      </c>
      <c r="AA1328" s="71">
        <f>IF(Table1[[#This Row],[Overall amount]]=0,"N/A",Table1[[#This Row],[Outstanding]]/Table1[[#This Row],[Overall amount]])</f>
        <v>0</v>
      </c>
      <c r="AB1328" s="17">
        <f>IF(MONTH(Table1[[#This Row],[Loss date]])&lt;Pol_Inc_Month_Shifted,YEAR(Table1[[#This Row],[Loss date]])-1,YEAR(Table1[[#This Row],[Loss date]]))</f>
        <v>2004</v>
      </c>
      <c r="AC1328" s="17">
        <f>IF(MONTH(Table1[[#This Row],[Reporting date]])&lt;Pol_Inc_Month_Shifted,YEAR(Table1[[#This Row],[Reporting date]])-1,YEAR(Table1[[#This Row],[Reporting date]]))</f>
        <v>2004</v>
      </c>
      <c r="AD1328" s="17">
        <f>Table1[[#This Row],[Reporting year (shifted)]]-Table1[[#This Row],[Policy Year (shifted)]]</f>
        <v>0</v>
      </c>
    </row>
    <row r="1329" spans="1:30" ht="13.9">
      <c r="A1329" s="8" t="s">
        <v>3099</v>
      </c>
      <c r="B1329" s="8" t="s">
        <v>1381</v>
      </c>
      <c r="C1329" s="8" t="s">
        <v>118</v>
      </c>
      <c r="D1329" s="9">
        <v>38652</v>
      </c>
      <c r="E1329" s="9">
        <v>38653</v>
      </c>
      <c r="F1329" s="17">
        <f>IF(MONTH(Table1[[#This Row],[Loss date]])&lt;Policy_Inception_Month,YEAR(Table1[[#This Row],[Loss date]])-1,YEAR(Table1[[#This Row],[Loss date]]))</f>
        <v>2005</v>
      </c>
      <c r="G1329" s="10" t="s">
        <v>126</v>
      </c>
      <c r="H1329" s="10" t="s">
        <v>2</v>
      </c>
      <c r="I1329" s="11">
        <v>21367.230792013717</v>
      </c>
      <c r="J1329" s="11">
        <v>0</v>
      </c>
      <c r="K1329" s="11">
        <v>21367.230792013717</v>
      </c>
      <c r="L1329" s="12">
        <v>0</v>
      </c>
      <c r="M1329" s="12">
        <v>0</v>
      </c>
      <c r="N1329" s="12">
        <v>21367.230792013717</v>
      </c>
      <c r="O1329" s="70">
        <f>IF(Table1[[#This Row],[Overall amount]]=0,0,1)</f>
        <v>1</v>
      </c>
      <c r="P1329" s="70">
        <f>Table1[[#This Row],[Overall amount]]*Exchange_Rate</f>
        <v>21367.230792013717</v>
      </c>
      <c r="Q1329" s="70">
        <f>Table1[[#This Row],[Overall (destination currency)]]*(1+Claims_Inflation)^((Revalue_at_date-Table1[[#This Row],[Loss date]])/365.25)</f>
        <v>34681.980000000003</v>
      </c>
      <c r="R1329" s="70">
        <f>INT(Table1[[#This Row],[Reporting date]])-INT(Table1[[#This Row],[Loss date]])</f>
        <v>1</v>
      </c>
      <c r="S1329" s="69" t="s">
        <v>9</v>
      </c>
      <c r="T1329" s="70">
        <f>VLOOKUP(Table1[[#This Row],[Policy Year]],exposure_table,3,FALSE)</f>
        <v>409.50481038040112</v>
      </c>
      <c r="U1329" s="17">
        <f>IF(MONTH(Table1[[#This Row],[Reporting date]])&lt;Policy_Inception_Month,YEAR(Table1[[#This Row],[Reporting date]])-1,YEAR(Table1[[#This Row],[Reporting date]]))</f>
        <v>2005</v>
      </c>
      <c r="V1329" s="17">
        <f>Table1[[#This Row],[Reporting year]]-Table1[[#This Row],[Policy Year]]</f>
        <v>0</v>
      </c>
      <c r="W1329" s="17">
        <f>INT(Table1[[#This Row],[Reporting date]])-INT(Table1[[#This Row],[Loss date]])</f>
        <v>1</v>
      </c>
      <c r="X1329" s="17">
        <f>INT((YEAR(Table1[[#This Row],[Loss date]])*12+MONTH(Table1[[#This Row],[Loss date]])-Earliest_Month)/4)</f>
        <v>1</v>
      </c>
      <c r="Y1329" s="17">
        <f>INT((YEAR(Table1[[#This Row],[Reporting date]])*12+MONTH(Table1[[#This Row],[Reporting date]])-Earliest_Month)/4)</f>
        <v>1</v>
      </c>
      <c r="Z1329" s="17">
        <f>Table1[[#This Row],[Reporting third]]-Table1[[#This Row],[Policy third]]</f>
        <v>0</v>
      </c>
      <c r="AA1329" s="71">
        <f>IF(Table1[[#This Row],[Overall amount]]=0,"N/A",Table1[[#This Row],[Outstanding]]/Table1[[#This Row],[Overall amount]])</f>
        <v>0</v>
      </c>
      <c r="AB1329" s="17">
        <f>IF(MONTH(Table1[[#This Row],[Loss date]])&lt;Pol_Inc_Month_Shifted,YEAR(Table1[[#This Row],[Loss date]])-1,YEAR(Table1[[#This Row],[Loss date]]))</f>
        <v>2004</v>
      </c>
      <c r="AC1329" s="17">
        <f>IF(MONTH(Table1[[#This Row],[Reporting date]])&lt;Pol_Inc_Month_Shifted,YEAR(Table1[[#This Row],[Reporting date]])-1,YEAR(Table1[[#This Row],[Reporting date]]))</f>
        <v>2004</v>
      </c>
      <c r="AD1329" s="17">
        <f>Table1[[#This Row],[Reporting year (shifted)]]-Table1[[#This Row],[Policy Year (shifted)]]</f>
        <v>0</v>
      </c>
    </row>
    <row r="1330" spans="1:30" ht="13.9">
      <c r="A1330" s="8" t="s">
        <v>3100</v>
      </c>
      <c r="B1330" s="8" t="s">
        <v>1382</v>
      </c>
      <c r="C1330" s="8" t="s">
        <v>118</v>
      </c>
      <c r="D1330" s="9">
        <v>38727</v>
      </c>
      <c r="E1330" s="9">
        <v>38793</v>
      </c>
      <c r="F1330" s="17">
        <f>IF(MONTH(Table1[[#This Row],[Loss date]])&lt;Policy_Inception_Month,YEAR(Table1[[#This Row],[Loss date]])-1,YEAR(Table1[[#This Row],[Loss date]]))</f>
        <v>2005</v>
      </c>
      <c r="G1330" s="10" t="s">
        <v>132</v>
      </c>
      <c r="H1330" s="10" t="s">
        <v>2</v>
      </c>
      <c r="I1330" s="11">
        <v>168.39265142949208</v>
      </c>
      <c r="J1330" s="11">
        <v>0</v>
      </c>
      <c r="K1330" s="11">
        <v>168.39265142949208</v>
      </c>
      <c r="L1330" s="12">
        <v>0</v>
      </c>
      <c r="M1330" s="12">
        <v>0</v>
      </c>
      <c r="N1330" s="12">
        <v>168.39265142949208</v>
      </c>
      <c r="O1330" s="70">
        <f>IF(Table1[[#This Row],[Overall amount]]=0,0,1)</f>
        <v>1</v>
      </c>
      <c r="P1330" s="70">
        <f>Table1[[#This Row],[Overall amount]]*Exchange_Rate</f>
        <v>168.39265142949208</v>
      </c>
      <c r="Q1330" s="70">
        <f>Table1[[#This Row],[Overall (destination currency)]]*(1+Claims_Inflation)^((Revalue_at_date-Table1[[#This Row],[Loss date]])/365.25)</f>
        <v>270.60000000000002</v>
      </c>
      <c r="R1330" s="70">
        <f>INT(Table1[[#This Row],[Reporting date]])-INT(Table1[[#This Row],[Loss date]])</f>
        <v>66</v>
      </c>
      <c r="S1330" s="69" t="s">
        <v>9</v>
      </c>
      <c r="T1330" s="70">
        <f>VLOOKUP(Table1[[#This Row],[Policy Year]],exposure_table,3,FALSE)</f>
        <v>409.50481038040112</v>
      </c>
      <c r="U1330" s="17">
        <f>IF(MONTH(Table1[[#This Row],[Reporting date]])&lt;Policy_Inception_Month,YEAR(Table1[[#This Row],[Reporting date]])-1,YEAR(Table1[[#This Row],[Reporting date]]))</f>
        <v>2005</v>
      </c>
      <c r="V1330" s="17">
        <f>Table1[[#This Row],[Reporting year]]-Table1[[#This Row],[Policy Year]]</f>
        <v>0</v>
      </c>
      <c r="W1330" s="17">
        <f>INT(Table1[[#This Row],[Reporting date]])-INT(Table1[[#This Row],[Loss date]])</f>
        <v>66</v>
      </c>
      <c r="X1330" s="17">
        <f>INT((YEAR(Table1[[#This Row],[Loss date]])*12+MONTH(Table1[[#This Row],[Loss date]])-Earliest_Month)/4)</f>
        <v>2</v>
      </c>
      <c r="Y1330" s="17">
        <f>INT((YEAR(Table1[[#This Row],[Reporting date]])*12+MONTH(Table1[[#This Row],[Reporting date]])-Earliest_Month)/4)</f>
        <v>2</v>
      </c>
      <c r="Z1330" s="17">
        <f>Table1[[#This Row],[Reporting third]]-Table1[[#This Row],[Policy third]]</f>
        <v>0</v>
      </c>
      <c r="AA1330" s="71">
        <f>IF(Table1[[#This Row],[Overall amount]]=0,"N/A",Table1[[#This Row],[Outstanding]]/Table1[[#This Row],[Overall amount]])</f>
        <v>0</v>
      </c>
      <c r="AB1330" s="17">
        <f>IF(MONTH(Table1[[#This Row],[Loss date]])&lt;Pol_Inc_Month_Shifted,YEAR(Table1[[#This Row],[Loss date]])-1,YEAR(Table1[[#This Row],[Loss date]]))</f>
        <v>2005</v>
      </c>
      <c r="AC1330" s="17">
        <f>IF(MONTH(Table1[[#This Row],[Reporting date]])&lt;Pol_Inc_Month_Shifted,YEAR(Table1[[#This Row],[Reporting date]])-1,YEAR(Table1[[#This Row],[Reporting date]]))</f>
        <v>2005</v>
      </c>
      <c r="AD1330" s="17">
        <f>Table1[[#This Row],[Reporting year (shifted)]]-Table1[[#This Row],[Policy Year (shifted)]]</f>
        <v>0</v>
      </c>
    </row>
    <row r="1331" spans="1:30" ht="13.9">
      <c r="A1331" s="8" t="s">
        <v>3101</v>
      </c>
      <c r="B1331" s="8" t="s">
        <v>1383</v>
      </c>
      <c r="C1331" s="8" t="s">
        <v>118</v>
      </c>
      <c r="D1331" s="9">
        <v>39228</v>
      </c>
      <c r="E1331" s="9">
        <v>39229</v>
      </c>
      <c r="F1331" s="17">
        <f>IF(MONTH(Table1[[#This Row],[Loss date]])&lt;Policy_Inception_Month,YEAR(Table1[[#This Row],[Loss date]])-1,YEAR(Table1[[#This Row],[Loss date]]))</f>
        <v>2007</v>
      </c>
      <c r="G1331" s="10" t="s">
        <v>124</v>
      </c>
      <c r="H1331" s="10" t="s">
        <v>2</v>
      </c>
      <c r="I1331" s="11">
        <v>81.839890018040791</v>
      </c>
      <c r="J1331" s="11">
        <v>0</v>
      </c>
      <c r="K1331" s="11">
        <v>81.839890018040791</v>
      </c>
      <c r="L1331" s="12">
        <v>0</v>
      </c>
      <c r="M1331" s="12">
        <v>0</v>
      </c>
      <c r="N1331" s="12">
        <v>81.839890018040791</v>
      </c>
      <c r="O1331" s="70">
        <f>IF(Table1[[#This Row],[Overall amount]]=0,0,1)</f>
        <v>1</v>
      </c>
      <c r="P1331" s="70">
        <f>Table1[[#This Row],[Overall amount]]*Exchange_Rate</f>
        <v>81.839890018040791</v>
      </c>
      <c r="Q1331" s="70">
        <f>Table1[[#This Row],[Overall (destination currency)]]*(1+Claims_Inflation)^((Revalue_at_date-Table1[[#This Row],[Loss date]])/365.25)</f>
        <v>123</v>
      </c>
      <c r="R1331" s="70">
        <f>INT(Table1[[#This Row],[Reporting date]])-INT(Table1[[#This Row],[Loss date]])</f>
        <v>1</v>
      </c>
      <c r="S1331" s="69" t="s">
        <v>9</v>
      </c>
      <c r="T1331" s="70">
        <f>VLOOKUP(Table1[[#This Row],[Policy Year]],exposure_table,3,FALSE)</f>
        <v>547.7736362475523</v>
      </c>
      <c r="U1331" s="17">
        <f>IF(MONTH(Table1[[#This Row],[Reporting date]])&lt;Policy_Inception_Month,YEAR(Table1[[#This Row],[Reporting date]])-1,YEAR(Table1[[#This Row],[Reporting date]]))</f>
        <v>2007</v>
      </c>
      <c r="V1331" s="17">
        <f>Table1[[#This Row],[Reporting year]]-Table1[[#This Row],[Policy Year]]</f>
        <v>0</v>
      </c>
      <c r="W1331" s="17">
        <f>INT(Table1[[#This Row],[Reporting date]])-INT(Table1[[#This Row],[Loss date]])</f>
        <v>1</v>
      </c>
      <c r="X1331" s="17">
        <f>INT((YEAR(Table1[[#This Row],[Loss date]])*12+MONTH(Table1[[#This Row],[Loss date]])-Earliest_Month)/4)</f>
        <v>6</v>
      </c>
      <c r="Y1331" s="17">
        <f>INT((YEAR(Table1[[#This Row],[Reporting date]])*12+MONTH(Table1[[#This Row],[Reporting date]])-Earliest_Month)/4)</f>
        <v>6</v>
      </c>
      <c r="Z1331" s="17">
        <f>Table1[[#This Row],[Reporting third]]-Table1[[#This Row],[Policy third]]</f>
        <v>0</v>
      </c>
      <c r="AA1331" s="71">
        <f>IF(Table1[[#This Row],[Overall amount]]=0,"N/A",Table1[[#This Row],[Outstanding]]/Table1[[#This Row],[Overall amount]])</f>
        <v>0</v>
      </c>
      <c r="AB1331" s="17">
        <f>IF(MONTH(Table1[[#This Row],[Loss date]])&lt;Pol_Inc_Month_Shifted,YEAR(Table1[[#This Row],[Loss date]])-1,YEAR(Table1[[#This Row],[Loss date]]))</f>
        <v>2006</v>
      </c>
      <c r="AC1331" s="17">
        <f>IF(MONTH(Table1[[#This Row],[Reporting date]])&lt;Pol_Inc_Month_Shifted,YEAR(Table1[[#This Row],[Reporting date]])-1,YEAR(Table1[[#This Row],[Reporting date]]))</f>
        <v>2006</v>
      </c>
      <c r="AD1331" s="17">
        <f>Table1[[#This Row],[Reporting year (shifted)]]-Table1[[#This Row],[Policy Year (shifted)]]</f>
        <v>0</v>
      </c>
    </row>
    <row r="1332" spans="1:30" ht="13.9">
      <c r="A1332" s="8" t="s">
        <v>3102</v>
      </c>
      <c r="B1332" s="8" t="s">
        <v>1384</v>
      </c>
      <c r="C1332" s="8" t="s">
        <v>118</v>
      </c>
      <c r="D1332" s="9">
        <v>39289</v>
      </c>
      <c r="E1332" s="9">
        <v>39291</v>
      </c>
      <c r="F1332" s="17">
        <f>IF(MONTH(Table1[[#This Row],[Loss date]])&lt;Policy_Inception_Month,YEAR(Table1[[#This Row],[Loss date]])-1,YEAR(Table1[[#This Row],[Loss date]]))</f>
        <v>2007</v>
      </c>
      <c r="G1332" s="10" t="s">
        <v>131</v>
      </c>
      <c r="H1332" s="10" t="s">
        <v>2</v>
      </c>
      <c r="I1332" s="11">
        <v>427.64058622798535</v>
      </c>
      <c r="J1332" s="11">
        <v>0</v>
      </c>
      <c r="K1332" s="11">
        <v>427.64058622798535</v>
      </c>
      <c r="L1332" s="12">
        <v>0</v>
      </c>
      <c r="M1332" s="12">
        <v>40.625855691658607</v>
      </c>
      <c r="N1332" s="12">
        <v>387.01473053632674</v>
      </c>
      <c r="O1332" s="70">
        <f>IF(Table1[[#This Row],[Overall amount]]=0,0,1)</f>
        <v>1</v>
      </c>
      <c r="P1332" s="70">
        <f>Table1[[#This Row],[Overall amount]]*Exchange_Rate</f>
        <v>387.01473053632674</v>
      </c>
      <c r="Q1332" s="70">
        <f>Table1[[#This Row],[Overall (destination currency)]]*(1+Claims_Inflation)^((Revalue_at_date-Table1[[#This Row],[Loss date]])/365.25)</f>
        <v>576.93750000000011</v>
      </c>
      <c r="R1332" s="70">
        <f>INT(Table1[[#This Row],[Reporting date]])-INT(Table1[[#This Row],[Loss date]])</f>
        <v>2</v>
      </c>
      <c r="S1332" s="69" t="s">
        <v>9</v>
      </c>
      <c r="T1332" s="70">
        <f>VLOOKUP(Table1[[#This Row],[Policy Year]],exposure_table,3,FALSE)</f>
        <v>547.7736362475523</v>
      </c>
      <c r="U1332" s="17">
        <f>IF(MONTH(Table1[[#This Row],[Reporting date]])&lt;Policy_Inception_Month,YEAR(Table1[[#This Row],[Reporting date]])-1,YEAR(Table1[[#This Row],[Reporting date]]))</f>
        <v>2007</v>
      </c>
      <c r="V1332" s="17">
        <f>Table1[[#This Row],[Reporting year]]-Table1[[#This Row],[Policy Year]]</f>
        <v>0</v>
      </c>
      <c r="W1332" s="17">
        <f>INT(Table1[[#This Row],[Reporting date]])-INT(Table1[[#This Row],[Loss date]])</f>
        <v>2</v>
      </c>
      <c r="X1332" s="17">
        <f>INT((YEAR(Table1[[#This Row],[Loss date]])*12+MONTH(Table1[[#This Row],[Loss date]])-Earliest_Month)/4)</f>
        <v>6</v>
      </c>
      <c r="Y1332" s="17">
        <f>INT((YEAR(Table1[[#This Row],[Reporting date]])*12+MONTH(Table1[[#This Row],[Reporting date]])-Earliest_Month)/4)</f>
        <v>6</v>
      </c>
      <c r="Z1332" s="17">
        <f>Table1[[#This Row],[Reporting third]]-Table1[[#This Row],[Policy third]]</f>
        <v>0</v>
      </c>
      <c r="AA1332" s="71">
        <f>IF(Table1[[#This Row],[Overall amount]]=0,"N/A",Table1[[#This Row],[Outstanding]]/Table1[[#This Row],[Overall amount]])</f>
        <v>0</v>
      </c>
      <c r="AB1332" s="17">
        <f>IF(MONTH(Table1[[#This Row],[Loss date]])&lt;Pol_Inc_Month_Shifted,YEAR(Table1[[#This Row],[Loss date]])-1,YEAR(Table1[[#This Row],[Loss date]]))</f>
        <v>2006</v>
      </c>
      <c r="AC1332" s="17">
        <f>IF(MONTH(Table1[[#This Row],[Reporting date]])&lt;Pol_Inc_Month_Shifted,YEAR(Table1[[#This Row],[Reporting date]])-1,YEAR(Table1[[#This Row],[Reporting date]]))</f>
        <v>2006</v>
      </c>
      <c r="AD1332" s="17">
        <f>Table1[[#This Row],[Reporting year (shifted)]]-Table1[[#This Row],[Policy Year (shifted)]]</f>
        <v>0</v>
      </c>
    </row>
    <row r="1333" spans="1:30" ht="13.9">
      <c r="A1333" s="8" t="s">
        <v>3103</v>
      </c>
      <c r="B1333" s="8" t="s">
        <v>1385</v>
      </c>
      <c r="C1333" s="8" t="s">
        <v>118</v>
      </c>
      <c r="D1333" s="9">
        <v>38662</v>
      </c>
      <c r="E1333" s="9">
        <v>38662</v>
      </c>
      <c r="F1333" s="17">
        <f>IF(MONTH(Table1[[#This Row],[Loss date]])&lt;Policy_Inception_Month,YEAR(Table1[[#This Row],[Loss date]])-1,YEAR(Table1[[#This Row],[Loss date]]))</f>
        <v>2005</v>
      </c>
      <c r="G1333" s="10" t="s">
        <v>125</v>
      </c>
      <c r="H1333" s="10" t="s">
        <v>2</v>
      </c>
      <c r="I1333" s="11">
        <v>2766.6585359489163</v>
      </c>
      <c r="J1333" s="11">
        <v>0</v>
      </c>
      <c r="K1333" s="11">
        <v>2766.6585359489163</v>
      </c>
      <c r="L1333" s="12">
        <v>0</v>
      </c>
      <c r="M1333" s="12">
        <v>0</v>
      </c>
      <c r="N1333" s="12">
        <v>2766.6585359489163</v>
      </c>
      <c r="O1333" s="70">
        <f>IF(Table1[[#This Row],[Overall amount]]=0,0,1)</f>
        <v>1</v>
      </c>
      <c r="P1333" s="70">
        <f>Table1[[#This Row],[Overall amount]]*Exchange_Rate</f>
        <v>2766.6585359489163</v>
      </c>
      <c r="Q1333" s="70">
        <f>Table1[[#This Row],[Overall (destination currency)]]*(1+Claims_Inflation)^((Revalue_at_date-Table1[[#This Row],[Loss date]])/365.25)</f>
        <v>4484.6759999999986</v>
      </c>
      <c r="R1333" s="70">
        <f>INT(Table1[[#This Row],[Reporting date]])-INT(Table1[[#This Row],[Loss date]])</f>
        <v>0</v>
      </c>
      <c r="S1333" s="69" t="s">
        <v>9</v>
      </c>
      <c r="T1333" s="70">
        <f>VLOOKUP(Table1[[#This Row],[Policy Year]],exposure_table,3,FALSE)</f>
        <v>409.50481038040112</v>
      </c>
      <c r="U1333" s="17">
        <f>IF(MONTH(Table1[[#This Row],[Reporting date]])&lt;Policy_Inception_Month,YEAR(Table1[[#This Row],[Reporting date]])-1,YEAR(Table1[[#This Row],[Reporting date]]))</f>
        <v>2005</v>
      </c>
      <c r="V1333" s="17">
        <f>Table1[[#This Row],[Reporting year]]-Table1[[#This Row],[Policy Year]]</f>
        <v>0</v>
      </c>
      <c r="W1333" s="17">
        <f>INT(Table1[[#This Row],[Reporting date]])-INT(Table1[[#This Row],[Loss date]])</f>
        <v>0</v>
      </c>
      <c r="X1333" s="17">
        <f>INT((YEAR(Table1[[#This Row],[Loss date]])*12+MONTH(Table1[[#This Row],[Loss date]])-Earliest_Month)/4)</f>
        <v>1</v>
      </c>
      <c r="Y1333" s="17">
        <f>INT((YEAR(Table1[[#This Row],[Reporting date]])*12+MONTH(Table1[[#This Row],[Reporting date]])-Earliest_Month)/4)</f>
        <v>1</v>
      </c>
      <c r="Z1333" s="17">
        <f>Table1[[#This Row],[Reporting third]]-Table1[[#This Row],[Policy third]]</f>
        <v>0</v>
      </c>
      <c r="AA1333" s="71">
        <f>IF(Table1[[#This Row],[Overall amount]]=0,"N/A",Table1[[#This Row],[Outstanding]]/Table1[[#This Row],[Overall amount]])</f>
        <v>0</v>
      </c>
      <c r="AB1333" s="17">
        <f>IF(MONTH(Table1[[#This Row],[Loss date]])&lt;Pol_Inc_Month_Shifted,YEAR(Table1[[#This Row],[Loss date]])-1,YEAR(Table1[[#This Row],[Loss date]]))</f>
        <v>2004</v>
      </c>
      <c r="AC1333" s="17">
        <f>IF(MONTH(Table1[[#This Row],[Reporting date]])&lt;Pol_Inc_Month_Shifted,YEAR(Table1[[#This Row],[Reporting date]])-1,YEAR(Table1[[#This Row],[Reporting date]]))</f>
        <v>2004</v>
      </c>
      <c r="AD1333" s="17">
        <f>Table1[[#This Row],[Reporting year (shifted)]]-Table1[[#This Row],[Policy Year (shifted)]]</f>
        <v>0</v>
      </c>
    </row>
    <row r="1334" spans="1:30" ht="13.9">
      <c r="A1334" s="8" t="s">
        <v>3104</v>
      </c>
      <c r="B1334" s="8" t="s">
        <v>1386</v>
      </c>
      <c r="C1334" s="8" t="s">
        <v>118</v>
      </c>
      <c r="D1334" s="9">
        <v>39726</v>
      </c>
      <c r="E1334" s="9">
        <v>39734</v>
      </c>
      <c r="F1334" s="17">
        <f>IF(MONTH(Table1[[#This Row],[Loss date]])&lt;Policy_Inception_Month,YEAR(Table1[[#This Row],[Loss date]])-1,YEAR(Table1[[#This Row],[Loss date]]))</f>
        <v>2008</v>
      </c>
      <c r="G1334" s="10" t="s">
        <v>125</v>
      </c>
      <c r="H1334" s="10" t="s">
        <v>2</v>
      </c>
      <c r="I1334" s="11">
        <v>29569.397403438768</v>
      </c>
      <c r="J1334" s="11">
        <v>0</v>
      </c>
      <c r="K1334" s="11">
        <v>29569.397403438768</v>
      </c>
      <c r="L1334" s="12">
        <v>0</v>
      </c>
      <c r="M1334" s="12">
        <v>0</v>
      </c>
      <c r="N1334" s="12">
        <v>29569.397403438768</v>
      </c>
      <c r="O1334" s="70">
        <f>IF(Table1[[#This Row],[Overall amount]]=0,0,1)</f>
        <v>1</v>
      </c>
      <c r="P1334" s="70">
        <f>Table1[[#This Row],[Overall amount]]*Exchange_Rate</f>
        <v>29569.397403438768</v>
      </c>
      <c r="Q1334" s="70">
        <f>Table1[[#This Row],[Overall (destination currency)]]*(1+Claims_Inflation)^((Revalue_at_date-Table1[[#This Row],[Loss date]])/365.25)</f>
        <v>41580.719999999994</v>
      </c>
      <c r="R1334" s="70">
        <f>INT(Table1[[#This Row],[Reporting date]])-INT(Table1[[#This Row],[Loss date]])</f>
        <v>8</v>
      </c>
      <c r="S1334" s="69" t="s">
        <v>9</v>
      </c>
      <c r="T1334" s="70">
        <f>VLOOKUP(Table1[[#This Row],[Policy Year]],exposure_table,3,FALSE)</f>
        <v>601.98581780480015</v>
      </c>
      <c r="U1334" s="17">
        <f>IF(MONTH(Table1[[#This Row],[Reporting date]])&lt;Policy_Inception_Month,YEAR(Table1[[#This Row],[Reporting date]])-1,YEAR(Table1[[#This Row],[Reporting date]]))</f>
        <v>2008</v>
      </c>
      <c r="V1334" s="17">
        <f>Table1[[#This Row],[Reporting year]]-Table1[[#This Row],[Policy Year]]</f>
        <v>0</v>
      </c>
      <c r="W1334" s="17">
        <f>INT(Table1[[#This Row],[Reporting date]])-INT(Table1[[#This Row],[Loss date]])</f>
        <v>8</v>
      </c>
      <c r="X1334" s="17">
        <f>INT((YEAR(Table1[[#This Row],[Loss date]])*12+MONTH(Table1[[#This Row],[Loss date]])-Earliest_Month)/4)</f>
        <v>10</v>
      </c>
      <c r="Y1334" s="17">
        <f>INT((YEAR(Table1[[#This Row],[Reporting date]])*12+MONTH(Table1[[#This Row],[Reporting date]])-Earliest_Month)/4)</f>
        <v>10</v>
      </c>
      <c r="Z1334" s="17">
        <f>Table1[[#This Row],[Reporting third]]-Table1[[#This Row],[Policy third]]</f>
        <v>0</v>
      </c>
      <c r="AA1334" s="71">
        <f>IF(Table1[[#This Row],[Overall amount]]=0,"N/A",Table1[[#This Row],[Outstanding]]/Table1[[#This Row],[Overall amount]])</f>
        <v>0</v>
      </c>
      <c r="AB1334" s="17">
        <f>IF(MONTH(Table1[[#This Row],[Loss date]])&lt;Pol_Inc_Month_Shifted,YEAR(Table1[[#This Row],[Loss date]])-1,YEAR(Table1[[#This Row],[Loss date]]))</f>
        <v>2007</v>
      </c>
      <c r="AC1334" s="17">
        <f>IF(MONTH(Table1[[#This Row],[Reporting date]])&lt;Pol_Inc_Month_Shifted,YEAR(Table1[[#This Row],[Reporting date]])-1,YEAR(Table1[[#This Row],[Reporting date]]))</f>
        <v>2007</v>
      </c>
      <c r="AD1334" s="17">
        <f>Table1[[#This Row],[Reporting year (shifted)]]-Table1[[#This Row],[Policy Year (shifted)]]</f>
        <v>0</v>
      </c>
    </row>
    <row r="1335" spans="1:30" ht="13.9">
      <c r="A1335" s="8" t="s">
        <v>3105</v>
      </c>
      <c r="B1335" s="8" t="s">
        <v>1387</v>
      </c>
      <c r="C1335" s="8" t="s">
        <v>118</v>
      </c>
      <c r="D1335" s="9">
        <v>39972</v>
      </c>
      <c r="E1335" s="9">
        <v>40007</v>
      </c>
      <c r="F1335" s="17">
        <f>IF(MONTH(Table1[[#This Row],[Loss date]])&lt;Policy_Inception_Month,YEAR(Table1[[#This Row],[Loss date]])-1,YEAR(Table1[[#This Row],[Loss date]]))</f>
        <v>2009</v>
      </c>
      <c r="G1335" s="10" t="s">
        <v>145</v>
      </c>
      <c r="H1335" s="10" t="s">
        <v>2</v>
      </c>
      <c r="I1335" s="11">
        <v>1763.7334146000323</v>
      </c>
      <c r="J1335" s="11">
        <v>0</v>
      </c>
      <c r="K1335" s="11">
        <v>1763.7334146000323</v>
      </c>
      <c r="L1335" s="12">
        <v>0</v>
      </c>
      <c r="M1335" s="12">
        <v>0</v>
      </c>
      <c r="N1335" s="12">
        <v>1763.7334146000323</v>
      </c>
      <c r="O1335" s="70">
        <f>IF(Table1[[#This Row],[Overall amount]]=0,0,1)</f>
        <v>1</v>
      </c>
      <c r="P1335" s="70">
        <f>Table1[[#This Row],[Overall amount]]*Exchange_Rate</f>
        <v>1763.7334146000323</v>
      </c>
      <c r="Q1335" s="70">
        <f>Table1[[#This Row],[Overall (destination currency)]]*(1+Claims_Inflation)^((Revalue_at_date-Table1[[#This Row],[Loss date]])/365.25)</f>
        <v>2400</v>
      </c>
      <c r="R1335" s="70">
        <f>INT(Table1[[#This Row],[Reporting date]])-INT(Table1[[#This Row],[Loss date]])</f>
        <v>35</v>
      </c>
      <c r="S1335" s="69" t="s">
        <v>9</v>
      </c>
      <c r="T1335" s="70">
        <f>VLOOKUP(Table1[[#This Row],[Policy Year]],exposure_table,3,FALSE)</f>
        <v>760.22808576000011</v>
      </c>
      <c r="U1335" s="17">
        <f>IF(MONTH(Table1[[#This Row],[Reporting date]])&lt;Policy_Inception_Month,YEAR(Table1[[#This Row],[Reporting date]])-1,YEAR(Table1[[#This Row],[Reporting date]]))</f>
        <v>2009</v>
      </c>
      <c r="V1335" s="17">
        <f>Table1[[#This Row],[Reporting year]]-Table1[[#This Row],[Policy Year]]</f>
        <v>0</v>
      </c>
      <c r="W1335" s="17">
        <f>INT(Table1[[#This Row],[Reporting date]])-INT(Table1[[#This Row],[Loss date]])</f>
        <v>35</v>
      </c>
      <c r="X1335" s="17">
        <f>INT((YEAR(Table1[[#This Row],[Loss date]])*12+MONTH(Table1[[#This Row],[Loss date]])-Earliest_Month)/4)</f>
        <v>12</v>
      </c>
      <c r="Y1335" s="17">
        <f>INT((YEAR(Table1[[#This Row],[Reporting date]])*12+MONTH(Table1[[#This Row],[Reporting date]])-Earliest_Month)/4)</f>
        <v>12</v>
      </c>
      <c r="Z1335" s="17">
        <f>Table1[[#This Row],[Reporting third]]-Table1[[#This Row],[Policy third]]</f>
        <v>0</v>
      </c>
      <c r="AA1335" s="71">
        <f>IF(Table1[[#This Row],[Overall amount]]=0,"N/A",Table1[[#This Row],[Outstanding]]/Table1[[#This Row],[Overall amount]])</f>
        <v>0</v>
      </c>
      <c r="AB1335" s="17">
        <f>IF(MONTH(Table1[[#This Row],[Loss date]])&lt;Pol_Inc_Month_Shifted,YEAR(Table1[[#This Row],[Loss date]])-1,YEAR(Table1[[#This Row],[Loss date]]))</f>
        <v>2008</v>
      </c>
      <c r="AC1335" s="17">
        <f>IF(MONTH(Table1[[#This Row],[Reporting date]])&lt;Pol_Inc_Month_Shifted,YEAR(Table1[[#This Row],[Reporting date]])-1,YEAR(Table1[[#This Row],[Reporting date]]))</f>
        <v>2008</v>
      </c>
      <c r="AD1335" s="17">
        <f>Table1[[#This Row],[Reporting year (shifted)]]-Table1[[#This Row],[Policy Year (shifted)]]</f>
        <v>0</v>
      </c>
    </row>
    <row r="1336" spans="1:30" ht="13.9">
      <c r="A1336" s="8" t="s">
        <v>3106</v>
      </c>
      <c r="B1336" s="8" t="s">
        <v>1388</v>
      </c>
      <c r="C1336" s="8" t="s">
        <v>118</v>
      </c>
      <c r="D1336" s="9">
        <v>39964</v>
      </c>
      <c r="E1336" s="9">
        <v>40003</v>
      </c>
      <c r="F1336" s="17">
        <f>IF(MONTH(Table1[[#This Row],[Loss date]])&lt;Policy_Inception_Month,YEAR(Table1[[#This Row],[Loss date]])-1,YEAR(Table1[[#This Row],[Loss date]]))</f>
        <v>2009</v>
      </c>
      <c r="G1336" s="10" t="s">
        <v>145</v>
      </c>
      <c r="H1336" s="10" t="s">
        <v>2</v>
      </c>
      <c r="I1336" s="11">
        <v>1321.3872169351819</v>
      </c>
      <c r="J1336" s="11">
        <v>0</v>
      </c>
      <c r="K1336" s="11">
        <v>1321.3872169351819</v>
      </c>
      <c r="L1336" s="12">
        <v>0</v>
      </c>
      <c r="M1336" s="12">
        <v>0</v>
      </c>
      <c r="N1336" s="12">
        <v>1321.3872169351819</v>
      </c>
      <c r="O1336" s="70">
        <f>IF(Table1[[#This Row],[Overall amount]]=0,0,1)</f>
        <v>1</v>
      </c>
      <c r="P1336" s="70">
        <f>Table1[[#This Row],[Overall amount]]*Exchange_Rate</f>
        <v>1321.3872169351819</v>
      </c>
      <c r="Q1336" s="70">
        <f>Table1[[#This Row],[Overall (destination currency)]]*(1+Claims_Inflation)^((Revalue_at_date-Table1[[#This Row],[Loss date]])/365.25)</f>
        <v>1800.0000000000002</v>
      </c>
      <c r="R1336" s="70">
        <f>INT(Table1[[#This Row],[Reporting date]])-INT(Table1[[#This Row],[Loss date]])</f>
        <v>39</v>
      </c>
      <c r="S1336" s="69" t="s">
        <v>9</v>
      </c>
      <c r="T1336" s="70">
        <f>VLOOKUP(Table1[[#This Row],[Policy Year]],exposure_table,3,FALSE)</f>
        <v>760.22808576000011</v>
      </c>
      <c r="U1336" s="17">
        <f>IF(MONTH(Table1[[#This Row],[Reporting date]])&lt;Policy_Inception_Month,YEAR(Table1[[#This Row],[Reporting date]])-1,YEAR(Table1[[#This Row],[Reporting date]]))</f>
        <v>2009</v>
      </c>
      <c r="V1336" s="17">
        <f>Table1[[#This Row],[Reporting year]]-Table1[[#This Row],[Policy Year]]</f>
        <v>0</v>
      </c>
      <c r="W1336" s="17">
        <f>INT(Table1[[#This Row],[Reporting date]])-INT(Table1[[#This Row],[Loss date]])</f>
        <v>39</v>
      </c>
      <c r="X1336" s="17">
        <f>INT((YEAR(Table1[[#This Row],[Loss date]])*12+MONTH(Table1[[#This Row],[Loss date]])-Earliest_Month)/4)</f>
        <v>12</v>
      </c>
      <c r="Y1336" s="17">
        <f>INT((YEAR(Table1[[#This Row],[Reporting date]])*12+MONTH(Table1[[#This Row],[Reporting date]])-Earliest_Month)/4)</f>
        <v>12</v>
      </c>
      <c r="Z1336" s="17">
        <f>Table1[[#This Row],[Reporting third]]-Table1[[#This Row],[Policy third]]</f>
        <v>0</v>
      </c>
      <c r="AA1336" s="71">
        <f>IF(Table1[[#This Row],[Overall amount]]=0,"N/A",Table1[[#This Row],[Outstanding]]/Table1[[#This Row],[Overall amount]])</f>
        <v>0</v>
      </c>
      <c r="AB1336" s="17">
        <f>IF(MONTH(Table1[[#This Row],[Loss date]])&lt;Pol_Inc_Month_Shifted,YEAR(Table1[[#This Row],[Loss date]])-1,YEAR(Table1[[#This Row],[Loss date]]))</f>
        <v>2008</v>
      </c>
      <c r="AC1336" s="17">
        <f>IF(MONTH(Table1[[#This Row],[Reporting date]])&lt;Pol_Inc_Month_Shifted,YEAR(Table1[[#This Row],[Reporting date]])-1,YEAR(Table1[[#This Row],[Reporting date]]))</f>
        <v>2008</v>
      </c>
      <c r="AD1336" s="17">
        <f>Table1[[#This Row],[Reporting year (shifted)]]-Table1[[#This Row],[Policy Year (shifted)]]</f>
        <v>0</v>
      </c>
    </row>
    <row r="1337" spans="1:30" ht="13.9">
      <c r="A1337" s="8" t="s">
        <v>3107</v>
      </c>
      <c r="B1337" s="8" t="s">
        <v>1389</v>
      </c>
      <c r="C1337" s="8" t="s">
        <v>118</v>
      </c>
      <c r="D1337" s="9">
        <v>40909</v>
      </c>
      <c r="E1337" s="9">
        <v>40979</v>
      </c>
      <c r="F1337" s="17">
        <f>IF(MONTH(Table1[[#This Row],[Loss date]])&lt;Policy_Inception_Month,YEAR(Table1[[#This Row],[Loss date]])-1,YEAR(Table1[[#This Row],[Loss date]]))</f>
        <v>2011</v>
      </c>
      <c r="G1337" s="10" t="s">
        <v>148</v>
      </c>
      <c r="H1337" s="10" t="s">
        <v>2</v>
      </c>
      <c r="I1337" s="11">
        <v>86.952187288938532</v>
      </c>
      <c r="J1337" s="11">
        <v>0</v>
      </c>
      <c r="K1337" s="11">
        <v>86.952187288938532</v>
      </c>
      <c r="L1337" s="12">
        <v>0</v>
      </c>
      <c r="M1337" s="12">
        <v>0</v>
      </c>
      <c r="N1337" s="12">
        <v>86.952187288938532</v>
      </c>
      <c r="O1337" s="70">
        <f>IF(Table1[[#This Row],[Overall amount]]=0,0,1)</f>
        <v>1</v>
      </c>
      <c r="P1337" s="70">
        <f>Table1[[#This Row],[Overall amount]]*Exchange_Rate</f>
        <v>86.952187288938532</v>
      </c>
      <c r="Q1337" s="70">
        <f>Table1[[#This Row],[Overall (destination currency)]]*(1+Claims_Inflation)^((Revalue_at_date-Table1[[#This Row],[Loss date]])/365.25)</f>
        <v>104.39999999999998</v>
      </c>
      <c r="R1337" s="70">
        <f>INT(Table1[[#This Row],[Reporting date]])-INT(Table1[[#This Row],[Loss date]])</f>
        <v>70</v>
      </c>
      <c r="S1337" s="69" t="s">
        <v>9</v>
      </c>
      <c r="T1337" s="70">
        <f>VLOOKUP(Table1[[#This Row],[Policy Year]],exposure_table,3,FALSE)</f>
        <v>870.52680000000009</v>
      </c>
      <c r="U1337" s="17">
        <f>IF(MONTH(Table1[[#This Row],[Reporting date]])&lt;Policy_Inception_Month,YEAR(Table1[[#This Row],[Reporting date]])-1,YEAR(Table1[[#This Row],[Reporting date]]))</f>
        <v>2011</v>
      </c>
      <c r="V1337" s="17">
        <f>Table1[[#This Row],[Reporting year]]-Table1[[#This Row],[Policy Year]]</f>
        <v>0</v>
      </c>
      <c r="W1337" s="17">
        <f>INT(Table1[[#This Row],[Reporting date]])-INT(Table1[[#This Row],[Loss date]])</f>
        <v>70</v>
      </c>
      <c r="X1337" s="17">
        <f>INT((YEAR(Table1[[#This Row],[Loss date]])*12+MONTH(Table1[[#This Row],[Loss date]])-Earliest_Month)/4)</f>
        <v>20</v>
      </c>
      <c r="Y1337" s="17">
        <f>INT((YEAR(Table1[[#This Row],[Reporting date]])*12+MONTH(Table1[[#This Row],[Reporting date]])-Earliest_Month)/4)</f>
        <v>20</v>
      </c>
      <c r="Z1337" s="17">
        <f>Table1[[#This Row],[Reporting third]]-Table1[[#This Row],[Policy third]]</f>
        <v>0</v>
      </c>
      <c r="AA1337" s="71">
        <f>IF(Table1[[#This Row],[Overall amount]]=0,"N/A",Table1[[#This Row],[Outstanding]]/Table1[[#This Row],[Overall amount]])</f>
        <v>0</v>
      </c>
      <c r="AB1337" s="17">
        <f>IF(MONTH(Table1[[#This Row],[Loss date]])&lt;Pol_Inc_Month_Shifted,YEAR(Table1[[#This Row],[Loss date]])-1,YEAR(Table1[[#This Row],[Loss date]]))</f>
        <v>2011</v>
      </c>
      <c r="AC1337" s="17">
        <f>IF(MONTH(Table1[[#This Row],[Reporting date]])&lt;Pol_Inc_Month_Shifted,YEAR(Table1[[#This Row],[Reporting date]])-1,YEAR(Table1[[#This Row],[Reporting date]]))</f>
        <v>2011</v>
      </c>
      <c r="AD1337" s="17">
        <f>Table1[[#This Row],[Reporting year (shifted)]]-Table1[[#This Row],[Policy Year (shifted)]]</f>
        <v>0</v>
      </c>
    </row>
    <row r="1338" spans="1:30" ht="13.9">
      <c r="A1338" s="8" t="s">
        <v>3108</v>
      </c>
      <c r="B1338" s="8" t="s">
        <v>1390</v>
      </c>
      <c r="C1338" s="8" t="s">
        <v>118</v>
      </c>
      <c r="D1338" s="9">
        <v>40524</v>
      </c>
      <c r="E1338" s="9">
        <v>40524</v>
      </c>
      <c r="F1338" s="17">
        <f>IF(MONTH(Table1[[#This Row],[Loss date]])&lt;Policy_Inception_Month,YEAR(Table1[[#This Row],[Loss date]])-1,YEAR(Table1[[#This Row],[Loss date]]))</f>
        <v>2010</v>
      </c>
      <c r="G1338" s="10" t="s">
        <v>148</v>
      </c>
      <c r="H1338" s="10" t="s">
        <v>2</v>
      </c>
      <c r="I1338" s="11">
        <v>578.15394401637082</v>
      </c>
      <c r="J1338" s="11">
        <v>0</v>
      </c>
      <c r="K1338" s="11">
        <v>578.15394401637082</v>
      </c>
      <c r="L1338" s="12">
        <v>0</v>
      </c>
      <c r="M1338" s="12">
        <v>0</v>
      </c>
      <c r="N1338" s="12">
        <v>578.15394401637082</v>
      </c>
      <c r="O1338" s="70">
        <f>IF(Table1[[#This Row],[Overall amount]]=0,0,1)</f>
        <v>1</v>
      </c>
      <c r="P1338" s="70">
        <f>Table1[[#This Row],[Overall amount]]*Exchange_Rate</f>
        <v>578.15394401637082</v>
      </c>
      <c r="Q1338" s="70">
        <f>Table1[[#This Row],[Overall (destination currency)]]*(1+Claims_Inflation)^((Revalue_at_date-Table1[[#This Row],[Loss date]])/365.25)</f>
        <v>730.8</v>
      </c>
      <c r="R1338" s="70">
        <f>INT(Table1[[#This Row],[Reporting date]])-INT(Table1[[#This Row],[Loss date]])</f>
        <v>0</v>
      </c>
      <c r="S1338" s="69" t="s">
        <v>9</v>
      </c>
      <c r="T1338" s="70">
        <f>VLOOKUP(Table1[[#This Row],[Policy Year]],exposure_table,3,FALSE)</f>
        <v>837.11513600000012</v>
      </c>
      <c r="U1338" s="17">
        <f>IF(MONTH(Table1[[#This Row],[Reporting date]])&lt;Policy_Inception_Month,YEAR(Table1[[#This Row],[Reporting date]])-1,YEAR(Table1[[#This Row],[Reporting date]]))</f>
        <v>2010</v>
      </c>
      <c r="V1338" s="17">
        <f>Table1[[#This Row],[Reporting year]]-Table1[[#This Row],[Policy Year]]</f>
        <v>0</v>
      </c>
      <c r="W1338" s="17">
        <f>INT(Table1[[#This Row],[Reporting date]])-INT(Table1[[#This Row],[Loss date]])</f>
        <v>0</v>
      </c>
      <c r="X1338" s="17">
        <f>INT((YEAR(Table1[[#This Row],[Loss date]])*12+MONTH(Table1[[#This Row],[Loss date]])-Earliest_Month)/4)</f>
        <v>17</v>
      </c>
      <c r="Y1338" s="17">
        <f>INT((YEAR(Table1[[#This Row],[Reporting date]])*12+MONTH(Table1[[#This Row],[Reporting date]])-Earliest_Month)/4)</f>
        <v>17</v>
      </c>
      <c r="Z1338" s="17">
        <f>Table1[[#This Row],[Reporting third]]-Table1[[#This Row],[Policy third]]</f>
        <v>0</v>
      </c>
      <c r="AA1338" s="71">
        <f>IF(Table1[[#This Row],[Overall amount]]=0,"N/A",Table1[[#This Row],[Outstanding]]/Table1[[#This Row],[Overall amount]])</f>
        <v>0</v>
      </c>
      <c r="AB1338" s="17">
        <f>IF(MONTH(Table1[[#This Row],[Loss date]])&lt;Pol_Inc_Month_Shifted,YEAR(Table1[[#This Row],[Loss date]])-1,YEAR(Table1[[#This Row],[Loss date]]))</f>
        <v>2010</v>
      </c>
      <c r="AC1338" s="17">
        <f>IF(MONTH(Table1[[#This Row],[Reporting date]])&lt;Pol_Inc_Month_Shifted,YEAR(Table1[[#This Row],[Reporting date]])-1,YEAR(Table1[[#This Row],[Reporting date]]))</f>
        <v>2010</v>
      </c>
      <c r="AD1338" s="17">
        <f>Table1[[#This Row],[Reporting year (shifted)]]-Table1[[#This Row],[Policy Year (shifted)]]</f>
        <v>0</v>
      </c>
    </row>
    <row r="1339" spans="1:30" ht="13.9">
      <c r="A1339" s="8" t="s">
        <v>3109</v>
      </c>
      <c r="B1339" s="8" t="s">
        <v>1391</v>
      </c>
      <c r="C1339" s="8" t="s">
        <v>118</v>
      </c>
      <c r="D1339" s="9">
        <v>40523</v>
      </c>
      <c r="E1339" s="9">
        <v>40523</v>
      </c>
      <c r="F1339" s="17">
        <f>IF(MONTH(Table1[[#This Row],[Loss date]])&lt;Policy_Inception_Month,YEAR(Table1[[#This Row],[Loss date]])-1,YEAR(Table1[[#This Row],[Loss date]]))</f>
        <v>2010</v>
      </c>
      <c r="G1339" s="10" t="s">
        <v>148</v>
      </c>
      <c r="H1339" s="10" t="s">
        <v>2</v>
      </c>
      <c r="I1339" s="11">
        <v>523.02179361709909</v>
      </c>
      <c r="J1339" s="11">
        <v>0</v>
      </c>
      <c r="K1339" s="11">
        <v>523.02179361709909</v>
      </c>
      <c r="L1339" s="12">
        <v>0</v>
      </c>
      <c r="M1339" s="12">
        <v>0</v>
      </c>
      <c r="N1339" s="12">
        <v>523.02179361709909</v>
      </c>
      <c r="O1339" s="70">
        <f>IF(Table1[[#This Row],[Overall amount]]=0,0,1)</f>
        <v>1</v>
      </c>
      <c r="P1339" s="70">
        <f>Table1[[#This Row],[Overall amount]]*Exchange_Rate</f>
        <v>523.02179361709909</v>
      </c>
      <c r="Q1339" s="70">
        <f>Table1[[#This Row],[Overall (destination currency)]]*(1+Claims_Inflation)^((Revalue_at_date-Table1[[#This Row],[Loss date]])/365.25)</f>
        <v>661.19999999999993</v>
      </c>
      <c r="R1339" s="70">
        <f>INT(Table1[[#This Row],[Reporting date]])-INT(Table1[[#This Row],[Loss date]])</f>
        <v>0</v>
      </c>
      <c r="S1339" s="69" t="s">
        <v>9</v>
      </c>
      <c r="T1339" s="70">
        <f>VLOOKUP(Table1[[#This Row],[Policy Year]],exposure_table,3,FALSE)</f>
        <v>837.11513600000012</v>
      </c>
      <c r="U1339" s="17">
        <f>IF(MONTH(Table1[[#This Row],[Reporting date]])&lt;Policy_Inception_Month,YEAR(Table1[[#This Row],[Reporting date]])-1,YEAR(Table1[[#This Row],[Reporting date]]))</f>
        <v>2010</v>
      </c>
      <c r="V1339" s="17">
        <f>Table1[[#This Row],[Reporting year]]-Table1[[#This Row],[Policy Year]]</f>
        <v>0</v>
      </c>
      <c r="W1339" s="17">
        <f>INT(Table1[[#This Row],[Reporting date]])-INT(Table1[[#This Row],[Loss date]])</f>
        <v>0</v>
      </c>
      <c r="X1339" s="17">
        <f>INT((YEAR(Table1[[#This Row],[Loss date]])*12+MONTH(Table1[[#This Row],[Loss date]])-Earliest_Month)/4)</f>
        <v>17</v>
      </c>
      <c r="Y1339" s="17">
        <f>INT((YEAR(Table1[[#This Row],[Reporting date]])*12+MONTH(Table1[[#This Row],[Reporting date]])-Earliest_Month)/4)</f>
        <v>17</v>
      </c>
      <c r="Z1339" s="17">
        <f>Table1[[#This Row],[Reporting third]]-Table1[[#This Row],[Policy third]]</f>
        <v>0</v>
      </c>
      <c r="AA1339" s="71">
        <f>IF(Table1[[#This Row],[Overall amount]]=0,"N/A",Table1[[#This Row],[Outstanding]]/Table1[[#This Row],[Overall amount]])</f>
        <v>0</v>
      </c>
      <c r="AB1339" s="17">
        <f>IF(MONTH(Table1[[#This Row],[Loss date]])&lt;Pol_Inc_Month_Shifted,YEAR(Table1[[#This Row],[Loss date]])-1,YEAR(Table1[[#This Row],[Loss date]]))</f>
        <v>2010</v>
      </c>
      <c r="AC1339" s="17">
        <f>IF(MONTH(Table1[[#This Row],[Reporting date]])&lt;Pol_Inc_Month_Shifted,YEAR(Table1[[#This Row],[Reporting date]])-1,YEAR(Table1[[#This Row],[Reporting date]]))</f>
        <v>2010</v>
      </c>
      <c r="AD1339" s="17">
        <f>Table1[[#This Row],[Reporting year (shifted)]]-Table1[[#This Row],[Policy Year (shifted)]]</f>
        <v>0</v>
      </c>
    </row>
    <row r="1340" spans="1:30" ht="13.9">
      <c r="A1340" s="8" t="s">
        <v>3110</v>
      </c>
      <c r="B1340" s="8" t="s">
        <v>1392</v>
      </c>
      <c r="C1340" s="8" t="s">
        <v>118</v>
      </c>
      <c r="D1340" s="9">
        <v>40870</v>
      </c>
      <c r="E1340" s="9">
        <v>40875</v>
      </c>
      <c r="F1340" s="17">
        <f>IF(MONTH(Table1[[#This Row],[Loss date]])&lt;Policy_Inception_Month,YEAR(Table1[[#This Row],[Loss date]])-1,YEAR(Table1[[#This Row],[Loss date]]))</f>
        <v>2011</v>
      </c>
      <c r="G1340" s="10" t="s">
        <v>128</v>
      </c>
      <c r="H1340" s="10" t="s">
        <v>2</v>
      </c>
      <c r="I1340" s="11">
        <v>1283.0889210064652</v>
      </c>
      <c r="J1340" s="11">
        <v>0</v>
      </c>
      <c r="K1340" s="11">
        <v>1283.0889210064652</v>
      </c>
      <c r="L1340" s="12">
        <v>149.13858051218114</v>
      </c>
      <c r="M1340" s="12">
        <v>0</v>
      </c>
      <c r="N1340" s="12">
        <v>1432.2275015186462</v>
      </c>
      <c r="O1340" s="70">
        <f>IF(Table1[[#This Row],[Overall amount]]=0,0,1)</f>
        <v>1</v>
      </c>
      <c r="P1340" s="70">
        <f>Table1[[#This Row],[Overall amount]]*Exchange_Rate</f>
        <v>1432.2275015186462</v>
      </c>
      <c r="Q1340" s="70">
        <f>Table1[[#This Row],[Overall (destination currency)]]*(1+Claims_Inflation)^((Revalue_at_date-Table1[[#This Row],[Loss date]])/365.25)</f>
        <v>1728.6</v>
      </c>
      <c r="R1340" s="70">
        <f>INT(Table1[[#This Row],[Reporting date]])-INT(Table1[[#This Row],[Loss date]])</f>
        <v>5</v>
      </c>
      <c r="S1340" s="69" t="s">
        <v>9</v>
      </c>
      <c r="T1340" s="70">
        <f>VLOOKUP(Table1[[#This Row],[Policy Year]],exposure_table,3,FALSE)</f>
        <v>870.52680000000009</v>
      </c>
      <c r="U1340" s="17">
        <f>IF(MONTH(Table1[[#This Row],[Reporting date]])&lt;Policy_Inception_Month,YEAR(Table1[[#This Row],[Reporting date]])-1,YEAR(Table1[[#This Row],[Reporting date]]))</f>
        <v>2011</v>
      </c>
      <c r="V1340" s="17">
        <f>Table1[[#This Row],[Reporting year]]-Table1[[#This Row],[Policy Year]]</f>
        <v>0</v>
      </c>
      <c r="W1340" s="17">
        <f>INT(Table1[[#This Row],[Reporting date]])-INT(Table1[[#This Row],[Loss date]])</f>
        <v>5</v>
      </c>
      <c r="X1340" s="17">
        <f>INT((YEAR(Table1[[#This Row],[Loss date]])*12+MONTH(Table1[[#This Row],[Loss date]])-Earliest_Month)/4)</f>
        <v>19</v>
      </c>
      <c r="Y1340" s="17">
        <f>INT((YEAR(Table1[[#This Row],[Reporting date]])*12+MONTH(Table1[[#This Row],[Reporting date]])-Earliest_Month)/4)</f>
        <v>19</v>
      </c>
      <c r="Z1340" s="17">
        <f>Table1[[#This Row],[Reporting third]]-Table1[[#This Row],[Policy third]]</f>
        <v>0</v>
      </c>
      <c r="AA1340" s="71">
        <f>IF(Table1[[#This Row],[Overall amount]]=0,"N/A",Table1[[#This Row],[Outstanding]]/Table1[[#This Row],[Overall amount]])</f>
        <v>0</v>
      </c>
      <c r="AB1340" s="17">
        <f>IF(MONTH(Table1[[#This Row],[Loss date]])&lt;Pol_Inc_Month_Shifted,YEAR(Table1[[#This Row],[Loss date]])-1,YEAR(Table1[[#This Row],[Loss date]]))</f>
        <v>2010</v>
      </c>
      <c r="AC1340" s="17">
        <f>IF(MONTH(Table1[[#This Row],[Reporting date]])&lt;Pol_Inc_Month_Shifted,YEAR(Table1[[#This Row],[Reporting date]])-1,YEAR(Table1[[#This Row],[Reporting date]]))</f>
        <v>2010</v>
      </c>
      <c r="AD1340" s="17">
        <f>Table1[[#This Row],[Reporting year (shifted)]]-Table1[[#This Row],[Policy Year (shifted)]]</f>
        <v>0</v>
      </c>
    </row>
    <row r="1341" spans="1:30" ht="13.9">
      <c r="A1341" s="8" t="s">
        <v>3111</v>
      </c>
      <c r="B1341" s="8" t="s">
        <v>1393</v>
      </c>
      <c r="C1341" s="8" t="s">
        <v>118</v>
      </c>
      <c r="D1341" s="9">
        <v>40962</v>
      </c>
      <c r="E1341" s="9">
        <v>40962</v>
      </c>
      <c r="F1341" s="17">
        <f>IF(MONTH(Table1[[#This Row],[Loss date]])&lt;Policy_Inception_Month,YEAR(Table1[[#This Row],[Loss date]])-1,YEAR(Table1[[#This Row],[Loss date]]))</f>
        <v>2011</v>
      </c>
      <c r="G1341" s="10" t="s">
        <v>131</v>
      </c>
      <c r="H1341" s="10" t="s">
        <v>2</v>
      </c>
      <c r="I1341" s="11">
        <v>5037.2663236967946</v>
      </c>
      <c r="J1341" s="11">
        <v>0</v>
      </c>
      <c r="K1341" s="11">
        <v>5037.2663236967946</v>
      </c>
      <c r="L1341" s="12">
        <v>0</v>
      </c>
      <c r="M1341" s="12">
        <v>0</v>
      </c>
      <c r="N1341" s="12">
        <v>5037.2663236967946</v>
      </c>
      <c r="O1341" s="70">
        <f>IF(Table1[[#This Row],[Overall amount]]=0,0,1)</f>
        <v>1</v>
      </c>
      <c r="P1341" s="70">
        <f>Table1[[#This Row],[Overall amount]]*Exchange_Rate</f>
        <v>5037.2663236967946</v>
      </c>
      <c r="Q1341" s="70">
        <f>Table1[[#This Row],[Overall (destination currency)]]*(1+Claims_Inflation)^((Revalue_at_date-Table1[[#This Row],[Loss date]])/365.25)</f>
        <v>6005.3759999999993</v>
      </c>
      <c r="R1341" s="70">
        <f>INT(Table1[[#This Row],[Reporting date]])-INT(Table1[[#This Row],[Loss date]])</f>
        <v>0</v>
      </c>
      <c r="S1341" s="69" t="s">
        <v>9</v>
      </c>
      <c r="T1341" s="70">
        <f>VLOOKUP(Table1[[#This Row],[Policy Year]],exposure_table,3,FALSE)</f>
        <v>870.52680000000009</v>
      </c>
      <c r="U1341" s="17">
        <f>IF(MONTH(Table1[[#This Row],[Reporting date]])&lt;Policy_Inception_Month,YEAR(Table1[[#This Row],[Reporting date]])-1,YEAR(Table1[[#This Row],[Reporting date]]))</f>
        <v>2011</v>
      </c>
      <c r="V1341" s="17">
        <f>Table1[[#This Row],[Reporting year]]-Table1[[#This Row],[Policy Year]]</f>
        <v>0</v>
      </c>
      <c r="W1341" s="17">
        <f>INT(Table1[[#This Row],[Reporting date]])-INT(Table1[[#This Row],[Loss date]])</f>
        <v>0</v>
      </c>
      <c r="X1341" s="17">
        <f>INT((YEAR(Table1[[#This Row],[Loss date]])*12+MONTH(Table1[[#This Row],[Loss date]])-Earliest_Month)/4)</f>
        <v>20</v>
      </c>
      <c r="Y1341" s="17">
        <f>INT((YEAR(Table1[[#This Row],[Reporting date]])*12+MONTH(Table1[[#This Row],[Reporting date]])-Earliest_Month)/4)</f>
        <v>20</v>
      </c>
      <c r="Z1341" s="17">
        <f>Table1[[#This Row],[Reporting third]]-Table1[[#This Row],[Policy third]]</f>
        <v>0</v>
      </c>
      <c r="AA1341" s="71">
        <f>IF(Table1[[#This Row],[Overall amount]]=0,"N/A",Table1[[#This Row],[Outstanding]]/Table1[[#This Row],[Overall amount]])</f>
        <v>0</v>
      </c>
      <c r="AB1341" s="17">
        <f>IF(MONTH(Table1[[#This Row],[Loss date]])&lt;Pol_Inc_Month_Shifted,YEAR(Table1[[#This Row],[Loss date]])-1,YEAR(Table1[[#This Row],[Loss date]]))</f>
        <v>2011</v>
      </c>
      <c r="AC1341" s="17">
        <f>IF(MONTH(Table1[[#This Row],[Reporting date]])&lt;Pol_Inc_Month_Shifted,YEAR(Table1[[#This Row],[Reporting date]])-1,YEAR(Table1[[#This Row],[Reporting date]]))</f>
        <v>2011</v>
      </c>
      <c r="AD1341" s="17">
        <f>Table1[[#This Row],[Reporting year (shifted)]]-Table1[[#This Row],[Policy Year (shifted)]]</f>
        <v>0</v>
      </c>
    </row>
    <row r="1342" spans="1:30" ht="13.9">
      <c r="A1342" s="8" t="s">
        <v>3112</v>
      </c>
      <c r="B1342" s="8" t="s">
        <v>1394</v>
      </c>
      <c r="C1342" s="8" t="s">
        <v>118</v>
      </c>
      <c r="D1342" s="9">
        <v>39965</v>
      </c>
      <c r="E1342" s="9">
        <v>40622</v>
      </c>
      <c r="F1342" s="17">
        <f>IF(MONTH(Table1[[#This Row],[Loss date]])&lt;Policy_Inception_Month,YEAR(Table1[[#This Row],[Loss date]])-1,YEAR(Table1[[#This Row],[Loss date]]))</f>
        <v>2009</v>
      </c>
      <c r="G1342" s="10" t="s">
        <v>121</v>
      </c>
      <c r="H1342" s="10" t="s">
        <v>2</v>
      </c>
      <c r="I1342" s="11">
        <v>1441.8260402086214</v>
      </c>
      <c r="J1342" s="11">
        <v>25360.367647042513</v>
      </c>
      <c r="K1342" s="11">
        <v>26802.193687251132</v>
      </c>
      <c r="L1342" s="12">
        <v>0</v>
      </c>
      <c r="M1342" s="12">
        <v>0</v>
      </c>
      <c r="N1342" s="12">
        <v>26802.193687251132</v>
      </c>
      <c r="O1342" s="70">
        <f>IF(Table1[[#This Row],[Overall amount]]=0,0,1)</f>
        <v>1</v>
      </c>
      <c r="P1342" s="70">
        <f>Table1[[#This Row],[Overall amount]]*Exchange_Rate</f>
        <v>26802.193687251132</v>
      </c>
      <c r="Q1342" s="70">
        <f>Table1[[#This Row],[Overall (destination currency)]]*(1+Claims_Inflation)^((Revalue_at_date-Table1[[#This Row],[Loss date]])/365.25)</f>
        <v>36505.199999999997</v>
      </c>
      <c r="R1342" s="70">
        <f>INT(Table1[[#This Row],[Reporting date]])-INT(Table1[[#This Row],[Loss date]])</f>
        <v>657</v>
      </c>
      <c r="S1342" s="69" t="s">
        <v>16</v>
      </c>
      <c r="T1342" s="70">
        <f>VLOOKUP(Table1[[#This Row],[Policy Year]],exposure_table,3,FALSE)</f>
        <v>760.22808576000011</v>
      </c>
      <c r="U1342" s="17">
        <f>IF(MONTH(Table1[[#This Row],[Reporting date]])&lt;Policy_Inception_Month,YEAR(Table1[[#This Row],[Reporting date]])-1,YEAR(Table1[[#This Row],[Reporting date]]))</f>
        <v>2010</v>
      </c>
      <c r="V1342" s="17">
        <f>Table1[[#This Row],[Reporting year]]-Table1[[#This Row],[Policy Year]]</f>
        <v>1</v>
      </c>
      <c r="W1342" s="17">
        <f>INT(Table1[[#This Row],[Reporting date]])-INT(Table1[[#This Row],[Loss date]])</f>
        <v>657</v>
      </c>
      <c r="X1342" s="17">
        <f>INT((YEAR(Table1[[#This Row],[Loss date]])*12+MONTH(Table1[[#This Row],[Loss date]])-Earliest_Month)/4)</f>
        <v>12</v>
      </c>
      <c r="Y1342" s="17">
        <f>INT((YEAR(Table1[[#This Row],[Reporting date]])*12+MONTH(Table1[[#This Row],[Reporting date]])-Earliest_Month)/4)</f>
        <v>17</v>
      </c>
      <c r="Z1342" s="17">
        <f>Table1[[#This Row],[Reporting third]]-Table1[[#This Row],[Policy third]]</f>
        <v>5</v>
      </c>
      <c r="AA1342" s="71">
        <f>IF(Table1[[#This Row],[Overall amount]]=0,"N/A",Table1[[#This Row],[Outstanding]]/Table1[[#This Row],[Overall amount]])</f>
        <v>0.94620492422997282</v>
      </c>
      <c r="AB1342" s="17">
        <f>IF(MONTH(Table1[[#This Row],[Loss date]])&lt;Pol_Inc_Month_Shifted,YEAR(Table1[[#This Row],[Loss date]])-1,YEAR(Table1[[#This Row],[Loss date]]))</f>
        <v>2008</v>
      </c>
      <c r="AC1342" s="17">
        <f>IF(MONTH(Table1[[#This Row],[Reporting date]])&lt;Pol_Inc_Month_Shifted,YEAR(Table1[[#This Row],[Reporting date]])-1,YEAR(Table1[[#This Row],[Reporting date]]))</f>
        <v>2010</v>
      </c>
      <c r="AD1342" s="17">
        <f>Table1[[#This Row],[Reporting year (shifted)]]-Table1[[#This Row],[Policy Year (shifted)]]</f>
        <v>2</v>
      </c>
    </row>
    <row r="1343" spans="1:30" ht="13.9">
      <c r="A1343" s="8" t="s">
        <v>3113</v>
      </c>
      <c r="B1343" s="8" t="s">
        <v>1395</v>
      </c>
      <c r="C1343" s="8" t="s">
        <v>118</v>
      </c>
      <c r="D1343" s="9">
        <v>40064</v>
      </c>
      <c r="E1343" s="9">
        <v>40064</v>
      </c>
      <c r="F1343" s="17">
        <f>IF(MONTH(Table1[[#This Row],[Loss date]])&lt;Policy_Inception_Month,YEAR(Table1[[#This Row],[Loss date]])-1,YEAR(Table1[[#This Row],[Loss date]]))</f>
        <v>2009</v>
      </c>
      <c r="G1343" s="10" t="s">
        <v>121</v>
      </c>
      <c r="H1343" s="10" t="s">
        <v>2</v>
      </c>
      <c r="I1343" s="11">
        <v>4116.5678527654627</v>
      </c>
      <c r="J1343" s="11">
        <v>0</v>
      </c>
      <c r="K1343" s="11">
        <v>4116.5678527654627</v>
      </c>
      <c r="L1343" s="12">
        <v>0</v>
      </c>
      <c r="M1343" s="12">
        <v>0</v>
      </c>
      <c r="N1343" s="12">
        <v>4116.5678527654627</v>
      </c>
      <c r="O1343" s="70">
        <f>IF(Table1[[#This Row],[Overall amount]]=0,0,1)</f>
        <v>1</v>
      </c>
      <c r="P1343" s="70">
        <f>Table1[[#This Row],[Overall amount]]*Exchange_Rate</f>
        <v>4116.5678527654627</v>
      </c>
      <c r="Q1343" s="70">
        <f>Table1[[#This Row],[Overall (destination currency)]]*(1+Claims_Inflation)^((Revalue_at_date-Table1[[#This Row],[Loss date]])/365.25)</f>
        <v>5533.2</v>
      </c>
      <c r="R1343" s="70">
        <f>INT(Table1[[#This Row],[Reporting date]])-INT(Table1[[#This Row],[Loss date]])</f>
        <v>0</v>
      </c>
      <c r="S1343" s="69" t="s">
        <v>9</v>
      </c>
      <c r="T1343" s="70">
        <f>VLOOKUP(Table1[[#This Row],[Policy Year]],exposure_table,3,FALSE)</f>
        <v>760.22808576000011</v>
      </c>
      <c r="U1343" s="17">
        <f>IF(MONTH(Table1[[#This Row],[Reporting date]])&lt;Policy_Inception_Month,YEAR(Table1[[#This Row],[Reporting date]])-1,YEAR(Table1[[#This Row],[Reporting date]]))</f>
        <v>2009</v>
      </c>
      <c r="V1343" s="17">
        <f>Table1[[#This Row],[Reporting year]]-Table1[[#This Row],[Policy Year]]</f>
        <v>0</v>
      </c>
      <c r="W1343" s="17">
        <f>INT(Table1[[#This Row],[Reporting date]])-INT(Table1[[#This Row],[Loss date]])</f>
        <v>0</v>
      </c>
      <c r="X1343" s="17">
        <f>INT((YEAR(Table1[[#This Row],[Loss date]])*12+MONTH(Table1[[#This Row],[Loss date]])-Earliest_Month)/4)</f>
        <v>13</v>
      </c>
      <c r="Y1343" s="17">
        <f>INT((YEAR(Table1[[#This Row],[Reporting date]])*12+MONTH(Table1[[#This Row],[Reporting date]])-Earliest_Month)/4)</f>
        <v>13</v>
      </c>
      <c r="Z1343" s="17">
        <f>Table1[[#This Row],[Reporting third]]-Table1[[#This Row],[Policy third]]</f>
        <v>0</v>
      </c>
      <c r="AA1343" s="71">
        <f>IF(Table1[[#This Row],[Overall amount]]=0,"N/A",Table1[[#This Row],[Outstanding]]/Table1[[#This Row],[Overall amount]])</f>
        <v>0</v>
      </c>
      <c r="AB1343" s="17">
        <f>IF(MONTH(Table1[[#This Row],[Loss date]])&lt;Pol_Inc_Month_Shifted,YEAR(Table1[[#This Row],[Loss date]])-1,YEAR(Table1[[#This Row],[Loss date]]))</f>
        <v>2008</v>
      </c>
      <c r="AC1343" s="17">
        <f>IF(MONTH(Table1[[#This Row],[Reporting date]])&lt;Pol_Inc_Month_Shifted,YEAR(Table1[[#This Row],[Reporting date]])-1,YEAR(Table1[[#This Row],[Reporting date]]))</f>
        <v>2008</v>
      </c>
      <c r="AD1343" s="17">
        <f>Table1[[#This Row],[Reporting year (shifted)]]-Table1[[#This Row],[Policy Year (shifted)]]</f>
        <v>0</v>
      </c>
    </row>
    <row r="1344" spans="1:30" ht="13.9">
      <c r="A1344" s="8" t="s">
        <v>3114</v>
      </c>
      <c r="B1344" s="8" t="s">
        <v>1396</v>
      </c>
      <c r="C1344" s="8" t="s">
        <v>118</v>
      </c>
      <c r="D1344" s="9">
        <v>41061</v>
      </c>
      <c r="E1344" s="9">
        <v>41070</v>
      </c>
      <c r="F1344" s="17">
        <f>IF(MONTH(Table1[[#This Row],[Loss date]])&lt;Policy_Inception_Month,YEAR(Table1[[#This Row],[Loss date]])-1,YEAR(Table1[[#This Row],[Loss date]]))</f>
        <v>2012</v>
      </c>
      <c r="G1344" s="10" t="s">
        <v>128</v>
      </c>
      <c r="H1344" s="10" t="s">
        <v>2</v>
      </c>
      <c r="I1344" s="11">
        <v>14147.116444709391</v>
      </c>
      <c r="J1344" s="11">
        <v>0</v>
      </c>
      <c r="K1344" s="11">
        <v>14147.116444709391</v>
      </c>
      <c r="L1344" s="12">
        <v>0</v>
      </c>
      <c r="M1344" s="12">
        <v>0</v>
      </c>
      <c r="N1344" s="12">
        <v>14147.116444709391</v>
      </c>
      <c r="O1344" s="70">
        <f>IF(Table1[[#This Row],[Overall amount]]=0,0,1)</f>
        <v>1</v>
      </c>
      <c r="P1344" s="70">
        <f>Table1[[#This Row],[Overall amount]]*Exchange_Rate</f>
        <v>14147.116444709391</v>
      </c>
      <c r="Q1344" s="70">
        <f>Table1[[#This Row],[Overall (destination currency)]]*(1+Claims_Inflation)^((Revalue_at_date-Table1[[#This Row],[Loss date]])/365.25)</f>
        <v>16644.467999999997</v>
      </c>
      <c r="R1344" s="70">
        <f>INT(Table1[[#This Row],[Reporting date]])-INT(Table1[[#This Row],[Loss date]])</f>
        <v>9</v>
      </c>
      <c r="S1344" s="69" t="s">
        <v>9</v>
      </c>
      <c r="T1344" s="70">
        <f>VLOOKUP(Table1[[#This Row],[Policy Year]],exposure_table,3,FALSE)</f>
        <v>1057.54</v>
      </c>
      <c r="U1344" s="17">
        <f>IF(MONTH(Table1[[#This Row],[Reporting date]])&lt;Policy_Inception_Month,YEAR(Table1[[#This Row],[Reporting date]])-1,YEAR(Table1[[#This Row],[Reporting date]]))</f>
        <v>2012</v>
      </c>
      <c r="V1344" s="17">
        <f>Table1[[#This Row],[Reporting year]]-Table1[[#This Row],[Policy Year]]</f>
        <v>0</v>
      </c>
      <c r="W1344" s="17">
        <f>INT(Table1[[#This Row],[Reporting date]])-INT(Table1[[#This Row],[Loss date]])</f>
        <v>9</v>
      </c>
      <c r="X1344" s="17">
        <f>INT((YEAR(Table1[[#This Row],[Loss date]])*12+MONTH(Table1[[#This Row],[Loss date]])-Earliest_Month)/4)</f>
        <v>21</v>
      </c>
      <c r="Y1344" s="17">
        <f>INT((YEAR(Table1[[#This Row],[Reporting date]])*12+MONTH(Table1[[#This Row],[Reporting date]])-Earliest_Month)/4)</f>
        <v>21</v>
      </c>
      <c r="Z1344" s="17">
        <f>Table1[[#This Row],[Reporting third]]-Table1[[#This Row],[Policy third]]</f>
        <v>0</v>
      </c>
      <c r="AA1344" s="71">
        <f>IF(Table1[[#This Row],[Overall amount]]=0,"N/A",Table1[[#This Row],[Outstanding]]/Table1[[#This Row],[Overall amount]])</f>
        <v>0</v>
      </c>
      <c r="AB1344" s="17">
        <f>IF(MONTH(Table1[[#This Row],[Loss date]])&lt;Pol_Inc_Month_Shifted,YEAR(Table1[[#This Row],[Loss date]])-1,YEAR(Table1[[#This Row],[Loss date]]))</f>
        <v>2011</v>
      </c>
      <c r="AC1344" s="17">
        <f>IF(MONTH(Table1[[#This Row],[Reporting date]])&lt;Pol_Inc_Month_Shifted,YEAR(Table1[[#This Row],[Reporting date]])-1,YEAR(Table1[[#This Row],[Reporting date]]))</f>
        <v>2011</v>
      </c>
      <c r="AD1344" s="17">
        <f>Table1[[#This Row],[Reporting year (shifted)]]-Table1[[#This Row],[Policy Year (shifted)]]</f>
        <v>0</v>
      </c>
    </row>
    <row r="1345" spans="1:30" ht="13.9">
      <c r="A1345" s="8" t="s">
        <v>3115</v>
      </c>
      <c r="B1345" s="8" t="s">
        <v>1397</v>
      </c>
      <c r="C1345" s="8" t="s">
        <v>118</v>
      </c>
      <c r="D1345" s="9">
        <v>40654</v>
      </c>
      <c r="E1345" s="9">
        <v>40669</v>
      </c>
      <c r="F1345" s="17">
        <f>IF(MONTH(Table1[[#This Row],[Loss date]])&lt;Policy_Inception_Month,YEAR(Table1[[#This Row],[Loss date]])-1,YEAR(Table1[[#This Row],[Loss date]]))</f>
        <v>2011</v>
      </c>
      <c r="G1345" s="10" t="s">
        <v>129</v>
      </c>
      <c r="H1345" s="10" t="s">
        <v>2</v>
      </c>
      <c r="I1345" s="11">
        <v>20948.723998034464</v>
      </c>
      <c r="J1345" s="11">
        <v>0</v>
      </c>
      <c r="K1345" s="11">
        <v>20948.723998034464</v>
      </c>
      <c r="L1345" s="12">
        <v>0</v>
      </c>
      <c r="M1345" s="12">
        <v>506.2469021381342</v>
      </c>
      <c r="N1345" s="12">
        <v>20442.477095896331</v>
      </c>
      <c r="O1345" s="70">
        <f>IF(Table1[[#This Row],[Overall amount]]=0,0,1)</f>
        <v>1</v>
      </c>
      <c r="P1345" s="70">
        <f>Table1[[#This Row],[Overall amount]]*Exchange_Rate</f>
        <v>20442.477095896331</v>
      </c>
      <c r="Q1345" s="70">
        <f>Table1[[#This Row],[Overall (destination currency)]]*(1+Claims_Inflation)^((Revalue_at_date-Table1[[#This Row],[Loss date]])/365.25)</f>
        <v>25394.920511999997</v>
      </c>
      <c r="R1345" s="70">
        <f>INT(Table1[[#This Row],[Reporting date]])-INT(Table1[[#This Row],[Loss date]])</f>
        <v>15</v>
      </c>
      <c r="S1345" s="69" t="s">
        <v>9</v>
      </c>
      <c r="T1345" s="70">
        <f>VLOOKUP(Table1[[#This Row],[Policy Year]],exposure_table,3,FALSE)</f>
        <v>870.52680000000009</v>
      </c>
      <c r="U1345" s="17">
        <f>IF(MONTH(Table1[[#This Row],[Reporting date]])&lt;Policy_Inception_Month,YEAR(Table1[[#This Row],[Reporting date]])-1,YEAR(Table1[[#This Row],[Reporting date]]))</f>
        <v>2011</v>
      </c>
      <c r="V1345" s="17">
        <f>Table1[[#This Row],[Reporting year]]-Table1[[#This Row],[Policy Year]]</f>
        <v>0</v>
      </c>
      <c r="W1345" s="17">
        <f>INT(Table1[[#This Row],[Reporting date]])-INT(Table1[[#This Row],[Loss date]])</f>
        <v>15</v>
      </c>
      <c r="X1345" s="17">
        <f>INT((YEAR(Table1[[#This Row],[Loss date]])*12+MONTH(Table1[[#This Row],[Loss date]])-Earliest_Month)/4)</f>
        <v>18</v>
      </c>
      <c r="Y1345" s="17">
        <f>INT((YEAR(Table1[[#This Row],[Reporting date]])*12+MONTH(Table1[[#This Row],[Reporting date]])-Earliest_Month)/4)</f>
        <v>18</v>
      </c>
      <c r="Z1345" s="17">
        <f>Table1[[#This Row],[Reporting third]]-Table1[[#This Row],[Policy third]]</f>
        <v>0</v>
      </c>
      <c r="AA1345" s="71">
        <f>IF(Table1[[#This Row],[Overall amount]]=0,"N/A",Table1[[#This Row],[Outstanding]]/Table1[[#This Row],[Overall amount]])</f>
        <v>0</v>
      </c>
      <c r="AB1345" s="17">
        <f>IF(MONTH(Table1[[#This Row],[Loss date]])&lt;Pol_Inc_Month_Shifted,YEAR(Table1[[#This Row],[Loss date]])-1,YEAR(Table1[[#This Row],[Loss date]]))</f>
        <v>2010</v>
      </c>
      <c r="AC1345" s="17">
        <f>IF(MONTH(Table1[[#This Row],[Reporting date]])&lt;Pol_Inc_Month_Shifted,YEAR(Table1[[#This Row],[Reporting date]])-1,YEAR(Table1[[#This Row],[Reporting date]]))</f>
        <v>2010</v>
      </c>
      <c r="AD1345" s="17">
        <f>Table1[[#This Row],[Reporting year (shifted)]]-Table1[[#This Row],[Policy Year (shifted)]]</f>
        <v>0</v>
      </c>
    </row>
    <row r="1346" spans="1:30" ht="13.9">
      <c r="A1346" s="8" t="s">
        <v>3116</v>
      </c>
      <c r="B1346" s="8" t="s">
        <v>1398</v>
      </c>
      <c r="C1346" s="8" t="s">
        <v>118</v>
      </c>
      <c r="D1346" s="9">
        <v>40858</v>
      </c>
      <c r="E1346" s="9">
        <v>41100</v>
      </c>
      <c r="F1346" s="17">
        <f>IF(MONTH(Table1[[#This Row],[Loss date]])&lt;Policy_Inception_Month,YEAR(Table1[[#This Row],[Loss date]])-1,YEAR(Table1[[#This Row],[Loss date]]))</f>
        <v>2011</v>
      </c>
      <c r="G1346" s="10" t="s">
        <v>119</v>
      </c>
      <c r="H1346" s="10" t="s">
        <v>2</v>
      </c>
      <c r="I1346" s="11">
        <v>86.361830928148294</v>
      </c>
      <c r="J1346" s="11">
        <v>0</v>
      </c>
      <c r="K1346" s="11">
        <v>86.361830928148294</v>
      </c>
      <c r="L1346" s="12">
        <v>148.89970849680739</v>
      </c>
      <c r="M1346" s="12">
        <v>5.4110154067739815</v>
      </c>
      <c r="N1346" s="12">
        <v>229.85052401818172</v>
      </c>
      <c r="O1346" s="70">
        <f>IF(Table1[[#This Row],[Overall amount]]=0,0,1)</f>
        <v>1</v>
      </c>
      <c r="P1346" s="70">
        <f>Table1[[#This Row],[Overall amount]]*Exchange_Rate</f>
        <v>229.85052401818172</v>
      </c>
      <c r="Q1346" s="70">
        <f>Table1[[#This Row],[Overall (destination currency)]]*(1+Claims_Inflation)^((Revalue_at_date-Table1[[#This Row],[Loss date]])/365.25)</f>
        <v>277.85879999999997</v>
      </c>
      <c r="R1346" s="70">
        <f>INT(Table1[[#This Row],[Reporting date]])-INT(Table1[[#This Row],[Loss date]])</f>
        <v>242</v>
      </c>
      <c r="S1346" s="69" t="s">
        <v>9</v>
      </c>
      <c r="T1346" s="70">
        <f>VLOOKUP(Table1[[#This Row],[Policy Year]],exposure_table,3,FALSE)</f>
        <v>870.52680000000009</v>
      </c>
      <c r="U1346" s="17">
        <f>IF(MONTH(Table1[[#This Row],[Reporting date]])&lt;Policy_Inception_Month,YEAR(Table1[[#This Row],[Reporting date]])-1,YEAR(Table1[[#This Row],[Reporting date]]))</f>
        <v>2012</v>
      </c>
      <c r="V1346" s="17">
        <f>Table1[[#This Row],[Reporting year]]-Table1[[#This Row],[Policy Year]]</f>
        <v>1</v>
      </c>
      <c r="W1346" s="17">
        <f>INT(Table1[[#This Row],[Reporting date]])-INT(Table1[[#This Row],[Loss date]])</f>
        <v>242</v>
      </c>
      <c r="X1346" s="17">
        <f>INT((YEAR(Table1[[#This Row],[Loss date]])*12+MONTH(Table1[[#This Row],[Loss date]])-Earliest_Month)/4)</f>
        <v>19</v>
      </c>
      <c r="Y1346" s="17">
        <f>INT((YEAR(Table1[[#This Row],[Reporting date]])*12+MONTH(Table1[[#This Row],[Reporting date]])-Earliest_Month)/4)</f>
        <v>21</v>
      </c>
      <c r="Z1346" s="17">
        <f>Table1[[#This Row],[Reporting third]]-Table1[[#This Row],[Policy third]]</f>
        <v>2</v>
      </c>
      <c r="AA1346" s="71">
        <f>IF(Table1[[#This Row],[Overall amount]]=0,"N/A",Table1[[#This Row],[Outstanding]]/Table1[[#This Row],[Overall amount]])</f>
        <v>0</v>
      </c>
      <c r="AB1346" s="17">
        <f>IF(MONTH(Table1[[#This Row],[Loss date]])&lt;Pol_Inc_Month_Shifted,YEAR(Table1[[#This Row],[Loss date]])-1,YEAR(Table1[[#This Row],[Loss date]]))</f>
        <v>2010</v>
      </c>
      <c r="AC1346" s="17">
        <f>IF(MONTH(Table1[[#This Row],[Reporting date]])&lt;Pol_Inc_Month_Shifted,YEAR(Table1[[#This Row],[Reporting date]])-1,YEAR(Table1[[#This Row],[Reporting date]]))</f>
        <v>2011</v>
      </c>
      <c r="AD1346" s="17">
        <f>Table1[[#This Row],[Reporting year (shifted)]]-Table1[[#This Row],[Policy Year (shifted)]]</f>
        <v>1</v>
      </c>
    </row>
    <row r="1347" spans="1:30" ht="13.9">
      <c r="A1347" s="8" t="s">
        <v>3117</v>
      </c>
      <c r="B1347" s="8" t="s">
        <v>1399</v>
      </c>
      <c r="C1347" s="8" t="s">
        <v>118</v>
      </c>
      <c r="D1347" s="9">
        <v>40769</v>
      </c>
      <c r="E1347" s="9">
        <v>40818</v>
      </c>
      <c r="F1347" s="17">
        <f>IF(MONTH(Table1[[#This Row],[Loss date]])&lt;Policy_Inception_Month,YEAR(Table1[[#This Row],[Loss date]])-1,YEAR(Table1[[#This Row],[Loss date]]))</f>
        <v>2011</v>
      </c>
      <c r="G1347" s="10" t="s">
        <v>119</v>
      </c>
      <c r="H1347" s="10" t="s">
        <v>2</v>
      </c>
      <c r="I1347" s="11">
        <v>625.83536066162287</v>
      </c>
      <c r="J1347" s="11">
        <v>0</v>
      </c>
      <c r="K1347" s="11">
        <v>625.83536066162287</v>
      </c>
      <c r="L1347" s="12">
        <v>0</v>
      </c>
      <c r="M1347" s="12">
        <v>0</v>
      </c>
      <c r="N1347" s="12">
        <v>625.83536066162287</v>
      </c>
      <c r="O1347" s="70">
        <f>IF(Table1[[#This Row],[Overall amount]]=0,0,1)</f>
        <v>1</v>
      </c>
      <c r="P1347" s="70">
        <f>Table1[[#This Row],[Overall amount]]*Exchange_Rate</f>
        <v>625.83536066162287</v>
      </c>
      <c r="Q1347" s="70">
        <f>Table1[[#This Row],[Overall (destination currency)]]*(1+Claims_Inflation)^((Revalue_at_date-Table1[[#This Row],[Loss date]])/365.25)</f>
        <v>765.60000000000014</v>
      </c>
      <c r="R1347" s="70">
        <f>INT(Table1[[#This Row],[Reporting date]])-INT(Table1[[#This Row],[Loss date]])</f>
        <v>49</v>
      </c>
      <c r="S1347" s="69" t="s">
        <v>9</v>
      </c>
      <c r="T1347" s="70">
        <f>VLOOKUP(Table1[[#This Row],[Policy Year]],exposure_table,3,FALSE)</f>
        <v>870.52680000000009</v>
      </c>
      <c r="U1347" s="17">
        <f>IF(MONTH(Table1[[#This Row],[Reporting date]])&lt;Policy_Inception_Month,YEAR(Table1[[#This Row],[Reporting date]])-1,YEAR(Table1[[#This Row],[Reporting date]]))</f>
        <v>2011</v>
      </c>
      <c r="V1347" s="17">
        <f>Table1[[#This Row],[Reporting year]]-Table1[[#This Row],[Policy Year]]</f>
        <v>0</v>
      </c>
      <c r="W1347" s="17">
        <f>INT(Table1[[#This Row],[Reporting date]])-INT(Table1[[#This Row],[Loss date]])</f>
        <v>49</v>
      </c>
      <c r="X1347" s="17">
        <f>INT((YEAR(Table1[[#This Row],[Loss date]])*12+MONTH(Table1[[#This Row],[Loss date]])-Earliest_Month)/4)</f>
        <v>19</v>
      </c>
      <c r="Y1347" s="17">
        <f>INT((YEAR(Table1[[#This Row],[Reporting date]])*12+MONTH(Table1[[#This Row],[Reporting date]])-Earliest_Month)/4)</f>
        <v>19</v>
      </c>
      <c r="Z1347" s="17">
        <f>Table1[[#This Row],[Reporting third]]-Table1[[#This Row],[Policy third]]</f>
        <v>0</v>
      </c>
      <c r="AA1347" s="71">
        <f>IF(Table1[[#This Row],[Overall amount]]=0,"N/A",Table1[[#This Row],[Outstanding]]/Table1[[#This Row],[Overall amount]])</f>
        <v>0</v>
      </c>
      <c r="AB1347" s="17">
        <f>IF(MONTH(Table1[[#This Row],[Loss date]])&lt;Pol_Inc_Month_Shifted,YEAR(Table1[[#This Row],[Loss date]])-1,YEAR(Table1[[#This Row],[Loss date]]))</f>
        <v>2010</v>
      </c>
      <c r="AC1347" s="17">
        <f>IF(MONTH(Table1[[#This Row],[Reporting date]])&lt;Pol_Inc_Month_Shifted,YEAR(Table1[[#This Row],[Reporting date]])-1,YEAR(Table1[[#This Row],[Reporting date]]))</f>
        <v>2010</v>
      </c>
      <c r="AD1347" s="17">
        <f>Table1[[#This Row],[Reporting year (shifted)]]-Table1[[#This Row],[Policy Year (shifted)]]</f>
        <v>0</v>
      </c>
    </row>
    <row r="1348" spans="1:30" ht="13.9">
      <c r="A1348" s="8" t="s">
        <v>3118</v>
      </c>
      <c r="B1348" s="8" t="s">
        <v>1400</v>
      </c>
      <c r="C1348" s="8" t="s">
        <v>118</v>
      </c>
      <c r="D1348" s="9">
        <v>40788</v>
      </c>
      <c r="E1348" s="9">
        <v>40790</v>
      </c>
      <c r="F1348" s="17">
        <f>IF(MONTH(Table1[[#This Row],[Loss date]])&lt;Policy_Inception_Month,YEAR(Table1[[#This Row],[Loss date]])-1,YEAR(Table1[[#This Row],[Loss date]]))</f>
        <v>2011</v>
      </c>
      <c r="G1348" s="10" t="s">
        <v>119</v>
      </c>
      <c r="H1348" s="10" t="s">
        <v>2</v>
      </c>
      <c r="I1348" s="11">
        <v>1454.4869959552545</v>
      </c>
      <c r="J1348" s="11">
        <v>0</v>
      </c>
      <c r="K1348" s="11">
        <v>1454.4869959552545</v>
      </c>
      <c r="L1348" s="12">
        <v>0</v>
      </c>
      <c r="M1348" s="12">
        <v>0</v>
      </c>
      <c r="N1348" s="12">
        <v>1454.4869959552545</v>
      </c>
      <c r="O1348" s="70">
        <f>IF(Table1[[#This Row],[Overall amount]]=0,0,1)</f>
        <v>1</v>
      </c>
      <c r="P1348" s="70">
        <f>Table1[[#This Row],[Overall amount]]*Exchange_Rate</f>
        <v>1454.4869959552545</v>
      </c>
      <c r="Q1348" s="70">
        <f>Table1[[#This Row],[Overall (destination currency)]]*(1+Claims_Inflation)^((Revalue_at_date-Table1[[#This Row],[Loss date]])/365.25)</f>
        <v>1774.8</v>
      </c>
      <c r="R1348" s="70">
        <f>INT(Table1[[#This Row],[Reporting date]])-INT(Table1[[#This Row],[Loss date]])</f>
        <v>2</v>
      </c>
      <c r="S1348" s="69" t="s">
        <v>9</v>
      </c>
      <c r="T1348" s="70">
        <f>VLOOKUP(Table1[[#This Row],[Policy Year]],exposure_table,3,FALSE)</f>
        <v>870.52680000000009</v>
      </c>
      <c r="U1348" s="17">
        <f>IF(MONTH(Table1[[#This Row],[Reporting date]])&lt;Policy_Inception_Month,YEAR(Table1[[#This Row],[Reporting date]])-1,YEAR(Table1[[#This Row],[Reporting date]]))</f>
        <v>2011</v>
      </c>
      <c r="V1348" s="17">
        <f>Table1[[#This Row],[Reporting year]]-Table1[[#This Row],[Policy Year]]</f>
        <v>0</v>
      </c>
      <c r="W1348" s="17">
        <f>INT(Table1[[#This Row],[Reporting date]])-INT(Table1[[#This Row],[Loss date]])</f>
        <v>2</v>
      </c>
      <c r="X1348" s="17">
        <f>INT((YEAR(Table1[[#This Row],[Loss date]])*12+MONTH(Table1[[#This Row],[Loss date]])-Earliest_Month)/4)</f>
        <v>19</v>
      </c>
      <c r="Y1348" s="17">
        <f>INT((YEAR(Table1[[#This Row],[Reporting date]])*12+MONTH(Table1[[#This Row],[Reporting date]])-Earliest_Month)/4)</f>
        <v>19</v>
      </c>
      <c r="Z1348" s="17">
        <f>Table1[[#This Row],[Reporting third]]-Table1[[#This Row],[Policy third]]</f>
        <v>0</v>
      </c>
      <c r="AA1348" s="71">
        <f>IF(Table1[[#This Row],[Overall amount]]=0,"N/A",Table1[[#This Row],[Outstanding]]/Table1[[#This Row],[Overall amount]])</f>
        <v>0</v>
      </c>
      <c r="AB1348" s="17">
        <f>IF(MONTH(Table1[[#This Row],[Loss date]])&lt;Pol_Inc_Month_Shifted,YEAR(Table1[[#This Row],[Loss date]])-1,YEAR(Table1[[#This Row],[Loss date]]))</f>
        <v>2010</v>
      </c>
      <c r="AC1348" s="17">
        <f>IF(MONTH(Table1[[#This Row],[Reporting date]])&lt;Pol_Inc_Month_Shifted,YEAR(Table1[[#This Row],[Reporting date]])-1,YEAR(Table1[[#This Row],[Reporting date]]))</f>
        <v>2010</v>
      </c>
      <c r="AD1348" s="17">
        <f>Table1[[#This Row],[Reporting year (shifted)]]-Table1[[#This Row],[Policy Year (shifted)]]</f>
        <v>0</v>
      </c>
    </row>
    <row r="1349" spans="1:30" ht="13.9">
      <c r="A1349" s="8" t="s">
        <v>3119</v>
      </c>
      <c r="B1349" s="8" t="s">
        <v>1401</v>
      </c>
      <c r="C1349" s="8" t="s">
        <v>118</v>
      </c>
      <c r="D1349" s="9">
        <v>40965</v>
      </c>
      <c r="E1349" s="9">
        <v>40966</v>
      </c>
      <c r="F1349" s="17">
        <f>IF(MONTH(Table1[[#This Row],[Loss date]])&lt;Policy_Inception_Month,YEAR(Table1[[#This Row],[Loss date]])-1,YEAR(Table1[[#This Row],[Loss date]]))</f>
        <v>2011</v>
      </c>
      <c r="G1349" s="10" t="s">
        <v>119</v>
      </c>
      <c r="H1349" s="10" t="s">
        <v>2</v>
      </c>
      <c r="I1349" s="11">
        <v>2398.3851805834993</v>
      </c>
      <c r="J1349" s="11">
        <v>0</v>
      </c>
      <c r="K1349" s="11">
        <v>2398.3851805834993</v>
      </c>
      <c r="L1349" s="12">
        <v>0</v>
      </c>
      <c r="M1349" s="12">
        <v>0</v>
      </c>
      <c r="N1349" s="12">
        <v>2398.3851805834993</v>
      </c>
      <c r="O1349" s="70">
        <f>IF(Table1[[#This Row],[Overall amount]]=0,0,1)</f>
        <v>1</v>
      </c>
      <c r="P1349" s="70">
        <f>Table1[[#This Row],[Overall amount]]*Exchange_Rate</f>
        <v>2398.3851805834993</v>
      </c>
      <c r="Q1349" s="70">
        <f>Table1[[#This Row],[Overall (destination currency)]]*(1+Claims_Inflation)^((Revalue_at_date-Table1[[#This Row],[Loss date]])/365.25)</f>
        <v>2858.1839999999997</v>
      </c>
      <c r="R1349" s="70">
        <f>INT(Table1[[#This Row],[Reporting date]])-INT(Table1[[#This Row],[Loss date]])</f>
        <v>1</v>
      </c>
      <c r="S1349" s="69" t="s">
        <v>9</v>
      </c>
      <c r="T1349" s="70">
        <f>VLOOKUP(Table1[[#This Row],[Policy Year]],exposure_table,3,FALSE)</f>
        <v>870.52680000000009</v>
      </c>
      <c r="U1349" s="17">
        <f>IF(MONTH(Table1[[#This Row],[Reporting date]])&lt;Policy_Inception_Month,YEAR(Table1[[#This Row],[Reporting date]])-1,YEAR(Table1[[#This Row],[Reporting date]]))</f>
        <v>2011</v>
      </c>
      <c r="V1349" s="17">
        <f>Table1[[#This Row],[Reporting year]]-Table1[[#This Row],[Policy Year]]</f>
        <v>0</v>
      </c>
      <c r="W1349" s="17">
        <f>INT(Table1[[#This Row],[Reporting date]])-INT(Table1[[#This Row],[Loss date]])</f>
        <v>1</v>
      </c>
      <c r="X1349" s="17">
        <f>INT((YEAR(Table1[[#This Row],[Loss date]])*12+MONTH(Table1[[#This Row],[Loss date]])-Earliest_Month)/4)</f>
        <v>20</v>
      </c>
      <c r="Y1349" s="17">
        <f>INT((YEAR(Table1[[#This Row],[Reporting date]])*12+MONTH(Table1[[#This Row],[Reporting date]])-Earliest_Month)/4)</f>
        <v>20</v>
      </c>
      <c r="Z1349" s="17">
        <f>Table1[[#This Row],[Reporting third]]-Table1[[#This Row],[Policy third]]</f>
        <v>0</v>
      </c>
      <c r="AA1349" s="71">
        <f>IF(Table1[[#This Row],[Overall amount]]=0,"N/A",Table1[[#This Row],[Outstanding]]/Table1[[#This Row],[Overall amount]])</f>
        <v>0</v>
      </c>
      <c r="AB1349" s="17">
        <f>IF(MONTH(Table1[[#This Row],[Loss date]])&lt;Pol_Inc_Month_Shifted,YEAR(Table1[[#This Row],[Loss date]])-1,YEAR(Table1[[#This Row],[Loss date]]))</f>
        <v>2011</v>
      </c>
      <c r="AC1349" s="17">
        <f>IF(MONTH(Table1[[#This Row],[Reporting date]])&lt;Pol_Inc_Month_Shifted,YEAR(Table1[[#This Row],[Reporting date]])-1,YEAR(Table1[[#This Row],[Reporting date]]))</f>
        <v>2011</v>
      </c>
      <c r="AD1349" s="17">
        <f>Table1[[#This Row],[Reporting year (shifted)]]-Table1[[#This Row],[Policy Year (shifted)]]</f>
        <v>0</v>
      </c>
    </row>
    <row r="1350" spans="1:30" ht="13.9">
      <c r="A1350" s="8" t="s">
        <v>3120</v>
      </c>
      <c r="B1350" s="8" t="s">
        <v>1402</v>
      </c>
      <c r="C1350" s="8" t="s">
        <v>118</v>
      </c>
      <c r="D1350" s="9">
        <v>40732</v>
      </c>
      <c r="E1350" s="9">
        <v>40733</v>
      </c>
      <c r="F1350" s="17">
        <f>IF(MONTH(Table1[[#This Row],[Loss date]])&lt;Policy_Inception_Month,YEAR(Table1[[#This Row],[Loss date]])-1,YEAR(Table1[[#This Row],[Loss date]]))</f>
        <v>2011</v>
      </c>
      <c r="G1350" s="10" t="s">
        <v>119</v>
      </c>
      <c r="H1350" s="10" t="s">
        <v>2</v>
      </c>
      <c r="I1350" s="11">
        <v>4511.3734515340711</v>
      </c>
      <c r="J1350" s="11">
        <v>0</v>
      </c>
      <c r="K1350" s="11">
        <v>4511.3734515340711</v>
      </c>
      <c r="L1350" s="12">
        <v>0</v>
      </c>
      <c r="M1350" s="12">
        <v>0</v>
      </c>
      <c r="N1350" s="12">
        <v>4511.3734515340711</v>
      </c>
      <c r="O1350" s="70">
        <f>IF(Table1[[#This Row],[Overall amount]]=0,0,1)</f>
        <v>1</v>
      </c>
      <c r="P1350" s="70">
        <f>Table1[[#This Row],[Overall amount]]*Exchange_Rate</f>
        <v>4511.3734515340711</v>
      </c>
      <c r="Q1350" s="70">
        <f>Table1[[#This Row],[Overall (destination currency)]]*(1+Claims_Inflation)^((Revalue_at_date-Table1[[#This Row],[Loss date]])/365.25)</f>
        <v>5546.2200000000012</v>
      </c>
      <c r="R1350" s="70">
        <f>INT(Table1[[#This Row],[Reporting date]])-INT(Table1[[#This Row],[Loss date]])</f>
        <v>1</v>
      </c>
      <c r="S1350" s="69" t="s">
        <v>9</v>
      </c>
      <c r="T1350" s="70">
        <f>VLOOKUP(Table1[[#This Row],[Policy Year]],exposure_table,3,FALSE)</f>
        <v>870.52680000000009</v>
      </c>
      <c r="U1350" s="17">
        <f>IF(MONTH(Table1[[#This Row],[Reporting date]])&lt;Policy_Inception_Month,YEAR(Table1[[#This Row],[Reporting date]])-1,YEAR(Table1[[#This Row],[Reporting date]]))</f>
        <v>2011</v>
      </c>
      <c r="V1350" s="17">
        <f>Table1[[#This Row],[Reporting year]]-Table1[[#This Row],[Policy Year]]</f>
        <v>0</v>
      </c>
      <c r="W1350" s="17">
        <f>INT(Table1[[#This Row],[Reporting date]])-INT(Table1[[#This Row],[Loss date]])</f>
        <v>1</v>
      </c>
      <c r="X1350" s="17">
        <f>INT((YEAR(Table1[[#This Row],[Loss date]])*12+MONTH(Table1[[#This Row],[Loss date]])-Earliest_Month)/4)</f>
        <v>18</v>
      </c>
      <c r="Y1350" s="17">
        <f>INT((YEAR(Table1[[#This Row],[Reporting date]])*12+MONTH(Table1[[#This Row],[Reporting date]])-Earliest_Month)/4)</f>
        <v>18</v>
      </c>
      <c r="Z1350" s="17">
        <f>Table1[[#This Row],[Reporting third]]-Table1[[#This Row],[Policy third]]</f>
        <v>0</v>
      </c>
      <c r="AA1350" s="71">
        <f>IF(Table1[[#This Row],[Overall amount]]=0,"N/A",Table1[[#This Row],[Outstanding]]/Table1[[#This Row],[Overall amount]])</f>
        <v>0</v>
      </c>
      <c r="AB1350" s="17">
        <f>IF(MONTH(Table1[[#This Row],[Loss date]])&lt;Pol_Inc_Month_Shifted,YEAR(Table1[[#This Row],[Loss date]])-1,YEAR(Table1[[#This Row],[Loss date]]))</f>
        <v>2010</v>
      </c>
      <c r="AC1350" s="17">
        <f>IF(MONTH(Table1[[#This Row],[Reporting date]])&lt;Pol_Inc_Month_Shifted,YEAR(Table1[[#This Row],[Reporting date]])-1,YEAR(Table1[[#This Row],[Reporting date]]))</f>
        <v>2010</v>
      </c>
      <c r="AD1350" s="17">
        <f>Table1[[#This Row],[Reporting year (shifted)]]-Table1[[#This Row],[Policy Year (shifted)]]</f>
        <v>0</v>
      </c>
    </row>
    <row r="1351" spans="1:30" ht="13.9">
      <c r="A1351" s="8" t="s">
        <v>3121</v>
      </c>
      <c r="B1351" s="8" t="s">
        <v>1403</v>
      </c>
      <c r="C1351" s="8" t="s">
        <v>118</v>
      </c>
      <c r="D1351" s="9">
        <v>40666</v>
      </c>
      <c r="E1351" s="9">
        <v>40671</v>
      </c>
      <c r="F1351" s="17">
        <f>IF(MONTH(Table1[[#This Row],[Loss date]])&lt;Policy_Inception_Month,YEAR(Table1[[#This Row],[Loss date]])-1,YEAR(Table1[[#This Row],[Loss date]]))</f>
        <v>2011</v>
      </c>
      <c r="G1351" s="10" t="s">
        <v>119</v>
      </c>
      <c r="H1351" s="10" t="s">
        <v>2</v>
      </c>
      <c r="I1351" s="11">
        <v>2199.1937950143811</v>
      </c>
      <c r="J1351" s="11">
        <v>0</v>
      </c>
      <c r="K1351" s="11">
        <v>2199.1937950143811</v>
      </c>
      <c r="L1351" s="12">
        <v>0</v>
      </c>
      <c r="M1351" s="12">
        <v>0</v>
      </c>
      <c r="N1351" s="12">
        <v>2199.1937950143811</v>
      </c>
      <c r="O1351" s="70">
        <f>IF(Table1[[#This Row],[Overall amount]]=0,0,1)</f>
        <v>1</v>
      </c>
      <c r="P1351" s="70">
        <f>Table1[[#This Row],[Overall amount]]*Exchange_Rate</f>
        <v>2199.1937950143811</v>
      </c>
      <c r="Q1351" s="70">
        <f>Table1[[#This Row],[Overall (destination currency)]]*(1+Claims_Inflation)^((Revalue_at_date-Table1[[#This Row],[Loss date]])/365.25)</f>
        <v>2727.6000000000004</v>
      </c>
      <c r="R1351" s="70">
        <f>INT(Table1[[#This Row],[Reporting date]])-INT(Table1[[#This Row],[Loss date]])</f>
        <v>5</v>
      </c>
      <c r="S1351" s="69" t="s">
        <v>9</v>
      </c>
      <c r="T1351" s="70">
        <f>VLOOKUP(Table1[[#This Row],[Policy Year]],exposure_table,3,FALSE)</f>
        <v>870.52680000000009</v>
      </c>
      <c r="U1351" s="17">
        <f>IF(MONTH(Table1[[#This Row],[Reporting date]])&lt;Policy_Inception_Month,YEAR(Table1[[#This Row],[Reporting date]])-1,YEAR(Table1[[#This Row],[Reporting date]]))</f>
        <v>2011</v>
      </c>
      <c r="V1351" s="17">
        <f>Table1[[#This Row],[Reporting year]]-Table1[[#This Row],[Policy Year]]</f>
        <v>0</v>
      </c>
      <c r="W1351" s="17">
        <f>INT(Table1[[#This Row],[Reporting date]])-INT(Table1[[#This Row],[Loss date]])</f>
        <v>5</v>
      </c>
      <c r="X1351" s="17">
        <f>INT((YEAR(Table1[[#This Row],[Loss date]])*12+MONTH(Table1[[#This Row],[Loss date]])-Earliest_Month)/4)</f>
        <v>18</v>
      </c>
      <c r="Y1351" s="17">
        <f>INT((YEAR(Table1[[#This Row],[Reporting date]])*12+MONTH(Table1[[#This Row],[Reporting date]])-Earliest_Month)/4)</f>
        <v>18</v>
      </c>
      <c r="Z1351" s="17">
        <f>Table1[[#This Row],[Reporting third]]-Table1[[#This Row],[Policy third]]</f>
        <v>0</v>
      </c>
      <c r="AA1351" s="71">
        <f>IF(Table1[[#This Row],[Overall amount]]=0,"N/A",Table1[[#This Row],[Outstanding]]/Table1[[#This Row],[Overall amount]])</f>
        <v>0</v>
      </c>
      <c r="AB1351" s="17">
        <f>IF(MONTH(Table1[[#This Row],[Loss date]])&lt;Pol_Inc_Month_Shifted,YEAR(Table1[[#This Row],[Loss date]])-1,YEAR(Table1[[#This Row],[Loss date]]))</f>
        <v>2010</v>
      </c>
      <c r="AC1351" s="17">
        <f>IF(MONTH(Table1[[#This Row],[Reporting date]])&lt;Pol_Inc_Month_Shifted,YEAR(Table1[[#This Row],[Reporting date]])-1,YEAR(Table1[[#This Row],[Reporting date]]))</f>
        <v>2010</v>
      </c>
      <c r="AD1351" s="17">
        <f>Table1[[#This Row],[Reporting year (shifted)]]-Table1[[#This Row],[Policy Year (shifted)]]</f>
        <v>0</v>
      </c>
    </row>
    <row r="1352" spans="1:30" ht="13.9">
      <c r="A1352" s="8" t="s">
        <v>3122</v>
      </c>
      <c r="B1352" s="8" t="s">
        <v>1404</v>
      </c>
      <c r="C1352" s="8" t="s">
        <v>118</v>
      </c>
      <c r="D1352" s="9">
        <v>40986</v>
      </c>
      <c r="E1352" s="9">
        <v>40987</v>
      </c>
      <c r="F1352" s="17">
        <f>IF(MONTH(Table1[[#This Row],[Loss date]])&lt;Policy_Inception_Month,YEAR(Table1[[#This Row],[Loss date]])-1,YEAR(Table1[[#This Row],[Loss date]]))</f>
        <v>2011</v>
      </c>
      <c r="G1352" s="10" t="s">
        <v>119</v>
      </c>
      <c r="H1352" s="10" t="s">
        <v>2</v>
      </c>
      <c r="I1352" s="11">
        <v>629.60001267863163</v>
      </c>
      <c r="J1352" s="11">
        <v>0</v>
      </c>
      <c r="K1352" s="11">
        <v>629.60001267863163</v>
      </c>
      <c r="L1352" s="12">
        <v>0</v>
      </c>
      <c r="M1352" s="12">
        <v>0</v>
      </c>
      <c r="N1352" s="12">
        <v>629.60001267863163</v>
      </c>
      <c r="O1352" s="70">
        <f>IF(Table1[[#This Row],[Overall amount]]=0,0,1)</f>
        <v>1</v>
      </c>
      <c r="P1352" s="70">
        <f>Table1[[#This Row],[Overall amount]]*Exchange_Rate</f>
        <v>629.60001267863163</v>
      </c>
      <c r="Q1352" s="70">
        <f>Table1[[#This Row],[Overall (destination currency)]]*(1+Claims_Inflation)^((Revalue_at_date-Table1[[#This Row],[Loss date]])/365.25)</f>
        <v>748.19999999999993</v>
      </c>
      <c r="R1352" s="70">
        <f>INT(Table1[[#This Row],[Reporting date]])-INT(Table1[[#This Row],[Loss date]])</f>
        <v>1</v>
      </c>
      <c r="S1352" s="69" t="s">
        <v>9</v>
      </c>
      <c r="T1352" s="70">
        <f>VLOOKUP(Table1[[#This Row],[Policy Year]],exposure_table,3,FALSE)</f>
        <v>870.52680000000009</v>
      </c>
      <c r="U1352" s="17">
        <f>IF(MONTH(Table1[[#This Row],[Reporting date]])&lt;Policy_Inception_Month,YEAR(Table1[[#This Row],[Reporting date]])-1,YEAR(Table1[[#This Row],[Reporting date]]))</f>
        <v>2011</v>
      </c>
      <c r="V1352" s="17">
        <f>Table1[[#This Row],[Reporting year]]-Table1[[#This Row],[Policy Year]]</f>
        <v>0</v>
      </c>
      <c r="W1352" s="17">
        <f>INT(Table1[[#This Row],[Reporting date]])-INT(Table1[[#This Row],[Loss date]])</f>
        <v>1</v>
      </c>
      <c r="X1352" s="17">
        <f>INT((YEAR(Table1[[#This Row],[Loss date]])*12+MONTH(Table1[[#This Row],[Loss date]])-Earliest_Month)/4)</f>
        <v>20</v>
      </c>
      <c r="Y1352" s="17">
        <f>INT((YEAR(Table1[[#This Row],[Reporting date]])*12+MONTH(Table1[[#This Row],[Reporting date]])-Earliest_Month)/4)</f>
        <v>20</v>
      </c>
      <c r="Z1352" s="17">
        <f>Table1[[#This Row],[Reporting third]]-Table1[[#This Row],[Policy third]]</f>
        <v>0</v>
      </c>
      <c r="AA1352" s="71">
        <f>IF(Table1[[#This Row],[Overall amount]]=0,"N/A",Table1[[#This Row],[Outstanding]]/Table1[[#This Row],[Overall amount]])</f>
        <v>0</v>
      </c>
      <c r="AB1352" s="17">
        <f>IF(MONTH(Table1[[#This Row],[Loss date]])&lt;Pol_Inc_Month_Shifted,YEAR(Table1[[#This Row],[Loss date]])-1,YEAR(Table1[[#This Row],[Loss date]]))</f>
        <v>2011</v>
      </c>
      <c r="AC1352" s="17">
        <f>IF(MONTH(Table1[[#This Row],[Reporting date]])&lt;Pol_Inc_Month_Shifted,YEAR(Table1[[#This Row],[Reporting date]])-1,YEAR(Table1[[#This Row],[Reporting date]]))</f>
        <v>2011</v>
      </c>
      <c r="AD1352" s="17">
        <f>Table1[[#This Row],[Reporting year (shifted)]]-Table1[[#This Row],[Policy Year (shifted)]]</f>
        <v>0</v>
      </c>
    </row>
    <row r="1353" spans="1:30" ht="13.9">
      <c r="A1353" s="8" t="s">
        <v>3123</v>
      </c>
      <c r="B1353" s="8" t="s">
        <v>1405</v>
      </c>
      <c r="C1353" s="8" t="s">
        <v>118</v>
      </c>
      <c r="D1353" s="9">
        <v>40784</v>
      </c>
      <c r="E1353" s="9">
        <v>40818</v>
      </c>
      <c r="F1353" s="17">
        <f>IF(MONTH(Table1[[#This Row],[Loss date]])&lt;Policy_Inception_Month,YEAR(Table1[[#This Row],[Loss date]])-1,YEAR(Table1[[#This Row],[Loss date]]))</f>
        <v>2011</v>
      </c>
      <c r="G1353" s="10" t="s">
        <v>119</v>
      </c>
      <c r="H1353" s="10" t="s">
        <v>2</v>
      </c>
      <c r="I1353" s="11">
        <v>840.8714942760854</v>
      </c>
      <c r="J1353" s="11">
        <v>0</v>
      </c>
      <c r="K1353" s="11">
        <v>840.8714942760854</v>
      </c>
      <c r="L1353" s="12">
        <v>0</v>
      </c>
      <c r="M1353" s="12">
        <v>0</v>
      </c>
      <c r="N1353" s="12">
        <v>840.8714942760854</v>
      </c>
      <c r="O1353" s="70">
        <f>IF(Table1[[#This Row],[Overall amount]]=0,0,1)</f>
        <v>1</v>
      </c>
      <c r="P1353" s="70">
        <f>Table1[[#This Row],[Overall amount]]*Exchange_Rate</f>
        <v>840.8714942760854</v>
      </c>
      <c r="Q1353" s="70">
        <f>Table1[[#This Row],[Overall (destination currency)]]*(1+Claims_Inflation)^((Revalue_at_date-Table1[[#This Row],[Loss date]])/365.25)</f>
        <v>1026.5999999999999</v>
      </c>
      <c r="R1353" s="70">
        <f>INT(Table1[[#This Row],[Reporting date]])-INT(Table1[[#This Row],[Loss date]])</f>
        <v>34</v>
      </c>
      <c r="S1353" s="69" t="s">
        <v>9</v>
      </c>
      <c r="T1353" s="70">
        <f>VLOOKUP(Table1[[#This Row],[Policy Year]],exposure_table,3,FALSE)</f>
        <v>870.52680000000009</v>
      </c>
      <c r="U1353" s="17">
        <f>IF(MONTH(Table1[[#This Row],[Reporting date]])&lt;Policy_Inception_Month,YEAR(Table1[[#This Row],[Reporting date]])-1,YEAR(Table1[[#This Row],[Reporting date]]))</f>
        <v>2011</v>
      </c>
      <c r="V1353" s="17">
        <f>Table1[[#This Row],[Reporting year]]-Table1[[#This Row],[Policy Year]]</f>
        <v>0</v>
      </c>
      <c r="W1353" s="17">
        <f>INT(Table1[[#This Row],[Reporting date]])-INT(Table1[[#This Row],[Loss date]])</f>
        <v>34</v>
      </c>
      <c r="X1353" s="17">
        <f>INT((YEAR(Table1[[#This Row],[Loss date]])*12+MONTH(Table1[[#This Row],[Loss date]])-Earliest_Month)/4)</f>
        <v>19</v>
      </c>
      <c r="Y1353" s="17">
        <f>INT((YEAR(Table1[[#This Row],[Reporting date]])*12+MONTH(Table1[[#This Row],[Reporting date]])-Earliest_Month)/4)</f>
        <v>19</v>
      </c>
      <c r="Z1353" s="17">
        <f>Table1[[#This Row],[Reporting third]]-Table1[[#This Row],[Policy third]]</f>
        <v>0</v>
      </c>
      <c r="AA1353" s="71">
        <f>IF(Table1[[#This Row],[Overall amount]]=0,"N/A",Table1[[#This Row],[Outstanding]]/Table1[[#This Row],[Overall amount]])</f>
        <v>0</v>
      </c>
      <c r="AB1353" s="17">
        <f>IF(MONTH(Table1[[#This Row],[Loss date]])&lt;Pol_Inc_Month_Shifted,YEAR(Table1[[#This Row],[Loss date]])-1,YEAR(Table1[[#This Row],[Loss date]]))</f>
        <v>2010</v>
      </c>
      <c r="AC1353" s="17">
        <f>IF(MONTH(Table1[[#This Row],[Reporting date]])&lt;Pol_Inc_Month_Shifted,YEAR(Table1[[#This Row],[Reporting date]])-1,YEAR(Table1[[#This Row],[Reporting date]]))</f>
        <v>2010</v>
      </c>
      <c r="AD1353" s="17">
        <f>Table1[[#This Row],[Reporting year (shifted)]]-Table1[[#This Row],[Policy Year (shifted)]]</f>
        <v>0</v>
      </c>
    </row>
    <row r="1354" spans="1:30" ht="13.9">
      <c r="A1354" s="8" t="s">
        <v>3124</v>
      </c>
      <c r="B1354" s="8" t="s">
        <v>1406</v>
      </c>
      <c r="C1354" s="8" t="s">
        <v>118</v>
      </c>
      <c r="D1354" s="9">
        <v>40558</v>
      </c>
      <c r="E1354" s="9">
        <v>40823</v>
      </c>
      <c r="F1354" s="17">
        <f>IF(MONTH(Table1[[#This Row],[Loss date]])&lt;Policy_Inception_Month,YEAR(Table1[[#This Row],[Loss date]])-1,YEAR(Table1[[#This Row],[Loss date]]))</f>
        <v>2010</v>
      </c>
      <c r="G1354" s="10" t="s">
        <v>119</v>
      </c>
      <c r="H1354" s="10" t="s">
        <v>2</v>
      </c>
      <c r="I1354" s="11">
        <v>276.56463475164696</v>
      </c>
      <c r="J1354" s="11">
        <v>0</v>
      </c>
      <c r="K1354" s="11">
        <v>276.56463475164696</v>
      </c>
      <c r="L1354" s="12">
        <v>143.05067314740359</v>
      </c>
      <c r="M1354" s="12">
        <v>0</v>
      </c>
      <c r="N1354" s="12">
        <v>419.61530789905055</v>
      </c>
      <c r="O1354" s="70">
        <f>IF(Table1[[#This Row],[Overall amount]]=0,0,1)</f>
        <v>1</v>
      </c>
      <c r="P1354" s="70">
        <f>Table1[[#This Row],[Overall amount]]*Exchange_Rate</f>
        <v>419.61530789905055</v>
      </c>
      <c r="Q1354" s="70">
        <f>Table1[[#This Row],[Overall (destination currency)]]*(1+Claims_Inflation)^((Revalue_at_date-Table1[[#This Row],[Loss date]])/365.25)</f>
        <v>528</v>
      </c>
      <c r="R1354" s="70">
        <f>INT(Table1[[#This Row],[Reporting date]])-INT(Table1[[#This Row],[Loss date]])</f>
        <v>265</v>
      </c>
      <c r="S1354" s="69" t="s">
        <v>9</v>
      </c>
      <c r="T1354" s="70">
        <f>VLOOKUP(Table1[[#This Row],[Policy Year]],exposure_table,3,FALSE)</f>
        <v>837.11513600000012</v>
      </c>
      <c r="U1354" s="17">
        <f>IF(MONTH(Table1[[#This Row],[Reporting date]])&lt;Policy_Inception_Month,YEAR(Table1[[#This Row],[Reporting date]])-1,YEAR(Table1[[#This Row],[Reporting date]]))</f>
        <v>2011</v>
      </c>
      <c r="V1354" s="17">
        <f>Table1[[#This Row],[Reporting year]]-Table1[[#This Row],[Policy Year]]</f>
        <v>1</v>
      </c>
      <c r="W1354" s="17">
        <f>INT(Table1[[#This Row],[Reporting date]])-INT(Table1[[#This Row],[Loss date]])</f>
        <v>265</v>
      </c>
      <c r="X1354" s="17">
        <f>INT((YEAR(Table1[[#This Row],[Loss date]])*12+MONTH(Table1[[#This Row],[Loss date]])-Earliest_Month)/4)</f>
        <v>17</v>
      </c>
      <c r="Y1354" s="17">
        <f>INT((YEAR(Table1[[#This Row],[Reporting date]])*12+MONTH(Table1[[#This Row],[Reporting date]])-Earliest_Month)/4)</f>
        <v>19</v>
      </c>
      <c r="Z1354" s="17">
        <f>Table1[[#This Row],[Reporting third]]-Table1[[#This Row],[Policy third]]</f>
        <v>2</v>
      </c>
      <c r="AA1354" s="71">
        <f>IF(Table1[[#This Row],[Overall amount]]=0,"N/A",Table1[[#This Row],[Outstanding]]/Table1[[#This Row],[Overall amount]])</f>
        <v>0</v>
      </c>
      <c r="AB1354" s="17">
        <f>IF(MONTH(Table1[[#This Row],[Loss date]])&lt;Pol_Inc_Month_Shifted,YEAR(Table1[[#This Row],[Loss date]])-1,YEAR(Table1[[#This Row],[Loss date]]))</f>
        <v>2010</v>
      </c>
      <c r="AC1354" s="17">
        <f>IF(MONTH(Table1[[#This Row],[Reporting date]])&lt;Pol_Inc_Month_Shifted,YEAR(Table1[[#This Row],[Reporting date]])-1,YEAR(Table1[[#This Row],[Reporting date]]))</f>
        <v>2010</v>
      </c>
      <c r="AD1354" s="17">
        <f>Table1[[#This Row],[Reporting year (shifted)]]-Table1[[#This Row],[Policy Year (shifted)]]</f>
        <v>0</v>
      </c>
    </row>
    <row r="1355" spans="1:30" ht="13.9">
      <c r="A1355" s="8" t="s">
        <v>3125</v>
      </c>
      <c r="B1355" s="8" t="s">
        <v>1407</v>
      </c>
      <c r="C1355" s="8" t="s">
        <v>118</v>
      </c>
      <c r="D1355" s="9">
        <v>40929</v>
      </c>
      <c r="E1355" s="9">
        <v>40934</v>
      </c>
      <c r="F1355" s="17">
        <f>IF(MONTH(Table1[[#This Row],[Loss date]])&lt;Policy_Inception_Month,YEAR(Table1[[#This Row],[Loss date]])-1,YEAR(Table1[[#This Row],[Loss date]]))</f>
        <v>2011</v>
      </c>
      <c r="G1355" s="10" t="s">
        <v>119</v>
      </c>
      <c r="H1355" s="10" t="s">
        <v>2</v>
      </c>
      <c r="I1355" s="11">
        <v>334.20839872554194</v>
      </c>
      <c r="J1355" s="11">
        <v>0</v>
      </c>
      <c r="K1355" s="11">
        <v>334.20839872554194</v>
      </c>
      <c r="L1355" s="12">
        <v>0</v>
      </c>
      <c r="M1355" s="12">
        <v>0</v>
      </c>
      <c r="N1355" s="12">
        <v>334.20839872554194</v>
      </c>
      <c r="O1355" s="70">
        <f>IF(Table1[[#This Row],[Overall amount]]=0,0,1)</f>
        <v>1</v>
      </c>
      <c r="P1355" s="70">
        <f>Table1[[#This Row],[Overall amount]]*Exchange_Rate</f>
        <v>334.20839872554194</v>
      </c>
      <c r="Q1355" s="70">
        <f>Table1[[#This Row],[Overall (destination currency)]]*(1+Claims_Inflation)^((Revalue_at_date-Table1[[#This Row],[Loss date]])/365.25)</f>
        <v>400.2</v>
      </c>
      <c r="R1355" s="70">
        <f>INT(Table1[[#This Row],[Reporting date]])-INT(Table1[[#This Row],[Loss date]])</f>
        <v>5</v>
      </c>
      <c r="S1355" s="69" t="s">
        <v>9</v>
      </c>
      <c r="T1355" s="70">
        <f>VLOOKUP(Table1[[#This Row],[Policy Year]],exposure_table,3,FALSE)</f>
        <v>870.52680000000009</v>
      </c>
      <c r="U1355" s="17">
        <f>IF(MONTH(Table1[[#This Row],[Reporting date]])&lt;Policy_Inception_Month,YEAR(Table1[[#This Row],[Reporting date]])-1,YEAR(Table1[[#This Row],[Reporting date]]))</f>
        <v>2011</v>
      </c>
      <c r="V1355" s="17">
        <f>Table1[[#This Row],[Reporting year]]-Table1[[#This Row],[Policy Year]]</f>
        <v>0</v>
      </c>
      <c r="W1355" s="17">
        <f>INT(Table1[[#This Row],[Reporting date]])-INT(Table1[[#This Row],[Loss date]])</f>
        <v>5</v>
      </c>
      <c r="X1355" s="17">
        <f>INT((YEAR(Table1[[#This Row],[Loss date]])*12+MONTH(Table1[[#This Row],[Loss date]])-Earliest_Month)/4)</f>
        <v>20</v>
      </c>
      <c r="Y1355" s="17">
        <f>INT((YEAR(Table1[[#This Row],[Reporting date]])*12+MONTH(Table1[[#This Row],[Reporting date]])-Earliest_Month)/4)</f>
        <v>20</v>
      </c>
      <c r="Z1355" s="17">
        <f>Table1[[#This Row],[Reporting third]]-Table1[[#This Row],[Policy third]]</f>
        <v>0</v>
      </c>
      <c r="AA1355" s="71">
        <f>IF(Table1[[#This Row],[Overall amount]]=0,"N/A",Table1[[#This Row],[Outstanding]]/Table1[[#This Row],[Overall amount]])</f>
        <v>0</v>
      </c>
      <c r="AB1355" s="17">
        <f>IF(MONTH(Table1[[#This Row],[Loss date]])&lt;Pol_Inc_Month_Shifted,YEAR(Table1[[#This Row],[Loss date]])-1,YEAR(Table1[[#This Row],[Loss date]]))</f>
        <v>2011</v>
      </c>
      <c r="AC1355" s="17">
        <f>IF(MONTH(Table1[[#This Row],[Reporting date]])&lt;Pol_Inc_Month_Shifted,YEAR(Table1[[#This Row],[Reporting date]])-1,YEAR(Table1[[#This Row],[Reporting date]]))</f>
        <v>2011</v>
      </c>
      <c r="AD1355" s="17">
        <f>Table1[[#This Row],[Reporting year (shifted)]]-Table1[[#This Row],[Policy Year (shifted)]]</f>
        <v>0</v>
      </c>
    </row>
    <row r="1356" spans="1:30" ht="13.9">
      <c r="A1356" s="8" t="s">
        <v>3126</v>
      </c>
      <c r="B1356" s="8" t="s">
        <v>1408</v>
      </c>
      <c r="C1356" s="8" t="s">
        <v>118</v>
      </c>
      <c r="D1356" s="9">
        <v>41001</v>
      </c>
      <c r="E1356" s="9">
        <v>41107</v>
      </c>
      <c r="F1356" s="17">
        <f>IF(MONTH(Table1[[#This Row],[Loss date]])&lt;Policy_Inception_Month,YEAR(Table1[[#This Row],[Loss date]])-1,YEAR(Table1[[#This Row],[Loss date]]))</f>
        <v>2012</v>
      </c>
      <c r="G1356" s="10" t="s">
        <v>119</v>
      </c>
      <c r="H1356" s="10" t="s">
        <v>2</v>
      </c>
      <c r="I1356" s="11">
        <v>309.61350355982302</v>
      </c>
      <c r="J1356" s="11">
        <v>0</v>
      </c>
      <c r="K1356" s="11">
        <v>309.61350355982302</v>
      </c>
      <c r="L1356" s="12">
        <v>0</v>
      </c>
      <c r="M1356" s="12">
        <v>0</v>
      </c>
      <c r="N1356" s="12">
        <v>309.61350355982302</v>
      </c>
      <c r="O1356" s="70">
        <f>IF(Table1[[#This Row],[Overall amount]]=0,0,1)</f>
        <v>1</v>
      </c>
      <c r="P1356" s="70">
        <f>Table1[[#This Row],[Overall amount]]*Exchange_Rate</f>
        <v>309.61350355982302</v>
      </c>
      <c r="Q1356" s="70">
        <f>Table1[[#This Row],[Overall (destination currency)]]*(1+Claims_Inflation)^((Revalue_at_date-Table1[[#This Row],[Loss date]])/365.25)</f>
        <v>367.2</v>
      </c>
      <c r="R1356" s="70">
        <f>INT(Table1[[#This Row],[Reporting date]])-INT(Table1[[#This Row],[Loss date]])</f>
        <v>106</v>
      </c>
      <c r="S1356" s="69" t="s">
        <v>9</v>
      </c>
      <c r="T1356" s="70">
        <f>VLOOKUP(Table1[[#This Row],[Policy Year]],exposure_table,3,FALSE)</f>
        <v>1057.54</v>
      </c>
      <c r="U1356" s="17">
        <f>IF(MONTH(Table1[[#This Row],[Reporting date]])&lt;Policy_Inception_Month,YEAR(Table1[[#This Row],[Reporting date]])-1,YEAR(Table1[[#This Row],[Reporting date]]))</f>
        <v>2012</v>
      </c>
      <c r="V1356" s="17">
        <f>Table1[[#This Row],[Reporting year]]-Table1[[#This Row],[Policy Year]]</f>
        <v>0</v>
      </c>
      <c r="W1356" s="17">
        <f>INT(Table1[[#This Row],[Reporting date]])-INT(Table1[[#This Row],[Loss date]])</f>
        <v>106</v>
      </c>
      <c r="X1356" s="17">
        <f>INT((YEAR(Table1[[#This Row],[Loss date]])*12+MONTH(Table1[[#This Row],[Loss date]])-Earliest_Month)/4)</f>
        <v>21</v>
      </c>
      <c r="Y1356" s="17">
        <f>INT((YEAR(Table1[[#This Row],[Reporting date]])*12+MONTH(Table1[[#This Row],[Reporting date]])-Earliest_Month)/4)</f>
        <v>21</v>
      </c>
      <c r="Z1356" s="17">
        <f>Table1[[#This Row],[Reporting third]]-Table1[[#This Row],[Policy third]]</f>
        <v>0</v>
      </c>
      <c r="AA1356" s="71">
        <f>IF(Table1[[#This Row],[Overall amount]]=0,"N/A",Table1[[#This Row],[Outstanding]]/Table1[[#This Row],[Overall amount]])</f>
        <v>0</v>
      </c>
      <c r="AB1356" s="17">
        <f>IF(MONTH(Table1[[#This Row],[Loss date]])&lt;Pol_Inc_Month_Shifted,YEAR(Table1[[#This Row],[Loss date]])-1,YEAR(Table1[[#This Row],[Loss date]]))</f>
        <v>2011</v>
      </c>
      <c r="AC1356" s="17">
        <f>IF(MONTH(Table1[[#This Row],[Reporting date]])&lt;Pol_Inc_Month_Shifted,YEAR(Table1[[#This Row],[Reporting date]])-1,YEAR(Table1[[#This Row],[Reporting date]]))</f>
        <v>2011</v>
      </c>
      <c r="AD1356" s="17">
        <f>Table1[[#This Row],[Reporting year (shifted)]]-Table1[[#This Row],[Policy Year (shifted)]]</f>
        <v>0</v>
      </c>
    </row>
    <row r="1357" spans="1:30" ht="13.9">
      <c r="A1357" s="8" t="s">
        <v>3127</v>
      </c>
      <c r="B1357" s="8" t="s">
        <v>1409</v>
      </c>
      <c r="C1357" s="8" t="s">
        <v>118</v>
      </c>
      <c r="D1357" s="9">
        <v>41001</v>
      </c>
      <c r="E1357" s="9">
        <v>41008</v>
      </c>
      <c r="F1357" s="17">
        <f>IF(MONTH(Table1[[#This Row],[Loss date]])&lt;Policy_Inception_Month,YEAR(Table1[[#This Row],[Loss date]])-1,YEAR(Table1[[#This Row],[Loss date]]))</f>
        <v>2012</v>
      </c>
      <c r="G1357" s="10" t="s">
        <v>119</v>
      </c>
      <c r="H1357" s="10" t="s">
        <v>2</v>
      </c>
      <c r="I1357" s="11">
        <v>484.1505276254095</v>
      </c>
      <c r="J1357" s="11">
        <v>0</v>
      </c>
      <c r="K1357" s="11">
        <v>484.1505276254095</v>
      </c>
      <c r="L1357" s="12">
        <v>0</v>
      </c>
      <c r="M1357" s="12">
        <v>0</v>
      </c>
      <c r="N1357" s="12">
        <v>484.1505276254095</v>
      </c>
      <c r="O1357" s="70">
        <f>IF(Table1[[#This Row],[Overall amount]]=0,0,1)</f>
        <v>1</v>
      </c>
      <c r="P1357" s="70">
        <f>Table1[[#This Row],[Overall amount]]*Exchange_Rate</f>
        <v>484.1505276254095</v>
      </c>
      <c r="Q1357" s="70">
        <f>Table1[[#This Row],[Overall (destination currency)]]*(1+Claims_Inflation)^((Revalue_at_date-Table1[[#This Row],[Loss date]])/365.25)</f>
        <v>574.19999999999993</v>
      </c>
      <c r="R1357" s="70">
        <f>INT(Table1[[#This Row],[Reporting date]])-INT(Table1[[#This Row],[Loss date]])</f>
        <v>7</v>
      </c>
      <c r="S1357" s="69" t="s">
        <v>9</v>
      </c>
      <c r="T1357" s="70">
        <f>VLOOKUP(Table1[[#This Row],[Policy Year]],exposure_table,3,FALSE)</f>
        <v>1057.54</v>
      </c>
      <c r="U1357" s="17">
        <f>IF(MONTH(Table1[[#This Row],[Reporting date]])&lt;Policy_Inception_Month,YEAR(Table1[[#This Row],[Reporting date]])-1,YEAR(Table1[[#This Row],[Reporting date]]))</f>
        <v>2012</v>
      </c>
      <c r="V1357" s="17">
        <f>Table1[[#This Row],[Reporting year]]-Table1[[#This Row],[Policy Year]]</f>
        <v>0</v>
      </c>
      <c r="W1357" s="17">
        <f>INT(Table1[[#This Row],[Reporting date]])-INT(Table1[[#This Row],[Loss date]])</f>
        <v>7</v>
      </c>
      <c r="X1357" s="17">
        <f>INT((YEAR(Table1[[#This Row],[Loss date]])*12+MONTH(Table1[[#This Row],[Loss date]])-Earliest_Month)/4)</f>
        <v>21</v>
      </c>
      <c r="Y1357" s="17">
        <f>INT((YEAR(Table1[[#This Row],[Reporting date]])*12+MONTH(Table1[[#This Row],[Reporting date]])-Earliest_Month)/4)</f>
        <v>21</v>
      </c>
      <c r="Z1357" s="17">
        <f>Table1[[#This Row],[Reporting third]]-Table1[[#This Row],[Policy third]]</f>
        <v>0</v>
      </c>
      <c r="AA1357" s="71">
        <f>IF(Table1[[#This Row],[Overall amount]]=0,"N/A",Table1[[#This Row],[Outstanding]]/Table1[[#This Row],[Overall amount]])</f>
        <v>0</v>
      </c>
      <c r="AB1357" s="17">
        <f>IF(MONTH(Table1[[#This Row],[Loss date]])&lt;Pol_Inc_Month_Shifted,YEAR(Table1[[#This Row],[Loss date]])-1,YEAR(Table1[[#This Row],[Loss date]]))</f>
        <v>2011</v>
      </c>
      <c r="AC1357" s="17">
        <f>IF(MONTH(Table1[[#This Row],[Reporting date]])&lt;Pol_Inc_Month_Shifted,YEAR(Table1[[#This Row],[Reporting date]])-1,YEAR(Table1[[#This Row],[Reporting date]]))</f>
        <v>2011</v>
      </c>
      <c r="AD1357" s="17">
        <f>Table1[[#This Row],[Reporting year (shifted)]]-Table1[[#This Row],[Policy Year (shifted)]]</f>
        <v>0</v>
      </c>
    </row>
    <row r="1358" spans="1:30" ht="13.9">
      <c r="A1358" s="8" t="s">
        <v>3128</v>
      </c>
      <c r="B1358" s="8" t="s">
        <v>1410</v>
      </c>
      <c r="C1358" s="8" t="s">
        <v>118</v>
      </c>
      <c r="D1358" s="9">
        <v>40999</v>
      </c>
      <c r="E1358" s="9">
        <v>41006</v>
      </c>
      <c r="F1358" s="17">
        <f>IF(MONTH(Table1[[#This Row],[Loss date]])&lt;Policy_Inception_Month,YEAR(Table1[[#This Row],[Loss date]])-1,YEAR(Table1[[#This Row],[Loss date]]))</f>
        <v>2011</v>
      </c>
      <c r="G1358" s="10" t="s">
        <v>119</v>
      </c>
      <c r="H1358" s="10" t="s">
        <v>2</v>
      </c>
      <c r="I1358" s="11">
        <v>660.02890781397218</v>
      </c>
      <c r="J1358" s="11">
        <v>0</v>
      </c>
      <c r="K1358" s="11">
        <v>660.02890781397218</v>
      </c>
      <c r="L1358" s="12">
        <v>0</v>
      </c>
      <c r="M1358" s="12">
        <v>0</v>
      </c>
      <c r="N1358" s="12">
        <v>660.02890781397218</v>
      </c>
      <c r="O1358" s="70">
        <f>IF(Table1[[#This Row],[Overall amount]]=0,0,1)</f>
        <v>1</v>
      </c>
      <c r="P1358" s="70">
        <f>Table1[[#This Row],[Overall amount]]*Exchange_Rate</f>
        <v>660.02890781397218</v>
      </c>
      <c r="Q1358" s="70">
        <f>Table1[[#This Row],[Overall (destination currency)]]*(1+Claims_Inflation)^((Revalue_at_date-Table1[[#This Row],[Loss date]])/365.25)</f>
        <v>783.00000000000011</v>
      </c>
      <c r="R1358" s="70">
        <f>INT(Table1[[#This Row],[Reporting date]])-INT(Table1[[#This Row],[Loss date]])</f>
        <v>7</v>
      </c>
      <c r="S1358" s="69" t="s">
        <v>9</v>
      </c>
      <c r="T1358" s="70">
        <f>VLOOKUP(Table1[[#This Row],[Policy Year]],exposure_table,3,FALSE)</f>
        <v>870.52680000000009</v>
      </c>
      <c r="U1358" s="17">
        <f>IF(MONTH(Table1[[#This Row],[Reporting date]])&lt;Policy_Inception_Month,YEAR(Table1[[#This Row],[Reporting date]])-1,YEAR(Table1[[#This Row],[Reporting date]]))</f>
        <v>2012</v>
      </c>
      <c r="V1358" s="17">
        <f>Table1[[#This Row],[Reporting year]]-Table1[[#This Row],[Policy Year]]</f>
        <v>1</v>
      </c>
      <c r="W1358" s="17">
        <f>INT(Table1[[#This Row],[Reporting date]])-INT(Table1[[#This Row],[Loss date]])</f>
        <v>7</v>
      </c>
      <c r="X1358" s="17">
        <f>INT((YEAR(Table1[[#This Row],[Loss date]])*12+MONTH(Table1[[#This Row],[Loss date]])-Earliest_Month)/4)</f>
        <v>20</v>
      </c>
      <c r="Y1358" s="17">
        <f>INT((YEAR(Table1[[#This Row],[Reporting date]])*12+MONTH(Table1[[#This Row],[Reporting date]])-Earliest_Month)/4)</f>
        <v>21</v>
      </c>
      <c r="Z1358" s="17">
        <f>Table1[[#This Row],[Reporting third]]-Table1[[#This Row],[Policy third]]</f>
        <v>1</v>
      </c>
      <c r="AA1358" s="71">
        <f>IF(Table1[[#This Row],[Overall amount]]=0,"N/A",Table1[[#This Row],[Outstanding]]/Table1[[#This Row],[Overall amount]])</f>
        <v>0</v>
      </c>
      <c r="AB1358" s="17">
        <f>IF(MONTH(Table1[[#This Row],[Loss date]])&lt;Pol_Inc_Month_Shifted,YEAR(Table1[[#This Row],[Loss date]])-1,YEAR(Table1[[#This Row],[Loss date]]))</f>
        <v>2011</v>
      </c>
      <c r="AC1358" s="17">
        <f>IF(MONTH(Table1[[#This Row],[Reporting date]])&lt;Pol_Inc_Month_Shifted,YEAR(Table1[[#This Row],[Reporting date]])-1,YEAR(Table1[[#This Row],[Reporting date]]))</f>
        <v>2011</v>
      </c>
      <c r="AD1358" s="17">
        <f>Table1[[#This Row],[Reporting year (shifted)]]-Table1[[#This Row],[Policy Year (shifted)]]</f>
        <v>0</v>
      </c>
    </row>
    <row r="1359" spans="1:30" ht="13.9">
      <c r="A1359" s="8" t="s">
        <v>3129</v>
      </c>
      <c r="B1359" s="8" t="s">
        <v>1411</v>
      </c>
      <c r="C1359" s="8" t="s">
        <v>118</v>
      </c>
      <c r="D1359" s="9">
        <v>40787</v>
      </c>
      <c r="E1359" s="9">
        <v>41086</v>
      </c>
      <c r="F1359" s="17">
        <f>IF(MONTH(Table1[[#This Row],[Loss date]])&lt;Policy_Inception_Month,YEAR(Table1[[#This Row],[Loss date]])-1,YEAR(Table1[[#This Row],[Loss date]]))</f>
        <v>2011</v>
      </c>
      <c r="G1359" s="10" t="s">
        <v>119</v>
      </c>
      <c r="H1359" s="10" t="s">
        <v>2</v>
      </c>
      <c r="I1359" s="11">
        <v>40410.300984747584</v>
      </c>
      <c r="J1359" s="11">
        <v>0</v>
      </c>
      <c r="K1359" s="11">
        <v>40410.300984747584</v>
      </c>
      <c r="L1359" s="12">
        <v>0</v>
      </c>
      <c r="M1359" s="12">
        <v>0</v>
      </c>
      <c r="N1359" s="12">
        <v>40410.300984747584</v>
      </c>
      <c r="O1359" s="70">
        <f>IF(Table1[[#This Row],[Overall amount]]=0,0,1)</f>
        <v>1</v>
      </c>
      <c r="P1359" s="70">
        <f>Table1[[#This Row],[Overall amount]]*Exchange_Rate</f>
        <v>40410.300984747584</v>
      </c>
      <c r="Q1359" s="70">
        <f>Table1[[#This Row],[Overall (destination currency)]]*(1+Claims_Inflation)^((Revalue_at_date-Table1[[#This Row],[Loss date]])/365.25)</f>
        <v>49316.208000000006</v>
      </c>
      <c r="R1359" s="70">
        <f>INT(Table1[[#This Row],[Reporting date]])-INT(Table1[[#This Row],[Loss date]])</f>
        <v>299</v>
      </c>
      <c r="S1359" s="69" t="s">
        <v>9</v>
      </c>
      <c r="T1359" s="70">
        <f>VLOOKUP(Table1[[#This Row],[Policy Year]],exposure_table,3,FALSE)</f>
        <v>870.52680000000009</v>
      </c>
      <c r="U1359" s="17">
        <f>IF(MONTH(Table1[[#This Row],[Reporting date]])&lt;Policy_Inception_Month,YEAR(Table1[[#This Row],[Reporting date]])-1,YEAR(Table1[[#This Row],[Reporting date]]))</f>
        <v>2012</v>
      </c>
      <c r="V1359" s="17">
        <f>Table1[[#This Row],[Reporting year]]-Table1[[#This Row],[Policy Year]]</f>
        <v>1</v>
      </c>
      <c r="W1359" s="17">
        <f>INT(Table1[[#This Row],[Reporting date]])-INT(Table1[[#This Row],[Loss date]])</f>
        <v>299</v>
      </c>
      <c r="X1359" s="17">
        <f>INT((YEAR(Table1[[#This Row],[Loss date]])*12+MONTH(Table1[[#This Row],[Loss date]])-Earliest_Month)/4)</f>
        <v>19</v>
      </c>
      <c r="Y1359" s="17">
        <f>INT((YEAR(Table1[[#This Row],[Reporting date]])*12+MONTH(Table1[[#This Row],[Reporting date]])-Earliest_Month)/4)</f>
        <v>21</v>
      </c>
      <c r="Z1359" s="17">
        <f>Table1[[#This Row],[Reporting third]]-Table1[[#This Row],[Policy third]]</f>
        <v>2</v>
      </c>
      <c r="AA1359" s="71">
        <f>IF(Table1[[#This Row],[Overall amount]]=0,"N/A",Table1[[#This Row],[Outstanding]]/Table1[[#This Row],[Overall amount]])</f>
        <v>0</v>
      </c>
      <c r="AB1359" s="17">
        <f>IF(MONTH(Table1[[#This Row],[Loss date]])&lt;Pol_Inc_Month_Shifted,YEAR(Table1[[#This Row],[Loss date]])-1,YEAR(Table1[[#This Row],[Loss date]]))</f>
        <v>2010</v>
      </c>
      <c r="AC1359" s="17">
        <f>IF(MONTH(Table1[[#This Row],[Reporting date]])&lt;Pol_Inc_Month_Shifted,YEAR(Table1[[#This Row],[Reporting date]])-1,YEAR(Table1[[#This Row],[Reporting date]]))</f>
        <v>2011</v>
      </c>
      <c r="AD1359" s="17">
        <f>Table1[[#This Row],[Reporting year (shifted)]]-Table1[[#This Row],[Policy Year (shifted)]]</f>
        <v>1</v>
      </c>
    </row>
    <row r="1360" spans="1:30" ht="13.9">
      <c r="A1360" s="8" t="s">
        <v>3130</v>
      </c>
      <c r="B1360" s="8" t="s">
        <v>1412</v>
      </c>
      <c r="C1360" s="8" t="s">
        <v>118</v>
      </c>
      <c r="D1360" s="9">
        <v>39972</v>
      </c>
      <c r="E1360" s="9">
        <v>40124</v>
      </c>
      <c r="F1360" s="17">
        <f>IF(MONTH(Table1[[#This Row],[Loss date]])&lt;Policy_Inception_Month,YEAR(Table1[[#This Row],[Loss date]])-1,YEAR(Table1[[#This Row],[Loss date]]))</f>
        <v>2009</v>
      </c>
      <c r="G1360" s="10" t="s">
        <v>119</v>
      </c>
      <c r="H1360" s="10" t="s">
        <v>2</v>
      </c>
      <c r="I1360" s="11">
        <v>115.08360530265209</v>
      </c>
      <c r="J1360" s="11">
        <v>0</v>
      </c>
      <c r="K1360" s="11">
        <v>115.08360530265209</v>
      </c>
      <c r="L1360" s="12">
        <v>0</v>
      </c>
      <c r="M1360" s="12">
        <v>0</v>
      </c>
      <c r="N1360" s="12">
        <v>115.08360530265209</v>
      </c>
      <c r="O1360" s="70">
        <f>IF(Table1[[#This Row],[Overall amount]]=0,0,1)</f>
        <v>1</v>
      </c>
      <c r="P1360" s="70">
        <f>Table1[[#This Row],[Overall amount]]*Exchange_Rate</f>
        <v>115.08360530265209</v>
      </c>
      <c r="Q1360" s="70">
        <f>Table1[[#This Row],[Overall (destination currency)]]*(1+Claims_Inflation)^((Revalue_at_date-Table1[[#This Row],[Loss date]])/365.25)</f>
        <v>156.59999999999997</v>
      </c>
      <c r="R1360" s="70">
        <f>INT(Table1[[#This Row],[Reporting date]])-INT(Table1[[#This Row],[Loss date]])</f>
        <v>152</v>
      </c>
      <c r="S1360" s="69" t="s">
        <v>9</v>
      </c>
      <c r="T1360" s="70">
        <f>VLOOKUP(Table1[[#This Row],[Policy Year]],exposure_table,3,FALSE)</f>
        <v>760.22808576000011</v>
      </c>
      <c r="U1360" s="17">
        <f>IF(MONTH(Table1[[#This Row],[Reporting date]])&lt;Policy_Inception_Month,YEAR(Table1[[#This Row],[Reporting date]])-1,YEAR(Table1[[#This Row],[Reporting date]]))</f>
        <v>2009</v>
      </c>
      <c r="V1360" s="17">
        <f>Table1[[#This Row],[Reporting year]]-Table1[[#This Row],[Policy Year]]</f>
        <v>0</v>
      </c>
      <c r="W1360" s="17">
        <f>INT(Table1[[#This Row],[Reporting date]])-INT(Table1[[#This Row],[Loss date]])</f>
        <v>152</v>
      </c>
      <c r="X1360" s="17">
        <f>INT((YEAR(Table1[[#This Row],[Loss date]])*12+MONTH(Table1[[#This Row],[Loss date]])-Earliest_Month)/4)</f>
        <v>12</v>
      </c>
      <c r="Y1360" s="17">
        <f>INT((YEAR(Table1[[#This Row],[Reporting date]])*12+MONTH(Table1[[#This Row],[Reporting date]])-Earliest_Month)/4)</f>
        <v>13</v>
      </c>
      <c r="Z1360" s="17">
        <f>Table1[[#This Row],[Reporting third]]-Table1[[#This Row],[Policy third]]</f>
        <v>1</v>
      </c>
      <c r="AA1360" s="71">
        <f>IF(Table1[[#This Row],[Overall amount]]=0,"N/A",Table1[[#This Row],[Outstanding]]/Table1[[#This Row],[Overall amount]])</f>
        <v>0</v>
      </c>
      <c r="AB1360" s="17">
        <f>IF(MONTH(Table1[[#This Row],[Loss date]])&lt;Pol_Inc_Month_Shifted,YEAR(Table1[[#This Row],[Loss date]])-1,YEAR(Table1[[#This Row],[Loss date]]))</f>
        <v>2008</v>
      </c>
      <c r="AC1360" s="17">
        <f>IF(MONTH(Table1[[#This Row],[Reporting date]])&lt;Pol_Inc_Month_Shifted,YEAR(Table1[[#This Row],[Reporting date]])-1,YEAR(Table1[[#This Row],[Reporting date]]))</f>
        <v>2008</v>
      </c>
      <c r="AD1360" s="17">
        <f>Table1[[#This Row],[Reporting year (shifted)]]-Table1[[#This Row],[Policy Year (shifted)]]</f>
        <v>0</v>
      </c>
    </row>
    <row r="1361" spans="1:30" ht="13.9">
      <c r="A1361" s="8" t="s">
        <v>3131</v>
      </c>
      <c r="B1361" s="8" t="s">
        <v>1413</v>
      </c>
      <c r="C1361" s="8" t="s">
        <v>118</v>
      </c>
      <c r="D1361" s="9">
        <v>40932</v>
      </c>
      <c r="E1361" s="9">
        <v>41006</v>
      </c>
      <c r="F1361" s="17">
        <f>IF(MONTH(Table1[[#This Row],[Loss date]])&lt;Policy_Inception_Month,YEAR(Table1[[#This Row],[Loss date]])-1,YEAR(Table1[[#This Row],[Loss date]]))</f>
        <v>2011</v>
      </c>
      <c r="G1361" s="10" t="s">
        <v>119</v>
      </c>
      <c r="H1361" s="10" t="s">
        <v>2</v>
      </c>
      <c r="I1361" s="11">
        <v>40129.102977867493</v>
      </c>
      <c r="J1361" s="11">
        <v>0</v>
      </c>
      <c r="K1361" s="11">
        <v>40129.102977867493</v>
      </c>
      <c r="L1361" s="12">
        <v>0</v>
      </c>
      <c r="M1361" s="12">
        <v>0</v>
      </c>
      <c r="N1361" s="12">
        <v>40129.102977867493</v>
      </c>
      <c r="O1361" s="70">
        <f>IF(Table1[[#This Row],[Overall amount]]=0,0,1)</f>
        <v>1</v>
      </c>
      <c r="P1361" s="70">
        <f>Table1[[#This Row],[Overall amount]]*Exchange_Rate</f>
        <v>40129.102977867493</v>
      </c>
      <c r="Q1361" s="70">
        <f>Table1[[#This Row],[Overall (destination currency)]]*(1+Claims_Inflation)^((Revalue_at_date-Table1[[#This Row],[Loss date]])/365.25)</f>
        <v>48033.600000000013</v>
      </c>
      <c r="R1361" s="70">
        <f>INT(Table1[[#This Row],[Reporting date]])-INT(Table1[[#This Row],[Loss date]])</f>
        <v>74</v>
      </c>
      <c r="S1361" s="69" t="s">
        <v>9</v>
      </c>
      <c r="T1361" s="70">
        <f>VLOOKUP(Table1[[#This Row],[Policy Year]],exposure_table,3,FALSE)</f>
        <v>870.52680000000009</v>
      </c>
      <c r="U1361" s="17">
        <f>IF(MONTH(Table1[[#This Row],[Reporting date]])&lt;Policy_Inception_Month,YEAR(Table1[[#This Row],[Reporting date]])-1,YEAR(Table1[[#This Row],[Reporting date]]))</f>
        <v>2012</v>
      </c>
      <c r="V1361" s="17">
        <f>Table1[[#This Row],[Reporting year]]-Table1[[#This Row],[Policy Year]]</f>
        <v>1</v>
      </c>
      <c r="W1361" s="17">
        <f>INT(Table1[[#This Row],[Reporting date]])-INT(Table1[[#This Row],[Loss date]])</f>
        <v>74</v>
      </c>
      <c r="X1361" s="17">
        <f>INT((YEAR(Table1[[#This Row],[Loss date]])*12+MONTH(Table1[[#This Row],[Loss date]])-Earliest_Month)/4)</f>
        <v>20</v>
      </c>
      <c r="Y1361" s="17">
        <f>INT((YEAR(Table1[[#This Row],[Reporting date]])*12+MONTH(Table1[[#This Row],[Reporting date]])-Earliest_Month)/4)</f>
        <v>21</v>
      </c>
      <c r="Z1361" s="17">
        <f>Table1[[#This Row],[Reporting third]]-Table1[[#This Row],[Policy third]]</f>
        <v>1</v>
      </c>
      <c r="AA1361" s="71">
        <f>IF(Table1[[#This Row],[Overall amount]]=0,"N/A",Table1[[#This Row],[Outstanding]]/Table1[[#This Row],[Overall amount]])</f>
        <v>0</v>
      </c>
      <c r="AB1361" s="17">
        <f>IF(MONTH(Table1[[#This Row],[Loss date]])&lt;Pol_Inc_Month_Shifted,YEAR(Table1[[#This Row],[Loss date]])-1,YEAR(Table1[[#This Row],[Loss date]]))</f>
        <v>2011</v>
      </c>
      <c r="AC1361" s="17">
        <f>IF(MONTH(Table1[[#This Row],[Reporting date]])&lt;Pol_Inc_Month_Shifted,YEAR(Table1[[#This Row],[Reporting date]])-1,YEAR(Table1[[#This Row],[Reporting date]]))</f>
        <v>2011</v>
      </c>
      <c r="AD1361" s="17">
        <f>Table1[[#This Row],[Reporting year (shifted)]]-Table1[[#This Row],[Policy Year (shifted)]]</f>
        <v>0</v>
      </c>
    </row>
    <row r="1362" spans="1:30" ht="13.9">
      <c r="A1362" s="8" t="s">
        <v>3132</v>
      </c>
      <c r="B1362" s="8" t="s">
        <v>1414</v>
      </c>
      <c r="C1362" s="8" t="s">
        <v>118</v>
      </c>
      <c r="D1362" s="9">
        <v>40449</v>
      </c>
      <c r="E1362" s="9">
        <v>40454</v>
      </c>
      <c r="F1362" s="17">
        <f>IF(MONTH(Table1[[#This Row],[Loss date]])&lt;Policy_Inception_Month,YEAR(Table1[[#This Row],[Loss date]])-1,YEAR(Table1[[#This Row],[Loss date]]))</f>
        <v>2010</v>
      </c>
      <c r="G1362" s="10" t="s">
        <v>119</v>
      </c>
      <c r="H1362" s="10" t="s">
        <v>2</v>
      </c>
      <c r="I1362" s="11">
        <v>18303.30379794629</v>
      </c>
      <c r="J1362" s="11">
        <v>0</v>
      </c>
      <c r="K1362" s="11">
        <v>18303.30379794629</v>
      </c>
      <c r="L1362" s="12">
        <v>0</v>
      </c>
      <c r="M1362" s="12">
        <v>0</v>
      </c>
      <c r="N1362" s="12">
        <v>18303.30379794629</v>
      </c>
      <c r="O1362" s="70">
        <f>IF(Table1[[#This Row],[Overall amount]]=0,0,1)</f>
        <v>1</v>
      </c>
      <c r="P1362" s="70">
        <f>Table1[[#This Row],[Overall amount]]*Exchange_Rate</f>
        <v>18303.30379794629</v>
      </c>
      <c r="Q1362" s="70">
        <f>Table1[[#This Row],[Overall (destination currency)]]*(1+Claims_Inflation)^((Revalue_at_date-Table1[[#This Row],[Loss date]])/365.25)</f>
        <v>23368.752</v>
      </c>
      <c r="R1362" s="70">
        <f>INT(Table1[[#This Row],[Reporting date]])-INT(Table1[[#This Row],[Loss date]])</f>
        <v>5</v>
      </c>
      <c r="S1362" s="69" t="s">
        <v>9</v>
      </c>
      <c r="T1362" s="70">
        <f>VLOOKUP(Table1[[#This Row],[Policy Year]],exposure_table,3,FALSE)</f>
        <v>837.11513600000012</v>
      </c>
      <c r="U1362" s="17">
        <f>IF(MONTH(Table1[[#This Row],[Reporting date]])&lt;Policy_Inception_Month,YEAR(Table1[[#This Row],[Reporting date]])-1,YEAR(Table1[[#This Row],[Reporting date]]))</f>
        <v>2010</v>
      </c>
      <c r="V1362" s="17">
        <f>Table1[[#This Row],[Reporting year]]-Table1[[#This Row],[Policy Year]]</f>
        <v>0</v>
      </c>
      <c r="W1362" s="17">
        <f>INT(Table1[[#This Row],[Reporting date]])-INT(Table1[[#This Row],[Loss date]])</f>
        <v>5</v>
      </c>
      <c r="X1362" s="17">
        <f>INT((YEAR(Table1[[#This Row],[Loss date]])*12+MONTH(Table1[[#This Row],[Loss date]])-Earliest_Month)/4)</f>
        <v>16</v>
      </c>
      <c r="Y1362" s="17">
        <f>INT((YEAR(Table1[[#This Row],[Reporting date]])*12+MONTH(Table1[[#This Row],[Reporting date]])-Earliest_Month)/4)</f>
        <v>16</v>
      </c>
      <c r="Z1362" s="17">
        <f>Table1[[#This Row],[Reporting third]]-Table1[[#This Row],[Policy third]]</f>
        <v>0</v>
      </c>
      <c r="AA1362" s="71">
        <f>IF(Table1[[#This Row],[Overall amount]]=0,"N/A",Table1[[#This Row],[Outstanding]]/Table1[[#This Row],[Overall amount]])</f>
        <v>0</v>
      </c>
      <c r="AB1362" s="17">
        <f>IF(MONTH(Table1[[#This Row],[Loss date]])&lt;Pol_Inc_Month_Shifted,YEAR(Table1[[#This Row],[Loss date]])-1,YEAR(Table1[[#This Row],[Loss date]]))</f>
        <v>2009</v>
      </c>
      <c r="AC1362" s="17">
        <f>IF(MONTH(Table1[[#This Row],[Reporting date]])&lt;Pol_Inc_Month_Shifted,YEAR(Table1[[#This Row],[Reporting date]])-1,YEAR(Table1[[#This Row],[Reporting date]]))</f>
        <v>2009</v>
      </c>
      <c r="AD1362" s="17">
        <f>Table1[[#This Row],[Reporting year (shifted)]]-Table1[[#This Row],[Policy Year (shifted)]]</f>
        <v>0</v>
      </c>
    </row>
    <row r="1363" spans="1:30" ht="13.9">
      <c r="A1363" s="8" t="s">
        <v>3133</v>
      </c>
      <c r="B1363" s="8" t="s">
        <v>1415</v>
      </c>
      <c r="C1363" s="8" t="s">
        <v>118</v>
      </c>
      <c r="D1363" s="9">
        <v>40700</v>
      </c>
      <c r="E1363" s="9">
        <v>40710</v>
      </c>
      <c r="F1363" s="17">
        <f>IF(MONTH(Table1[[#This Row],[Loss date]])&lt;Policy_Inception_Month,YEAR(Table1[[#This Row],[Loss date]])-1,YEAR(Table1[[#This Row],[Loss date]]))</f>
        <v>2011</v>
      </c>
      <c r="G1363" s="10" t="s">
        <v>119</v>
      </c>
      <c r="H1363" s="10" t="s">
        <v>2</v>
      </c>
      <c r="I1363" s="11">
        <v>2438.0949664412551</v>
      </c>
      <c r="J1363" s="11">
        <v>0</v>
      </c>
      <c r="K1363" s="11">
        <v>2438.0949664412551</v>
      </c>
      <c r="L1363" s="12">
        <v>0</v>
      </c>
      <c r="M1363" s="12">
        <v>0</v>
      </c>
      <c r="N1363" s="12">
        <v>2438.0949664412551</v>
      </c>
      <c r="O1363" s="70">
        <f>IF(Table1[[#This Row],[Overall amount]]=0,0,1)</f>
        <v>1</v>
      </c>
      <c r="P1363" s="70">
        <f>Table1[[#This Row],[Overall amount]]*Exchange_Rate</f>
        <v>2438.0949664412551</v>
      </c>
      <c r="Q1363" s="70">
        <f>Table1[[#This Row],[Overall (destination currency)]]*(1+Claims_Inflation)^((Revalue_at_date-Table1[[#This Row],[Loss date]])/365.25)</f>
        <v>3010.2000000000007</v>
      </c>
      <c r="R1363" s="70">
        <f>INT(Table1[[#This Row],[Reporting date]])-INT(Table1[[#This Row],[Loss date]])</f>
        <v>10</v>
      </c>
      <c r="S1363" s="69" t="s">
        <v>9</v>
      </c>
      <c r="T1363" s="70">
        <f>VLOOKUP(Table1[[#This Row],[Policy Year]],exposure_table,3,FALSE)</f>
        <v>870.52680000000009</v>
      </c>
      <c r="U1363" s="17">
        <f>IF(MONTH(Table1[[#This Row],[Reporting date]])&lt;Policy_Inception_Month,YEAR(Table1[[#This Row],[Reporting date]])-1,YEAR(Table1[[#This Row],[Reporting date]]))</f>
        <v>2011</v>
      </c>
      <c r="V1363" s="17">
        <f>Table1[[#This Row],[Reporting year]]-Table1[[#This Row],[Policy Year]]</f>
        <v>0</v>
      </c>
      <c r="W1363" s="17">
        <f>INT(Table1[[#This Row],[Reporting date]])-INT(Table1[[#This Row],[Loss date]])</f>
        <v>10</v>
      </c>
      <c r="X1363" s="17">
        <f>INT((YEAR(Table1[[#This Row],[Loss date]])*12+MONTH(Table1[[#This Row],[Loss date]])-Earliest_Month)/4)</f>
        <v>18</v>
      </c>
      <c r="Y1363" s="17">
        <f>INT((YEAR(Table1[[#This Row],[Reporting date]])*12+MONTH(Table1[[#This Row],[Reporting date]])-Earliest_Month)/4)</f>
        <v>18</v>
      </c>
      <c r="Z1363" s="17">
        <f>Table1[[#This Row],[Reporting third]]-Table1[[#This Row],[Policy third]]</f>
        <v>0</v>
      </c>
      <c r="AA1363" s="71">
        <f>IF(Table1[[#This Row],[Overall amount]]=0,"N/A",Table1[[#This Row],[Outstanding]]/Table1[[#This Row],[Overall amount]])</f>
        <v>0</v>
      </c>
      <c r="AB1363" s="17">
        <f>IF(MONTH(Table1[[#This Row],[Loss date]])&lt;Pol_Inc_Month_Shifted,YEAR(Table1[[#This Row],[Loss date]])-1,YEAR(Table1[[#This Row],[Loss date]]))</f>
        <v>2010</v>
      </c>
      <c r="AC1363" s="17">
        <f>IF(MONTH(Table1[[#This Row],[Reporting date]])&lt;Pol_Inc_Month_Shifted,YEAR(Table1[[#This Row],[Reporting date]])-1,YEAR(Table1[[#This Row],[Reporting date]]))</f>
        <v>2010</v>
      </c>
      <c r="AD1363" s="17">
        <f>Table1[[#This Row],[Reporting year (shifted)]]-Table1[[#This Row],[Policy Year (shifted)]]</f>
        <v>0</v>
      </c>
    </row>
    <row r="1364" spans="1:30" ht="13.9">
      <c r="A1364" s="8" t="s">
        <v>3134</v>
      </c>
      <c r="B1364" s="8" t="s">
        <v>1416</v>
      </c>
      <c r="C1364" s="8" t="s">
        <v>118</v>
      </c>
      <c r="D1364" s="9">
        <v>39986</v>
      </c>
      <c r="E1364" s="9">
        <v>39997</v>
      </c>
      <c r="F1364" s="17">
        <f>IF(MONTH(Table1[[#This Row],[Loss date]])&lt;Policy_Inception_Month,YEAR(Table1[[#This Row],[Loss date]])-1,YEAR(Table1[[#This Row],[Loss date]]))</f>
        <v>2009</v>
      </c>
      <c r="G1364" s="10" t="s">
        <v>128</v>
      </c>
      <c r="H1364" s="10" t="s">
        <v>2</v>
      </c>
      <c r="I1364" s="11">
        <v>4112.3319676206929</v>
      </c>
      <c r="J1364" s="11">
        <v>0</v>
      </c>
      <c r="K1364" s="11">
        <v>4112.3319676206929</v>
      </c>
      <c r="L1364" s="12">
        <v>132.52761739028981</v>
      </c>
      <c r="M1364" s="12">
        <v>0</v>
      </c>
      <c r="N1364" s="12">
        <v>4244.8595850109823</v>
      </c>
      <c r="O1364" s="70">
        <f>IF(Table1[[#This Row],[Overall amount]]=0,0,1)</f>
        <v>1</v>
      </c>
      <c r="P1364" s="70">
        <f>Table1[[#This Row],[Overall amount]]*Exchange_Rate</f>
        <v>4244.8595850109823</v>
      </c>
      <c r="Q1364" s="70">
        <f>Table1[[#This Row],[Overall (destination currency)]]*(1+Claims_Inflation)^((Revalue_at_date-Table1[[#This Row],[Loss date]])/365.25)</f>
        <v>5765.4</v>
      </c>
      <c r="R1364" s="70">
        <f>INT(Table1[[#This Row],[Reporting date]])-INT(Table1[[#This Row],[Loss date]])</f>
        <v>11</v>
      </c>
      <c r="S1364" s="69" t="s">
        <v>9</v>
      </c>
      <c r="T1364" s="70">
        <f>VLOOKUP(Table1[[#This Row],[Policy Year]],exposure_table,3,FALSE)</f>
        <v>760.22808576000011</v>
      </c>
      <c r="U1364" s="17">
        <f>IF(MONTH(Table1[[#This Row],[Reporting date]])&lt;Policy_Inception_Month,YEAR(Table1[[#This Row],[Reporting date]])-1,YEAR(Table1[[#This Row],[Reporting date]]))</f>
        <v>2009</v>
      </c>
      <c r="V1364" s="17">
        <f>Table1[[#This Row],[Reporting year]]-Table1[[#This Row],[Policy Year]]</f>
        <v>0</v>
      </c>
      <c r="W1364" s="17">
        <f>INT(Table1[[#This Row],[Reporting date]])-INT(Table1[[#This Row],[Loss date]])</f>
        <v>11</v>
      </c>
      <c r="X1364" s="17">
        <f>INT((YEAR(Table1[[#This Row],[Loss date]])*12+MONTH(Table1[[#This Row],[Loss date]])-Earliest_Month)/4)</f>
        <v>12</v>
      </c>
      <c r="Y1364" s="17">
        <f>INT((YEAR(Table1[[#This Row],[Reporting date]])*12+MONTH(Table1[[#This Row],[Reporting date]])-Earliest_Month)/4)</f>
        <v>12</v>
      </c>
      <c r="Z1364" s="17">
        <f>Table1[[#This Row],[Reporting third]]-Table1[[#This Row],[Policy third]]</f>
        <v>0</v>
      </c>
      <c r="AA1364" s="71">
        <f>IF(Table1[[#This Row],[Overall amount]]=0,"N/A",Table1[[#This Row],[Outstanding]]/Table1[[#This Row],[Overall amount]])</f>
        <v>0</v>
      </c>
      <c r="AB1364" s="17">
        <f>IF(MONTH(Table1[[#This Row],[Loss date]])&lt;Pol_Inc_Month_Shifted,YEAR(Table1[[#This Row],[Loss date]])-1,YEAR(Table1[[#This Row],[Loss date]]))</f>
        <v>2008</v>
      </c>
      <c r="AC1364" s="17">
        <f>IF(MONTH(Table1[[#This Row],[Reporting date]])&lt;Pol_Inc_Month_Shifted,YEAR(Table1[[#This Row],[Reporting date]])-1,YEAR(Table1[[#This Row],[Reporting date]]))</f>
        <v>2008</v>
      </c>
      <c r="AD1364" s="17">
        <f>Table1[[#This Row],[Reporting year (shifted)]]-Table1[[#This Row],[Policy Year (shifted)]]</f>
        <v>0</v>
      </c>
    </row>
    <row r="1365" spans="1:30" ht="13.9">
      <c r="A1365" s="8" t="s">
        <v>3135</v>
      </c>
      <c r="B1365" s="8" t="s">
        <v>1417</v>
      </c>
      <c r="C1365" s="8" t="s">
        <v>118</v>
      </c>
      <c r="D1365" s="9">
        <v>40335</v>
      </c>
      <c r="E1365" s="9">
        <v>40337</v>
      </c>
      <c r="F1365" s="17">
        <f>IF(MONTH(Table1[[#This Row],[Loss date]])&lt;Policy_Inception_Month,YEAR(Table1[[#This Row],[Loss date]])-1,YEAR(Table1[[#This Row],[Loss date]]))</f>
        <v>2010</v>
      </c>
      <c r="G1365" s="10" t="s">
        <v>121</v>
      </c>
      <c r="H1365" s="10" t="s">
        <v>2</v>
      </c>
      <c r="I1365" s="11">
        <v>66100.334898829882</v>
      </c>
      <c r="J1365" s="11">
        <v>0</v>
      </c>
      <c r="K1365" s="11">
        <v>66100.334898829882</v>
      </c>
      <c r="L1365" s="12">
        <v>138.8522673252439</v>
      </c>
      <c r="M1365" s="12">
        <v>0</v>
      </c>
      <c r="N1365" s="12">
        <v>66239.187166155127</v>
      </c>
      <c r="O1365" s="70">
        <f>IF(Table1[[#This Row],[Overall amount]]=0,0,1)</f>
        <v>1</v>
      </c>
      <c r="P1365" s="70">
        <f>Table1[[#This Row],[Overall amount]]*Exchange_Rate</f>
        <v>66239.187166155127</v>
      </c>
      <c r="Q1365" s="70">
        <f>Table1[[#This Row],[Overall (destination currency)]]*(1+Claims_Inflation)^((Revalue_at_date-Table1[[#This Row],[Loss date]])/365.25)</f>
        <v>85868.627999999997</v>
      </c>
      <c r="R1365" s="70">
        <f>INT(Table1[[#This Row],[Reporting date]])-INT(Table1[[#This Row],[Loss date]])</f>
        <v>2</v>
      </c>
      <c r="S1365" s="69" t="s">
        <v>9</v>
      </c>
      <c r="T1365" s="70">
        <f>VLOOKUP(Table1[[#This Row],[Policy Year]],exposure_table,3,FALSE)</f>
        <v>837.11513600000012</v>
      </c>
      <c r="U1365" s="17">
        <f>IF(MONTH(Table1[[#This Row],[Reporting date]])&lt;Policy_Inception_Month,YEAR(Table1[[#This Row],[Reporting date]])-1,YEAR(Table1[[#This Row],[Reporting date]]))</f>
        <v>2010</v>
      </c>
      <c r="V1365" s="17">
        <f>Table1[[#This Row],[Reporting year]]-Table1[[#This Row],[Policy Year]]</f>
        <v>0</v>
      </c>
      <c r="W1365" s="17">
        <f>INT(Table1[[#This Row],[Reporting date]])-INT(Table1[[#This Row],[Loss date]])</f>
        <v>2</v>
      </c>
      <c r="X1365" s="17">
        <f>INT((YEAR(Table1[[#This Row],[Loss date]])*12+MONTH(Table1[[#This Row],[Loss date]])-Earliest_Month)/4)</f>
        <v>15</v>
      </c>
      <c r="Y1365" s="17">
        <f>INT((YEAR(Table1[[#This Row],[Reporting date]])*12+MONTH(Table1[[#This Row],[Reporting date]])-Earliest_Month)/4)</f>
        <v>15</v>
      </c>
      <c r="Z1365" s="17">
        <f>Table1[[#This Row],[Reporting third]]-Table1[[#This Row],[Policy third]]</f>
        <v>0</v>
      </c>
      <c r="AA1365" s="71">
        <f>IF(Table1[[#This Row],[Overall amount]]=0,"N/A",Table1[[#This Row],[Outstanding]]/Table1[[#This Row],[Overall amount]])</f>
        <v>0</v>
      </c>
      <c r="AB1365" s="17">
        <f>IF(MONTH(Table1[[#This Row],[Loss date]])&lt;Pol_Inc_Month_Shifted,YEAR(Table1[[#This Row],[Loss date]])-1,YEAR(Table1[[#This Row],[Loss date]]))</f>
        <v>2009</v>
      </c>
      <c r="AC1365" s="17">
        <f>IF(MONTH(Table1[[#This Row],[Reporting date]])&lt;Pol_Inc_Month_Shifted,YEAR(Table1[[#This Row],[Reporting date]])-1,YEAR(Table1[[#This Row],[Reporting date]]))</f>
        <v>2009</v>
      </c>
      <c r="AD1365" s="17">
        <f>Table1[[#This Row],[Reporting year (shifted)]]-Table1[[#This Row],[Policy Year (shifted)]]</f>
        <v>0</v>
      </c>
    </row>
    <row r="1366" spans="1:30" ht="13.9">
      <c r="A1366" s="8" t="s">
        <v>3136</v>
      </c>
      <c r="B1366" s="8" t="s">
        <v>1418</v>
      </c>
      <c r="C1366" s="8" t="s">
        <v>118</v>
      </c>
      <c r="D1366" s="9">
        <v>40512</v>
      </c>
      <c r="E1366" s="9">
        <v>40574</v>
      </c>
      <c r="F1366" s="17">
        <f>IF(MONTH(Table1[[#This Row],[Loss date]])&lt;Policy_Inception_Month,YEAR(Table1[[#This Row],[Loss date]])-1,YEAR(Table1[[#This Row],[Loss date]]))</f>
        <v>2010</v>
      </c>
      <c r="G1366" s="10" t="s">
        <v>119</v>
      </c>
      <c r="H1366" s="10" t="s">
        <v>2</v>
      </c>
      <c r="I1366" s="11">
        <v>453.53622870247358</v>
      </c>
      <c r="J1366" s="11">
        <v>0</v>
      </c>
      <c r="K1366" s="11">
        <v>453.53622870247358</v>
      </c>
      <c r="L1366" s="12">
        <v>0</v>
      </c>
      <c r="M1366" s="12">
        <v>0</v>
      </c>
      <c r="N1366" s="12">
        <v>453.53622870247358</v>
      </c>
      <c r="O1366" s="70">
        <f>IF(Table1[[#This Row],[Overall amount]]=0,0,1)</f>
        <v>1</v>
      </c>
      <c r="P1366" s="70">
        <f>Table1[[#This Row],[Overall amount]]*Exchange_Rate</f>
        <v>453.53622870247358</v>
      </c>
      <c r="Q1366" s="70">
        <f>Table1[[#This Row],[Overall (destination currency)]]*(1+Claims_Inflation)^((Revalue_at_date-Table1[[#This Row],[Loss date]])/365.25)</f>
        <v>574.19999999999982</v>
      </c>
      <c r="R1366" s="70">
        <f>INT(Table1[[#This Row],[Reporting date]])-INT(Table1[[#This Row],[Loss date]])</f>
        <v>62</v>
      </c>
      <c r="S1366" s="69" t="s">
        <v>9</v>
      </c>
      <c r="T1366" s="70">
        <f>VLOOKUP(Table1[[#This Row],[Policy Year]],exposure_table,3,FALSE)</f>
        <v>837.11513600000012</v>
      </c>
      <c r="U1366" s="17">
        <f>IF(MONTH(Table1[[#This Row],[Reporting date]])&lt;Policy_Inception_Month,YEAR(Table1[[#This Row],[Reporting date]])-1,YEAR(Table1[[#This Row],[Reporting date]]))</f>
        <v>2010</v>
      </c>
      <c r="V1366" s="17">
        <f>Table1[[#This Row],[Reporting year]]-Table1[[#This Row],[Policy Year]]</f>
        <v>0</v>
      </c>
      <c r="W1366" s="17">
        <f>INT(Table1[[#This Row],[Reporting date]])-INT(Table1[[#This Row],[Loss date]])</f>
        <v>62</v>
      </c>
      <c r="X1366" s="17">
        <f>INT((YEAR(Table1[[#This Row],[Loss date]])*12+MONTH(Table1[[#This Row],[Loss date]])-Earliest_Month)/4)</f>
        <v>16</v>
      </c>
      <c r="Y1366" s="17">
        <f>INT((YEAR(Table1[[#This Row],[Reporting date]])*12+MONTH(Table1[[#This Row],[Reporting date]])-Earliest_Month)/4)</f>
        <v>17</v>
      </c>
      <c r="Z1366" s="17">
        <f>Table1[[#This Row],[Reporting third]]-Table1[[#This Row],[Policy third]]</f>
        <v>1</v>
      </c>
      <c r="AA1366" s="71">
        <f>IF(Table1[[#This Row],[Overall amount]]=0,"N/A",Table1[[#This Row],[Outstanding]]/Table1[[#This Row],[Overall amount]])</f>
        <v>0</v>
      </c>
      <c r="AB1366" s="17">
        <f>IF(MONTH(Table1[[#This Row],[Loss date]])&lt;Pol_Inc_Month_Shifted,YEAR(Table1[[#This Row],[Loss date]])-1,YEAR(Table1[[#This Row],[Loss date]]))</f>
        <v>2009</v>
      </c>
      <c r="AC1366" s="17">
        <f>IF(MONTH(Table1[[#This Row],[Reporting date]])&lt;Pol_Inc_Month_Shifted,YEAR(Table1[[#This Row],[Reporting date]])-1,YEAR(Table1[[#This Row],[Reporting date]]))</f>
        <v>2010</v>
      </c>
      <c r="AD1366" s="17">
        <f>Table1[[#This Row],[Reporting year (shifted)]]-Table1[[#This Row],[Policy Year (shifted)]]</f>
        <v>1</v>
      </c>
    </row>
    <row r="1367" spans="1:30" ht="13.9">
      <c r="A1367" s="8" t="s">
        <v>3137</v>
      </c>
      <c r="B1367" s="8" t="s">
        <v>1419</v>
      </c>
      <c r="C1367" s="8" t="s">
        <v>118</v>
      </c>
      <c r="D1367" s="9">
        <v>40965</v>
      </c>
      <c r="E1367" s="9">
        <v>40966</v>
      </c>
      <c r="F1367" s="17">
        <f>IF(MONTH(Table1[[#This Row],[Loss date]])&lt;Policy_Inception_Month,YEAR(Table1[[#This Row],[Loss date]])-1,YEAR(Table1[[#This Row],[Loss date]]))</f>
        <v>2011</v>
      </c>
      <c r="G1367" s="10" t="s">
        <v>119</v>
      </c>
      <c r="H1367" s="10" t="s">
        <v>2</v>
      </c>
      <c r="I1367" s="11">
        <v>671.63887928105146</v>
      </c>
      <c r="J1367" s="11">
        <v>0</v>
      </c>
      <c r="K1367" s="11">
        <v>671.63887928105146</v>
      </c>
      <c r="L1367" s="12">
        <v>151.04322622512402</v>
      </c>
      <c r="M1367" s="12">
        <v>0</v>
      </c>
      <c r="N1367" s="12">
        <v>822.6821055061755</v>
      </c>
      <c r="O1367" s="70">
        <f>IF(Table1[[#This Row],[Overall amount]]=0,0,1)</f>
        <v>1</v>
      </c>
      <c r="P1367" s="70">
        <f>Table1[[#This Row],[Overall amount]]*Exchange_Rate</f>
        <v>822.6821055061755</v>
      </c>
      <c r="Q1367" s="70">
        <f>Table1[[#This Row],[Overall (destination currency)]]*(1+Claims_Inflation)^((Revalue_at_date-Table1[[#This Row],[Loss date]])/365.25)</f>
        <v>980.4</v>
      </c>
      <c r="R1367" s="70">
        <f>INT(Table1[[#This Row],[Reporting date]])-INT(Table1[[#This Row],[Loss date]])</f>
        <v>1</v>
      </c>
      <c r="S1367" s="69" t="s">
        <v>9</v>
      </c>
      <c r="T1367" s="70">
        <f>VLOOKUP(Table1[[#This Row],[Policy Year]],exposure_table,3,FALSE)</f>
        <v>870.52680000000009</v>
      </c>
      <c r="U1367" s="17">
        <f>IF(MONTH(Table1[[#This Row],[Reporting date]])&lt;Policy_Inception_Month,YEAR(Table1[[#This Row],[Reporting date]])-1,YEAR(Table1[[#This Row],[Reporting date]]))</f>
        <v>2011</v>
      </c>
      <c r="V1367" s="17">
        <f>Table1[[#This Row],[Reporting year]]-Table1[[#This Row],[Policy Year]]</f>
        <v>0</v>
      </c>
      <c r="W1367" s="17">
        <f>INT(Table1[[#This Row],[Reporting date]])-INT(Table1[[#This Row],[Loss date]])</f>
        <v>1</v>
      </c>
      <c r="X1367" s="17">
        <f>INT((YEAR(Table1[[#This Row],[Loss date]])*12+MONTH(Table1[[#This Row],[Loss date]])-Earliest_Month)/4)</f>
        <v>20</v>
      </c>
      <c r="Y1367" s="17">
        <f>INT((YEAR(Table1[[#This Row],[Reporting date]])*12+MONTH(Table1[[#This Row],[Reporting date]])-Earliest_Month)/4)</f>
        <v>20</v>
      </c>
      <c r="Z1367" s="17">
        <f>Table1[[#This Row],[Reporting third]]-Table1[[#This Row],[Policy third]]</f>
        <v>0</v>
      </c>
      <c r="AA1367" s="71">
        <f>IF(Table1[[#This Row],[Overall amount]]=0,"N/A",Table1[[#This Row],[Outstanding]]/Table1[[#This Row],[Overall amount]])</f>
        <v>0</v>
      </c>
      <c r="AB1367" s="17">
        <f>IF(MONTH(Table1[[#This Row],[Loss date]])&lt;Pol_Inc_Month_Shifted,YEAR(Table1[[#This Row],[Loss date]])-1,YEAR(Table1[[#This Row],[Loss date]]))</f>
        <v>2011</v>
      </c>
      <c r="AC1367" s="17">
        <f>IF(MONTH(Table1[[#This Row],[Reporting date]])&lt;Pol_Inc_Month_Shifted,YEAR(Table1[[#This Row],[Reporting date]])-1,YEAR(Table1[[#This Row],[Reporting date]]))</f>
        <v>2011</v>
      </c>
      <c r="AD1367" s="17">
        <f>Table1[[#This Row],[Reporting year (shifted)]]-Table1[[#This Row],[Policy Year (shifted)]]</f>
        <v>0</v>
      </c>
    </row>
    <row r="1368" spans="1:30" ht="13.9">
      <c r="A1368" s="8" t="s">
        <v>3138</v>
      </c>
      <c r="B1368" s="8" t="s">
        <v>1420</v>
      </c>
      <c r="C1368" s="8" t="s">
        <v>118</v>
      </c>
      <c r="D1368" s="9">
        <v>40544</v>
      </c>
      <c r="E1368" s="9">
        <v>40893</v>
      </c>
      <c r="F1368" s="17">
        <f>IF(MONTH(Table1[[#This Row],[Loss date]])&lt;Policy_Inception_Month,YEAR(Table1[[#This Row],[Loss date]])-1,YEAR(Table1[[#This Row],[Loss date]]))</f>
        <v>2010</v>
      </c>
      <c r="G1368" s="10" t="s">
        <v>119</v>
      </c>
      <c r="H1368" s="10" t="s">
        <v>2</v>
      </c>
      <c r="I1368" s="11">
        <v>82.814372485558138</v>
      </c>
      <c r="J1368" s="11">
        <v>0</v>
      </c>
      <c r="K1368" s="11">
        <v>82.814372485558138</v>
      </c>
      <c r="L1368" s="12">
        <v>142.78340083716921</v>
      </c>
      <c r="M1368" s="12">
        <v>0</v>
      </c>
      <c r="N1368" s="12">
        <v>225.59777332272733</v>
      </c>
      <c r="O1368" s="70">
        <f>IF(Table1[[#This Row],[Overall amount]]=0,0,1)</f>
        <v>1</v>
      </c>
      <c r="P1368" s="70">
        <f>Table1[[#This Row],[Overall amount]]*Exchange_Rate</f>
        <v>225.59777332272733</v>
      </c>
      <c r="Q1368" s="70">
        <f>Table1[[#This Row],[Overall (destination currency)]]*(1+Claims_Inflation)^((Revalue_at_date-Table1[[#This Row],[Loss date]])/365.25)</f>
        <v>284.39999999999998</v>
      </c>
      <c r="R1368" s="70">
        <f>INT(Table1[[#This Row],[Reporting date]])-INT(Table1[[#This Row],[Loss date]])</f>
        <v>349</v>
      </c>
      <c r="S1368" s="69" t="s">
        <v>9</v>
      </c>
      <c r="T1368" s="70">
        <f>VLOOKUP(Table1[[#This Row],[Policy Year]],exposure_table,3,FALSE)</f>
        <v>837.11513600000012</v>
      </c>
      <c r="U1368" s="17">
        <f>IF(MONTH(Table1[[#This Row],[Reporting date]])&lt;Policy_Inception_Month,YEAR(Table1[[#This Row],[Reporting date]])-1,YEAR(Table1[[#This Row],[Reporting date]]))</f>
        <v>2011</v>
      </c>
      <c r="V1368" s="17">
        <f>Table1[[#This Row],[Reporting year]]-Table1[[#This Row],[Policy Year]]</f>
        <v>1</v>
      </c>
      <c r="W1368" s="17">
        <f>INT(Table1[[#This Row],[Reporting date]])-INT(Table1[[#This Row],[Loss date]])</f>
        <v>349</v>
      </c>
      <c r="X1368" s="17">
        <f>INT((YEAR(Table1[[#This Row],[Loss date]])*12+MONTH(Table1[[#This Row],[Loss date]])-Earliest_Month)/4)</f>
        <v>17</v>
      </c>
      <c r="Y1368" s="17">
        <f>INT((YEAR(Table1[[#This Row],[Reporting date]])*12+MONTH(Table1[[#This Row],[Reporting date]])-Earliest_Month)/4)</f>
        <v>20</v>
      </c>
      <c r="Z1368" s="17">
        <f>Table1[[#This Row],[Reporting third]]-Table1[[#This Row],[Policy third]]</f>
        <v>3</v>
      </c>
      <c r="AA1368" s="71">
        <f>IF(Table1[[#This Row],[Overall amount]]=0,"N/A",Table1[[#This Row],[Outstanding]]/Table1[[#This Row],[Overall amount]])</f>
        <v>0</v>
      </c>
      <c r="AB1368" s="17">
        <f>IF(MONTH(Table1[[#This Row],[Loss date]])&lt;Pol_Inc_Month_Shifted,YEAR(Table1[[#This Row],[Loss date]])-1,YEAR(Table1[[#This Row],[Loss date]]))</f>
        <v>2010</v>
      </c>
      <c r="AC1368" s="17">
        <f>IF(MONTH(Table1[[#This Row],[Reporting date]])&lt;Pol_Inc_Month_Shifted,YEAR(Table1[[#This Row],[Reporting date]])-1,YEAR(Table1[[#This Row],[Reporting date]]))</f>
        <v>2011</v>
      </c>
      <c r="AD1368" s="17">
        <f>Table1[[#This Row],[Reporting year (shifted)]]-Table1[[#This Row],[Policy Year (shifted)]]</f>
        <v>1</v>
      </c>
    </row>
    <row r="1369" spans="1:30" ht="13.9">
      <c r="A1369" s="8" t="s">
        <v>3139</v>
      </c>
      <c r="B1369" s="8" t="s">
        <v>1421</v>
      </c>
      <c r="C1369" s="8" t="s">
        <v>118</v>
      </c>
      <c r="D1369" s="9">
        <v>41079</v>
      </c>
      <c r="E1369" s="9">
        <v>41083</v>
      </c>
      <c r="F1369" s="17">
        <f>IF(MONTH(Table1[[#This Row],[Loss date]])&lt;Policy_Inception_Month,YEAR(Table1[[#This Row],[Loss date]])-1,YEAR(Table1[[#This Row],[Loss date]]))</f>
        <v>2012</v>
      </c>
      <c r="G1369" s="10" t="s">
        <v>119</v>
      </c>
      <c r="H1369" s="10" t="s">
        <v>2</v>
      </c>
      <c r="I1369" s="11">
        <v>103.77423354925683</v>
      </c>
      <c r="J1369" s="11">
        <v>0</v>
      </c>
      <c r="K1369" s="11">
        <v>103.77423354925683</v>
      </c>
      <c r="L1369" s="12">
        <v>0</v>
      </c>
      <c r="M1369" s="12">
        <v>0</v>
      </c>
      <c r="N1369" s="12">
        <v>103.77423354925683</v>
      </c>
      <c r="O1369" s="70">
        <f>IF(Table1[[#This Row],[Overall amount]]=0,0,1)</f>
        <v>1</v>
      </c>
      <c r="P1369" s="70">
        <f>Table1[[#This Row],[Overall amount]]*Exchange_Rate</f>
        <v>103.77423354925683</v>
      </c>
      <c r="Q1369" s="70">
        <f>Table1[[#This Row],[Overall (destination currency)]]*(1+Claims_Inflation)^((Revalue_at_date-Table1[[#This Row],[Loss date]])/365.25)</f>
        <v>121.80000000000001</v>
      </c>
      <c r="R1369" s="70">
        <f>INT(Table1[[#This Row],[Reporting date]])-INT(Table1[[#This Row],[Loss date]])</f>
        <v>4</v>
      </c>
      <c r="S1369" s="69" t="s">
        <v>9</v>
      </c>
      <c r="T1369" s="70">
        <f>VLOOKUP(Table1[[#This Row],[Policy Year]],exposure_table,3,FALSE)</f>
        <v>1057.54</v>
      </c>
      <c r="U1369" s="17">
        <f>IF(MONTH(Table1[[#This Row],[Reporting date]])&lt;Policy_Inception_Month,YEAR(Table1[[#This Row],[Reporting date]])-1,YEAR(Table1[[#This Row],[Reporting date]]))</f>
        <v>2012</v>
      </c>
      <c r="V1369" s="17">
        <f>Table1[[#This Row],[Reporting year]]-Table1[[#This Row],[Policy Year]]</f>
        <v>0</v>
      </c>
      <c r="W1369" s="17">
        <f>INT(Table1[[#This Row],[Reporting date]])-INT(Table1[[#This Row],[Loss date]])</f>
        <v>4</v>
      </c>
      <c r="X1369" s="17">
        <f>INT((YEAR(Table1[[#This Row],[Loss date]])*12+MONTH(Table1[[#This Row],[Loss date]])-Earliest_Month)/4)</f>
        <v>21</v>
      </c>
      <c r="Y1369" s="17">
        <f>INT((YEAR(Table1[[#This Row],[Reporting date]])*12+MONTH(Table1[[#This Row],[Reporting date]])-Earliest_Month)/4)</f>
        <v>21</v>
      </c>
      <c r="Z1369" s="17">
        <f>Table1[[#This Row],[Reporting third]]-Table1[[#This Row],[Policy third]]</f>
        <v>0</v>
      </c>
      <c r="AA1369" s="71">
        <f>IF(Table1[[#This Row],[Overall amount]]=0,"N/A",Table1[[#This Row],[Outstanding]]/Table1[[#This Row],[Overall amount]])</f>
        <v>0</v>
      </c>
      <c r="AB1369" s="17">
        <f>IF(MONTH(Table1[[#This Row],[Loss date]])&lt;Pol_Inc_Month_Shifted,YEAR(Table1[[#This Row],[Loss date]])-1,YEAR(Table1[[#This Row],[Loss date]]))</f>
        <v>2011</v>
      </c>
      <c r="AC1369" s="17">
        <f>IF(MONTH(Table1[[#This Row],[Reporting date]])&lt;Pol_Inc_Month_Shifted,YEAR(Table1[[#This Row],[Reporting date]])-1,YEAR(Table1[[#This Row],[Reporting date]]))</f>
        <v>2011</v>
      </c>
      <c r="AD1369" s="17">
        <f>Table1[[#This Row],[Reporting year (shifted)]]-Table1[[#This Row],[Policy Year (shifted)]]</f>
        <v>0</v>
      </c>
    </row>
    <row r="1370" spans="1:30" ht="13.9">
      <c r="A1370" s="8" t="s">
        <v>3140</v>
      </c>
      <c r="B1370" s="8" t="s">
        <v>1422</v>
      </c>
      <c r="C1370" s="8" t="s">
        <v>118</v>
      </c>
      <c r="D1370" s="9">
        <v>40906</v>
      </c>
      <c r="E1370" s="9">
        <v>40966</v>
      </c>
      <c r="F1370" s="17">
        <f>IF(MONTH(Table1[[#This Row],[Loss date]])&lt;Policy_Inception_Month,YEAR(Table1[[#This Row],[Loss date]])-1,YEAR(Table1[[#This Row],[Loss date]]))</f>
        <v>2011</v>
      </c>
      <c r="G1370" s="10" t="s">
        <v>119</v>
      </c>
      <c r="H1370" s="10" t="s">
        <v>2</v>
      </c>
      <c r="I1370" s="11">
        <v>9971.8676028898244</v>
      </c>
      <c r="J1370" s="11">
        <v>0</v>
      </c>
      <c r="K1370" s="11">
        <v>9971.8676028898244</v>
      </c>
      <c r="L1370" s="12">
        <v>0</v>
      </c>
      <c r="M1370" s="12">
        <v>0</v>
      </c>
      <c r="N1370" s="12">
        <v>9971.8676028898244</v>
      </c>
      <c r="O1370" s="70">
        <f>IF(Table1[[#This Row],[Overall amount]]=0,0,1)</f>
        <v>1</v>
      </c>
      <c r="P1370" s="70">
        <f>Table1[[#This Row],[Overall amount]]*Exchange_Rate</f>
        <v>9971.8676028898244</v>
      </c>
      <c r="Q1370" s="70">
        <f>Table1[[#This Row],[Overall (destination currency)]]*(1+Claims_Inflation)^((Revalue_at_date-Table1[[#This Row],[Loss date]])/365.25)</f>
        <v>11977.62</v>
      </c>
      <c r="R1370" s="70">
        <f>INT(Table1[[#This Row],[Reporting date]])-INT(Table1[[#This Row],[Loss date]])</f>
        <v>60</v>
      </c>
      <c r="S1370" s="69" t="s">
        <v>9</v>
      </c>
      <c r="T1370" s="70">
        <f>VLOOKUP(Table1[[#This Row],[Policy Year]],exposure_table,3,FALSE)</f>
        <v>870.52680000000009</v>
      </c>
      <c r="U1370" s="17">
        <f>IF(MONTH(Table1[[#This Row],[Reporting date]])&lt;Policy_Inception_Month,YEAR(Table1[[#This Row],[Reporting date]])-1,YEAR(Table1[[#This Row],[Reporting date]]))</f>
        <v>2011</v>
      </c>
      <c r="V1370" s="17">
        <f>Table1[[#This Row],[Reporting year]]-Table1[[#This Row],[Policy Year]]</f>
        <v>0</v>
      </c>
      <c r="W1370" s="17">
        <f>INT(Table1[[#This Row],[Reporting date]])-INT(Table1[[#This Row],[Loss date]])</f>
        <v>60</v>
      </c>
      <c r="X1370" s="17">
        <f>INT((YEAR(Table1[[#This Row],[Loss date]])*12+MONTH(Table1[[#This Row],[Loss date]])-Earliest_Month)/4)</f>
        <v>20</v>
      </c>
      <c r="Y1370" s="17">
        <f>INT((YEAR(Table1[[#This Row],[Reporting date]])*12+MONTH(Table1[[#This Row],[Reporting date]])-Earliest_Month)/4)</f>
        <v>20</v>
      </c>
      <c r="Z1370" s="17">
        <f>Table1[[#This Row],[Reporting third]]-Table1[[#This Row],[Policy third]]</f>
        <v>0</v>
      </c>
      <c r="AA1370" s="71">
        <f>IF(Table1[[#This Row],[Overall amount]]=0,"N/A",Table1[[#This Row],[Outstanding]]/Table1[[#This Row],[Overall amount]])</f>
        <v>0</v>
      </c>
      <c r="AB1370" s="17">
        <f>IF(MONTH(Table1[[#This Row],[Loss date]])&lt;Pol_Inc_Month_Shifted,YEAR(Table1[[#This Row],[Loss date]])-1,YEAR(Table1[[#This Row],[Loss date]]))</f>
        <v>2011</v>
      </c>
      <c r="AC1370" s="17">
        <f>IF(MONTH(Table1[[#This Row],[Reporting date]])&lt;Pol_Inc_Month_Shifted,YEAR(Table1[[#This Row],[Reporting date]])-1,YEAR(Table1[[#This Row],[Reporting date]]))</f>
        <v>2011</v>
      </c>
      <c r="AD1370" s="17">
        <f>Table1[[#This Row],[Reporting year (shifted)]]-Table1[[#This Row],[Policy Year (shifted)]]</f>
        <v>0</v>
      </c>
    </row>
    <row r="1371" spans="1:30" ht="13.9">
      <c r="A1371" s="8" t="s">
        <v>3141</v>
      </c>
      <c r="B1371" s="8" t="s">
        <v>1423</v>
      </c>
      <c r="C1371" s="8" t="s">
        <v>118</v>
      </c>
      <c r="D1371" s="9">
        <v>40998</v>
      </c>
      <c r="E1371" s="9">
        <v>41001</v>
      </c>
      <c r="F1371" s="17">
        <f>IF(MONTH(Table1[[#This Row],[Loss date]])&lt;Policy_Inception_Month,YEAR(Table1[[#This Row],[Loss date]])-1,YEAR(Table1[[#This Row],[Loss date]]))</f>
        <v>2011</v>
      </c>
      <c r="G1371" s="10" t="s">
        <v>119</v>
      </c>
      <c r="H1371" s="10" t="s">
        <v>2</v>
      </c>
      <c r="I1371" s="11">
        <v>1833.6744431547716</v>
      </c>
      <c r="J1371" s="11">
        <v>0</v>
      </c>
      <c r="K1371" s="11">
        <v>1833.6744431547716</v>
      </c>
      <c r="L1371" s="12">
        <v>0</v>
      </c>
      <c r="M1371" s="12">
        <v>0</v>
      </c>
      <c r="N1371" s="12">
        <v>1833.6744431547716</v>
      </c>
      <c r="O1371" s="70">
        <f>IF(Table1[[#This Row],[Overall amount]]=0,0,1)</f>
        <v>1</v>
      </c>
      <c r="P1371" s="70">
        <f>Table1[[#This Row],[Overall amount]]*Exchange_Rate</f>
        <v>1833.6744431547716</v>
      </c>
      <c r="Q1371" s="70">
        <f>Table1[[#This Row],[Overall (destination currency)]]*(1+Claims_Inflation)^((Revalue_at_date-Table1[[#This Row],[Loss date]])/365.25)</f>
        <v>2175.6000000000004</v>
      </c>
      <c r="R1371" s="70">
        <f>INT(Table1[[#This Row],[Reporting date]])-INT(Table1[[#This Row],[Loss date]])</f>
        <v>3</v>
      </c>
      <c r="S1371" s="69" t="s">
        <v>9</v>
      </c>
      <c r="T1371" s="70">
        <f>VLOOKUP(Table1[[#This Row],[Policy Year]],exposure_table,3,FALSE)</f>
        <v>870.52680000000009</v>
      </c>
      <c r="U1371" s="17">
        <f>IF(MONTH(Table1[[#This Row],[Reporting date]])&lt;Policy_Inception_Month,YEAR(Table1[[#This Row],[Reporting date]])-1,YEAR(Table1[[#This Row],[Reporting date]]))</f>
        <v>2012</v>
      </c>
      <c r="V1371" s="17">
        <f>Table1[[#This Row],[Reporting year]]-Table1[[#This Row],[Policy Year]]</f>
        <v>1</v>
      </c>
      <c r="W1371" s="17">
        <f>INT(Table1[[#This Row],[Reporting date]])-INT(Table1[[#This Row],[Loss date]])</f>
        <v>3</v>
      </c>
      <c r="X1371" s="17">
        <f>INT((YEAR(Table1[[#This Row],[Loss date]])*12+MONTH(Table1[[#This Row],[Loss date]])-Earliest_Month)/4)</f>
        <v>20</v>
      </c>
      <c r="Y1371" s="17">
        <f>INT((YEAR(Table1[[#This Row],[Reporting date]])*12+MONTH(Table1[[#This Row],[Reporting date]])-Earliest_Month)/4)</f>
        <v>21</v>
      </c>
      <c r="Z1371" s="17">
        <f>Table1[[#This Row],[Reporting third]]-Table1[[#This Row],[Policy third]]</f>
        <v>1</v>
      </c>
      <c r="AA1371" s="71">
        <f>IF(Table1[[#This Row],[Overall amount]]=0,"N/A",Table1[[#This Row],[Outstanding]]/Table1[[#This Row],[Overall amount]])</f>
        <v>0</v>
      </c>
      <c r="AB1371" s="17">
        <f>IF(MONTH(Table1[[#This Row],[Loss date]])&lt;Pol_Inc_Month_Shifted,YEAR(Table1[[#This Row],[Loss date]])-1,YEAR(Table1[[#This Row],[Loss date]]))</f>
        <v>2011</v>
      </c>
      <c r="AC1371" s="17">
        <f>IF(MONTH(Table1[[#This Row],[Reporting date]])&lt;Pol_Inc_Month_Shifted,YEAR(Table1[[#This Row],[Reporting date]])-1,YEAR(Table1[[#This Row],[Reporting date]]))</f>
        <v>2011</v>
      </c>
      <c r="AD1371" s="17">
        <f>Table1[[#This Row],[Reporting year (shifted)]]-Table1[[#This Row],[Policy Year (shifted)]]</f>
        <v>0</v>
      </c>
    </row>
    <row r="1372" spans="1:30" ht="13.9">
      <c r="A1372" s="8" t="s">
        <v>3142</v>
      </c>
      <c r="B1372" s="8" t="s">
        <v>1424</v>
      </c>
      <c r="C1372" s="8" t="s">
        <v>118</v>
      </c>
      <c r="D1372" s="9">
        <v>40940</v>
      </c>
      <c r="E1372" s="9">
        <v>41020</v>
      </c>
      <c r="F1372" s="17">
        <f>IF(MONTH(Table1[[#This Row],[Loss date]])&lt;Policy_Inception_Month,YEAR(Table1[[#This Row],[Loss date]])-1,YEAR(Table1[[#This Row],[Loss date]]))</f>
        <v>2011</v>
      </c>
      <c r="G1372" s="10" t="s">
        <v>144</v>
      </c>
      <c r="H1372" s="10" t="s">
        <v>2</v>
      </c>
      <c r="I1372" s="11">
        <v>582.08667743894625</v>
      </c>
      <c r="J1372" s="11">
        <v>0</v>
      </c>
      <c r="K1372" s="11">
        <v>582.08667743894625</v>
      </c>
      <c r="L1372" s="12">
        <v>0</v>
      </c>
      <c r="M1372" s="12">
        <v>0</v>
      </c>
      <c r="N1372" s="12">
        <v>582.08667743894625</v>
      </c>
      <c r="O1372" s="70">
        <f>IF(Table1[[#This Row],[Overall amount]]=0,0,1)</f>
        <v>1</v>
      </c>
      <c r="P1372" s="70">
        <f>Table1[[#This Row],[Overall amount]]*Exchange_Rate</f>
        <v>582.08667743894625</v>
      </c>
      <c r="Q1372" s="70">
        <f>Table1[[#This Row],[Overall (destination currency)]]*(1+Claims_Inflation)^((Revalue_at_date-Table1[[#This Row],[Loss date]])/365.25)</f>
        <v>696.00000000000011</v>
      </c>
      <c r="R1372" s="70">
        <f>INT(Table1[[#This Row],[Reporting date]])-INT(Table1[[#This Row],[Loss date]])</f>
        <v>80</v>
      </c>
      <c r="S1372" s="69" t="s">
        <v>9</v>
      </c>
      <c r="T1372" s="70">
        <f>VLOOKUP(Table1[[#This Row],[Policy Year]],exposure_table,3,FALSE)</f>
        <v>870.52680000000009</v>
      </c>
      <c r="U1372" s="17">
        <f>IF(MONTH(Table1[[#This Row],[Reporting date]])&lt;Policy_Inception_Month,YEAR(Table1[[#This Row],[Reporting date]])-1,YEAR(Table1[[#This Row],[Reporting date]]))</f>
        <v>2012</v>
      </c>
      <c r="V1372" s="17">
        <f>Table1[[#This Row],[Reporting year]]-Table1[[#This Row],[Policy Year]]</f>
        <v>1</v>
      </c>
      <c r="W1372" s="17">
        <f>INT(Table1[[#This Row],[Reporting date]])-INT(Table1[[#This Row],[Loss date]])</f>
        <v>80</v>
      </c>
      <c r="X1372" s="17">
        <f>INT((YEAR(Table1[[#This Row],[Loss date]])*12+MONTH(Table1[[#This Row],[Loss date]])-Earliest_Month)/4)</f>
        <v>20</v>
      </c>
      <c r="Y1372" s="17">
        <f>INT((YEAR(Table1[[#This Row],[Reporting date]])*12+MONTH(Table1[[#This Row],[Reporting date]])-Earliest_Month)/4)</f>
        <v>21</v>
      </c>
      <c r="Z1372" s="17">
        <f>Table1[[#This Row],[Reporting third]]-Table1[[#This Row],[Policy third]]</f>
        <v>1</v>
      </c>
      <c r="AA1372" s="71">
        <f>IF(Table1[[#This Row],[Overall amount]]=0,"N/A",Table1[[#This Row],[Outstanding]]/Table1[[#This Row],[Overall amount]])</f>
        <v>0</v>
      </c>
      <c r="AB1372" s="17">
        <f>IF(MONTH(Table1[[#This Row],[Loss date]])&lt;Pol_Inc_Month_Shifted,YEAR(Table1[[#This Row],[Loss date]])-1,YEAR(Table1[[#This Row],[Loss date]]))</f>
        <v>2011</v>
      </c>
      <c r="AC1372" s="17">
        <f>IF(MONTH(Table1[[#This Row],[Reporting date]])&lt;Pol_Inc_Month_Shifted,YEAR(Table1[[#This Row],[Reporting date]])-1,YEAR(Table1[[#This Row],[Reporting date]]))</f>
        <v>2011</v>
      </c>
      <c r="AD1372" s="17">
        <f>Table1[[#This Row],[Reporting year (shifted)]]-Table1[[#This Row],[Policy Year (shifted)]]</f>
        <v>0</v>
      </c>
    </row>
    <row r="1373" spans="1:30" ht="13.9">
      <c r="A1373" s="8" t="s">
        <v>3143</v>
      </c>
      <c r="B1373" s="8" t="s">
        <v>1425</v>
      </c>
      <c r="C1373" s="8" t="s">
        <v>118</v>
      </c>
      <c r="D1373" s="9">
        <v>40391</v>
      </c>
      <c r="E1373" s="9">
        <v>41006</v>
      </c>
      <c r="F1373" s="17">
        <f>IF(MONTH(Table1[[#This Row],[Loss date]])&lt;Policy_Inception_Month,YEAR(Table1[[#This Row],[Loss date]])-1,YEAR(Table1[[#This Row],[Loss date]]))</f>
        <v>2010</v>
      </c>
      <c r="G1373" s="10" t="s">
        <v>119</v>
      </c>
      <c r="H1373" s="10" t="s">
        <v>2</v>
      </c>
      <c r="I1373" s="11">
        <v>486.83406074329201</v>
      </c>
      <c r="J1373" s="11">
        <v>0</v>
      </c>
      <c r="K1373" s="11">
        <v>486.83406074329201</v>
      </c>
      <c r="L1373" s="12">
        <v>0</v>
      </c>
      <c r="M1373" s="12">
        <v>26.94934294873212</v>
      </c>
      <c r="N1373" s="12">
        <v>459.88471779455989</v>
      </c>
      <c r="O1373" s="70">
        <f>IF(Table1[[#This Row],[Overall amount]]=0,0,1)</f>
        <v>1</v>
      </c>
      <c r="P1373" s="70">
        <f>Table1[[#This Row],[Overall amount]]*Exchange_Rate</f>
        <v>459.88471779455989</v>
      </c>
      <c r="Q1373" s="70">
        <f>Table1[[#This Row],[Overall (destination currency)]]*(1+Claims_Inflation)^((Revalue_at_date-Table1[[#This Row],[Loss date]])/365.25)</f>
        <v>591.72479999999985</v>
      </c>
      <c r="R1373" s="70">
        <f>INT(Table1[[#This Row],[Reporting date]])-INT(Table1[[#This Row],[Loss date]])</f>
        <v>615</v>
      </c>
      <c r="S1373" s="69" t="s">
        <v>9</v>
      </c>
      <c r="T1373" s="70">
        <f>VLOOKUP(Table1[[#This Row],[Policy Year]],exposure_table,3,FALSE)</f>
        <v>837.11513600000012</v>
      </c>
      <c r="U1373" s="17">
        <f>IF(MONTH(Table1[[#This Row],[Reporting date]])&lt;Policy_Inception_Month,YEAR(Table1[[#This Row],[Reporting date]])-1,YEAR(Table1[[#This Row],[Reporting date]]))</f>
        <v>2012</v>
      </c>
      <c r="V1373" s="17">
        <f>Table1[[#This Row],[Reporting year]]-Table1[[#This Row],[Policy Year]]</f>
        <v>2</v>
      </c>
      <c r="W1373" s="17">
        <f>INT(Table1[[#This Row],[Reporting date]])-INT(Table1[[#This Row],[Loss date]])</f>
        <v>615</v>
      </c>
      <c r="X1373" s="17">
        <f>INT((YEAR(Table1[[#This Row],[Loss date]])*12+MONTH(Table1[[#This Row],[Loss date]])-Earliest_Month)/4)</f>
        <v>16</v>
      </c>
      <c r="Y1373" s="17">
        <f>INT((YEAR(Table1[[#This Row],[Reporting date]])*12+MONTH(Table1[[#This Row],[Reporting date]])-Earliest_Month)/4)</f>
        <v>21</v>
      </c>
      <c r="Z1373" s="17">
        <f>Table1[[#This Row],[Reporting third]]-Table1[[#This Row],[Policy third]]</f>
        <v>5</v>
      </c>
      <c r="AA1373" s="71">
        <f>IF(Table1[[#This Row],[Overall amount]]=0,"N/A",Table1[[#This Row],[Outstanding]]/Table1[[#This Row],[Overall amount]])</f>
        <v>0</v>
      </c>
      <c r="AB1373" s="17">
        <f>IF(MONTH(Table1[[#This Row],[Loss date]])&lt;Pol_Inc_Month_Shifted,YEAR(Table1[[#This Row],[Loss date]])-1,YEAR(Table1[[#This Row],[Loss date]]))</f>
        <v>2009</v>
      </c>
      <c r="AC1373" s="17">
        <f>IF(MONTH(Table1[[#This Row],[Reporting date]])&lt;Pol_Inc_Month_Shifted,YEAR(Table1[[#This Row],[Reporting date]])-1,YEAR(Table1[[#This Row],[Reporting date]]))</f>
        <v>2011</v>
      </c>
      <c r="AD1373" s="17">
        <f>Table1[[#This Row],[Reporting year (shifted)]]-Table1[[#This Row],[Policy Year (shifted)]]</f>
        <v>2</v>
      </c>
    </row>
    <row r="1374" spans="1:30" ht="13.9">
      <c r="A1374" s="8" t="s">
        <v>3144</v>
      </c>
      <c r="B1374" s="8" t="s">
        <v>1426</v>
      </c>
      <c r="C1374" s="8" t="s">
        <v>118</v>
      </c>
      <c r="D1374" s="9">
        <v>40719</v>
      </c>
      <c r="E1374" s="9">
        <v>41005</v>
      </c>
      <c r="F1374" s="17">
        <f>IF(MONTH(Table1[[#This Row],[Loss date]])&lt;Policy_Inception_Month,YEAR(Table1[[#This Row],[Loss date]])-1,YEAR(Table1[[#This Row],[Loss date]]))</f>
        <v>2011</v>
      </c>
      <c r="G1374" s="10" t="s">
        <v>121</v>
      </c>
      <c r="H1374" s="10" t="s">
        <v>2</v>
      </c>
      <c r="I1374" s="11">
        <v>240.19042231066084</v>
      </c>
      <c r="J1374" s="11">
        <v>0</v>
      </c>
      <c r="K1374" s="11">
        <v>240.19042231066084</v>
      </c>
      <c r="L1374" s="12">
        <v>0</v>
      </c>
      <c r="M1374" s="12">
        <v>0</v>
      </c>
      <c r="N1374" s="12">
        <v>240.19042231066084</v>
      </c>
      <c r="O1374" s="70">
        <f>IF(Table1[[#This Row],[Overall amount]]=0,0,1)</f>
        <v>1</v>
      </c>
      <c r="P1374" s="70">
        <f>Table1[[#This Row],[Overall amount]]*Exchange_Rate</f>
        <v>240.19042231066084</v>
      </c>
      <c r="Q1374" s="70">
        <f>Table1[[#This Row],[Overall (destination currency)]]*(1+Claims_Inflation)^((Revalue_at_date-Table1[[#This Row],[Loss date]])/365.25)</f>
        <v>295.8</v>
      </c>
      <c r="R1374" s="70">
        <f>INT(Table1[[#This Row],[Reporting date]])-INT(Table1[[#This Row],[Loss date]])</f>
        <v>286</v>
      </c>
      <c r="S1374" s="69" t="s">
        <v>9</v>
      </c>
      <c r="T1374" s="70">
        <f>VLOOKUP(Table1[[#This Row],[Policy Year]],exposure_table,3,FALSE)</f>
        <v>870.52680000000009</v>
      </c>
      <c r="U1374" s="17">
        <f>IF(MONTH(Table1[[#This Row],[Reporting date]])&lt;Policy_Inception_Month,YEAR(Table1[[#This Row],[Reporting date]])-1,YEAR(Table1[[#This Row],[Reporting date]]))</f>
        <v>2012</v>
      </c>
      <c r="V1374" s="17">
        <f>Table1[[#This Row],[Reporting year]]-Table1[[#This Row],[Policy Year]]</f>
        <v>1</v>
      </c>
      <c r="W1374" s="17">
        <f>INT(Table1[[#This Row],[Reporting date]])-INT(Table1[[#This Row],[Loss date]])</f>
        <v>286</v>
      </c>
      <c r="X1374" s="17">
        <f>INT((YEAR(Table1[[#This Row],[Loss date]])*12+MONTH(Table1[[#This Row],[Loss date]])-Earliest_Month)/4)</f>
        <v>18</v>
      </c>
      <c r="Y1374" s="17">
        <f>INT((YEAR(Table1[[#This Row],[Reporting date]])*12+MONTH(Table1[[#This Row],[Reporting date]])-Earliest_Month)/4)</f>
        <v>21</v>
      </c>
      <c r="Z1374" s="17">
        <f>Table1[[#This Row],[Reporting third]]-Table1[[#This Row],[Policy third]]</f>
        <v>3</v>
      </c>
      <c r="AA1374" s="71">
        <f>IF(Table1[[#This Row],[Overall amount]]=0,"N/A",Table1[[#This Row],[Outstanding]]/Table1[[#This Row],[Overall amount]])</f>
        <v>0</v>
      </c>
      <c r="AB1374" s="17">
        <f>IF(MONTH(Table1[[#This Row],[Loss date]])&lt;Pol_Inc_Month_Shifted,YEAR(Table1[[#This Row],[Loss date]])-1,YEAR(Table1[[#This Row],[Loss date]]))</f>
        <v>2010</v>
      </c>
      <c r="AC1374" s="17">
        <f>IF(MONTH(Table1[[#This Row],[Reporting date]])&lt;Pol_Inc_Month_Shifted,YEAR(Table1[[#This Row],[Reporting date]])-1,YEAR(Table1[[#This Row],[Reporting date]]))</f>
        <v>2011</v>
      </c>
      <c r="AD1374" s="17">
        <f>Table1[[#This Row],[Reporting year (shifted)]]-Table1[[#This Row],[Policy Year (shifted)]]</f>
        <v>1</v>
      </c>
    </row>
    <row r="1375" spans="1:30" ht="13.9">
      <c r="A1375" s="8" t="s">
        <v>3145</v>
      </c>
      <c r="B1375" s="8" t="s">
        <v>1427</v>
      </c>
      <c r="C1375" s="8" t="s">
        <v>118</v>
      </c>
      <c r="D1375" s="9">
        <v>40909</v>
      </c>
      <c r="E1375" s="9">
        <v>41006</v>
      </c>
      <c r="F1375" s="17">
        <f>IF(MONTH(Table1[[#This Row],[Loss date]])&lt;Policy_Inception_Month,YEAR(Table1[[#This Row],[Loss date]])-1,YEAR(Table1[[#This Row],[Loss date]]))</f>
        <v>2011</v>
      </c>
      <c r="G1375" s="10" t="s">
        <v>119</v>
      </c>
      <c r="H1375" s="10" t="s">
        <v>2</v>
      </c>
      <c r="I1375" s="11">
        <v>2255.9794964636535</v>
      </c>
      <c r="J1375" s="11">
        <v>0</v>
      </c>
      <c r="K1375" s="11">
        <v>2255.9794964636535</v>
      </c>
      <c r="L1375" s="12">
        <v>0</v>
      </c>
      <c r="M1375" s="12">
        <v>0</v>
      </c>
      <c r="N1375" s="12">
        <v>2255.9794964636535</v>
      </c>
      <c r="O1375" s="70">
        <f>IF(Table1[[#This Row],[Overall amount]]=0,0,1)</f>
        <v>1</v>
      </c>
      <c r="P1375" s="70">
        <f>Table1[[#This Row],[Overall amount]]*Exchange_Rate</f>
        <v>2255.9794964636535</v>
      </c>
      <c r="Q1375" s="70">
        <f>Table1[[#This Row],[Overall (destination currency)]]*(1+Claims_Inflation)^((Revalue_at_date-Table1[[#This Row],[Loss date]])/365.25)</f>
        <v>2708.6639999999998</v>
      </c>
      <c r="R1375" s="70">
        <f>INT(Table1[[#This Row],[Reporting date]])-INT(Table1[[#This Row],[Loss date]])</f>
        <v>97</v>
      </c>
      <c r="S1375" s="69" t="s">
        <v>9</v>
      </c>
      <c r="T1375" s="70">
        <f>VLOOKUP(Table1[[#This Row],[Policy Year]],exposure_table,3,FALSE)</f>
        <v>870.52680000000009</v>
      </c>
      <c r="U1375" s="17">
        <f>IF(MONTH(Table1[[#This Row],[Reporting date]])&lt;Policy_Inception_Month,YEAR(Table1[[#This Row],[Reporting date]])-1,YEAR(Table1[[#This Row],[Reporting date]]))</f>
        <v>2012</v>
      </c>
      <c r="V1375" s="17">
        <f>Table1[[#This Row],[Reporting year]]-Table1[[#This Row],[Policy Year]]</f>
        <v>1</v>
      </c>
      <c r="W1375" s="17">
        <f>INT(Table1[[#This Row],[Reporting date]])-INT(Table1[[#This Row],[Loss date]])</f>
        <v>97</v>
      </c>
      <c r="X1375" s="17">
        <f>INT((YEAR(Table1[[#This Row],[Loss date]])*12+MONTH(Table1[[#This Row],[Loss date]])-Earliest_Month)/4)</f>
        <v>20</v>
      </c>
      <c r="Y1375" s="17">
        <f>INT((YEAR(Table1[[#This Row],[Reporting date]])*12+MONTH(Table1[[#This Row],[Reporting date]])-Earliest_Month)/4)</f>
        <v>21</v>
      </c>
      <c r="Z1375" s="17">
        <f>Table1[[#This Row],[Reporting third]]-Table1[[#This Row],[Policy third]]</f>
        <v>1</v>
      </c>
      <c r="AA1375" s="71">
        <f>IF(Table1[[#This Row],[Overall amount]]=0,"N/A",Table1[[#This Row],[Outstanding]]/Table1[[#This Row],[Overall amount]])</f>
        <v>0</v>
      </c>
      <c r="AB1375" s="17">
        <f>IF(MONTH(Table1[[#This Row],[Loss date]])&lt;Pol_Inc_Month_Shifted,YEAR(Table1[[#This Row],[Loss date]])-1,YEAR(Table1[[#This Row],[Loss date]]))</f>
        <v>2011</v>
      </c>
      <c r="AC1375" s="17">
        <f>IF(MONTH(Table1[[#This Row],[Reporting date]])&lt;Pol_Inc_Month_Shifted,YEAR(Table1[[#This Row],[Reporting date]])-1,YEAR(Table1[[#This Row],[Reporting date]]))</f>
        <v>2011</v>
      </c>
      <c r="AD1375" s="17">
        <f>Table1[[#This Row],[Reporting year (shifted)]]-Table1[[#This Row],[Policy Year (shifted)]]</f>
        <v>0</v>
      </c>
    </row>
    <row r="1376" spans="1:30" ht="13.9">
      <c r="A1376" s="8" t="s">
        <v>3146</v>
      </c>
      <c r="B1376" s="8" t="s">
        <v>1428</v>
      </c>
      <c r="C1376" s="8" t="s">
        <v>118</v>
      </c>
      <c r="D1376" s="9">
        <v>40761</v>
      </c>
      <c r="E1376" s="9">
        <v>40910</v>
      </c>
      <c r="F1376" s="17">
        <f>IF(MONTH(Table1[[#This Row],[Loss date]])&lt;Policy_Inception_Month,YEAR(Table1[[#This Row],[Loss date]])-1,YEAR(Table1[[#This Row],[Loss date]]))</f>
        <v>2011</v>
      </c>
      <c r="G1376" s="10" t="s">
        <v>119</v>
      </c>
      <c r="H1376" s="10" t="s">
        <v>2</v>
      </c>
      <c r="I1376" s="11">
        <v>824.08367285750921</v>
      </c>
      <c r="J1376" s="11">
        <v>0</v>
      </c>
      <c r="K1376" s="11">
        <v>824.08367285750921</v>
      </c>
      <c r="L1376" s="12">
        <v>0</v>
      </c>
      <c r="M1376" s="12">
        <v>0</v>
      </c>
      <c r="N1376" s="12">
        <v>824.08367285750921</v>
      </c>
      <c r="O1376" s="70">
        <f>IF(Table1[[#This Row],[Overall amount]]=0,0,1)</f>
        <v>1</v>
      </c>
      <c r="P1376" s="70">
        <f>Table1[[#This Row],[Overall amount]]*Exchange_Rate</f>
        <v>824.08367285750921</v>
      </c>
      <c r="Q1376" s="70">
        <f>Table1[[#This Row],[Overall (destination currency)]]*(1+Claims_Inflation)^((Revalue_at_date-Table1[[#This Row],[Loss date]])/365.25)</f>
        <v>1009.1999999999997</v>
      </c>
      <c r="R1376" s="70">
        <f>INT(Table1[[#This Row],[Reporting date]])-INT(Table1[[#This Row],[Loss date]])</f>
        <v>149</v>
      </c>
      <c r="S1376" s="69" t="s">
        <v>9</v>
      </c>
      <c r="T1376" s="70">
        <f>VLOOKUP(Table1[[#This Row],[Policy Year]],exposure_table,3,FALSE)</f>
        <v>870.52680000000009</v>
      </c>
      <c r="U1376" s="17">
        <f>IF(MONTH(Table1[[#This Row],[Reporting date]])&lt;Policy_Inception_Month,YEAR(Table1[[#This Row],[Reporting date]])-1,YEAR(Table1[[#This Row],[Reporting date]]))</f>
        <v>2011</v>
      </c>
      <c r="V1376" s="17">
        <f>Table1[[#This Row],[Reporting year]]-Table1[[#This Row],[Policy Year]]</f>
        <v>0</v>
      </c>
      <c r="W1376" s="17">
        <f>INT(Table1[[#This Row],[Reporting date]])-INT(Table1[[#This Row],[Loss date]])</f>
        <v>149</v>
      </c>
      <c r="X1376" s="17">
        <f>INT((YEAR(Table1[[#This Row],[Loss date]])*12+MONTH(Table1[[#This Row],[Loss date]])-Earliest_Month)/4)</f>
        <v>19</v>
      </c>
      <c r="Y1376" s="17">
        <f>INT((YEAR(Table1[[#This Row],[Reporting date]])*12+MONTH(Table1[[#This Row],[Reporting date]])-Earliest_Month)/4)</f>
        <v>20</v>
      </c>
      <c r="Z1376" s="17">
        <f>Table1[[#This Row],[Reporting third]]-Table1[[#This Row],[Policy third]]</f>
        <v>1</v>
      </c>
      <c r="AA1376" s="71">
        <f>IF(Table1[[#This Row],[Overall amount]]=0,"N/A",Table1[[#This Row],[Outstanding]]/Table1[[#This Row],[Overall amount]])</f>
        <v>0</v>
      </c>
      <c r="AB1376" s="17">
        <f>IF(MONTH(Table1[[#This Row],[Loss date]])&lt;Pol_Inc_Month_Shifted,YEAR(Table1[[#This Row],[Loss date]])-1,YEAR(Table1[[#This Row],[Loss date]]))</f>
        <v>2010</v>
      </c>
      <c r="AC1376" s="17">
        <f>IF(MONTH(Table1[[#This Row],[Reporting date]])&lt;Pol_Inc_Month_Shifted,YEAR(Table1[[#This Row],[Reporting date]])-1,YEAR(Table1[[#This Row],[Reporting date]]))</f>
        <v>2011</v>
      </c>
      <c r="AD1376" s="17">
        <f>Table1[[#This Row],[Reporting year (shifted)]]-Table1[[#This Row],[Policy Year (shifted)]]</f>
        <v>1</v>
      </c>
    </row>
    <row r="1377" spans="1:30" ht="13.9">
      <c r="A1377" s="8" t="s">
        <v>3147</v>
      </c>
      <c r="B1377" s="8" t="s">
        <v>1429</v>
      </c>
      <c r="C1377" s="8" t="s">
        <v>118</v>
      </c>
      <c r="D1377" s="9">
        <v>40629</v>
      </c>
      <c r="E1377" s="9">
        <v>40858</v>
      </c>
      <c r="F1377" s="17">
        <f>IF(MONTH(Table1[[#This Row],[Loss date]])&lt;Policy_Inception_Month,YEAR(Table1[[#This Row],[Loss date]])-1,YEAR(Table1[[#This Row],[Loss date]]))</f>
        <v>2010</v>
      </c>
      <c r="G1377" s="10" t="s">
        <v>129</v>
      </c>
      <c r="H1377" s="10" t="s">
        <v>2</v>
      </c>
      <c r="I1377" s="11">
        <v>684.04025761356138</v>
      </c>
      <c r="J1377" s="11">
        <v>0</v>
      </c>
      <c r="K1377" s="11">
        <v>684.04025761356138</v>
      </c>
      <c r="L1377" s="12">
        <v>0</v>
      </c>
      <c r="M1377" s="12">
        <v>0</v>
      </c>
      <c r="N1377" s="12">
        <v>684.04025761356138</v>
      </c>
      <c r="O1377" s="70">
        <f>IF(Table1[[#This Row],[Overall amount]]=0,0,1)</f>
        <v>1</v>
      </c>
      <c r="P1377" s="70">
        <f>Table1[[#This Row],[Overall amount]]*Exchange_Rate</f>
        <v>684.04025761356138</v>
      </c>
      <c r="Q1377" s="70">
        <f>Table1[[#This Row],[Overall (destination currency)]]*(1+Claims_Inflation)^((Revalue_at_date-Table1[[#This Row],[Loss date]])/365.25)</f>
        <v>852.6</v>
      </c>
      <c r="R1377" s="70">
        <f>INT(Table1[[#This Row],[Reporting date]])-INT(Table1[[#This Row],[Loss date]])</f>
        <v>229</v>
      </c>
      <c r="S1377" s="69" t="s">
        <v>9</v>
      </c>
      <c r="T1377" s="70">
        <f>VLOOKUP(Table1[[#This Row],[Policy Year]],exposure_table,3,FALSE)</f>
        <v>837.11513600000012</v>
      </c>
      <c r="U1377" s="17">
        <f>IF(MONTH(Table1[[#This Row],[Reporting date]])&lt;Policy_Inception_Month,YEAR(Table1[[#This Row],[Reporting date]])-1,YEAR(Table1[[#This Row],[Reporting date]]))</f>
        <v>2011</v>
      </c>
      <c r="V1377" s="17">
        <f>Table1[[#This Row],[Reporting year]]-Table1[[#This Row],[Policy Year]]</f>
        <v>1</v>
      </c>
      <c r="W1377" s="17">
        <f>INT(Table1[[#This Row],[Reporting date]])-INT(Table1[[#This Row],[Loss date]])</f>
        <v>229</v>
      </c>
      <c r="X1377" s="17">
        <f>INT((YEAR(Table1[[#This Row],[Loss date]])*12+MONTH(Table1[[#This Row],[Loss date]])-Earliest_Month)/4)</f>
        <v>17</v>
      </c>
      <c r="Y1377" s="17">
        <f>INT((YEAR(Table1[[#This Row],[Reporting date]])*12+MONTH(Table1[[#This Row],[Reporting date]])-Earliest_Month)/4)</f>
        <v>19</v>
      </c>
      <c r="Z1377" s="17">
        <f>Table1[[#This Row],[Reporting third]]-Table1[[#This Row],[Policy third]]</f>
        <v>2</v>
      </c>
      <c r="AA1377" s="71">
        <f>IF(Table1[[#This Row],[Overall amount]]=0,"N/A",Table1[[#This Row],[Outstanding]]/Table1[[#This Row],[Overall amount]])</f>
        <v>0</v>
      </c>
      <c r="AB1377" s="17">
        <f>IF(MONTH(Table1[[#This Row],[Loss date]])&lt;Pol_Inc_Month_Shifted,YEAR(Table1[[#This Row],[Loss date]])-1,YEAR(Table1[[#This Row],[Loss date]]))</f>
        <v>2010</v>
      </c>
      <c r="AC1377" s="17">
        <f>IF(MONTH(Table1[[#This Row],[Reporting date]])&lt;Pol_Inc_Month_Shifted,YEAR(Table1[[#This Row],[Reporting date]])-1,YEAR(Table1[[#This Row],[Reporting date]]))</f>
        <v>2010</v>
      </c>
      <c r="AD1377" s="17">
        <f>Table1[[#This Row],[Reporting year (shifted)]]-Table1[[#This Row],[Policy Year (shifted)]]</f>
        <v>0</v>
      </c>
    </row>
    <row r="1378" spans="1:30" ht="13.9">
      <c r="A1378" s="8" t="s">
        <v>3148</v>
      </c>
      <c r="B1378" s="8" t="s">
        <v>1430</v>
      </c>
      <c r="C1378" s="8" t="s">
        <v>118</v>
      </c>
      <c r="D1378" s="9">
        <v>40969</v>
      </c>
      <c r="E1378" s="9">
        <v>41026</v>
      </c>
      <c r="F1378" s="17">
        <f>IF(MONTH(Table1[[#This Row],[Loss date]])&lt;Policy_Inception_Month,YEAR(Table1[[#This Row],[Loss date]])-1,YEAR(Table1[[#This Row],[Loss date]]))</f>
        <v>2011</v>
      </c>
      <c r="G1378" s="10" t="s">
        <v>119</v>
      </c>
      <c r="H1378" s="10" t="s">
        <v>2</v>
      </c>
      <c r="I1378" s="11">
        <v>671.99784576887942</v>
      </c>
      <c r="J1378" s="11">
        <v>0</v>
      </c>
      <c r="K1378" s="11">
        <v>671.99784576887942</v>
      </c>
      <c r="L1378" s="12">
        <v>0</v>
      </c>
      <c r="M1378" s="12">
        <v>0</v>
      </c>
      <c r="N1378" s="12">
        <v>671.99784576887942</v>
      </c>
      <c r="O1378" s="70">
        <f>IF(Table1[[#This Row],[Overall amount]]=0,0,1)</f>
        <v>1</v>
      </c>
      <c r="P1378" s="70">
        <f>Table1[[#This Row],[Overall amount]]*Exchange_Rate</f>
        <v>671.99784576887942</v>
      </c>
      <c r="Q1378" s="70">
        <f>Table1[[#This Row],[Overall (destination currency)]]*(1+Claims_Inflation)^((Revalue_at_date-Table1[[#This Row],[Loss date]])/365.25)</f>
        <v>800.4</v>
      </c>
      <c r="R1378" s="70">
        <f>INT(Table1[[#This Row],[Reporting date]])-INT(Table1[[#This Row],[Loss date]])</f>
        <v>57</v>
      </c>
      <c r="S1378" s="69" t="s">
        <v>9</v>
      </c>
      <c r="T1378" s="70">
        <f>VLOOKUP(Table1[[#This Row],[Policy Year]],exposure_table,3,FALSE)</f>
        <v>870.52680000000009</v>
      </c>
      <c r="U1378" s="17">
        <f>IF(MONTH(Table1[[#This Row],[Reporting date]])&lt;Policy_Inception_Month,YEAR(Table1[[#This Row],[Reporting date]])-1,YEAR(Table1[[#This Row],[Reporting date]]))</f>
        <v>2012</v>
      </c>
      <c r="V1378" s="17">
        <f>Table1[[#This Row],[Reporting year]]-Table1[[#This Row],[Policy Year]]</f>
        <v>1</v>
      </c>
      <c r="W1378" s="17">
        <f>INT(Table1[[#This Row],[Reporting date]])-INT(Table1[[#This Row],[Loss date]])</f>
        <v>57</v>
      </c>
      <c r="X1378" s="17">
        <f>INT((YEAR(Table1[[#This Row],[Loss date]])*12+MONTH(Table1[[#This Row],[Loss date]])-Earliest_Month)/4)</f>
        <v>20</v>
      </c>
      <c r="Y1378" s="17">
        <f>INT((YEAR(Table1[[#This Row],[Reporting date]])*12+MONTH(Table1[[#This Row],[Reporting date]])-Earliest_Month)/4)</f>
        <v>21</v>
      </c>
      <c r="Z1378" s="17">
        <f>Table1[[#This Row],[Reporting third]]-Table1[[#This Row],[Policy third]]</f>
        <v>1</v>
      </c>
      <c r="AA1378" s="71">
        <f>IF(Table1[[#This Row],[Overall amount]]=0,"N/A",Table1[[#This Row],[Outstanding]]/Table1[[#This Row],[Overall amount]])</f>
        <v>0</v>
      </c>
      <c r="AB1378" s="17">
        <f>IF(MONTH(Table1[[#This Row],[Loss date]])&lt;Pol_Inc_Month_Shifted,YEAR(Table1[[#This Row],[Loss date]])-1,YEAR(Table1[[#This Row],[Loss date]]))</f>
        <v>2011</v>
      </c>
      <c r="AC1378" s="17">
        <f>IF(MONTH(Table1[[#This Row],[Reporting date]])&lt;Pol_Inc_Month_Shifted,YEAR(Table1[[#This Row],[Reporting date]])-1,YEAR(Table1[[#This Row],[Reporting date]]))</f>
        <v>2011</v>
      </c>
      <c r="AD1378" s="17">
        <f>Table1[[#This Row],[Reporting year (shifted)]]-Table1[[#This Row],[Policy Year (shifted)]]</f>
        <v>0</v>
      </c>
    </row>
    <row r="1379" spans="1:30" ht="13.9">
      <c r="A1379" s="8" t="s">
        <v>3149</v>
      </c>
      <c r="B1379" s="8" t="s">
        <v>1431</v>
      </c>
      <c r="C1379" s="8" t="s">
        <v>118</v>
      </c>
      <c r="D1379" s="9">
        <v>40994</v>
      </c>
      <c r="E1379" s="9">
        <v>41008</v>
      </c>
      <c r="F1379" s="17">
        <f>IF(MONTH(Table1[[#This Row],[Loss date]])&lt;Policy_Inception_Month,YEAR(Table1[[#This Row],[Loss date]])-1,YEAR(Table1[[#This Row],[Loss date]]))</f>
        <v>2011</v>
      </c>
      <c r="G1379" s="10" t="s">
        <v>119</v>
      </c>
      <c r="H1379" s="10" t="s">
        <v>2</v>
      </c>
      <c r="I1379" s="11">
        <v>527.67057685232555</v>
      </c>
      <c r="J1379" s="11">
        <v>0</v>
      </c>
      <c r="K1379" s="11">
        <v>527.67057685232555</v>
      </c>
      <c r="L1379" s="12">
        <v>0</v>
      </c>
      <c r="M1379" s="12">
        <v>0</v>
      </c>
      <c r="N1379" s="12">
        <v>527.67057685232555</v>
      </c>
      <c r="O1379" s="70">
        <f>IF(Table1[[#This Row],[Overall amount]]=0,0,1)</f>
        <v>1</v>
      </c>
      <c r="P1379" s="70">
        <f>Table1[[#This Row],[Overall amount]]*Exchange_Rate</f>
        <v>527.67057685232555</v>
      </c>
      <c r="Q1379" s="70">
        <f>Table1[[#This Row],[Overall (destination currency)]]*(1+Claims_Inflation)^((Revalue_at_date-Table1[[#This Row],[Loss date]])/365.25)</f>
        <v>626.4</v>
      </c>
      <c r="R1379" s="70">
        <f>INT(Table1[[#This Row],[Reporting date]])-INT(Table1[[#This Row],[Loss date]])</f>
        <v>14</v>
      </c>
      <c r="S1379" s="69" t="s">
        <v>9</v>
      </c>
      <c r="T1379" s="70">
        <f>VLOOKUP(Table1[[#This Row],[Policy Year]],exposure_table,3,FALSE)</f>
        <v>870.52680000000009</v>
      </c>
      <c r="U1379" s="17">
        <f>IF(MONTH(Table1[[#This Row],[Reporting date]])&lt;Policy_Inception_Month,YEAR(Table1[[#This Row],[Reporting date]])-1,YEAR(Table1[[#This Row],[Reporting date]]))</f>
        <v>2012</v>
      </c>
      <c r="V1379" s="17">
        <f>Table1[[#This Row],[Reporting year]]-Table1[[#This Row],[Policy Year]]</f>
        <v>1</v>
      </c>
      <c r="W1379" s="17">
        <f>INT(Table1[[#This Row],[Reporting date]])-INT(Table1[[#This Row],[Loss date]])</f>
        <v>14</v>
      </c>
      <c r="X1379" s="17">
        <f>INT((YEAR(Table1[[#This Row],[Loss date]])*12+MONTH(Table1[[#This Row],[Loss date]])-Earliest_Month)/4)</f>
        <v>20</v>
      </c>
      <c r="Y1379" s="17">
        <f>INT((YEAR(Table1[[#This Row],[Reporting date]])*12+MONTH(Table1[[#This Row],[Reporting date]])-Earliest_Month)/4)</f>
        <v>21</v>
      </c>
      <c r="Z1379" s="17">
        <f>Table1[[#This Row],[Reporting third]]-Table1[[#This Row],[Policy third]]</f>
        <v>1</v>
      </c>
      <c r="AA1379" s="71">
        <f>IF(Table1[[#This Row],[Overall amount]]=0,"N/A",Table1[[#This Row],[Outstanding]]/Table1[[#This Row],[Overall amount]])</f>
        <v>0</v>
      </c>
      <c r="AB1379" s="17">
        <f>IF(MONTH(Table1[[#This Row],[Loss date]])&lt;Pol_Inc_Month_Shifted,YEAR(Table1[[#This Row],[Loss date]])-1,YEAR(Table1[[#This Row],[Loss date]]))</f>
        <v>2011</v>
      </c>
      <c r="AC1379" s="17">
        <f>IF(MONTH(Table1[[#This Row],[Reporting date]])&lt;Pol_Inc_Month_Shifted,YEAR(Table1[[#This Row],[Reporting date]])-1,YEAR(Table1[[#This Row],[Reporting date]]))</f>
        <v>2011</v>
      </c>
      <c r="AD1379" s="17">
        <f>Table1[[#This Row],[Reporting year (shifted)]]-Table1[[#This Row],[Policy Year (shifted)]]</f>
        <v>0</v>
      </c>
    </row>
    <row r="1380" spans="1:30" ht="13.9">
      <c r="A1380" s="8" t="s">
        <v>3150</v>
      </c>
      <c r="B1380" s="8" t="s">
        <v>1432</v>
      </c>
      <c r="C1380" s="8" t="s">
        <v>118</v>
      </c>
      <c r="D1380" s="9">
        <v>40935</v>
      </c>
      <c r="E1380" s="9">
        <v>41026</v>
      </c>
      <c r="F1380" s="17">
        <f>IF(MONTH(Table1[[#This Row],[Loss date]])&lt;Policy_Inception_Month,YEAR(Table1[[#This Row],[Loss date]])-1,YEAR(Table1[[#This Row],[Loss date]]))</f>
        <v>2011</v>
      </c>
      <c r="G1380" s="10" t="s">
        <v>121</v>
      </c>
      <c r="H1380" s="10" t="s">
        <v>2</v>
      </c>
      <c r="I1380" s="11">
        <v>290.84901549951502</v>
      </c>
      <c r="J1380" s="11">
        <v>0</v>
      </c>
      <c r="K1380" s="11">
        <v>290.84901549951502</v>
      </c>
      <c r="L1380" s="12">
        <v>0</v>
      </c>
      <c r="M1380" s="12">
        <v>0</v>
      </c>
      <c r="N1380" s="12">
        <v>290.84901549951502</v>
      </c>
      <c r="O1380" s="70">
        <f>IF(Table1[[#This Row],[Overall amount]]=0,0,1)</f>
        <v>1</v>
      </c>
      <c r="P1380" s="70">
        <f>Table1[[#This Row],[Overall amount]]*Exchange_Rate</f>
        <v>290.84901549951502</v>
      </c>
      <c r="Q1380" s="70">
        <f>Table1[[#This Row],[Overall (destination currency)]]*(1+Claims_Inflation)^((Revalue_at_date-Table1[[#This Row],[Loss date]])/365.25)</f>
        <v>348</v>
      </c>
      <c r="R1380" s="70">
        <f>INT(Table1[[#This Row],[Reporting date]])-INT(Table1[[#This Row],[Loss date]])</f>
        <v>91</v>
      </c>
      <c r="S1380" s="69" t="s">
        <v>9</v>
      </c>
      <c r="T1380" s="70">
        <f>VLOOKUP(Table1[[#This Row],[Policy Year]],exposure_table,3,FALSE)</f>
        <v>870.52680000000009</v>
      </c>
      <c r="U1380" s="17">
        <f>IF(MONTH(Table1[[#This Row],[Reporting date]])&lt;Policy_Inception_Month,YEAR(Table1[[#This Row],[Reporting date]])-1,YEAR(Table1[[#This Row],[Reporting date]]))</f>
        <v>2012</v>
      </c>
      <c r="V1380" s="17">
        <f>Table1[[#This Row],[Reporting year]]-Table1[[#This Row],[Policy Year]]</f>
        <v>1</v>
      </c>
      <c r="W1380" s="17">
        <f>INT(Table1[[#This Row],[Reporting date]])-INT(Table1[[#This Row],[Loss date]])</f>
        <v>91</v>
      </c>
      <c r="X1380" s="17">
        <f>INT((YEAR(Table1[[#This Row],[Loss date]])*12+MONTH(Table1[[#This Row],[Loss date]])-Earliest_Month)/4)</f>
        <v>20</v>
      </c>
      <c r="Y1380" s="17">
        <f>INT((YEAR(Table1[[#This Row],[Reporting date]])*12+MONTH(Table1[[#This Row],[Reporting date]])-Earliest_Month)/4)</f>
        <v>21</v>
      </c>
      <c r="Z1380" s="17">
        <f>Table1[[#This Row],[Reporting third]]-Table1[[#This Row],[Policy third]]</f>
        <v>1</v>
      </c>
      <c r="AA1380" s="71">
        <f>IF(Table1[[#This Row],[Overall amount]]=0,"N/A",Table1[[#This Row],[Outstanding]]/Table1[[#This Row],[Overall amount]])</f>
        <v>0</v>
      </c>
      <c r="AB1380" s="17">
        <f>IF(MONTH(Table1[[#This Row],[Loss date]])&lt;Pol_Inc_Month_Shifted,YEAR(Table1[[#This Row],[Loss date]])-1,YEAR(Table1[[#This Row],[Loss date]]))</f>
        <v>2011</v>
      </c>
      <c r="AC1380" s="17">
        <f>IF(MONTH(Table1[[#This Row],[Reporting date]])&lt;Pol_Inc_Month_Shifted,YEAR(Table1[[#This Row],[Reporting date]])-1,YEAR(Table1[[#This Row],[Reporting date]]))</f>
        <v>2011</v>
      </c>
      <c r="AD1380" s="17">
        <f>Table1[[#This Row],[Reporting year (shifted)]]-Table1[[#This Row],[Policy Year (shifted)]]</f>
        <v>0</v>
      </c>
    </row>
    <row r="1381" spans="1:30" ht="13.9">
      <c r="A1381" s="8" t="s">
        <v>3151</v>
      </c>
      <c r="B1381" s="8" t="s">
        <v>1433</v>
      </c>
      <c r="C1381" s="8" t="s">
        <v>118</v>
      </c>
      <c r="D1381" s="9">
        <v>40999</v>
      </c>
      <c r="E1381" s="9">
        <v>41001</v>
      </c>
      <c r="F1381" s="17">
        <f>IF(MONTH(Table1[[#This Row],[Loss date]])&lt;Policy_Inception_Month,YEAR(Table1[[#This Row],[Loss date]])-1,YEAR(Table1[[#This Row],[Loss date]]))</f>
        <v>2011</v>
      </c>
      <c r="G1381" s="10" t="s">
        <v>121</v>
      </c>
      <c r="H1381" s="10" t="s">
        <v>2</v>
      </c>
      <c r="I1381" s="11">
        <v>762.70007125170105</v>
      </c>
      <c r="J1381" s="11">
        <v>0</v>
      </c>
      <c r="K1381" s="11">
        <v>762.70007125170105</v>
      </c>
      <c r="L1381" s="12">
        <v>0</v>
      </c>
      <c r="M1381" s="12">
        <v>0</v>
      </c>
      <c r="N1381" s="12">
        <v>762.70007125170105</v>
      </c>
      <c r="O1381" s="70">
        <f>IF(Table1[[#This Row],[Overall amount]]=0,0,1)</f>
        <v>1</v>
      </c>
      <c r="P1381" s="70">
        <f>Table1[[#This Row],[Overall amount]]*Exchange_Rate</f>
        <v>762.70007125170105</v>
      </c>
      <c r="Q1381" s="70">
        <f>Table1[[#This Row],[Overall (destination currency)]]*(1+Claims_Inflation)^((Revalue_at_date-Table1[[#This Row],[Loss date]])/365.25)</f>
        <v>904.8</v>
      </c>
      <c r="R1381" s="70">
        <f>INT(Table1[[#This Row],[Reporting date]])-INT(Table1[[#This Row],[Loss date]])</f>
        <v>2</v>
      </c>
      <c r="S1381" s="69" t="s">
        <v>9</v>
      </c>
      <c r="T1381" s="70">
        <f>VLOOKUP(Table1[[#This Row],[Policy Year]],exposure_table,3,FALSE)</f>
        <v>870.52680000000009</v>
      </c>
      <c r="U1381" s="17">
        <f>IF(MONTH(Table1[[#This Row],[Reporting date]])&lt;Policy_Inception_Month,YEAR(Table1[[#This Row],[Reporting date]])-1,YEAR(Table1[[#This Row],[Reporting date]]))</f>
        <v>2012</v>
      </c>
      <c r="V1381" s="17">
        <f>Table1[[#This Row],[Reporting year]]-Table1[[#This Row],[Policy Year]]</f>
        <v>1</v>
      </c>
      <c r="W1381" s="17">
        <f>INT(Table1[[#This Row],[Reporting date]])-INT(Table1[[#This Row],[Loss date]])</f>
        <v>2</v>
      </c>
      <c r="X1381" s="17">
        <f>INT((YEAR(Table1[[#This Row],[Loss date]])*12+MONTH(Table1[[#This Row],[Loss date]])-Earliest_Month)/4)</f>
        <v>20</v>
      </c>
      <c r="Y1381" s="17">
        <f>INT((YEAR(Table1[[#This Row],[Reporting date]])*12+MONTH(Table1[[#This Row],[Reporting date]])-Earliest_Month)/4)</f>
        <v>21</v>
      </c>
      <c r="Z1381" s="17">
        <f>Table1[[#This Row],[Reporting third]]-Table1[[#This Row],[Policy third]]</f>
        <v>1</v>
      </c>
      <c r="AA1381" s="71">
        <f>IF(Table1[[#This Row],[Overall amount]]=0,"N/A",Table1[[#This Row],[Outstanding]]/Table1[[#This Row],[Overall amount]])</f>
        <v>0</v>
      </c>
      <c r="AB1381" s="17">
        <f>IF(MONTH(Table1[[#This Row],[Loss date]])&lt;Pol_Inc_Month_Shifted,YEAR(Table1[[#This Row],[Loss date]])-1,YEAR(Table1[[#This Row],[Loss date]]))</f>
        <v>2011</v>
      </c>
      <c r="AC1381" s="17">
        <f>IF(MONTH(Table1[[#This Row],[Reporting date]])&lt;Pol_Inc_Month_Shifted,YEAR(Table1[[#This Row],[Reporting date]])-1,YEAR(Table1[[#This Row],[Reporting date]]))</f>
        <v>2011</v>
      </c>
      <c r="AD1381" s="17">
        <f>Table1[[#This Row],[Reporting year (shifted)]]-Table1[[#This Row],[Policy Year (shifted)]]</f>
        <v>0</v>
      </c>
    </row>
    <row r="1382" spans="1:30" ht="13.9">
      <c r="A1382" s="8" t="s">
        <v>3152</v>
      </c>
      <c r="B1382" s="8" t="s">
        <v>1434</v>
      </c>
      <c r="C1382" s="8" t="s">
        <v>118</v>
      </c>
      <c r="D1382" s="9">
        <v>40738</v>
      </c>
      <c r="E1382" s="9">
        <v>40740</v>
      </c>
      <c r="F1382" s="17">
        <f>IF(MONTH(Table1[[#This Row],[Loss date]])&lt;Policy_Inception_Month,YEAR(Table1[[#This Row],[Loss date]])-1,YEAR(Table1[[#This Row],[Loss date]]))</f>
        <v>2011</v>
      </c>
      <c r="G1382" s="10" t="s">
        <v>119</v>
      </c>
      <c r="H1382" s="10" t="s">
        <v>2</v>
      </c>
      <c r="I1382" s="11">
        <v>14851.499579787394</v>
      </c>
      <c r="J1382" s="11">
        <v>229.5666908669366</v>
      </c>
      <c r="K1382" s="11">
        <v>15081.06627065433</v>
      </c>
      <c r="L1382" s="12">
        <v>0</v>
      </c>
      <c r="M1382" s="12">
        <v>0</v>
      </c>
      <c r="N1382" s="12">
        <v>15081.06627065433</v>
      </c>
      <c r="O1382" s="70">
        <f>IF(Table1[[#This Row],[Overall amount]]=0,0,1)</f>
        <v>1</v>
      </c>
      <c r="P1382" s="70">
        <f>Table1[[#This Row],[Overall amount]]*Exchange_Rate</f>
        <v>15081.06627065433</v>
      </c>
      <c r="Q1382" s="70">
        <f>Table1[[#This Row],[Overall (destination currency)]]*(1+Claims_Inflation)^((Revalue_at_date-Table1[[#This Row],[Loss date]])/365.25)</f>
        <v>18525.600000000002</v>
      </c>
      <c r="R1382" s="70">
        <f>INT(Table1[[#This Row],[Reporting date]])-INT(Table1[[#This Row],[Loss date]])</f>
        <v>2</v>
      </c>
      <c r="S1382" s="69" t="s">
        <v>16</v>
      </c>
      <c r="T1382" s="70">
        <f>VLOOKUP(Table1[[#This Row],[Policy Year]],exposure_table,3,FALSE)</f>
        <v>870.52680000000009</v>
      </c>
      <c r="U1382" s="17">
        <f>IF(MONTH(Table1[[#This Row],[Reporting date]])&lt;Policy_Inception_Month,YEAR(Table1[[#This Row],[Reporting date]])-1,YEAR(Table1[[#This Row],[Reporting date]]))</f>
        <v>2011</v>
      </c>
      <c r="V1382" s="17">
        <f>Table1[[#This Row],[Reporting year]]-Table1[[#This Row],[Policy Year]]</f>
        <v>0</v>
      </c>
      <c r="W1382" s="17">
        <f>INT(Table1[[#This Row],[Reporting date]])-INT(Table1[[#This Row],[Loss date]])</f>
        <v>2</v>
      </c>
      <c r="X1382" s="17">
        <f>INT((YEAR(Table1[[#This Row],[Loss date]])*12+MONTH(Table1[[#This Row],[Loss date]])-Earliest_Month)/4)</f>
        <v>18</v>
      </c>
      <c r="Y1382" s="17">
        <f>INT((YEAR(Table1[[#This Row],[Reporting date]])*12+MONTH(Table1[[#This Row],[Reporting date]])-Earliest_Month)/4)</f>
        <v>18</v>
      </c>
      <c r="Z1382" s="17">
        <f>Table1[[#This Row],[Reporting third]]-Table1[[#This Row],[Policy third]]</f>
        <v>0</v>
      </c>
      <c r="AA1382" s="71">
        <f>IF(Table1[[#This Row],[Overall amount]]=0,"N/A",Table1[[#This Row],[Outstanding]]/Table1[[#This Row],[Overall amount]])</f>
        <v>1.5222179038735587E-2</v>
      </c>
      <c r="AB1382" s="17">
        <f>IF(MONTH(Table1[[#This Row],[Loss date]])&lt;Pol_Inc_Month_Shifted,YEAR(Table1[[#This Row],[Loss date]])-1,YEAR(Table1[[#This Row],[Loss date]]))</f>
        <v>2010</v>
      </c>
      <c r="AC1382" s="17">
        <f>IF(MONTH(Table1[[#This Row],[Reporting date]])&lt;Pol_Inc_Month_Shifted,YEAR(Table1[[#This Row],[Reporting date]])-1,YEAR(Table1[[#This Row],[Reporting date]]))</f>
        <v>2010</v>
      </c>
      <c r="AD1382" s="17">
        <f>Table1[[#This Row],[Reporting year (shifted)]]-Table1[[#This Row],[Policy Year (shifted)]]</f>
        <v>0</v>
      </c>
    </row>
    <row r="1383" spans="1:30" ht="13.9">
      <c r="A1383" s="8" t="s">
        <v>3153</v>
      </c>
      <c r="B1383" s="8" t="s">
        <v>1435</v>
      </c>
      <c r="C1383" s="8" t="s">
        <v>118</v>
      </c>
      <c r="D1383" s="9">
        <v>40634</v>
      </c>
      <c r="E1383" s="9">
        <v>40943</v>
      </c>
      <c r="F1383" s="17">
        <f>IF(MONTH(Table1[[#This Row],[Loss date]])&lt;Policy_Inception_Month,YEAR(Table1[[#This Row],[Loss date]])-1,YEAR(Table1[[#This Row],[Loss date]]))</f>
        <v>2011</v>
      </c>
      <c r="G1383" s="10" t="s">
        <v>119</v>
      </c>
      <c r="H1383" s="10" t="s">
        <v>2</v>
      </c>
      <c r="I1383" s="11">
        <v>46107.563459714576</v>
      </c>
      <c r="J1383" s="11">
        <v>0</v>
      </c>
      <c r="K1383" s="11">
        <v>46107.563459714576</v>
      </c>
      <c r="L1383" s="12">
        <v>0</v>
      </c>
      <c r="M1383" s="12">
        <v>0</v>
      </c>
      <c r="N1383" s="12">
        <v>46107.563459714576</v>
      </c>
      <c r="O1383" s="70">
        <f>IF(Table1[[#This Row],[Overall amount]]=0,0,1)</f>
        <v>1</v>
      </c>
      <c r="P1383" s="70">
        <f>Table1[[#This Row],[Overall amount]]*Exchange_Rate</f>
        <v>46107.563459714576</v>
      </c>
      <c r="Q1383" s="70">
        <f>Table1[[#This Row],[Overall (destination currency)]]*(1+Claims_Inflation)^((Revalue_at_date-Table1[[#This Row],[Loss date]])/365.25)</f>
        <v>57430.92</v>
      </c>
      <c r="R1383" s="70">
        <f>INT(Table1[[#This Row],[Reporting date]])-INT(Table1[[#This Row],[Loss date]])</f>
        <v>309</v>
      </c>
      <c r="S1383" s="69" t="s">
        <v>9</v>
      </c>
      <c r="T1383" s="70">
        <f>VLOOKUP(Table1[[#This Row],[Policy Year]],exposure_table,3,FALSE)</f>
        <v>870.52680000000009</v>
      </c>
      <c r="U1383" s="17">
        <f>IF(MONTH(Table1[[#This Row],[Reporting date]])&lt;Policy_Inception_Month,YEAR(Table1[[#This Row],[Reporting date]])-1,YEAR(Table1[[#This Row],[Reporting date]]))</f>
        <v>2011</v>
      </c>
      <c r="V1383" s="17">
        <f>Table1[[#This Row],[Reporting year]]-Table1[[#This Row],[Policy Year]]</f>
        <v>0</v>
      </c>
      <c r="W1383" s="17">
        <f>INT(Table1[[#This Row],[Reporting date]])-INT(Table1[[#This Row],[Loss date]])</f>
        <v>309</v>
      </c>
      <c r="X1383" s="17">
        <f>INT((YEAR(Table1[[#This Row],[Loss date]])*12+MONTH(Table1[[#This Row],[Loss date]])-Earliest_Month)/4)</f>
        <v>18</v>
      </c>
      <c r="Y1383" s="17">
        <f>INT((YEAR(Table1[[#This Row],[Reporting date]])*12+MONTH(Table1[[#This Row],[Reporting date]])-Earliest_Month)/4)</f>
        <v>20</v>
      </c>
      <c r="Z1383" s="17">
        <f>Table1[[#This Row],[Reporting third]]-Table1[[#This Row],[Policy third]]</f>
        <v>2</v>
      </c>
      <c r="AA1383" s="71">
        <f>IF(Table1[[#This Row],[Overall amount]]=0,"N/A",Table1[[#This Row],[Outstanding]]/Table1[[#This Row],[Overall amount]])</f>
        <v>0</v>
      </c>
      <c r="AB1383" s="17">
        <f>IF(MONTH(Table1[[#This Row],[Loss date]])&lt;Pol_Inc_Month_Shifted,YEAR(Table1[[#This Row],[Loss date]])-1,YEAR(Table1[[#This Row],[Loss date]]))</f>
        <v>2010</v>
      </c>
      <c r="AC1383" s="17">
        <f>IF(MONTH(Table1[[#This Row],[Reporting date]])&lt;Pol_Inc_Month_Shifted,YEAR(Table1[[#This Row],[Reporting date]])-1,YEAR(Table1[[#This Row],[Reporting date]]))</f>
        <v>2011</v>
      </c>
      <c r="AD1383" s="17">
        <f>Table1[[#This Row],[Reporting year (shifted)]]-Table1[[#This Row],[Policy Year (shifted)]]</f>
        <v>1</v>
      </c>
    </row>
    <row r="1384" spans="1:30" ht="13.9">
      <c r="A1384" s="8" t="s">
        <v>3154</v>
      </c>
      <c r="B1384" s="8" t="s">
        <v>1436</v>
      </c>
      <c r="C1384" s="8" t="s">
        <v>118</v>
      </c>
      <c r="D1384" s="9">
        <v>41038</v>
      </c>
      <c r="E1384" s="9">
        <v>41042</v>
      </c>
      <c r="F1384" s="17">
        <f>IF(MONTH(Table1[[#This Row],[Loss date]])&lt;Policy_Inception_Month,YEAR(Table1[[#This Row],[Loss date]])-1,YEAR(Table1[[#This Row],[Loss date]]))</f>
        <v>2012</v>
      </c>
      <c r="G1384" s="10" t="s">
        <v>119</v>
      </c>
      <c r="H1384" s="10" t="s">
        <v>2</v>
      </c>
      <c r="I1384" s="11">
        <v>619.24462574370762</v>
      </c>
      <c r="J1384" s="11">
        <v>0</v>
      </c>
      <c r="K1384" s="11">
        <v>619.24462574370762</v>
      </c>
      <c r="L1384" s="12">
        <v>0</v>
      </c>
      <c r="M1384" s="12">
        <v>0</v>
      </c>
      <c r="N1384" s="12">
        <v>619.24462574370762</v>
      </c>
      <c r="O1384" s="70">
        <f>IF(Table1[[#This Row],[Overall amount]]=0,0,1)</f>
        <v>1</v>
      </c>
      <c r="P1384" s="70">
        <f>Table1[[#This Row],[Overall amount]]*Exchange_Rate</f>
        <v>619.24462574370762</v>
      </c>
      <c r="Q1384" s="70">
        <f>Table1[[#This Row],[Overall (destination currency)]]*(1+Claims_Inflation)^((Revalue_at_date-Table1[[#This Row],[Loss date]])/365.25)</f>
        <v>730.8</v>
      </c>
      <c r="R1384" s="70">
        <f>INT(Table1[[#This Row],[Reporting date]])-INT(Table1[[#This Row],[Loss date]])</f>
        <v>4</v>
      </c>
      <c r="S1384" s="69" t="s">
        <v>9</v>
      </c>
      <c r="T1384" s="70">
        <f>VLOOKUP(Table1[[#This Row],[Policy Year]],exposure_table,3,FALSE)</f>
        <v>1057.54</v>
      </c>
      <c r="U1384" s="17">
        <f>IF(MONTH(Table1[[#This Row],[Reporting date]])&lt;Policy_Inception_Month,YEAR(Table1[[#This Row],[Reporting date]])-1,YEAR(Table1[[#This Row],[Reporting date]]))</f>
        <v>2012</v>
      </c>
      <c r="V1384" s="17">
        <f>Table1[[#This Row],[Reporting year]]-Table1[[#This Row],[Policy Year]]</f>
        <v>0</v>
      </c>
      <c r="W1384" s="17">
        <f>INT(Table1[[#This Row],[Reporting date]])-INT(Table1[[#This Row],[Loss date]])</f>
        <v>4</v>
      </c>
      <c r="X1384" s="17">
        <f>INT((YEAR(Table1[[#This Row],[Loss date]])*12+MONTH(Table1[[#This Row],[Loss date]])-Earliest_Month)/4)</f>
        <v>21</v>
      </c>
      <c r="Y1384" s="17">
        <f>INT((YEAR(Table1[[#This Row],[Reporting date]])*12+MONTH(Table1[[#This Row],[Reporting date]])-Earliest_Month)/4)</f>
        <v>21</v>
      </c>
      <c r="Z1384" s="17">
        <f>Table1[[#This Row],[Reporting third]]-Table1[[#This Row],[Policy third]]</f>
        <v>0</v>
      </c>
      <c r="AA1384" s="71">
        <f>IF(Table1[[#This Row],[Overall amount]]=0,"N/A",Table1[[#This Row],[Outstanding]]/Table1[[#This Row],[Overall amount]])</f>
        <v>0</v>
      </c>
      <c r="AB1384" s="17">
        <f>IF(MONTH(Table1[[#This Row],[Loss date]])&lt;Pol_Inc_Month_Shifted,YEAR(Table1[[#This Row],[Loss date]])-1,YEAR(Table1[[#This Row],[Loss date]]))</f>
        <v>2011</v>
      </c>
      <c r="AC1384" s="17">
        <f>IF(MONTH(Table1[[#This Row],[Reporting date]])&lt;Pol_Inc_Month_Shifted,YEAR(Table1[[#This Row],[Reporting date]])-1,YEAR(Table1[[#This Row],[Reporting date]]))</f>
        <v>2011</v>
      </c>
      <c r="AD1384" s="17">
        <f>Table1[[#This Row],[Reporting year (shifted)]]-Table1[[#This Row],[Policy Year (shifted)]]</f>
        <v>0</v>
      </c>
    </row>
    <row r="1385" spans="1:30" ht="13.9">
      <c r="A1385" s="8" t="s">
        <v>3155</v>
      </c>
      <c r="B1385" s="8" t="s">
        <v>1437</v>
      </c>
      <c r="C1385" s="8" t="s">
        <v>118</v>
      </c>
      <c r="D1385" s="9">
        <v>41049</v>
      </c>
      <c r="E1385" s="9">
        <v>41050</v>
      </c>
      <c r="F1385" s="17">
        <f>IF(MONTH(Table1[[#This Row],[Loss date]])&lt;Policy_Inception_Month,YEAR(Table1[[#This Row],[Loss date]])-1,YEAR(Table1[[#This Row],[Loss date]]))</f>
        <v>2012</v>
      </c>
      <c r="G1385" s="10" t="s">
        <v>119</v>
      </c>
      <c r="H1385" s="10" t="s">
        <v>2</v>
      </c>
      <c r="I1385" s="11">
        <v>693.98320171201919</v>
      </c>
      <c r="J1385" s="11">
        <v>0</v>
      </c>
      <c r="K1385" s="11">
        <v>693.98320171201919</v>
      </c>
      <c r="L1385" s="12">
        <v>0</v>
      </c>
      <c r="M1385" s="12">
        <v>0</v>
      </c>
      <c r="N1385" s="12">
        <v>693.98320171201919</v>
      </c>
      <c r="O1385" s="70">
        <f>IF(Table1[[#This Row],[Overall amount]]=0,0,1)</f>
        <v>1</v>
      </c>
      <c r="P1385" s="70">
        <f>Table1[[#This Row],[Overall amount]]*Exchange_Rate</f>
        <v>693.98320171201919</v>
      </c>
      <c r="Q1385" s="70">
        <f>Table1[[#This Row],[Overall (destination currency)]]*(1+Claims_Inflation)^((Revalue_at_date-Table1[[#This Row],[Loss date]])/365.25)</f>
        <v>817.80000000000007</v>
      </c>
      <c r="R1385" s="70">
        <f>INT(Table1[[#This Row],[Reporting date]])-INT(Table1[[#This Row],[Loss date]])</f>
        <v>1</v>
      </c>
      <c r="S1385" s="69" t="s">
        <v>9</v>
      </c>
      <c r="T1385" s="70">
        <f>VLOOKUP(Table1[[#This Row],[Policy Year]],exposure_table,3,FALSE)</f>
        <v>1057.54</v>
      </c>
      <c r="U1385" s="17">
        <f>IF(MONTH(Table1[[#This Row],[Reporting date]])&lt;Policy_Inception_Month,YEAR(Table1[[#This Row],[Reporting date]])-1,YEAR(Table1[[#This Row],[Reporting date]]))</f>
        <v>2012</v>
      </c>
      <c r="V1385" s="17">
        <f>Table1[[#This Row],[Reporting year]]-Table1[[#This Row],[Policy Year]]</f>
        <v>0</v>
      </c>
      <c r="W1385" s="17">
        <f>INT(Table1[[#This Row],[Reporting date]])-INT(Table1[[#This Row],[Loss date]])</f>
        <v>1</v>
      </c>
      <c r="X1385" s="17">
        <f>INT((YEAR(Table1[[#This Row],[Loss date]])*12+MONTH(Table1[[#This Row],[Loss date]])-Earliest_Month)/4)</f>
        <v>21</v>
      </c>
      <c r="Y1385" s="17">
        <f>INT((YEAR(Table1[[#This Row],[Reporting date]])*12+MONTH(Table1[[#This Row],[Reporting date]])-Earliest_Month)/4)</f>
        <v>21</v>
      </c>
      <c r="Z1385" s="17">
        <f>Table1[[#This Row],[Reporting third]]-Table1[[#This Row],[Policy third]]</f>
        <v>0</v>
      </c>
      <c r="AA1385" s="71">
        <f>IF(Table1[[#This Row],[Overall amount]]=0,"N/A",Table1[[#This Row],[Outstanding]]/Table1[[#This Row],[Overall amount]])</f>
        <v>0</v>
      </c>
      <c r="AB1385" s="17">
        <f>IF(MONTH(Table1[[#This Row],[Loss date]])&lt;Pol_Inc_Month_Shifted,YEAR(Table1[[#This Row],[Loss date]])-1,YEAR(Table1[[#This Row],[Loss date]]))</f>
        <v>2011</v>
      </c>
      <c r="AC1385" s="17">
        <f>IF(MONTH(Table1[[#This Row],[Reporting date]])&lt;Pol_Inc_Month_Shifted,YEAR(Table1[[#This Row],[Reporting date]])-1,YEAR(Table1[[#This Row],[Reporting date]]))</f>
        <v>2011</v>
      </c>
      <c r="AD1385" s="17">
        <f>Table1[[#This Row],[Reporting year (shifted)]]-Table1[[#This Row],[Policy Year (shifted)]]</f>
        <v>0</v>
      </c>
    </row>
    <row r="1386" spans="1:30" ht="13.9">
      <c r="A1386" s="8" t="s">
        <v>3156</v>
      </c>
      <c r="B1386" s="8" t="s">
        <v>1438</v>
      </c>
      <c r="C1386" s="8" t="s">
        <v>118</v>
      </c>
      <c r="D1386" s="9">
        <v>40593</v>
      </c>
      <c r="E1386" s="9">
        <v>40596</v>
      </c>
      <c r="F1386" s="17">
        <f>IF(MONTH(Table1[[#This Row],[Loss date]])&lt;Policy_Inception_Month,YEAR(Table1[[#This Row],[Loss date]])-1,YEAR(Table1[[#This Row],[Loss date]]))</f>
        <v>2010</v>
      </c>
      <c r="G1386" s="10" t="s">
        <v>119</v>
      </c>
      <c r="H1386" s="10" t="s">
        <v>2</v>
      </c>
      <c r="I1386" s="11">
        <v>1583.805913509731</v>
      </c>
      <c r="J1386" s="11">
        <v>0</v>
      </c>
      <c r="K1386" s="11">
        <v>1583.805913509731</v>
      </c>
      <c r="L1386" s="12">
        <v>143.72104478309714</v>
      </c>
      <c r="M1386" s="12">
        <v>62.190970498541809</v>
      </c>
      <c r="N1386" s="12">
        <v>1665.3359877942862</v>
      </c>
      <c r="O1386" s="70">
        <f>IF(Table1[[#This Row],[Overall amount]]=0,0,1)</f>
        <v>1</v>
      </c>
      <c r="P1386" s="70">
        <f>Table1[[#This Row],[Overall amount]]*Exchange_Rate</f>
        <v>1665.3359877942862</v>
      </c>
      <c r="Q1386" s="70">
        <f>Table1[[#This Row],[Overall (destination currency)]]*(1+Claims_Inflation)^((Revalue_at_date-Table1[[#This Row],[Loss date]])/365.25)</f>
        <v>2085.7103999999999</v>
      </c>
      <c r="R1386" s="70">
        <f>INT(Table1[[#This Row],[Reporting date]])-INT(Table1[[#This Row],[Loss date]])</f>
        <v>3</v>
      </c>
      <c r="S1386" s="69" t="s">
        <v>9</v>
      </c>
      <c r="T1386" s="70">
        <f>VLOOKUP(Table1[[#This Row],[Policy Year]],exposure_table,3,FALSE)</f>
        <v>837.11513600000012</v>
      </c>
      <c r="U1386" s="17">
        <f>IF(MONTH(Table1[[#This Row],[Reporting date]])&lt;Policy_Inception_Month,YEAR(Table1[[#This Row],[Reporting date]])-1,YEAR(Table1[[#This Row],[Reporting date]]))</f>
        <v>2010</v>
      </c>
      <c r="V1386" s="17">
        <f>Table1[[#This Row],[Reporting year]]-Table1[[#This Row],[Policy Year]]</f>
        <v>0</v>
      </c>
      <c r="W1386" s="17">
        <f>INT(Table1[[#This Row],[Reporting date]])-INT(Table1[[#This Row],[Loss date]])</f>
        <v>3</v>
      </c>
      <c r="X1386" s="17">
        <f>INT((YEAR(Table1[[#This Row],[Loss date]])*12+MONTH(Table1[[#This Row],[Loss date]])-Earliest_Month)/4)</f>
        <v>17</v>
      </c>
      <c r="Y1386" s="17">
        <f>INT((YEAR(Table1[[#This Row],[Reporting date]])*12+MONTH(Table1[[#This Row],[Reporting date]])-Earliest_Month)/4)</f>
        <v>17</v>
      </c>
      <c r="Z1386" s="17">
        <f>Table1[[#This Row],[Reporting third]]-Table1[[#This Row],[Policy third]]</f>
        <v>0</v>
      </c>
      <c r="AA1386" s="71">
        <f>IF(Table1[[#This Row],[Overall amount]]=0,"N/A",Table1[[#This Row],[Outstanding]]/Table1[[#This Row],[Overall amount]])</f>
        <v>0</v>
      </c>
      <c r="AB1386" s="17">
        <f>IF(MONTH(Table1[[#This Row],[Loss date]])&lt;Pol_Inc_Month_Shifted,YEAR(Table1[[#This Row],[Loss date]])-1,YEAR(Table1[[#This Row],[Loss date]]))</f>
        <v>2010</v>
      </c>
      <c r="AC1386" s="17">
        <f>IF(MONTH(Table1[[#This Row],[Reporting date]])&lt;Pol_Inc_Month_Shifted,YEAR(Table1[[#This Row],[Reporting date]])-1,YEAR(Table1[[#This Row],[Reporting date]]))</f>
        <v>2010</v>
      </c>
      <c r="AD1386" s="17">
        <f>Table1[[#This Row],[Reporting year (shifted)]]-Table1[[#This Row],[Policy Year (shifted)]]</f>
        <v>0</v>
      </c>
    </row>
    <row r="1387" spans="1:30" ht="13.9">
      <c r="A1387" s="8" t="s">
        <v>3157</v>
      </c>
      <c r="B1387" s="8" t="s">
        <v>1439</v>
      </c>
      <c r="C1387" s="8" t="s">
        <v>118</v>
      </c>
      <c r="D1387" s="9">
        <v>40858</v>
      </c>
      <c r="E1387" s="9">
        <v>40859</v>
      </c>
      <c r="F1387" s="17">
        <f>IF(MONTH(Table1[[#This Row],[Loss date]])&lt;Policy_Inception_Month,YEAR(Table1[[#This Row],[Loss date]])-1,YEAR(Table1[[#This Row],[Loss date]]))</f>
        <v>2011</v>
      </c>
      <c r="G1387" s="10" t="s">
        <v>119</v>
      </c>
      <c r="H1387" s="10" t="s">
        <v>2</v>
      </c>
      <c r="I1387" s="11">
        <v>6167.4259259377623</v>
      </c>
      <c r="J1387" s="11">
        <v>0</v>
      </c>
      <c r="K1387" s="11">
        <v>6167.4259259377623</v>
      </c>
      <c r="L1387" s="12">
        <v>0</v>
      </c>
      <c r="M1387" s="12">
        <v>347.39790989390133</v>
      </c>
      <c r="N1387" s="12">
        <v>5820.0280160438606</v>
      </c>
      <c r="O1387" s="70">
        <f>IF(Table1[[#This Row],[Overall amount]]=0,0,1)</f>
        <v>1</v>
      </c>
      <c r="P1387" s="70">
        <f>Table1[[#This Row],[Overall amount]]*Exchange_Rate</f>
        <v>5820.0280160438606</v>
      </c>
      <c r="Q1387" s="70">
        <f>Table1[[#This Row],[Overall (destination currency)]]*(1+Claims_Inflation)^((Revalue_at_date-Table1[[#This Row],[Loss date]])/365.25)</f>
        <v>7035.6419999999989</v>
      </c>
      <c r="R1387" s="70">
        <f>INT(Table1[[#This Row],[Reporting date]])-INT(Table1[[#This Row],[Loss date]])</f>
        <v>1</v>
      </c>
      <c r="S1387" s="69" t="s">
        <v>9</v>
      </c>
      <c r="T1387" s="70">
        <f>VLOOKUP(Table1[[#This Row],[Policy Year]],exposure_table,3,FALSE)</f>
        <v>870.52680000000009</v>
      </c>
      <c r="U1387" s="17">
        <f>IF(MONTH(Table1[[#This Row],[Reporting date]])&lt;Policy_Inception_Month,YEAR(Table1[[#This Row],[Reporting date]])-1,YEAR(Table1[[#This Row],[Reporting date]]))</f>
        <v>2011</v>
      </c>
      <c r="V1387" s="17">
        <f>Table1[[#This Row],[Reporting year]]-Table1[[#This Row],[Policy Year]]</f>
        <v>0</v>
      </c>
      <c r="W1387" s="17">
        <f>INT(Table1[[#This Row],[Reporting date]])-INT(Table1[[#This Row],[Loss date]])</f>
        <v>1</v>
      </c>
      <c r="X1387" s="17">
        <f>INT((YEAR(Table1[[#This Row],[Loss date]])*12+MONTH(Table1[[#This Row],[Loss date]])-Earliest_Month)/4)</f>
        <v>19</v>
      </c>
      <c r="Y1387" s="17">
        <f>INT((YEAR(Table1[[#This Row],[Reporting date]])*12+MONTH(Table1[[#This Row],[Reporting date]])-Earliest_Month)/4)</f>
        <v>19</v>
      </c>
      <c r="Z1387" s="17">
        <f>Table1[[#This Row],[Reporting third]]-Table1[[#This Row],[Policy third]]</f>
        <v>0</v>
      </c>
      <c r="AA1387" s="71">
        <f>IF(Table1[[#This Row],[Overall amount]]=0,"N/A",Table1[[#This Row],[Outstanding]]/Table1[[#This Row],[Overall amount]])</f>
        <v>0</v>
      </c>
      <c r="AB1387" s="17">
        <f>IF(MONTH(Table1[[#This Row],[Loss date]])&lt;Pol_Inc_Month_Shifted,YEAR(Table1[[#This Row],[Loss date]])-1,YEAR(Table1[[#This Row],[Loss date]]))</f>
        <v>2010</v>
      </c>
      <c r="AC1387" s="17">
        <f>IF(MONTH(Table1[[#This Row],[Reporting date]])&lt;Pol_Inc_Month_Shifted,YEAR(Table1[[#This Row],[Reporting date]])-1,YEAR(Table1[[#This Row],[Reporting date]]))</f>
        <v>2010</v>
      </c>
      <c r="AD1387" s="17">
        <f>Table1[[#This Row],[Reporting year (shifted)]]-Table1[[#This Row],[Policy Year (shifted)]]</f>
        <v>0</v>
      </c>
    </row>
    <row r="1388" spans="1:30" ht="13.9">
      <c r="A1388" s="8" t="s">
        <v>3158</v>
      </c>
      <c r="B1388" s="8" t="s">
        <v>1440</v>
      </c>
      <c r="C1388" s="8" t="s">
        <v>118</v>
      </c>
      <c r="D1388" s="9">
        <v>40795</v>
      </c>
      <c r="E1388" s="9">
        <v>40797</v>
      </c>
      <c r="F1388" s="17">
        <f>IF(MONTH(Table1[[#This Row],[Loss date]])&lt;Policy_Inception_Month,YEAR(Table1[[#This Row],[Loss date]])-1,YEAR(Table1[[#This Row],[Loss date]]))</f>
        <v>2011</v>
      </c>
      <c r="G1388" s="10" t="s">
        <v>144</v>
      </c>
      <c r="H1388" s="10" t="s">
        <v>2</v>
      </c>
      <c r="I1388" s="11">
        <v>7614.093139515453</v>
      </c>
      <c r="J1388" s="11">
        <v>0</v>
      </c>
      <c r="K1388" s="11">
        <v>7614.093139515453</v>
      </c>
      <c r="L1388" s="12">
        <v>0</v>
      </c>
      <c r="M1388" s="12">
        <v>0</v>
      </c>
      <c r="N1388" s="12">
        <v>7614.093139515453</v>
      </c>
      <c r="O1388" s="70">
        <f>IF(Table1[[#This Row],[Overall amount]]=0,0,1)</f>
        <v>1</v>
      </c>
      <c r="P1388" s="70">
        <f>Table1[[#This Row],[Overall amount]]*Exchange_Rate</f>
        <v>7614.093139515453</v>
      </c>
      <c r="Q1388" s="70">
        <f>Table1[[#This Row],[Overall (destination currency)]]*(1+Claims_Inflation)^((Revalue_at_date-Table1[[#This Row],[Loss date]])/365.25)</f>
        <v>9282.2159999999985</v>
      </c>
      <c r="R1388" s="70">
        <f>INT(Table1[[#This Row],[Reporting date]])-INT(Table1[[#This Row],[Loss date]])</f>
        <v>2</v>
      </c>
      <c r="S1388" s="69" t="s">
        <v>9</v>
      </c>
      <c r="T1388" s="70">
        <f>VLOOKUP(Table1[[#This Row],[Policy Year]],exposure_table,3,FALSE)</f>
        <v>870.52680000000009</v>
      </c>
      <c r="U1388" s="17">
        <f>IF(MONTH(Table1[[#This Row],[Reporting date]])&lt;Policy_Inception_Month,YEAR(Table1[[#This Row],[Reporting date]])-1,YEAR(Table1[[#This Row],[Reporting date]]))</f>
        <v>2011</v>
      </c>
      <c r="V1388" s="17">
        <f>Table1[[#This Row],[Reporting year]]-Table1[[#This Row],[Policy Year]]</f>
        <v>0</v>
      </c>
      <c r="W1388" s="17">
        <f>INT(Table1[[#This Row],[Reporting date]])-INT(Table1[[#This Row],[Loss date]])</f>
        <v>2</v>
      </c>
      <c r="X1388" s="17">
        <f>INT((YEAR(Table1[[#This Row],[Loss date]])*12+MONTH(Table1[[#This Row],[Loss date]])-Earliest_Month)/4)</f>
        <v>19</v>
      </c>
      <c r="Y1388" s="17">
        <f>INT((YEAR(Table1[[#This Row],[Reporting date]])*12+MONTH(Table1[[#This Row],[Reporting date]])-Earliest_Month)/4)</f>
        <v>19</v>
      </c>
      <c r="Z1388" s="17">
        <f>Table1[[#This Row],[Reporting third]]-Table1[[#This Row],[Policy third]]</f>
        <v>0</v>
      </c>
      <c r="AA1388" s="71">
        <f>IF(Table1[[#This Row],[Overall amount]]=0,"N/A",Table1[[#This Row],[Outstanding]]/Table1[[#This Row],[Overall amount]])</f>
        <v>0</v>
      </c>
      <c r="AB1388" s="17">
        <f>IF(MONTH(Table1[[#This Row],[Loss date]])&lt;Pol_Inc_Month_Shifted,YEAR(Table1[[#This Row],[Loss date]])-1,YEAR(Table1[[#This Row],[Loss date]]))</f>
        <v>2010</v>
      </c>
      <c r="AC1388" s="17">
        <f>IF(MONTH(Table1[[#This Row],[Reporting date]])&lt;Pol_Inc_Month_Shifted,YEAR(Table1[[#This Row],[Reporting date]])-1,YEAR(Table1[[#This Row],[Reporting date]]))</f>
        <v>2010</v>
      </c>
      <c r="AD1388" s="17">
        <f>Table1[[#This Row],[Reporting year (shifted)]]-Table1[[#This Row],[Policy Year (shifted)]]</f>
        <v>0</v>
      </c>
    </row>
    <row r="1389" spans="1:30" ht="13.9">
      <c r="A1389" s="8" t="s">
        <v>3159</v>
      </c>
      <c r="B1389" s="8" t="s">
        <v>1441</v>
      </c>
      <c r="C1389" s="8" t="s">
        <v>118</v>
      </c>
      <c r="D1389" s="9">
        <v>40773</v>
      </c>
      <c r="E1389" s="9">
        <v>40802</v>
      </c>
      <c r="F1389" s="17">
        <f>IF(MONTH(Table1[[#This Row],[Loss date]])&lt;Policy_Inception_Month,YEAR(Table1[[#This Row],[Loss date]])-1,YEAR(Table1[[#This Row],[Loss date]]))</f>
        <v>2011</v>
      </c>
      <c r="G1389" s="10" t="s">
        <v>121</v>
      </c>
      <c r="H1389" s="10" t="s">
        <v>2</v>
      </c>
      <c r="I1389" s="11">
        <v>3246.6612121375242</v>
      </c>
      <c r="J1389" s="11">
        <v>0</v>
      </c>
      <c r="K1389" s="11">
        <v>3246.6612121375242</v>
      </c>
      <c r="L1389" s="12">
        <v>0</v>
      </c>
      <c r="M1389" s="12">
        <v>0</v>
      </c>
      <c r="N1389" s="12">
        <v>3246.6612121375242</v>
      </c>
      <c r="O1389" s="70">
        <f>IF(Table1[[#This Row],[Overall amount]]=0,0,1)</f>
        <v>1</v>
      </c>
      <c r="P1389" s="70">
        <f>Table1[[#This Row],[Overall amount]]*Exchange_Rate</f>
        <v>3246.6612121375242</v>
      </c>
      <c r="Q1389" s="70">
        <f>Table1[[#This Row],[Overall (destination currency)]]*(1+Claims_Inflation)^((Revalue_at_date-Table1[[#This Row],[Loss date]])/365.25)</f>
        <v>3969.6000000000008</v>
      </c>
      <c r="R1389" s="70">
        <f>INT(Table1[[#This Row],[Reporting date]])-INT(Table1[[#This Row],[Loss date]])</f>
        <v>29</v>
      </c>
      <c r="S1389" s="69" t="s">
        <v>9</v>
      </c>
      <c r="T1389" s="70">
        <f>VLOOKUP(Table1[[#This Row],[Policy Year]],exposure_table,3,FALSE)</f>
        <v>870.52680000000009</v>
      </c>
      <c r="U1389" s="17">
        <f>IF(MONTH(Table1[[#This Row],[Reporting date]])&lt;Policy_Inception_Month,YEAR(Table1[[#This Row],[Reporting date]])-1,YEAR(Table1[[#This Row],[Reporting date]]))</f>
        <v>2011</v>
      </c>
      <c r="V1389" s="17">
        <f>Table1[[#This Row],[Reporting year]]-Table1[[#This Row],[Policy Year]]</f>
        <v>0</v>
      </c>
      <c r="W1389" s="17">
        <f>INT(Table1[[#This Row],[Reporting date]])-INT(Table1[[#This Row],[Loss date]])</f>
        <v>29</v>
      </c>
      <c r="X1389" s="17">
        <f>INT((YEAR(Table1[[#This Row],[Loss date]])*12+MONTH(Table1[[#This Row],[Loss date]])-Earliest_Month)/4)</f>
        <v>19</v>
      </c>
      <c r="Y1389" s="17">
        <f>INT((YEAR(Table1[[#This Row],[Reporting date]])*12+MONTH(Table1[[#This Row],[Reporting date]])-Earliest_Month)/4)</f>
        <v>19</v>
      </c>
      <c r="Z1389" s="17">
        <f>Table1[[#This Row],[Reporting third]]-Table1[[#This Row],[Policy third]]</f>
        <v>0</v>
      </c>
      <c r="AA1389" s="71">
        <f>IF(Table1[[#This Row],[Overall amount]]=0,"N/A",Table1[[#This Row],[Outstanding]]/Table1[[#This Row],[Overall amount]])</f>
        <v>0</v>
      </c>
      <c r="AB1389" s="17">
        <f>IF(MONTH(Table1[[#This Row],[Loss date]])&lt;Pol_Inc_Month_Shifted,YEAR(Table1[[#This Row],[Loss date]])-1,YEAR(Table1[[#This Row],[Loss date]]))</f>
        <v>2010</v>
      </c>
      <c r="AC1389" s="17">
        <f>IF(MONTH(Table1[[#This Row],[Reporting date]])&lt;Pol_Inc_Month_Shifted,YEAR(Table1[[#This Row],[Reporting date]])-1,YEAR(Table1[[#This Row],[Reporting date]]))</f>
        <v>2010</v>
      </c>
      <c r="AD1389" s="17">
        <f>Table1[[#This Row],[Reporting year (shifted)]]-Table1[[#This Row],[Policy Year (shifted)]]</f>
        <v>0</v>
      </c>
    </row>
    <row r="1390" spans="1:30" ht="13.9">
      <c r="A1390" s="8" t="s">
        <v>3160</v>
      </c>
      <c r="B1390" s="8" t="s">
        <v>1442</v>
      </c>
      <c r="C1390" s="8" t="s">
        <v>118</v>
      </c>
      <c r="D1390" s="9">
        <v>40580</v>
      </c>
      <c r="E1390" s="9">
        <v>40600</v>
      </c>
      <c r="F1390" s="17">
        <f>IF(MONTH(Table1[[#This Row],[Loss date]])&lt;Policy_Inception_Month,YEAR(Table1[[#This Row],[Loss date]])-1,YEAR(Table1[[#This Row],[Loss date]]))</f>
        <v>2010</v>
      </c>
      <c r="G1390" s="10" t="s">
        <v>119</v>
      </c>
      <c r="H1390" s="10" t="s">
        <v>2</v>
      </c>
      <c r="I1390" s="11">
        <v>9191.2073408755587</v>
      </c>
      <c r="J1390" s="11">
        <v>0</v>
      </c>
      <c r="K1390" s="11">
        <v>9191.2073408755587</v>
      </c>
      <c r="L1390" s="12">
        <v>0</v>
      </c>
      <c r="M1390" s="12">
        <v>0</v>
      </c>
      <c r="N1390" s="12">
        <v>9191.2073408755587</v>
      </c>
      <c r="O1390" s="70">
        <f>IF(Table1[[#This Row],[Overall amount]]=0,0,1)</f>
        <v>1</v>
      </c>
      <c r="P1390" s="70">
        <f>Table1[[#This Row],[Overall amount]]*Exchange_Rate</f>
        <v>9191.2073408755587</v>
      </c>
      <c r="Q1390" s="70">
        <f>Table1[[#This Row],[Overall (destination currency)]]*(1+Claims_Inflation)^((Revalue_at_date-Table1[[#This Row],[Loss date]])/365.25)</f>
        <v>11531.316000000001</v>
      </c>
      <c r="R1390" s="70">
        <f>INT(Table1[[#This Row],[Reporting date]])-INT(Table1[[#This Row],[Loss date]])</f>
        <v>20</v>
      </c>
      <c r="S1390" s="69" t="s">
        <v>9</v>
      </c>
      <c r="T1390" s="70">
        <f>VLOOKUP(Table1[[#This Row],[Policy Year]],exposure_table,3,FALSE)</f>
        <v>837.11513600000012</v>
      </c>
      <c r="U1390" s="17">
        <f>IF(MONTH(Table1[[#This Row],[Reporting date]])&lt;Policy_Inception_Month,YEAR(Table1[[#This Row],[Reporting date]])-1,YEAR(Table1[[#This Row],[Reporting date]]))</f>
        <v>2010</v>
      </c>
      <c r="V1390" s="17">
        <f>Table1[[#This Row],[Reporting year]]-Table1[[#This Row],[Policy Year]]</f>
        <v>0</v>
      </c>
      <c r="W1390" s="17">
        <f>INT(Table1[[#This Row],[Reporting date]])-INT(Table1[[#This Row],[Loss date]])</f>
        <v>20</v>
      </c>
      <c r="X1390" s="17">
        <f>INT((YEAR(Table1[[#This Row],[Loss date]])*12+MONTH(Table1[[#This Row],[Loss date]])-Earliest_Month)/4)</f>
        <v>17</v>
      </c>
      <c r="Y1390" s="17">
        <f>INT((YEAR(Table1[[#This Row],[Reporting date]])*12+MONTH(Table1[[#This Row],[Reporting date]])-Earliest_Month)/4)</f>
        <v>17</v>
      </c>
      <c r="Z1390" s="17">
        <f>Table1[[#This Row],[Reporting third]]-Table1[[#This Row],[Policy third]]</f>
        <v>0</v>
      </c>
      <c r="AA1390" s="71">
        <f>IF(Table1[[#This Row],[Overall amount]]=0,"N/A",Table1[[#This Row],[Outstanding]]/Table1[[#This Row],[Overall amount]])</f>
        <v>0</v>
      </c>
      <c r="AB1390" s="17">
        <f>IF(MONTH(Table1[[#This Row],[Loss date]])&lt;Pol_Inc_Month_Shifted,YEAR(Table1[[#This Row],[Loss date]])-1,YEAR(Table1[[#This Row],[Loss date]]))</f>
        <v>2010</v>
      </c>
      <c r="AC1390" s="17">
        <f>IF(MONTH(Table1[[#This Row],[Reporting date]])&lt;Pol_Inc_Month_Shifted,YEAR(Table1[[#This Row],[Reporting date]])-1,YEAR(Table1[[#This Row],[Reporting date]]))</f>
        <v>2010</v>
      </c>
      <c r="AD1390" s="17">
        <f>Table1[[#This Row],[Reporting year (shifted)]]-Table1[[#This Row],[Policy Year (shifted)]]</f>
        <v>0</v>
      </c>
    </row>
    <row r="1391" spans="1:30" ht="13.9">
      <c r="A1391" s="8" t="s">
        <v>3161</v>
      </c>
      <c r="B1391" s="8" t="s">
        <v>1443</v>
      </c>
      <c r="C1391" s="8" t="s">
        <v>118</v>
      </c>
      <c r="D1391" s="9">
        <v>40699</v>
      </c>
      <c r="E1391" s="9">
        <v>41008</v>
      </c>
      <c r="F1391" s="17">
        <f>IF(MONTH(Table1[[#This Row],[Loss date]])&lt;Policy_Inception_Month,YEAR(Table1[[#This Row],[Loss date]])-1,YEAR(Table1[[#This Row],[Loss date]]))</f>
        <v>2011</v>
      </c>
      <c r="G1391" s="10" t="s">
        <v>128</v>
      </c>
      <c r="H1391" s="10" t="s">
        <v>2</v>
      </c>
      <c r="I1391" s="11">
        <v>4195.9757991798378</v>
      </c>
      <c r="J1391" s="11">
        <v>0</v>
      </c>
      <c r="K1391" s="11">
        <v>4195.9757991798378</v>
      </c>
      <c r="L1391" s="12">
        <v>145.77053858911086</v>
      </c>
      <c r="M1391" s="12">
        <v>0</v>
      </c>
      <c r="N1391" s="12">
        <v>4341.7463377689492</v>
      </c>
      <c r="O1391" s="70">
        <f>IF(Table1[[#This Row],[Overall amount]]=0,0,1)</f>
        <v>1</v>
      </c>
      <c r="P1391" s="70">
        <f>Table1[[#This Row],[Overall amount]]*Exchange_Rate</f>
        <v>4341.7463377689492</v>
      </c>
      <c r="Q1391" s="70">
        <f>Table1[[#This Row],[Overall (destination currency)]]*(1+Claims_Inflation)^((Revalue_at_date-Table1[[#This Row],[Loss date]])/365.25)</f>
        <v>5361.2640000000001</v>
      </c>
      <c r="R1391" s="70">
        <f>INT(Table1[[#This Row],[Reporting date]])-INT(Table1[[#This Row],[Loss date]])</f>
        <v>309</v>
      </c>
      <c r="S1391" s="69" t="s">
        <v>9</v>
      </c>
      <c r="T1391" s="70">
        <f>VLOOKUP(Table1[[#This Row],[Policy Year]],exposure_table,3,FALSE)</f>
        <v>870.52680000000009</v>
      </c>
      <c r="U1391" s="17">
        <f>IF(MONTH(Table1[[#This Row],[Reporting date]])&lt;Policy_Inception_Month,YEAR(Table1[[#This Row],[Reporting date]])-1,YEAR(Table1[[#This Row],[Reporting date]]))</f>
        <v>2012</v>
      </c>
      <c r="V1391" s="17">
        <f>Table1[[#This Row],[Reporting year]]-Table1[[#This Row],[Policy Year]]</f>
        <v>1</v>
      </c>
      <c r="W1391" s="17">
        <f>INT(Table1[[#This Row],[Reporting date]])-INT(Table1[[#This Row],[Loss date]])</f>
        <v>309</v>
      </c>
      <c r="X1391" s="17">
        <f>INT((YEAR(Table1[[#This Row],[Loss date]])*12+MONTH(Table1[[#This Row],[Loss date]])-Earliest_Month)/4)</f>
        <v>18</v>
      </c>
      <c r="Y1391" s="17">
        <f>INT((YEAR(Table1[[#This Row],[Reporting date]])*12+MONTH(Table1[[#This Row],[Reporting date]])-Earliest_Month)/4)</f>
        <v>21</v>
      </c>
      <c r="Z1391" s="17">
        <f>Table1[[#This Row],[Reporting third]]-Table1[[#This Row],[Policy third]]</f>
        <v>3</v>
      </c>
      <c r="AA1391" s="71">
        <f>IF(Table1[[#This Row],[Overall amount]]=0,"N/A",Table1[[#This Row],[Outstanding]]/Table1[[#This Row],[Overall amount]])</f>
        <v>0</v>
      </c>
      <c r="AB1391" s="17">
        <f>IF(MONTH(Table1[[#This Row],[Loss date]])&lt;Pol_Inc_Month_Shifted,YEAR(Table1[[#This Row],[Loss date]])-1,YEAR(Table1[[#This Row],[Loss date]]))</f>
        <v>2010</v>
      </c>
      <c r="AC1391" s="17">
        <f>IF(MONTH(Table1[[#This Row],[Reporting date]])&lt;Pol_Inc_Month_Shifted,YEAR(Table1[[#This Row],[Reporting date]])-1,YEAR(Table1[[#This Row],[Reporting date]]))</f>
        <v>2011</v>
      </c>
      <c r="AD1391" s="17">
        <f>Table1[[#This Row],[Reporting year (shifted)]]-Table1[[#This Row],[Policy Year (shifted)]]</f>
        <v>1</v>
      </c>
    </row>
    <row r="1392" spans="1:30" ht="13.9">
      <c r="A1392" s="8" t="s">
        <v>3162</v>
      </c>
      <c r="B1392" s="8" t="s">
        <v>1444</v>
      </c>
      <c r="C1392" s="8" t="s">
        <v>118</v>
      </c>
      <c r="D1392" s="9">
        <v>40969</v>
      </c>
      <c r="E1392" s="9">
        <v>41002</v>
      </c>
      <c r="F1392" s="17">
        <f>IF(MONTH(Table1[[#This Row],[Loss date]])&lt;Policy_Inception_Month,YEAR(Table1[[#This Row],[Loss date]])-1,YEAR(Table1[[#This Row],[Loss date]]))</f>
        <v>2011</v>
      </c>
      <c r="G1392" s="10" t="s">
        <v>119</v>
      </c>
      <c r="H1392" s="10" t="s">
        <v>2</v>
      </c>
      <c r="I1392" s="11">
        <v>540.5200063793161</v>
      </c>
      <c r="J1392" s="11">
        <v>0</v>
      </c>
      <c r="K1392" s="11">
        <v>540.5200063793161</v>
      </c>
      <c r="L1392" s="12">
        <v>151.12395332133718</v>
      </c>
      <c r="M1392" s="12">
        <v>0</v>
      </c>
      <c r="N1392" s="12">
        <v>691.64395970065334</v>
      </c>
      <c r="O1392" s="70">
        <f>IF(Table1[[#This Row],[Overall amount]]=0,0,1)</f>
        <v>1</v>
      </c>
      <c r="P1392" s="70">
        <f>Table1[[#This Row],[Overall amount]]*Exchange_Rate</f>
        <v>691.64395970065334</v>
      </c>
      <c r="Q1392" s="70">
        <f>Table1[[#This Row],[Overall (destination currency)]]*(1+Claims_Inflation)^((Revalue_at_date-Table1[[#This Row],[Loss date]])/365.25)</f>
        <v>823.80000000000007</v>
      </c>
      <c r="R1392" s="70">
        <f>INT(Table1[[#This Row],[Reporting date]])-INT(Table1[[#This Row],[Loss date]])</f>
        <v>33</v>
      </c>
      <c r="S1392" s="69" t="s">
        <v>9</v>
      </c>
      <c r="T1392" s="70">
        <f>VLOOKUP(Table1[[#This Row],[Policy Year]],exposure_table,3,FALSE)</f>
        <v>870.52680000000009</v>
      </c>
      <c r="U1392" s="17">
        <f>IF(MONTH(Table1[[#This Row],[Reporting date]])&lt;Policy_Inception_Month,YEAR(Table1[[#This Row],[Reporting date]])-1,YEAR(Table1[[#This Row],[Reporting date]]))</f>
        <v>2012</v>
      </c>
      <c r="V1392" s="17">
        <f>Table1[[#This Row],[Reporting year]]-Table1[[#This Row],[Policy Year]]</f>
        <v>1</v>
      </c>
      <c r="W1392" s="17">
        <f>INT(Table1[[#This Row],[Reporting date]])-INT(Table1[[#This Row],[Loss date]])</f>
        <v>33</v>
      </c>
      <c r="X1392" s="17">
        <f>INT((YEAR(Table1[[#This Row],[Loss date]])*12+MONTH(Table1[[#This Row],[Loss date]])-Earliest_Month)/4)</f>
        <v>20</v>
      </c>
      <c r="Y1392" s="17">
        <f>INT((YEAR(Table1[[#This Row],[Reporting date]])*12+MONTH(Table1[[#This Row],[Reporting date]])-Earliest_Month)/4)</f>
        <v>21</v>
      </c>
      <c r="Z1392" s="17">
        <f>Table1[[#This Row],[Reporting third]]-Table1[[#This Row],[Policy third]]</f>
        <v>1</v>
      </c>
      <c r="AA1392" s="71">
        <f>IF(Table1[[#This Row],[Overall amount]]=0,"N/A",Table1[[#This Row],[Outstanding]]/Table1[[#This Row],[Overall amount]])</f>
        <v>0</v>
      </c>
      <c r="AB1392" s="17">
        <f>IF(MONTH(Table1[[#This Row],[Loss date]])&lt;Pol_Inc_Month_Shifted,YEAR(Table1[[#This Row],[Loss date]])-1,YEAR(Table1[[#This Row],[Loss date]]))</f>
        <v>2011</v>
      </c>
      <c r="AC1392" s="17">
        <f>IF(MONTH(Table1[[#This Row],[Reporting date]])&lt;Pol_Inc_Month_Shifted,YEAR(Table1[[#This Row],[Reporting date]])-1,YEAR(Table1[[#This Row],[Reporting date]]))</f>
        <v>2011</v>
      </c>
      <c r="AD1392" s="17">
        <f>Table1[[#This Row],[Reporting year (shifted)]]-Table1[[#This Row],[Policy Year (shifted)]]</f>
        <v>0</v>
      </c>
    </row>
    <row r="1393" spans="1:30" ht="13.9">
      <c r="A1393" s="8" t="s">
        <v>3163</v>
      </c>
      <c r="B1393" s="8" t="s">
        <v>1445</v>
      </c>
      <c r="C1393" s="8" t="s">
        <v>118</v>
      </c>
      <c r="D1393" s="9">
        <v>39969</v>
      </c>
      <c r="E1393" s="9">
        <v>39969</v>
      </c>
      <c r="F1393" s="17">
        <f>IF(MONTH(Table1[[#This Row],[Loss date]])&lt;Policy_Inception_Month,YEAR(Table1[[#This Row],[Loss date]])-1,YEAR(Table1[[#This Row],[Loss date]]))</f>
        <v>2009</v>
      </c>
      <c r="G1393" s="10" t="s">
        <v>121</v>
      </c>
      <c r="H1393" s="10" t="s">
        <v>2</v>
      </c>
      <c r="I1393" s="11">
        <v>472.9319274773037</v>
      </c>
      <c r="J1393" s="11">
        <v>0</v>
      </c>
      <c r="K1393" s="11">
        <v>472.9319274773037</v>
      </c>
      <c r="L1393" s="12">
        <v>0</v>
      </c>
      <c r="M1393" s="12">
        <v>0</v>
      </c>
      <c r="N1393" s="12">
        <v>472.9319274773037</v>
      </c>
      <c r="O1393" s="70">
        <f>IF(Table1[[#This Row],[Overall amount]]=0,0,1)</f>
        <v>1</v>
      </c>
      <c r="P1393" s="70">
        <f>Table1[[#This Row],[Overall amount]]*Exchange_Rate</f>
        <v>472.9319274773037</v>
      </c>
      <c r="Q1393" s="70">
        <f>Table1[[#This Row],[Overall (destination currency)]]*(1+Claims_Inflation)^((Revalue_at_date-Table1[[#This Row],[Loss date]])/365.25)</f>
        <v>643.79999999999995</v>
      </c>
      <c r="R1393" s="70">
        <f>INT(Table1[[#This Row],[Reporting date]])-INT(Table1[[#This Row],[Loss date]])</f>
        <v>0</v>
      </c>
      <c r="S1393" s="69" t="s">
        <v>9</v>
      </c>
      <c r="T1393" s="70">
        <f>VLOOKUP(Table1[[#This Row],[Policy Year]],exposure_table,3,FALSE)</f>
        <v>760.22808576000011</v>
      </c>
      <c r="U1393" s="17">
        <f>IF(MONTH(Table1[[#This Row],[Reporting date]])&lt;Policy_Inception_Month,YEAR(Table1[[#This Row],[Reporting date]])-1,YEAR(Table1[[#This Row],[Reporting date]]))</f>
        <v>2009</v>
      </c>
      <c r="V1393" s="17">
        <f>Table1[[#This Row],[Reporting year]]-Table1[[#This Row],[Policy Year]]</f>
        <v>0</v>
      </c>
      <c r="W1393" s="17">
        <f>INT(Table1[[#This Row],[Reporting date]])-INT(Table1[[#This Row],[Loss date]])</f>
        <v>0</v>
      </c>
      <c r="X1393" s="17">
        <f>INT((YEAR(Table1[[#This Row],[Loss date]])*12+MONTH(Table1[[#This Row],[Loss date]])-Earliest_Month)/4)</f>
        <v>12</v>
      </c>
      <c r="Y1393" s="17">
        <f>INT((YEAR(Table1[[#This Row],[Reporting date]])*12+MONTH(Table1[[#This Row],[Reporting date]])-Earliest_Month)/4)</f>
        <v>12</v>
      </c>
      <c r="Z1393" s="17">
        <f>Table1[[#This Row],[Reporting third]]-Table1[[#This Row],[Policy third]]</f>
        <v>0</v>
      </c>
      <c r="AA1393" s="71">
        <f>IF(Table1[[#This Row],[Overall amount]]=0,"N/A",Table1[[#This Row],[Outstanding]]/Table1[[#This Row],[Overall amount]])</f>
        <v>0</v>
      </c>
      <c r="AB1393" s="17">
        <f>IF(MONTH(Table1[[#This Row],[Loss date]])&lt;Pol_Inc_Month_Shifted,YEAR(Table1[[#This Row],[Loss date]])-1,YEAR(Table1[[#This Row],[Loss date]]))</f>
        <v>2008</v>
      </c>
      <c r="AC1393" s="17">
        <f>IF(MONTH(Table1[[#This Row],[Reporting date]])&lt;Pol_Inc_Month_Shifted,YEAR(Table1[[#This Row],[Reporting date]])-1,YEAR(Table1[[#This Row],[Reporting date]]))</f>
        <v>2008</v>
      </c>
      <c r="AD1393" s="17">
        <f>Table1[[#This Row],[Reporting year (shifted)]]-Table1[[#This Row],[Policy Year (shifted)]]</f>
        <v>0</v>
      </c>
    </row>
    <row r="1394" spans="1:30" ht="13.9">
      <c r="A1394" s="8" t="s">
        <v>3164</v>
      </c>
      <c r="B1394" s="8" t="s">
        <v>1446</v>
      </c>
      <c r="C1394" s="8" t="s">
        <v>118</v>
      </c>
      <c r="D1394" s="9">
        <v>41061</v>
      </c>
      <c r="E1394" s="9">
        <v>41069</v>
      </c>
      <c r="F1394" s="17">
        <f>IF(MONTH(Table1[[#This Row],[Loss date]])&lt;Policy_Inception_Month,YEAR(Table1[[#This Row],[Loss date]])-1,YEAR(Table1[[#This Row],[Loss date]]))</f>
        <v>2012</v>
      </c>
      <c r="G1394" s="10" t="s">
        <v>119</v>
      </c>
      <c r="H1394" s="10" t="s">
        <v>2</v>
      </c>
      <c r="I1394" s="11">
        <v>2338.7473609407261</v>
      </c>
      <c r="J1394" s="11">
        <v>0</v>
      </c>
      <c r="K1394" s="11">
        <v>2338.7473609407261</v>
      </c>
      <c r="L1394" s="12">
        <v>0</v>
      </c>
      <c r="M1394" s="12">
        <v>0</v>
      </c>
      <c r="N1394" s="12">
        <v>2338.7473609407261</v>
      </c>
      <c r="O1394" s="70">
        <f>IF(Table1[[#This Row],[Overall amount]]=0,0,1)</f>
        <v>1</v>
      </c>
      <c r="P1394" s="70">
        <f>Table1[[#This Row],[Overall amount]]*Exchange_Rate</f>
        <v>2338.7473609407261</v>
      </c>
      <c r="Q1394" s="70">
        <f>Table1[[#This Row],[Overall (destination currency)]]*(1+Claims_Inflation)^((Revalue_at_date-Table1[[#This Row],[Loss date]])/365.25)</f>
        <v>2751.6000000000004</v>
      </c>
      <c r="R1394" s="70">
        <f>INT(Table1[[#This Row],[Reporting date]])-INT(Table1[[#This Row],[Loss date]])</f>
        <v>8</v>
      </c>
      <c r="S1394" s="69" t="s">
        <v>9</v>
      </c>
      <c r="T1394" s="70">
        <f>VLOOKUP(Table1[[#This Row],[Policy Year]],exposure_table,3,FALSE)</f>
        <v>1057.54</v>
      </c>
      <c r="U1394" s="17">
        <f>IF(MONTH(Table1[[#This Row],[Reporting date]])&lt;Policy_Inception_Month,YEAR(Table1[[#This Row],[Reporting date]])-1,YEAR(Table1[[#This Row],[Reporting date]]))</f>
        <v>2012</v>
      </c>
      <c r="V1394" s="17">
        <f>Table1[[#This Row],[Reporting year]]-Table1[[#This Row],[Policy Year]]</f>
        <v>0</v>
      </c>
      <c r="W1394" s="17">
        <f>INT(Table1[[#This Row],[Reporting date]])-INT(Table1[[#This Row],[Loss date]])</f>
        <v>8</v>
      </c>
      <c r="X1394" s="17">
        <f>INT((YEAR(Table1[[#This Row],[Loss date]])*12+MONTH(Table1[[#This Row],[Loss date]])-Earliest_Month)/4)</f>
        <v>21</v>
      </c>
      <c r="Y1394" s="17">
        <f>INT((YEAR(Table1[[#This Row],[Reporting date]])*12+MONTH(Table1[[#This Row],[Reporting date]])-Earliest_Month)/4)</f>
        <v>21</v>
      </c>
      <c r="Z1394" s="17">
        <f>Table1[[#This Row],[Reporting third]]-Table1[[#This Row],[Policy third]]</f>
        <v>0</v>
      </c>
      <c r="AA1394" s="71">
        <f>IF(Table1[[#This Row],[Overall amount]]=0,"N/A",Table1[[#This Row],[Outstanding]]/Table1[[#This Row],[Overall amount]])</f>
        <v>0</v>
      </c>
      <c r="AB1394" s="17">
        <f>IF(MONTH(Table1[[#This Row],[Loss date]])&lt;Pol_Inc_Month_Shifted,YEAR(Table1[[#This Row],[Loss date]])-1,YEAR(Table1[[#This Row],[Loss date]]))</f>
        <v>2011</v>
      </c>
      <c r="AC1394" s="17">
        <f>IF(MONTH(Table1[[#This Row],[Reporting date]])&lt;Pol_Inc_Month_Shifted,YEAR(Table1[[#This Row],[Reporting date]])-1,YEAR(Table1[[#This Row],[Reporting date]]))</f>
        <v>2011</v>
      </c>
      <c r="AD1394" s="17">
        <f>Table1[[#This Row],[Reporting year (shifted)]]-Table1[[#This Row],[Policy Year (shifted)]]</f>
        <v>0</v>
      </c>
    </row>
    <row r="1395" spans="1:30" ht="13.9">
      <c r="A1395" s="8" t="s">
        <v>3165</v>
      </c>
      <c r="B1395" s="8" t="s">
        <v>1447</v>
      </c>
      <c r="C1395" s="8" t="s">
        <v>118</v>
      </c>
      <c r="D1395" s="9">
        <v>40525</v>
      </c>
      <c r="E1395" s="9">
        <v>40572</v>
      </c>
      <c r="F1395" s="17">
        <f>IF(MONTH(Table1[[#This Row],[Loss date]])&lt;Policy_Inception_Month,YEAR(Table1[[#This Row],[Loss date]])-1,YEAR(Table1[[#This Row],[Loss date]]))</f>
        <v>2010</v>
      </c>
      <c r="G1395" s="10" t="s">
        <v>119</v>
      </c>
      <c r="H1395" s="10" t="s">
        <v>2</v>
      </c>
      <c r="I1395" s="11">
        <v>16823.735850599835</v>
      </c>
      <c r="J1395" s="11">
        <v>0</v>
      </c>
      <c r="K1395" s="11">
        <v>16823.735850599835</v>
      </c>
      <c r="L1395" s="12">
        <v>142.42147268180386</v>
      </c>
      <c r="M1395" s="12">
        <v>0</v>
      </c>
      <c r="N1395" s="12">
        <v>16966.157323281637</v>
      </c>
      <c r="O1395" s="70">
        <f>IF(Table1[[#This Row],[Overall amount]]=0,0,1)</f>
        <v>1</v>
      </c>
      <c r="P1395" s="70">
        <f>Table1[[#This Row],[Overall amount]]*Exchange_Rate</f>
        <v>16966.157323281637</v>
      </c>
      <c r="Q1395" s="70">
        <f>Table1[[#This Row],[Overall (destination currency)]]*(1+Claims_Inflation)^((Revalue_at_date-Table1[[#This Row],[Loss date]])/365.25)</f>
        <v>21442.752</v>
      </c>
      <c r="R1395" s="70">
        <f>INT(Table1[[#This Row],[Reporting date]])-INT(Table1[[#This Row],[Loss date]])</f>
        <v>47</v>
      </c>
      <c r="S1395" s="69" t="s">
        <v>9</v>
      </c>
      <c r="T1395" s="70">
        <f>VLOOKUP(Table1[[#This Row],[Policy Year]],exposure_table,3,FALSE)</f>
        <v>837.11513600000012</v>
      </c>
      <c r="U1395" s="17">
        <f>IF(MONTH(Table1[[#This Row],[Reporting date]])&lt;Policy_Inception_Month,YEAR(Table1[[#This Row],[Reporting date]])-1,YEAR(Table1[[#This Row],[Reporting date]]))</f>
        <v>2010</v>
      </c>
      <c r="V1395" s="17">
        <f>Table1[[#This Row],[Reporting year]]-Table1[[#This Row],[Policy Year]]</f>
        <v>0</v>
      </c>
      <c r="W1395" s="17">
        <f>INT(Table1[[#This Row],[Reporting date]])-INT(Table1[[#This Row],[Loss date]])</f>
        <v>47</v>
      </c>
      <c r="X1395" s="17">
        <f>INT((YEAR(Table1[[#This Row],[Loss date]])*12+MONTH(Table1[[#This Row],[Loss date]])-Earliest_Month)/4)</f>
        <v>17</v>
      </c>
      <c r="Y1395" s="17">
        <f>INT((YEAR(Table1[[#This Row],[Reporting date]])*12+MONTH(Table1[[#This Row],[Reporting date]])-Earliest_Month)/4)</f>
        <v>17</v>
      </c>
      <c r="Z1395" s="17">
        <f>Table1[[#This Row],[Reporting third]]-Table1[[#This Row],[Policy third]]</f>
        <v>0</v>
      </c>
      <c r="AA1395" s="71">
        <f>IF(Table1[[#This Row],[Overall amount]]=0,"N/A",Table1[[#This Row],[Outstanding]]/Table1[[#This Row],[Overall amount]])</f>
        <v>0</v>
      </c>
      <c r="AB1395" s="17">
        <f>IF(MONTH(Table1[[#This Row],[Loss date]])&lt;Pol_Inc_Month_Shifted,YEAR(Table1[[#This Row],[Loss date]])-1,YEAR(Table1[[#This Row],[Loss date]]))</f>
        <v>2010</v>
      </c>
      <c r="AC1395" s="17">
        <f>IF(MONTH(Table1[[#This Row],[Reporting date]])&lt;Pol_Inc_Month_Shifted,YEAR(Table1[[#This Row],[Reporting date]])-1,YEAR(Table1[[#This Row],[Reporting date]]))</f>
        <v>2010</v>
      </c>
      <c r="AD1395" s="17">
        <f>Table1[[#This Row],[Reporting year (shifted)]]-Table1[[#This Row],[Policy Year (shifted)]]</f>
        <v>0</v>
      </c>
    </row>
    <row r="1396" spans="1:30" ht="13.9">
      <c r="A1396" s="8" t="s">
        <v>3166</v>
      </c>
      <c r="B1396" s="8" t="s">
        <v>1448</v>
      </c>
      <c r="C1396" s="8" t="s">
        <v>118</v>
      </c>
      <c r="D1396" s="9">
        <v>40609</v>
      </c>
      <c r="E1396" s="9">
        <v>40658</v>
      </c>
      <c r="F1396" s="17">
        <f>IF(MONTH(Table1[[#This Row],[Loss date]])&lt;Policy_Inception_Month,YEAR(Table1[[#This Row],[Loss date]])-1,YEAR(Table1[[#This Row],[Loss date]]))</f>
        <v>2010</v>
      </c>
      <c r="G1396" s="10" t="s">
        <v>119</v>
      </c>
      <c r="H1396" s="10" t="s">
        <v>2</v>
      </c>
      <c r="I1396" s="11">
        <v>36216.601971266893</v>
      </c>
      <c r="J1396" s="11">
        <v>9392.4375398219963</v>
      </c>
      <c r="K1396" s="11">
        <v>45609.039511088886</v>
      </c>
      <c r="L1396" s="12">
        <v>0</v>
      </c>
      <c r="M1396" s="12">
        <v>0</v>
      </c>
      <c r="N1396" s="12">
        <v>45609.039511088886</v>
      </c>
      <c r="O1396" s="70">
        <f>IF(Table1[[#This Row],[Overall amount]]=0,0,1)</f>
        <v>1</v>
      </c>
      <c r="P1396" s="70">
        <f>Table1[[#This Row],[Overall amount]]*Exchange_Rate</f>
        <v>45609.039511088886</v>
      </c>
      <c r="Q1396" s="70">
        <f>Table1[[#This Row],[Overall (destination currency)]]*(1+Claims_Inflation)^((Revalue_at_date-Table1[[#This Row],[Loss date]])/365.25)</f>
        <v>57000</v>
      </c>
      <c r="R1396" s="70">
        <f>INT(Table1[[#This Row],[Reporting date]])-INT(Table1[[#This Row],[Loss date]])</f>
        <v>49</v>
      </c>
      <c r="S1396" s="69" t="s">
        <v>16</v>
      </c>
      <c r="T1396" s="70">
        <f>VLOOKUP(Table1[[#This Row],[Policy Year]],exposure_table,3,FALSE)</f>
        <v>837.11513600000012</v>
      </c>
      <c r="U1396" s="17">
        <f>IF(MONTH(Table1[[#This Row],[Reporting date]])&lt;Policy_Inception_Month,YEAR(Table1[[#This Row],[Reporting date]])-1,YEAR(Table1[[#This Row],[Reporting date]]))</f>
        <v>2011</v>
      </c>
      <c r="V1396" s="17">
        <f>Table1[[#This Row],[Reporting year]]-Table1[[#This Row],[Policy Year]]</f>
        <v>1</v>
      </c>
      <c r="W1396" s="17">
        <f>INT(Table1[[#This Row],[Reporting date]])-INT(Table1[[#This Row],[Loss date]])</f>
        <v>49</v>
      </c>
      <c r="X1396" s="17">
        <f>INT((YEAR(Table1[[#This Row],[Loss date]])*12+MONTH(Table1[[#This Row],[Loss date]])-Earliest_Month)/4)</f>
        <v>17</v>
      </c>
      <c r="Y1396" s="17">
        <f>INT((YEAR(Table1[[#This Row],[Reporting date]])*12+MONTH(Table1[[#This Row],[Reporting date]])-Earliest_Month)/4)</f>
        <v>18</v>
      </c>
      <c r="Z1396" s="17">
        <f>Table1[[#This Row],[Reporting third]]-Table1[[#This Row],[Policy third]]</f>
        <v>1</v>
      </c>
      <c r="AA1396" s="71">
        <f>IF(Table1[[#This Row],[Overall amount]]=0,"N/A",Table1[[#This Row],[Outstanding]]/Table1[[#This Row],[Overall amount]])</f>
        <v>0.20593368421052632</v>
      </c>
      <c r="AB1396" s="17">
        <f>IF(MONTH(Table1[[#This Row],[Loss date]])&lt;Pol_Inc_Month_Shifted,YEAR(Table1[[#This Row],[Loss date]])-1,YEAR(Table1[[#This Row],[Loss date]]))</f>
        <v>2010</v>
      </c>
      <c r="AC1396" s="17">
        <f>IF(MONTH(Table1[[#This Row],[Reporting date]])&lt;Pol_Inc_Month_Shifted,YEAR(Table1[[#This Row],[Reporting date]])-1,YEAR(Table1[[#This Row],[Reporting date]]))</f>
        <v>2010</v>
      </c>
      <c r="AD1396" s="17">
        <f>Table1[[#This Row],[Reporting year (shifted)]]-Table1[[#This Row],[Policy Year (shifted)]]</f>
        <v>0</v>
      </c>
    </row>
    <row r="1397" spans="1:30" ht="13.9">
      <c r="A1397" s="8" t="s">
        <v>3167</v>
      </c>
      <c r="B1397" s="8" t="s">
        <v>1449</v>
      </c>
      <c r="C1397" s="8" t="s">
        <v>118</v>
      </c>
      <c r="D1397" s="9">
        <v>40614</v>
      </c>
      <c r="E1397" s="9">
        <v>40616</v>
      </c>
      <c r="F1397" s="17">
        <f>IF(MONTH(Table1[[#This Row],[Loss date]])&lt;Policy_Inception_Month,YEAR(Table1[[#This Row],[Loss date]])-1,YEAR(Table1[[#This Row],[Loss date]]))</f>
        <v>2010</v>
      </c>
      <c r="G1397" s="10" t="s">
        <v>153</v>
      </c>
      <c r="H1397" s="10" t="s">
        <v>2</v>
      </c>
      <c r="I1397" s="11">
        <v>1964.4206799617045</v>
      </c>
      <c r="J1397" s="11">
        <v>0</v>
      </c>
      <c r="K1397" s="11">
        <v>1964.4206799617045</v>
      </c>
      <c r="L1397" s="12">
        <v>144.12477475874576</v>
      </c>
      <c r="M1397" s="12">
        <v>0</v>
      </c>
      <c r="N1397" s="12">
        <v>2108.5454547204504</v>
      </c>
      <c r="O1397" s="70">
        <f>IF(Table1[[#This Row],[Overall amount]]=0,0,1)</f>
        <v>1</v>
      </c>
      <c r="P1397" s="70">
        <f>Table1[[#This Row],[Overall amount]]*Exchange_Rate</f>
        <v>2108.5454547204504</v>
      </c>
      <c r="Q1397" s="70">
        <f>Table1[[#This Row],[Overall (destination currency)]]*(1+Claims_Inflation)^((Revalue_at_date-Table1[[#This Row],[Loss date]])/365.25)</f>
        <v>2633.4000000000005</v>
      </c>
      <c r="R1397" s="70">
        <f>INT(Table1[[#This Row],[Reporting date]])-INT(Table1[[#This Row],[Loss date]])</f>
        <v>2</v>
      </c>
      <c r="S1397" s="69" t="s">
        <v>9</v>
      </c>
      <c r="T1397" s="70">
        <f>VLOOKUP(Table1[[#This Row],[Policy Year]],exposure_table,3,FALSE)</f>
        <v>837.11513600000012</v>
      </c>
      <c r="U1397" s="17">
        <f>IF(MONTH(Table1[[#This Row],[Reporting date]])&lt;Policy_Inception_Month,YEAR(Table1[[#This Row],[Reporting date]])-1,YEAR(Table1[[#This Row],[Reporting date]]))</f>
        <v>2010</v>
      </c>
      <c r="V1397" s="17">
        <f>Table1[[#This Row],[Reporting year]]-Table1[[#This Row],[Policy Year]]</f>
        <v>0</v>
      </c>
      <c r="W1397" s="17">
        <f>INT(Table1[[#This Row],[Reporting date]])-INT(Table1[[#This Row],[Loss date]])</f>
        <v>2</v>
      </c>
      <c r="X1397" s="17">
        <f>INT((YEAR(Table1[[#This Row],[Loss date]])*12+MONTH(Table1[[#This Row],[Loss date]])-Earliest_Month)/4)</f>
        <v>17</v>
      </c>
      <c r="Y1397" s="17">
        <f>INT((YEAR(Table1[[#This Row],[Reporting date]])*12+MONTH(Table1[[#This Row],[Reporting date]])-Earliest_Month)/4)</f>
        <v>17</v>
      </c>
      <c r="Z1397" s="17">
        <f>Table1[[#This Row],[Reporting third]]-Table1[[#This Row],[Policy third]]</f>
        <v>0</v>
      </c>
      <c r="AA1397" s="71">
        <f>IF(Table1[[#This Row],[Overall amount]]=0,"N/A",Table1[[#This Row],[Outstanding]]/Table1[[#This Row],[Overall amount]])</f>
        <v>0</v>
      </c>
      <c r="AB1397" s="17">
        <f>IF(MONTH(Table1[[#This Row],[Loss date]])&lt;Pol_Inc_Month_Shifted,YEAR(Table1[[#This Row],[Loss date]])-1,YEAR(Table1[[#This Row],[Loss date]]))</f>
        <v>2010</v>
      </c>
      <c r="AC1397" s="17">
        <f>IF(MONTH(Table1[[#This Row],[Reporting date]])&lt;Pol_Inc_Month_Shifted,YEAR(Table1[[#This Row],[Reporting date]])-1,YEAR(Table1[[#This Row],[Reporting date]]))</f>
        <v>2010</v>
      </c>
      <c r="AD1397" s="17">
        <f>Table1[[#This Row],[Reporting year (shifted)]]-Table1[[#This Row],[Policy Year (shifted)]]</f>
        <v>0</v>
      </c>
    </row>
    <row r="1398" spans="1:30" ht="13.9">
      <c r="A1398" s="8" t="s">
        <v>3168</v>
      </c>
      <c r="B1398" s="8" t="s">
        <v>1450</v>
      </c>
      <c r="C1398" s="8" t="s">
        <v>118</v>
      </c>
      <c r="D1398" s="9">
        <v>40711</v>
      </c>
      <c r="E1398" s="9">
        <v>40819</v>
      </c>
      <c r="F1398" s="17">
        <f>IF(MONTH(Table1[[#This Row],[Loss date]])&lt;Policy_Inception_Month,YEAR(Table1[[#This Row],[Loss date]])-1,YEAR(Table1[[#This Row],[Loss date]]))</f>
        <v>2011</v>
      </c>
      <c r="G1398" s="10" t="s">
        <v>119</v>
      </c>
      <c r="H1398" s="10" t="s">
        <v>2</v>
      </c>
      <c r="I1398" s="11">
        <v>1100.8731054319865</v>
      </c>
      <c r="J1398" s="11">
        <v>0</v>
      </c>
      <c r="K1398" s="11">
        <v>1100.8731054319865</v>
      </c>
      <c r="L1398" s="12">
        <v>146.00439064084699</v>
      </c>
      <c r="M1398" s="12">
        <v>0</v>
      </c>
      <c r="N1398" s="12">
        <v>1246.8774960728335</v>
      </c>
      <c r="O1398" s="70">
        <f>IF(Table1[[#This Row],[Overall amount]]=0,0,1)</f>
        <v>1</v>
      </c>
      <c r="P1398" s="70">
        <f>Table1[[#This Row],[Overall amount]]*Exchange_Rate</f>
        <v>1246.8774960728335</v>
      </c>
      <c r="Q1398" s="70">
        <f>Table1[[#This Row],[Overall (destination currency)]]*(1+Claims_Inflation)^((Revalue_at_date-Table1[[#This Row],[Loss date]])/365.25)</f>
        <v>1537.2</v>
      </c>
      <c r="R1398" s="70">
        <f>INT(Table1[[#This Row],[Reporting date]])-INT(Table1[[#This Row],[Loss date]])</f>
        <v>108</v>
      </c>
      <c r="S1398" s="69" t="s">
        <v>9</v>
      </c>
      <c r="T1398" s="70">
        <f>VLOOKUP(Table1[[#This Row],[Policy Year]],exposure_table,3,FALSE)</f>
        <v>870.52680000000009</v>
      </c>
      <c r="U1398" s="17">
        <f>IF(MONTH(Table1[[#This Row],[Reporting date]])&lt;Policy_Inception_Month,YEAR(Table1[[#This Row],[Reporting date]])-1,YEAR(Table1[[#This Row],[Reporting date]]))</f>
        <v>2011</v>
      </c>
      <c r="V1398" s="17">
        <f>Table1[[#This Row],[Reporting year]]-Table1[[#This Row],[Policy Year]]</f>
        <v>0</v>
      </c>
      <c r="W1398" s="17">
        <f>INT(Table1[[#This Row],[Reporting date]])-INT(Table1[[#This Row],[Loss date]])</f>
        <v>108</v>
      </c>
      <c r="X1398" s="17">
        <f>INT((YEAR(Table1[[#This Row],[Loss date]])*12+MONTH(Table1[[#This Row],[Loss date]])-Earliest_Month)/4)</f>
        <v>18</v>
      </c>
      <c r="Y1398" s="17">
        <f>INT((YEAR(Table1[[#This Row],[Reporting date]])*12+MONTH(Table1[[#This Row],[Reporting date]])-Earliest_Month)/4)</f>
        <v>19</v>
      </c>
      <c r="Z1398" s="17">
        <f>Table1[[#This Row],[Reporting third]]-Table1[[#This Row],[Policy third]]</f>
        <v>1</v>
      </c>
      <c r="AA1398" s="71">
        <f>IF(Table1[[#This Row],[Overall amount]]=0,"N/A",Table1[[#This Row],[Outstanding]]/Table1[[#This Row],[Overall amount]])</f>
        <v>0</v>
      </c>
      <c r="AB1398" s="17">
        <f>IF(MONTH(Table1[[#This Row],[Loss date]])&lt;Pol_Inc_Month_Shifted,YEAR(Table1[[#This Row],[Loss date]])-1,YEAR(Table1[[#This Row],[Loss date]]))</f>
        <v>2010</v>
      </c>
      <c r="AC1398" s="17">
        <f>IF(MONTH(Table1[[#This Row],[Reporting date]])&lt;Pol_Inc_Month_Shifted,YEAR(Table1[[#This Row],[Reporting date]])-1,YEAR(Table1[[#This Row],[Reporting date]]))</f>
        <v>2010</v>
      </c>
      <c r="AD1398" s="17">
        <f>Table1[[#This Row],[Reporting year (shifted)]]-Table1[[#This Row],[Policy Year (shifted)]]</f>
        <v>0</v>
      </c>
    </row>
    <row r="1399" spans="1:30" ht="13.9">
      <c r="A1399" s="8" t="s">
        <v>3169</v>
      </c>
      <c r="B1399" s="8" t="s">
        <v>1451</v>
      </c>
      <c r="C1399" s="8" t="s">
        <v>118</v>
      </c>
      <c r="D1399" s="9">
        <v>40670</v>
      </c>
      <c r="E1399" s="9">
        <v>40670</v>
      </c>
      <c r="F1399" s="17">
        <f>IF(MONTH(Table1[[#This Row],[Loss date]])&lt;Policy_Inception_Month,YEAR(Table1[[#This Row],[Loss date]])-1,YEAR(Table1[[#This Row],[Loss date]]))</f>
        <v>2011</v>
      </c>
      <c r="G1399" s="10" t="s">
        <v>144</v>
      </c>
      <c r="H1399" s="10" t="s">
        <v>2</v>
      </c>
      <c r="I1399" s="11">
        <v>77364.264151617041</v>
      </c>
      <c r="J1399" s="11">
        <v>0</v>
      </c>
      <c r="K1399" s="11">
        <v>77364.264151617041</v>
      </c>
      <c r="L1399" s="12">
        <v>0</v>
      </c>
      <c r="M1399" s="12">
        <v>0</v>
      </c>
      <c r="N1399" s="12">
        <v>77364.264151617041</v>
      </c>
      <c r="O1399" s="70">
        <f>IF(Table1[[#This Row],[Overall amount]]=0,0,1)</f>
        <v>1</v>
      </c>
      <c r="P1399" s="70">
        <f>Table1[[#This Row],[Overall amount]]*Exchange_Rate</f>
        <v>77364.264151617041</v>
      </c>
      <c r="Q1399" s="70">
        <f>Table1[[#This Row],[Overall (destination currency)]]*(1+Claims_Inflation)^((Revalue_at_date-Table1[[#This Row],[Loss date]])/365.25)</f>
        <v>95901.528000000006</v>
      </c>
      <c r="R1399" s="70">
        <f>INT(Table1[[#This Row],[Reporting date]])-INT(Table1[[#This Row],[Loss date]])</f>
        <v>0</v>
      </c>
      <c r="S1399" s="69" t="s">
        <v>9</v>
      </c>
      <c r="T1399" s="70">
        <f>VLOOKUP(Table1[[#This Row],[Policy Year]],exposure_table,3,FALSE)</f>
        <v>870.52680000000009</v>
      </c>
      <c r="U1399" s="17">
        <f>IF(MONTH(Table1[[#This Row],[Reporting date]])&lt;Policy_Inception_Month,YEAR(Table1[[#This Row],[Reporting date]])-1,YEAR(Table1[[#This Row],[Reporting date]]))</f>
        <v>2011</v>
      </c>
      <c r="V1399" s="17">
        <f>Table1[[#This Row],[Reporting year]]-Table1[[#This Row],[Policy Year]]</f>
        <v>0</v>
      </c>
      <c r="W1399" s="17">
        <f>INT(Table1[[#This Row],[Reporting date]])-INT(Table1[[#This Row],[Loss date]])</f>
        <v>0</v>
      </c>
      <c r="X1399" s="17">
        <f>INT((YEAR(Table1[[#This Row],[Loss date]])*12+MONTH(Table1[[#This Row],[Loss date]])-Earliest_Month)/4)</f>
        <v>18</v>
      </c>
      <c r="Y1399" s="17">
        <f>INT((YEAR(Table1[[#This Row],[Reporting date]])*12+MONTH(Table1[[#This Row],[Reporting date]])-Earliest_Month)/4)</f>
        <v>18</v>
      </c>
      <c r="Z1399" s="17">
        <f>Table1[[#This Row],[Reporting third]]-Table1[[#This Row],[Policy third]]</f>
        <v>0</v>
      </c>
      <c r="AA1399" s="71">
        <f>IF(Table1[[#This Row],[Overall amount]]=0,"N/A",Table1[[#This Row],[Outstanding]]/Table1[[#This Row],[Overall amount]])</f>
        <v>0</v>
      </c>
      <c r="AB1399" s="17">
        <f>IF(MONTH(Table1[[#This Row],[Loss date]])&lt;Pol_Inc_Month_Shifted,YEAR(Table1[[#This Row],[Loss date]])-1,YEAR(Table1[[#This Row],[Loss date]]))</f>
        <v>2010</v>
      </c>
      <c r="AC1399" s="17">
        <f>IF(MONTH(Table1[[#This Row],[Reporting date]])&lt;Pol_Inc_Month_Shifted,YEAR(Table1[[#This Row],[Reporting date]])-1,YEAR(Table1[[#This Row],[Reporting date]]))</f>
        <v>2010</v>
      </c>
      <c r="AD1399" s="17">
        <f>Table1[[#This Row],[Reporting year (shifted)]]-Table1[[#This Row],[Policy Year (shifted)]]</f>
        <v>0</v>
      </c>
    </row>
    <row r="1400" spans="1:30" ht="13.9">
      <c r="A1400" s="8" t="s">
        <v>3170</v>
      </c>
      <c r="B1400" s="8" t="s">
        <v>1452</v>
      </c>
      <c r="C1400" s="8" t="s">
        <v>118</v>
      </c>
      <c r="D1400" s="9">
        <v>40019</v>
      </c>
      <c r="E1400" s="9">
        <v>40088</v>
      </c>
      <c r="F1400" s="17">
        <f>IF(MONTH(Table1[[#This Row],[Loss date]])&lt;Policy_Inception_Month,YEAR(Table1[[#This Row],[Loss date]])-1,YEAR(Table1[[#This Row],[Loss date]]))</f>
        <v>2009</v>
      </c>
      <c r="G1400" s="10" t="s">
        <v>148</v>
      </c>
      <c r="H1400" s="10" t="s">
        <v>2</v>
      </c>
      <c r="I1400" s="11">
        <v>71887.290279034001</v>
      </c>
      <c r="J1400" s="11">
        <v>0</v>
      </c>
      <c r="K1400" s="11">
        <v>71887.290279034001</v>
      </c>
      <c r="L1400" s="12">
        <v>0</v>
      </c>
      <c r="M1400" s="12">
        <v>0</v>
      </c>
      <c r="N1400" s="12">
        <v>71887.290279034001</v>
      </c>
      <c r="O1400" s="70">
        <f>IF(Table1[[#This Row],[Overall amount]]=0,0,1)</f>
        <v>1</v>
      </c>
      <c r="P1400" s="70">
        <f>Table1[[#This Row],[Overall amount]]*Exchange_Rate</f>
        <v>71887.290279034001</v>
      </c>
      <c r="Q1400" s="70">
        <f>Table1[[#This Row],[Overall (destination currency)]]*(1+Claims_Inflation)^((Revalue_at_date-Table1[[#This Row],[Loss date]])/365.25)</f>
        <v>97208.400000000023</v>
      </c>
      <c r="R1400" s="70">
        <f>INT(Table1[[#This Row],[Reporting date]])-INT(Table1[[#This Row],[Loss date]])</f>
        <v>69</v>
      </c>
      <c r="S1400" s="69" t="s">
        <v>9</v>
      </c>
      <c r="T1400" s="70">
        <f>VLOOKUP(Table1[[#This Row],[Policy Year]],exposure_table,3,FALSE)</f>
        <v>760.22808576000011</v>
      </c>
      <c r="U1400" s="17">
        <f>IF(MONTH(Table1[[#This Row],[Reporting date]])&lt;Policy_Inception_Month,YEAR(Table1[[#This Row],[Reporting date]])-1,YEAR(Table1[[#This Row],[Reporting date]]))</f>
        <v>2009</v>
      </c>
      <c r="V1400" s="17">
        <f>Table1[[#This Row],[Reporting year]]-Table1[[#This Row],[Policy Year]]</f>
        <v>0</v>
      </c>
      <c r="W1400" s="17">
        <f>INT(Table1[[#This Row],[Reporting date]])-INT(Table1[[#This Row],[Loss date]])</f>
        <v>69</v>
      </c>
      <c r="X1400" s="17">
        <f>INT((YEAR(Table1[[#This Row],[Loss date]])*12+MONTH(Table1[[#This Row],[Loss date]])-Earliest_Month)/4)</f>
        <v>12</v>
      </c>
      <c r="Y1400" s="17">
        <f>INT((YEAR(Table1[[#This Row],[Reporting date]])*12+MONTH(Table1[[#This Row],[Reporting date]])-Earliest_Month)/4)</f>
        <v>13</v>
      </c>
      <c r="Z1400" s="17">
        <f>Table1[[#This Row],[Reporting third]]-Table1[[#This Row],[Policy third]]</f>
        <v>1</v>
      </c>
      <c r="AA1400" s="71">
        <f>IF(Table1[[#This Row],[Overall amount]]=0,"N/A",Table1[[#This Row],[Outstanding]]/Table1[[#This Row],[Overall amount]])</f>
        <v>0</v>
      </c>
      <c r="AB1400" s="17">
        <f>IF(MONTH(Table1[[#This Row],[Loss date]])&lt;Pol_Inc_Month_Shifted,YEAR(Table1[[#This Row],[Loss date]])-1,YEAR(Table1[[#This Row],[Loss date]]))</f>
        <v>2008</v>
      </c>
      <c r="AC1400" s="17">
        <f>IF(MONTH(Table1[[#This Row],[Reporting date]])&lt;Pol_Inc_Month_Shifted,YEAR(Table1[[#This Row],[Reporting date]])-1,YEAR(Table1[[#This Row],[Reporting date]]))</f>
        <v>2008</v>
      </c>
      <c r="AD1400" s="17">
        <f>Table1[[#This Row],[Reporting year (shifted)]]-Table1[[#This Row],[Policy Year (shifted)]]</f>
        <v>0</v>
      </c>
    </row>
    <row r="1401" spans="1:30" ht="13.9">
      <c r="A1401" s="8" t="s">
        <v>3171</v>
      </c>
      <c r="B1401" s="8" t="s">
        <v>1453</v>
      </c>
      <c r="C1401" s="8" t="s">
        <v>118</v>
      </c>
      <c r="D1401" s="9">
        <v>39542</v>
      </c>
      <c r="E1401" s="9">
        <v>39543</v>
      </c>
      <c r="F1401" s="17">
        <f>IF(MONTH(Table1[[#This Row],[Loss date]])&lt;Policy_Inception_Month,YEAR(Table1[[#This Row],[Loss date]])-1,YEAR(Table1[[#This Row],[Loss date]]))</f>
        <v>2008</v>
      </c>
      <c r="G1401" s="10" t="s">
        <v>144</v>
      </c>
      <c r="H1401" s="10" t="s">
        <v>2</v>
      </c>
      <c r="I1401" s="11">
        <v>28764.258320492274</v>
      </c>
      <c r="J1401" s="11">
        <v>0</v>
      </c>
      <c r="K1401" s="11">
        <v>28764.258320492274</v>
      </c>
      <c r="L1401" s="12">
        <v>124.89600771362815</v>
      </c>
      <c r="M1401" s="12">
        <v>0</v>
      </c>
      <c r="N1401" s="12">
        <v>28889.154328205903</v>
      </c>
      <c r="O1401" s="70">
        <f>IF(Table1[[#This Row],[Overall amount]]=0,0,1)</f>
        <v>1</v>
      </c>
      <c r="P1401" s="70">
        <f>Table1[[#This Row],[Overall amount]]*Exchange_Rate</f>
        <v>28889.154328205903</v>
      </c>
      <c r="Q1401" s="70">
        <f>Table1[[#This Row],[Overall (destination currency)]]*(1+Claims_Inflation)^((Revalue_at_date-Table1[[#This Row],[Loss date]])/365.25)</f>
        <v>41635.019999999997</v>
      </c>
      <c r="R1401" s="70">
        <f>INT(Table1[[#This Row],[Reporting date]])-INT(Table1[[#This Row],[Loss date]])</f>
        <v>1</v>
      </c>
      <c r="S1401" s="69" t="s">
        <v>9</v>
      </c>
      <c r="T1401" s="70">
        <f>VLOOKUP(Table1[[#This Row],[Policy Year]],exposure_table,3,FALSE)</f>
        <v>601.98581780480015</v>
      </c>
      <c r="U1401" s="17">
        <f>IF(MONTH(Table1[[#This Row],[Reporting date]])&lt;Policy_Inception_Month,YEAR(Table1[[#This Row],[Reporting date]])-1,YEAR(Table1[[#This Row],[Reporting date]]))</f>
        <v>2008</v>
      </c>
      <c r="V1401" s="17">
        <f>Table1[[#This Row],[Reporting year]]-Table1[[#This Row],[Policy Year]]</f>
        <v>0</v>
      </c>
      <c r="W1401" s="17">
        <f>INT(Table1[[#This Row],[Reporting date]])-INT(Table1[[#This Row],[Loss date]])</f>
        <v>1</v>
      </c>
      <c r="X1401" s="17">
        <f>INT((YEAR(Table1[[#This Row],[Loss date]])*12+MONTH(Table1[[#This Row],[Loss date]])-Earliest_Month)/4)</f>
        <v>9</v>
      </c>
      <c r="Y1401" s="17">
        <f>INT((YEAR(Table1[[#This Row],[Reporting date]])*12+MONTH(Table1[[#This Row],[Reporting date]])-Earliest_Month)/4)</f>
        <v>9</v>
      </c>
      <c r="Z1401" s="17">
        <f>Table1[[#This Row],[Reporting third]]-Table1[[#This Row],[Policy third]]</f>
        <v>0</v>
      </c>
      <c r="AA1401" s="71">
        <f>IF(Table1[[#This Row],[Overall amount]]=0,"N/A",Table1[[#This Row],[Outstanding]]/Table1[[#This Row],[Overall amount]])</f>
        <v>0</v>
      </c>
      <c r="AB1401" s="17">
        <f>IF(MONTH(Table1[[#This Row],[Loss date]])&lt;Pol_Inc_Month_Shifted,YEAR(Table1[[#This Row],[Loss date]])-1,YEAR(Table1[[#This Row],[Loss date]]))</f>
        <v>2007</v>
      </c>
      <c r="AC1401" s="17">
        <f>IF(MONTH(Table1[[#This Row],[Reporting date]])&lt;Pol_Inc_Month_Shifted,YEAR(Table1[[#This Row],[Reporting date]])-1,YEAR(Table1[[#This Row],[Reporting date]]))</f>
        <v>2007</v>
      </c>
      <c r="AD1401" s="17">
        <f>Table1[[#This Row],[Reporting year (shifted)]]-Table1[[#This Row],[Policy Year (shifted)]]</f>
        <v>0</v>
      </c>
    </row>
    <row r="1402" spans="1:30" ht="13.9">
      <c r="A1402" s="8" t="s">
        <v>3172</v>
      </c>
      <c r="B1402" s="8" t="s">
        <v>1454</v>
      </c>
      <c r="C1402" s="8" t="s">
        <v>118</v>
      </c>
      <c r="D1402" s="9">
        <v>38576</v>
      </c>
      <c r="E1402" s="9">
        <v>38576</v>
      </c>
      <c r="F1402" s="17">
        <f>IF(MONTH(Table1[[#This Row],[Loss date]])&lt;Policy_Inception_Month,YEAR(Table1[[#This Row],[Loss date]])-1,YEAR(Table1[[#This Row],[Loss date]]))</f>
        <v>2005</v>
      </c>
      <c r="G1402" s="10" t="s">
        <v>129</v>
      </c>
      <c r="H1402" s="10" t="s">
        <v>2</v>
      </c>
      <c r="I1402" s="11">
        <v>28631.162760712359</v>
      </c>
      <c r="J1402" s="11">
        <v>0</v>
      </c>
      <c r="K1402" s="11">
        <v>28631.162760712359</v>
      </c>
      <c r="L1402" s="12">
        <v>0</v>
      </c>
      <c r="M1402" s="12">
        <v>1546.0827890784674</v>
      </c>
      <c r="N1402" s="12">
        <v>27085.079971633892</v>
      </c>
      <c r="O1402" s="70">
        <f>IF(Table1[[#This Row],[Overall amount]]=0,0,1)</f>
        <v>1</v>
      </c>
      <c r="P1402" s="70">
        <f>Table1[[#This Row],[Overall amount]]*Exchange_Rate</f>
        <v>27085.079971633892</v>
      </c>
      <c r="Q1402" s="70">
        <f>Table1[[#This Row],[Overall (destination currency)]]*(1+Claims_Inflation)^((Revalue_at_date-Table1[[#This Row],[Loss date]])/365.25)</f>
        <v>44411.430624000001</v>
      </c>
      <c r="R1402" s="70">
        <f>INT(Table1[[#This Row],[Reporting date]])-INT(Table1[[#This Row],[Loss date]])</f>
        <v>0</v>
      </c>
      <c r="S1402" s="69" t="s">
        <v>9</v>
      </c>
      <c r="T1402" s="70">
        <f>VLOOKUP(Table1[[#This Row],[Policy Year]],exposure_table,3,FALSE)</f>
        <v>409.50481038040112</v>
      </c>
      <c r="U1402" s="17">
        <f>IF(MONTH(Table1[[#This Row],[Reporting date]])&lt;Policy_Inception_Month,YEAR(Table1[[#This Row],[Reporting date]])-1,YEAR(Table1[[#This Row],[Reporting date]]))</f>
        <v>2005</v>
      </c>
      <c r="V1402" s="17">
        <f>Table1[[#This Row],[Reporting year]]-Table1[[#This Row],[Policy Year]]</f>
        <v>0</v>
      </c>
      <c r="W1402" s="17">
        <f>INT(Table1[[#This Row],[Reporting date]])-INT(Table1[[#This Row],[Loss date]])</f>
        <v>0</v>
      </c>
      <c r="X1402" s="17">
        <f>INT((YEAR(Table1[[#This Row],[Loss date]])*12+MONTH(Table1[[#This Row],[Loss date]])-Earliest_Month)/4)</f>
        <v>1</v>
      </c>
      <c r="Y1402" s="17">
        <f>INT((YEAR(Table1[[#This Row],[Reporting date]])*12+MONTH(Table1[[#This Row],[Reporting date]])-Earliest_Month)/4)</f>
        <v>1</v>
      </c>
      <c r="Z1402" s="17">
        <f>Table1[[#This Row],[Reporting third]]-Table1[[#This Row],[Policy third]]</f>
        <v>0</v>
      </c>
      <c r="AA1402" s="71">
        <f>IF(Table1[[#This Row],[Overall amount]]=0,"N/A",Table1[[#This Row],[Outstanding]]/Table1[[#This Row],[Overall amount]])</f>
        <v>0</v>
      </c>
      <c r="AB1402" s="17">
        <f>IF(MONTH(Table1[[#This Row],[Loss date]])&lt;Pol_Inc_Month_Shifted,YEAR(Table1[[#This Row],[Loss date]])-1,YEAR(Table1[[#This Row],[Loss date]]))</f>
        <v>2004</v>
      </c>
      <c r="AC1402" s="17">
        <f>IF(MONTH(Table1[[#This Row],[Reporting date]])&lt;Pol_Inc_Month_Shifted,YEAR(Table1[[#This Row],[Reporting date]])-1,YEAR(Table1[[#This Row],[Reporting date]]))</f>
        <v>2004</v>
      </c>
      <c r="AD1402" s="17">
        <f>Table1[[#This Row],[Reporting year (shifted)]]-Table1[[#This Row],[Policy Year (shifted)]]</f>
        <v>0</v>
      </c>
    </row>
    <row r="1403" spans="1:30" ht="13.9">
      <c r="A1403" s="8" t="s">
        <v>3173</v>
      </c>
      <c r="B1403" s="8" t="s">
        <v>1455</v>
      </c>
      <c r="C1403" s="8" t="s">
        <v>118</v>
      </c>
      <c r="D1403" s="9">
        <v>38579</v>
      </c>
      <c r="E1403" s="9">
        <v>38579</v>
      </c>
      <c r="F1403" s="17">
        <f>IF(MONTH(Table1[[#This Row],[Loss date]])&lt;Policy_Inception_Month,YEAR(Table1[[#This Row],[Loss date]])-1,YEAR(Table1[[#This Row],[Loss date]]))</f>
        <v>2005</v>
      </c>
      <c r="G1403" s="10" t="s">
        <v>132</v>
      </c>
      <c r="H1403" s="10" t="s">
        <v>2</v>
      </c>
      <c r="I1403" s="11">
        <v>7835.7093007580634</v>
      </c>
      <c r="J1403" s="11">
        <v>0</v>
      </c>
      <c r="K1403" s="11">
        <v>7835.7093007580634</v>
      </c>
      <c r="L1403" s="12">
        <v>0</v>
      </c>
      <c r="M1403" s="12">
        <v>0</v>
      </c>
      <c r="N1403" s="12">
        <v>7835.7093007580634</v>
      </c>
      <c r="O1403" s="70">
        <f>IF(Table1[[#This Row],[Overall amount]]=0,0,1)</f>
        <v>1</v>
      </c>
      <c r="P1403" s="70">
        <f>Table1[[#This Row],[Overall amount]]*Exchange_Rate</f>
        <v>7835.7093007580634</v>
      </c>
      <c r="Q1403" s="70">
        <f>Table1[[#This Row],[Overall (destination currency)]]*(1+Claims_Inflation)^((Revalue_at_date-Table1[[#This Row],[Loss date]])/365.25)</f>
        <v>12843.071999999998</v>
      </c>
      <c r="R1403" s="70">
        <f>INT(Table1[[#This Row],[Reporting date]])-INT(Table1[[#This Row],[Loss date]])</f>
        <v>0</v>
      </c>
      <c r="S1403" s="69" t="s">
        <v>9</v>
      </c>
      <c r="T1403" s="70">
        <f>VLOOKUP(Table1[[#This Row],[Policy Year]],exposure_table,3,FALSE)</f>
        <v>409.50481038040112</v>
      </c>
      <c r="U1403" s="17">
        <f>IF(MONTH(Table1[[#This Row],[Reporting date]])&lt;Policy_Inception_Month,YEAR(Table1[[#This Row],[Reporting date]])-1,YEAR(Table1[[#This Row],[Reporting date]]))</f>
        <v>2005</v>
      </c>
      <c r="V1403" s="17">
        <f>Table1[[#This Row],[Reporting year]]-Table1[[#This Row],[Policy Year]]</f>
        <v>0</v>
      </c>
      <c r="W1403" s="17">
        <f>INT(Table1[[#This Row],[Reporting date]])-INT(Table1[[#This Row],[Loss date]])</f>
        <v>0</v>
      </c>
      <c r="X1403" s="17">
        <f>INT((YEAR(Table1[[#This Row],[Loss date]])*12+MONTH(Table1[[#This Row],[Loss date]])-Earliest_Month)/4)</f>
        <v>1</v>
      </c>
      <c r="Y1403" s="17">
        <f>INT((YEAR(Table1[[#This Row],[Reporting date]])*12+MONTH(Table1[[#This Row],[Reporting date]])-Earliest_Month)/4)</f>
        <v>1</v>
      </c>
      <c r="Z1403" s="17">
        <f>Table1[[#This Row],[Reporting third]]-Table1[[#This Row],[Policy third]]</f>
        <v>0</v>
      </c>
      <c r="AA1403" s="71">
        <f>IF(Table1[[#This Row],[Overall amount]]=0,"N/A",Table1[[#This Row],[Outstanding]]/Table1[[#This Row],[Overall amount]])</f>
        <v>0</v>
      </c>
      <c r="AB1403" s="17">
        <f>IF(MONTH(Table1[[#This Row],[Loss date]])&lt;Pol_Inc_Month_Shifted,YEAR(Table1[[#This Row],[Loss date]])-1,YEAR(Table1[[#This Row],[Loss date]]))</f>
        <v>2004</v>
      </c>
      <c r="AC1403" s="17">
        <f>IF(MONTH(Table1[[#This Row],[Reporting date]])&lt;Pol_Inc_Month_Shifted,YEAR(Table1[[#This Row],[Reporting date]])-1,YEAR(Table1[[#This Row],[Reporting date]]))</f>
        <v>2004</v>
      </c>
      <c r="AD1403" s="17">
        <f>Table1[[#This Row],[Reporting year (shifted)]]-Table1[[#This Row],[Policy Year (shifted)]]</f>
        <v>0</v>
      </c>
    </row>
    <row r="1404" spans="1:30" ht="13.9">
      <c r="A1404" s="8" t="s">
        <v>3174</v>
      </c>
      <c r="B1404" s="8" t="s">
        <v>1456</v>
      </c>
      <c r="C1404" s="8" t="s">
        <v>118</v>
      </c>
      <c r="D1404" s="9">
        <v>38694</v>
      </c>
      <c r="E1404" s="9">
        <v>38753</v>
      </c>
      <c r="F1404" s="17">
        <f>IF(MONTH(Table1[[#This Row],[Loss date]])&lt;Policy_Inception_Month,YEAR(Table1[[#This Row],[Loss date]])-1,YEAR(Table1[[#This Row],[Loss date]]))</f>
        <v>2005</v>
      </c>
      <c r="G1404" s="10" t="s">
        <v>119</v>
      </c>
      <c r="H1404" s="10" t="s">
        <v>2</v>
      </c>
      <c r="I1404" s="11">
        <v>152.41089606865404</v>
      </c>
      <c r="J1404" s="11">
        <v>0</v>
      </c>
      <c r="K1404" s="11">
        <v>152.41089606865404</v>
      </c>
      <c r="L1404" s="12">
        <v>0</v>
      </c>
      <c r="M1404" s="12">
        <v>0</v>
      </c>
      <c r="N1404" s="12">
        <v>152.41089606865404</v>
      </c>
      <c r="O1404" s="70">
        <f>IF(Table1[[#This Row],[Overall amount]]=0,0,1)</f>
        <v>1</v>
      </c>
      <c r="P1404" s="70">
        <f>Table1[[#This Row],[Overall amount]]*Exchange_Rate</f>
        <v>152.41089606865404</v>
      </c>
      <c r="Q1404" s="70">
        <f>Table1[[#This Row],[Overall (destination currency)]]*(1+Claims_Inflation)^((Revalue_at_date-Table1[[#This Row],[Loss date]])/365.25)</f>
        <v>246</v>
      </c>
      <c r="R1404" s="70">
        <f>INT(Table1[[#This Row],[Reporting date]])-INT(Table1[[#This Row],[Loss date]])</f>
        <v>59</v>
      </c>
      <c r="S1404" s="69" t="s">
        <v>9</v>
      </c>
      <c r="T1404" s="70">
        <f>VLOOKUP(Table1[[#This Row],[Policy Year]],exposure_table,3,FALSE)</f>
        <v>409.50481038040112</v>
      </c>
      <c r="U1404" s="17">
        <f>IF(MONTH(Table1[[#This Row],[Reporting date]])&lt;Policy_Inception_Month,YEAR(Table1[[#This Row],[Reporting date]])-1,YEAR(Table1[[#This Row],[Reporting date]]))</f>
        <v>2005</v>
      </c>
      <c r="V1404" s="17">
        <f>Table1[[#This Row],[Reporting year]]-Table1[[#This Row],[Policy Year]]</f>
        <v>0</v>
      </c>
      <c r="W1404" s="17">
        <f>INT(Table1[[#This Row],[Reporting date]])-INT(Table1[[#This Row],[Loss date]])</f>
        <v>59</v>
      </c>
      <c r="X1404" s="17">
        <f>INT((YEAR(Table1[[#This Row],[Loss date]])*12+MONTH(Table1[[#This Row],[Loss date]])-Earliest_Month)/4)</f>
        <v>2</v>
      </c>
      <c r="Y1404" s="17">
        <f>INT((YEAR(Table1[[#This Row],[Reporting date]])*12+MONTH(Table1[[#This Row],[Reporting date]])-Earliest_Month)/4)</f>
        <v>2</v>
      </c>
      <c r="Z1404" s="17">
        <f>Table1[[#This Row],[Reporting third]]-Table1[[#This Row],[Policy third]]</f>
        <v>0</v>
      </c>
      <c r="AA1404" s="71">
        <f>IF(Table1[[#This Row],[Overall amount]]=0,"N/A",Table1[[#This Row],[Outstanding]]/Table1[[#This Row],[Overall amount]])</f>
        <v>0</v>
      </c>
      <c r="AB1404" s="17">
        <f>IF(MONTH(Table1[[#This Row],[Loss date]])&lt;Pol_Inc_Month_Shifted,YEAR(Table1[[#This Row],[Loss date]])-1,YEAR(Table1[[#This Row],[Loss date]]))</f>
        <v>2005</v>
      </c>
      <c r="AC1404" s="17">
        <f>IF(MONTH(Table1[[#This Row],[Reporting date]])&lt;Pol_Inc_Month_Shifted,YEAR(Table1[[#This Row],[Reporting date]])-1,YEAR(Table1[[#This Row],[Reporting date]]))</f>
        <v>2005</v>
      </c>
      <c r="AD1404" s="17">
        <f>Table1[[#This Row],[Reporting year (shifted)]]-Table1[[#This Row],[Policy Year (shifted)]]</f>
        <v>0</v>
      </c>
    </row>
    <row r="1405" spans="1:30" ht="13.9">
      <c r="A1405" s="8" t="s">
        <v>3175</v>
      </c>
      <c r="B1405" s="8" t="s">
        <v>1457</v>
      </c>
      <c r="C1405" s="8" t="s">
        <v>118</v>
      </c>
      <c r="D1405" s="9">
        <v>39093</v>
      </c>
      <c r="E1405" s="9">
        <v>39105</v>
      </c>
      <c r="F1405" s="17">
        <f>IF(MONTH(Table1[[#This Row],[Loss date]])&lt;Policy_Inception_Month,YEAR(Table1[[#This Row],[Loss date]])-1,YEAR(Table1[[#This Row],[Loss date]]))</f>
        <v>2006</v>
      </c>
      <c r="G1405" s="10" t="s">
        <v>125</v>
      </c>
      <c r="H1405" s="10" t="s">
        <v>2</v>
      </c>
      <c r="I1405" s="11">
        <v>208.98090773432349</v>
      </c>
      <c r="J1405" s="11">
        <v>0</v>
      </c>
      <c r="K1405" s="11">
        <v>208.98090773432349</v>
      </c>
      <c r="L1405" s="12">
        <v>0</v>
      </c>
      <c r="M1405" s="12">
        <v>0</v>
      </c>
      <c r="N1405" s="12">
        <v>208.98090773432349</v>
      </c>
      <c r="O1405" s="70">
        <f>IF(Table1[[#This Row],[Overall amount]]=0,0,1)</f>
        <v>1</v>
      </c>
      <c r="P1405" s="70">
        <f>Table1[[#This Row],[Overall amount]]*Exchange_Rate</f>
        <v>208.98090773432349</v>
      </c>
      <c r="Q1405" s="70">
        <f>Table1[[#This Row],[Overall (destination currency)]]*(1+Claims_Inflation)^((Revalue_at_date-Table1[[#This Row],[Loss date]])/365.25)</f>
        <v>319.8</v>
      </c>
      <c r="R1405" s="70">
        <f>INT(Table1[[#This Row],[Reporting date]])-INT(Table1[[#This Row],[Loss date]])</f>
        <v>12</v>
      </c>
      <c r="S1405" s="69" t="s">
        <v>9</v>
      </c>
      <c r="T1405" s="70">
        <f>VLOOKUP(Table1[[#This Row],[Policy Year]],exposure_table,3,FALSE)</f>
        <v>483.32023209000977</v>
      </c>
      <c r="U1405" s="17">
        <f>IF(MONTH(Table1[[#This Row],[Reporting date]])&lt;Policy_Inception_Month,YEAR(Table1[[#This Row],[Reporting date]])-1,YEAR(Table1[[#This Row],[Reporting date]]))</f>
        <v>2006</v>
      </c>
      <c r="V1405" s="17">
        <f>Table1[[#This Row],[Reporting year]]-Table1[[#This Row],[Policy Year]]</f>
        <v>0</v>
      </c>
      <c r="W1405" s="17">
        <f>INT(Table1[[#This Row],[Reporting date]])-INT(Table1[[#This Row],[Loss date]])</f>
        <v>12</v>
      </c>
      <c r="X1405" s="17">
        <f>INT((YEAR(Table1[[#This Row],[Loss date]])*12+MONTH(Table1[[#This Row],[Loss date]])-Earliest_Month)/4)</f>
        <v>5</v>
      </c>
      <c r="Y1405" s="17">
        <f>INT((YEAR(Table1[[#This Row],[Reporting date]])*12+MONTH(Table1[[#This Row],[Reporting date]])-Earliest_Month)/4)</f>
        <v>5</v>
      </c>
      <c r="Z1405" s="17">
        <f>Table1[[#This Row],[Reporting third]]-Table1[[#This Row],[Policy third]]</f>
        <v>0</v>
      </c>
      <c r="AA1405" s="71">
        <f>IF(Table1[[#This Row],[Overall amount]]=0,"N/A",Table1[[#This Row],[Outstanding]]/Table1[[#This Row],[Overall amount]])</f>
        <v>0</v>
      </c>
      <c r="AB1405" s="17">
        <f>IF(MONTH(Table1[[#This Row],[Loss date]])&lt;Pol_Inc_Month_Shifted,YEAR(Table1[[#This Row],[Loss date]])-1,YEAR(Table1[[#This Row],[Loss date]]))</f>
        <v>2006</v>
      </c>
      <c r="AC1405" s="17">
        <f>IF(MONTH(Table1[[#This Row],[Reporting date]])&lt;Pol_Inc_Month_Shifted,YEAR(Table1[[#This Row],[Reporting date]])-1,YEAR(Table1[[#This Row],[Reporting date]]))</f>
        <v>2006</v>
      </c>
      <c r="AD1405" s="17">
        <f>Table1[[#This Row],[Reporting year (shifted)]]-Table1[[#This Row],[Policy Year (shifted)]]</f>
        <v>0</v>
      </c>
    </row>
    <row r="1406" spans="1:30" ht="13.9">
      <c r="A1406" s="8" t="s">
        <v>3176</v>
      </c>
      <c r="B1406" s="8" t="s">
        <v>1458</v>
      </c>
      <c r="C1406" s="8" t="s">
        <v>118</v>
      </c>
      <c r="D1406" s="9">
        <v>39305</v>
      </c>
      <c r="E1406" s="9">
        <v>39342</v>
      </c>
      <c r="F1406" s="17">
        <f>IF(MONTH(Table1[[#This Row],[Loss date]])&lt;Policy_Inception_Month,YEAR(Table1[[#This Row],[Loss date]])-1,YEAR(Table1[[#This Row],[Loss date]]))</f>
        <v>2007</v>
      </c>
      <c r="G1406" s="10" t="s">
        <v>119</v>
      </c>
      <c r="H1406" s="10" t="s">
        <v>2</v>
      </c>
      <c r="I1406" s="11">
        <v>291.41777578068059</v>
      </c>
      <c r="J1406" s="11">
        <v>0</v>
      </c>
      <c r="K1406" s="11">
        <v>291.41777578068059</v>
      </c>
      <c r="L1406" s="12">
        <v>0</v>
      </c>
      <c r="M1406" s="12">
        <v>0</v>
      </c>
      <c r="N1406" s="12">
        <v>291.41777578068059</v>
      </c>
      <c r="O1406" s="70">
        <f>IF(Table1[[#This Row],[Overall amount]]=0,0,1)</f>
        <v>1</v>
      </c>
      <c r="P1406" s="70">
        <f>Table1[[#This Row],[Overall amount]]*Exchange_Rate</f>
        <v>291.41777578068059</v>
      </c>
      <c r="Q1406" s="70">
        <f>Table1[[#This Row],[Overall (destination currency)]]*(1+Claims_Inflation)^((Revalue_at_date-Table1[[#This Row],[Loss date]])/365.25)</f>
        <v>433.5</v>
      </c>
      <c r="R1406" s="70">
        <f>INT(Table1[[#This Row],[Reporting date]])-INT(Table1[[#This Row],[Loss date]])</f>
        <v>37</v>
      </c>
      <c r="S1406" s="69" t="s">
        <v>9</v>
      </c>
      <c r="T1406" s="70">
        <f>VLOOKUP(Table1[[#This Row],[Policy Year]],exposure_table,3,FALSE)</f>
        <v>547.7736362475523</v>
      </c>
      <c r="U1406" s="17">
        <f>IF(MONTH(Table1[[#This Row],[Reporting date]])&lt;Policy_Inception_Month,YEAR(Table1[[#This Row],[Reporting date]])-1,YEAR(Table1[[#This Row],[Reporting date]]))</f>
        <v>2007</v>
      </c>
      <c r="V1406" s="17">
        <f>Table1[[#This Row],[Reporting year]]-Table1[[#This Row],[Policy Year]]</f>
        <v>0</v>
      </c>
      <c r="W1406" s="17">
        <f>INT(Table1[[#This Row],[Reporting date]])-INT(Table1[[#This Row],[Loss date]])</f>
        <v>37</v>
      </c>
      <c r="X1406" s="17">
        <f>INT((YEAR(Table1[[#This Row],[Loss date]])*12+MONTH(Table1[[#This Row],[Loss date]])-Earliest_Month)/4)</f>
        <v>7</v>
      </c>
      <c r="Y1406" s="17">
        <f>INT((YEAR(Table1[[#This Row],[Reporting date]])*12+MONTH(Table1[[#This Row],[Reporting date]])-Earliest_Month)/4)</f>
        <v>7</v>
      </c>
      <c r="Z1406" s="17">
        <f>Table1[[#This Row],[Reporting third]]-Table1[[#This Row],[Policy third]]</f>
        <v>0</v>
      </c>
      <c r="AA1406" s="71">
        <f>IF(Table1[[#This Row],[Overall amount]]=0,"N/A",Table1[[#This Row],[Outstanding]]/Table1[[#This Row],[Overall amount]])</f>
        <v>0</v>
      </c>
      <c r="AB1406" s="17">
        <f>IF(MONTH(Table1[[#This Row],[Loss date]])&lt;Pol_Inc_Month_Shifted,YEAR(Table1[[#This Row],[Loss date]])-1,YEAR(Table1[[#This Row],[Loss date]]))</f>
        <v>2006</v>
      </c>
      <c r="AC1406" s="17">
        <f>IF(MONTH(Table1[[#This Row],[Reporting date]])&lt;Pol_Inc_Month_Shifted,YEAR(Table1[[#This Row],[Reporting date]])-1,YEAR(Table1[[#This Row],[Reporting date]]))</f>
        <v>2006</v>
      </c>
      <c r="AD1406" s="17">
        <f>Table1[[#This Row],[Reporting year (shifted)]]-Table1[[#This Row],[Policy Year (shifted)]]</f>
        <v>0</v>
      </c>
    </row>
    <row r="1407" spans="1:30" ht="13.9">
      <c r="A1407" s="8" t="s">
        <v>3177</v>
      </c>
      <c r="B1407" s="8" t="s">
        <v>1459</v>
      </c>
      <c r="C1407" s="8" t="s">
        <v>118</v>
      </c>
      <c r="D1407" s="9">
        <v>40324</v>
      </c>
      <c r="E1407" s="9">
        <v>40324</v>
      </c>
      <c r="F1407" s="17">
        <f>IF(MONTH(Table1[[#This Row],[Loss date]])&lt;Policy_Inception_Month,YEAR(Table1[[#This Row],[Loss date]])-1,YEAR(Table1[[#This Row],[Loss date]]))</f>
        <v>2010</v>
      </c>
      <c r="G1407" s="10" t="s">
        <v>119</v>
      </c>
      <c r="H1407" s="10" t="s">
        <v>2</v>
      </c>
      <c r="I1407" s="11">
        <v>13657.883181176163</v>
      </c>
      <c r="J1407" s="11">
        <v>0</v>
      </c>
      <c r="K1407" s="11">
        <v>13657.883181176163</v>
      </c>
      <c r="L1407" s="12">
        <v>0</v>
      </c>
      <c r="M1407" s="12">
        <v>0</v>
      </c>
      <c r="N1407" s="12">
        <v>13657.883181176163</v>
      </c>
      <c r="O1407" s="70">
        <f>IF(Table1[[#This Row],[Overall amount]]=0,0,1)</f>
        <v>1</v>
      </c>
      <c r="P1407" s="70">
        <f>Table1[[#This Row],[Overall amount]]*Exchange_Rate</f>
        <v>13657.883181176163</v>
      </c>
      <c r="Q1407" s="70">
        <f>Table1[[#This Row],[Overall (destination currency)]]*(1+Claims_Inflation)^((Revalue_at_date-Table1[[#This Row],[Loss date]])/365.25)</f>
        <v>17731.32</v>
      </c>
      <c r="R1407" s="70">
        <f>INT(Table1[[#This Row],[Reporting date]])-INT(Table1[[#This Row],[Loss date]])</f>
        <v>0</v>
      </c>
      <c r="S1407" s="69" t="s">
        <v>9</v>
      </c>
      <c r="T1407" s="70">
        <f>VLOOKUP(Table1[[#This Row],[Policy Year]],exposure_table,3,FALSE)</f>
        <v>837.11513600000012</v>
      </c>
      <c r="U1407" s="17">
        <f>IF(MONTH(Table1[[#This Row],[Reporting date]])&lt;Policy_Inception_Month,YEAR(Table1[[#This Row],[Reporting date]])-1,YEAR(Table1[[#This Row],[Reporting date]]))</f>
        <v>2010</v>
      </c>
      <c r="V1407" s="17">
        <f>Table1[[#This Row],[Reporting year]]-Table1[[#This Row],[Policy Year]]</f>
        <v>0</v>
      </c>
      <c r="W1407" s="17">
        <f>INT(Table1[[#This Row],[Reporting date]])-INT(Table1[[#This Row],[Loss date]])</f>
        <v>0</v>
      </c>
      <c r="X1407" s="17">
        <f>INT((YEAR(Table1[[#This Row],[Loss date]])*12+MONTH(Table1[[#This Row],[Loss date]])-Earliest_Month)/4)</f>
        <v>15</v>
      </c>
      <c r="Y1407" s="17">
        <f>INT((YEAR(Table1[[#This Row],[Reporting date]])*12+MONTH(Table1[[#This Row],[Reporting date]])-Earliest_Month)/4)</f>
        <v>15</v>
      </c>
      <c r="Z1407" s="17">
        <f>Table1[[#This Row],[Reporting third]]-Table1[[#This Row],[Policy third]]</f>
        <v>0</v>
      </c>
      <c r="AA1407" s="71">
        <f>IF(Table1[[#This Row],[Overall amount]]=0,"N/A",Table1[[#This Row],[Outstanding]]/Table1[[#This Row],[Overall amount]])</f>
        <v>0</v>
      </c>
      <c r="AB1407" s="17">
        <f>IF(MONTH(Table1[[#This Row],[Loss date]])&lt;Pol_Inc_Month_Shifted,YEAR(Table1[[#This Row],[Loss date]])-1,YEAR(Table1[[#This Row],[Loss date]]))</f>
        <v>2009</v>
      </c>
      <c r="AC1407" s="17">
        <f>IF(MONTH(Table1[[#This Row],[Reporting date]])&lt;Pol_Inc_Month_Shifted,YEAR(Table1[[#This Row],[Reporting date]])-1,YEAR(Table1[[#This Row],[Reporting date]]))</f>
        <v>2009</v>
      </c>
      <c r="AD1407" s="17">
        <f>Table1[[#This Row],[Reporting year (shifted)]]-Table1[[#This Row],[Policy Year (shifted)]]</f>
        <v>0</v>
      </c>
    </row>
    <row r="1408" spans="1:30" ht="13.9">
      <c r="A1408" s="8" t="s">
        <v>3178</v>
      </c>
      <c r="B1408" s="8" t="s">
        <v>1460</v>
      </c>
      <c r="C1408" s="8" t="s">
        <v>118</v>
      </c>
      <c r="D1408" s="9">
        <v>40352</v>
      </c>
      <c r="E1408" s="9">
        <v>40352</v>
      </c>
      <c r="F1408" s="17">
        <f>IF(MONTH(Table1[[#This Row],[Loss date]])&lt;Policy_Inception_Month,YEAR(Table1[[#This Row],[Loss date]])-1,YEAR(Table1[[#This Row],[Loss date]]))</f>
        <v>2010</v>
      </c>
      <c r="G1408" s="10" t="s">
        <v>119</v>
      </c>
      <c r="H1408" s="10" t="s">
        <v>2</v>
      </c>
      <c r="I1408" s="11">
        <v>847.53275533845078</v>
      </c>
      <c r="J1408" s="11">
        <v>0</v>
      </c>
      <c r="K1408" s="11">
        <v>847.53275533845078</v>
      </c>
      <c r="L1408" s="12">
        <v>0</v>
      </c>
      <c r="M1408" s="12">
        <v>0</v>
      </c>
      <c r="N1408" s="12">
        <v>847.53275533845078</v>
      </c>
      <c r="O1408" s="70">
        <f>IF(Table1[[#This Row],[Overall amount]]=0,0,1)</f>
        <v>1</v>
      </c>
      <c r="P1408" s="70">
        <f>Table1[[#This Row],[Overall amount]]*Exchange_Rate</f>
        <v>847.53275533845078</v>
      </c>
      <c r="Q1408" s="70">
        <f>Table1[[#This Row],[Overall (destination currency)]]*(1+Claims_Inflation)^((Revalue_at_date-Table1[[#This Row],[Loss date]])/365.25)</f>
        <v>1096.2</v>
      </c>
      <c r="R1408" s="70">
        <f>INT(Table1[[#This Row],[Reporting date]])-INT(Table1[[#This Row],[Loss date]])</f>
        <v>0</v>
      </c>
      <c r="S1408" s="69" t="s">
        <v>9</v>
      </c>
      <c r="T1408" s="70">
        <f>VLOOKUP(Table1[[#This Row],[Policy Year]],exposure_table,3,FALSE)</f>
        <v>837.11513600000012</v>
      </c>
      <c r="U1408" s="17">
        <f>IF(MONTH(Table1[[#This Row],[Reporting date]])&lt;Policy_Inception_Month,YEAR(Table1[[#This Row],[Reporting date]])-1,YEAR(Table1[[#This Row],[Reporting date]]))</f>
        <v>2010</v>
      </c>
      <c r="V1408" s="17">
        <f>Table1[[#This Row],[Reporting year]]-Table1[[#This Row],[Policy Year]]</f>
        <v>0</v>
      </c>
      <c r="W1408" s="17">
        <f>INT(Table1[[#This Row],[Reporting date]])-INT(Table1[[#This Row],[Loss date]])</f>
        <v>0</v>
      </c>
      <c r="X1408" s="17">
        <f>INT((YEAR(Table1[[#This Row],[Loss date]])*12+MONTH(Table1[[#This Row],[Loss date]])-Earliest_Month)/4)</f>
        <v>15</v>
      </c>
      <c r="Y1408" s="17">
        <f>INT((YEAR(Table1[[#This Row],[Reporting date]])*12+MONTH(Table1[[#This Row],[Reporting date]])-Earliest_Month)/4)</f>
        <v>15</v>
      </c>
      <c r="Z1408" s="17">
        <f>Table1[[#This Row],[Reporting third]]-Table1[[#This Row],[Policy third]]</f>
        <v>0</v>
      </c>
      <c r="AA1408" s="71">
        <f>IF(Table1[[#This Row],[Overall amount]]=0,"N/A",Table1[[#This Row],[Outstanding]]/Table1[[#This Row],[Overall amount]])</f>
        <v>0</v>
      </c>
      <c r="AB1408" s="17">
        <f>IF(MONTH(Table1[[#This Row],[Loss date]])&lt;Pol_Inc_Month_Shifted,YEAR(Table1[[#This Row],[Loss date]])-1,YEAR(Table1[[#This Row],[Loss date]]))</f>
        <v>2009</v>
      </c>
      <c r="AC1408" s="17">
        <f>IF(MONTH(Table1[[#This Row],[Reporting date]])&lt;Pol_Inc_Month_Shifted,YEAR(Table1[[#This Row],[Reporting date]])-1,YEAR(Table1[[#This Row],[Reporting date]]))</f>
        <v>2009</v>
      </c>
      <c r="AD1408" s="17">
        <f>Table1[[#This Row],[Reporting year (shifted)]]-Table1[[#This Row],[Policy Year (shifted)]]</f>
        <v>0</v>
      </c>
    </row>
    <row r="1409" spans="1:30" ht="13.9">
      <c r="A1409" s="8" t="s">
        <v>3179</v>
      </c>
      <c r="B1409" s="8" t="s">
        <v>1461</v>
      </c>
      <c r="C1409" s="8" t="s">
        <v>118</v>
      </c>
      <c r="D1409" s="9">
        <v>40381</v>
      </c>
      <c r="E1409" s="9">
        <v>40382</v>
      </c>
      <c r="F1409" s="17">
        <f>IF(MONTH(Table1[[#This Row],[Loss date]])&lt;Policy_Inception_Month,YEAR(Table1[[#This Row],[Loss date]])-1,YEAR(Table1[[#This Row],[Loss date]]))</f>
        <v>2010</v>
      </c>
      <c r="G1409" s="10" t="s">
        <v>129</v>
      </c>
      <c r="H1409" s="10" t="s">
        <v>2</v>
      </c>
      <c r="I1409" s="11">
        <v>12441.04338226266</v>
      </c>
      <c r="J1409" s="11">
        <v>0</v>
      </c>
      <c r="K1409" s="11">
        <v>12441.04338226266</v>
      </c>
      <c r="L1409" s="12">
        <v>0</v>
      </c>
      <c r="M1409" s="12">
        <v>0</v>
      </c>
      <c r="N1409" s="12">
        <v>12441.04338226266</v>
      </c>
      <c r="O1409" s="70">
        <f>IF(Table1[[#This Row],[Overall amount]]=0,0,1)</f>
        <v>1</v>
      </c>
      <c r="P1409" s="70">
        <f>Table1[[#This Row],[Overall amount]]*Exchange_Rate</f>
        <v>12441.04338226266</v>
      </c>
      <c r="Q1409" s="70">
        <f>Table1[[#This Row],[Overall (destination currency)]]*(1+Claims_Inflation)^((Revalue_at_date-Table1[[#This Row],[Loss date]])/365.25)</f>
        <v>16029.047999999999</v>
      </c>
      <c r="R1409" s="70">
        <f>INT(Table1[[#This Row],[Reporting date]])-INT(Table1[[#This Row],[Loss date]])</f>
        <v>1</v>
      </c>
      <c r="S1409" s="69" t="s">
        <v>9</v>
      </c>
      <c r="T1409" s="70">
        <f>VLOOKUP(Table1[[#This Row],[Policy Year]],exposure_table,3,FALSE)</f>
        <v>837.11513600000012</v>
      </c>
      <c r="U1409" s="17">
        <f>IF(MONTH(Table1[[#This Row],[Reporting date]])&lt;Policy_Inception_Month,YEAR(Table1[[#This Row],[Reporting date]])-1,YEAR(Table1[[#This Row],[Reporting date]]))</f>
        <v>2010</v>
      </c>
      <c r="V1409" s="17">
        <f>Table1[[#This Row],[Reporting year]]-Table1[[#This Row],[Policy Year]]</f>
        <v>0</v>
      </c>
      <c r="W1409" s="17">
        <f>INT(Table1[[#This Row],[Reporting date]])-INT(Table1[[#This Row],[Loss date]])</f>
        <v>1</v>
      </c>
      <c r="X1409" s="17">
        <f>INT((YEAR(Table1[[#This Row],[Loss date]])*12+MONTH(Table1[[#This Row],[Loss date]])-Earliest_Month)/4)</f>
        <v>15</v>
      </c>
      <c r="Y1409" s="17">
        <f>INT((YEAR(Table1[[#This Row],[Reporting date]])*12+MONTH(Table1[[#This Row],[Reporting date]])-Earliest_Month)/4)</f>
        <v>15</v>
      </c>
      <c r="Z1409" s="17">
        <f>Table1[[#This Row],[Reporting third]]-Table1[[#This Row],[Policy third]]</f>
        <v>0</v>
      </c>
      <c r="AA1409" s="71">
        <f>IF(Table1[[#This Row],[Overall amount]]=0,"N/A",Table1[[#This Row],[Outstanding]]/Table1[[#This Row],[Overall amount]])</f>
        <v>0</v>
      </c>
      <c r="AB1409" s="17">
        <f>IF(MONTH(Table1[[#This Row],[Loss date]])&lt;Pol_Inc_Month_Shifted,YEAR(Table1[[#This Row],[Loss date]])-1,YEAR(Table1[[#This Row],[Loss date]]))</f>
        <v>2009</v>
      </c>
      <c r="AC1409" s="17">
        <f>IF(MONTH(Table1[[#This Row],[Reporting date]])&lt;Pol_Inc_Month_Shifted,YEAR(Table1[[#This Row],[Reporting date]])-1,YEAR(Table1[[#This Row],[Reporting date]]))</f>
        <v>2009</v>
      </c>
      <c r="AD1409" s="17">
        <f>Table1[[#This Row],[Reporting year (shifted)]]-Table1[[#This Row],[Policy Year (shifted)]]</f>
        <v>0</v>
      </c>
    </row>
    <row r="1410" spans="1:30" ht="13.9">
      <c r="A1410" s="8" t="s">
        <v>3180</v>
      </c>
      <c r="B1410" s="8" t="s">
        <v>1462</v>
      </c>
      <c r="C1410" s="8" t="s">
        <v>118</v>
      </c>
      <c r="D1410" s="9">
        <v>40397</v>
      </c>
      <c r="E1410" s="9">
        <v>40404</v>
      </c>
      <c r="F1410" s="17">
        <f>IF(MONTH(Table1[[#This Row],[Loss date]])&lt;Policy_Inception_Month,YEAR(Table1[[#This Row],[Loss date]])-1,YEAR(Table1[[#This Row],[Loss date]]))</f>
        <v>2010</v>
      </c>
      <c r="G1410" s="10" t="s">
        <v>129</v>
      </c>
      <c r="H1410" s="10" t="s">
        <v>2</v>
      </c>
      <c r="I1410" s="11">
        <v>1082.7209010345193</v>
      </c>
      <c r="J1410" s="11">
        <v>0</v>
      </c>
      <c r="K1410" s="11">
        <v>1082.7209010345193</v>
      </c>
      <c r="L1410" s="12">
        <v>0</v>
      </c>
      <c r="M1410" s="12">
        <v>0</v>
      </c>
      <c r="N1410" s="12">
        <v>1082.7209010345193</v>
      </c>
      <c r="O1410" s="70">
        <f>IF(Table1[[#This Row],[Overall amount]]=0,0,1)</f>
        <v>1</v>
      </c>
      <c r="P1410" s="70">
        <f>Table1[[#This Row],[Overall amount]]*Exchange_Rate</f>
        <v>1082.7209010345193</v>
      </c>
      <c r="Q1410" s="70">
        <f>Table1[[#This Row],[Overall (destination currency)]]*(1+Claims_Inflation)^((Revalue_at_date-Table1[[#This Row],[Loss date]])/365.25)</f>
        <v>1391.9999999999998</v>
      </c>
      <c r="R1410" s="70">
        <f>INT(Table1[[#This Row],[Reporting date]])-INT(Table1[[#This Row],[Loss date]])</f>
        <v>7</v>
      </c>
      <c r="S1410" s="69" t="s">
        <v>9</v>
      </c>
      <c r="T1410" s="70">
        <f>VLOOKUP(Table1[[#This Row],[Policy Year]],exposure_table,3,FALSE)</f>
        <v>837.11513600000012</v>
      </c>
      <c r="U1410" s="17">
        <f>IF(MONTH(Table1[[#This Row],[Reporting date]])&lt;Policy_Inception_Month,YEAR(Table1[[#This Row],[Reporting date]])-1,YEAR(Table1[[#This Row],[Reporting date]]))</f>
        <v>2010</v>
      </c>
      <c r="V1410" s="17">
        <f>Table1[[#This Row],[Reporting year]]-Table1[[#This Row],[Policy Year]]</f>
        <v>0</v>
      </c>
      <c r="W1410" s="17">
        <f>INT(Table1[[#This Row],[Reporting date]])-INT(Table1[[#This Row],[Loss date]])</f>
        <v>7</v>
      </c>
      <c r="X1410" s="17">
        <f>INT((YEAR(Table1[[#This Row],[Loss date]])*12+MONTH(Table1[[#This Row],[Loss date]])-Earliest_Month)/4)</f>
        <v>16</v>
      </c>
      <c r="Y1410" s="17">
        <f>INT((YEAR(Table1[[#This Row],[Reporting date]])*12+MONTH(Table1[[#This Row],[Reporting date]])-Earliest_Month)/4)</f>
        <v>16</v>
      </c>
      <c r="Z1410" s="17">
        <f>Table1[[#This Row],[Reporting third]]-Table1[[#This Row],[Policy third]]</f>
        <v>0</v>
      </c>
      <c r="AA1410" s="71">
        <f>IF(Table1[[#This Row],[Overall amount]]=0,"N/A",Table1[[#This Row],[Outstanding]]/Table1[[#This Row],[Overall amount]])</f>
        <v>0</v>
      </c>
      <c r="AB1410" s="17">
        <f>IF(MONTH(Table1[[#This Row],[Loss date]])&lt;Pol_Inc_Month_Shifted,YEAR(Table1[[#This Row],[Loss date]])-1,YEAR(Table1[[#This Row],[Loss date]]))</f>
        <v>2009</v>
      </c>
      <c r="AC1410" s="17">
        <f>IF(MONTH(Table1[[#This Row],[Reporting date]])&lt;Pol_Inc_Month_Shifted,YEAR(Table1[[#This Row],[Reporting date]])-1,YEAR(Table1[[#This Row],[Reporting date]]))</f>
        <v>2009</v>
      </c>
      <c r="AD1410" s="17">
        <f>Table1[[#This Row],[Reporting year (shifted)]]-Table1[[#This Row],[Policy Year (shifted)]]</f>
        <v>0</v>
      </c>
    </row>
    <row r="1411" spans="1:30" ht="13.9">
      <c r="A1411" s="8" t="s">
        <v>3181</v>
      </c>
      <c r="B1411" s="8" t="s">
        <v>1463</v>
      </c>
      <c r="C1411" s="8" t="s">
        <v>118</v>
      </c>
      <c r="D1411" s="9">
        <v>40422</v>
      </c>
      <c r="E1411" s="9">
        <v>40456</v>
      </c>
      <c r="F1411" s="17">
        <f>IF(MONTH(Table1[[#This Row],[Loss date]])&lt;Policy_Inception_Month,YEAR(Table1[[#This Row],[Loss date]])-1,YEAR(Table1[[#This Row],[Loss date]]))</f>
        <v>2010</v>
      </c>
      <c r="G1411" s="10" t="s">
        <v>129</v>
      </c>
      <c r="H1411" s="10" t="s">
        <v>2</v>
      </c>
      <c r="I1411" s="11">
        <v>665.38490175665913</v>
      </c>
      <c r="J1411" s="11">
        <v>0</v>
      </c>
      <c r="K1411" s="11">
        <v>665.38490175665913</v>
      </c>
      <c r="L1411" s="12">
        <v>0</v>
      </c>
      <c r="M1411" s="12">
        <v>0</v>
      </c>
      <c r="N1411" s="12">
        <v>665.38490175665913</v>
      </c>
      <c r="O1411" s="70">
        <f>IF(Table1[[#This Row],[Overall amount]]=0,0,1)</f>
        <v>1</v>
      </c>
      <c r="P1411" s="70">
        <f>Table1[[#This Row],[Overall amount]]*Exchange_Rate</f>
        <v>665.38490175665913</v>
      </c>
      <c r="Q1411" s="70">
        <f>Table1[[#This Row],[Overall (destination currency)]]*(1+Claims_Inflation)^((Revalue_at_date-Table1[[#This Row],[Loss date]])/365.25)</f>
        <v>852.6</v>
      </c>
      <c r="R1411" s="70">
        <f>INT(Table1[[#This Row],[Reporting date]])-INT(Table1[[#This Row],[Loss date]])</f>
        <v>34</v>
      </c>
      <c r="S1411" s="69" t="s">
        <v>9</v>
      </c>
      <c r="T1411" s="70">
        <f>VLOOKUP(Table1[[#This Row],[Policy Year]],exposure_table,3,FALSE)</f>
        <v>837.11513600000012</v>
      </c>
      <c r="U1411" s="17">
        <f>IF(MONTH(Table1[[#This Row],[Reporting date]])&lt;Policy_Inception_Month,YEAR(Table1[[#This Row],[Reporting date]])-1,YEAR(Table1[[#This Row],[Reporting date]]))</f>
        <v>2010</v>
      </c>
      <c r="V1411" s="17">
        <f>Table1[[#This Row],[Reporting year]]-Table1[[#This Row],[Policy Year]]</f>
        <v>0</v>
      </c>
      <c r="W1411" s="17">
        <f>INT(Table1[[#This Row],[Reporting date]])-INT(Table1[[#This Row],[Loss date]])</f>
        <v>34</v>
      </c>
      <c r="X1411" s="17">
        <f>INT((YEAR(Table1[[#This Row],[Loss date]])*12+MONTH(Table1[[#This Row],[Loss date]])-Earliest_Month)/4)</f>
        <v>16</v>
      </c>
      <c r="Y1411" s="17">
        <f>INT((YEAR(Table1[[#This Row],[Reporting date]])*12+MONTH(Table1[[#This Row],[Reporting date]])-Earliest_Month)/4)</f>
        <v>16</v>
      </c>
      <c r="Z1411" s="17">
        <f>Table1[[#This Row],[Reporting third]]-Table1[[#This Row],[Policy third]]</f>
        <v>0</v>
      </c>
      <c r="AA1411" s="71">
        <f>IF(Table1[[#This Row],[Overall amount]]=0,"N/A",Table1[[#This Row],[Outstanding]]/Table1[[#This Row],[Overall amount]])</f>
        <v>0</v>
      </c>
      <c r="AB1411" s="17">
        <f>IF(MONTH(Table1[[#This Row],[Loss date]])&lt;Pol_Inc_Month_Shifted,YEAR(Table1[[#This Row],[Loss date]])-1,YEAR(Table1[[#This Row],[Loss date]]))</f>
        <v>2009</v>
      </c>
      <c r="AC1411" s="17">
        <f>IF(MONTH(Table1[[#This Row],[Reporting date]])&lt;Pol_Inc_Month_Shifted,YEAR(Table1[[#This Row],[Reporting date]])-1,YEAR(Table1[[#This Row],[Reporting date]]))</f>
        <v>2009</v>
      </c>
      <c r="AD1411" s="17">
        <f>Table1[[#This Row],[Reporting year (shifted)]]-Table1[[#This Row],[Policy Year (shifted)]]</f>
        <v>0</v>
      </c>
    </row>
    <row r="1412" spans="1:30" ht="13.9">
      <c r="A1412" s="8" t="s">
        <v>3182</v>
      </c>
      <c r="B1412" s="8" t="s">
        <v>1464</v>
      </c>
      <c r="C1412" s="8" t="s">
        <v>118</v>
      </c>
      <c r="D1412" s="9">
        <v>40461</v>
      </c>
      <c r="E1412" s="9">
        <v>40482</v>
      </c>
      <c r="F1412" s="17">
        <f>IF(MONTH(Table1[[#This Row],[Loss date]])&lt;Policy_Inception_Month,YEAR(Table1[[#This Row],[Loss date]])-1,YEAR(Table1[[#This Row],[Loss date]]))</f>
        <v>2010</v>
      </c>
      <c r="G1412" s="10" t="s">
        <v>129</v>
      </c>
      <c r="H1412" s="10" t="s">
        <v>2</v>
      </c>
      <c r="I1412" s="11">
        <v>5116.0050597419868</v>
      </c>
      <c r="J1412" s="11">
        <v>0</v>
      </c>
      <c r="K1412" s="11">
        <v>5116.0050597419868</v>
      </c>
      <c r="L1412" s="12">
        <v>0</v>
      </c>
      <c r="M1412" s="12">
        <v>0</v>
      </c>
      <c r="N1412" s="12">
        <v>5116.0050597419868</v>
      </c>
      <c r="O1412" s="70">
        <f>IF(Table1[[#This Row],[Overall amount]]=0,0,1)</f>
        <v>1</v>
      </c>
      <c r="P1412" s="70">
        <f>Table1[[#This Row],[Overall amount]]*Exchange_Rate</f>
        <v>5116.0050597419868</v>
      </c>
      <c r="Q1412" s="70">
        <f>Table1[[#This Row],[Overall (destination currency)]]*(1+Claims_Inflation)^((Revalue_at_date-Table1[[#This Row],[Loss date]])/365.25)</f>
        <v>6521.4</v>
      </c>
      <c r="R1412" s="70">
        <f>INT(Table1[[#This Row],[Reporting date]])-INT(Table1[[#This Row],[Loss date]])</f>
        <v>21</v>
      </c>
      <c r="S1412" s="69" t="s">
        <v>9</v>
      </c>
      <c r="T1412" s="70">
        <f>VLOOKUP(Table1[[#This Row],[Policy Year]],exposure_table,3,FALSE)</f>
        <v>837.11513600000012</v>
      </c>
      <c r="U1412" s="17">
        <f>IF(MONTH(Table1[[#This Row],[Reporting date]])&lt;Policy_Inception_Month,YEAR(Table1[[#This Row],[Reporting date]])-1,YEAR(Table1[[#This Row],[Reporting date]]))</f>
        <v>2010</v>
      </c>
      <c r="V1412" s="17">
        <f>Table1[[#This Row],[Reporting year]]-Table1[[#This Row],[Policy Year]]</f>
        <v>0</v>
      </c>
      <c r="W1412" s="17">
        <f>INT(Table1[[#This Row],[Reporting date]])-INT(Table1[[#This Row],[Loss date]])</f>
        <v>21</v>
      </c>
      <c r="X1412" s="17">
        <f>INT((YEAR(Table1[[#This Row],[Loss date]])*12+MONTH(Table1[[#This Row],[Loss date]])-Earliest_Month)/4)</f>
        <v>16</v>
      </c>
      <c r="Y1412" s="17">
        <f>INT((YEAR(Table1[[#This Row],[Reporting date]])*12+MONTH(Table1[[#This Row],[Reporting date]])-Earliest_Month)/4)</f>
        <v>16</v>
      </c>
      <c r="Z1412" s="17">
        <f>Table1[[#This Row],[Reporting third]]-Table1[[#This Row],[Policy third]]</f>
        <v>0</v>
      </c>
      <c r="AA1412" s="71">
        <f>IF(Table1[[#This Row],[Overall amount]]=0,"N/A",Table1[[#This Row],[Outstanding]]/Table1[[#This Row],[Overall amount]])</f>
        <v>0</v>
      </c>
      <c r="AB1412" s="17">
        <f>IF(MONTH(Table1[[#This Row],[Loss date]])&lt;Pol_Inc_Month_Shifted,YEAR(Table1[[#This Row],[Loss date]])-1,YEAR(Table1[[#This Row],[Loss date]]))</f>
        <v>2009</v>
      </c>
      <c r="AC1412" s="17">
        <f>IF(MONTH(Table1[[#This Row],[Reporting date]])&lt;Pol_Inc_Month_Shifted,YEAR(Table1[[#This Row],[Reporting date]])-1,YEAR(Table1[[#This Row],[Reporting date]]))</f>
        <v>2009</v>
      </c>
      <c r="AD1412" s="17">
        <f>Table1[[#This Row],[Reporting year (shifted)]]-Table1[[#This Row],[Policy Year (shifted)]]</f>
        <v>0</v>
      </c>
    </row>
    <row r="1413" spans="1:30" ht="13.9">
      <c r="A1413" s="8" t="s">
        <v>3183</v>
      </c>
      <c r="B1413" s="8" t="s">
        <v>1465</v>
      </c>
      <c r="C1413" s="8" t="s">
        <v>118</v>
      </c>
      <c r="D1413" s="9">
        <v>40475</v>
      </c>
      <c r="E1413" s="9">
        <v>40482</v>
      </c>
      <c r="F1413" s="17">
        <f>IF(MONTH(Table1[[#This Row],[Loss date]])&lt;Policy_Inception_Month,YEAR(Table1[[#This Row],[Loss date]])-1,YEAR(Table1[[#This Row],[Loss date]]))</f>
        <v>2010</v>
      </c>
      <c r="G1413" s="10" t="s">
        <v>129</v>
      </c>
      <c r="H1413" s="10" t="s">
        <v>2</v>
      </c>
      <c r="I1413" s="11">
        <v>11789.922237056893</v>
      </c>
      <c r="J1413" s="11">
        <v>0</v>
      </c>
      <c r="K1413" s="11">
        <v>11789.922237056893</v>
      </c>
      <c r="L1413" s="12">
        <v>0</v>
      </c>
      <c r="M1413" s="12">
        <v>0</v>
      </c>
      <c r="N1413" s="12">
        <v>11789.922237056893</v>
      </c>
      <c r="O1413" s="70">
        <f>IF(Table1[[#This Row],[Overall amount]]=0,0,1)</f>
        <v>1</v>
      </c>
      <c r="P1413" s="70">
        <f>Table1[[#This Row],[Overall amount]]*Exchange_Rate</f>
        <v>11789.922237056893</v>
      </c>
      <c r="Q1413" s="70">
        <f>Table1[[#This Row],[Overall (destination currency)]]*(1+Claims_Inflation)^((Revalue_at_date-Table1[[#This Row],[Loss date]])/365.25)</f>
        <v>15000.599999999999</v>
      </c>
      <c r="R1413" s="70">
        <f>INT(Table1[[#This Row],[Reporting date]])-INT(Table1[[#This Row],[Loss date]])</f>
        <v>7</v>
      </c>
      <c r="S1413" s="69" t="s">
        <v>9</v>
      </c>
      <c r="T1413" s="70">
        <f>VLOOKUP(Table1[[#This Row],[Policy Year]],exposure_table,3,FALSE)</f>
        <v>837.11513600000012</v>
      </c>
      <c r="U1413" s="17">
        <f>IF(MONTH(Table1[[#This Row],[Reporting date]])&lt;Policy_Inception_Month,YEAR(Table1[[#This Row],[Reporting date]])-1,YEAR(Table1[[#This Row],[Reporting date]]))</f>
        <v>2010</v>
      </c>
      <c r="V1413" s="17">
        <f>Table1[[#This Row],[Reporting year]]-Table1[[#This Row],[Policy Year]]</f>
        <v>0</v>
      </c>
      <c r="W1413" s="17">
        <f>INT(Table1[[#This Row],[Reporting date]])-INT(Table1[[#This Row],[Loss date]])</f>
        <v>7</v>
      </c>
      <c r="X1413" s="17">
        <f>INT((YEAR(Table1[[#This Row],[Loss date]])*12+MONTH(Table1[[#This Row],[Loss date]])-Earliest_Month)/4)</f>
        <v>16</v>
      </c>
      <c r="Y1413" s="17">
        <f>INT((YEAR(Table1[[#This Row],[Reporting date]])*12+MONTH(Table1[[#This Row],[Reporting date]])-Earliest_Month)/4)</f>
        <v>16</v>
      </c>
      <c r="Z1413" s="17">
        <f>Table1[[#This Row],[Reporting third]]-Table1[[#This Row],[Policy third]]</f>
        <v>0</v>
      </c>
      <c r="AA1413" s="71">
        <f>IF(Table1[[#This Row],[Overall amount]]=0,"N/A",Table1[[#This Row],[Outstanding]]/Table1[[#This Row],[Overall amount]])</f>
        <v>0</v>
      </c>
      <c r="AB1413" s="17">
        <f>IF(MONTH(Table1[[#This Row],[Loss date]])&lt;Pol_Inc_Month_Shifted,YEAR(Table1[[#This Row],[Loss date]])-1,YEAR(Table1[[#This Row],[Loss date]]))</f>
        <v>2009</v>
      </c>
      <c r="AC1413" s="17">
        <f>IF(MONTH(Table1[[#This Row],[Reporting date]])&lt;Pol_Inc_Month_Shifted,YEAR(Table1[[#This Row],[Reporting date]])-1,YEAR(Table1[[#This Row],[Reporting date]]))</f>
        <v>2009</v>
      </c>
      <c r="AD1413" s="17">
        <f>Table1[[#This Row],[Reporting year (shifted)]]-Table1[[#This Row],[Policy Year (shifted)]]</f>
        <v>0</v>
      </c>
    </row>
    <row r="1414" spans="1:30" ht="13.9">
      <c r="A1414" s="8" t="s">
        <v>3184</v>
      </c>
      <c r="B1414" s="8" t="s">
        <v>1466</v>
      </c>
      <c r="C1414" s="8" t="s">
        <v>118</v>
      </c>
      <c r="D1414" s="9">
        <v>40480</v>
      </c>
      <c r="E1414" s="9">
        <v>40480</v>
      </c>
      <c r="F1414" s="17">
        <f>IF(MONTH(Table1[[#This Row],[Loss date]])&lt;Policy_Inception_Month,YEAR(Table1[[#This Row],[Loss date]])-1,YEAR(Table1[[#This Row],[Loss date]]))</f>
        <v>2010</v>
      </c>
      <c r="G1414" s="10" t="s">
        <v>129</v>
      </c>
      <c r="H1414" s="10" t="s">
        <v>2</v>
      </c>
      <c r="I1414" s="11">
        <v>834.77889209295222</v>
      </c>
      <c r="J1414" s="11">
        <v>0</v>
      </c>
      <c r="K1414" s="11">
        <v>834.77889209295222</v>
      </c>
      <c r="L1414" s="12">
        <v>0</v>
      </c>
      <c r="M1414" s="12">
        <v>0</v>
      </c>
      <c r="N1414" s="12">
        <v>834.77889209295222</v>
      </c>
      <c r="O1414" s="70">
        <f>IF(Table1[[#This Row],[Overall amount]]=0,0,1)</f>
        <v>1</v>
      </c>
      <c r="P1414" s="70">
        <f>Table1[[#This Row],[Overall amount]]*Exchange_Rate</f>
        <v>834.77889209295222</v>
      </c>
      <c r="Q1414" s="70">
        <f>Table1[[#This Row],[Overall (destination currency)]]*(1+Claims_Inflation)^((Revalue_at_date-Table1[[#This Row],[Loss date]])/365.25)</f>
        <v>1061.3999999999999</v>
      </c>
      <c r="R1414" s="70">
        <f>INT(Table1[[#This Row],[Reporting date]])-INT(Table1[[#This Row],[Loss date]])</f>
        <v>0</v>
      </c>
      <c r="S1414" s="69" t="s">
        <v>9</v>
      </c>
      <c r="T1414" s="70">
        <f>VLOOKUP(Table1[[#This Row],[Policy Year]],exposure_table,3,FALSE)</f>
        <v>837.11513600000012</v>
      </c>
      <c r="U1414" s="17">
        <f>IF(MONTH(Table1[[#This Row],[Reporting date]])&lt;Policy_Inception_Month,YEAR(Table1[[#This Row],[Reporting date]])-1,YEAR(Table1[[#This Row],[Reporting date]]))</f>
        <v>2010</v>
      </c>
      <c r="V1414" s="17">
        <f>Table1[[#This Row],[Reporting year]]-Table1[[#This Row],[Policy Year]]</f>
        <v>0</v>
      </c>
      <c r="W1414" s="17">
        <f>INT(Table1[[#This Row],[Reporting date]])-INT(Table1[[#This Row],[Loss date]])</f>
        <v>0</v>
      </c>
      <c r="X1414" s="17">
        <f>INT((YEAR(Table1[[#This Row],[Loss date]])*12+MONTH(Table1[[#This Row],[Loss date]])-Earliest_Month)/4)</f>
        <v>16</v>
      </c>
      <c r="Y1414" s="17">
        <f>INT((YEAR(Table1[[#This Row],[Reporting date]])*12+MONTH(Table1[[#This Row],[Reporting date]])-Earliest_Month)/4)</f>
        <v>16</v>
      </c>
      <c r="Z1414" s="17">
        <f>Table1[[#This Row],[Reporting third]]-Table1[[#This Row],[Policy third]]</f>
        <v>0</v>
      </c>
      <c r="AA1414" s="71">
        <f>IF(Table1[[#This Row],[Overall amount]]=0,"N/A",Table1[[#This Row],[Outstanding]]/Table1[[#This Row],[Overall amount]])</f>
        <v>0</v>
      </c>
      <c r="AB1414" s="17">
        <f>IF(MONTH(Table1[[#This Row],[Loss date]])&lt;Pol_Inc_Month_Shifted,YEAR(Table1[[#This Row],[Loss date]])-1,YEAR(Table1[[#This Row],[Loss date]]))</f>
        <v>2009</v>
      </c>
      <c r="AC1414" s="17">
        <f>IF(MONTH(Table1[[#This Row],[Reporting date]])&lt;Pol_Inc_Month_Shifted,YEAR(Table1[[#This Row],[Reporting date]])-1,YEAR(Table1[[#This Row],[Reporting date]]))</f>
        <v>2009</v>
      </c>
      <c r="AD1414" s="17">
        <f>Table1[[#This Row],[Reporting year (shifted)]]-Table1[[#This Row],[Policy Year (shifted)]]</f>
        <v>0</v>
      </c>
    </row>
    <row r="1415" spans="1:30" ht="13.9">
      <c r="A1415" s="8" t="s">
        <v>3185</v>
      </c>
      <c r="B1415" s="8" t="s">
        <v>1467</v>
      </c>
      <c r="C1415" s="8" t="s">
        <v>118</v>
      </c>
      <c r="D1415" s="9">
        <v>40521</v>
      </c>
      <c r="E1415" s="9">
        <v>40521</v>
      </c>
      <c r="F1415" s="17">
        <f>IF(MONTH(Table1[[#This Row],[Loss date]])&lt;Policy_Inception_Month,YEAR(Table1[[#This Row],[Loss date]])-1,YEAR(Table1[[#This Row],[Loss date]]))</f>
        <v>2010</v>
      </c>
      <c r="G1415" s="10" t="s">
        <v>129</v>
      </c>
      <c r="H1415" s="10" t="s">
        <v>2</v>
      </c>
      <c r="I1415" s="11">
        <v>1141.5151650323735</v>
      </c>
      <c r="J1415" s="11">
        <v>0</v>
      </c>
      <c r="K1415" s="11">
        <v>1141.5151650323735</v>
      </c>
      <c r="L1415" s="12">
        <v>0</v>
      </c>
      <c r="M1415" s="12">
        <v>0</v>
      </c>
      <c r="N1415" s="12">
        <v>1141.5151650323735</v>
      </c>
      <c r="O1415" s="70">
        <f>IF(Table1[[#This Row],[Overall amount]]=0,0,1)</f>
        <v>1</v>
      </c>
      <c r="P1415" s="70">
        <f>Table1[[#This Row],[Overall amount]]*Exchange_Rate</f>
        <v>1141.5151650323735</v>
      </c>
      <c r="Q1415" s="70">
        <f>Table1[[#This Row],[Overall (destination currency)]]*(1+Claims_Inflation)^((Revalue_at_date-Table1[[#This Row],[Loss date]])/365.25)</f>
        <v>1443.48</v>
      </c>
      <c r="R1415" s="70">
        <f>INT(Table1[[#This Row],[Reporting date]])-INT(Table1[[#This Row],[Loss date]])</f>
        <v>0</v>
      </c>
      <c r="S1415" s="69" t="s">
        <v>9</v>
      </c>
      <c r="T1415" s="70">
        <f>VLOOKUP(Table1[[#This Row],[Policy Year]],exposure_table,3,FALSE)</f>
        <v>837.11513600000012</v>
      </c>
      <c r="U1415" s="17">
        <f>IF(MONTH(Table1[[#This Row],[Reporting date]])&lt;Policy_Inception_Month,YEAR(Table1[[#This Row],[Reporting date]])-1,YEAR(Table1[[#This Row],[Reporting date]]))</f>
        <v>2010</v>
      </c>
      <c r="V1415" s="17">
        <f>Table1[[#This Row],[Reporting year]]-Table1[[#This Row],[Policy Year]]</f>
        <v>0</v>
      </c>
      <c r="W1415" s="17">
        <f>INT(Table1[[#This Row],[Reporting date]])-INT(Table1[[#This Row],[Loss date]])</f>
        <v>0</v>
      </c>
      <c r="X1415" s="17">
        <f>INT((YEAR(Table1[[#This Row],[Loss date]])*12+MONTH(Table1[[#This Row],[Loss date]])-Earliest_Month)/4)</f>
        <v>17</v>
      </c>
      <c r="Y1415" s="17">
        <f>INT((YEAR(Table1[[#This Row],[Reporting date]])*12+MONTH(Table1[[#This Row],[Reporting date]])-Earliest_Month)/4)</f>
        <v>17</v>
      </c>
      <c r="Z1415" s="17">
        <f>Table1[[#This Row],[Reporting third]]-Table1[[#This Row],[Policy third]]</f>
        <v>0</v>
      </c>
      <c r="AA1415" s="71">
        <f>IF(Table1[[#This Row],[Overall amount]]=0,"N/A",Table1[[#This Row],[Outstanding]]/Table1[[#This Row],[Overall amount]])</f>
        <v>0</v>
      </c>
      <c r="AB1415" s="17">
        <f>IF(MONTH(Table1[[#This Row],[Loss date]])&lt;Pol_Inc_Month_Shifted,YEAR(Table1[[#This Row],[Loss date]])-1,YEAR(Table1[[#This Row],[Loss date]]))</f>
        <v>2010</v>
      </c>
      <c r="AC1415" s="17">
        <f>IF(MONTH(Table1[[#This Row],[Reporting date]])&lt;Pol_Inc_Month_Shifted,YEAR(Table1[[#This Row],[Reporting date]])-1,YEAR(Table1[[#This Row],[Reporting date]]))</f>
        <v>2010</v>
      </c>
      <c r="AD1415" s="17">
        <f>Table1[[#This Row],[Reporting year (shifted)]]-Table1[[#This Row],[Policy Year (shifted)]]</f>
        <v>0</v>
      </c>
    </row>
    <row r="1416" spans="1:30" ht="13.9">
      <c r="A1416" s="8" t="s">
        <v>3186</v>
      </c>
      <c r="B1416" s="8" t="s">
        <v>1468</v>
      </c>
      <c r="C1416" s="8" t="s">
        <v>118</v>
      </c>
      <c r="D1416" s="9">
        <v>40519</v>
      </c>
      <c r="E1416" s="9">
        <v>40530</v>
      </c>
      <c r="F1416" s="17">
        <f>IF(MONTH(Table1[[#This Row],[Loss date]])&lt;Policy_Inception_Month,YEAR(Table1[[#This Row],[Loss date]])-1,YEAR(Table1[[#This Row],[Loss date]]))</f>
        <v>2010</v>
      </c>
      <c r="G1416" s="10" t="s">
        <v>129</v>
      </c>
      <c r="H1416" s="10" t="s">
        <v>2</v>
      </c>
      <c r="I1416" s="11">
        <v>206.34568691994528</v>
      </c>
      <c r="J1416" s="11">
        <v>0</v>
      </c>
      <c r="K1416" s="11">
        <v>206.34568691994528</v>
      </c>
      <c r="L1416" s="12">
        <v>0</v>
      </c>
      <c r="M1416" s="12">
        <v>0</v>
      </c>
      <c r="N1416" s="12">
        <v>206.34568691994528</v>
      </c>
      <c r="O1416" s="70">
        <f>IF(Table1[[#This Row],[Overall amount]]=0,0,1)</f>
        <v>1</v>
      </c>
      <c r="P1416" s="70">
        <f>Table1[[#This Row],[Overall amount]]*Exchange_Rate</f>
        <v>206.34568691994528</v>
      </c>
      <c r="Q1416" s="70">
        <f>Table1[[#This Row],[Overall (destination currency)]]*(1+Claims_Inflation)^((Revalue_at_date-Table1[[#This Row],[Loss date]])/365.25)</f>
        <v>261</v>
      </c>
      <c r="R1416" s="70">
        <f>INT(Table1[[#This Row],[Reporting date]])-INT(Table1[[#This Row],[Loss date]])</f>
        <v>11</v>
      </c>
      <c r="S1416" s="69" t="s">
        <v>9</v>
      </c>
      <c r="T1416" s="70">
        <f>VLOOKUP(Table1[[#This Row],[Policy Year]],exposure_table,3,FALSE)</f>
        <v>837.11513600000012</v>
      </c>
      <c r="U1416" s="17">
        <f>IF(MONTH(Table1[[#This Row],[Reporting date]])&lt;Policy_Inception_Month,YEAR(Table1[[#This Row],[Reporting date]])-1,YEAR(Table1[[#This Row],[Reporting date]]))</f>
        <v>2010</v>
      </c>
      <c r="V1416" s="17">
        <f>Table1[[#This Row],[Reporting year]]-Table1[[#This Row],[Policy Year]]</f>
        <v>0</v>
      </c>
      <c r="W1416" s="17">
        <f>INT(Table1[[#This Row],[Reporting date]])-INT(Table1[[#This Row],[Loss date]])</f>
        <v>11</v>
      </c>
      <c r="X1416" s="17">
        <f>INT((YEAR(Table1[[#This Row],[Loss date]])*12+MONTH(Table1[[#This Row],[Loss date]])-Earliest_Month)/4)</f>
        <v>17</v>
      </c>
      <c r="Y1416" s="17">
        <f>INT((YEAR(Table1[[#This Row],[Reporting date]])*12+MONTH(Table1[[#This Row],[Reporting date]])-Earliest_Month)/4)</f>
        <v>17</v>
      </c>
      <c r="Z1416" s="17">
        <f>Table1[[#This Row],[Reporting third]]-Table1[[#This Row],[Policy third]]</f>
        <v>0</v>
      </c>
      <c r="AA1416" s="71">
        <f>IF(Table1[[#This Row],[Overall amount]]=0,"N/A",Table1[[#This Row],[Outstanding]]/Table1[[#This Row],[Overall amount]])</f>
        <v>0</v>
      </c>
      <c r="AB1416" s="17">
        <f>IF(MONTH(Table1[[#This Row],[Loss date]])&lt;Pol_Inc_Month_Shifted,YEAR(Table1[[#This Row],[Loss date]])-1,YEAR(Table1[[#This Row],[Loss date]]))</f>
        <v>2010</v>
      </c>
      <c r="AC1416" s="17">
        <f>IF(MONTH(Table1[[#This Row],[Reporting date]])&lt;Pol_Inc_Month_Shifted,YEAR(Table1[[#This Row],[Reporting date]])-1,YEAR(Table1[[#This Row],[Reporting date]]))</f>
        <v>2010</v>
      </c>
      <c r="AD1416" s="17">
        <f>Table1[[#This Row],[Reporting year (shifted)]]-Table1[[#This Row],[Policy Year (shifted)]]</f>
        <v>0</v>
      </c>
    </row>
    <row r="1417" spans="1:30" ht="13.9">
      <c r="A1417" s="8" t="s">
        <v>3187</v>
      </c>
      <c r="B1417" s="8" t="s">
        <v>1469</v>
      </c>
      <c r="C1417" s="8" t="s">
        <v>118</v>
      </c>
      <c r="D1417" s="9">
        <v>40531</v>
      </c>
      <c r="E1417" s="9">
        <v>40531</v>
      </c>
      <c r="F1417" s="17">
        <f>IF(MONTH(Table1[[#This Row],[Loss date]])&lt;Policy_Inception_Month,YEAR(Table1[[#This Row],[Loss date]])-1,YEAR(Table1[[#This Row],[Loss date]]))</f>
        <v>2010</v>
      </c>
      <c r="G1417" s="10" t="s">
        <v>129</v>
      </c>
      <c r="H1417" s="10" t="s">
        <v>2</v>
      </c>
      <c r="I1417" s="11">
        <v>2535.2819011305237</v>
      </c>
      <c r="J1417" s="11">
        <v>0</v>
      </c>
      <c r="K1417" s="11">
        <v>2535.2819011305237</v>
      </c>
      <c r="L1417" s="12">
        <v>0</v>
      </c>
      <c r="M1417" s="12">
        <v>0</v>
      </c>
      <c r="N1417" s="12">
        <v>2535.2819011305237</v>
      </c>
      <c r="O1417" s="70">
        <f>IF(Table1[[#This Row],[Overall amount]]=0,0,1)</f>
        <v>1</v>
      </c>
      <c r="P1417" s="70">
        <f>Table1[[#This Row],[Overall amount]]*Exchange_Rate</f>
        <v>2535.2819011305237</v>
      </c>
      <c r="Q1417" s="70">
        <f>Table1[[#This Row],[Overall (destination currency)]]*(1+Claims_Inflation)^((Revalue_at_date-Table1[[#This Row],[Loss date]])/365.25)</f>
        <v>3201.6600000000012</v>
      </c>
      <c r="R1417" s="70">
        <f>INT(Table1[[#This Row],[Reporting date]])-INT(Table1[[#This Row],[Loss date]])</f>
        <v>0</v>
      </c>
      <c r="S1417" s="69" t="s">
        <v>9</v>
      </c>
      <c r="T1417" s="70">
        <f>VLOOKUP(Table1[[#This Row],[Policy Year]],exposure_table,3,FALSE)</f>
        <v>837.11513600000012</v>
      </c>
      <c r="U1417" s="17">
        <f>IF(MONTH(Table1[[#This Row],[Reporting date]])&lt;Policy_Inception_Month,YEAR(Table1[[#This Row],[Reporting date]])-1,YEAR(Table1[[#This Row],[Reporting date]]))</f>
        <v>2010</v>
      </c>
      <c r="V1417" s="17">
        <f>Table1[[#This Row],[Reporting year]]-Table1[[#This Row],[Policy Year]]</f>
        <v>0</v>
      </c>
      <c r="W1417" s="17">
        <f>INT(Table1[[#This Row],[Reporting date]])-INT(Table1[[#This Row],[Loss date]])</f>
        <v>0</v>
      </c>
      <c r="X1417" s="17">
        <f>INT((YEAR(Table1[[#This Row],[Loss date]])*12+MONTH(Table1[[#This Row],[Loss date]])-Earliest_Month)/4)</f>
        <v>17</v>
      </c>
      <c r="Y1417" s="17">
        <f>INT((YEAR(Table1[[#This Row],[Reporting date]])*12+MONTH(Table1[[#This Row],[Reporting date]])-Earliest_Month)/4)</f>
        <v>17</v>
      </c>
      <c r="Z1417" s="17">
        <f>Table1[[#This Row],[Reporting third]]-Table1[[#This Row],[Policy third]]</f>
        <v>0</v>
      </c>
      <c r="AA1417" s="71">
        <f>IF(Table1[[#This Row],[Overall amount]]=0,"N/A",Table1[[#This Row],[Outstanding]]/Table1[[#This Row],[Overall amount]])</f>
        <v>0</v>
      </c>
      <c r="AB1417" s="17">
        <f>IF(MONTH(Table1[[#This Row],[Loss date]])&lt;Pol_Inc_Month_Shifted,YEAR(Table1[[#This Row],[Loss date]])-1,YEAR(Table1[[#This Row],[Loss date]]))</f>
        <v>2010</v>
      </c>
      <c r="AC1417" s="17">
        <f>IF(MONTH(Table1[[#This Row],[Reporting date]])&lt;Pol_Inc_Month_Shifted,YEAR(Table1[[#This Row],[Reporting date]])-1,YEAR(Table1[[#This Row],[Reporting date]]))</f>
        <v>2010</v>
      </c>
      <c r="AD1417" s="17">
        <f>Table1[[#This Row],[Reporting year (shifted)]]-Table1[[#This Row],[Policy Year (shifted)]]</f>
        <v>0</v>
      </c>
    </row>
    <row r="1418" spans="1:30" ht="13.9">
      <c r="A1418" s="8" t="s">
        <v>3188</v>
      </c>
      <c r="B1418" s="8" t="s">
        <v>1470</v>
      </c>
      <c r="C1418" s="8" t="s">
        <v>118</v>
      </c>
      <c r="D1418" s="9">
        <v>40552</v>
      </c>
      <c r="E1418" s="9">
        <v>40553</v>
      </c>
      <c r="F1418" s="17">
        <f>IF(MONTH(Table1[[#This Row],[Loss date]])&lt;Policy_Inception_Month,YEAR(Table1[[#This Row],[Loss date]])-1,YEAR(Table1[[#This Row],[Loss date]]))</f>
        <v>2010</v>
      </c>
      <c r="G1418" s="10" t="s">
        <v>119</v>
      </c>
      <c r="H1418" s="10" t="s">
        <v>2</v>
      </c>
      <c r="I1418" s="11">
        <v>7296.0381159167919</v>
      </c>
      <c r="J1418" s="11">
        <v>0</v>
      </c>
      <c r="K1418" s="11">
        <v>7296.0381159167919</v>
      </c>
      <c r="L1418" s="12">
        <v>0</v>
      </c>
      <c r="M1418" s="12">
        <v>0</v>
      </c>
      <c r="N1418" s="12">
        <v>7296.0381159167919</v>
      </c>
      <c r="O1418" s="70">
        <f>IF(Table1[[#This Row],[Overall amount]]=0,0,1)</f>
        <v>1</v>
      </c>
      <c r="P1418" s="70">
        <f>Table1[[#This Row],[Overall amount]]*Exchange_Rate</f>
        <v>7296.0381159167919</v>
      </c>
      <c r="Q1418" s="70">
        <f>Table1[[#This Row],[Overall (destination currency)]]*(1+Claims_Inflation)^((Revalue_at_date-Table1[[#This Row],[Loss date]])/365.25)</f>
        <v>9187.9319999999989</v>
      </c>
      <c r="R1418" s="70">
        <f>INT(Table1[[#This Row],[Reporting date]])-INT(Table1[[#This Row],[Loss date]])</f>
        <v>1</v>
      </c>
      <c r="S1418" s="69" t="s">
        <v>9</v>
      </c>
      <c r="T1418" s="70">
        <f>VLOOKUP(Table1[[#This Row],[Policy Year]],exposure_table,3,FALSE)</f>
        <v>837.11513600000012</v>
      </c>
      <c r="U1418" s="17">
        <f>IF(MONTH(Table1[[#This Row],[Reporting date]])&lt;Policy_Inception_Month,YEAR(Table1[[#This Row],[Reporting date]])-1,YEAR(Table1[[#This Row],[Reporting date]]))</f>
        <v>2010</v>
      </c>
      <c r="V1418" s="17">
        <f>Table1[[#This Row],[Reporting year]]-Table1[[#This Row],[Policy Year]]</f>
        <v>0</v>
      </c>
      <c r="W1418" s="17">
        <f>INT(Table1[[#This Row],[Reporting date]])-INT(Table1[[#This Row],[Loss date]])</f>
        <v>1</v>
      </c>
      <c r="X1418" s="17">
        <f>INT((YEAR(Table1[[#This Row],[Loss date]])*12+MONTH(Table1[[#This Row],[Loss date]])-Earliest_Month)/4)</f>
        <v>17</v>
      </c>
      <c r="Y1418" s="17">
        <f>INT((YEAR(Table1[[#This Row],[Reporting date]])*12+MONTH(Table1[[#This Row],[Reporting date]])-Earliest_Month)/4)</f>
        <v>17</v>
      </c>
      <c r="Z1418" s="17">
        <f>Table1[[#This Row],[Reporting third]]-Table1[[#This Row],[Policy third]]</f>
        <v>0</v>
      </c>
      <c r="AA1418" s="71">
        <f>IF(Table1[[#This Row],[Overall amount]]=0,"N/A",Table1[[#This Row],[Outstanding]]/Table1[[#This Row],[Overall amount]])</f>
        <v>0</v>
      </c>
      <c r="AB1418" s="17">
        <f>IF(MONTH(Table1[[#This Row],[Loss date]])&lt;Pol_Inc_Month_Shifted,YEAR(Table1[[#This Row],[Loss date]])-1,YEAR(Table1[[#This Row],[Loss date]]))</f>
        <v>2010</v>
      </c>
      <c r="AC1418" s="17">
        <f>IF(MONTH(Table1[[#This Row],[Reporting date]])&lt;Pol_Inc_Month_Shifted,YEAR(Table1[[#This Row],[Reporting date]])-1,YEAR(Table1[[#This Row],[Reporting date]]))</f>
        <v>2010</v>
      </c>
      <c r="AD1418" s="17">
        <f>Table1[[#This Row],[Reporting year (shifted)]]-Table1[[#This Row],[Policy Year (shifted)]]</f>
        <v>0</v>
      </c>
    </row>
    <row r="1419" spans="1:30" ht="13.9">
      <c r="A1419" s="8" t="s">
        <v>3189</v>
      </c>
      <c r="B1419" s="8" t="s">
        <v>1471</v>
      </c>
      <c r="C1419" s="8" t="s">
        <v>118</v>
      </c>
      <c r="D1419" s="9">
        <v>40552</v>
      </c>
      <c r="E1419" s="9">
        <v>40558</v>
      </c>
      <c r="F1419" s="17">
        <f>IF(MONTH(Table1[[#This Row],[Loss date]])&lt;Policy_Inception_Month,YEAR(Table1[[#This Row],[Loss date]])-1,YEAR(Table1[[#This Row],[Loss date]]))</f>
        <v>2010</v>
      </c>
      <c r="G1419" s="10" t="s">
        <v>129</v>
      </c>
      <c r="H1419" s="10" t="s">
        <v>2</v>
      </c>
      <c r="I1419" s="11">
        <v>746.12626799103623</v>
      </c>
      <c r="J1419" s="11">
        <v>0</v>
      </c>
      <c r="K1419" s="11">
        <v>746.12626799103623</v>
      </c>
      <c r="L1419" s="12">
        <v>0</v>
      </c>
      <c r="M1419" s="12">
        <v>0</v>
      </c>
      <c r="N1419" s="12">
        <v>746.12626799103623</v>
      </c>
      <c r="O1419" s="70">
        <f>IF(Table1[[#This Row],[Overall amount]]=0,0,1)</f>
        <v>1</v>
      </c>
      <c r="P1419" s="70">
        <f>Table1[[#This Row],[Overall amount]]*Exchange_Rate</f>
        <v>746.12626799103623</v>
      </c>
      <c r="Q1419" s="70">
        <f>Table1[[#This Row],[Overall (destination currency)]]*(1+Claims_Inflation)^((Revalue_at_date-Table1[[#This Row],[Loss date]])/365.25)</f>
        <v>939.59999999999991</v>
      </c>
      <c r="R1419" s="70">
        <f>INT(Table1[[#This Row],[Reporting date]])-INT(Table1[[#This Row],[Loss date]])</f>
        <v>6</v>
      </c>
      <c r="S1419" s="69" t="s">
        <v>9</v>
      </c>
      <c r="T1419" s="70">
        <f>VLOOKUP(Table1[[#This Row],[Policy Year]],exposure_table,3,FALSE)</f>
        <v>837.11513600000012</v>
      </c>
      <c r="U1419" s="17">
        <f>IF(MONTH(Table1[[#This Row],[Reporting date]])&lt;Policy_Inception_Month,YEAR(Table1[[#This Row],[Reporting date]])-1,YEAR(Table1[[#This Row],[Reporting date]]))</f>
        <v>2010</v>
      </c>
      <c r="V1419" s="17">
        <f>Table1[[#This Row],[Reporting year]]-Table1[[#This Row],[Policy Year]]</f>
        <v>0</v>
      </c>
      <c r="W1419" s="17">
        <f>INT(Table1[[#This Row],[Reporting date]])-INT(Table1[[#This Row],[Loss date]])</f>
        <v>6</v>
      </c>
      <c r="X1419" s="17">
        <f>INT((YEAR(Table1[[#This Row],[Loss date]])*12+MONTH(Table1[[#This Row],[Loss date]])-Earliest_Month)/4)</f>
        <v>17</v>
      </c>
      <c r="Y1419" s="17">
        <f>INT((YEAR(Table1[[#This Row],[Reporting date]])*12+MONTH(Table1[[#This Row],[Reporting date]])-Earliest_Month)/4)</f>
        <v>17</v>
      </c>
      <c r="Z1419" s="17">
        <f>Table1[[#This Row],[Reporting third]]-Table1[[#This Row],[Policy third]]</f>
        <v>0</v>
      </c>
      <c r="AA1419" s="71">
        <f>IF(Table1[[#This Row],[Overall amount]]=0,"N/A",Table1[[#This Row],[Outstanding]]/Table1[[#This Row],[Overall amount]])</f>
        <v>0</v>
      </c>
      <c r="AB1419" s="17">
        <f>IF(MONTH(Table1[[#This Row],[Loss date]])&lt;Pol_Inc_Month_Shifted,YEAR(Table1[[#This Row],[Loss date]])-1,YEAR(Table1[[#This Row],[Loss date]]))</f>
        <v>2010</v>
      </c>
      <c r="AC1419" s="17">
        <f>IF(MONTH(Table1[[#This Row],[Reporting date]])&lt;Pol_Inc_Month_Shifted,YEAR(Table1[[#This Row],[Reporting date]])-1,YEAR(Table1[[#This Row],[Reporting date]]))</f>
        <v>2010</v>
      </c>
      <c r="AD1419" s="17">
        <f>Table1[[#This Row],[Reporting year (shifted)]]-Table1[[#This Row],[Policy Year (shifted)]]</f>
        <v>0</v>
      </c>
    </row>
    <row r="1420" spans="1:30" ht="13.9">
      <c r="A1420" s="8" t="s">
        <v>3190</v>
      </c>
      <c r="B1420" s="8" t="s">
        <v>1472</v>
      </c>
      <c r="C1420" s="8" t="s">
        <v>118</v>
      </c>
      <c r="D1420" s="9">
        <v>40526</v>
      </c>
      <c r="E1420" s="9">
        <v>40553</v>
      </c>
      <c r="F1420" s="17">
        <f>IF(MONTH(Table1[[#This Row],[Loss date]])&lt;Policy_Inception_Month,YEAR(Table1[[#This Row],[Loss date]])-1,YEAR(Table1[[#This Row],[Loss date]]))</f>
        <v>2010</v>
      </c>
      <c r="G1420" s="10" t="s">
        <v>129</v>
      </c>
      <c r="H1420" s="10" t="s">
        <v>2</v>
      </c>
      <c r="I1420" s="11">
        <v>3849.2835471425801</v>
      </c>
      <c r="J1420" s="11">
        <v>0</v>
      </c>
      <c r="K1420" s="11">
        <v>3849.2835471425801</v>
      </c>
      <c r="L1420" s="12">
        <v>0</v>
      </c>
      <c r="M1420" s="12">
        <v>0</v>
      </c>
      <c r="N1420" s="12">
        <v>3849.2835471425801</v>
      </c>
      <c r="O1420" s="70">
        <f>IF(Table1[[#This Row],[Overall amount]]=0,0,1)</f>
        <v>1</v>
      </c>
      <c r="P1420" s="70">
        <f>Table1[[#This Row],[Overall amount]]*Exchange_Rate</f>
        <v>3849.2835471425801</v>
      </c>
      <c r="Q1420" s="70">
        <f>Table1[[#This Row],[Overall (destination currency)]]*(1+Claims_Inflation)^((Revalue_at_date-Table1[[#This Row],[Loss date]])/365.25)</f>
        <v>4864.2839999999997</v>
      </c>
      <c r="R1420" s="70">
        <f>INT(Table1[[#This Row],[Reporting date]])-INT(Table1[[#This Row],[Loss date]])</f>
        <v>27</v>
      </c>
      <c r="S1420" s="69" t="s">
        <v>9</v>
      </c>
      <c r="T1420" s="70">
        <f>VLOOKUP(Table1[[#This Row],[Policy Year]],exposure_table,3,FALSE)</f>
        <v>837.11513600000012</v>
      </c>
      <c r="U1420" s="17">
        <f>IF(MONTH(Table1[[#This Row],[Reporting date]])&lt;Policy_Inception_Month,YEAR(Table1[[#This Row],[Reporting date]])-1,YEAR(Table1[[#This Row],[Reporting date]]))</f>
        <v>2010</v>
      </c>
      <c r="V1420" s="17">
        <f>Table1[[#This Row],[Reporting year]]-Table1[[#This Row],[Policy Year]]</f>
        <v>0</v>
      </c>
      <c r="W1420" s="17">
        <f>INT(Table1[[#This Row],[Reporting date]])-INT(Table1[[#This Row],[Loss date]])</f>
        <v>27</v>
      </c>
      <c r="X1420" s="17">
        <f>INT((YEAR(Table1[[#This Row],[Loss date]])*12+MONTH(Table1[[#This Row],[Loss date]])-Earliest_Month)/4)</f>
        <v>17</v>
      </c>
      <c r="Y1420" s="17">
        <f>INT((YEAR(Table1[[#This Row],[Reporting date]])*12+MONTH(Table1[[#This Row],[Reporting date]])-Earliest_Month)/4)</f>
        <v>17</v>
      </c>
      <c r="Z1420" s="17">
        <f>Table1[[#This Row],[Reporting third]]-Table1[[#This Row],[Policy third]]</f>
        <v>0</v>
      </c>
      <c r="AA1420" s="71">
        <f>IF(Table1[[#This Row],[Overall amount]]=0,"N/A",Table1[[#This Row],[Outstanding]]/Table1[[#This Row],[Overall amount]])</f>
        <v>0</v>
      </c>
      <c r="AB1420" s="17">
        <f>IF(MONTH(Table1[[#This Row],[Loss date]])&lt;Pol_Inc_Month_Shifted,YEAR(Table1[[#This Row],[Loss date]])-1,YEAR(Table1[[#This Row],[Loss date]]))</f>
        <v>2010</v>
      </c>
      <c r="AC1420" s="17">
        <f>IF(MONTH(Table1[[#This Row],[Reporting date]])&lt;Pol_Inc_Month_Shifted,YEAR(Table1[[#This Row],[Reporting date]])-1,YEAR(Table1[[#This Row],[Reporting date]]))</f>
        <v>2010</v>
      </c>
      <c r="AD1420" s="17">
        <f>Table1[[#This Row],[Reporting year (shifted)]]-Table1[[#This Row],[Policy Year (shifted)]]</f>
        <v>0</v>
      </c>
    </row>
    <row r="1421" spans="1:30" ht="13.9">
      <c r="A1421" s="8" t="s">
        <v>3191</v>
      </c>
      <c r="B1421" s="8" t="s">
        <v>1473</v>
      </c>
      <c r="C1421" s="8" t="s">
        <v>118</v>
      </c>
      <c r="D1421" s="9">
        <v>40561</v>
      </c>
      <c r="E1421" s="9">
        <v>40561</v>
      </c>
      <c r="F1421" s="17">
        <f>IF(MONTH(Table1[[#This Row],[Loss date]])&lt;Policy_Inception_Month,YEAR(Table1[[#This Row],[Loss date]])-1,YEAR(Table1[[#This Row],[Loss date]]))</f>
        <v>2010</v>
      </c>
      <c r="G1421" s="10" t="s">
        <v>129</v>
      </c>
      <c r="H1421" s="10" t="s">
        <v>2</v>
      </c>
      <c r="I1421" s="11">
        <v>235.17416448604442</v>
      </c>
      <c r="J1421" s="11">
        <v>0</v>
      </c>
      <c r="K1421" s="11">
        <v>235.17416448604442</v>
      </c>
      <c r="L1421" s="12">
        <v>0</v>
      </c>
      <c r="M1421" s="12">
        <v>3.7627866317767102</v>
      </c>
      <c r="N1421" s="12">
        <v>231.4113778542677</v>
      </c>
      <c r="O1421" s="70">
        <f>IF(Table1[[#This Row],[Overall amount]]=0,0,1)</f>
        <v>1</v>
      </c>
      <c r="P1421" s="70">
        <f>Table1[[#This Row],[Overall amount]]*Exchange_Rate</f>
        <v>231.4113778542677</v>
      </c>
      <c r="Q1421" s="70">
        <f>Table1[[#This Row],[Overall (destination currency)]]*(1+Claims_Inflation)^((Revalue_at_date-Table1[[#This Row],[Loss date]])/365.25)</f>
        <v>291.06720000000001</v>
      </c>
      <c r="R1421" s="70">
        <f>INT(Table1[[#This Row],[Reporting date]])-INT(Table1[[#This Row],[Loss date]])</f>
        <v>0</v>
      </c>
      <c r="S1421" s="69" t="s">
        <v>9</v>
      </c>
      <c r="T1421" s="70">
        <f>VLOOKUP(Table1[[#This Row],[Policy Year]],exposure_table,3,FALSE)</f>
        <v>837.11513600000012</v>
      </c>
      <c r="U1421" s="17">
        <f>IF(MONTH(Table1[[#This Row],[Reporting date]])&lt;Policy_Inception_Month,YEAR(Table1[[#This Row],[Reporting date]])-1,YEAR(Table1[[#This Row],[Reporting date]]))</f>
        <v>2010</v>
      </c>
      <c r="V1421" s="17">
        <f>Table1[[#This Row],[Reporting year]]-Table1[[#This Row],[Policy Year]]</f>
        <v>0</v>
      </c>
      <c r="W1421" s="17">
        <f>INT(Table1[[#This Row],[Reporting date]])-INT(Table1[[#This Row],[Loss date]])</f>
        <v>0</v>
      </c>
      <c r="X1421" s="17">
        <f>INT((YEAR(Table1[[#This Row],[Loss date]])*12+MONTH(Table1[[#This Row],[Loss date]])-Earliest_Month)/4)</f>
        <v>17</v>
      </c>
      <c r="Y1421" s="17">
        <f>INT((YEAR(Table1[[#This Row],[Reporting date]])*12+MONTH(Table1[[#This Row],[Reporting date]])-Earliest_Month)/4)</f>
        <v>17</v>
      </c>
      <c r="Z1421" s="17">
        <f>Table1[[#This Row],[Reporting third]]-Table1[[#This Row],[Policy third]]</f>
        <v>0</v>
      </c>
      <c r="AA1421" s="71">
        <f>IF(Table1[[#This Row],[Overall amount]]=0,"N/A",Table1[[#This Row],[Outstanding]]/Table1[[#This Row],[Overall amount]])</f>
        <v>0</v>
      </c>
      <c r="AB1421" s="17">
        <f>IF(MONTH(Table1[[#This Row],[Loss date]])&lt;Pol_Inc_Month_Shifted,YEAR(Table1[[#This Row],[Loss date]])-1,YEAR(Table1[[#This Row],[Loss date]]))</f>
        <v>2010</v>
      </c>
      <c r="AC1421" s="17">
        <f>IF(MONTH(Table1[[#This Row],[Reporting date]])&lt;Pol_Inc_Month_Shifted,YEAR(Table1[[#This Row],[Reporting date]])-1,YEAR(Table1[[#This Row],[Reporting date]]))</f>
        <v>2010</v>
      </c>
      <c r="AD1421" s="17">
        <f>Table1[[#This Row],[Reporting year (shifted)]]-Table1[[#This Row],[Policy Year (shifted)]]</f>
        <v>0</v>
      </c>
    </row>
    <row r="1422" spans="1:30" ht="13.9">
      <c r="A1422" s="8" t="s">
        <v>3192</v>
      </c>
      <c r="B1422" s="8" t="s">
        <v>1474</v>
      </c>
      <c r="C1422" s="8" t="s">
        <v>118</v>
      </c>
      <c r="D1422" s="9">
        <v>40577</v>
      </c>
      <c r="E1422" s="9">
        <v>40579</v>
      </c>
      <c r="F1422" s="17">
        <f>IF(MONTH(Table1[[#This Row],[Loss date]])&lt;Policy_Inception_Month,YEAR(Table1[[#This Row],[Loss date]])-1,YEAR(Table1[[#This Row],[Loss date]]))</f>
        <v>2010</v>
      </c>
      <c r="G1422" s="10" t="s">
        <v>119</v>
      </c>
      <c r="H1422" s="10" t="s">
        <v>2</v>
      </c>
      <c r="I1422" s="11">
        <v>1190.529081063718</v>
      </c>
      <c r="J1422" s="11">
        <v>0</v>
      </c>
      <c r="K1422" s="11">
        <v>1190.529081063718</v>
      </c>
      <c r="L1422" s="12">
        <v>0</v>
      </c>
      <c r="M1422" s="12">
        <v>0</v>
      </c>
      <c r="N1422" s="12">
        <v>1190.529081063718</v>
      </c>
      <c r="O1422" s="70">
        <f>IF(Table1[[#This Row],[Overall amount]]=0,0,1)</f>
        <v>1</v>
      </c>
      <c r="P1422" s="70">
        <f>Table1[[#This Row],[Overall amount]]*Exchange_Rate</f>
        <v>1190.529081063718</v>
      </c>
      <c r="Q1422" s="70">
        <f>Table1[[#This Row],[Overall (destination currency)]]*(1+Claims_Inflation)^((Revalue_at_date-Table1[[#This Row],[Loss date]])/365.25)</f>
        <v>1494.2399999999998</v>
      </c>
      <c r="R1422" s="70">
        <f>INT(Table1[[#This Row],[Reporting date]])-INT(Table1[[#This Row],[Loss date]])</f>
        <v>2</v>
      </c>
      <c r="S1422" s="69" t="s">
        <v>9</v>
      </c>
      <c r="T1422" s="70">
        <f>VLOOKUP(Table1[[#This Row],[Policy Year]],exposure_table,3,FALSE)</f>
        <v>837.11513600000012</v>
      </c>
      <c r="U1422" s="17">
        <f>IF(MONTH(Table1[[#This Row],[Reporting date]])&lt;Policy_Inception_Month,YEAR(Table1[[#This Row],[Reporting date]])-1,YEAR(Table1[[#This Row],[Reporting date]]))</f>
        <v>2010</v>
      </c>
      <c r="V1422" s="17">
        <f>Table1[[#This Row],[Reporting year]]-Table1[[#This Row],[Policy Year]]</f>
        <v>0</v>
      </c>
      <c r="W1422" s="17">
        <f>INT(Table1[[#This Row],[Reporting date]])-INT(Table1[[#This Row],[Loss date]])</f>
        <v>2</v>
      </c>
      <c r="X1422" s="17">
        <f>INT((YEAR(Table1[[#This Row],[Loss date]])*12+MONTH(Table1[[#This Row],[Loss date]])-Earliest_Month)/4)</f>
        <v>17</v>
      </c>
      <c r="Y1422" s="17">
        <f>INT((YEAR(Table1[[#This Row],[Reporting date]])*12+MONTH(Table1[[#This Row],[Reporting date]])-Earliest_Month)/4)</f>
        <v>17</v>
      </c>
      <c r="Z1422" s="17">
        <f>Table1[[#This Row],[Reporting third]]-Table1[[#This Row],[Policy third]]</f>
        <v>0</v>
      </c>
      <c r="AA1422" s="71">
        <f>IF(Table1[[#This Row],[Overall amount]]=0,"N/A",Table1[[#This Row],[Outstanding]]/Table1[[#This Row],[Overall amount]])</f>
        <v>0</v>
      </c>
      <c r="AB1422" s="17">
        <f>IF(MONTH(Table1[[#This Row],[Loss date]])&lt;Pol_Inc_Month_Shifted,YEAR(Table1[[#This Row],[Loss date]])-1,YEAR(Table1[[#This Row],[Loss date]]))</f>
        <v>2010</v>
      </c>
      <c r="AC1422" s="17">
        <f>IF(MONTH(Table1[[#This Row],[Reporting date]])&lt;Pol_Inc_Month_Shifted,YEAR(Table1[[#This Row],[Reporting date]])-1,YEAR(Table1[[#This Row],[Reporting date]]))</f>
        <v>2010</v>
      </c>
      <c r="AD1422" s="17">
        <f>Table1[[#This Row],[Reporting year (shifted)]]-Table1[[#This Row],[Policy Year (shifted)]]</f>
        <v>0</v>
      </c>
    </row>
    <row r="1423" spans="1:30" ht="13.9">
      <c r="A1423" s="8" t="s">
        <v>3193</v>
      </c>
      <c r="B1423" s="8" t="s">
        <v>1475</v>
      </c>
      <c r="C1423" s="8" t="s">
        <v>118</v>
      </c>
      <c r="D1423" s="9">
        <v>40584</v>
      </c>
      <c r="E1423" s="9">
        <v>40585</v>
      </c>
      <c r="F1423" s="17">
        <f>IF(MONTH(Table1[[#This Row],[Loss date]])&lt;Policy_Inception_Month,YEAR(Table1[[#This Row],[Loss date]])-1,YEAR(Table1[[#This Row],[Loss date]]))</f>
        <v>2010</v>
      </c>
      <c r="G1423" s="10" t="s">
        <v>119</v>
      </c>
      <c r="H1423" s="10" t="s">
        <v>2</v>
      </c>
      <c r="I1423" s="11">
        <v>7475.8935306501253</v>
      </c>
      <c r="J1423" s="11">
        <v>0</v>
      </c>
      <c r="K1423" s="11">
        <v>7475.8935306501253</v>
      </c>
      <c r="L1423" s="12">
        <v>0</v>
      </c>
      <c r="M1423" s="12">
        <v>0</v>
      </c>
      <c r="N1423" s="12">
        <v>7475.8935306501253</v>
      </c>
      <c r="O1423" s="70">
        <f>IF(Table1[[#This Row],[Overall amount]]=0,0,1)</f>
        <v>1</v>
      </c>
      <c r="P1423" s="70">
        <f>Table1[[#This Row],[Overall amount]]*Exchange_Rate</f>
        <v>7475.8935306501253</v>
      </c>
      <c r="Q1423" s="70">
        <f>Table1[[#This Row],[Overall (destination currency)]]*(1+Claims_Inflation)^((Revalue_at_date-Table1[[#This Row],[Loss date]])/365.25)</f>
        <v>9374.268</v>
      </c>
      <c r="R1423" s="70">
        <f>INT(Table1[[#This Row],[Reporting date]])-INT(Table1[[#This Row],[Loss date]])</f>
        <v>1</v>
      </c>
      <c r="S1423" s="69" t="s">
        <v>9</v>
      </c>
      <c r="T1423" s="70">
        <f>VLOOKUP(Table1[[#This Row],[Policy Year]],exposure_table,3,FALSE)</f>
        <v>837.11513600000012</v>
      </c>
      <c r="U1423" s="17">
        <f>IF(MONTH(Table1[[#This Row],[Reporting date]])&lt;Policy_Inception_Month,YEAR(Table1[[#This Row],[Reporting date]])-1,YEAR(Table1[[#This Row],[Reporting date]]))</f>
        <v>2010</v>
      </c>
      <c r="V1423" s="17">
        <f>Table1[[#This Row],[Reporting year]]-Table1[[#This Row],[Policy Year]]</f>
        <v>0</v>
      </c>
      <c r="W1423" s="17">
        <f>INT(Table1[[#This Row],[Reporting date]])-INT(Table1[[#This Row],[Loss date]])</f>
        <v>1</v>
      </c>
      <c r="X1423" s="17">
        <f>INT((YEAR(Table1[[#This Row],[Loss date]])*12+MONTH(Table1[[#This Row],[Loss date]])-Earliest_Month)/4)</f>
        <v>17</v>
      </c>
      <c r="Y1423" s="17">
        <f>INT((YEAR(Table1[[#This Row],[Reporting date]])*12+MONTH(Table1[[#This Row],[Reporting date]])-Earliest_Month)/4)</f>
        <v>17</v>
      </c>
      <c r="Z1423" s="17">
        <f>Table1[[#This Row],[Reporting third]]-Table1[[#This Row],[Policy third]]</f>
        <v>0</v>
      </c>
      <c r="AA1423" s="71">
        <f>IF(Table1[[#This Row],[Overall amount]]=0,"N/A",Table1[[#This Row],[Outstanding]]/Table1[[#This Row],[Overall amount]])</f>
        <v>0</v>
      </c>
      <c r="AB1423" s="17">
        <f>IF(MONTH(Table1[[#This Row],[Loss date]])&lt;Pol_Inc_Month_Shifted,YEAR(Table1[[#This Row],[Loss date]])-1,YEAR(Table1[[#This Row],[Loss date]]))</f>
        <v>2010</v>
      </c>
      <c r="AC1423" s="17">
        <f>IF(MONTH(Table1[[#This Row],[Reporting date]])&lt;Pol_Inc_Month_Shifted,YEAR(Table1[[#This Row],[Reporting date]])-1,YEAR(Table1[[#This Row],[Reporting date]]))</f>
        <v>2010</v>
      </c>
      <c r="AD1423" s="17">
        <f>Table1[[#This Row],[Reporting year (shifted)]]-Table1[[#This Row],[Policy Year (shifted)]]</f>
        <v>0</v>
      </c>
    </row>
    <row r="1424" spans="1:30" ht="13.9">
      <c r="A1424" s="8" t="s">
        <v>3194</v>
      </c>
      <c r="B1424" s="8" t="s">
        <v>1476</v>
      </c>
      <c r="C1424" s="8" t="s">
        <v>118</v>
      </c>
      <c r="D1424" s="9">
        <v>40606</v>
      </c>
      <c r="E1424" s="9">
        <v>40606</v>
      </c>
      <c r="F1424" s="17">
        <f>IF(MONTH(Table1[[#This Row],[Loss date]])&lt;Policy_Inception_Month,YEAR(Table1[[#This Row],[Loss date]])-1,YEAR(Table1[[#This Row],[Loss date]]))</f>
        <v>2010</v>
      </c>
      <c r="G1424" s="10" t="s">
        <v>129</v>
      </c>
      <c r="H1424" s="10" t="s">
        <v>2</v>
      </c>
      <c r="I1424" s="11">
        <v>1187.2315312024432</v>
      </c>
      <c r="J1424" s="11">
        <v>0</v>
      </c>
      <c r="K1424" s="11">
        <v>1187.2315312024432</v>
      </c>
      <c r="L1424" s="12">
        <v>0</v>
      </c>
      <c r="M1424" s="12">
        <v>0</v>
      </c>
      <c r="N1424" s="12">
        <v>1187.2315312024432</v>
      </c>
      <c r="O1424" s="70">
        <f>IF(Table1[[#This Row],[Overall amount]]=0,0,1)</f>
        <v>1</v>
      </c>
      <c r="P1424" s="70">
        <f>Table1[[#This Row],[Overall amount]]*Exchange_Rate</f>
        <v>1187.2315312024432</v>
      </c>
      <c r="Q1424" s="70">
        <f>Table1[[#This Row],[Overall (destination currency)]]*(1+Claims_Inflation)^((Revalue_at_date-Table1[[#This Row],[Loss date]])/365.25)</f>
        <v>1484.34</v>
      </c>
      <c r="R1424" s="70">
        <f>INT(Table1[[#This Row],[Reporting date]])-INT(Table1[[#This Row],[Loss date]])</f>
        <v>0</v>
      </c>
      <c r="S1424" s="69" t="s">
        <v>9</v>
      </c>
      <c r="T1424" s="70">
        <f>VLOOKUP(Table1[[#This Row],[Policy Year]],exposure_table,3,FALSE)</f>
        <v>837.11513600000012</v>
      </c>
      <c r="U1424" s="17">
        <f>IF(MONTH(Table1[[#This Row],[Reporting date]])&lt;Policy_Inception_Month,YEAR(Table1[[#This Row],[Reporting date]])-1,YEAR(Table1[[#This Row],[Reporting date]]))</f>
        <v>2010</v>
      </c>
      <c r="V1424" s="17">
        <f>Table1[[#This Row],[Reporting year]]-Table1[[#This Row],[Policy Year]]</f>
        <v>0</v>
      </c>
      <c r="W1424" s="17">
        <f>INT(Table1[[#This Row],[Reporting date]])-INT(Table1[[#This Row],[Loss date]])</f>
        <v>0</v>
      </c>
      <c r="X1424" s="17">
        <f>INT((YEAR(Table1[[#This Row],[Loss date]])*12+MONTH(Table1[[#This Row],[Loss date]])-Earliest_Month)/4)</f>
        <v>17</v>
      </c>
      <c r="Y1424" s="17">
        <f>INT((YEAR(Table1[[#This Row],[Reporting date]])*12+MONTH(Table1[[#This Row],[Reporting date]])-Earliest_Month)/4)</f>
        <v>17</v>
      </c>
      <c r="Z1424" s="17">
        <f>Table1[[#This Row],[Reporting third]]-Table1[[#This Row],[Policy third]]</f>
        <v>0</v>
      </c>
      <c r="AA1424" s="71">
        <f>IF(Table1[[#This Row],[Overall amount]]=0,"N/A",Table1[[#This Row],[Outstanding]]/Table1[[#This Row],[Overall amount]])</f>
        <v>0</v>
      </c>
      <c r="AB1424" s="17">
        <f>IF(MONTH(Table1[[#This Row],[Loss date]])&lt;Pol_Inc_Month_Shifted,YEAR(Table1[[#This Row],[Loss date]])-1,YEAR(Table1[[#This Row],[Loss date]]))</f>
        <v>2010</v>
      </c>
      <c r="AC1424" s="17">
        <f>IF(MONTH(Table1[[#This Row],[Reporting date]])&lt;Pol_Inc_Month_Shifted,YEAR(Table1[[#This Row],[Reporting date]])-1,YEAR(Table1[[#This Row],[Reporting date]]))</f>
        <v>2010</v>
      </c>
      <c r="AD1424" s="17">
        <f>Table1[[#This Row],[Reporting year (shifted)]]-Table1[[#This Row],[Policy Year (shifted)]]</f>
        <v>0</v>
      </c>
    </row>
    <row r="1425" spans="1:30" ht="13.9">
      <c r="A1425" s="8" t="s">
        <v>3195</v>
      </c>
      <c r="B1425" s="8" t="s">
        <v>1477</v>
      </c>
      <c r="C1425" s="8" t="s">
        <v>118</v>
      </c>
      <c r="D1425" s="9">
        <v>40616</v>
      </c>
      <c r="E1425" s="9">
        <v>40616</v>
      </c>
      <c r="F1425" s="17">
        <f>IF(MONTH(Table1[[#This Row],[Loss date]])&lt;Policy_Inception_Month,YEAR(Table1[[#This Row],[Loss date]])-1,YEAR(Table1[[#This Row],[Loss date]]))</f>
        <v>2010</v>
      </c>
      <c r="G1425" s="10" t="s">
        <v>119</v>
      </c>
      <c r="H1425" s="10" t="s">
        <v>2</v>
      </c>
      <c r="I1425" s="11">
        <v>978.8687006145841</v>
      </c>
      <c r="J1425" s="11">
        <v>0</v>
      </c>
      <c r="K1425" s="11">
        <v>978.8687006145841</v>
      </c>
      <c r="L1425" s="12">
        <v>0</v>
      </c>
      <c r="M1425" s="12">
        <v>0</v>
      </c>
      <c r="N1425" s="12">
        <v>978.8687006145841</v>
      </c>
      <c r="O1425" s="70">
        <f>IF(Table1[[#This Row],[Overall amount]]=0,0,1)</f>
        <v>1</v>
      </c>
      <c r="P1425" s="70">
        <f>Table1[[#This Row],[Overall amount]]*Exchange_Rate</f>
        <v>978.8687006145841</v>
      </c>
      <c r="Q1425" s="70">
        <f>Table1[[#This Row],[Overall (destination currency)]]*(1+Claims_Inflation)^((Revalue_at_date-Table1[[#This Row],[Loss date]])/365.25)</f>
        <v>1222.2</v>
      </c>
      <c r="R1425" s="70">
        <f>INT(Table1[[#This Row],[Reporting date]])-INT(Table1[[#This Row],[Loss date]])</f>
        <v>0</v>
      </c>
      <c r="S1425" s="69" t="s">
        <v>9</v>
      </c>
      <c r="T1425" s="70">
        <f>VLOOKUP(Table1[[#This Row],[Policy Year]],exposure_table,3,FALSE)</f>
        <v>837.11513600000012</v>
      </c>
      <c r="U1425" s="17">
        <f>IF(MONTH(Table1[[#This Row],[Reporting date]])&lt;Policy_Inception_Month,YEAR(Table1[[#This Row],[Reporting date]])-1,YEAR(Table1[[#This Row],[Reporting date]]))</f>
        <v>2010</v>
      </c>
      <c r="V1425" s="17">
        <f>Table1[[#This Row],[Reporting year]]-Table1[[#This Row],[Policy Year]]</f>
        <v>0</v>
      </c>
      <c r="W1425" s="17">
        <f>INT(Table1[[#This Row],[Reporting date]])-INT(Table1[[#This Row],[Loss date]])</f>
        <v>0</v>
      </c>
      <c r="X1425" s="17">
        <f>INT((YEAR(Table1[[#This Row],[Loss date]])*12+MONTH(Table1[[#This Row],[Loss date]])-Earliest_Month)/4)</f>
        <v>17</v>
      </c>
      <c r="Y1425" s="17">
        <f>INT((YEAR(Table1[[#This Row],[Reporting date]])*12+MONTH(Table1[[#This Row],[Reporting date]])-Earliest_Month)/4)</f>
        <v>17</v>
      </c>
      <c r="Z1425" s="17">
        <f>Table1[[#This Row],[Reporting third]]-Table1[[#This Row],[Policy third]]</f>
        <v>0</v>
      </c>
      <c r="AA1425" s="71">
        <f>IF(Table1[[#This Row],[Overall amount]]=0,"N/A",Table1[[#This Row],[Outstanding]]/Table1[[#This Row],[Overall amount]])</f>
        <v>0</v>
      </c>
      <c r="AB1425" s="17">
        <f>IF(MONTH(Table1[[#This Row],[Loss date]])&lt;Pol_Inc_Month_Shifted,YEAR(Table1[[#This Row],[Loss date]])-1,YEAR(Table1[[#This Row],[Loss date]]))</f>
        <v>2010</v>
      </c>
      <c r="AC1425" s="17">
        <f>IF(MONTH(Table1[[#This Row],[Reporting date]])&lt;Pol_Inc_Month_Shifted,YEAR(Table1[[#This Row],[Reporting date]])-1,YEAR(Table1[[#This Row],[Reporting date]]))</f>
        <v>2010</v>
      </c>
      <c r="AD1425" s="17">
        <f>Table1[[#This Row],[Reporting year (shifted)]]-Table1[[#This Row],[Policy Year (shifted)]]</f>
        <v>0</v>
      </c>
    </row>
    <row r="1426" spans="1:30" ht="13.9">
      <c r="A1426" s="8" t="s">
        <v>3196</v>
      </c>
      <c r="B1426" s="8" t="s">
        <v>1478</v>
      </c>
      <c r="C1426" s="8" t="s">
        <v>118</v>
      </c>
      <c r="D1426" s="9">
        <v>40674</v>
      </c>
      <c r="E1426" s="9">
        <v>40683</v>
      </c>
      <c r="F1426" s="17">
        <f>IF(MONTH(Table1[[#This Row],[Loss date]])&lt;Policy_Inception_Month,YEAR(Table1[[#This Row],[Loss date]])-1,YEAR(Table1[[#This Row],[Loss date]]))</f>
        <v>2011</v>
      </c>
      <c r="G1426" s="10" t="s">
        <v>119</v>
      </c>
      <c r="H1426" s="10" t="s">
        <v>2</v>
      </c>
      <c r="I1426" s="11">
        <v>688.16448099406102</v>
      </c>
      <c r="J1426" s="11">
        <v>0</v>
      </c>
      <c r="K1426" s="11">
        <v>688.16448099406102</v>
      </c>
      <c r="L1426" s="12">
        <v>0</v>
      </c>
      <c r="M1426" s="12">
        <v>0</v>
      </c>
      <c r="N1426" s="12">
        <v>688.16448099406102</v>
      </c>
      <c r="O1426" s="70">
        <f>IF(Table1[[#This Row],[Overall amount]]=0,0,1)</f>
        <v>1</v>
      </c>
      <c r="P1426" s="70">
        <f>Table1[[#This Row],[Overall amount]]*Exchange_Rate</f>
        <v>688.16448099406102</v>
      </c>
      <c r="Q1426" s="70">
        <f>Table1[[#This Row],[Overall (destination currency)]]*(1+Claims_Inflation)^((Revalue_at_date-Table1[[#This Row],[Loss date]])/365.25)</f>
        <v>852.6</v>
      </c>
      <c r="R1426" s="70">
        <f>INT(Table1[[#This Row],[Reporting date]])-INT(Table1[[#This Row],[Loss date]])</f>
        <v>9</v>
      </c>
      <c r="S1426" s="69" t="s">
        <v>9</v>
      </c>
      <c r="T1426" s="70">
        <f>VLOOKUP(Table1[[#This Row],[Policy Year]],exposure_table,3,FALSE)</f>
        <v>870.52680000000009</v>
      </c>
      <c r="U1426" s="17">
        <f>IF(MONTH(Table1[[#This Row],[Reporting date]])&lt;Policy_Inception_Month,YEAR(Table1[[#This Row],[Reporting date]])-1,YEAR(Table1[[#This Row],[Reporting date]]))</f>
        <v>2011</v>
      </c>
      <c r="V1426" s="17">
        <f>Table1[[#This Row],[Reporting year]]-Table1[[#This Row],[Policy Year]]</f>
        <v>0</v>
      </c>
      <c r="W1426" s="17">
        <f>INT(Table1[[#This Row],[Reporting date]])-INT(Table1[[#This Row],[Loss date]])</f>
        <v>9</v>
      </c>
      <c r="X1426" s="17">
        <f>INT((YEAR(Table1[[#This Row],[Loss date]])*12+MONTH(Table1[[#This Row],[Loss date]])-Earliest_Month)/4)</f>
        <v>18</v>
      </c>
      <c r="Y1426" s="17">
        <f>INT((YEAR(Table1[[#This Row],[Reporting date]])*12+MONTH(Table1[[#This Row],[Reporting date]])-Earliest_Month)/4)</f>
        <v>18</v>
      </c>
      <c r="Z1426" s="17">
        <f>Table1[[#This Row],[Reporting third]]-Table1[[#This Row],[Policy third]]</f>
        <v>0</v>
      </c>
      <c r="AA1426" s="71">
        <f>IF(Table1[[#This Row],[Overall amount]]=0,"N/A",Table1[[#This Row],[Outstanding]]/Table1[[#This Row],[Overall amount]])</f>
        <v>0</v>
      </c>
      <c r="AB1426" s="17">
        <f>IF(MONTH(Table1[[#This Row],[Loss date]])&lt;Pol_Inc_Month_Shifted,YEAR(Table1[[#This Row],[Loss date]])-1,YEAR(Table1[[#This Row],[Loss date]]))</f>
        <v>2010</v>
      </c>
      <c r="AC1426" s="17">
        <f>IF(MONTH(Table1[[#This Row],[Reporting date]])&lt;Pol_Inc_Month_Shifted,YEAR(Table1[[#This Row],[Reporting date]])-1,YEAR(Table1[[#This Row],[Reporting date]]))</f>
        <v>2010</v>
      </c>
      <c r="AD1426" s="17">
        <f>Table1[[#This Row],[Reporting year (shifted)]]-Table1[[#This Row],[Policy Year (shifted)]]</f>
        <v>0</v>
      </c>
    </row>
    <row r="1427" spans="1:30" ht="13.9">
      <c r="A1427" s="8" t="s">
        <v>3197</v>
      </c>
      <c r="B1427" s="8" t="s">
        <v>1479</v>
      </c>
      <c r="C1427" s="8" t="s">
        <v>118</v>
      </c>
      <c r="D1427" s="9">
        <v>39313</v>
      </c>
      <c r="E1427" s="9">
        <v>39314</v>
      </c>
      <c r="F1427" s="17">
        <f>IF(MONTH(Table1[[#This Row],[Loss date]])&lt;Policy_Inception_Month,YEAR(Table1[[#This Row],[Loss date]])-1,YEAR(Table1[[#This Row],[Loss date]]))</f>
        <v>2007</v>
      </c>
      <c r="G1427" s="10" t="s">
        <v>125</v>
      </c>
      <c r="H1427" s="10" t="s">
        <v>2</v>
      </c>
      <c r="I1427" s="11">
        <v>357534.53580918483</v>
      </c>
      <c r="J1427" s="11">
        <v>0</v>
      </c>
      <c r="K1427" s="11">
        <v>357534.53580918483</v>
      </c>
      <c r="L1427" s="12">
        <v>0</v>
      </c>
      <c r="M1427" s="12">
        <v>0</v>
      </c>
      <c r="N1427" s="12">
        <v>357534.53580918483</v>
      </c>
      <c r="O1427" s="70">
        <f>IF(Table1[[#This Row],[Overall amount]]=0,0,1)</f>
        <v>1</v>
      </c>
      <c r="P1427" s="70">
        <f>Table1[[#This Row],[Overall amount]]*Exchange_Rate</f>
        <v>357534.53580918483</v>
      </c>
      <c r="Q1427" s="70">
        <f>Table1[[#This Row],[Overall (destination currency)]]*(1+Claims_Inflation)^((Revalue_at_date-Table1[[#This Row],[Loss date]])/365.25)</f>
        <v>531284.26800000004</v>
      </c>
      <c r="R1427" s="70">
        <f>INT(Table1[[#This Row],[Reporting date]])-INT(Table1[[#This Row],[Loss date]])</f>
        <v>1</v>
      </c>
      <c r="S1427" s="69" t="s">
        <v>9</v>
      </c>
      <c r="T1427" s="70">
        <f>VLOOKUP(Table1[[#This Row],[Policy Year]],exposure_table,3,FALSE)</f>
        <v>547.7736362475523</v>
      </c>
      <c r="U1427" s="17">
        <f>IF(MONTH(Table1[[#This Row],[Reporting date]])&lt;Policy_Inception_Month,YEAR(Table1[[#This Row],[Reporting date]])-1,YEAR(Table1[[#This Row],[Reporting date]]))</f>
        <v>2007</v>
      </c>
      <c r="V1427" s="17">
        <f>Table1[[#This Row],[Reporting year]]-Table1[[#This Row],[Policy Year]]</f>
        <v>0</v>
      </c>
      <c r="W1427" s="17">
        <f>INT(Table1[[#This Row],[Reporting date]])-INT(Table1[[#This Row],[Loss date]])</f>
        <v>1</v>
      </c>
      <c r="X1427" s="17">
        <f>INT((YEAR(Table1[[#This Row],[Loss date]])*12+MONTH(Table1[[#This Row],[Loss date]])-Earliest_Month)/4)</f>
        <v>7</v>
      </c>
      <c r="Y1427" s="17">
        <f>INT((YEAR(Table1[[#This Row],[Reporting date]])*12+MONTH(Table1[[#This Row],[Reporting date]])-Earliest_Month)/4)</f>
        <v>7</v>
      </c>
      <c r="Z1427" s="17">
        <f>Table1[[#This Row],[Reporting third]]-Table1[[#This Row],[Policy third]]</f>
        <v>0</v>
      </c>
      <c r="AA1427" s="71">
        <f>IF(Table1[[#This Row],[Overall amount]]=0,"N/A",Table1[[#This Row],[Outstanding]]/Table1[[#This Row],[Overall amount]])</f>
        <v>0</v>
      </c>
      <c r="AB1427" s="17">
        <f>IF(MONTH(Table1[[#This Row],[Loss date]])&lt;Pol_Inc_Month_Shifted,YEAR(Table1[[#This Row],[Loss date]])-1,YEAR(Table1[[#This Row],[Loss date]]))</f>
        <v>2006</v>
      </c>
      <c r="AC1427" s="17">
        <f>IF(MONTH(Table1[[#This Row],[Reporting date]])&lt;Pol_Inc_Month_Shifted,YEAR(Table1[[#This Row],[Reporting date]])-1,YEAR(Table1[[#This Row],[Reporting date]]))</f>
        <v>2006</v>
      </c>
      <c r="AD1427" s="17">
        <f>Table1[[#This Row],[Reporting year (shifted)]]-Table1[[#This Row],[Policy Year (shifted)]]</f>
        <v>0</v>
      </c>
    </row>
    <row r="1428" spans="1:30" ht="13.9">
      <c r="A1428" s="8" t="s">
        <v>3198</v>
      </c>
      <c r="B1428" s="8" t="s">
        <v>1480</v>
      </c>
      <c r="C1428" s="8" t="s">
        <v>118</v>
      </c>
      <c r="D1428" s="9">
        <v>40483</v>
      </c>
      <c r="E1428" s="9">
        <v>40504</v>
      </c>
      <c r="F1428" s="17">
        <f>IF(MONTH(Table1[[#This Row],[Loss date]])&lt;Policy_Inception_Month,YEAR(Table1[[#This Row],[Loss date]])-1,YEAR(Table1[[#This Row],[Loss date]]))</f>
        <v>2010</v>
      </c>
      <c r="G1428" s="10" t="s">
        <v>128</v>
      </c>
      <c r="H1428" s="10" t="s">
        <v>2</v>
      </c>
      <c r="I1428" s="11">
        <v>451.78270710940814</v>
      </c>
      <c r="J1428" s="11">
        <v>0</v>
      </c>
      <c r="K1428" s="11">
        <v>451.78270710940814</v>
      </c>
      <c r="L1428" s="12">
        <v>0</v>
      </c>
      <c r="M1428" s="12">
        <v>0</v>
      </c>
      <c r="N1428" s="12">
        <v>451.78270710940814</v>
      </c>
      <c r="O1428" s="70">
        <f>IF(Table1[[#This Row],[Overall amount]]=0,0,1)</f>
        <v>1</v>
      </c>
      <c r="P1428" s="70">
        <f>Table1[[#This Row],[Overall amount]]*Exchange_Rate</f>
        <v>451.78270710940814</v>
      </c>
      <c r="Q1428" s="70">
        <f>Table1[[#This Row],[Overall (destination currency)]]*(1+Claims_Inflation)^((Revalue_at_date-Table1[[#This Row],[Loss date]])/365.25)</f>
        <v>574.20000000000005</v>
      </c>
      <c r="R1428" s="70">
        <f>INT(Table1[[#This Row],[Reporting date]])-INT(Table1[[#This Row],[Loss date]])</f>
        <v>21</v>
      </c>
      <c r="S1428" s="69" t="s">
        <v>9</v>
      </c>
      <c r="T1428" s="70">
        <f>VLOOKUP(Table1[[#This Row],[Policy Year]],exposure_table,3,FALSE)</f>
        <v>837.11513600000012</v>
      </c>
      <c r="U1428" s="17">
        <f>IF(MONTH(Table1[[#This Row],[Reporting date]])&lt;Policy_Inception_Month,YEAR(Table1[[#This Row],[Reporting date]])-1,YEAR(Table1[[#This Row],[Reporting date]]))</f>
        <v>2010</v>
      </c>
      <c r="V1428" s="17">
        <f>Table1[[#This Row],[Reporting year]]-Table1[[#This Row],[Policy Year]]</f>
        <v>0</v>
      </c>
      <c r="W1428" s="17">
        <f>INT(Table1[[#This Row],[Reporting date]])-INT(Table1[[#This Row],[Loss date]])</f>
        <v>21</v>
      </c>
      <c r="X1428" s="17">
        <f>INT((YEAR(Table1[[#This Row],[Loss date]])*12+MONTH(Table1[[#This Row],[Loss date]])-Earliest_Month)/4)</f>
        <v>16</v>
      </c>
      <c r="Y1428" s="17">
        <f>INT((YEAR(Table1[[#This Row],[Reporting date]])*12+MONTH(Table1[[#This Row],[Reporting date]])-Earliest_Month)/4)</f>
        <v>16</v>
      </c>
      <c r="Z1428" s="17">
        <f>Table1[[#This Row],[Reporting third]]-Table1[[#This Row],[Policy third]]</f>
        <v>0</v>
      </c>
      <c r="AA1428" s="71">
        <f>IF(Table1[[#This Row],[Overall amount]]=0,"N/A",Table1[[#This Row],[Outstanding]]/Table1[[#This Row],[Overall amount]])</f>
        <v>0</v>
      </c>
      <c r="AB1428" s="17">
        <f>IF(MONTH(Table1[[#This Row],[Loss date]])&lt;Pol_Inc_Month_Shifted,YEAR(Table1[[#This Row],[Loss date]])-1,YEAR(Table1[[#This Row],[Loss date]]))</f>
        <v>2009</v>
      </c>
      <c r="AC1428" s="17">
        <f>IF(MONTH(Table1[[#This Row],[Reporting date]])&lt;Pol_Inc_Month_Shifted,YEAR(Table1[[#This Row],[Reporting date]])-1,YEAR(Table1[[#This Row],[Reporting date]]))</f>
        <v>2009</v>
      </c>
      <c r="AD1428" s="17">
        <f>Table1[[#This Row],[Reporting year (shifted)]]-Table1[[#This Row],[Policy Year (shifted)]]</f>
        <v>0</v>
      </c>
    </row>
    <row r="1429" spans="1:30" ht="13.9">
      <c r="A1429" s="8" t="s">
        <v>3199</v>
      </c>
      <c r="B1429" s="8" t="s">
        <v>1481</v>
      </c>
      <c r="C1429" s="8" t="s">
        <v>118</v>
      </c>
      <c r="D1429" s="9">
        <v>40467</v>
      </c>
      <c r="E1429" s="9">
        <v>40532</v>
      </c>
      <c r="F1429" s="17">
        <f>IF(MONTH(Table1[[#This Row],[Loss date]])&lt;Policy_Inception_Month,YEAR(Table1[[#This Row],[Loss date]])-1,YEAR(Table1[[#This Row],[Loss date]]))</f>
        <v>2010</v>
      </c>
      <c r="G1429" s="10" t="s">
        <v>124</v>
      </c>
      <c r="H1429" s="10" t="s">
        <v>2</v>
      </c>
      <c r="I1429" s="11">
        <v>9425.6324078314956</v>
      </c>
      <c r="J1429" s="11">
        <v>0</v>
      </c>
      <c r="K1429" s="11">
        <v>9425.6324078314956</v>
      </c>
      <c r="L1429" s="12">
        <v>0</v>
      </c>
      <c r="M1429" s="12">
        <v>0</v>
      </c>
      <c r="N1429" s="12">
        <v>9425.6324078314956</v>
      </c>
      <c r="O1429" s="70">
        <f>IF(Table1[[#This Row],[Overall amount]]=0,0,1)</f>
        <v>1</v>
      </c>
      <c r="P1429" s="70">
        <f>Table1[[#This Row],[Overall amount]]*Exchange_Rate</f>
        <v>9425.6324078314956</v>
      </c>
      <c r="Q1429" s="70">
        <f>Table1[[#This Row],[Overall (destination currency)]]*(1+Claims_Inflation)^((Revalue_at_date-Table1[[#This Row],[Loss date]])/365.25)</f>
        <v>12005.279999999999</v>
      </c>
      <c r="R1429" s="70">
        <f>INT(Table1[[#This Row],[Reporting date]])-INT(Table1[[#This Row],[Loss date]])</f>
        <v>65</v>
      </c>
      <c r="S1429" s="69" t="s">
        <v>9</v>
      </c>
      <c r="T1429" s="70">
        <f>VLOOKUP(Table1[[#This Row],[Policy Year]],exposure_table,3,FALSE)</f>
        <v>837.11513600000012</v>
      </c>
      <c r="U1429" s="17">
        <f>IF(MONTH(Table1[[#This Row],[Reporting date]])&lt;Policy_Inception_Month,YEAR(Table1[[#This Row],[Reporting date]])-1,YEAR(Table1[[#This Row],[Reporting date]]))</f>
        <v>2010</v>
      </c>
      <c r="V1429" s="17">
        <f>Table1[[#This Row],[Reporting year]]-Table1[[#This Row],[Policy Year]]</f>
        <v>0</v>
      </c>
      <c r="W1429" s="17">
        <f>INT(Table1[[#This Row],[Reporting date]])-INT(Table1[[#This Row],[Loss date]])</f>
        <v>65</v>
      </c>
      <c r="X1429" s="17">
        <f>INT((YEAR(Table1[[#This Row],[Loss date]])*12+MONTH(Table1[[#This Row],[Loss date]])-Earliest_Month)/4)</f>
        <v>16</v>
      </c>
      <c r="Y1429" s="17">
        <f>INT((YEAR(Table1[[#This Row],[Reporting date]])*12+MONTH(Table1[[#This Row],[Reporting date]])-Earliest_Month)/4)</f>
        <v>17</v>
      </c>
      <c r="Z1429" s="17">
        <f>Table1[[#This Row],[Reporting third]]-Table1[[#This Row],[Policy third]]</f>
        <v>1</v>
      </c>
      <c r="AA1429" s="71">
        <f>IF(Table1[[#This Row],[Overall amount]]=0,"N/A",Table1[[#This Row],[Outstanding]]/Table1[[#This Row],[Overall amount]])</f>
        <v>0</v>
      </c>
      <c r="AB1429" s="17">
        <f>IF(MONTH(Table1[[#This Row],[Loss date]])&lt;Pol_Inc_Month_Shifted,YEAR(Table1[[#This Row],[Loss date]])-1,YEAR(Table1[[#This Row],[Loss date]]))</f>
        <v>2009</v>
      </c>
      <c r="AC1429" s="17">
        <f>IF(MONTH(Table1[[#This Row],[Reporting date]])&lt;Pol_Inc_Month_Shifted,YEAR(Table1[[#This Row],[Reporting date]])-1,YEAR(Table1[[#This Row],[Reporting date]]))</f>
        <v>2010</v>
      </c>
      <c r="AD1429" s="17">
        <f>Table1[[#This Row],[Reporting year (shifted)]]-Table1[[#This Row],[Policy Year (shifted)]]</f>
        <v>1</v>
      </c>
    </row>
    <row r="1430" spans="1:30" ht="13.9">
      <c r="A1430" s="8" t="s">
        <v>3200</v>
      </c>
      <c r="B1430" s="8" t="s">
        <v>1482</v>
      </c>
      <c r="C1430" s="8" t="s">
        <v>118</v>
      </c>
      <c r="D1430" s="9">
        <v>40127</v>
      </c>
      <c r="E1430" s="9">
        <v>40654</v>
      </c>
      <c r="F1430" s="17">
        <f>IF(MONTH(Table1[[#This Row],[Loss date]])&lt;Policy_Inception_Month,YEAR(Table1[[#This Row],[Loss date]])-1,YEAR(Table1[[#This Row],[Loss date]]))</f>
        <v>2009</v>
      </c>
      <c r="G1430" s="10" t="s">
        <v>129</v>
      </c>
      <c r="H1430" s="10" t="s">
        <v>2</v>
      </c>
      <c r="I1430" s="11">
        <v>496.07413366959992</v>
      </c>
      <c r="J1430" s="11">
        <v>0</v>
      </c>
      <c r="K1430" s="11">
        <v>496.07413366959992</v>
      </c>
      <c r="L1430" s="12">
        <v>0</v>
      </c>
      <c r="M1430" s="12">
        <v>5.4568154703656004</v>
      </c>
      <c r="N1430" s="12">
        <v>490.61731819923432</v>
      </c>
      <c r="O1430" s="70">
        <f>IF(Table1[[#This Row],[Overall amount]]=0,0,1)</f>
        <v>1</v>
      </c>
      <c r="P1430" s="70">
        <f>Table1[[#This Row],[Overall amount]]*Exchange_Rate</f>
        <v>490.61731819923432</v>
      </c>
      <c r="Q1430" s="70">
        <f>Table1[[#This Row],[Overall (destination currency)]]*(1+Claims_Inflation)^((Revalue_at_date-Table1[[#This Row],[Loss date]])/365.25)</f>
        <v>653.92679999999996</v>
      </c>
      <c r="R1430" s="70">
        <f>INT(Table1[[#This Row],[Reporting date]])-INT(Table1[[#This Row],[Loss date]])</f>
        <v>527</v>
      </c>
      <c r="S1430" s="69" t="s">
        <v>9</v>
      </c>
      <c r="T1430" s="70">
        <f>VLOOKUP(Table1[[#This Row],[Policy Year]],exposure_table,3,FALSE)</f>
        <v>760.22808576000011</v>
      </c>
      <c r="U1430" s="17">
        <f>IF(MONTH(Table1[[#This Row],[Reporting date]])&lt;Policy_Inception_Month,YEAR(Table1[[#This Row],[Reporting date]])-1,YEAR(Table1[[#This Row],[Reporting date]]))</f>
        <v>2011</v>
      </c>
      <c r="V1430" s="17">
        <f>Table1[[#This Row],[Reporting year]]-Table1[[#This Row],[Policy Year]]</f>
        <v>2</v>
      </c>
      <c r="W1430" s="17">
        <f>INT(Table1[[#This Row],[Reporting date]])-INT(Table1[[#This Row],[Loss date]])</f>
        <v>527</v>
      </c>
      <c r="X1430" s="17">
        <f>INT((YEAR(Table1[[#This Row],[Loss date]])*12+MONTH(Table1[[#This Row],[Loss date]])-Earliest_Month)/4)</f>
        <v>13</v>
      </c>
      <c r="Y1430" s="17">
        <f>INT((YEAR(Table1[[#This Row],[Reporting date]])*12+MONTH(Table1[[#This Row],[Reporting date]])-Earliest_Month)/4)</f>
        <v>18</v>
      </c>
      <c r="Z1430" s="17">
        <f>Table1[[#This Row],[Reporting third]]-Table1[[#This Row],[Policy third]]</f>
        <v>5</v>
      </c>
      <c r="AA1430" s="71">
        <f>IF(Table1[[#This Row],[Overall amount]]=0,"N/A",Table1[[#This Row],[Outstanding]]/Table1[[#This Row],[Overall amount]])</f>
        <v>0</v>
      </c>
      <c r="AB1430" s="17">
        <f>IF(MONTH(Table1[[#This Row],[Loss date]])&lt;Pol_Inc_Month_Shifted,YEAR(Table1[[#This Row],[Loss date]])-1,YEAR(Table1[[#This Row],[Loss date]]))</f>
        <v>2008</v>
      </c>
      <c r="AC1430" s="17">
        <f>IF(MONTH(Table1[[#This Row],[Reporting date]])&lt;Pol_Inc_Month_Shifted,YEAR(Table1[[#This Row],[Reporting date]])-1,YEAR(Table1[[#This Row],[Reporting date]]))</f>
        <v>2010</v>
      </c>
      <c r="AD1430" s="17">
        <f>Table1[[#This Row],[Reporting year (shifted)]]-Table1[[#This Row],[Policy Year (shifted)]]</f>
        <v>2</v>
      </c>
    </row>
    <row r="1431" spans="1:30" ht="13.9">
      <c r="A1431" s="8" t="s">
        <v>3201</v>
      </c>
      <c r="B1431" s="8" t="s">
        <v>1483</v>
      </c>
      <c r="C1431" s="8" t="s">
        <v>118</v>
      </c>
      <c r="D1431" s="9">
        <v>38492</v>
      </c>
      <c r="E1431" s="9">
        <v>38501</v>
      </c>
      <c r="F1431" s="17">
        <f>IF(MONTH(Table1[[#This Row],[Loss date]])&lt;Policy_Inception_Month,YEAR(Table1[[#This Row],[Loss date]])-1,YEAR(Table1[[#This Row],[Loss date]]))</f>
        <v>2005</v>
      </c>
      <c r="G1431" s="10" t="s">
        <v>125</v>
      </c>
      <c r="H1431" s="10" t="s">
        <v>2</v>
      </c>
      <c r="I1431" s="11">
        <v>845.61410408370921</v>
      </c>
      <c r="J1431" s="11">
        <v>0</v>
      </c>
      <c r="K1431" s="11">
        <v>845.61410408370921</v>
      </c>
      <c r="L1431" s="12">
        <v>0</v>
      </c>
      <c r="M1431" s="12">
        <v>0</v>
      </c>
      <c r="N1431" s="12">
        <v>845.61410408370921</v>
      </c>
      <c r="O1431" s="70">
        <f>IF(Table1[[#This Row],[Overall amount]]=0,0,1)</f>
        <v>1</v>
      </c>
      <c r="P1431" s="70">
        <f>Table1[[#This Row],[Overall amount]]*Exchange_Rate</f>
        <v>845.61410408370921</v>
      </c>
      <c r="Q1431" s="70">
        <f>Table1[[#This Row],[Overall (destination currency)]]*(1+Claims_Inflation)^((Revalue_at_date-Table1[[#This Row],[Loss date]])/365.25)</f>
        <v>1402.2</v>
      </c>
      <c r="R1431" s="70">
        <f>INT(Table1[[#This Row],[Reporting date]])-INT(Table1[[#This Row],[Loss date]])</f>
        <v>9</v>
      </c>
      <c r="S1431" s="69" t="s">
        <v>9</v>
      </c>
      <c r="T1431" s="70">
        <f>VLOOKUP(Table1[[#This Row],[Policy Year]],exposure_table,3,FALSE)</f>
        <v>409.50481038040112</v>
      </c>
      <c r="U1431" s="17">
        <f>IF(MONTH(Table1[[#This Row],[Reporting date]])&lt;Policy_Inception_Month,YEAR(Table1[[#This Row],[Reporting date]])-1,YEAR(Table1[[#This Row],[Reporting date]]))</f>
        <v>2005</v>
      </c>
      <c r="V1431" s="17">
        <f>Table1[[#This Row],[Reporting year]]-Table1[[#This Row],[Policy Year]]</f>
        <v>0</v>
      </c>
      <c r="W1431" s="17">
        <f>INT(Table1[[#This Row],[Reporting date]])-INT(Table1[[#This Row],[Loss date]])</f>
        <v>9</v>
      </c>
      <c r="X1431" s="17">
        <f>INT((YEAR(Table1[[#This Row],[Loss date]])*12+MONTH(Table1[[#This Row],[Loss date]])-Earliest_Month)/4)</f>
        <v>0</v>
      </c>
      <c r="Y1431" s="17">
        <f>INT((YEAR(Table1[[#This Row],[Reporting date]])*12+MONTH(Table1[[#This Row],[Reporting date]])-Earliest_Month)/4)</f>
        <v>0</v>
      </c>
      <c r="Z1431" s="17">
        <f>Table1[[#This Row],[Reporting third]]-Table1[[#This Row],[Policy third]]</f>
        <v>0</v>
      </c>
      <c r="AA1431" s="71">
        <f>IF(Table1[[#This Row],[Overall amount]]=0,"N/A",Table1[[#This Row],[Outstanding]]/Table1[[#This Row],[Overall amount]])</f>
        <v>0</v>
      </c>
      <c r="AB1431" s="17">
        <f>IF(MONTH(Table1[[#This Row],[Loss date]])&lt;Pol_Inc_Month_Shifted,YEAR(Table1[[#This Row],[Loss date]])-1,YEAR(Table1[[#This Row],[Loss date]]))</f>
        <v>2004</v>
      </c>
      <c r="AC1431" s="17">
        <f>IF(MONTH(Table1[[#This Row],[Reporting date]])&lt;Pol_Inc_Month_Shifted,YEAR(Table1[[#This Row],[Reporting date]])-1,YEAR(Table1[[#This Row],[Reporting date]]))</f>
        <v>2004</v>
      </c>
      <c r="AD1431" s="17">
        <f>Table1[[#This Row],[Reporting year (shifted)]]-Table1[[#This Row],[Policy Year (shifted)]]</f>
        <v>0</v>
      </c>
    </row>
    <row r="1432" spans="1:30" ht="13.9">
      <c r="A1432" s="8" t="s">
        <v>3202</v>
      </c>
      <c r="B1432" s="8" t="s">
        <v>1484</v>
      </c>
      <c r="C1432" s="8" t="s">
        <v>118</v>
      </c>
      <c r="D1432" s="9">
        <v>38638</v>
      </c>
      <c r="E1432" s="9">
        <v>38640</v>
      </c>
      <c r="F1432" s="17">
        <f>IF(MONTH(Table1[[#This Row],[Loss date]])&lt;Policy_Inception_Month,YEAR(Table1[[#This Row],[Loss date]])-1,YEAR(Table1[[#This Row],[Loss date]]))</f>
        <v>2005</v>
      </c>
      <c r="G1432" s="10" t="s">
        <v>119</v>
      </c>
      <c r="H1432" s="10" t="s">
        <v>2</v>
      </c>
      <c r="I1432" s="11">
        <v>39906.178835717474</v>
      </c>
      <c r="J1432" s="11">
        <v>0</v>
      </c>
      <c r="K1432" s="11">
        <v>39906.178835717474</v>
      </c>
      <c r="L1432" s="12">
        <v>0</v>
      </c>
      <c r="M1432" s="12">
        <v>0</v>
      </c>
      <c r="N1432" s="12">
        <v>39906.178835717474</v>
      </c>
      <c r="O1432" s="70">
        <f>IF(Table1[[#This Row],[Overall amount]]=0,0,1)</f>
        <v>1</v>
      </c>
      <c r="P1432" s="70">
        <f>Table1[[#This Row],[Overall amount]]*Exchange_Rate</f>
        <v>39906.178835717474</v>
      </c>
      <c r="Q1432" s="70">
        <f>Table1[[#This Row],[Overall (destination currency)]]*(1+Claims_Inflation)^((Revalue_at_date-Table1[[#This Row],[Loss date]])/365.25)</f>
        <v>64894.51200000001</v>
      </c>
      <c r="R1432" s="70">
        <f>INT(Table1[[#This Row],[Reporting date]])-INT(Table1[[#This Row],[Loss date]])</f>
        <v>2</v>
      </c>
      <c r="S1432" s="69" t="s">
        <v>9</v>
      </c>
      <c r="T1432" s="70">
        <f>VLOOKUP(Table1[[#This Row],[Policy Year]],exposure_table,3,FALSE)</f>
        <v>409.50481038040112</v>
      </c>
      <c r="U1432" s="17">
        <f>IF(MONTH(Table1[[#This Row],[Reporting date]])&lt;Policy_Inception_Month,YEAR(Table1[[#This Row],[Reporting date]])-1,YEAR(Table1[[#This Row],[Reporting date]]))</f>
        <v>2005</v>
      </c>
      <c r="V1432" s="17">
        <f>Table1[[#This Row],[Reporting year]]-Table1[[#This Row],[Policy Year]]</f>
        <v>0</v>
      </c>
      <c r="W1432" s="17">
        <f>INT(Table1[[#This Row],[Reporting date]])-INT(Table1[[#This Row],[Loss date]])</f>
        <v>2</v>
      </c>
      <c r="X1432" s="17">
        <f>INT((YEAR(Table1[[#This Row],[Loss date]])*12+MONTH(Table1[[#This Row],[Loss date]])-Earliest_Month)/4)</f>
        <v>1</v>
      </c>
      <c r="Y1432" s="17">
        <f>INT((YEAR(Table1[[#This Row],[Reporting date]])*12+MONTH(Table1[[#This Row],[Reporting date]])-Earliest_Month)/4)</f>
        <v>1</v>
      </c>
      <c r="Z1432" s="17">
        <f>Table1[[#This Row],[Reporting third]]-Table1[[#This Row],[Policy third]]</f>
        <v>0</v>
      </c>
      <c r="AA1432" s="71">
        <f>IF(Table1[[#This Row],[Overall amount]]=0,"N/A",Table1[[#This Row],[Outstanding]]/Table1[[#This Row],[Overall amount]])</f>
        <v>0</v>
      </c>
      <c r="AB1432" s="17">
        <f>IF(MONTH(Table1[[#This Row],[Loss date]])&lt;Pol_Inc_Month_Shifted,YEAR(Table1[[#This Row],[Loss date]])-1,YEAR(Table1[[#This Row],[Loss date]]))</f>
        <v>2004</v>
      </c>
      <c r="AC1432" s="17">
        <f>IF(MONTH(Table1[[#This Row],[Reporting date]])&lt;Pol_Inc_Month_Shifted,YEAR(Table1[[#This Row],[Reporting date]])-1,YEAR(Table1[[#This Row],[Reporting date]]))</f>
        <v>2004</v>
      </c>
      <c r="AD1432" s="17">
        <f>Table1[[#This Row],[Reporting year (shifted)]]-Table1[[#This Row],[Policy Year (shifted)]]</f>
        <v>0</v>
      </c>
    </row>
    <row r="1433" spans="1:30" ht="13.9">
      <c r="A1433" s="8" t="s">
        <v>3203</v>
      </c>
      <c r="B1433" s="8" t="s">
        <v>1485</v>
      </c>
      <c r="C1433" s="8" t="s">
        <v>118</v>
      </c>
      <c r="D1433" s="9">
        <v>39062</v>
      </c>
      <c r="E1433" s="9">
        <v>39094</v>
      </c>
      <c r="F1433" s="17">
        <f>IF(MONTH(Table1[[#This Row],[Loss date]])&lt;Policy_Inception_Month,YEAR(Table1[[#This Row],[Loss date]])-1,YEAR(Table1[[#This Row],[Loss date]]))</f>
        <v>2006</v>
      </c>
      <c r="G1433" s="10" t="s">
        <v>119</v>
      </c>
      <c r="H1433" s="10" t="s">
        <v>2</v>
      </c>
      <c r="I1433" s="11">
        <v>208.11731005511896</v>
      </c>
      <c r="J1433" s="11">
        <v>0</v>
      </c>
      <c r="K1433" s="11">
        <v>208.11731005511896</v>
      </c>
      <c r="L1433" s="12">
        <v>0</v>
      </c>
      <c r="M1433" s="12">
        <v>0</v>
      </c>
      <c r="N1433" s="12">
        <v>208.11731005511896</v>
      </c>
      <c r="O1433" s="70">
        <f>IF(Table1[[#This Row],[Overall amount]]=0,0,1)</f>
        <v>1</v>
      </c>
      <c r="P1433" s="70">
        <f>Table1[[#This Row],[Overall amount]]*Exchange_Rate</f>
        <v>208.11731005511896</v>
      </c>
      <c r="Q1433" s="70">
        <f>Table1[[#This Row],[Overall (destination currency)]]*(1+Claims_Inflation)^((Revalue_at_date-Table1[[#This Row],[Loss date]])/365.25)</f>
        <v>319.8</v>
      </c>
      <c r="R1433" s="70">
        <f>INT(Table1[[#This Row],[Reporting date]])-INT(Table1[[#This Row],[Loss date]])</f>
        <v>32</v>
      </c>
      <c r="S1433" s="69" t="s">
        <v>9</v>
      </c>
      <c r="T1433" s="70">
        <f>VLOOKUP(Table1[[#This Row],[Policy Year]],exposure_table,3,FALSE)</f>
        <v>483.32023209000977</v>
      </c>
      <c r="U1433" s="17">
        <f>IF(MONTH(Table1[[#This Row],[Reporting date]])&lt;Policy_Inception_Month,YEAR(Table1[[#This Row],[Reporting date]])-1,YEAR(Table1[[#This Row],[Reporting date]]))</f>
        <v>2006</v>
      </c>
      <c r="V1433" s="17">
        <f>Table1[[#This Row],[Reporting year]]-Table1[[#This Row],[Policy Year]]</f>
        <v>0</v>
      </c>
      <c r="W1433" s="17">
        <f>INT(Table1[[#This Row],[Reporting date]])-INT(Table1[[#This Row],[Loss date]])</f>
        <v>32</v>
      </c>
      <c r="X1433" s="17">
        <f>INT((YEAR(Table1[[#This Row],[Loss date]])*12+MONTH(Table1[[#This Row],[Loss date]])-Earliest_Month)/4)</f>
        <v>5</v>
      </c>
      <c r="Y1433" s="17">
        <f>INT((YEAR(Table1[[#This Row],[Reporting date]])*12+MONTH(Table1[[#This Row],[Reporting date]])-Earliest_Month)/4)</f>
        <v>5</v>
      </c>
      <c r="Z1433" s="17">
        <f>Table1[[#This Row],[Reporting third]]-Table1[[#This Row],[Policy third]]</f>
        <v>0</v>
      </c>
      <c r="AA1433" s="71">
        <f>IF(Table1[[#This Row],[Overall amount]]=0,"N/A",Table1[[#This Row],[Outstanding]]/Table1[[#This Row],[Overall amount]])</f>
        <v>0</v>
      </c>
      <c r="AB1433" s="17">
        <f>IF(MONTH(Table1[[#This Row],[Loss date]])&lt;Pol_Inc_Month_Shifted,YEAR(Table1[[#This Row],[Loss date]])-1,YEAR(Table1[[#This Row],[Loss date]]))</f>
        <v>2006</v>
      </c>
      <c r="AC1433" s="17">
        <f>IF(MONTH(Table1[[#This Row],[Reporting date]])&lt;Pol_Inc_Month_Shifted,YEAR(Table1[[#This Row],[Reporting date]])-1,YEAR(Table1[[#This Row],[Reporting date]]))</f>
        <v>2006</v>
      </c>
      <c r="AD1433" s="17">
        <f>Table1[[#This Row],[Reporting year (shifted)]]-Table1[[#This Row],[Policy Year (shifted)]]</f>
        <v>0</v>
      </c>
    </row>
    <row r="1434" spans="1:30" ht="13.9">
      <c r="A1434" s="8" t="s">
        <v>3204</v>
      </c>
      <c r="B1434" s="8" t="s">
        <v>1486</v>
      </c>
      <c r="C1434" s="8" t="s">
        <v>118</v>
      </c>
      <c r="D1434" s="9">
        <v>39300</v>
      </c>
      <c r="E1434" s="9">
        <v>39303</v>
      </c>
      <c r="F1434" s="17">
        <f>IF(MONTH(Table1[[#This Row],[Loss date]])&lt;Policy_Inception_Month,YEAR(Table1[[#This Row],[Loss date]])-1,YEAR(Table1[[#This Row],[Loss date]]))</f>
        <v>2007</v>
      </c>
      <c r="G1434" s="10" t="s">
        <v>129</v>
      </c>
      <c r="H1434" s="10" t="s">
        <v>2</v>
      </c>
      <c r="I1434" s="11">
        <v>1644.5545556179923</v>
      </c>
      <c r="J1434" s="11">
        <v>0</v>
      </c>
      <c r="K1434" s="11">
        <v>1644.5545556179923</v>
      </c>
      <c r="L1434" s="12">
        <v>0</v>
      </c>
      <c r="M1434" s="12">
        <v>0</v>
      </c>
      <c r="N1434" s="12">
        <v>1644.5545556179923</v>
      </c>
      <c r="O1434" s="70">
        <f>IF(Table1[[#This Row],[Overall amount]]=0,0,1)</f>
        <v>1</v>
      </c>
      <c r="P1434" s="70">
        <f>Table1[[#This Row],[Overall amount]]*Exchange_Rate</f>
        <v>1644.5545556179923</v>
      </c>
      <c r="Q1434" s="70">
        <f>Table1[[#This Row],[Overall (destination currency)]]*(1+Claims_Inflation)^((Revalue_at_date-Table1[[#This Row],[Loss date]])/365.25)</f>
        <v>2448.0000000000005</v>
      </c>
      <c r="R1434" s="70">
        <f>INT(Table1[[#This Row],[Reporting date]])-INT(Table1[[#This Row],[Loss date]])</f>
        <v>3</v>
      </c>
      <c r="S1434" s="69" t="s">
        <v>9</v>
      </c>
      <c r="T1434" s="70">
        <f>VLOOKUP(Table1[[#This Row],[Policy Year]],exposure_table,3,FALSE)</f>
        <v>547.7736362475523</v>
      </c>
      <c r="U1434" s="17">
        <f>IF(MONTH(Table1[[#This Row],[Reporting date]])&lt;Policy_Inception_Month,YEAR(Table1[[#This Row],[Reporting date]])-1,YEAR(Table1[[#This Row],[Reporting date]]))</f>
        <v>2007</v>
      </c>
      <c r="V1434" s="17">
        <f>Table1[[#This Row],[Reporting year]]-Table1[[#This Row],[Policy Year]]</f>
        <v>0</v>
      </c>
      <c r="W1434" s="17">
        <f>INT(Table1[[#This Row],[Reporting date]])-INT(Table1[[#This Row],[Loss date]])</f>
        <v>3</v>
      </c>
      <c r="X1434" s="17">
        <f>INT((YEAR(Table1[[#This Row],[Loss date]])*12+MONTH(Table1[[#This Row],[Loss date]])-Earliest_Month)/4)</f>
        <v>7</v>
      </c>
      <c r="Y1434" s="17">
        <f>INT((YEAR(Table1[[#This Row],[Reporting date]])*12+MONTH(Table1[[#This Row],[Reporting date]])-Earliest_Month)/4)</f>
        <v>7</v>
      </c>
      <c r="Z1434" s="17">
        <f>Table1[[#This Row],[Reporting third]]-Table1[[#This Row],[Policy third]]</f>
        <v>0</v>
      </c>
      <c r="AA1434" s="71">
        <f>IF(Table1[[#This Row],[Overall amount]]=0,"N/A",Table1[[#This Row],[Outstanding]]/Table1[[#This Row],[Overall amount]])</f>
        <v>0</v>
      </c>
      <c r="AB1434" s="17">
        <f>IF(MONTH(Table1[[#This Row],[Loss date]])&lt;Pol_Inc_Month_Shifted,YEAR(Table1[[#This Row],[Loss date]])-1,YEAR(Table1[[#This Row],[Loss date]]))</f>
        <v>2006</v>
      </c>
      <c r="AC1434" s="17">
        <f>IF(MONTH(Table1[[#This Row],[Reporting date]])&lt;Pol_Inc_Month_Shifted,YEAR(Table1[[#This Row],[Reporting date]])-1,YEAR(Table1[[#This Row],[Reporting date]]))</f>
        <v>2006</v>
      </c>
      <c r="AD1434" s="17">
        <f>Table1[[#This Row],[Reporting year (shifted)]]-Table1[[#This Row],[Policy Year (shifted)]]</f>
        <v>0</v>
      </c>
    </row>
    <row r="1435" spans="1:30" ht="13.9">
      <c r="A1435" s="8" t="s">
        <v>3205</v>
      </c>
      <c r="B1435" s="8" t="s">
        <v>1487</v>
      </c>
      <c r="C1435" s="8" t="s">
        <v>118</v>
      </c>
      <c r="D1435" s="9">
        <v>39405</v>
      </c>
      <c r="E1435" s="9">
        <v>39410</v>
      </c>
      <c r="F1435" s="17">
        <f>IF(MONTH(Table1[[#This Row],[Loss date]])&lt;Policy_Inception_Month,YEAR(Table1[[#This Row],[Loss date]])-1,YEAR(Table1[[#This Row],[Loss date]]))</f>
        <v>2007</v>
      </c>
      <c r="G1435" s="10" t="s">
        <v>119</v>
      </c>
      <c r="H1435" s="10" t="s">
        <v>2</v>
      </c>
      <c r="I1435" s="11">
        <v>1976.5441464414434</v>
      </c>
      <c r="J1435" s="11">
        <v>0</v>
      </c>
      <c r="K1435" s="11">
        <v>1976.5441464414434</v>
      </c>
      <c r="L1435" s="12">
        <v>0</v>
      </c>
      <c r="M1435" s="12">
        <v>0</v>
      </c>
      <c r="N1435" s="12">
        <v>1976.5441464414434</v>
      </c>
      <c r="O1435" s="70">
        <f>IF(Table1[[#This Row],[Overall amount]]=0,0,1)</f>
        <v>1</v>
      </c>
      <c r="P1435" s="70">
        <f>Table1[[#This Row],[Overall amount]]*Exchange_Rate</f>
        <v>1976.5441464414434</v>
      </c>
      <c r="Q1435" s="70">
        <f>Table1[[#This Row],[Overall (destination currency)]]*(1+Claims_Inflation)^((Revalue_at_date-Table1[[#This Row],[Loss date]])/365.25)</f>
        <v>2901.2040000000002</v>
      </c>
      <c r="R1435" s="70">
        <f>INT(Table1[[#This Row],[Reporting date]])-INT(Table1[[#This Row],[Loss date]])</f>
        <v>5</v>
      </c>
      <c r="S1435" s="69" t="s">
        <v>9</v>
      </c>
      <c r="T1435" s="70">
        <f>VLOOKUP(Table1[[#This Row],[Policy Year]],exposure_table,3,FALSE)</f>
        <v>547.7736362475523</v>
      </c>
      <c r="U1435" s="17">
        <f>IF(MONTH(Table1[[#This Row],[Reporting date]])&lt;Policy_Inception_Month,YEAR(Table1[[#This Row],[Reporting date]])-1,YEAR(Table1[[#This Row],[Reporting date]]))</f>
        <v>2007</v>
      </c>
      <c r="V1435" s="17">
        <f>Table1[[#This Row],[Reporting year]]-Table1[[#This Row],[Policy Year]]</f>
        <v>0</v>
      </c>
      <c r="W1435" s="17">
        <f>INT(Table1[[#This Row],[Reporting date]])-INT(Table1[[#This Row],[Loss date]])</f>
        <v>5</v>
      </c>
      <c r="X1435" s="17">
        <f>INT((YEAR(Table1[[#This Row],[Loss date]])*12+MONTH(Table1[[#This Row],[Loss date]])-Earliest_Month)/4)</f>
        <v>7</v>
      </c>
      <c r="Y1435" s="17">
        <f>INT((YEAR(Table1[[#This Row],[Reporting date]])*12+MONTH(Table1[[#This Row],[Reporting date]])-Earliest_Month)/4)</f>
        <v>7</v>
      </c>
      <c r="Z1435" s="17">
        <f>Table1[[#This Row],[Reporting third]]-Table1[[#This Row],[Policy third]]</f>
        <v>0</v>
      </c>
      <c r="AA1435" s="71">
        <f>IF(Table1[[#This Row],[Overall amount]]=0,"N/A",Table1[[#This Row],[Outstanding]]/Table1[[#This Row],[Overall amount]])</f>
        <v>0</v>
      </c>
      <c r="AB1435" s="17">
        <f>IF(MONTH(Table1[[#This Row],[Loss date]])&lt;Pol_Inc_Month_Shifted,YEAR(Table1[[#This Row],[Loss date]])-1,YEAR(Table1[[#This Row],[Loss date]]))</f>
        <v>2006</v>
      </c>
      <c r="AC1435" s="17">
        <f>IF(MONTH(Table1[[#This Row],[Reporting date]])&lt;Pol_Inc_Month_Shifted,YEAR(Table1[[#This Row],[Reporting date]])-1,YEAR(Table1[[#This Row],[Reporting date]]))</f>
        <v>2006</v>
      </c>
      <c r="AD1435" s="17">
        <f>Table1[[#This Row],[Reporting year (shifted)]]-Table1[[#This Row],[Policy Year (shifted)]]</f>
        <v>0</v>
      </c>
    </row>
    <row r="1436" spans="1:30" ht="13.9">
      <c r="A1436" s="8" t="s">
        <v>3206</v>
      </c>
      <c r="B1436" s="8" t="s">
        <v>1488</v>
      </c>
      <c r="C1436" s="8" t="s">
        <v>118</v>
      </c>
      <c r="D1436" s="9">
        <v>39116</v>
      </c>
      <c r="E1436" s="9">
        <v>39608</v>
      </c>
      <c r="F1436" s="17">
        <f>IF(MONTH(Table1[[#This Row],[Loss date]])&lt;Policy_Inception_Month,YEAR(Table1[[#This Row],[Loss date]])-1,YEAR(Table1[[#This Row],[Loss date]]))</f>
        <v>2006</v>
      </c>
      <c r="G1436" s="10" t="s">
        <v>119</v>
      </c>
      <c r="H1436" s="10" t="s">
        <v>2</v>
      </c>
      <c r="I1436" s="11">
        <v>183.86341389297738</v>
      </c>
      <c r="J1436" s="11">
        <v>0</v>
      </c>
      <c r="K1436" s="11">
        <v>183.86341389297738</v>
      </c>
      <c r="L1436" s="12">
        <v>0</v>
      </c>
      <c r="M1436" s="12">
        <v>0</v>
      </c>
      <c r="N1436" s="12">
        <v>183.86341389297738</v>
      </c>
      <c r="O1436" s="70">
        <f>IF(Table1[[#This Row],[Overall amount]]=0,0,1)</f>
        <v>1</v>
      </c>
      <c r="P1436" s="70">
        <f>Table1[[#This Row],[Overall amount]]*Exchange_Rate</f>
        <v>183.86341389297738</v>
      </c>
      <c r="Q1436" s="70">
        <f>Table1[[#This Row],[Overall (destination currency)]]*(1+Claims_Inflation)^((Revalue_at_date-Table1[[#This Row],[Loss date]])/365.25)</f>
        <v>280.49999999999994</v>
      </c>
      <c r="R1436" s="70">
        <f>INT(Table1[[#This Row],[Reporting date]])-INT(Table1[[#This Row],[Loss date]])</f>
        <v>492</v>
      </c>
      <c r="S1436" s="69" t="s">
        <v>9</v>
      </c>
      <c r="T1436" s="70">
        <f>VLOOKUP(Table1[[#This Row],[Policy Year]],exposure_table,3,FALSE)</f>
        <v>483.32023209000977</v>
      </c>
      <c r="U1436" s="17">
        <f>IF(MONTH(Table1[[#This Row],[Reporting date]])&lt;Policy_Inception_Month,YEAR(Table1[[#This Row],[Reporting date]])-1,YEAR(Table1[[#This Row],[Reporting date]]))</f>
        <v>2008</v>
      </c>
      <c r="V1436" s="17">
        <f>Table1[[#This Row],[Reporting year]]-Table1[[#This Row],[Policy Year]]</f>
        <v>2</v>
      </c>
      <c r="W1436" s="17">
        <f>INT(Table1[[#This Row],[Reporting date]])-INT(Table1[[#This Row],[Loss date]])</f>
        <v>492</v>
      </c>
      <c r="X1436" s="17">
        <f>INT((YEAR(Table1[[#This Row],[Loss date]])*12+MONTH(Table1[[#This Row],[Loss date]])-Earliest_Month)/4)</f>
        <v>5</v>
      </c>
      <c r="Y1436" s="17">
        <f>INT((YEAR(Table1[[#This Row],[Reporting date]])*12+MONTH(Table1[[#This Row],[Reporting date]])-Earliest_Month)/4)</f>
        <v>9</v>
      </c>
      <c r="Z1436" s="17">
        <f>Table1[[#This Row],[Reporting third]]-Table1[[#This Row],[Policy third]]</f>
        <v>4</v>
      </c>
      <c r="AA1436" s="71">
        <f>IF(Table1[[#This Row],[Overall amount]]=0,"N/A",Table1[[#This Row],[Outstanding]]/Table1[[#This Row],[Overall amount]])</f>
        <v>0</v>
      </c>
      <c r="AB1436" s="17">
        <f>IF(MONTH(Table1[[#This Row],[Loss date]])&lt;Pol_Inc_Month_Shifted,YEAR(Table1[[#This Row],[Loss date]])-1,YEAR(Table1[[#This Row],[Loss date]]))</f>
        <v>2006</v>
      </c>
      <c r="AC1436" s="17">
        <f>IF(MONTH(Table1[[#This Row],[Reporting date]])&lt;Pol_Inc_Month_Shifted,YEAR(Table1[[#This Row],[Reporting date]])-1,YEAR(Table1[[#This Row],[Reporting date]]))</f>
        <v>2007</v>
      </c>
      <c r="AD1436" s="17">
        <f>Table1[[#This Row],[Reporting year (shifted)]]-Table1[[#This Row],[Policy Year (shifted)]]</f>
        <v>1</v>
      </c>
    </row>
    <row r="1437" spans="1:30" ht="13.9">
      <c r="A1437" s="8" t="s">
        <v>3207</v>
      </c>
      <c r="B1437" s="8" t="s">
        <v>1489</v>
      </c>
      <c r="C1437" s="8" t="s">
        <v>118</v>
      </c>
      <c r="D1437" s="9">
        <v>39785</v>
      </c>
      <c r="E1437" s="9">
        <v>39793</v>
      </c>
      <c r="F1437" s="17">
        <f>IF(MONTH(Table1[[#This Row],[Loss date]])&lt;Policy_Inception_Month,YEAR(Table1[[#This Row],[Loss date]])-1,YEAR(Table1[[#This Row],[Loss date]]))</f>
        <v>2008</v>
      </c>
      <c r="G1437" s="10" t="s">
        <v>129</v>
      </c>
      <c r="H1437" s="10" t="s">
        <v>2</v>
      </c>
      <c r="I1437" s="11">
        <v>2534.1707741479654</v>
      </c>
      <c r="J1437" s="11">
        <v>0</v>
      </c>
      <c r="K1437" s="11">
        <v>2534.1707741479654</v>
      </c>
      <c r="L1437" s="12">
        <v>0</v>
      </c>
      <c r="M1437" s="12">
        <v>0</v>
      </c>
      <c r="N1437" s="12">
        <v>2534.1707741479654</v>
      </c>
      <c r="O1437" s="70">
        <f>IF(Table1[[#This Row],[Overall amount]]=0,0,1)</f>
        <v>1</v>
      </c>
      <c r="P1437" s="70">
        <f>Table1[[#This Row],[Overall amount]]*Exchange_Rate</f>
        <v>2534.1707741479654</v>
      </c>
      <c r="Q1437" s="70">
        <f>Table1[[#This Row],[Overall (destination currency)]]*(1+Claims_Inflation)^((Revalue_at_date-Table1[[#This Row],[Loss date]])/365.25)</f>
        <v>3535.596</v>
      </c>
      <c r="R1437" s="70">
        <f>INT(Table1[[#This Row],[Reporting date]])-INT(Table1[[#This Row],[Loss date]])</f>
        <v>8</v>
      </c>
      <c r="S1437" s="69" t="s">
        <v>9</v>
      </c>
      <c r="T1437" s="70">
        <f>VLOOKUP(Table1[[#This Row],[Policy Year]],exposure_table,3,FALSE)</f>
        <v>601.98581780480015</v>
      </c>
      <c r="U1437" s="17">
        <f>IF(MONTH(Table1[[#This Row],[Reporting date]])&lt;Policy_Inception_Month,YEAR(Table1[[#This Row],[Reporting date]])-1,YEAR(Table1[[#This Row],[Reporting date]]))</f>
        <v>2008</v>
      </c>
      <c r="V1437" s="17">
        <f>Table1[[#This Row],[Reporting year]]-Table1[[#This Row],[Policy Year]]</f>
        <v>0</v>
      </c>
      <c r="W1437" s="17">
        <f>INT(Table1[[#This Row],[Reporting date]])-INT(Table1[[#This Row],[Loss date]])</f>
        <v>8</v>
      </c>
      <c r="X1437" s="17">
        <f>INT((YEAR(Table1[[#This Row],[Loss date]])*12+MONTH(Table1[[#This Row],[Loss date]])-Earliest_Month)/4)</f>
        <v>11</v>
      </c>
      <c r="Y1437" s="17">
        <f>INT((YEAR(Table1[[#This Row],[Reporting date]])*12+MONTH(Table1[[#This Row],[Reporting date]])-Earliest_Month)/4)</f>
        <v>11</v>
      </c>
      <c r="Z1437" s="17">
        <f>Table1[[#This Row],[Reporting third]]-Table1[[#This Row],[Policy third]]</f>
        <v>0</v>
      </c>
      <c r="AA1437" s="71">
        <f>IF(Table1[[#This Row],[Overall amount]]=0,"N/A",Table1[[#This Row],[Outstanding]]/Table1[[#This Row],[Overall amount]])</f>
        <v>0</v>
      </c>
      <c r="AB1437" s="17">
        <f>IF(MONTH(Table1[[#This Row],[Loss date]])&lt;Pol_Inc_Month_Shifted,YEAR(Table1[[#This Row],[Loss date]])-1,YEAR(Table1[[#This Row],[Loss date]]))</f>
        <v>2008</v>
      </c>
      <c r="AC1437" s="17">
        <f>IF(MONTH(Table1[[#This Row],[Reporting date]])&lt;Pol_Inc_Month_Shifted,YEAR(Table1[[#This Row],[Reporting date]])-1,YEAR(Table1[[#This Row],[Reporting date]]))</f>
        <v>2008</v>
      </c>
      <c r="AD1437" s="17">
        <f>Table1[[#This Row],[Reporting year (shifted)]]-Table1[[#This Row],[Policy Year (shifted)]]</f>
        <v>0</v>
      </c>
    </row>
    <row r="1438" spans="1:30" ht="13.9">
      <c r="A1438" s="8" t="s">
        <v>3208</v>
      </c>
      <c r="B1438" s="8" t="s">
        <v>1490</v>
      </c>
      <c r="C1438" s="8" t="s">
        <v>118</v>
      </c>
      <c r="D1438" s="9">
        <v>39785</v>
      </c>
      <c r="E1438" s="9">
        <v>39824</v>
      </c>
      <c r="F1438" s="17">
        <f>IF(MONTH(Table1[[#This Row],[Loss date]])&lt;Policy_Inception_Month,YEAR(Table1[[#This Row],[Loss date]])-1,YEAR(Table1[[#This Row],[Loss date]]))</f>
        <v>2008</v>
      </c>
      <c r="G1438" s="10" t="s">
        <v>129</v>
      </c>
      <c r="H1438" s="10" t="s">
        <v>2</v>
      </c>
      <c r="I1438" s="11">
        <v>722.49322047574117</v>
      </c>
      <c r="J1438" s="11">
        <v>0</v>
      </c>
      <c r="K1438" s="11">
        <v>722.49322047574117</v>
      </c>
      <c r="L1438" s="12">
        <v>0</v>
      </c>
      <c r="M1438" s="12">
        <v>46.239566110447434</v>
      </c>
      <c r="N1438" s="12">
        <v>676.25365436529376</v>
      </c>
      <c r="O1438" s="70">
        <f>IF(Table1[[#This Row],[Overall amount]]=0,0,1)</f>
        <v>1</v>
      </c>
      <c r="P1438" s="70">
        <f>Table1[[#This Row],[Overall amount]]*Exchange_Rate</f>
        <v>676.25365436529376</v>
      </c>
      <c r="Q1438" s="70">
        <f>Table1[[#This Row],[Overall (destination currency)]]*(1+Claims_Inflation)^((Revalue_at_date-Table1[[#This Row],[Loss date]])/365.25)</f>
        <v>943.48799999999983</v>
      </c>
      <c r="R1438" s="70">
        <f>INT(Table1[[#This Row],[Reporting date]])-INT(Table1[[#This Row],[Loss date]])</f>
        <v>39</v>
      </c>
      <c r="S1438" s="69" t="s">
        <v>9</v>
      </c>
      <c r="T1438" s="70">
        <f>VLOOKUP(Table1[[#This Row],[Policy Year]],exposure_table,3,FALSE)</f>
        <v>601.98581780480015</v>
      </c>
      <c r="U1438" s="17">
        <f>IF(MONTH(Table1[[#This Row],[Reporting date]])&lt;Policy_Inception_Month,YEAR(Table1[[#This Row],[Reporting date]])-1,YEAR(Table1[[#This Row],[Reporting date]]))</f>
        <v>2008</v>
      </c>
      <c r="V1438" s="17">
        <f>Table1[[#This Row],[Reporting year]]-Table1[[#This Row],[Policy Year]]</f>
        <v>0</v>
      </c>
      <c r="W1438" s="17">
        <f>INT(Table1[[#This Row],[Reporting date]])-INT(Table1[[#This Row],[Loss date]])</f>
        <v>39</v>
      </c>
      <c r="X1438" s="17">
        <f>INT((YEAR(Table1[[#This Row],[Loss date]])*12+MONTH(Table1[[#This Row],[Loss date]])-Earliest_Month)/4)</f>
        <v>11</v>
      </c>
      <c r="Y1438" s="17">
        <f>INT((YEAR(Table1[[#This Row],[Reporting date]])*12+MONTH(Table1[[#This Row],[Reporting date]])-Earliest_Month)/4)</f>
        <v>11</v>
      </c>
      <c r="Z1438" s="17">
        <f>Table1[[#This Row],[Reporting third]]-Table1[[#This Row],[Policy third]]</f>
        <v>0</v>
      </c>
      <c r="AA1438" s="71">
        <f>IF(Table1[[#This Row],[Overall amount]]=0,"N/A",Table1[[#This Row],[Outstanding]]/Table1[[#This Row],[Overall amount]])</f>
        <v>0</v>
      </c>
      <c r="AB1438" s="17">
        <f>IF(MONTH(Table1[[#This Row],[Loss date]])&lt;Pol_Inc_Month_Shifted,YEAR(Table1[[#This Row],[Loss date]])-1,YEAR(Table1[[#This Row],[Loss date]]))</f>
        <v>2008</v>
      </c>
      <c r="AC1438" s="17">
        <f>IF(MONTH(Table1[[#This Row],[Reporting date]])&lt;Pol_Inc_Month_Shifted,YEAR(Table1[[#This Row],[Reporting date]])-1,YEAR(Table1[[#This Row],[Reporting date]]))</f>
        <v>2008</v>
      </c>
      <c r="AD1438" s="17">
        <f>Table1[[#This Row],[Reporting year (shifted)]]-Table1[[#This Row],[Policy Year (shifted)]]</f>
        <v>0</v>
      </c>
    </row>
    <row r="1439" spans="1:30" ht="13.9">
      <c r="A1439" s="8" t="s">
        <v>3209</v>
      </c>
      <c r="B1439" s="8" t="s">
        <v>1491</v>
      </c>
      <c r="C1439" s="8" t="s">
        <v>118</v>
      </c>
      <c r="D1439" s="9">
        <v>40012</v>
      </c>
      <c r="E1439" s="9">
        <v>40088</v>
      </c>
      <c r="F1439" s="17">
        <f>IF(MONTH(Table1[[#This Row],[Loss date]])&lt;Policy_Inception_Month,YEAR(Table1[[#This Row],[Loss date]])-1,YEAR(Table1[[#This Row],[Loss date]]))</f>
        <v>2009</v>
      </c>
      <c r="G1439" s="10" t="s">
        <v>119</v>
      </c>
      <c r="H1439" s="10" t="s">
        <v>2</v>
      </c>
      <c r="I1439" s="11">
        <v>854.67402786286254</v>
      </c>
      <c r="J1439" s="11">
        <v>0</v>
      </c>
      <c r="K1439" s="11">
        <v>854.67402786286254</v>
      </c>
      <c r="L1439" s="12">
        <v>0</v>
      </c>
      <c r="M1439" s="12">
        <v>0</v>
      </c>
      <c r="N1439" s="12">
        <v>854.67402786286254</v>
      </c>
      <c r="O1439" s="70">
        <f>IF(Table1[[#This Row],[Overall amount]]=0,0,1)</f>
        <v>1</v>
      </c>
      <c r="P1439" s="70">
        <f>Table1[[#This Row],[Overall amount]]*Exchange_Rate</f>
        <v>854.67402786286254</v>
      </c>
      <c r="Q1439" s="70">
        <f>Table1[[#This Row],[Overall (destination currency)]]*(1+Claims_Inflation)^((Revalue_at_date-Table1[[#This Row],[Loss date]])/365.25)</f>
        <v>1156.7999999999997</v>
      </c>
      <c r="R1439" s="70">
        <f>INT(Table1[[#This Row],[Reporting date]])-INT(Table1[[#This Row],[Loss date]])</f>
        <v>76</v>
      </c>
      <c r="S1439" s="69" t="s">
        <v>9</v>
      </c>
      <c r="T1439" s="70">
        <f>VLOOKUP(Table1[[#This Row],[Policy Year]],exposure_table,3,FALSE)</f>
        <v>760.22808576000011</v>
      </c>
      <c r="U1439" s="17">
        <f>IF(MONTH(Table1[[#This Row],[Reporting date]])&lt;Policy_Inception_Month,YEAR(Table1[[#This Row],[Reporting date]])-1,YEAR(Table1[[#This Row],[Reporting date]]))</f>
        <v>2009</v>
      </c>
      <c r="V1439" s="17">
        <f>Table1[[#This Row],[Reporting year]]-Table1[[#This Row],[Policy Year]]</f>
        <v>0</v>
      </c>
      <c r="W1439" s="17">
        <f>INT(Table1[[#This Row],[Reporting date]])-INT(Table1[[#This Row],[Loss date]])</f>
        <v>76</v>
      </c>
      <c r="X1439" s="17">
        <f>INT((YEAR(Table1[[#This Row],[Loss date]])*12+MONTH(Table1[[#This Row],[Loss date]])-Earliest_Month)/4)</f>
        <v>12</v>
      </c>
      <c r="Y1439" s="17">
        <f>INT((YEAR(Table1[[#This Row],[Reporting date]])*12+MONTH(Table1[[#This Row],[Reporting date]])-Earliest_Month)/4)</f>
        <v>13</v>
      </c>
      <c r="Z1439" s="17">
        <f>Table1[[#This Row],[Reporting third]]-Table1[[#This Row],[Policy third]]</f>
        <v>1</v>
      </c>
      <c r="AA1439" s="71">
        <f>IF(Table1[[#This Row],[Overall amount]]=0,"N/A",Table1[[#This Row],[Outstanding]]/Table1[[#This Row],[Overall amount]])</f>
        <v>0</v>
      </c>
      <c r="AB1439" s="17">
        <f>IF(MONTH(Table1[[#This Row],[Loss date]])&lt;Pol_Inc_Month_Shifted,YEAR(Table1[[#This Row],[Loss date]])-1,YEAR(Table1[[#This Row],[Loss date]]))</f>
        <v>2008</v>
      </c>
      <c r="AC1439" s="17">
        <f>IF(MONTH(Table1[[#This Row],[Reporting date]])&lt;Pol_Inc_Month_Shifted,YEAR(Table1[[#This Row],[Reporting date]])-1,YEAR(Table1[[#This Row],[Reporting date]]))</f>
        <v>2008</v>
      </c>
      <c r="AD1439" s="17">
        <f>Table1[[#This Row],[Reporting year (shifted)]]-Table1[[#This Row],[Policy Year (shifted)]]</f>
        <v>0</v>
      </c>
    </row>
    <row r="1440" spans="1:30" ht="13.9">
      <c r="A1440" s="8" t="s">
        <v>3210</v>
      </c>
      <c r="B1440" s="8" t="s">
        <v>1492</v>
      </c>
      <c r="C1440" s="8" t="s">
        <v>118</v>
      </c>
      <c r="D1440" s="9">
        <v>40445</v>
      </c>
      <c r="E1440" s="9">
        <v>40504</v>
      </c>
      <c r="F1440" s="17">
        <f>IF(MONTH(Table1[[#This Row],[Loss date]])&lt;Policy_Inception_Month,YEAR(Table1[[#This Row],[Loss date]])-1,YEAR(Table1[[#This Row],[Loss date]]))</f>
        <v>2010</v>
      </c>
      <c r="G1440" s="10" t="s">
        <v>129</v>
      </c>
      <c r="H1440" s="10" t="s">
        <v>2</v>
      </c>
      <c r="I1440" s="11">
        <v>163.45281720153835</v>
      </c>
      <c r="J1440" s="11">
        <v>0</v>
      </c>
      <c r="K1440" s="11">
        <v>163.45281720153835</v>
      </c>
      <c r="L1440" s="12">
        <v>0</v>
      </c>
      <c r="M1440" s="12">
        <v>0</v>
      </c>
      <c r="N1440" s="12">
        <v>163.45281720153835</v>
      </c>
      <c r="O1440" s="70">
        <f>IF(Table1[[#This Row],[Overall amount]]=0,0,1)</f>
        <v>1</v>
      </c>
      <c r="P1440" s="70">
        <f>Table1[[#This Row],[Overall amount]]*Exchange_Rate</f>
        <v>163.45281720153835</v>
      </c>
      <c r="Q1440" s="70">
        <f>Table1[[#This Row],[Overall (destination currency)]]*(1+Claims_Inflation)^((Revalue_at_date-Table1[[#This Row],[Loss date]])/365.25)</f>
        <v>208.79999999999998</v>
      </c>
      <c r="R1440" s="70">
        <f>INT(Table1[[#This Row],[Reporting date]])-INT(Table1[[#This Row],[Loss date]])</f>
        <v>59</v>
      </c>
      <c r="S1440" s="69" t="s">
        <v>9</v>
      </c>
      <c r="T1440" s="70">
        <f>VLOOKUP(Table1[[#This Row],[Policy Year]],exposure_table,3,FALSE)</f>
        <v>837.11513600000012</v>
      </c>
      <c r="U1440" s="17">
        <f>IF(MONTH(Table1[[#This Row],[Reporting date]])&lt;Policy_Inception_Month,YEAR(Table1[[#This Row],[Reporting date]])-1,YEAR(Table1[[#This Row],[Reporting date]]))</f>
        <v>2010</v>
      </c>
      <c r="V1440" s="17">
        <f>Table1[[#This Row],[Reporting year]]-Table1[[#This Row],[Policy Year]]</f>
        <v>0</v>
      </c>
      <c r="W1440" s="17">
        <f>INT(Table1[[#This Row],[Reporting date]])-INT(Table1[[#This Row],[Loss date]])</f>
        <v>59</v>
      </c>
      <c r="X1440" s="17">
        <f>INT((YEAR(Table1[[#This Row],[Loss date]])*12+MONTH(Table1[[#This Row],[Loss date]])-Earliest_Month)/4)</f>
        <v>16</v>
      </c>
      <c r="Y1440" s="17">
        <f>INT((YEAR(Table1[[#This Row],[Reporting date]])*12+MONTH(Table1[[#This Row],[Reporting date]])-Earliest_Month)/4)</f>
        <v>16</v>
      </c>
      <c r="Z1440" s="17">
        <f>Table1[[#This Row],[Reporting third]]-Table1[[#This Row],[Policy third]]</f>
        <v>0</v>
      </c>
      <c r="AA1440" s="71">
        <f>IF(Table1[[#This Row],[Overall amount]]=0,"N/A",Table1[[#This Row],[Outstanding]]/Table1[[#This Row],[Overall amount]])</f>
        <v>0</v>
      </c>
      <c r="AB1440" s="17">
        <f>IF(MONTH(Table1[[#This Row],[Loss date]])&lt;Pol_Inc_Month_Shifted,YEAR(Table1[[#This Row],[Loss date]])-1,YEAR(Table1[[#This Row],[Loss date]]))</f>
        <v>2009</v>
      </c>
      <c r="AC1440" s="17">
        <f>IF(MONTH(Table1[[#This Row],[Reporting date]])&lt;Pol_Inc_Month_Shifted,YEAR(Table1[[#This Row],[Reporting date]])-1,YEAR(Table1[[#This Row],[Reporting date]]))</f>
        <v>2009</v>
      </c>
      <c r="AD1440" s="17">
        <f>Table1[[#This Row],[Reporting year (shifted)]]-Table1[[#This Row],[Policy Year (shifted)]]</f>
        <v>0</v>
      </c>
    </row>
    <row r="1441" spans="1:30" ht="13.9">
      <c r="A1441" s="8" t="s">
        <v>3211</v>
      </c>
      <c r="B1441" s="8" t="s">
        <v>1493</v>
      </c>
      <c r="C1441" s="8" t="s">
        <v>118</v>
      </c>
      <c r="D1441" s="9">
        <v>40482</v>
      </c>
      <c r="E1441" s="9">
        <v>40525</v>
      </c>
      <c r="F1441" s="17">
        <f>IF(MONTH(Table1[[#This Row],[Loss date]])&lt;Policy_Inception_Month,YEAR(Table1[[#This Row],[Loss date]])-1,YEAR(Table1[[#This Row],[Loss date]]))</f>
        <v>2010</v>
      </c>
      <c r="G1441" s="10" t="s">
        <v>119</v>
      </c>
      <c r="H1441" s="10" t="s">
        <v>2</v>
      </c>
      <c r="I1441" s="11">
        <v>2299.677478867422</v>
      </c>
      <c r="J1441" s="11">
        <v>0</v>
      </c>
      <c r="K1441" s="11">
        <v>2299.677478867422</v>
      </c>
      <c r="L1441" s="12">
        <v>0</v>
      </c>
      <c r="M1441" s="12">
        <v>0</v>
      </c>
      <c r="N1441" s="12">
        <v>2299.677478867422</v>
      </c>
      <c r="O1441" s="70">
        <f>IF(Table1[[#This Row],[Overall amount]]=0,0,1)</f>
        <v>1</v>
      </c>
      <c r="P1441" s="70">
        <f>Table1[[#This Row],[Overall amount]]*Exchange_Rate</f>
        <v>2299.677478867422</v>
      </c>
      <c r="Q1441" s="70">
        <f>Table1[[#This Row],[Overall (destination currency)]]*(1+Claims_Inflation)^((Revalue_at_date-Table1[[#This Row],[Loss date]])/365.25)</f>
        <v>2923.2</v>
      </c>
      <c r="R1441" s="70">
        <f>INT(Table1[[#This Row],[Reporting date]])-INT(Table1[[#This Row],[Loss date]])</f>
        <v>43</v>
      </c>
      <c r="S1441" s="69" t="s">
        <v>9</v>
      </c>
      <c r="T1441" s="70">
        <f>VLOOKUP(Table1[[#This Row],[Policy Year]],exposure_table,3,FALSE)</f>
        <v>837.11513600000012</v>
      </c>
      <c r="U1441" s="17">
        <f>IF(MONTH(Table1[[#This Row],[Reporting date]])&lt;Policy_Inception_Month,YEAR(Table1[[#This Row],[Reporting date]])-1,YEAR(Table1[[#This Row],[Reporting date]]))</f>
        <v>2010</v>
      </c>
      <c r="V1441" s="17">
        <f>Table1[[#This Row],[Reporting year]]-Table1[[#This Row],[Policy Year]]</f>
        <v>0</v>
      </c>
      <c r="W1441" s="17">
        <f>INT(Table1[[#This Row],[Reporting date]])-INT(Table1[[#This Row],[Loss date]])</f>
        <v>43</v>
      </c>
      <c r="X1441" s="17">
        <f>INT((YEAR(Table1[[#This Row],[Loss date]])*12+MONTH(Table1[[#This Row],[Loss date]])-Earliest_Month)/4)</f>
        <v>16</v>
      </c>
      <c r="Y1441" s="17">
        <f>INT((YEAR(Table1[[#This Row],[Reporting date]])*12+MONTH(Table1[[#This Row],[Reporting date]])-Earliest_Month)/4)</f>
        <v>17</v>
      </c>
      <c r="Z1441" s="17">
        <f>Table1[[#This Row],[Reporting third]]-Table1[[#This Row],[Policy third]]</f>
        <v>1</v>
      </c>
      <c r="AA1441" s="71">
        <f>IF(Table1[[#This Row],[Overall amount]]=0,"N/A",Table1[[#This Row],[Outstanding]]/Table1[[#This Row],[Overall amount]])</f>
        <v>0</v>
      </c>
      <c r="AB1441" s="17">
        <f>IF(MONTH(Table1[[#This Row],[Loss date]])&lt;Pol_Inc_Month_Shifted,YEAR(Table1[[#This Row],[Loss date]])-1,YEAR(Table1[[#This Row],[Loss date]]))</f>
        <v>2009</v>
      </c>
      <c r="AC1441" s="17">
        <f>IF(MONTH(Table1[[#This Row],[Reporting date]])&lt;Pol_Inc_Month_Shifted,YEAR(Table1[[#This Row],[Reporting date]])-1,YEAR(Table1[[#This Row],[Reporting date]]))</f>
        <v>2010</v>
      </c>
      <c r="AD1441" s="17">
        <f>Table1[[#This Row],[Reporting year (shifted)]]-Table1[[#This Row],[Policy Year (shifted)]]</f>
        <v>1</v>
      </c>
    </row>
    <row r="1442" spans="1:30" ht="13.9">
      <c r="A1442" s="8" t="s">
        <v>3212</v>
      </c>
      <c r="B1442" s="8" t="s">
        <v>1494</v>
      </c>
      <c r="C1442" s="8" t="s">
        <v>118</v>
      </c>
      <c r="D1442" s="9">
        <v>40574</v>
      </c>
      <c r="E1442" s="9">
        <v>40582</v>
      </c>
      <c r="F1442" s="17">
        <f>IF(MONTH(Table1[[#This Row],[Loss date]])&lt;Policy_Inception_Month,YEAR(Table1[[#This Row],[Loss date]])-1,YEAR(Table1[[#This Row],[Loss date]]))</f>
        <v>2010</v>
      </c>
      <c r="G1442" s="10" t="s">
        <v>119</v>
      </c>
      <c r="H1442" s="10" t="s">
        <v>2</v>
      </c>
      <c r="I1442" s="11">
        <v>1136.3410914699148</v>
      </c>
      <c r="J1442" s="11">
        <v>0</v>
      </c>
      <c r="K1442" s="11">
        <v>1136.3410914699148</v>
      </c>
      <c r="L1442" s="12">
        <v>0</v>
      </c>
      <c r="M1442" s="12">
        <v>0</v>
      </c>
      <c r="N1442" s="12">
        <v>1136.3410914699148</v>
      </c>
      <c r="O1442" s="70">
        <f>IF(Table1[[#This Row],[Overall amount]]=0,0,1)</f>
        <v>1</v>
      </c>
      <c r="P1442" s="70">
        <f>Table1[[#This Row],[Overall amount]]*Exchange_Rate</f>
        <v>1136.3410914699148</v>
      </c>
      <c r="Q1442" s="70">
        <f>Table1[[#This Row],[Overall (destination currency)]]*(1+Claims_Inflation)^((Revalue_at_date-Table1[[#This Row],[Loss date]])/365.25)</f>
        <v>1426.8</v>
      </c>
      <c r="R1442" s="70">
        <f>INT(Table1[[#This Row],[Reporting date]])-INT(Table1[[#This Row],[Loss date]])</f>
        <v>8</v>
      </c>
      <c r="S1442" s="69" t="s">
        <v>9</v>
      </c>
      <c r="T1442" s="70">
        <f>VLOOKUP(Table1[[#This Row],[Policy Year]],exposure_table,3,FALSE)</f>
        <v>837.11513600000012</v>
      </c>
      <c r="U1442" s="17">
        <f>IF(MONTH(Table1[[#This Row],[Reporting date]])&lt;Policy_Inception_Month,YEAR(Table1[[#This Row],[Reporting date]])-1,YEAR(Table1[[#This Row],[Reporting date]]))</f>
        <v>2010</v>
      </c>
      <c r="V1442" s="17">
        <f>Table1[[#This Row],[Reporting year]]-Table1[[#This Row],[Policy Year]]</f>
        <v>0</v>
      </c>
      <c r="W1442" s="17">
        <f>INT(Table1[[#This Row],[Reporting date]])-INT(Table1[[#This Row],[Loss date]])</f>
        <v>8</v>
      </c>
      <c r="X1442" s="17">
        <f>INT((YEAR(Table1[[#This Row],[Loss date]])*12+MONTH(Table1[[#This Row],[Loss date]])-Earliest_Month)/4)</f>
        <v>17</v>
      </c>
      <c r="Y1442" s="17">
        <f>INT((YEAR(Table1[[#This Row],[Reporting date]])*12+MONTH(Table1[[#This Row],[Reporting date]])-Earliest_Month)/4)</f>
        <v>17</v>
      </c>
      <c r="Z1442" s="17">
        <f>Table1[[#This Row],[Reporting third]]-Table1[[#This Row],[Policy third]]</f>
        <v>0</v>
      </c>
      <c r="AA1442" s="71">
        <f>IF(Table1[[#This Row],[Overall amount]]=0,"N/A",Table1[[#This Row],[Outstanding]]/Table1[[#This Row],[Overall amount]])</f>
        <v>0</v>
      </c>
      <c r="AB1442" s="17">
        <f>IF(MONTH(Table1[[#This Row],[Loss date]])&lt;Pol_Inc_Month_Shifted,YEAR(Table1[[#This Row],[Loss date]])-1,YEAR(Table1[[#This Row],[Loss date]]))</f>
        <v>2010</v>
      </c>
      <c r="AC1442" s="17">
        <f>IF(MONTH(Table1[[#This Row],[Reporting date]])&lt;Pol_Inc_Month_Shifted,YEAR(Table1[[#This Row],[Reporting date]])-1,YEAR(Table1[[#This Row],[Reporting date]]))</f>
        <v>2010</v>
      </c>
      <c r="AD1442" s="17">
        <f>Table1[[#This Row],[Reporting year (shifted)]]-Table1[[#This Row],[Policy Year (shifted)]]</f>
        <v>0</v>
      </c>
    </row>
    <row r="1443" spans="1:30" ht="13.9">
      <c r="A1443" s="8" t="s">
        <v>3213</v>
      </c>
      <c r="B1443" s="8" t="s">
        <v>1495</v>
      </c>
      <c r="C1443" s="8" t="s">
        <v>118</v>
      </c>
      <c r="D1443" s="9">
        <v>40601</v>
      </c>
      <c r="E1443" s="9">
        <v>40601</v>
      </c>
      <c r="F1443" s="17">
        <f>IF(MONTH(Table1[[#This Row],[Loss date]])&lt;Policy_Inception_Month,YEAR(Table1[[#This Row],[Loss date]])-1,YEAR(Table1[[#This Row],[Loss date]]))</f>
        <v>2010</v>
      </c>
      <c r="G1443" s="10" t="s">
        <v>119</v>
      </c>
      <c r="H1443" s="10" t="s">
        <v>2</v>
      </c>
      <c r="I1443" s="11">
        <v>208.61833406997565</v>
      </c>
      <c r="J1443" s="11">
        <v>0</v>
      </c>
      <c r="K1443" s="11">
        <v>208.61833406997565</v>
      </c>
      <c r="L1443" s="12">
        <v>0</v>
      </c>
      <c r="M1443" s="12">
        <v>0</v>
      </c>
      <c r="N1443" s="12">
        <v>208.61833406997565</v>
      </c>
      <c r="O1443" s="70">
        <f>IF(Table1[[#This Row],[Overall amount]]=0,0,1)</f>
        <v>1</v>
      </c>
      <c r="P1443" s="70">
        <f>Table1[[#This Row],[Overall amount]]*Exchange_Rate</f>
        <v>208.61833406997565</v>
      </c>
      <c r="Q1443" s="70">
        <f>Table1[[#This Row],[Overall (destination currency)]]*(1+Claims_Inflation)^((Revalue_at_date-Table1[[#This Row],[Loss date]])/365.25)</f>
        <v>261</v>
      </c>
      <c r="R1443" s="70">
        <f>INT(Table1[[#This Row],[Reporting date]])-INT(Table1[[#This Row],[Loss date]])</f>
        <v>0</v>
      </c>
      <c r="S1443" s="69" t="s">
        <v>9</v>
      </c>
      <c r="T1443" s="70">
        <f>VLOOKUP(Table1[[#This Row],[Policy Year]],exposure_table,3,FALSE)</f>
        <v>837.11513600000012</v>
      </c>
      <c r="U1443" s="17">
        <f>IF(MONTH(Table1[[#This Row],[Reporting date]])&lt;Policy_Inception_Month,YEAR(Table1[[#This Row],[Reporting date]])-1,YEAR(Table1[[#This Row],[Reporting date]]))</f>
        <v>2010</v>
      </c>
      <c r="V1443" s="17">
        <f>Table1[[#This Row],[Reporting year]]-Table1[[#This Row],[Policy Year]]</f>
        <v>0</v>
      </c>
      <c r="W1443" s="17">
        <f>INT(Table1[[#This Row],[Reporting date]])-INT(Table1[[#This Row],[Loss date]])</f>
        <v>0</v>
      </c>
      <c r="X1443" s="17">
        <f>INT((YEAR(Table1[[#This Row],[Loss date]])*12+MONTH(Table1[[#This Row],[Loss date]])-Earliest_Month)/4)</f>
        <v>17</v>
      </c>
      <c r="Y1443" s="17">
        <f>INT((YEAR(Table1[[#This Row],[Reporting date]])*12+MONTH(Table1[[#This Row],[Reporting date]])-Earliest_Month)/4)</f>
        <v>17</v>
      </c>
      <c r="Z1443" s="17">
        <f>Table1[[#This Row],[Reporting third]]-Table1[[#This Row],[Policy third]]</f>
        <v>0</v>
      </c>
      <c r="AA1443" s="71">
        <f>IF(Table1[[#This Row],[Overall amount]]=0,"N/A",Table1[[#This Row],[Outstanding]]/Table1[[#This Row],[Overall amount]])</f>
        <v>0</v>
      </c>
      <c r="AB1443" s="17">
        <f>IF(MONTH(Table1[[#This Row],[Loss date]])&lt;Pol_Inc_Month_Shifted,YEAR(Table1[[#This Row],[Loss date]])-1,YEAR(Table1[[#This Row],[Loss date]]))</f>
        <v>2010</v>
      </c>
      <c r="AC1443" s="17">
        <f>IF(MONTH(Table1[[#This Row],[Reporting date]])&lt;Pol_Inc_Month_Shifted,YEAR(Table1[[#This Row],[Reporting date]])-1,YEAR(Table1[[#This Row],[Reporting date]]))</f>
        <v>2010</v>
      </c>
      <c r="AD1443" s="17">
        <f>Table1[[#This Row],[Reporting year (shifted)]]-Table1[[#This Row],[Policy Year (shifted)]]</f>
        <v>0</v>
      </c>
    </row>
    <row r="1444" spans="1:30" ht="13.9">
      <c r="A1444" s="8" t="s">
        <v>3214</v>
      </c>
      <c r="B1444" s="8" t="s">
        <v>1496</v>
      </c>
      <c r="C1444" s="8" t="s">
        <v>118</v>
      </c>
      <c r="D1444" s="9">
        <v>40568</v>
      </c>
      <c r="E1444" s="9">
        <v>40574</v>
      </c>
      <c r="F1444" s="17">
        <f>IF(MONTH(Table1[[#This Row],[Loss date]])&lt;Policy_Inception_Month,YEAR(Table1[[#This Row],[Loss date]])-1,YEAR(Table1[[#This Row],[Loss date]]))</f>
        <v>2010</v>
      </c>
      <c r="G1444" s="10" t="s">
        <v>119</v>
      </c>
      <c r="H1444" s="10" t="s">
        <v>2</v>
      </c>
      <c r="I1444" s="11">
        <v>304.6277488878373</v>
      </c>
      <c r="J1444" s="11">
        <v>0</v>
      </c>
      <c r="K1444" s="11">
        <v>304.6277488878373</v>
      </c>
      <c r="L1444" s="12">
        <v>0</v>
      </c>
      <c r="M1444" s="12">
        <v>0</v>
      </c>
      <c r="N1444" s="12">
        <v>304.6277488878373</v>
      </c>
      <c r="O1444" s="70">
        <f>IF(Table1[[#This Row],[Overall amount]]=0,0,1)</f>
        <v>1</v>
      </c>
      <c r="P1444" s="70">
        <f>Table1[[#This Row],[Overall amount]]*Exchange_Rate</f>
        <v>304.6277488878373</v>
      </c>
      <c r="Q1444" s="70">
        <f>Table1[[#This Row],[Overall (destination currency)]]*(1+Claims_Inflation)^((Revalue_at_date-Table1[[#This Row],[Loss date]])/365.25)</f>
        <v>382.80000000000007</v>
      </c>
      <c r="R1444" s="70">
        <f>INT(Table1[[#This Row],[Reporting date]])-INT(Table1[[#This Row],[Loss date]])</f>
        <v>6</v>
      </c>
      <c r="S1444" s="69" t="s">
        <v>9</v>
      </c>
      <c r="T1444" s="70">
        <f>VLOOKUP(Table1[[#This Row],[Policy Year]],exposure_table,3,FALSE)</f>
        <v>837.11513600000012</v>
      </c>
      <c r="U1444" s="17">
        <f>IF(MONTH(Table1[[#This Row],[Reporting date]])&lt;Policy_Inception_Month,YEAR(Table1[[#This Row],[Reporting date]])-1,YEAR(Table1[[#This Row],[Reporting date]]))</f>
        <v>2010</v>
      </c>
      <c r="V1444" s="17">
        <f>Table1[[#This Row],[Reporting year]]-Table1[[#This Row],[Policy Year]]</f>
        <v>0</v>
      </c>
      <c r="W1444" s="17">
        <f>INT(Table1[[#This Row],[Reporting date]])-INT(Table1[[#This Row],[Loss date]])</f>
        <v>6</v>
      </c>
      <c r="X1444" s="17">
        <f>INT((YEAR(Table1[[#This Row],[Loss date]])*12+MONTH(Table1[[#This Row],[Loss date]])-Earliest_Month)/4)</f>
        <v>17</v>
      </c>
      <c r="Y1444" s="17">
        <f>INT((YEAR(Table1[[#This Row],[Reporting date]])*12+MONTH(Table1[[#This Row],[Reporting date]])-Earliest_Month)/4)</f>
        <v>17</v>
      </c>
      <c r="Z1444" s="17">
        <f>Table1[[#This Row],[Reporting third]]-Table1[[#This Row],[Policy third]]</f>
        <v>0</v>
      </c>
      <c r="AA1444" s="71">
        <f>IF(Table1[[#This Row],[Overall amount]]=0,"N/A",Table1[[#This Row],[Outstanding]]/Table1[[#This Row],[Overall amount]])</f>
        <v>0</v>
      </c>
      <c r="AB1444" s="17">
        <f>IF(MONTH(Table1[[#This Row],[Loss date]])&lt;Pol_Inc_Month_Shifted,YEAR(Table1[[#This Row],[Loss date]])-1,YEAR(Table1[[#This Row],[Loss date]]))</f>
        <v>2010</v>
      </c>
      <c r="AC1444" s="17">
        <f>IF(MONTH(Table1[[#This Row],[Reporting date]])&lt;Pol_Inc_Month_Shifted,YEAR(Table1[[#This Row],[Reporting date]])-1,YEAR(Table1[[#This Row],[Reporting date]]))</f>
        <v>2010</v>
      </c>
      <c r="AD1444" s="17">
        <f>Table1[[#This Row],[Reporting year (shifted)]]-Table1[[#This Row],[Policy Year (shifted)]]</f>
        <v>0</v>
      </c>
    </row>
    <row r="1445" spans="1:30" ht="13.9">
      <c r="A1445" s="8" t="s">
        <v>3215</v>
      </c>
      <c r="B1445" s="8" t="s">
        <v>1497</v>
      </c>
      <c r="C1445" s="8" t="s">
        <v>118</v>
      </c>
      <c r="D1445" s="9">
        <v>39876</v>
      </c>
      <c r="E1445" s="9">
        <v>39909</v>
      </c>
      <c r="F1445" s="17">
        <f>IF(MONTH(Table1[[#This Row],[Loss date]])&lt;Policy_Inception_Month,YEAR(Table1[[#This Row],[Loss date]])-1,YEAR(Table1[[#This Row],[Loss date]]))</f>
        <v>2008</v>
      </c>
      <c r="G1445" s="10" t="s">
        <v>129</v>
      </c>
      <c r="H1445" s="10" t="s">
        <v>2</v>
      </c>
      <c r="I1445" s="11">
        <v>10019.211376338699</v>
      </c>
      <c r="J1445" s="11">
        <v>0</v>
      </c>
      <c r="K1445" s="11">
        <v>10019.211376338699</v>
      </c>
      <c r="L1445" s="12">
        <v>0</v>
      </c>
      <c r="M1445" s="12">
        <v>0</v>
      </c>
      <c r="N1445" s="12">
        <v>10019.211376338699</v>
      </c>
      <c r="O1445" s="70">
        <f>IF(Table1[[#This Row],[Overall amount]]=0,0,1)</f>
        <v>1</v>
      </c>
      <c r="P1445" s="70">
        <f>Table1[[#This Row],[Overall amount]]*Exchange_Rate</f>
        <v>10019.211376338699</v>
      </c>
      <c r="Q1445" s="70">
        <f>Table1[[#This Row],[Overall (destination currency)]]*(1+Claims_Inflation)^((Revalue_at_date-Table1[[#This Row],[Loss date]])/365.25)</f>
        <v>13809.600000000002</v>
      </c>
      <c r="R1445" s="70">
        <f>INT(Table1[[#This Row],[Reporting date]])-INT(Table1[[#This Row],[Loss date]])</f>
        <v>33</v>
      </c>
      <c r="S1445" s="69" t="s">
        <v>9</v>
      </c>
      <c r="T1445" s="70">
        <f>VLOOKUP(Table1[[#This Row],[Policy Year]],exposure_table,3,FALSE)</f>
        <v>601.98581780480015</v>
      </c>
      <c r="U1445" s="17">
        <f>IF(MONTH(Table1[[#This Row],[Reporting date]])&lt;Policy_Inception_Month,YEAR(Table1[[#This Row],[Reporting date]])-1,YEAR(Table1[[#This Row],[Reporting date]]))</f>
        <v>2009</v>
      </c>
      <c r="V1445" s="17">
        <f>Table1[[#This Row],[Reporting year]]-Table1[[#This Row],[Policy Year]]</f>
        <v>1</v>
      </c>
      <c r="W1445" s="17">
        <f>INT(Table1[[#This Row],[Reporting date]])-INT(Table1[[#This Row],[Loss date]])</f>
        <v>33</v>
      </c>
      <c r="X1445" s="17">
        <f>INT((YEAR(Table1[[#This Row],[Loss date]])*12+MONTH(Table1[[#This Row],[Loss date]])-Earliest_Month)/4)</f>
        <v>11</v>
      </c>
      <c r="Y1445" s="17">
        <f>INT((YEAR(Table1[[#This Row],[Reporting date]])*12+MONTH(Table1[[#This Row],[Reporting date]])-Earliest_Month)/4)</f>
        <v>12</v>
      </c>
      <c r="Z1445" s="17">
        <f>Table1[[#This Row],[Reporting third]]-Table1[[#This Row],[Policy third]]</f>
        <v>1</v>
      </c>
      <c r="AA1445" s="71">
        <f>IF(Table1[[#This Row],[Overall amount]]=0,"N/A",Table1[[#This Row],[Outstanding]]/Table1[[#This Row],[Overall amount]])</f>
        <v>0</v>
      </c>
      <c r="AB1445" s="17">
        <f>IF(MONTH(Table1[[#This Row],[Loss date]])&lt;Pol_Inc_Month_Shifted,YEAR(Table1[[#This Row],[Loss date]])-1,YEAR(Table1[[#This Row],[Loss date]]))</f>
        <v>2008</v>
      </c>
      <c r="AC1445" s="17">
        <f>IF(MONTH(Table1[[#This Row],[Reporting date]])&lt;Pol_Inc_Month_Shifted,YEAR(Table1[[#This Row],[Reporting date]])-1,YEAR(Table1[[#This Row],[Reporting date]]))</f>
        <v>2008</v>
      </c>
      <c r="AD1445" s="17">
        <f>Table1[[#This Row],[Reporting year (shifted)]]-Table1[[#This Row],[Policy Year (shifted)]]</f>
        <v>0</v>
      </c>
    </row>
    <row r="1446" spans="1:30" ht="13.9">
      <c r="A1446" s="8" t="s">
        <v>3216</v>
      </c>
      <c r="B1446" s="8" t="s">
        <v>1498</v>
      </c>
      <c r="C1446" s="8" t="s">
        <v>118</v>
      </c>
      <c r="D1446" s="9">
        <v>39955</v>
      </c>
      <c r="E1446" s="9">
        <v>40027</v>
      </c>
      <c r="F1446" s="17">
        <f>IF(MONTH(Table1[[#This Row],[Loss date]])&lt;Policy_Inception_Month,YEAR(Table1[[#This Row],[Loss date]])-1,YEAR(Table1[[#This Row],[Loss date]]))</f>
        <v>2009</v>
      </c>
      <c r="G1446" s="10" t="s">
        <v>129</v>
      </c>
      <c r="H1446" s="10" t="s">
        <v>2</v>
      </c>
      <c r="I1446" s="11">
        <v>7693.1116998571742</v>
      </c>
      <c r="J1446" s="11">
        <v>0</v>
      </c>
      <c r="K1446" s="11">
        <v>7693.1116998571742</v>
      </c>
      <c r="L1446" s="12">
        <v>0</v>
      </c>
      <c r="M1446" s="12">
        <v>0</v>
      </c>
      <c r="N1446" s="12">
        <v>7693.1116998571742</v>
      </c>
      <c r="O1446" s="70">
        <f>IF(Table1[[#This Row],[Overall amount]]=0,0,1)</f>
        <v>1</v>
      </c>
      <c r="P1446" s="70">
        <f>Table1[[#This Row],[Overall amount]]*Exchange_Rate</f>
        <v>7693.1116998571742</v>
      </c>
      <c r="Q1446" s="70">
        <f>Table1[[#This Row],[Overall (destination currency)]]*(1+Claims_Inflation)^((Revalue_at_date-Table1[[#This Row],[Loss date]])/365.25)</f>
        <v>10492.199999999999</v>
      </c>
      <c r="R1446" s="70">
        <f>INT(Table1[[#This Row],[Reporting date]])-INT(Table1[[#This Row],[Loss date]])</f>
        <v>72</v>
      </c>
      <c r="S1446" s="69" t="s">
        <v>9</v>
      </c>
      <c r="T1446" s="70">
        <f>VLOOKUP(Table1[[#This Row],[Policy Year]],exposure_table,3,FALSE)</f>
        <v>760.22808576000011</v>
      </c>
      <c r="U1446" s="17">
        <f>IF(MONTH(Table1[[#This Row],[Reporting date]])&lt;Policy_Inception_Month,YEAR(Table1[[#This Row],[Reporting date]])-1,YEAR(Table1[[#This Row],[Reporting date]]))</f>
        <v>2009</v>
      </c>
      <c r="V1446" s="17">
        <f>Table1[[#This Row],[Reporting year]]-Table1[[#This Row],[Policy Year]]</f>
        <v>0</v>
      </c>
      <c r="W1446" s="17">
        <f>INT(Table1[[#This Row],[Reporting date]])-INT(Table1[[#This Row],[Loss date]])</f>
        <v>72</v>
      </c>
      <c r="X1446" s="17">
        <f>INT((YEAR(Table1[[#This Row],[Loss date]])*12+MONTH(Table1[[#This Row],[Loss date]])-Earliest_Month)/4)</f>
        <v>12</v>
      </c>
      <c r="Y1446" s="17">
        <f>INT((YEAR(Table1[[#This Row],[Reporting date]])*12+MONTH(Table1[[#This Row],[Reporting date]])-Earliest_Month)/4)</f>
        <v>13</v>
      </c>
      <c r="Z1446" s="17">
        <f>Table1[[#This Row],[Reporting third]]-Table1[[#This Row],[Policy third]]</f>
        <v>1</v>
      </c>
      <c r="AA1446" s="71">
        <f>IF(Table1[[#This Row],[Overall amount]]=0,"N/A",Table1[[#This Row],[Outstanding]]/Table1[[#This Row],[Overall amount]])</f>
        <v>0</v>
      </c>
      <c r="AB1446" s="17">
        <f>IF(MONTH(Table1[[#This Row],[Loss date]])&lt;Pol_Inc_Month_Shifted,YEAR(Table1[[#This Row],[Loss date]])-1,YEAR(Table1[[#This Row],[Loss date]]))</f>
        <v>2008</v>
      </c>
      <c r="AC1446" s="17">
        <f>IF(MONTH(Table1[[#This Row],[Reporting date]])&lt;Pol_Inc_Month_Shifted,YEAR(Table1[[#This Row],[Reporting date]])-1,YEAR(Table1[[#This Row],[Reporting date]]))</f>
        <v>2008</v>
      </c>
      <c r="AD1446" s="17">
        <f>Table1[[#This Row],[Reporting year (shifted)]]-Table1[[#This Row],[Policy Year (shifted)]]</f>
        <v>0</v>
      </c>
    </row>
    <row r="1447" spans="1:30" ht="13.9">
      <c r="A1447" s="8" t="s">
        <v>3217</v>
      </c>
      <c r="B1447" s="8" t="s">
        <v>1499</v>
      </c>
      <c r="C1447" s="8" t="s">
        <v>118</v>
      </c>
      <c r="D1447" s="9">
        <v>39839</v>
      </c>
      <c r="E1447" s="9">
        <v>39839</v>
      </c>
      <c r="F1447" s="17">
        <f>IF(MONTH(Table1[[#This Row],[Loss date]])&lt;Policy_Inception_Month,YEAR(Table1[[#This Row],[Loss date]])-1,YEAR(Table1[[#This Row],[Loss date]]))</f>
        <v>2008</v>
      </c>
      <c r="G1447" s="10" t="s">
        <v>128</v>
      </c>
      <c r="H1447" s="10" t="s">
        <v>2</v>
      </c>
      <c r="I1447" s="11">
        <v>1116.8565364426693</v>
      </c>
      <c r="J1447" s="11">
        <v>0</v>
      </c>
      <c r="K1447" s="11">
        <v>1116.8565364426693</v>
      </c>
      <c r="L1447" s="12">
        <v>0</v>
      </c>
      <c r="M1447" s="12">
        <v>0</v>
      </c>
      <c r="N1447" s="12">
        <v>1116.8565364426693</v>
      </c>
      <c r="O1447" s="70">
        <f>IF(Table1[[#This Row],[Overall amount]]=0,0,1)</f>
        <v>1</v>
      </c>
      <c r="P1447" s="70">
        <f>Table1[[#This Row],[Overall amount]]*Exchange_Rate</f>
        <v>1116.8565364426693</v>
      </c>
      <c r="Q1447" s="70">
        <f>Table1[[#This Row],[Overall (destination currency)]]*(1+Claims_Inflation)^((Revalue_at_date-Table1[[#This Row],[Loss date]])/365.25)</f>
        <v>1547.0040000000001</v>
      </c>
      <c r="R1447" s="70">
        <f>INT(Table1[[#This Row],[Reporting date]])-INT(Table1[[#This Row],[Loss date]])</f>
        <v>0</v>
      </c>
      <c r="S1447" s="69" t="s">
        <v>9</v>
      </c>
      <c r="T1447" s="70">
        <f>VLOOKUP(Table1[[#This Row],[Policy Year]],exposure_table,3,FALSE)</f>
        <v>601.98581780480015</v>
      </c>
      <c r="U1447" s="17">
        <f>IF(MONTH(Table1[[#This Row],[Reporting date]])&lt;Policy_Inception_Month,YEAR(Table1[[#This Row],[Reporting date]])-1,YEAR(Table1[[#This Row],[Reporting date]]))</f>
        <v>2008</v>
      </c>
      <c r="V1447" s="17">
        <f>Table1[[#This Row],[Reporting year]]-Table1[[#This Row],[Policy Year]]</f>
        <v>0</v>
      </c>
      <c r="W1447" s="17">
        <f>INT(Table1[[#This Row],[Reporting date]])-INT(Table1[[#This Row],[Loss date]])</f>
        <v>0</v>
      </c>
      <c r="X1447" s="17">
        <f>INT((YEAR(Table1[[#This Row],[Loss date]])*12+MONTH(Table1[[#This Row],[Loss date]])-Earliest_Month)/4)</f>
        <v>11</v>
      </c>
      <c r="Y1447" s="17">
        <f>INT((YEAR(Table1[[#This Row],[Reporting date]])*12+MONTH(Table1[[#This Row],[Reporting date]])-Earliest_Month)/4)</f>
        <v>11</v>
      </c>
      <c r="Z1447" s="17">
        <f>Table1[[#This Row],[Reporting third]]-Table1[[#This Row],[Policy third]]</f>
        <v>0</v>
      </c>
      <c r="AA1447" s="71">
        <f>IF(Table1[[#This Row],[Overall amount]]=0,"N/A",Table1[[#This Row],[Outstanding]]/Table1[[#This Row],[Overall amount]])</f>
        <v>0</v>
      </c>
      <c r="AB1447" s="17">
        <f>IF(MONTH(Table1[[#This Row],[Loss date]])&lt;Pol_Inc_Month_Shifted,YEAR(Table1[[#This Row],[Loss date]])-1,YEAR(Table1[[#This Row],[Loss date]]))</f>
        <v>2008</v>
      </c>
      <c r="AC1447" s="17">
        <f>IF(MONTH(Table1[[#This Row],[Reporting date]])&lt;Pol_Inc_Month_Shifted,YEAR(Table1[[#This Row],[Reporting date]])-1,YEAR(Table1[[#This Row],[Reporting date]]))</f>
        <v>2008</v>
      </c>
      <c r="AD1447" s="17">
        <f>Table1[[#This Row],[Reporting year (shifted)]]-Table1[[#This Row],[Policy Year (shifted)]]</f>
        <v>0</v>
      </c>
    </row>
    <row r="1448" spans="1:30" ht="13.9">
      <c r="A1448" s="8" t="s">
        <v>3218</v>
      </c>
      <c r="B1448" s="8" t="s">
        <v>1500</v>
      </c>
      <c r="C1448" s="8" t="s">
        <v>118</v>
      </c>
      <c r="D1448" s="9">
        <v>39773</v>
      </c>
      <c r="E1448" s="9">
        <v>39970</v>
      </c>
      <c r="F1448" s="17">
        <f>IF(MONTH(Table1[[#This Row],[Loss date]])&lt;Policy_Inception_Month,YEAR(Table1[[#This Row],[Loss date]])-1,YEAR(Table1[[#This Row],[Loss date]]))</f>
        <v>2008</v>
      </c>
      <c r="G1448" s="10" t="s">
        <v>119</v>
      </c>
      <c r="H1448" s="10" t="s">
        <v>2</v>
      </c>
      <c r="I1448" s="11">
        <v>3989.8640921209926</v>
      </c>
      <c r="J1448" s="11">
        <v>0</v>
      </c>
      <c r="K1448" s="11">
        <v>3989.8640921209926</v>
      </c>
      <c r="L1448" s="12">
        <v>0</v>
      </c>
      <c r="M1448" s="12">
        <v>0</v>
      </c>
      <c r="N1448" s="12">
        <v>3989.8640921209926</v>
      </c>
      <c r="O1448" s="70">
        <f>IF(Table1[[#This Row],[Overall amount]]=0,0,1)</f>
        <v>1</v>
      </c>
      <c r="P1448" s="70">
        <f>Table1[[#This Row],[Overall amount]]*Exchange_Rate</f>
        <v>3989.8640921209926</v>
      </c>
      <c r="Q1448" s="70">
        <f>Table1[[#This Row],[Overall (destination currency)]]*(1+Claims_Inflation)^((Revalue_at_date-Table1[[#This Row],[Loss date]])/365.25)</f>
        <v>5575.4639999999999</v>
      </c>
      <c r="R1448" s="70">
        <f>INT(Table1[[#This Row],[Reporting date]])-INT(Table1[[#This Row],[Loss date]])</f>
        <v>197</v>
      </c>
      <c r="S1448" s="69" t="s">
        <v>9</v>
      </c>
      <c r="T1448" s="70">
        <f>VLOOKUP(Table1[[#This Row],[Policy Year]],exposure_table,3,FALSE)</f>
        <v>601.98581780480015</v>
      </c>
      <c r="U1448" s="17">
        <f>IF(MONTH(Table1[[#This Row],[Reporting date]])&lt;Policy_Inception_Month,YEAR(Table1[[#This Row],[Reporting date]])-1,YEAR(Table1[[#This Row],[Reporting date]]))</f>
        <v>2009</v>
      </c>
      <c r="V1448" s="17">
        <f>Table1[[#This Row],[Reporting year]]-Table1[[#This Row],[Policy Year]]</f>
        <v>1</v>
      </c>
      <c r="W1448" s="17">
        <f>INT(Table1[[#This Row],[Reporting date]])-INT(Table1[[#This Row],[Loss date]])</f>
        <v>197</v>
      </c>
      <c r="X1448" s="17">
        <f>INT((YEAR(Table1[[#This Row],[Loss date]])*12+MONTH(Table1[[#This Row],[Loss date]])-Earliest_Month)/4)</f>
        <v>10</v>
      </c>
      <c r="Y1448" s="17">
        <f>INT((YEAR(Table1[[#This Row],[Reporting date]])*12+MONTH(Table1[[#This Row],[Reporting date]])-Earliest_Month)/4)</f>
        <v>12</v>
      </c>
      <c r="Z1448" s="17">
        <f>Table1[[#This Row],[Reporting third]]-Table1[[#This Row],[Policy third]]</f>
        <v>2</v>
      </c>
      <c r="AA1448" s="71">
        <f>IF(Table1[[#This Row],[Overall amount]]=0,"N/A",Table1[[#This Row],[Outstanding]]/Table1[[#This Row],[Overall amount]])</f>
        <v>0</v>
      </c>
      <c r="AB1448" s="17">
        <f>IF(MONTH(Table1[[#This Row],[Loss date]])&lt;Pol_Inc_Month_Shifted,YEAR(Table1[[#This Row],[Loss date]])-1,YEAR(Table1[[#This Row],[Loss date]]))</f>
        <v>2007</v>
      </c>
      <c r="AC1448" s="17">
        <f>IF(MONTH(Table1[[#This Row],[Reporting date]])&lt;Pol_Inc_Month_Shifted,YEAR(Table1[[#This Row],[Reporting date]])-1,YEAR(Table1[[#This Row],[Reporting date]]))</f>
        <v>2008</v>
      </c>
      <c r="AD1448" s="17">
        <f>Table1[[#This Row],[Reporting year (shifted)]]-Table1[[#This Row],[Policy Year (shifted)]]</f>
        <v>1</v>
      </c>
    </row>
    <row r="1449" spans="1:30" ht="13.9">
      <c r="A1449" s="8" t="s">
        <v>3219</v>
      </c>
      <c r="B1449" s="8" t="s">
        <v>1501</v>
      </c>
      <c r="C1449" s="8" t="s">
        <v>118</v>
      </c>
      <c r="D1449" s="9">
        <v>39944</v>
      </c>
      <c r="E1449" s="9">
        <v>39944</v>
      </c>
      <c r="F1449" s="17">
        <f>IF(MONTH(Table1[[#This Row],[Loss date]])&lt;Policy_Inception_Month,YEAR(Table1[[#This Row],[Loss date]])-1,YEAR(Table1[[#This Row],[Loss date]]))</f>
        <v>2009</v>
      </c>
      <c r="G1449" s="10" t="s">
        <v>125</v>
      </c>
      <c r="H1449" s="10" t="s">
        <v>2</v>
      </c>
      <c r="I1449" s="11">
        <v>891.75308726901676</v>
      </c>
      <c r="J1449" s="11">
        <v>0</v>
      </c>
      <c r="K1449" s="11">
        <v>891.75308726901676</v>
      </c>
      <c r="L1449" s="12">
        <v>0</v>
      </c>
      <c r="M1449" s="12">
        <v>0</v>
      </c>
      <c r="N1449" s="12">
        <v>891.75308726901676</v>
      </c>
      <c r="O1449" s="70">
        <f>IF(Table1[[#This Row],[Overall amount]]=0,0,1)</f>
        <v>1</v>
      </c>
      <c r="P1449" s="70">
        <f>Table1[[#This Row],[Overall amount]]*Exchange_Rate</f>
        <v>891.75308726901676</v>
      </c>
      <c r="Q1449" s="70">
        <f>Table1[[#This Row],[Overall (destination currency)]]*(1+Claims_Inflation)^((Revalue_at_date-Table1[[#This Row],[Loss date]])/365.25)</f>
        <v>1218</v>
      </c>
      <c r="R1449" s="70">
        <f>INT(Table1[[#This Row],[Reporting date]])-INT(Table1[[#This Row],[Loss date]])</f>
        <v>0</v>
      </c>
      <c r="S1449" s="69" t="s">
        <v>9</v>
      </c>
      <c r="T1449" s="70">
        <f>VLOOKUP(Table1[[#This Row],[Policy Year]],exposure_table,3,FALSE)</f>
        <v>760.22808576000011</v>
      </c>
      <c r="U1449" s="17">
        <f>IF(MONTH(Table1[[#This Row],[Reporting date]])&lt;Policy_Inception_Month,YEAR(Table1[[#This Row],[Reporting date]])-1,YEAR(Table1[[#This Row],[Reporting date]]))</f>
        <v>2009</v>
      </c>
      <c r="V1449" s="17">
        <f>Table1[[#This Row],[Reporting year]]-Table1[[#This Row],[Policy Year]]</f>
        <v>0</v>
      </c>
      <c r="W1449" s="17">
        <f>INT(Table1[[#This Row],[Reporting date]])-INT(Table1[[#This Row],[Loss date]])</f>
        <v>0</v>
      </c>
      <c r="X1449" s="17">
        <f>INT((YEAR(Table1[[#This Row],[Loss date]])*12+MONTH(Table1[[#This Row],[Loss date]])-Earliest_Month)/4)</f>
        <v>12</v>
      </c>
      <c r="Y1449" s="17">
        <f>INT((YEAR(Table1[[#This Row],[Reporting date]])*12+MONTH(Table1[[#This Row],[Reporting date]])-Earliest_Month)/4)</f>
        <v>12</v>
      </c>
      <c r="Z1449" s="17">
        <f>Table1[[#This Row],[Reporting third]]-Table1[[#This Row],[Policy third]]</f>
        <v>0</v>
      </c>
      <c r="AA1449" s="71">
        <f>IF(Table1[[#This Row],[Overall amount]]=0,"N/A",Table1[[#This Row],[Outstanding]]/Table1[[#This Row],[Overall amount]])</f>
        <v>0</v>
      </c>
      <c r="AB1449" s="17">
        <f>IF(MONTH(Table1[[#This Row],[Loss date]])&lt;Pol_Inc_Month_Shifted,YEAR(Table1[[#This Row],[Loss date]])-1,YEAR(Table1[[#This Row],[Loss date]]))</f>
        <v>2008</v>
      </c>
      <c r="AC1449" s="17">
        <f>IF(MONTH(Table1[[#This Row],[Reporting date]])&lt;Pol_Inc_Month_Shifted,YEAR(Table1[[#This Row],[Reporting date]])-1,YEAR(Table1[[#This Row],[Reporting date]]))</f>
        <v>2008</v>
      </c>
      <c r="AD1449" s="17">
        <f>Table1[[#This Row],[Reporting year (shifted)]]-Table1[[#This Row],[Policy Year (shifted)]]</f>
        <v>0</v>
      </c>
    </row>
    <row r="1450" spans="1:30" ht="13.9">
      <c r="A1450" s="8" t="s">
        <v>3220</v>
      </c>
      <c r="B1450" s="8" t="s">
        <v>1502</v>
      </c>
      <c r="C1450" s="8" t="s">
        <v>118</v>
      </c>
      <c r="D1450" s="9">
        <v>40000</v>
      </c>
      <c r="E1450" s="9">
        <v>40000</v>
      </c>
      <c r="F1450" s="17">
        <f>IF(MONTH(Table1[[#This Row],[Loss date]])&lt;Policy_Inception_Month,YEAR(Table1[[#This Row],[Loss date]])-1,YEAR(Table1[[#This Row],[Loss date]]))</f>
        <v>2009</v>
      </c>
      <c r="G1450" s="10" t="s">
        <v>124</v>
      </c>
      <c r="H1450" s="10" t="s">
        <v>2</v>
      </c>
      <c r="I1450" s="11">
        <v>667.41914603652242</v>
      </c>
      <c r="J1450" s="11">
        <v>0</v>
      </c>
      <c r="K1450" s="11">
        <v>667.41914603652242</v>
      </c>
      <c r="L1450" s="12">
        <v>0</v>
      </c>
      <c r="M1450" s="12">
        <v>0</v>
      </c>
      <c r="N1450" s="12">
        <v>667.41914603652242</v>
      </c>
      <c r="O1450" s="70">
        <f>IF(Table1[[#This Row],[Overall amount]]=0,0,1)</f>
        <v>1</v>
      </c>
      <c r="P1450" s="70">
        <f>Table1[[#This Row],[Overall amount]]*Exchange_Rate</f>
        <v>667.41914603652242</v>
      </c>
      <c r="Q1450" s="70">
        <f>Table1[[#This Row],[Overall (destination currency)]]*(1+Claims_Inflation)^((Revalue_at_date-Table1[[#This Row],[Loss date]])/365.25)</f>
        <v>904.80000000000007</v>
      </c>
      <c r="R1450" s="70">
        <f>INT(Table1[[#This Row],[Reporting date]])-INT(Table1[[#This Row],[Loss date]])</f>
        <v>0</v>
      </c>
      <c r="S1450" s="69" t="s">
        <v>9</v>
      </c>
      <c r="T1450" s="70">
        <f>VLOOKUP(Table1[[#This Row],[Policy Year]],exposure_table,3,FALSE)</f>
        <v>760.22808576000011</v>
      </c>
      <c r="U1450" s="17">
        <f>IF(MONTH(Table1[[#This Row],[Reporting date]])&lt;Policy_Inception_Month,YEAR(Table1[[#This Row],[Reporting date]])-1,YEAR(Table1[[#This Row],[Reporting date]]))</f>
        <v>2009</v>
      </c>
      <c r="V1450" s="17">
        <f>Table1[[#This Row],[Reporting year]]-Table1[[#This Row],[Policy Year]]</f>
        <v>0</v>
      </c>
      <c r="W1450" s="17">
        <f>INT(Table1[[#This Row],[Reporting date]])-INT(Table1[[#This Row],[Loss date]])</f>
        <v>0</v>
      </c>
      <c r="X1450" s="17">
        <f>INT((YEAR(Table1[[#This Row],[Loss date]])*12+MONTH(Table1[[#This Row],[Loss date]])-Earliest_Month)/4)</f>
        <v>12</v>
      </c>
      <c r="Y1450" s="17">
        <f>INT((YEAR(Table1[[#This Row],[Reporting date]])*12+MONTH(Table1[[#This Row],[Reporting date]])-Earliest_Month)/4)</f>
        <v>12</v>
      </c>
      <c r="Z1450" s="17">
        <f>Table1[[#This Row],[Reporting third]]-Table1[[#This Row],[Policy third]]</f>
        <v>0</v>
      </c>
      <c r="AA1450" s="71">
        <f>IF(Table1[[#This Row],[Overall amount]]=0,"N/A",Table1[[#This Row],[Outstanding]]/Table1[[#This Row],[Overall amount]])</f>
        <v>0</v>
      </c>
      <c r="AB1450" s="17">
        <f>IF(MONTH(Table1[[#This Row],[Loss date]])&lt;Pol_Inc_Month_Shifted,YEAR(Table1[[#This Row],[Loss date]])-1,YEAR(Table1[[#This Row],[Loss date]]))</f>
        <v>2008</v>
      </c>
      <c r="AC1450" s="17">
        <f>IF(MONTH(Table1[[#This Row],[Reporting date]])&lt;Pol_Inc_Month_Shifted,YEAR(Table1[[#This Row],[Reporting date]])-1,YEAR(Table1[[#This Row],[Reporting date]]))</f>
        <v>2008</v>
      </c>
      <c r="AD1450" s="17">
        <f>Table1[[#This Row],[Reporting year (shifted)]]-Table1[[#This Row],[Policy Year (shifted)]]</f>
        <v>0</v>
      </c>
    </row>
    <row r="1451" spans="1:30" ht="13.9">
      <c r="A1451" s="8" t="s">
        <v>3221</v>
      </c>
      <c r="B1451" s="8" t="s">
        <v>1503</v>
      </c>
      <c r="C1451" s="8" t="s">
        <v>118</v>
      </c>
      <c r="D1451" s="9">
        <v>40005</v>
      </c>
      <c r="E1451" s="9">
        <v>40005</v>
      </c>
      <c r="F1451" s="17">
        <f>IF(MONTH(Table1[[#This Row],[Loss date]])&lt;Policy_Inception_Month,YEAR(Table1[[#This Row],[Loss date]])-1,YEAR(Table1[[#This Row],[Loss date]]))</f>
        <v>2009</v>
      </c>
      <c r="G1451" s="10" t="s">
        <v>119</v>
      </c>
      <c r="H1451" s="10" t="s">
        <v>2</v>
      </c>
      <c r="I1451" s="11">
        <v>3690.9731101874445</v>
      </c>
      <c r="J1451" s="11">
        <v>0</v>
      </c>
      <c r="K1451" s="11">
        <v>3690.9731101874445</v>
      </c>
      <c r="L1451" s="12">
        <v>0</v>
      </c>
      <c r="M1451" s="12">
        <v>0</v>
      </c>
      <c r="N1451" s="12">
        <v>3690.9731101874445</v>
      </c>
      <c r="O1451" s="70">
        <f>IF(Table1[[#This Row],[Overall amount]]=0,0,1)</f>
        <v>1</v>
      </c>
      <c r="P1451" s="70">
        <f>Table1[[#This Row],[Overall amount]]*Exchange_Rate</f>
        <v>3690.9731101874445</v>
      </c>
      <c r="Q1451" s="70">
        <f>Table1[[#This Row],[Overall (destination currency)]]*(1+Claims_Inflation)^((Revalue_at_date-Table1[[#This Row],[Loss date]])/365.25)</f>
        <v>5000.3999999999996</v>
      </c>
      <c r="R1451" s="70">
        <f>INT(Table1[[#This Row],[Reporting date]])-INT(Table1[[#This Row],[Loss date]])</f>
        <v>0</v>
      </c>
      <c r="S1451" s="69" t="s">
        <v>9</v>
      </c>
      <c r="T1451" s="70">
        <f>VLOOKUP(Table1[[#This Row],[Policy Year]],exposure_table,3,FALSE)</f>
        <v>760.22808576000011</v>
      </c>
      <c r="U1451" s="17">
        <f>IF(MONTH(Table1[[#This Row],[Reporting date]])&lt;Policy_Inception_Month,YEAR(Table1[[#This Row],[Reporting date]])-1,YEAR(Table1[[#This Row],[Reporting date]]))</f>
        <v>2009</v>
      </c>
      <c r="V1451" s="17">
        <f>Table1[[#This Row],[Reporting year]]-Table1[[#This Row],[Policy Year]]</f>
        <v>0</v>
      </c>
      <c r="W1451" s="17">
        <f>INT(Table1[[#This Row],[Reporting date]])-INT(Table1[[#This Row],[Loss date]])</f>
        <v>0</v>
      </c>
      <c r="X1451" s="17">
        <f>INT((YEAR(Table1[[#This Row],[Loss date]])*12+MONTH(Table1[[#This Row],[Loss date]])-Earliest_Month)/4)</f>
        <v>12</v>
      </c>
      <c r="Y1451" s="17">
        <f>INT((YEAR(Table1[[#This Row],[Reporting date]])*12+MONTH(Table1[[#This Row],[Reporting date]])-Earliest_Month)/4)</f>
        <v>12</v>
      </c>
      <c r="Z1451" s="17">
        <f>Table1[[#This Row],[Reporting third]]-Table1[[#This Row],[Policy third]]</f>
        <v>0</v>
      </c>
      <c r="AA1451" s="71">
        <f>IF(Table1[[#This Row],[Overall amount]]=0,"N/A",Table1[[#This Row],[Outstanding]]/Table1[[#This Row],[Overall amount]])</f>
        <v>0</v>
      </c>
      <c r="AB1451" s="17">
        <f>IF(MONTH(Table1[[#This Row],[Loss date]])&lt;Pol_Inc_Month_Shifted,YEAR(Table1[[#This Row],[Loss date]])-1,YEAR(Table1[[#This Row],[Loss date]]))</f>
        <v>2008</v>
      </c>
      <c r="AC1451" s="17">
        <f>IF(MONTH(Table1[[#This Row],[Reporting date]])&lt;Pol_Inc_Month_Shifted,YEAR(Table1[[#This Row],[Reporting date]])-1,YEAR(Table1[[#This Row],[Reporting date]]))</f>
        <v>2008</v>
      </c>
      <c r="AD1451" s="17">
        <f>Table1[[#This Row],[Reporting year (shifted)]]-Table1[[#This Row],[Policy Year (shifted)]]</f>
        <v>0</v>
      </c>
    </row>
    <row r="1452" spans="1:30" ht="13.9">
      <c r="A1452" s="8" t="s">
        <v>3222</v>
      </c>
      <c r="B1452" s="8" t="s">
        <v>1504</v>
      </c>
      <c r="C1452" s="8" t="s">
        <v>118</v>
      </c>
      <c r="D1452" s="9">
        <v>39656</v>
      </c>
      <c r="E1452" s="9">
        <v>39656</v>
      </c>
      <c r="F1452" s="17">
        <f>IF(MONTH(Table1[[#This Row],[Loss date]])&lt;Policy_Inception_Month,YEAR(Table1[[#This Row],[Loss date]])-1,YEAR(Table1[[#This Row],[Loss date]]))</f>
        <v>2008</v>
      </c>
      <c r="G1452" s="10" t="s">
        <v>129</v>
      </c>
      <c r="H1452" s="10" t="s">
        <v>2</v>
      </c>
      <c r="I1452" s="11">
        <v>5819.9919189181746</v>
      </c>
      <c r="J1452" s="11">
        <v>0</v>
      </c>
      <c r="K1452" s="11">
        <v>5819.9919189181746</v>
      </c>
      <c r="L1452" s="12">
        <v>0</v>
      </c>
      <c r="M1452" s="12">
        <v>0</v>
      </c>
      <c r="N1452" s="12">
        <v>5819.9919189181746</v>
      </c>
      <c r="O1452" s="70">
        <f>IF(Table1[[#This Row],[Overall amount]]=0,0,1)</f>
        <v>1</v>
      </c>
      <c r="P1452" s="70">
        <f>Table1[[#This Row],[Overall amount]]*Exchange_Rate</f>
        <v>5819.9919189181746</v>
      </c>
      <c r="Q1452" s="70">
        <f>Table1[[#This Row],[Overall (destination currency)]]*(1+Claims_Inflation)^((Revalue_at_date-Table1[[#This Row],[Loss date]])/365.25)</f>
        <v>8261.003999999999</v>
      </c>
      <c r="R1452" s="70">
        <f>INT(Table1[[#This Row],[Reporting date]])-INT(Table1[[#This Row],[Loss date]])</f>
        <v>0</v>
      </c>
      <c r="S1452" s="69" t="s">
        <v>9</v>
      </c>
      <c r="T1452" s="70">
        <f>VLOOKUP(Table1[[#This Row],[Policy Year]],exposure_table,3,FALSE)</f>
        <v>601.98581780480015</v>
      </c>
      <c r="U1452" s="17">
        <f>IF(MONTH(Table1[[#This Row],[Reporting date]])&lt;Policy_Inception_Month,YEAR(Table1[[#This Row],[Reporting date]])-1,YEAR(Table1[[#This Row],[Reporting date]]))</f>
        <v>2008</v>
      </c>
      <c r="V1452" s="17">
        <f>Table1[[#This Row],[Reporting year]]-Table1[[#This Row],[Policy Year]]</f>
        <v>0</v>
      </c>
      <c r="W1452" s="17">
        <f>INT(Table1[[#This Row],[Reporting date]])-INT(Table1[[#This Row],[Loss date]])</f>
        <v>0</v>
      </c>
      <c r="X1452" s="17">
        <f>INT((YEAR(Table1[[#This Row],[Loss date]])*12+MONTH(Table1[[#This Row],[Loss date]])-Earliest_Month)/4)</f>
        <v>9</v>
      </c>
      <c r="Y1452" s="17">
        <f>INT((YEAR(Table1[[#This Row],[Reporting date]])*12+MONTH(Table1[[#This Row],[Reporting date]])-Earliest_Month)/4)</f>
        <v>9</v>
      </c>
      <c r="Z1452" s="17">
        <f>Table1[[#This Row],[Reporting third]]-Table1[[#This Row],[Policy third]]</f>
        <v>0</v>
      </c>
      <c r="AA1452" s="71">
        <f>IF(Table1[[#This Row],[Overall amount]]=0,"N/A",Table1[[#This Row],[Outstanding]]/Table1[[#This Row],[Overall amount]])</f>
        <v>0</v>
      </c>
      <c r="AB1452" s="17">
        <f>IF(MONTH(Table1[[#This Row],[Loss date]])&lt;Pol_Inc_Month_Shifted,YEAR(Table1[[#This Row],[Loss date]])-1,YEAR(Table1[[#This Row],[Loss date]]))</f>
        <v>2007</v>
      </c>
      <c r="AC1452" s="17">
        <f>IF(MONTH(Table1[[#This Row],[Reporting date]])&lt;Pol_Inc_Month_Shifted,YEAR(Table1[[#This Row],[Reporting date]])-1,YEAR(Table1[[#This Row],[Reporting date]]))</f>
        <v>2007</v>
      </c>
      <c r="AD1452" s="17">
        <f>Table1[[#This Row],[Reporting year (shifted)]]-Table1[[#This Row],[Policy Year (shifted)]]</f>
        <v>0</v>
      </c>
    </row>
    <row r="1453" spans="1:30" ht="13.9">
      <c r="A1453" s="8" t="s">
        <v>3223</v>
      </c>
      <c r="B1453" s="8" t="s">
        <v>1505</v>
      </c>
      <c r="C1453" s="8" t="s">
        <v>118</v>
      </c>
      <c r="D1453" s="9">
        <v>39248</v>
      </c>
      <c r="E1453" s="9">
        <v>39248</v>
      </c>
      <c r="F1453" s="17">
        <f>IF(MONTH(Table1[[#This Row],[Loss date]])&lt;Policy_Inception_Month,YEAR(Table1[[#This Row],[Loss date]])-1,YEAR(Table1[[#This Row],[Loss date]]))</f>
        <v>2007</v>
      </c>
      <c r="G1453" s="10" t="s">
        <v>129</v>
      </c>
      <c r="H1453" s="10" t="s">
        <v>2</v>
      </c>
      <c r="I1453" s="11">
        <v>3921.4752162544642</v>
      </c>
      <c r="J1453" s="11">
        <v>0</v>
      </c>
      <c r="K1453" s="11">
        <v>3921.4752162544642</v>
      </c>
      <c r="L1453" s="12">
        <v>0</v>
      </c>
      <c r="M1453" s="12">
        <v>82.350979541343733</v>
      </c>
      <c r="N1453" s="12">
        <v>3839.1242367131204</v>
      </c>
      <c r="O1453" s="70">
        <f>IF(Table1[[#This Row],[Overall amount]]=0,0,1)</f>
        <v>1</v>
      </c>
      <c r="P1453" s="70">
        <f>Table1[[#This Row],[Overall amount]]*Exchange_Rate</f>
        <v>3839.1242367131204</v>
      </c>
      <c r="Q1453" s="70">
        <f>Table1[[#This Row],[Overall (destination currency)]]*(1+Claims_Inflation)^((Revalue_at_date-Table1[[#This Row],[Loss date]])/365.25)</f>
        <v>5754.5580840000002</v>
      </c>
      <c r="R1453" s="70">
        <f>INT(Table1[[#This Row],[Reporting date]])-INT(Table1[[#This Row],[Loss date]])</f>
        <v>0</v>
      </c>
      <c r="S1453" s="69" t="s">
        <v>9</v>
      </c>
      <c r="T1453" s="70">
        <f>VLOOKUP(Table1[[#This Row],[Policy Year]],exposure_table,3,FALSE)</f>
        <v>547.7736362475523</v>
      </c>
      <c r="U1453" s="17">
        <f>IF(MONTH(Table1[[#This Row],[Reporting date]])&lt;Policy_Inception_Month,YEAR(Table1[[#This Row],[Reporting date]])-1,YEAR(Table1[[#This Row],[Reporting date]]))</f>
        <v>2007</v>
      </c>
      <c r="V1453" s="17">
        <f>Table1[[#This Row],[Reporting year]]-Table1[[#This Row],[Policy Year]]</f>
        <v>0</v>
      </c>
      <c r="W1453" s="17">
        <f>INT(Table1[[#This Row],[Reporting date]])-INT(Table1[[#This Row],[Loss date]])</f>
        <v>0</v>
      </c>
      <c r="X1453" s="17">
        <f>INT((YEAR(Table1[[#This Row],[Loss date]])*12+MONTH(Table1[[#This Row],[Loss date]])-Earliest_Month)/4)</f>
        <v>6</v>
      </c>
      <c r="Y1453" s="17">
        <f>INT((YEAR(Table1[[#This Row],[Reporting date]])*12+MONTH(Table1[[#This Row],[Reporting date]])-Earliest_Month)/4)</f>
        <v>6</v>
      </c>
      <c r="Z1453" s="17">
        <f>Table1[[#This Row],[Reporting third]]-Table1[[#This Row],[Policy third]]</f>
        <v>0</v>
      </c>
      <c r="AA1453" s="71">
        <f>IF(Table1[[#This Row],[Overall amount]]=0,"N/A",Table1[[#This Row],[Outstanding]]/Table1[[#This Row],[Overall amount]])</f>
        <v>0</v>
      </c>
      <c r="AB1453" s="17">
        <f>IF(MONTH(Table1[[#This Row],[Loss date]])&lt;Pol_Inc_Month_Shifted,YEAR(Table1[[#This Row],[Loss date]])-1,YEAR(Table1[[#This Row],[Loss date]]))</f>
        <v>2006</v>
      </c>
      <c r="AC1453" s="17">
        <f>IF(MONTH(Table1[[#This Row],[Reporting date]])&lt;Pol_Inc_Month_Shifted,YEAR(Table1[[#This Row],[Reporting date]])-1,YEAR(Table1[[#This Row],[Reporting date]]))</f>
        <v>2006</v>
      </c>
      <c r="AD1453" s="17">
        <f>Table1[[#This Row],[Reporting year (shifted)]]-Table1[[#This Row],[Policy Year (shifted)]]</f>
        <v>0</v>
      </c>
    </row>
    <row r="1454" spans="1:30" ht="13.9">
      <c r="A1454" s="8" t="s">
        <v>3224</v>
      </c>
      <c r="B1454" s="8" t="s">
        <v>1506</v>
      </c>
      <c r="C1454" s="8" t="s">
        <v>118</v>
      </c>
      <c r="D1454" s="9">
        <v>39209</v>
      </c>
      <c r="E1454" s="9">
        <v>39220</v>
      </c>
      <c r="F1454" s="17">
        <f>IF(MONTH(Table1[[#This Row],[Loss date]])&lt;Policy_Inception_Month,YEAR(Table1[[#This Row],[Loss date]])-1,YEAR(Table1[[#This Row],[Loss date]]))</f>
        <v>2007</v>
      </c>
      <c r="G1454" s="10" t="s">
        <v>129</v>
      </c>
      <c r="H1454" s="10" t="s">
        <v>2</v>
      </c>
      <c r="I1454" s="11">
        <v>7398.6866773531756</v>
      </c>
      <c r="J1454" s="11">
        <v>0</v>
      </c>
      <c r="K1454" s="11">
        <v>7398.6866773531756</v>
      </c>
      <c r="L1454" s="12">
        <v>0</v>
      </c>
      <c r="M1454" s="12">
        <v>0</v>
      </c>
      <c r="N1454" s="12">
        <v>7398.6866773531756</v>
      </c>
      <c r="O1454" s="70">
        <f>IF(Table1[[#This Row],[Overall amount]]=0,0,1)</f>
        <v>1</v>
      </c>
      <c r="P1454" s="70">
        <f>Table1[[#This Row],[Overall amount]]*Exchange_Rate</f>
        <v>7398.6866773531756</v>
      </c>
      <c r="Q1454" s="70">
        <f>Table1[[#This Row],[Overall (destination currency)]]*(1+Claims_Inflation)^((Revalue_at_date-Table1[[#This Row],[Loss date]])/365.25)</f>
        <v>11148</v>
      </c>
      <c r="R1454" s="70">
        <f>INT(Table1[[#This Row],[Reporting date]])-INT(Table1[[#This Row],[Loss date]])</f>
        <v>11</v>
      </c>
      <c r="S1454" s="69" t="s">
        <v>9</v>
      </c>
      <c r="T1454" s="70">
        <f>VLOOKUP(Table1[[#This Row],[Policy Year]],exposure_table,3,FALSE)</f>
        <v>547.7736362475523</v>
      </c>
      <c r="U1454" s="17">
        <f>IF(MONTH(Table1[[#This Row],[Reporting date]])&lt;Policy_Inception_Month,YEAR(Table1[[#This Row],[Reporting date]])-1,YEAR(Table1[[#This Row],[Reporting date]]))</f>
        <v>2007</v>
      </c>
      <c r="V1454" s="17">
        <f>Table1[[#This Row],[Reporting year]]-Table1[[#This Row],[Policy Year]]</f>
        <v>0</v>
      </c>
      <c r="W1454" s="17">
        <f>INT(Table1[[#This Row],[Reporting date]])-INT(Table1[[#This Row],[Loss date]])</f>
        <v>11</v>
      </c>
      <c r="X1454" s="17">
        <f>INT((YEAR(Table1[[#This Row],[Loss date]])*12+MONTH(Table1[[#This Row],[Loss date]])-Earliest_Month)/4)</f>
        <v>6</v>
      </c>
      <c r="Y1454" s="17">
        <f>INT((YEAR(Table1[[#This Row],[Reporting date]])*12+MONTH(Table1[[#This Row],[Reporting date]])-Earliest_Month)/4)</f>
        <v>6</v>
      </c>
      <c r="Z1454" s="17">
        <f>Table1[[#This Row],[Reporting third]]-Table1[[#This Row],[Policy third]]</f>
        <v>0</v>
      </c>
      <c r="AA1454" s="71">
        <f>IF(Table1[[#This Row],[Overall amount]]=0,"N/A",Table1[[#This Row],[Outstanding]]/Table1[[#This Row],[Overall amount]])</f>
        <v>0</v>
      </c>
      <c r="AB1454" s="17">
        <f>IF(MONTH(Table1[[#This Row],[Loss date]])&lt;Pol_Inc_Month_Shifted,YEAR(Table1[[#This Row],[Loss date]])-1,YEAR(Table1[[#This Row],[Loss date]]))</f>
        <v>2006</v>
      </c>
      <c r="AC1454" s="17">
        <f>IF(MONTH(Table1[[#This Row],[Reporting date]])&lt;Pol_Inc_Month_Shifted,YEAR(Table1[[#This Row],[Reporting date]])-1,YEAR(Table1[[#This Row],[Reporting date]]))</f>
        <v>2006</v>
      </c>
      <c r="AD1454" s="17">
        <f>Table1[[#This Row],[Reporting year (shifted)]]-Table1[[#This Row],[Policy Year (shifted)]]</f>
        <v>0</v>
      </c>
    </row>
    <row r="1455" spans="1:30" ht="13.9">
      <c r="A1455" s="8" t="s">
        <v>3225</v>
      </c>
      <c r="B1455" s="8" t="s">
        <v>1507</v>
      </c>
      <c r="C1455" s="8" t="s">
        <v>118</v>
      </c>
      <c r="D1455" s="9">
        <v>39203</v>
      </c>
      <c r="E1455" s="9">
        <v>39220</v>
      </c>
      <c r="F1455" s="17">
        <f>IF(MONTH(Table1[[#This Row],[Loss date]])&lt;Policy_Inception_Month,YEAR(Table1[[#This Row],[Loss date]])-1,YEAR(Table1[[#This Row],[Loss date]]))</f>
        <v>2007</v>
      </c>
      <c r="G1455" s="10" t="s">
        <v>129</v>
      </c>
      <c r="H1455" s="10" t="s">
        <v>2</v>
      </c>
      <c r="I1455" s="11">
        <v>4058.0677275442599</v>
      </c>
      <c r="J1455" s="11">
        <v>0</v>
      </c>
      <c r="K1455" s="11">
        <v>4058.0677275442599</v>
      </c>
      <c r="L1455" s="12">
        <v>0</v>
      </c>
      <c r="M1455" s="12">
        <v>0</v>
      </c>
      <c r="N1455" s="12">
        <v>4058.0677275442599</v>
      </c>
      <c r="O1455" s="70">
        <f>IF(Table1[[#This Row],[Overall amount]]=0,0,1)</f>
        <v>1</v>
      </c>
      <c r="P1455" s="70">
        <f>Table1[[#This Row],[Overall amount]]*Exchange_Rate</f>
        <v>4058.0677275442599</v>
      </c>
      <c r="Q1455" s="70">
        <f>Table1[[#This Row],[Overall (destination currency)]]*(1+Claims_Inflation)^((Revalue_at_date-Table1[[#This Row],[Loss date]])/365.25)</f>
        <v>6119.4120000000003</v>
      </c>
      <c r="R1455" s="70">
        <f>INT(Table1[[#This Row],[Reporting date]])-INT(Table1[[#This Row],[Loss date]])</f>
        <v>17</v>
      </c>
      <c r="S1455" s="69" t="s">
        <v>9</v>
      </c>
      <c r="T1455" s="70">
        <f>VLOOKUP(Table1[[#This Row],[Policy Year]],exposure_table,3,FALSE)</f>
        <v>547.7736362475523</v>
      </c>
      <c r="U1455" s="17">
        <f>IF(MONTH(Table1[[#This Row],[Reporting date]])&lt;Policy_Inception_Month,YEAR(Table1[[#This Row],[Reporting date]])-1,YEAR(Table1[[#This Row],[Reporting date]]))</f>
        <v>2007</v>
      </c>
      <c r="V1455" s="17">
        <f>Table1[[#This Row],[Reporting year]]-Table1[[#This Row],[Policy Year]]</f>
        <v>0</v>
      </c>
      <c r="W1455" s="17">
        <f>INT(Table1[[#This Row],[Reporting date]])-INT(Table1[[#This Row],[Loss date]])</f>
        <v>17</v>
      </c>
      <c r="X1455" s="17">
        <f>INT((YEAR(Table1[[#This Row],[Loss date]])*12+MONTH(Table1[[#This Row],[Loss date]])-Earliest_Month)/4)</f>
        <v>6</v>
      </c>
      <c r="Y1455" s="17">
        <f>INT((YEAR(Table1[[#This Row],[Reporting date]])*12+MONTH(Table1[[#This Row],[Reporting date]])-Earliest_Month)/4)</f>
        <v>6</v>
      </c>
      <c r="Z1455" s="17">
        <f>Table1[[#This Row],[Reporting third]]-Table1[[#This Row],[Policy third]]</f>
        <v>0</v>
      </c>
      <c r="AA1455" s="71">
        <f>IF(Table1[[#This Row],[Overall amount]]=0,"N/A",Table1[[#This Row],[Outstanding]]/Table1[[#This Row],[Overall amount]])</f>
        <v>0</v>
      </c>
      <c r="AB1455" s="17">
        <f>IF(MONTH(Table1[[#This Row],[Loss date]])&lt;Pol_Inc_Month_Shifted,YEAR(Table1[[#This Row],[Loss date]])-1,YEAR(Table1[[#This Row],[Loss date]]))</f>
        <v>2006</v>
      </c>
      <c r="AC1455" s="17">
        <f>IF(MONTH(Table1[[#This Row],[Reporting date]])&lt;Pol_Inc_Month_Shifted,YEAR(Table1[[#This Row],[Reporting date]])-1,YEAR(Table1[[#This Row],[Reporting date]]))</f>
        <v>2006</v>
      </c>
      <c r="AD1455" s="17">
        <f>Table1[[#This Row],[Reporting year (shifted)]]-Table1[[#This Row],[Policy Year (shifted)]]</f>
        <v>0</v>
      </c>
    </row>
    <row r="1456" spans="1:30" ht="13.9">
      <c r="A1456" s="8" t="s">
        <v>3226</v>
      </c>
      <c r="B1456" s="8" t="s">
        <v>1508</v>
      </c>
      <c r="C1456" s="8" t="s">
        <v>118</v>
      </c>
      <c r="D1456" s="9">
        <v>40030</v>
      </c>
      <c r="E1456" s="9">
        <v>40030</v>
      </c>
      <c r="F1456" s="17">
        <f>IF(MONTH(Table1[[#This Row],[Loss date]])&lt;Policy_Inception_Month,YEAR(Table1[[#This Row],[Loss date]])-1,YEAR(Table1[[#This Row],[Loss date]]))</f>
        <v>2009</v>
      </c>
      <c r="G1456" s="10" t="s">
        <v>128</v>
      </c>
      <c r="H1456" s="10" t="s">
        <v>2</v>
      </c>
      <c r="I1456" s="11">
        <v>23919.161841489196</v>
      </c>
      <c r="J1456" s="11">
        <v>0</v>
      </c>
      <c r="K1456" s="11">
        <v>23919.161841489196</v>
      </c>
      <c r="L1456" s="12">
        <v>0</v>
      </c>
      <c r="M1456" s="12">
        <v>0</v>
      </c>
      <c r="N1456" s="12">
        <v>23919.161841489196</v>
      </c>
      <c r="O1456" s="70">
        <f>IF(Table1[[#This Row],[Overall amount]]=0,0,1)</f>
        <v>1</v>
      </c>
      <c r="P1456" s="70">
        <f>Table1[[#This Row],[Overall amount]]*Exchange_Rate</f>
        <v>23919.161841489196</v>
      </c>
      <c r="Q1456" s="70">
        <f>Table1[[#This Row],[Overall (destination currency)]]*(1+Claims_Inflation)^((Revalue_at_date-Table1[[#This Row],[Loss date]])/365.25)</f>
        <v>32296.799999999999</v>
      </c>
      <c r="R1456" s="70">
        <f>INT(Table1[[#This Row],[Reporting date]])-INT(Table1[[#This Row],[Loss date]])</f>
        <v>0</v>
      </c>
      <c r="S1456" s="69" t="s">
        <v>9</v>
      </c>
      <c r="T1456" s="70">
        <f>VLOOKUP(Table1[[#This Row],[Policy Year]],exposure_table,3,FALSE)</f>
        <v>760.22808576000011</v>
      </c>
      <c r="U1456" s="17">
        <f>IF(MONTH(Table1[[#This Row],[Reporting date]])&lt;Policy_Inception_Month,YEAR(Table1[[#This Row],[Reporting date]])-1,YEAR(Table1[[#This Row],[Reporting date]]))</f>
        <v>2009</v>
      </c>
      <c r="V1456" s="17">
        <f>Table1[[#This Row],[Reporting year]]-Table1[[#This Row],[Policy Year]]</f>
        <v>0</v>
      </c>
      <c r="W1456" s="17">
        <f>INT(Table1[[#This Row],[Reporting date]])-INT(Table1[[#This Row],[Loss date]])</f>
        <v>0</v>
      </c>
      <c r="X1456" s="17">
        <f>INT((YEAR(Table1[[#This Row],[Loss date]])*12+MONTH(Table1[[#This Row],[Loss date]])-Earliest_Month)/4)</f>
        <v>13</v>
      </c>
      <c r="Y1456" s="17">
        <f>INT((YEAR(Table1[[#This Row],[Reporting date]])*12+MONTH(Table1[[#This Row],[Reporting date]])-Earliest_Month)/4)</f>
        <v>13</v>
      </c>
      <c r="Z1456" s="17">
        <f>Table1[[#This Row],[Reporting third]]-Table1[[#This Row],[Policy third]]</f>
        <v>0</v>
      </c>
      <c r="AA1456" s="71">
        <f>IF(Table1[[#This Row],[Overall amount]]=0,"N/A",Table1[[#This Row],[Outstanding]]/Table1[[#This Row],[Overall amount]])</f>
        <v>0</v>
      </c>
      <c r="AB1456" s="17">
        <f>IF(MONTH(Table1[[#This Row],[Loss date]])&lt;Pol_Inc_Month_Shifted,YEAR(Table1[[#This Row],[Loss date]])-1,YEAR(Table1[[#This Row],[Loss date]]))</f>
        <v>2008</v>
      </c>
      <c r="AC1456" s="17">
        <f>IF(MONTH(Table1[[#This Row],[Reporting date]])&lt;Pol_Inc_Month_Shifted,YEAR(Table1[[#This Row],[Reporting date]])-1,YEAR(Table1[[#This Row],[Reporting date]]))</f>
        <v>2008</v>
      </c>
      <c r="AD1456" s="17">
        <f>Table1[[#This Row],[Reporting year (shifted)]]-Table1[[#This Row],[Policy Year (shifted)]]</f>
        <v>0</v>
      </c>
    </row>
    <row r="1457" spans="1:30" ht="13.9">
      <c r="A1457" s="8" t="s">
        <v>3227</v>
      </c>
      <c r="B1457" s="8" t="s">
        <v>1509</v>
      </c>
      <c r="C1457" s="8" t="s">
        <v>118</v>
      </c>
      <c r="D1457" s="9">
        <v>40040</v>
      </c>
      <c r="E1457" s="9">
        <v>40040</v>
      </c>
      <c r="F1457" s="17">
        <f>IF(MONTH(Table1[[#This Row],[Loss date]])&lt;Policy_Inception_Month,YEAR(Table1[[#This Row],[Loss date]])-1,YEAR(Table1[[#This Row],[Loss date]]))</f>
        <v>2009</v>
      </c>
      <c r="G1457" s="10" t="s">
        <v>119</v>
      </c>
      <c r="H1457" s="10" t="s">
        <v>2</v>
      </c>
      <c r="I1457" s="11">
        <v>2790.2617781762669</v>
      </c>
      <c r="J1457" s="11">
        <v>0</v>
      </c>
      <c r="K1457" s="11">
        <v>2790.2617781762669</v>
      </c>
      <c r="L1457" s="12">
        <v>0</v>
      </c>
      <c r="M1457" s="12">
        <v>0</v>
      </c>
      <c r="N1457" s="12">
        <v>2790.2617781762669</v>
      </c>
      <c r="O1457" s="70">
        <f>IF(Table1[[#This Row],[Overall amount]]=0,0,1)</f>
        <v>1</v>
      </c>
      <c r="P1457" s="70">
        <f>Table1[[#This Row],[Overall amount]]*Exchange_Rate</f>
        <v>2790.2617781762669</v>
      </c>
      <c r="Q1457" s="70">
        <f>Table1[[#This Row],[Overall (destination currency)]]*(1+Claims_Inflation)^((Revalue_at_date-Table1[[#This Row],[Loss date]])/365.25)</f>
        <v>3762.5159999999996</v>
      </c>
      <c r="R1457" s="70">
        <f>INT(Table1[[#This Row],[Reporting date]])-INT(Table1[[#This Row],[Loss date]])</f>
        <v>0</v>
      </c>
      <c r="S1457" s="69" t="s">
        <v>9</v>
      </c>
      <c r="T1457" s="70">
        <f>VLOOKUP(Table1[[#This Row],[Policy Year]],exposure_table,3,FALSE)</f>
        <v>760.22808576000011</v>
      </c>
      <c r="U1457" s="17">
        <f>IF(MONTH(Table1[[#This Row],[Reporting date]])&lt;Policy_Inception_Month,YEAR(Table1[[#This Row],[Reporting date]])-1,YEAR(Table1[[#This Row],[Reporting date]]))</f>
        <v>2009</v>
      </c>
      <c r="V1457" s="17">
        <f>Table1[[#This Row],[Reporting year]]-Table1[[#This Row],[Policy Year]]</f>
        <v>0</v>
      </c>
      <c r="W1457" s="17">
        <f>INT(Table1[[#This Row],[Reporting date]])-INT(Table1[[#This Row],[Loss date]])</f>
        <v>0</v>
      </c>
      <c r="X1457" s="17">
        <f>INT((YEAR(Table1[[#This Row],[Loss date]])*12+MONTH(Table1[[#This Row],[Loss date]])-Earliest_Month)/4)</f>
        <v>13</v>
      </c>
      <c r="Y1457" s="17">
        <f>INT((YEAR(Table1[[#This Row],[Reporting date]])*12+MONTH(Table1[[#This Row],[Reporting date]])-Earliest_Month)/4)</f>
        <v>13</v>
      </c>
      <c r="Z1457" s="17">
        <f>Table1[[#This Row],[Reporting third]]-Table1[[#This Row],[Policy third]]</f>
        <v>0</v>
      </c>
      <c r="AA1457" s="71">
        <f>IF(Table1[[#This Row],[Overall amount]]=0,"N/A",Table1[[#This Row],[Outstanding]]/Table1[[#This Row],[Overall amount]])</f>
        <v>0</v>
      </c>
      <c r="AB1457" s="17">
        <f>IF(MONTH(Table1[[#This Row],[Loss date]])&lt;Pol_Inc_Month_Shifted,YEAR(Table1[[#This Row],[Loss date]])-1,YEAR(Table1[[#This Row],[Loss date]]))</f>
        <v>2008</v>
      </c>
      <c r="AC1457" s="17">
        <f>IF(MONTH(Table1[[#This Row],[Reporting date]])&lt;Pol_Inc_Month_Shifted,YEAR(Table1[[#This Row],[Reporting date]])-1,YEAR(Table1[[#This Row],[Reporting date]]))</f>
        <v>2008</v>
      </c>
      <c r="AD1457" s="17">
        <f>Table1[[#This Row],[Reporting year (shifted)]]-Table1[[#This Row],[Policy Year (shifted)]]</f>
        <v>0</v>
      </c>
    </row>
    <row r="1458" spans="1:30" ht="13.9">
      <c r="A1458" s="8" t="s">
        <v>3228</v>
      </c>
      <c r="B1458" s="8" t="s">
        <v>1510</v>
      </c>
      <c r="C1458" s="8" t="s">
        <v>118</v>
      </c>
      <c r="D1458" s="9">
        <v>39926</v>
      </c>
      <c r="E1458" s="9">
        <v>40060</v>
      </c>
      <c r="F1458" s="17">
        <f>IF(MONTH(Table1[[#This Row],[Loss date]])&lt;Policy_Inception_Month,YEAR(Table1[[#This Row],[Loss date]])-1,YEAR(Table1[[#This Row],[Loss date]]))</f>
        <v>2009</v>
      </c>
      <c r="G1458" s="10" t="s">
        <v>129</v>
      </c>
      <c r="H1458" s="10" t="s">
        <v>2</v>
      </c>
      <c r="I1458" s="11">
        <v>4757.8876753734357</v>
      </c>
      <c r="J1458" s="11">
        <v>0</v>
      </c>
      <c r="K1458" s="11">
        <v>4757.8876753734357</v>
      </c>
      <c r="L1458" s="12">
        <v>0</v>
      </c>
      <c r="M1458" s="12">
        <v>0</v>
      </c>
      <c r="N1458" s="12">
        <v>4757.8876753734357</v>
      </c>
      <c r="O1458" s="70">
        <f>IF(Table1[[#This Row],[Overall amount]]=0,0,1)</f>
        <v>1</v>
      </c>
      <c r="P1458" s="70">
        <f>Table1[[#This Row],[Overall amount]]*Exchange_Rate</f>
        <v>4757.8876753734357</v>
      </c>
      <c r="Q1458" s="70">
        <f>Table1[[#This Row],[Overall (destination currency)]]*(1+Claims_Inflation)^((Revalue_at_date-Table1[[#This Row],[Loss date]])/365.25)</f>
        <v>6514.2</v>
      </c>
      <c r="R1458" s="70">
        <f>INT(Table1[[#This Row],[Reporting date]])-INT(Table1[[#This Row],[Loss date]])</f>
        <v>134</v>
      </c>
      <c r="S1458" s="69" t="s">
        <v>9</v>
      </c>
      <c r="T1458" s="70">
        <f>VLOOKUP(Table1[[#This Row],[Policy Year]],exposure_table,3,FALSE)</f>
        <v>760.22808576000011</v>
      </c>
      <c r="U1458" s="17">
        <f>IF(MONTH(Table1[[#This Row],[Reporting date]])&lt;Policy_Inception_Month,YEAR(Table1[[#This Row],[Reporting date]])-1,YEAR(Table1[[#This Row],[Reporting date]]))</f>
        <v>2009</v>
      </c>
      <c r="V1458" s="17">
        <f>Table1[[#This Row],[Reporting year]]-Table1[[#This Row],[Policy Year]]</f>
        <v>0</v>
      </c>
      <c r="W1458" s="17">
        <f>INT(Table1[[#This Row],[Reporting date]])-INT(Table1[[#This Row],[Loss date]])</f>
        <v>134</v>
      </c>
      <c r="X1458" s="17">
        <f>INT((YEAR(Table1[[#This Row],[Loss date]])*12+MONTH(Table1[[#This Row],[Loss date]])-Earliest_Month)/4)</f>
        <v>12</v>
      </c>
      <c r="Y1458" s="17">
        <f>INT((YEAR(Table1[[#This Row],[Reporting date]])*12+MONTH(Table1[[#This Row],[Reporting date]])-Earliest_Month)/4)</f>
        <v>13</v>
      </c>
      <c r="Z1458" s="17">
        <f>Table1[[#This Row],[Reporting third]]-Table1[[#This Row],[Policy third]]</f>
        <v>1</v>
      </c>
      <c r="AA1458" s="71">
        <f>IF(Table1[[#This Row],[Overall amount]]=0,"N/A",Table1[[#This Row],[Outstanding]]/Table1[[#This Row],[Overall amount]])</f>
        <v>0</v>
      </c>
      <c r="AB1458" s="17">
        <f>IF(MONTH(Table1[[#This Row],[Loss date]])&lt;Pol_Inc_Month_Shifted,YEAR(Table1[[#This Row],[Loss date]])-1,YEAR(Table1[[#This Row],[Loss date]]))</f>
        <v>2008</v>
      </c>
      <c r="AC1458" s="17">
        <f>IF(MONTH(Table1[[#This Row],[Reporting date]])&lt;Pol_Inc_Month_Shifted,YEAR(Table1[[#This Row],[Reporting date]])-1,YEAR(Table1[[#This Row],[Reporting date]]))</f>
        <v>2008</v>
      </c>
      <c r="AD1458" s="17">
        <f>Table1[[#This Row],[Reporting year (shifted)]]-Table1[[#This Row],[Policy Year (shifted)]]</f>
        <v>0</v>
      </c>
    </row>
    <row r="1459" spans="1:30" ht="13.9">
      <c r="A1459" s="8" t="s">
        <v>3229</v>
      </c>
      <c r="B1459" s="8" t="s">
        <v>1511</v>
      </c>
      <c r="C1459" s="8" t="s">
        <v>118</v>
      </c>
      <c r="D1459" s="9">
        <v>39964</v>
      </c>
      <c r="E1459" s="9">
        <v>40060</v>
      </c>
      <c r="F1459" s="17">
        <f>IF(MONTH(Table1[[#This Row],[Loss date]])&lt;Policy_Inception_Month,YEAR(Table1[[#This Row],[Loss date]])-1,YEAR(Table1[[#This Row],[Loss date]]))</f>
        <v>2009</v>
      </c>
      <c r="G1459" s="10" t="s">
        <v>129</v>
      </c>
      <c r="H1459" s="10" t="s">
        <v>2</v>
      </c>
      <c r="I1459" s="11">
        <v>4960.9280747803177</v>
      </c>
      <c r="J1459" s="11">
        <v>0</v>
      </c>
      <c r="K1459" s="11">
        <v>4960.9280747803177</v>
      </c>
      <c r="L1459" s="12">
        <v>0</v>
      </c>
      <c r="M1459" s="12">
        <v>0</v>
      </c>
      <c r="N1459" s="12">
        <v>4960.9280747803177</v>
      </c>
      <c r="O1459" s="70">
        <f>IF(Table1[[#This Row],[Overall amount]]=0,0,1)</f>
        <v>1</v>
      </c>
      <c r="P1459" s="70">
        <f>Table1[[#This Row],[Overall amount]]*Exchange_Rate</f>
        <v>4960.9280747803177</v>
      </c>
      <c r="Q1459" s="70">
        <f>Table1[[#This Row],[Overall (destination currency)]]*(1+Claims_Inflation)^((Revalue_at_date-Table1[[#This Row],[Loss date]])/365.25)</f>
        <v>6757.8</v>
      </c>
      <c r="R1459" s="70">
        <f>INT(Table1[[#This Row],[Reporting date]])-INT(Table1[[#This Row],[Loss date]])</f>
        <v>96</v>
      </c>
      <c r="S1459" s="69" t="s">
        <v>9</v>
      </c>
      <c r="T1459" s="70">
        <f>VLOOKUP(Table1[[#This Row],[Policy Year]],exposure_table,3,FALSE)</f>
        <v>760.22808576000011</v>
      </c>
      <c r="U1459" s="17">
        <f>IF(MONTH(Table1[[#This Row],[Reporting date]])&lt;Policy_Inception_Month,YEAR(Table1[[#This Row],[Reporting date]])-1,YEAR(Table1[[#This Row],[Reporting date]]))</f>
        <v>2009</v>
      </c>
      <c r="V1459" s="17">
        <f>Table1[[#This Row],[Reporting year]]-Table1[[#This Row],[Policy Year]]</f>
        <v>0</v>
      </c>
      <c r="W1459" s="17">
        <f>INT(Table1[[#This Row],[Reporting date]])-INT(Table1[[#This Row],[Loss date]])</f>
        <v>96</v>
      </c>
      <c r="X1459" s="17">
        <f>INT((YEAR(Table1[[#This Row],[Loss date]])*12+MONTH(Table1[[#This Row],[Loss date]])-Earliest_Month)/4)</f>
        <v>12</v>
      </c>
      <c r="Y1459" s="17">
        <f>INT((YEAR(Table1[[#This Row],[Reporting date]])*12+MONTH(Table1[[#This Row],[Reporting date]])-Earliest_Month)/4)</f>
        <v>13</v>
      </c>
      <c r="Z1459" s="17">
        <f>Table1[[#This Row],[Reporting third]]-Table1[[#This Row],[Policy third]]</f>
        <v>1</v>
      </c>
      <c r="AA1459" s="71">
        <f>IF(Table1[[#This Row],[Overall amount]]=0,"N/A",Table1[[#This Row],[Outstanding]]/Table1[[#This Row],[Overall amount]])</f>
        <v>0</v>
      </c>
      <c r="AB1459" s="17">
        <f>IF(MONTH(Table1[[#This Row],[Loss date]])&lt;Pol_Inc_Month_Shifted,YEAR(Table1[[#This Row],[Loss date]])-1,YEAR(Table1[[#This Row],[Loss date]]))</f>
        <v>2008</v>
      </c>
      <c r="AC1459" s="17">
        <f>IF(MONTH(Table1[[#This Row],[Reporting date]])&lt;Pol_Inc_Month_Shifted,YEAR(Table1[[#This Row],[Reporting date]])-1,YEAR(Table1[[#This Row],[Reporting date]]))</f>
        <v>2008</v>
      </c>
      <c r="AD1459" s="17">
        <f>Table1[[#This Row],[Reporting year (shifted)]]-Table1[[#This Row],[Policy Year (shifted)]]</f>
        <v>0</v>
      </c>
    </row>
    <row r="1460" spans="1:30" ht="13.9">
      <c r="A1460" s="8" t="s">
        <v>3230</v>
      </c>
      <c r="B1460" s="8" t="s">
        <v>1512</v>
      </c>
      <c r="C1460" s="8" t="s">
        <v>118</v>
      </c>
      <c r="D1460" s="9">
        <v>40082</v>
      </c>
      <c r="E1460" s="9">
        <v>40447</v>
      </c>
      <c r="F1460" s="17">
        <f>IF(MONTH(Table1[[#This Row],[Loss date]])&lt;Policy_Inception_Month,YEAR(Table1[[#This Row],[Loss date]])-1,YEAR(Table1[[#This Row],[Loss date]]))</f>
        <v>2009</v>
      </c>
      <c r="G1460" s="10" t="s">
        <v>125</v>
      </c>
      <c r="H1460" s="10" t="s">
        <v>2</v>
      </c>
      <c r="I1460" s="11">
        <v>26198.94590684821</v>
      </c>
      <c r="J1460" s="11">
        <v>0</v>
      </c>
      <c r="K1460" s="11">
        <v>26198.94590684821</v>
      </c>
      <c r="L1460" s="12">
        <v>0</v>
      </c>
      <c r="M1460" s="12">
        <v>0</v>
      </c>
      <c r="N1460" s="12">
        <v>26198.94590684821</v>
      </c>
      <c r="O1460" s="70">
        <f>IF(Table1[[#This Row],[Overall amount]]=0,0,1)</f>
        <v>1</v>
      </c>
      <c r="P1460" s="70">
        <f>Table1[[#This Row],[Overall amount]]*Exchange_Rate</f>
        <v>26198.94590684821</v>
      </c>
      <c r="Q1460" s="70">
        <f>Table1[[#This Row],[Overall (destination currency)]]*(1+Claims_Inflation)^((Revalue_at_date-Table1[[#This Row],[Loss date]])/365.25)</f>
        <v>35130.203999999998</v>
      </c>
      <c r="R1460" s="70">
        <f>INT(Table1[[#This Row],[Reporting date]])-INT(Table1[[#This Row],[Loss date]])</f>
        <v>365</v>
      </c>
      <c r="S1460" s="69" t="s">
        <v>9</v>
      </c>
      <c r="T1460" s="70">
        <f>VLOOKUP(Table1[[#This Row],[Policy Year]],exposure_table,3,FALSE)</f>
        <v>760.22808576000011</v>
      </c>
      <c r="U1460" s="17">
        <f>IF(MONTH(Table1[[#This Row],[Reporting date]])&lt;Policy_Inception_Month,YEAR(Table1[[#This Row],[Reporting date]])-1,YEAR(Table1[[#This Row],[Reporting date]]))</f>
        <v>2010</v>
      </c>
      <c r="V1460" s="17">
        <f>Table1[[#This Row],[Reporting year]]-Table1[[#This Row],[Policy Year]]</f>
        <v>1</v>
      </c>
      <c r="W1460" s="17">
        <f>INT(Table1[[#This Row],[Reporting date]])-INT(Table1[[#This Row],[Loss date]])</f>
        <v>365</v>
      </c>
      <c r="X1460" s="17">
        <f>INT((YEAR(Table1[[#This Row],[Loss date]])*12+MONTH(Table1[[#This Row],[Loss date]])-Earliest_Month)/4)</f>
        <v>13</v>
      </c>
      <c r="Y1460" s="17">
        <f>INT((YEAR(Table1[[#This Row],[Reporting date]])*12+MONTH(Table1[[#This Row],[Reporting date]])-Earliest_Month)/4)</f>
        <v>16</v>
      </c>
      <c r="Z1460" s="17">
        <f>Table1[[#This Row],[Reporting third]]-Table1[[#This Row],[Policy third]]</f>
        <v>3</v>
      </c>
      <c r="AA1460" s="71">
        <f>IF(Table1[[#This Row],[Overall amount]]=0,"N/A",Table1[[#This Row],[Outstanding]]/Table1[[#This Row],[Overall amount]])</f>
        <v>0</v>
      </c>
      <c r="AB1460" s="17">
        <f>IF(MONTH(Table1[[#This Row],[Loss date]])&lt;Pol_Inc_Month_Shifted,YEAR(Table1[[#This Row],[Loss date]])-1,YEAR(Table1[[#This Row],[Loss date]]))</f>
        <v>2008</v>
      </c>
      <c r="AC1460" s="17">
        <f>IF(MONTH(Table1[[#This Row],[Reporting date]])&lt;Pol_Inc_Month_Shifted,YEAR(Table1[[#This Row],[Reporting date]])-1,YEAR(Table1[[#This Row],[Reporting date]]))</f>
        <v>2009</v>
      </c>
      <c r="AD1460" s="17">
        <f>Table1[[#This Row],[Reporting year (shifted)]]-Table1[[#This Row],[Policy Year (shifted)]]</f>
        <v>1</v>
      </c>
    </row>
    <row r="1461" spans="1:30" ht="13.9">
      <c r="A1461" s="8" t="s">
        <v>3231</v>
      </c>
      <c r="B1461" s="8" t="s">
        <v>1513</v>
      </c>
      <c r="C1461" s="8" t="s">
        <v>118</v>
      </c>
      <c r="D1461" s="9">
        <v>40081</v>
      </c>
      <c r="E1461" s="9">
        <v>40082</v>
      </c>
      <c r="F1461" s="17">
        <f>IF(MONTH(Table1[[#This Row],[Loss date]])&lt;Policy_Inception_Month,YEAR(Table1[[#This Row],[Loss date]])-1,YEAR(Table1[[#This Row],[Loss date]]))</f>
        <v>2009</v>
      </c>
      <c r="G1461" s="10" t="s">
        <v>128</v>
      </c>
      <c r="H1461" s="10" t="s">
        <v>2</v>
      </c>
      <c r="I1461" s="11">
        <v>3327.7642951586513</v>
      </c>
      <c r="J1461" s="11">
        <v>0</v>
      </c>
      <c r="K1461" s="11">
        <v>3327.7642951586513</v>
      </c>
      <c r="L1461" s="12">
        <v>0</v>
      </c>
      <c r="M1461" s="12">
        <v>0</v>
      </c>
      <c r="N1461" s="12">
        <v>3327.7642951586513</v>
      </c>
      <c r="O1461" s="70">
        <f>IF(Table1[[#This Row],[Overall amount]]=0,0,1)</f>
        <v>1</v>
      </c>
      <c r="P1461" s="70">
        <f>Table1[[#This Row],[Overall amount]]*Exchange_Rate</f>
        <v>3327.7642951586513</v>
      </c>
      <c r="Q1461" s="70">
        <f>Table1[[#This Row],[Overall (destination currency)]]*(1+Claims_Inflation)^((Revalue_at_date-Table1[[#This Row],[Loss date]])/365.25)</f>
        <v>4462.8</v>
      </c>
      <c r="R1461" s="70">
        <f>INT(Table1[[#This Row],[Reporting date]])-INT(Table1[[#This Row],[Loss date]])</f>
        <v>1</v>
      </c>
      <c r="S1461" s="69" t="s">
        <v>9</v>
      </c>
      <c r="T1461" s="70">
        <f>VLOOKUP(Table1[[#This Row],[Policy Year]],exposure_table,3,FALSE)</f>
        <v>760.22808576000011</v>
      </c>
      <c r="U1461" s="17">
        <f>IF(MONTH(Table1[[#This Row],[Reporting date]])&lt;Policy_Inception_Month,YEAR(Table1[[#This Row],[Reporting date]])-1,YEAR(Table1[[#This Row],[Reporting date]]))</f>
        <v>2009</v>
      </c>
      <c r="V1461" s="17">
        <f>Table1[[#This Row],[Reporting year]]-Table1[[#This Row],[Policy Year]]</f>
        <v>0</v>
      </c>
      <c r="W1461" s="17">
        <f>INT(Table1[[#This Row],[Reporting date]])-INT(Table1[[#This Row],[Loss date]])</f>
        <v>1</v>
      </c>
      <c r="X1461" s="17">
        <f>INT((YEAR(Table1[[#This Row],[Loss date]])*12+MONTH(Table1[[#This Row],[Loss date]])-Earliest_Month)/4)</f>
        <v>13</v>
      </c>
      <c r="Y1461" s="17">
        <f>INT((YEAR(Table1[[#This Row],[Reporting date]])*12+MONTH(Table1[[#This Row],[Reporting date]])-Earliest_Month)/4)</f>
        <v>13</v>
      </c>
      <c r="Z1461" s="17">
        <f>Table1[[#This Row],[Reporting third]]-Table1[[#This Row],[Policy third]]</f>
        <v>0</v>
      </c>
      <c r="AA1461" s="71">
        <f>IF(Table1[[#This Row],[Overall amount]]=0,"N/A",Table1[[#This Row],[Outstanding]]/Table1[[#This Row],[Overall amount]])</f>
        <v>0</v>
      </c>
      <c r="AB1461" s="17">
        <f>IF(MONTH(Table1[[#This Row],[Loss date]])&lt;Pol_Inc_Month_Shifted,YEAR(Table1[[#This Row],[Loss date]])-1,YEAR(Table1[[#This Row],[Loss date]]))</f>
        <v>2008</v>
      </c>
      <c r="AC1461" s="17">
        <f>IF(MONTH(Table1[[#This Row],[Reporting date]])&lt;Pol_Inc_Month_Shifted,YEAR(Table1[[#This Row],[Reporting date]])-1,YEAR(Table1[[#This Row],[Reporting date]]))</f>
        <v>2008</v>
      </c>
      <c r="AD1461" s="17">
        <f>Table1[[#This Row],[Reporting year (shifted)]]-Table1[[#This Row],[Policy Year (shifted)]]</f>
        <v>0</v>
      </c>
    </row>
    <row r="1462" spans="1:30" ht="13.9">
      <c r="A1462" s="8" t="s">
        <v>3232</v>
      </c>
      <c r="B1462" s="8" t="s">
        <v>1514</v>
      </c>
      <c r="C1462" s="8" t="s">
        <v>118</v>
      </c>
      <c r="D1462" s="9">
        <v>40103</v>
      </c>
      <c r="E1462" s="9">
        <v>40104</v>
      </c>
      <c r="F1462" s="17">
        <f>IF(MONTH(Table1[[#This Row],[Loss date]])&lt;Policy_Inception_Month,YEAR(Table1[[#This Row],[Loss date]])-1,YEAR(Table1[[#This Row],[Loss date]]))</f>
        <v>2009</v>
      </c>
      <c r="G1462" s="10" t="s">
        <v>128</v>
      </c>
      <c r="H1462" s="10" t="s">
        <v>2</v>
      </c>
      <c r="I1462" s="11">
        <v>40860.184068964547</v>
      </c>
      <c r="J1462" s="11">
        <v>0</v>
      </c>
      <c r="K1462" s="11">
        <v>40860.184068964547</v>
      </c>
      <c r="L1462" s="12">
        <v>0</v>
      </c>
      <c r="M1462" s="12">
        <v>0</v>
      </c>
      <c r="N1462" s="12">
        <v>40860.184068964547</v>
      </c>
      <c r="O1462" s="70">
        <f>IF(Table1[[#This Row],[Overall amount]]=0,0,1)</f>
        <v>1</v>
      </c>
      <c r="P1462" s="70">
        <f>Table1[[#This Row],[Overall amount]]*Exchange_Rate</f>
        <v>40860.184068964547</v>
      </c>
      <c r="Q1462" s="70">
        <f>Table1[[#This Row],[Overall (destination currency)]]*(1+Claims_Inflation)^((Revalue_at_date-Table1[[#This Row],[Loss date]])/365.25)</f>
        <v>54636.000000000007</v>
      </c>
      <c r="R1462" s="70">
        <f>INT(Table1[[#This Row],[Reporting date]])-INT(Table1[[#This Row],[Loss date]])</f>
        <v>1</v>
      </c>
      <c r="S1462" s="69" t="s">
        <v>9</v>
      </c>
      <c r="T1462" s="70">
        <f>VLOOKUP(Table1[[#This Row],[Policy Year]],exposure_table,3,FALSE)</f>
        <v>760.22808576000011</v>
      </c>
      <c r="U1462" s="17">
        <f>IF(MONTH(Table1[[#This Row],[Reporting date]])&lt;Policy_Inception_Month,YEAR(Table1[[#This Row],[Reporting date]])-1,YEAR(Table1[[#This Row],[Reporting date]]))</f>
        <v>2009</v>
      </c>
      <c r="V1462" s="17">
        <f>Table1[[#This Row],[Reporting year]]-Table1[[#This Row],[Policy Year]]</f>
        <v>0</v>
      </c>
      <c r="W1462" s="17">
        <f>INT(Table1[[#This Row],[Reporting date]])-INT(Table1[[#This Row],[Loss date]])</f>
        <v>1</v>
      </c>
      <c r="X1462" s="17">
        <f>INT((YEAR(Table1[[#This Row],[Loss date]])*12+MONTH(Table1[[#This Row],[Loss date]])-Earliest_Month)/4)</f>
        <v>13</v>
      </c>
      <c r="Y1462" s="17">
        <f>INT((YEAR(Table1[[#This Row],[Reporting date]])*12+MONTH(Table1[[#This Row],[Reporting date]])-Earliest_Month)/4)</f>
        <v>13</v>
      </c>
      <c r="Z1462" s="17">
        <f>Table1[[#This Row],[Reporting third]]-Table1[[#This Row],[Policy third]]</f>
        <v>0</v>
      </c>
      <c r="AA1462" s="71">
        <f>IF(Table1[[#This Row],[Overall amount]]=0,"N/A",Table1[[#This Row],[Outstanding]]/Table1[[#This Row],[Overall amount]])</f>
        <v>0</v>
      </c>
      <c r="AB1462" s="17">
        <f>IF(MONTH(Table1[[#This Row],[Loss date]])&lt;Pol_Inc_Month_Shifted,YEAR(Table1[[#This Row],[Loss date]])-1,YEAR(Table1[[#This Row],[Loss date]]))</f>
        <v>2008</v>
      </c>
      <c r="AC1462" s="17">
        <f>IF(MONTH(Table1[[#This Row],[Reporting date]])&lt;Pol_Inc_Month_Shifted,YEAR(Table1[[#This Row],[Reporting date]])-1,YEAR(Table1[[#This Row],[Reporting date]]))</f>
        <v>2008</v>
      </c>
      <c r="AD1462" s="17">
        <f>Table1[[#This Row],[Reporting year (shifted)]]-Table1[[#This Row],[Policy Year (shifted)]]</f>
        <v>0</v>
      </c>
    </row>
    <row r="1463" spans="1:30" ht="13.9">
      <c r="A1463" s="8" t="s">
        <v>3233</v>
      </c>
      <c r="B1463" s="8" t="s">
        <v>1515</v>
      </c>
      <c r="C1463" s="8" t="s">
        <v>118</v>
      </c>
      <c r="D1463" s="9">
        <v>40106</v>
      </c>
      <c r="E1463" s="9">
        <v>40112</v>
      </c>
      <c r="F1463" s="17">
        <f>IF(MONTH(Table1[[#This Row],[Loss date]])&lt;Policy_Inception_Month,YEAR(Table1[[#This Row],[Loss date]])-1,YEAR(Table1[[#This Row],[Loss date]]))</f>
        <v>2009</v>
      </c>
      <c r="G1463" s="10" t="s">
        <v>129</v>
      </c>
      <c r="H1463" s="10" t="s">
        <v>2</v>
      </c>
      <c r="I1463" s="11">
        <v>9206.8776645387334</v>
      </c>
      <c r="J1463" s="11">
        <v>0</v>
      </c>
      <c r="K1463" s="11">
        <v>9206.8776645387334</v>
      </c>
      <c r="L1463" s="12">
        <v>0</v>
      </c>
      <c r="M1463" s="12">
        <v>0</v>
      </c>
      <c r="N1463" s="12">
        <v>9206.8776645387334</v>
      </c>
      <c r="O1463" s="70">
        <f>IF(Table1[[#This Row],[Overall amount]]=0,0,1)</f>
        <v>1</v>
      </c>
      <c r="P1463" s="70">
        <f>Table1[[#This Row],[Overall amount]]*Exchange_Rate</f>
        <v>9206.8776645387334</v>
      </c>
      <c r="Q1463" s="70">
        <f>Table1[[#This Row],[Overall (destination currency)]]*(1+Claims_Inflation)^((Revalue_at_date-Table1[[#This Row],[Loss date]])/365.25)</f>
        <v>12305.999999999998</v>
      </c>
      <c r="R1463" s="70">
        <f>INT(Table1[[#This Row],[Reporting date]])-INT(Table1[[#This Row],[Loss date]])</f>
        <v>6</v>
      </c>
      <c r="S1463" s="69" t="s">
        <v>9</v>
      </c>
      <c r="T1463" s="70">
        <f>VLOOKUP(Table1[[#This Row],[Policy Year]],exposure_table,3,FALSE)</f>
        <v>760.22808576000011</v>
      </c>
      <c r="U1463" s="17">
        <f>IF(MONTH(Table1[[#This Row],[Reporting date]])&lt;Policy_Inception_Month,YEAR(Table1[[#This Row],[Reporting date]])-1,YEAR(Table1[[#This Row],[Reporting date]]))</f>
        <v>2009</v>
      </c>
      <c r="V1463" s="17">
        <f>Table1[[#This Row],[Reporting year]]-Table1[[#This Row],[Policy Year]]</f>
        <v>0</v>
      </c>
      <c r="W1463" s="17">
        <f>INT(Table1[[#This Row],[Reporting date]])-INT(Table1[[#This Row],[Loss date]])</f>
        <v>6</v>
      </c>
      <c r="X1463" s="17">
        <f>INT((YEAR(Table1[[#This Row],[Loss date]])*12+MONTH(Table1[[#This Row],[Loss date]])-Earliest_Month)/4)</f>
        <v>13</v>
      </c>
      <c r="Y1463" s="17">
        <f>INT((YEAR(Table1[[#This Row],[Reporting date]])*12+MONTH(Table1[[#This Row],[Reporting date]])-Earliest_Month)/4)</f>
        <v>13</v>
      </c>
      <c r="Z1463" s="17">
        <f>Table1[[#This Row],[Reporting third]]-Table1[[#This Row],[Policy third]]</f>
        <v>0</v>
      </c>
      <c r="AA1463" s="71">
        <f>IF(Table1[[#This Row],[Overall amount]]=0,"N/A",Table1[[#This Row],[Outstanding]]/Table1[[#This Row],[Overall amount]])</f>
        <v>0</v>
      </c>
      <c r="AB1463" s="17">
        <f>IF(MONTH(Table1[[#This Row],[Loss date]])&lt;Pol_Inc_Month_Shifted,YEAR(Table1[[#This Row],[Loss date]])-1,YEAR(Table1[[#This Row],[Loss date]]))</f>
        <v>2008</v>
      </c>
      <c r="AC1463" s="17">
        <f>IF(MONTH(Table1[[#This Row],[Reporting date]])&lt;Pol_Inc_Month_Shifted,YEAR(Table1[[#This Row],[Reporting date]])-1,YEAR(Table1[[#This Row],[Reporting date]]))</f>
        <v>2008</v>
      </c>
      <c r="AD1463" s="17">
        <f>Table1[[#This Row],[Reporting year (shifted)]]-Table1[[#This Row],[Policy Year (shifted)]]</f>
        <v>0</v>
      </c>
    </row>
    <row r="1464" spans="1:30" ht="13.9">
      <c r="A1464" s="8" t="s">
        <v>3234</v>
      </c>
      <c r="B1464" s="8" t="s">
        <v>1516</v>
      </c>
      <c r="C1464" s="8" t="s">
        <v>118</v>
      </c>
      <c r="D1464" s="9">
        <v>40114</v>
      </c>
      <c r="E1464" s="9">
        <v>40114</v>
      </c>
      <c r="F1464" s="17">
        <f>IF(MONTH(Table1[[#This Row],[Loss date]])&lt;Policy_Inception_Month,YEAR(Table1[[#This Row],[Loss date]])-1,YEAR(Table1[[#This Row],[Loss date]]))</f>
        <v>2009</v>
      </c>
      <c r="G1464" s="10" t="s">
        <v>129</v>
      </c>
      <c r="H1464" s="10" t="s">
        <v>2</v>
      </c>
      <c r="I1464" s="11">
        <v>17911.564093257472</v>
      </c>
      <c r="J1464" s="11">
        <v>0</v>
      </c>
      <c r="K1464" s="11">
        <v>17911.564093257472</v>
      </c>
      <c r="L1464" s="12">
        <v>0</v>
      </c>
      <c r="M1464" s="12">
        <v>0</v>
      </c>
      <c r="N1464" s="12">
        <v>17911.564093257472</v>
      </c>
      <c r="O1464" s="70">
        <f>IF(Table1[[#This Row],[Overall amount]]=0,0,1)</f>
        <v>1</v>
      </c>
      <c r="P1464" s="70">
        <f>Table1[[#This Row],[Overall amount]]*Exchange_Rate</f>
        <v>17911.564093257472</v>
      </c>
      <c r="Q1464" s="70">
        <f>Table1[[#This Row],[Overall (destination currency)]]*(1+Claims_Inflation)^((Revalue_at_date-Table1[[#This Row],[Loss date]])/365.25)</f>
        <v>23915.196</v>
      </c>
      <c r="R1464" s="70">
        <f>INT(Table1[[#This Row],[Reporting date]])-INT(Table1[[#This Row],[Loss date]])</f>
        <v>0</v>
      </c>
      <c r="S1464" s="69" t="s">
        <v>9</v>
      </c>
      <c r="T1464" s="70">
        <f>VLOOKUP(Table1[[#This Row],[Policy Year]],exposure_table,3,FALSE)</f>
        <v>760.22808576000011</v>
      </c>
      <c r="U1464" s="17">
        <f>IF(MONTH(Table1[[#This Row],[Reporting date]])&lt;Policy_Inception_Month,YEAR(Table1[[#This Row],[Reporting date]])-1,YEAR(Table1[[#This Row],[Reporting date]]))</f>
        <v>2009</v>
      </c>
      <c r="V1464" s="17">
        <f>Table1[[#This Row],[Reporting year]]-Table1[[#This Row],[Policy Year]]</f>
        <v>0</v>
      </c>
      <c r="W1464" s="17">
        <f>INT(Table1[[#This Row],[Reporting date]])-INT(Table1[[#This Row],[Loss date]])</f>
        <v>0</v>
      </c>
      <c r="X1464" s="17">
        <f>INT((YEAR(Table1[[#This Row],[Loss date]])*12+MONTH(Table1[[#This Row],[Loss date]])-Earliest_Month)/4)</f>
        <v>13</v>
      </c>
      <c r="Y1464" s="17">
        <f>INT((YEAR(Table1[[#This Row],[Reporting date]])*12+MONTH(Table1[[#This Row],[Reporting date]])-Earliest_Month)/4)</f>
        <v>13</v>
      </c>
      <c r="Z1464" s="17">
        <f>Table1[[#This Row],[Reporting third]]-Table1[[#This Row],[Policy third]]</f>
        <v>0</v>
      </c>
      <c r="AA1464" s="71">
        <f>IF(Table1[[#This Row],[Overall amount]]=0,"N/A",Table1[[#This Row],[Outstanding]]/Table1[[#This Row],[Overall amount]])</f>
        <v>0</v>
      </c>
      <c r="AB1464" s="17">
        <f>IF(MONTH(Table1[[#This Row],[Loss date]])&lt;Pol_Inc_Month_Shifted,YEAR(Table1[[#This Row],[Loss date]])-1,YEAR(Table1[[#This Row],[Loss date]]))</f>
        <v>2008</v>
      </c>
      <c r="AC1464" s="17">
        <f>IF(MONTH(Table1[[#This Row],[Reporting date]])&lt;Pol_Inc_Month_Shifted,YEAR(Table1[[#This Row],[Reporting date]])-1,YEAR(Table1[[#This Row],[Reporting date]]))</f>
        <v>2008</v>
      </c>
      <c r="AD1464" s="17">
        <f>Table1[[#This Row],[Reporting year (shifted)]]-Table1[[#This Row],[Policy Year (shifted)]]</f>
        <v>0</v>
      </c>
    </row>
    <row r="1465" spans="1:30" ht="13.9">
      <c r="A1465" s="8" t="s">
        <v>3235</v>
      </c>
      <c r="B1465" s="8" t="s">
        <v>1517</v>
      </c>
      <c r="C1465" s="8" t="s">
        <v>118</v>
      </c>
      <c r="D1465" s="9">
        <v>40098</v>
      </c>
      <c r="E1465" s="9">
        <v>40098</v>
      </c>
      <c r="F1465" s="17">
        <f>IF(MONTH(Table1[[#This Row],[Loss date]])&lt;Policy_Inception_Month,YEAR(Table1[[#This Row],[Loss date]])-1,YEAR(Table1[[#This Row],[Loss date]]))</f>
        <v>2009</v>
      </c>
      <c r="G1465" s="10" t="s">
        <v>128</v>
      </c>
      <c r="H1465" s="10" t="s">
        <v>2</v>
      </c>
      <c r="I1465" s="11">
        <v>1053.3328384156198</v>
      </c>
      <c r="J1465" s="11">
        <v>0</v>
      </c>
      <c r="K1465" s="11">
        <v>1053.3328384156198</v>
      </c>
      <c r="L1465" s="12">
        <v>0</v>
      </c>
      <c r="M1465" s="12">
        <v>0</v>
      </c>
      <c r="N1465" s="12">
        <v>1053.3328384156198</v>
      </c>
      <c r="O1465" s="70">
        <f>IF(Table1[[#This Row],[Overall amount]]=0,0,1)</f>
        <v>1</v>
      </c>
      <c r="P1465" s="70">
        <f>Table1[[#This Row],[Overall amount]]*Exchange_Rate</f>
        <v>1053.3328384156198</v>
      </c>
      <c r="Q1465" s="70">
        <f>Table1[[#This Row],[Overall (destination currency)]]*(1+Claims_Inflation)^((Revalue_at_date-Table1[[#This Row],[Loss date]])/365.25)</f>
        <v>1409.3999999999999</v>
      </c>
      <c r="R1465" s="70">
        <f>INT(Table1[[#This Row],[Reporting date]])-INT(Table1[[#This Row],[Loss date]])</f>
        <v>0</v>
      </c>
      <c r="S1465" s="69" t="s">
        <v>9</v>
      </c>
      <c r="T1465" s="70">
        <f>VLOOKUP(Table1[[#This Row],[Policy Year]],exposure_table,3,FALSE)</f>
        <v>760.22808576000011</v>
      </c>
      <c r="U1465" s="17">
        <f>IF(MONTH(Table1[[#This Row],[Reporting date]])&lt;Policy_Inception_Month,YEAR(Table1[[#This Row],[Reporting date]])-1,YEAR(Table1[[#This Row],[Reporting date]]))</f>
        <v>2009</v>
      </c>
      <c r="V1465" s="17">
        <f>Table1[[#This Row],[Reporting year]]-Table1[[#This Row],[Policy Year]]</f>
        <v>0</v>
      </c>
      <c r="W1465" s="17">
        <f>INT(Table1[[#This Row],[Reporting date]])-INT(Table1[[#This Row],[Loss date]])</f>
        <v>0</v>
      </c>
      <c r="X1465" s="17">
        <f>INT((YEAR(Table1[[#This Row],[Loss date]])*12+MONTH(Table1[[#This Row],[Loss date]])-Earliest_Month)/4)</f>
        <v>13</v>
      </c>
      <c r="Y1465" s="17">
        <f>INT((YEAR(Table1[[#This Row],[Reporting date]])*12+MONTH(Table1[[#This Row],[Reporting date]])-Earliest_Month)/4)</f>
        <v>13</v>
      </c>
      <c r="Z1465" s="17">
        <f>Table1[[#This Row],[Reporting third]]-Table1[[#This Row],[Policy third]]</f>
        <v>0</v>
      </c>
      <c r="AA1465" s="71">
        <f>IF(Table1[[#This Row],[Overall amount]]=0,"N/A",Table1[[#This Row],[Outstanding]]/Table1[[#This Row],[Overall amount]])</f>
        <v>0</v>
      </c>
      <c r="AB1465" s="17">
        <f>IF(MONTH(Table1[[#This Row],[Loss date]])&lt;Pol_Inc_Month_Shifted,YEAR(Table1[[#This Row],[Loss date]])-1,YEAR(Table1[[#This Row],[Loss date]]))</f>
        <v>2008</v>
      </c>
      <c r="AC1465" s="17">
        <f>IF(MONTH(Table1[[#This Row],[Reporting date]])&lt;Pol_Inc_Month_Shifted,YEAR(Table1[[#This Row],[Reporting date]])-1,YEAR(Table1[[#This Row],[Reporting date]]))</f>
        <v>2008</v>
      </c>
      <c r="AD1465" s="17">
        <f>Table1[[#This Row],[Reporting year (shifted)]]-Table1[[#This Row],[Policy Year (shifted)]]</f>
        <v>0</v>
      </c>
    </row>
    <row r="1466" spans="1:30" ht="13.9">
      <c r="A1466" s="8" t="s">
        <v>3236</v>
      </c>
      <c r="B1466" s="8" t="s">
        <v>1518</v>
      </c>
      <c r="C1466" s="8" t="s">
        <v>118</v>
      </c>
      <c r="D1466" s="9">
        <v>40107</v>
      </c>
      <c r="E1466" s="9">
        <v>40123</v>
      </c>
      <c r="F1466" s="17">
        <f>IF(MONTH(Table1[[#This Row],[Loss date]])&lt;Policy_Inception_Month,YEAR(Table1[[#This Row],[Loss date]])-1,YEAR(Table1[[#This Row],[Loss date]]))</f>
        <v>2009</v>
      </c>
      <c r="G1466" s="10" t="s">
        <v>128</v>
      </c>
      <c r="H1466" s="10" t="s">
        <v>2</v>
      </c>
      <c r="I1466" s="11">
        <v>8598.81911019769</v>
      </c>
      <c r="J1466" s="11">
        <v>0</v>
      </c>
      <c r="K1466" s="11">
        <v>8598.81911019769</v>
      </c>
      <c r="L1466" s="12">
        <v>0</v>
      </c>
      <c r="M1466" s="12">
        <v>0</v>
      </c>
      <c r="N1466" s="12">
        <v>8598.81911019769</v>
      </c>
      <c r="O1466" s="70">
        <f>IF(Table1[[#This Row],[Overall amount]]=0,0,1)</f>
        <v>1</v>
      </c>
      <c r="P1466" s="70">
        <f>Table1[[#This Row],[Overall amount]]*Exchange_Rate</f>
        <v>8598.81911019769</v>
      </c>
      <c r="Q1466" s="70">
        <f>Table1[[#This Row],[Overall (destination currency)]]*(1+Claims_Inflation)^((Revalue_at_date-Table1[[#This Row],[Loss date]])/365.25)</f>
        <v>11491.727999999999</v>
      </c>
      <c r="R1466" s="70">
        <f>INT(Table1[[#This Row],[Reporting date]])-INT(Table1[[#This Row],[Loss date]])</f>
        <v>16</v>
      </c>
      <c r="S1466" s="69" t="s">
        <v>9</v>
      </c>
      <c r="T1466" s="70">
        <f>VLOOKUP(Table1[[#This Row],[Policy Year]],exposure_table,3,FALSE)</f>
        <v>760.22808576000011</v>
      </c>
      <c r="U1466" s="17">
        <f>IF(MONTH(Table1[[#This Row],[Reporting date]])&lt;Policy_Inception_Month,YEAR(Table1[[#This Row],[Reporting date]])-1,YEAR(Table1[[#This Row],[Reporting date]]))</f>
        <v>2009</v>
      </c>
      <c r="V1466" s="17">
        <f>Table1[[#This Row],[Reporting year]]-Table1[[#This Row],[Policy Year]]</f>
        <v>0</v>
      </c>
      <c r="W1466" s="17">
        <f>INT(Table1[[#This Row],[Reporting date]])-INT(Table1[[#This Row],[Loss date]])</f>
        <v>16</v>
      </c>
      <c r="X1466" s="17">
        <f>INT((YEAR(Table1[[#This Row],[Loss date]])*12+MONTH(Table1[[#This Row],[Loss date]])-Earliest_Month)/4)</f>
        <v>13</v>
      </c>
      <c r="Y1466" s="17">
        <f>INT((YEAR(Table1[[#This Row],[Reporting date]])*12+MONTH(Table1[[#This Row],[Reporting date]])-Earliest_Month)/4)</f>
        <v>13</v>
      </c>
      <c r="Z1466" s="17">
        <f>Table1[[#This Row],[Reporting third]]-Table1[[#This Row],[Policy third]]</f>
        <v>0</v>
      </c>
      <c r="AA1466" s="71">
        <f>IF(Table1[[#This Row],[Overall amount]]=0,"N/A",Table1[[#This Row],[Outstanding]]/Table1[[#This Row],[Overall amount]])</f>
        <v>0</v>
      </c>
      <c r="AB1466" s="17">
        <f>IF(MONTH(Table1[[#This Row],[Loss date]])&lt;Pol_Inc_Month_Shifted,YEAR(Table1[[#This Row],[Loss date]])-1,YEAR(Table1[[#This Row],[Loss date]]))</f>
        <v>2008</v>
      </c>
      <c r="AC1466" s="17">
        <f>IF(MONTH(Table1[[#This Row],[Reporting date]])&lt;Pol_Inc_Month_Shifted,YEAR(Table1[[#This Row],[Reporting date]])-1,YEAR(Table1[[#This Row],[Reporting date]]))</f>
        <v>2008</v>
      </c>
      <c r="AD1466" s="17">
        <f>Table1[[#This Row],[Reporting year (shifted)]]-Table1[[#This Row],[Policy Year (shifted)]]</f>
        <v>0</v>
      </c>
    </row>
    <row r="1467" spans="1:30" ht="13.9">
      <c r="A1467" s="8" t="s">
        <v>3237</v>
      </c>
      <c r="B1467" s="8" t="s">
        <v>1519</v>
      </c>
      <c r="C1467" s="8" t="s">
        <v>118</v>
      </c>
      <c r="D1467" s="9">
        <v>40128</v>
      </c>
      <c r="E1467" s="9">
        <v>40132</v>
      </c>
      <c r="F1467" s="17">
        <f>IF(MONTH(Table1[[#This Row],[Loss date]])&lt;Policy_Inception_Month,YEAR(Table1[[#This Row],[Loss date]])-1,YEAR(Table1[[#This Row],[Loss date]]))</f>
        <v>2009</v>
      </c>
      <c r="G1467" s="10" t="s">
        <v>128</v>
      </c>
      <c r="H1467" s="10" t="s">
        <v>2</v>
      </c>
      <c r="I1467" s="11">
        <v>574.4783622627881</v>
      </c>
      <c r="J1467" s="11">
        <v>0</v>
      </c>
      <c r="K1467" s="11">
        <v>574.4783622627881</v>
      </c>
      <c r="L1467" s="12">
        <v>0</v>
      </c>
      <c r="M1467" s="12">
        <v>0</v>
      </c>
      <c r="N1467" s="12">
        <v>574.4783622627881</v>
      </c>
      <c r="O1467" s="70">
        <f>IF(Table1[[#This Row],[Overall amount]]=0,0,1)</f>
        <v>1</v>
      </c>
      <c r="P1467" s="70">
        <f>Table1[[#This Row],[Overall amount]]*Exchange_Rate</f>
        <v>574.4783622627881</v>
      </c>
      <c r="Q1467" s="70">
        <f>Table1[[#This Row],[Overall (destination currency)]]*(1+Claims_Inflation)^((Revalue_at_date-Table1[[#This Row],[Loss date]])/365.25)</f>
        <v>765.60000000000014</v>
      </c>
      <c r="R1467" s="70">
        <f>INT(Table1[[#This Row],[Reporting date]])-INT(Table1[[#This Row],[Loss date]])</f>
        <v>4</v>
      </c>
      <c r="S1467" s="69" t="s">
        <v>9</v>
      </c>
      <c r="T1467" s="70">
        <f>VLOOKUP(Table1[[#This Row],[Policy Year]],exposure_table,3,FALSE)</f>
        <v>760.22808576000011</v>
      </c>
      <c r="U1467" s="17">
        <f>IF(MONTH(Table1[[#This Row],[Reporting date]])&lt;Policy_Inception_Month,YEAR(Table1[[#This Row],[Reporting date]])-1,YEAR(Table1[[#This Row],[Reporting date]]))</f>
        <v>2009</v>
      </c>
      <c r="V1467" s="17">
        <f>Table1[[#This Row],[Reporting year]]-Table1[[#This Row],[Policy Year]]</f>
        <v>0</v>
      </c>
      <c r="W1467" s="17">
        <f>INT(Table1[[#This Row],[Reporting date]])-INT(Table1[[#This Row],[Loss date]])</f>
        <v>4</v>
      </c>
      <c r="X1467" s="17">
        <f>INT((YEAR(Table1[[#This Row],[Loss date]])*12+MONTH(Table1[[#This Row],[Loss date]])-Earliest_Month)/4)</f>
        <v>13</v>
      </c>
      <c r="Y1467" s="17">
        <f>INT((YEAR(Table1[[#This Row],[Reporting date]])*12+MONTH(Table1[[#This Row],[Reporting date]])-Earliest_Month)/4)</f>
        <v>13</v>
      </c>
      <c r="Z1467" s="17">
        <f>Table1[[#This Row],[Reporting third]]-Table1[[#This Row],[Policy third]]</f>
        <v>0</v>
      </c>
      <c r="AA1467" s="71">
        <f>IF(Table1[[#This Row],[Overall amount]]=0,"N/A",Table1[[#This Row],[Outstanding]]/Table1[[#This Row],[Overall amount]])</f>
        <v>0</v>
      </c>
      <c r="AB1467" s="17">
        <f>IF(MONTH(Table1[[#This Row],[Loss date]])&lt;Pol_Inc_Month_Shifted,YEAR(Table1[[#This Row],[Loss date]])-1,YEAR(Table1[[#This Row],[Loss date]]))</f>
        <v>2008</v>
      </c>
      <c r="AC1467" s="17">
        <f>IF(MONTH(Table1[[#This Row],[Reporting date]])&lt;Pol_Inc_Month_Shifted,YEAR(Table1[[#This Row],[Reporting date]])-1,YEAR(Table1[[#This Row],[Reporting date]]))</f>
        <v>2008</v>
      </c>
      <c r="AD1467" s="17">
        <f>Table1[[#This Row],[Reporting year (shifted)]]-Table1[[#This Row],[Policy Year (shifted)]]</f>
        <v>0</v>
      </c>
    </row>
    <row r="1468" spans="1:30" ht="13.9">
      <c r="A1468" s="8" t="s">
        <v>3238</v>
      </c>
      <c r="B1468" s="8" t="s">
        <v>1520</v>
      </c>
      <c r="C1468" s="8" t="s">
        <v>118</v>
      </c>
      <c r="D1468" s="9">
        <v>40127</v>
      </c>
      <c r="E1468" s="9">
        <v>40132</v>
      </c>
      <c r="F1468" s="17">
        <f>IF(MONTH(Table1[[#This Row],[Loss date]])&lt;Policy_Inception_Month,YEAR(Table1[[#This Row],[Loss date]])-1,YEAR(Table1[[#This Row],[Loss date]]))</f>
        <v>2009</v>
      </c>
      <c r="G1468" s="10" t="s">
        <v>128</v>
      </c>
      <c r="H1468" s="10" t="s">
        <v>2</v>
      </c>
      <c r="I1468" s="11">
        <v>6585.7217429759648</v>
      </c>
      <c r="J1468" s="11">
        <v>0</v>
      </c>
      <c r="K1468" s="11">
        <v>6585.7217429759648</v>
      </c>
      <c r="L1468" s="12">
        <v>0</v>
      </c>
      <c r="M1468" s="12">
        <v>0</v>
      </c>
      <c r="N1468" s="12">
        <v>6585.7217429759648</v>
      </c>
      <c r="O1468" s="70">
        <f>IF(Table1[[#This Row],[Overall amount]]=0,0,1)</f>
        <v>1</v>
      </c>
      <c r="P1468" s="70">
        <f>Table1[[#This Row],[Overall amount]]*Exchange_Rate</f>
        <v>6585.7217429759648</v>
      </c>
      <c r="Q1468" s="70">
        <f>Table1[[#This Row],[Overall (destination currency)]]*(1+Claims_Inflation)^((Revalue_at_date-Table1[[#This Row],[Loss date]])/365.25)</f>
        <v>8777.8799999999992</v>
      </c>
      <c r="R1468" s="70">
        <f>INT(Table1[[#This Row],[Reporting date]])-INT(Table1[[#This Row],[Loss date]])</f>
        <v>5</v>
      </c>
      <c r="S1468" s="69" t="s">
        <v>9</v>
      </c>
      <c r="T1468" s="70">
        <f>VLOOKUP(Table1[[#This Row],[Policy Year]],exposure_table,3,FALSE)</f>
        <v>760.22808576000011</v>
      </c>
      <c r="U1468" s="17">
        <f>IF(MONTH(Table1[[#This Row],[Reporting date]])&lt;Policy_Inception_Month,YEAR(Table1[[#This Row],[Reporting date]])-1,YEAR(Table1[[#This Row],[Reporting date]]))</f>
        <v>2009</v>
      </c>
      <c r="V1468" s="17">
        <f>Table1[[#This Row],[Reporting year]]-Table1[[#This Row],[Policy Year]]</f>
        <v>0</v>
      </c>
      <c r="W1468" s="17">
        <f>INT(Table1[[#This Row],[Reporting date]])-INT(Table1[[#This Row],[Loss date]])</f>
        <v>5</v>
      </c>
      <c r="X1468" s="17">
        <f>INT((YEAR(Table1[[#This Row],[Loss date]])*12+MONTH(Table1[[#This Row],[Loss date]])-Earliest_Month)/4)</f>
        <v>13</v>
      </c>
      <c r="Y1468" s="17">
        <f>INT((YEAR(Table1[[#This Row],[Reporting date]])*12+MONTH(Table1[[#This Row],[Reporting date]])-Earliest_Month)/4)</f>
        <v>13</v>
      </c>
      <c r="Z1468" s="17">
        <f>Table1[[#This Row],[Reporting third]]-Table1[[#This Row],[Policy third]]</f>
        <v>0</v>
      </c>
      <c r="AA1468" s="71">
        <f>IF(Table1[[#This Row],[Overall amount]]=0,"N/A",Table1[[#This Row],[Outstanding]]/Table1[[#This Row],[Overall amount]])</f>
        <v>0</v>
      </c>
      <c r="AB1468" s="17">
        <f>IF(MONTH(Table1[[#This Row],[Loss date]])&lt;Pol_Inc_Month_Shifted,YEAR(Table1[[#This Row],[Loss date]])-1,YEAR(Table1[[#This Row],[Loss date]]))</f>
        <v>2008</v>
      </c>
      <c r="AC1468" s="17">
        <f>IF(MONTH(Table1[[#This Row],[Reporting date]])&lt;Pol_Inc_Month_Shifted,YEAR(Table1[[#This Row],[Reporting date]])-1,YEAR(Table1[[#This Row],[Reporting date]]))</f>
        <v>2008</v>
      </c>
      <c r="AD1468" s="17">
        <f>Table1[[#This Row],[Reporting year (shifted)]]-Table1[[#This Row],[Policy Year (shifted)]]</f>
        <v>0</v>
      </c>
    </row>
    <row r="1469" spans="1:30" ht="13.9">
      <c r="A1469" s="8" t="s">
        <v>3239</v>
      </c>
      <c r="B1469" s="8" t="s">
        <v>1521</v>
      </c>
      <c r="C1469" s="8" t="s">
        <v>118</v>
      </c>
      <c r="D1469" s="9">
        <v>40127</v>
      </c>
      <c r="E1469" s="9">
        <v>40127</v>
      </c>
      <c r="F1469" s="17">
        <f>IF(MONTH(Table1[[#This Row],[Loss date]])&lt;Policy_Inception_Month,YEAR(Table1[[#This Row],[Loss date]])-1,YEAR(Table1[[#This Row],[Loss date]]))</f>
        <v>2009</v>
      </c>
      <c r="G1469" s="10" t="s">
        <v>128</v>
      </c>
      <c r="H1469" s="10" t="s">
        <v>2</v>
      </c>
      <c r="I1469" s="11">
        <v>2924.2264721576421</v>
      </c>
      <c r="J1469" s="11">
        <v>0</v>
      </c>
      <c r="K1469" s="11">
        <v>2924.2264721576421</v>
      </c>
      <c r="L1469" s="12">
        <v>0</v>
      </c>
      <c r="M1469" s="12">
        <v>0</v>
      </c>
      <c r="N1469" s="12">
        <v>2924.2264721576421</v>
      </c>
      <c r="O1469" s="70">
        <f>IF(Table1[[#This Row],[Overall amount]]=0,0,1)</f>
        <v>1</v>
      </c>
      <c r="P1469" s="70">
        <f>Table1[[#This Row],[Overall amount]]*Exchange_Rate</f>
        <v>2924.2264721576421</v>
      </c>
      <c r="Q1469" s="70">
        <f>Table1[[#This Row],[Overall (destination currency)]]*(1+Claims_Inflation)^((Revalue_at_date-Table1[[#This Row],[Loss date]])/365.25)</f>
        <v>3897.6000000000004</v>
      </c>
      <c r="R1469" s="70">
        <f>INT(Table1[[#This Row],[Reporting date]])-INT(Table1[[#This Row],[Loss date]])</f>
        <v>0</v>
      </c>
      <c r="S1469" s="69" t="s">
        <v>9</v>
      </c>
      <c r="T1469" s="70">
        <f>VLOOKUP(Table1[[#This Row],[Policy Year]],exposure_table,3,FALSE)</f>
        <v>760.22808576000011</v>
      </c>
      <c r="U1469" s="17">
        <f>IF(MONTH(Table1[[#This Row],[Reporting date]])&lt;Policy_Inception_Month,YEAR(Table1[[#This Row],[Reporting date]])-1,YEAR(Table1[[#This Row],[Reporting date]]))</f>
        <v>2009</v>
      </c>
      <c r="V1469" s="17">
        <f>Table1[[#This Row],[Reporting year]]-Table1[[#This Row],[Policy Year]]</f>
        <v>0</v>
      </c>
      <c r="W1469" s="17">
        <f>INT(Table1[[#This Row],[Reporting date]])-INT(Table1[[#This Row],[Loss date]])</f>
        <v>0</v>
      </c>
      <c r="X1469" s="17">
        <f>INT((YEAR(Table1[[#This Row],[Loss date]])*12+MONTH(Table1[[#This Row],[Loss date]])-Earliest_Month)/4)</f>
        <v>13</v>
      </c>
      <c r="Y1469" s="17">
        <f>INT((YEAR(Table1[[#This Row],[Reporting date]])*12+MONTH(Table1[[#This Row],[Reporting date]])-Earliest_Month)/4)</f>
        <v>13</v>
      </c>
      <c r="Z1469" s="17">
        <f>Table1[[#This Row],[Reporting third]]-Table1[[#This Row],[Policy third]]</f>
        <v>0</v>
      </c>
      <c r="AA1469" s="71">
        <f>IF(Table1[[#This Row],[Overall amount]]=0,"N/A",Table1[[#This Row],[Outstanding]]/Table1[[#This Row],[Overall amount]])</f>
        <v>0</v>
      </c>
      <c r="AB1469" s="17">
        <f>IF(MONTH(Table1[[#This Row],[Loss date]])&lt;Pol_Inc_Month_Shifted,YEAR(Table1[[#This Row],[Loss date]])-1,YEAR(Table1[[#This Row],[Loss date]]))</f>
        <v>2008</v>
      </c>
      <c r="AC1469" s="17">
        <f>IF(MONTH(Table1[[#This Row],[Reporting date]])&lt;Pol_Inc_Month_Shifted,YEAR(Table1[[#This Row],[Reporting date]])-1,YEAR(Table1[[#This Row],[Reporting date]]))</f>
        <v>2008</v>
      </c>
      <c r="AD1469" s="17">
        <f>Table1[[#This Row],[Reporting year (shifted)]]-Table1[[#This Row],[Policy Year (shifted)]]</f>
        <v>0</v>
      </c>
    </row>
    <row r="1470" spans="1:30" ht="13.9">
      <c r="A1470" s="8" t="s">
        <v>3240</v>
      </c>
      <c r="B1470" s="8" t="s">
        <v>1522</v>
      </c>
      <c r="C1470" s="8" t="s">
        <v>118</v>
      </c>
      <c r="D1470" s="9">
        <v>40136</v>
      </c>
      <c r="E1470" s="9">
        <v>40139</v>
      </c>
      <c r="F1470" s="17">
        <f>IF(MONTH(Table1[[#This Row],[Loss date]])&lt;Policy_Inception_Month,YEAR(Table1[[#This Row],[Loss date]])-1,YEAR(Table1[[#This Row],[Loss date]]))</f>
        <v>2009</v>
      </c>
      <c r="G1470" s="10" t="s">
        <v>128</v>
      </c>
      <c r="H1470" s="10" t="s">
        <v>2</v>
      </c>
      <c r="I1470" s="11">
        <v>17187.579860794311</v>
      </c>
      <c r="J1470" s="11">
        <v>0</v>
      </c>
      <c r="K1470" s="11">
        <v>17187.579860794311</v>
      </c>
      <c r="L1470" s="12">
        <v>0</v>
      </c>
      <c r="M1470" s="12">
        <v>0</v>
      </c>
      <c r="N1470" s="12">
        <v>17187.579860794311</v>
      </c>
      <c r="O1470" s="70">
        <f>IF(Table1[[#This Row],[Overall amount]]=0,0,1)</f>
        <v>1</v>
      </c>
      <c r="P1470" s="70">
        <f>Table1[[#This Row],[Overall amount]]*Exchange_Rate</f>
        <v>17187.579860794311</v>
      </c>
      <c r="Q1470" s="70">
        <f>Table1[[#This Row],[Overall (destination currency)]]*(1+Claims_Inflation)^((Revalue_at_date-Table1[[#This Row],[Loss date]])/365.25)</f>
        <v>22881.203999999998</v>
      </c>
      <c r="R1470" s="70">
        <f>INT(Table1[[#This Row],[Reporting date]])-INT(Table1[[#This Row],[Loss date]])</f>
        <v>3</v>
      </c>
      <c r="S1470" s="69" t="s">
        <v>9</v>
      </c>
      <c r="T1470" s="70">
        <f>VLOOKUP(Table1[[#This Row],[Policy Year]],exposure_table,3,FALSE)</f>
        <v>760.22808576000011</v>
      </c>
      <c r="U1470" s="17">
        <f>IF(MONTH(Table1[[#This Row],[Reporting date]])&lt;Policy_Inception_Month,YEAR(Table1[[#This Row],[Reporting date]])-1,YEAR(Table1[[#This Row],[Reporting date]]))</f>
        <v>2009</v>
      </c>
      <c r="V1470" s="17">
        <f>Table1[[#This Row],[Reporting year]]-Table1[[#This Row],[Policy Year]]</f>
        <v>0</v>
      </c>
      <c r="W1470" s="17">
        <f>INT(Table1[[#This Row],[Reporting date]])-INT(Table1[[#This Row],[Loss date]])</f>
        <v>3</v>
      </c>
      <c r="X1470" s="17">
        <f>INT((YEAR(Table1[[#This Row],[Loss date]])*12+MONTH(Table1[[#This Row],[Loss date]])-Earliest_Month)/4)</f>
        <v>13</v>
      </c>
      <c r="Y1470" s="17">
        <f>INT((YEAR(Table1[[#This Row],[Reporting date]])*12+MONTH(Table1[[#This Row],[Reporting date]])-Earliest_Month)/4)</f>
        <v>13</v>
      </c>
      <c r="Z1470" s="17">
        <f>Table1[[#This Row],[Reporting third]]-Table1[[#This Row],[Policy third]]</f>
        <v>0</v>
      </c>
      <c r="AA1470" s="71">
        <f>IF(Table1[[#This Row],[Overall amount]]=0,"N/A",Table1[[#This Row],[Outstanding]]/Table1[[#This Row],[Overall amount]])</f>
        <v>0</v>
      </c>
      <c r="AB1470" s="17">
        <f>IF(MONTH(Table1[[#This Row],[Loss date]])&lt;Pol_Inc_Month_Shifted,YEAR(Table1[[#This Row],[Loss date]])-1,YEAR(Table1[[#This Row],[Loss date]]))</f>
        <v>2008</v>
      </c>
      <c r="AC1470" s="17">
        <f>IF(MONTH(Table1[[#This Row],[Reporting date]])&lt;Pol_Inc_Month_Shifted,YEAR(Table1[[#This Row],[Reporting date]])-1,YEAR(Table1[[#This Row],[Reporting date]]))</f>
        <v>2008</v>
      </c>
      <c r="AD1470" s="17">
        <f>Table1[[#This Row],[Reporting year (shifted)]]-Table1[[#This Row],[Policy Year (shifted)]]</f>
        <v>0</v>
      </c>
    </row>
    <row r="1471" spans="1:30" ht="13.9">
      <c r="A1471" s="8" t="s">
        <v>3241</v>
      </c>
      <c r="B1471" s="8" t="s">
        <v>1523</v>
      </c>
      <c r="C1471" s="8" t="s">
        <v>118</v>
      </c>
      <c r="D1471" s="9">
        <v>40148</v>
      </c>
      <c r="E1471" s="9">
        <v>40148</v>
      </c>
      <c r="F1471" s="17">
        <f>IF(MONTH(Table1[[#This Row],[Loss date]])&lt;Policy_Inception_Month,YEAR(Table1[[#This Row],[Loss date]])-1,YEAR(Table1[[#This Row],[Loss date]]))</f>
        <v>2009</v>
      </c>
      <c r="G1471" s="10" t="s">
        <v>128</v>
      </c>
      <c r="H1471" s="10" t="s">
        <v>2</v>
      </c>
      <c r="I1471" s="11">
        <v>510.55892090715577</v>
      </c>
      <c r="J1471" s="11">
        <v>0</v>
      </c>
      <c r="K1471" s="11">
        <v>510.55892090715577</v>
      </c>
      <c r="L1471" s="12">
        <v>0</v>
      </c>
      <c r="M1471" s="12">
        <v>0</v>
      </c>
      <c r="N1471" s="12">
        <v>510.55892090715577</v>
      </c>
      <c r="O1471" s="70">
        <f>IF(Table1[[#This Row],[Overall amount]]=0,0,1)</f>
        <v>1</v>
      </c>
      <c r="P1471" s="70">
        <f>Table1[[#This Row],[Overall amount]]*Exchange_Rate</f>
        <v>510.55892090715577</v>
      </c>
      <c r="Q1471" s="70">
        <f>Table1[[#This Row],[Overall (destination currency)]]*(1+Claims_Inflation)^((Revalue_at_date-Table1[[#This Row],[Loss date]])/365.25)</f>
        <v>678.6</v>
      </c>
      <c r="R1471" s="70">
        <f>INT(Table1[[#This Row],[Reporting date]])-INT(Table1[[#This Row],[Loss date]])</f>
        <v>0</v>
      </c>
      <c r="S1471" s="69" t="s">
        <v>9</v>
      </c>
      <c r="T1471" s="70">
        <f>VLOOKUP(Table1[[#This Row],[Policy Year]],exposure_table,3,FALSE)</f>
        <v>760.22808576000011</v>
      </c>
      <c r="U1471" s="17">
        <f>IF(MONTH(Table1[[#This Row],[Reporting date]])&lt;Policy_Inception_Month,YEAR(Table1[[#This Row],[Reporting date]])-1,YEAR(Table1[[#This Row],[Reporting date]]))</f>
        <v>2009</v>
      </c>
      <c r="V1471" s="17">
        <f>Table1[[#This Row],[Reporting year]]-Table1[[#This Row],[Policy Year]]</f>
        <v>0</v>
      </c>
      <c r="W1471" s="17">
        <f>INT(Table1[[#This Row],[Reporting date]])-INT(Table1[[#This Row],[Loss date]])</f>
        <v>0</v>
      </c>
      <c r="X1471" s="17">
        <f>INT((YEAR(Table1[[#This Row],[Loss date]])*12+MONTH(Table1[[#This Row],[Loss date]])-Earliest_Month)/4)</f>
        <v>14</v>
      </c>
      <c r="Y1471" s="17">
        <f>INT((YEAR(Table1[[#This Row],[Reporting date]])*12+MONTH(Table1[[#This Row],[Reporting date]])-Earliest_Month)/4)</f>
        <v>14</v>
      </c>
      <c r="Z1471" s="17">
        <f>Table1[[#This Row],[Reporting third]]-Table1[[#This Row],[Policy third]]</f>
        <v>0</v>
      </c>
      <c r="AA1471" s="71">
        <f>IF(Table1[[#This Row],[Overall amount]]=0,"N/A",Table1[[#This Row],[Outstanding]]/Table1[[#This Row],[Overall amount]])</f>
        <v>0</v>
      </c>
      <c r="AB1471" s="17">
        <f>IF(MONTH(Table1[[#This Row],[Loss date]])&lt;Pol_Inc_Month_Shifted,YEAR(Table1[[#This Row],[Loss date]])-1,YEAR(Table1[[#This Row],[Loss date]]))</f>
        <v>2009</v>
      </c>
      <c r="AC1471" s="17">
        <f>IF(MONTH(Table1[[#This Row],[Reporting date]])&lt;Pol_Inc_Month_Shifted,YEAR(Table1[[#This Row],[Reporting date]])-1,YEAR(Table1[[#This Row],[Reporting date]]))</f>
        <v>2009</v>
      </c>
      <c r="AD1471" s="17">
        <f>Table1[[#This Row],[Reporting year (shifted)]]-Table1[[#This Row],[Policy Year (shifted)]]</f>
        <v>0</v>
      </c>
    </row>
    <row r="1472" spans="1:30" ht="13.9">
      <c r="A1472" s="8" t="s">
        <v>3242</v>
      </c>
      <c r="B1472" s="8" t="s">
        <v>1524</v>
      </c>
      <c r="C1472" s="8" t="s">
        <v>118</v>
      </c>
      <c r="D1472" s="9">
        <v>40159</v>
      </c>
      <c r="E1472" s="9">
        <v>40159</v>
      </c>
      <c r="F1472" s="17">
        <f>IF(MONTH(Table1[[#This Row],[Loss date]])&lt;Policy_Inception_Month,YEAR(Table1[[#This Row],[Loss date]])-1,YEAR(Table1[[#This Row],[Loss date]]))</f>
        <v>2009</v>
      </c>
      <c r="G1472" s="10" t="s">
        <v>129</v>
      </c>
      <c r="H1472" s="10" t="s">
        <v>2</v>
      </c>
      <c r="I1472" s="11">
        <v>4593.6495517346866</v>
      </c>
      <c r="J1472" s="11">
        <v>0</v>
      </c>
      <c r="K1472" s="11">
        <v>4593.6495517346866</v>
      </c>
      <c r="L1472" s="12">
        <v>0</v>
      </c>
      <c r="M1472" s="12">
        <v>0</v>
      </c>
      <c r="N1472" s="12">
        <v>4593.6495517346866</v>
      </c>
      <c r="O1472" s="70">
        <f>IF(Table1[[#This Row],[Overall amount]]=0,0,1)</f>
        <v>1</v>
      </c>
      <c r="P1472" s="70">
        <f>Table1[[#This Row],[Overall amount]]*Exchange_Rate</f>
        <v>4593.6495517346866</v>
      </c>
      <c r="Q1472" s="70">
        <f>Table1[[#This Row],[Overall (destination currency)]]*(1+Claims_Inflation)^((Revalue_at_date-Table1[[#This Row],[Loss date]])/365.25)</f>
        <v>6096.6</v>
      </c>
      <c r="R1472" s="70">
        <f>INT(Table1[[#This Row],[Reporting date]])-INT(Table1[[#This Row],[Loss date]])</f>
        <v>0</v>
      </c>
      <c r="S1472" s="69" t="s">
        <v>9</v>
      </c>
      <c r="T1472" s="70">
        <f>VLOOKUP(Table1[[#This Row],[Policy Year]],exposure_table,3,FALSE)</f>
        <v>760.22808576000011</v>
      </c>
      <c r="U1472" s="17">
        <f>IF(MONTH(Table1[[#This Row],[Reporting date]])&lt;Policy_Inception_Month,YEAR(Table1[[#This Row],[Reporting date]])-1,YEAR(Table1[[#This Row],[Reporting date]]))</f>
        <v>2009</v>
      </c>
      <c r="V1472" s="17">
        <f>Table1[[#This Row],[Reporting year]]-Table1[[#This Row],[Policy Year]]</f>
        <v>0</v>
      </c>
      <c r="W1472" s="17">
        <f>INT(Table1[[#This Row],[Reporting date]])-INT(Table1[[#This Row],[Loss date]])</f>
        <v>0</v>
      </c>
      <c r="X1472" s="17">
        <f>INT((YEAR(Table1[[#This Row],[Loss date]])*12+MONTH(Table1[[#This Row],[Loss date]])-Earliest_Month)/4)</f>
        <v>14</v>
      </c>
      <c r="Y1472" s="17">
        <f>INT((YEAR(Table1[[#This Row],[Reporting date]])*12+MONTH(Table1[[#This Row],[Reporting date]])-Earliest_Month)/4)</f>
        <v>14</v>
      </c>
      <c r="Z1472" s="17">
        <f>Table1[[#This Row],[Reporting third]]-Table1[[#This Row],[Policy third]]</f>
        <v>0</v>
      </c>
      <c r="AA1472" s="71">
        <f>IF(Table1[[#This Row],[Overall amount]]=0,"N/A",Table1[[#This Row],[Outstanding]]/Table1[[#This Row],[Overall amount]])</f>
        <v>0</v>
      </c>
      <c r="AB1472" s="17">
        <f>IF(MONTH(Table1[[#This Row],[Loss date]])&lt;Pol_Inc_Month_Shifted,YEAR(Table1[[#This Row],[Loss date]])-1,YEAR(Table1[[#This Row],[Loss date]]))</f>
        <v>2009</v>
      </c>
      <c r="AC1472" s="17">
        <f>IF(MONTH(Table1[[#This Row],[Reporting date]])&lt;Pol_Inc_Month_Shifted,YEAR(Table1[[#This Row],[Reporting date]])-1,YEAR(Table1[[#This Row],[Reporting date]]))</f>
        <v>2009</v>
      </c>
      <c r="AD1472" s="17">
        <f>Table1[[#This Row],[Reporting year (shifted)]]-Table1[[#This Row],[Policy Year (shifted)]]</f>
        <v>0</v>
      </c>
    </row>
    <row r="1473" spans="1:30" ht="13.9">
      <c r="A1473" s="8" t="s">
        <v>3243</v>
      </c>
      <c r="B1473" s="8" t="s">
        <v>1525</v>
      </c>
      <c r="C1473" s="8" t="s">
        <v>118</v>
      </c>
      <c r="D1473" s="9">
        <v>40229</v>
      </c>
      <c r="E1473" s="9">
        <v>40259</v>
      </c>
      <c r="F1473" s="17">
        <f>IF(MONTH(Table1[[#This Row],[Loss date]])&lt;Policy_Inception_Month,YEAR(Table1[[#This Row],[Loss date]])-1,YEAR(Table1[[#This Row],[Loss date]]))</f>
        <v>2009</v>
      </c>
      <c r="G1473" s="10" t="s">
        <v>128</v>
      </c>
      <c r="H1473" s="10" t="s">
        <v>2</v>
      </c>
      <c r="I1473" s="11">
        <v>569.04784339311675</v>
      </c>
      <c r="J1473" s="11">
        <v>0</v>
      </c>
      <c r="K1473" s="11">
        <v>569.04784339311675</v>
      </c>
      <c r="L1473" s="12">
        <v>0</v>
      </c>
      <c r="M1473" s="12">
        <v>0</v>
      </c>
      <c r="N1473" s="12">
        <v>569.04784339311675</v>
      </c>
      <c r="O1473" s="70">
        <f>IF(Table1[[#This Row],[Overall amount]]=0,0,1)</f>
        <v>1</v>
      </c>
      <c r="P1473" s="70">
        <f>Table1[[#This Row],[Overall amount]]*Exchange_Rate</f>
        <v>569.04784339311675</v>
      </c>
      <c r="Q1473" s="70">
        <f>Table1[[#This Row],[Overall (destination currency)]]*(1+Claims_Inflation)^((Revalue_at_date-Table1[[#This Row],[Loss date]])/365.25)</f>
        <v>748.19999999999993</v>
      </c>
      <c r="R1473" s="70">
        <f>INT(Table1[[#This Row],[Reporting date]])-INT(Table1[[#This Row],[Loss date]])</f>
        <v>30</v>
      </c>
      <c r="S1473" s="69" t="s">
        <v>9</v>
      </c>
      <c r="T1473" s="70">
        <f>VLOOKUP(Table1[[#This Row],[Policy Year]],exposure_table,3,FALSE)</f>
        <v>760.22808576000011</v>
      </c>
      <c r="U1473" s="17">
        <f>IF(MONTH(Table1[[#This Row],[Reporting date]])&lt;Policy_Inception_Month,YEAR(Table1[[#This Row],[Reporting date]])-1,YEAR(Table1[[#This Row],[Reporting date]]))</f>
        <v>2009</v>
      </c>
      <c r="V1473" s="17">
        <f>Table1[[#This Row],[Reporting year]]-Table1[[#This Row],[Policy Year]]</f>
        <v>0</v>
      </c>
      <c r="W1473" s="17">
        <f>INT(Table1[[#This Row],[Reporting date]])-INT(Table1[[#This Row],[Loss date]])</f>
        <v>30</v>
      </c>
      <c r="X1473" s="17">
        <f>INT((YEAR(Table1[[#This Row],[Loss date]])*12+MONTH(Table1[[#This Row],[Loss date]])-Earliest_Month)/4)</f>
        <v>14</v>
      </c>
      <c r="Y1473" s="17">
        <f>INT((YEAR(Table1[[#This Row],[Reporting date]])*12+MONTH(Table1[[#This Row],[Reporting date]])-Earliest_Month)/4)</f>
        <v>14</v>
      </c>
      <c r="Z1473" s="17">
        <f>Table1[[#This Row],[Reporting third]]-Table1[[#This Row],[Policy third]]</f>
        <v>0</v>
      </c>
      <c r="AA1473" s="71">
        <f>IF(Table1[[#This Row],[Overall amount]]=0,"N/A",Table1[[#This Row],[Outstanding]]/Table1[[#This Row],[Overall amount]])</f>
        <v>0</v>
      </c>
      <c r="AB1473" s="17">
        <f>IF(MONTH(Table1[[#This Row],[Loss date]])&lt;Pol_Inc_Month_Shifted,YEAR(Table1[[#This Row],[Loss date]])-1,YEAR(Table1[[#This Row],[Loss date]]))</f>
        <v>2009</v>
      </c>
      <c r="AC1473" s="17">
        <f>IF(MONTH(Table1[[#This Row],[Reporting date]])&lt;Pol_Inc_Month_Shifted,YEAR(Table1[[#This Row],[Reporting date]])-1,YEAR(Table1[[#This Row],[Reporting date]]))</f>
        <v>2009</v>
      </c>
      <c r="AD1473" s="17">
        <f>Table1[[#This Row],[Reporting year (shifted)]]-Table1[[#This Row],[Policy Year (shifted)]]</f>
        <v>0</v>
      </c>
    </row>
    <row r="1474" spans="1:30" ht="13.9">
      <c r="A1474" s="8" t="s">
        <v>3244</v>
      </c>
      <c r="B1474" s="8" t="s">
        <v>1526</v>
      </c>
      <c r="C1474" s="8" t="s">
        <v>118</v>
      </c>
      <c r="D1474" s="9">
        <v>40240</v>
      </c>
      <c r="E1474" s="9">
        <v>40240</v>
      </c>
      <c r="F1474" s="17">
        <f>IF(MONTH(Table1[[#This Row],[Loss date]])&lt;Policy_Inception_Month,YEAR(Table1[[#This Row],[Loss date]])-1,YEAR(Table1[[#This Row],[Loss date]]))</f>
        <v>2009</v>
      </c>
      <c r="G1474" s="10" t="s">
        <v>128</v>
      </c>
      <c r="H1474" s="10" t="s">
        <v>2</v>
      </c>
      <c r="I1474" s="11">
        <v>251.80947738375477</v>
      </c>
      <c r="J1474" s="11">
        <v>0</v>
      </c>
      <c r="K1474" s="11">
        <v>251.80947738375477</v>
      </c>
      <c r="L1474" s="12">
        <v>0</v>
      </c>
      <c r="M1474" s="12">
        <v>0</v>
      </c>
      <c r="N1474" s="12">
        <v>251.80947738375477</v>
      </c>
      <c r="O1474" s="70">
        <f>IF(Table1[[#This Row],[Overall amount]]=0,0,1)</f>
        <v>1</v>
      </c>
      <c r="P1474" s="70">
        <f>Table1[[#This Row],[Overall amount]]*Exchange_Rate</f>
        <v>251.80947738375477</v>
      </c>
      <c r="Q1474" s="70">
        <f>Table1[[#This Row],[Overall (destination currency)]]*(1+Claims_Inflation)^((Revalue_at_date-Table1[[#This Row],[Loss date]])/365.25)</f>
        <v>330.59999999999997</v>
      </c>
      <c r="R1474" s="70">
        <f>INT(Table1[[#This Row],[Reporting date]])-INT(Table1[[#This Row],[Loss date]])</f>
        <v>0</v>
      </c>
      <c r="S1474" s="69" t="s">
        <v>9</v>
      </c>
      <c r="T1474" s="70">
        <f>VLOOKUP(Table1[[#This Row],[Policy Year]],exposure_table,3,FALSE)</f>
        <v>760.22808576000011</v>
      </c>
      <c r="U1474" s="17">
        <f>IF(MONTH(Table1[[#This Row],[Reporting date]])&lt;Policy_Inception_Month,YEAR(Table1[[#This Row],[Reporting date]])-1,YEAR(Table1[[#This Row],[Reporting date]]))</f>
        <v>2009</v>
      </c>
      <c r="V1474" s="17">
        <f>Table1[[#This Row],[Reporting year]]-Table1[[#This Row],[Policy Year]]</f>
        <v>0</v>
      </c>
      <c r="W1474" s="17">
        <f>INT(Table1[[#This Row],[Reporting date]])-INT(Table1[[#This Row],[Loss date]])</f>
        <v>0</v>
      </c>
      <c r="X1474" s="17">
        <f>INT((YEAR(Table1[[#This Row],[Loss date]])*12+MONTH(Table1[[#This Row],[Loss date]])-Earliest_Month)/4)</f>
        <v>14</v>
      </c>
      <c r="Y1474" s="17">
        <f>INT((YEAR(Table1[[#This Row],[Reporting date]])*12+MONTH(Table1[[#This Row],[Reporting date]])-Earliest_Month)/4)</f>
        <v>14</v>
      </c>
      <c r="Z1474" s="17">
        <f>Table1[[#This Row],[Reporting third]]-Table1[[#This Row],[Policy third]]</f>
        <v>0</v>
      </c>
      <c r="AA1474" s="71">
        <f>IF(Table1[[#This Row],[Overall amount]]=0,"N/A",Table1[[#This Row],[Outstanding]]/Table1[[#This Row],[Overall amount]])</f>
        <v>0</v>
      </c>
      <c r="AB1474" s="17">
        <f>IF(MONTH(Table1[[#This Row],[Loss date]])&lt;Pol_Inc_Month_Shifted,YEAR(Table1[[#This Row],[Loss date]])-1,YEAR(Table1[[#This Row],[Loss date]]))</f>
        <v>2009</v>
      </c>
      <c r="AC1474" s="17">
        <f>IF(MONTH(Table1[[#This Row],[Reporting date]])&lt;Pol_Inc_Month_Shifted,YEAR(Table1[[#This Row],[Reporting date]])-1,YEAR(Table1[[#This Row],[Reporting date]]))</f>
        <v>2009</v>
      </c>
      <c r="AD1474" s="17">
        <f>Table1[[#This Row],[Reporting year (shifted)]]-Table1[[#This Row],[Policy Year (shifted)]]</f>
        <v>0</v>
      </c>
    </row>
    <row r="1475" spans="1:30" ht="13.9">
      <c r="A1475" s="8" t="s">
        <v>3245</v>
      </c>
      <c r="B1475" s="8" t="s">
        <v>1527</v>
      </c>
      <c r="C1475" s="8" t="s">
        <v>118</v>
      </c>
      <c r="D1475" s="9">
        <v>40327</v>
      </c>
      <c r="E1475" s="9">
        <v>40327</v>
      </c>
      <c r="F1475" s="17">
        <f>IF(MONTH(Table1[[#This Row],[Loss date]])&lt;Policy_Inception_Month,YEAR(Table1[[#This Row],[Loss date]])-1,YEAR(Table1[[#This Row],[Loss date]]))</f>
        <v>2010</v>
      </c>
      <c r="G1475" s="10" t="s">
        <v>128</v>
      </c>
      <c r="H1475" s="10" t="s">
        <v>2</v>
      </c>
      <c r="I1475" s="11">
        <v>12844.125704058801</v>
      </c>
      <c r="J1475" s="11">
        <v>0</v>
      </c>
      <c r="K1475" s="11">
        <v>12844.125704058801</v>
      </c>
      <c r="L1475" s="12">
        <v>0</v>
      </c>
      <c r="M1475" s="12">
        <v>0</v>
      </c>
      <c r="N1475" s="12">
        <v>12844.125704058801</v>
      </c>
      <c r="O1475" s="70">
        <f>IF(Table1[[#This Row],[Overall amount]]=0,0,1)</f>
        <v>1</v>
      </c>
      <c r="P1475" s="70">
        <f>Table1[[#This Row],[Overall amount]]*Exchange_Rate</f>
        <v>12844.125704058801</v>
      </c>
      <c r="Q1475" s="70">
        <f>Table1[[#This Row],[Overall (destination currency)]]*(1+Claims_Inflation)^((Revalue_at_date-Table1[[#This Row],[Loss date]])/365.25)</f>
        <v>16668.180000000004</v>
      </c>
      <c r="R1475" s="70">
        <f>INT(Table1[[#This Row],[Reporting date]])-INT(Table1[[#This Row],[Loss date]])</f>
        <v>0</v>
      </c>
      <c r="S1475" s="69" t="s">
        <v>9</v>
      </c>
      <c r="T1475" s="70">
        <f>VLOOKUP(Table1[[#This Row],[Policy Year]],exposure_table,3,FALSE)</f>
        <v>837.11513600000012</v>
      </c>
      <c r="U1475" s="17">
        <f>IF(MONTH(Table1[[#This Row],[Reporting date]])&lt;Policy_Inception_Month,YEAR(Table1[[#This Row],[Reporting date]])-1,YEAR(Table1[[#This Row],[Reporting date]]))</f>
        <v>2010</v>
      </c>
      <c r="V1475" s="17">
        <f>Table1[[#This Row],[Reporting year]]-Table1[[#This Row],[Policy Year]]</f>
        <v>0</v>
      </c>
      <c r="W1475" s="17">
        <f>INT(Table1[[#This Row],[Reporting date]])-INT(Table1[[#This Row],[Loss date]])</f>
        <v>0</v>
      </c>
      <c r="X1475" s="17">
        <f>INT((YEAR(Table1[[#This Row],[Loss date]])*12+MONTH(Table1[[#This Row],[Loss date]])-Earliest_Month)/4)</f>
        <v>15</v>
      </c>
      <c r="Y1475" s="17">
        <f>INT((YEAR(Table1[[#This Row],[Reporting date]])*12+MONTH(Table1[[#This Row],[Reporting date]])-Earliest_Month)/4)</f>
        <v>15</v>
      </c>
      <c r="Z1475" s="17">
        <f>Table1[[#This Row],[Reporting third]]-Table1[[#This Row],[Policy third]]</f>
        <v>0</v>
      </c>
      <c r="AA1475" s="71">
        <f>IF(Table1[[#This Row],[Overall amount]]=0,"N/A",Table1[[#This Row],[Outstanding]]/Table1[[#This Row],[Overall amount]])</f>
        <v>0</v>
      </c>
      <c r="AB1475" s="17">
        <f>IF(MONTH(Table1[[#This Row],[Loss date]])&lt;Pol_Inc_Month_Shifted,YEAR(Table1[[#This Row],[Loss date]])-1,YEAR(Table1[[#This Row],[Loss date]]))</f>
        <v>2009</v>
      </c>
      <c r="AC1475" s="17">
        <f>IF(MONTH(Table1[[#This Row],[Reporting date]])&lt;Pol_Inc_Month_Shifted,YEAR(Table1[[#This Row],[Reporting date]])-1,YEAR(Table1[[#This Row],[Reporting date]]))</f>
        <v>2009</v>
      </c>
      <c r="AD1475" s="17">
        <f>Table1[[#This Row],[Reporting year (shifted)]]-Table1[[#This Row],[Policy Year (shifted)]]</f>
        <v>0</v>
      </c>
    </row>
    <row r="1476" spans="1:30" ht="13.9">
      <c r="A1476" s="8" t="s">
        <v>3246</v>
      </c>
      <c r="B1476" s="8" t="s">
        <v>1528</v>
      </c>
      <c r="C1476" s="8" t="s">
        <v>118</v>
      </c>
      <c r="D1476" s="9">
        <v>40329</v>
      </c>
      <c r="E1476" s="9">
        <v>40329</v>
      </c>
      <c r="F1476" s="17">
        <f>IF(MONTH(Table1[[#This Row],[Loss date]])&lt;Policy_Inception_Month,YEAR(Table1[[#This Row],[Loss date]])-1,YEAR(Table1[[#This Row],[Loss date]]))</f>
        <v>2010</v>
      </c>
      <c r="G1476" s="10" t="s">
        <v>128</v>
      </c>
      <c r="H1476" s="10" t="s">
        <v>2</v>
      </c>
      <c r="I1476" s="11">
        <v>17747.391119413387</v>
      </c>
      <c r="J1476" s="11">
        <v>0</v>
      </c>
      <c r="K1476" s="11">
        <v>17747.391119413387</v>
      </c>
      <c r="L1476" s="12">
        <v>0</v>
      </c>
      <c r="M1476" s="12">
        <v>0</v>
      </c>
      <c r="N1476" s="12">
        <v>17747.391119413387</v>
      </c>
      <c r="O1476" s="70">
        <f>IF(Table1[[#This Row],[Overall amount]]=0,0,1)</f>
        <v>1</v>
      </c>
      <c r="P1476" s="70">
        <f>Table1[[#This Row],[Overall amount]]*Exchange_Rate</f>
        <v>17747.391119413387</v>
      </c>
      <c r="Q1476" s="70">
        <f>Table1[[#This Row],[Overall (destination currency)]]*(1+Claims_Inflation)^((Revalue_at_date-Table1[[#This Row],[Loss date]])/365.25)</f>
        <v>23025.132000000001</v>
      </c>
      <c r="R1476" s="70">
        <f>INT(Table1[[#This Row],[Reporting date]])-INT(Table1[[#This Row],[Loss date]])</f>
        <v>0</v>
      </c>
      <c r="S1476" s="69" t="s">
        <v>9</v>
      </c>
      <c r="T1476" s="70">
        <f>VLOOKUP(Table1[[#This Row],[Policy Year]],exposure_table,3,FALSE)</f>
        <v>837.11513600000012</v>
      </c>
      <c r="U1476" s="17">
        <f>IF(MONTH(Table1[[#This Row],[Reporting date]])&lt;Policy_Inception_Month,YEAR(Table1[[#This Row],[Reporting date]])-1,YEAR(Table1[[#This Row],[Reporting date]]))</f>
        <v>2010</v>
      </c>
      <c r="V1476" s="17">
        <f>Table1[[#This Row],[Reporting year]]-Table1[[#This Row],[Policy Year]]</f>
        <v>0</v>
      </c>
      <c r="W1476" s="17">
        <f>INT(Table1[[#This Row],[Reporting date]])-INT(Table1[[#This Row],[Loss date]])</f>
        <v>0</v>
      </c>
      <c r="X1476" s="17">
        <f>INT((YEAR(Table1[[#This Row],[Loss date]])*12+MONTH(Table1[[#This Row],[Loss date]])-Earliest_Month)/4)</f>
        <v>15</v>
      </c>
      <c r="Y1476" s="17">
        <f>INT((YEAR(Table1[[#This Row],[Reporting date]])*12+MONTH(Table1[[#This Row],[Reporting date]])-Earliest_Month)/4)</f>
        <v>15</v>
      </c>
      <c r="Z1476" s="17">
        <f>Table1[[#This Row],[Reporting third]]-Table1[[#This Row],[Policy third]]</f>
        <v>0</v>
      </c>
      <c r="AA1476" s="71">
        <f>IF(Table1[[#This Row],[Overall amount]]=0,"N/A",Table1[[#This Row],[Outstanding]]/Table1[[#This Row],[Overall amount]])</f>
        <v>0</v>
      </c>
      <c r="AB1476" s="17">
        <f>IF(MONTH(Table1[[#This Row],[Loss date]])&lt;Pol_Inc_Month_Shifted,YEAR(Table1[[#This Row],[Loss date]])-1,YEAR(Table1[[#This Row],[Loss date]]))</f>
        <v>2009</v>
      </c>
      <c r="AC1476" s="17">
        <f>IF(MONTH(Table1[[#This Row],[Reporting date]])&lt;Pol_Inc_Month_Shifted,YEAR(Table1[[#This Row],[Reporting date]])-1,YEAR(Table1[[#This Row],[Reporting date]]))</f>
        <v>2009</v>
      </c>
      <c r="AD1476" s="17">
        <f>Table1[[#This Row],[Reporting year (shifted)]]-Table1[[#This Row],[Policy Year (shifted)]]</f>
        <v>0</v>
      </c>
    </row>
    <row r="1477" spans="1:30" ht="13.9">
      <c r="A1477" s="8" t="s">
        <v>3247</v>
      </c>
      <c r="B1477" s="8" t="s">
        <v>1529</v>
      </c>
      <c r="C1477" s="8" t="s">
        <v>118</v>
      </c>
      <c r="D1477" s="9">
        <v>40355</v>
      </c>
      <c r="E1477" s="9">
        <v>40357</v>
      </c>
      <c r="F1477" s="17">
        <f>IF(MONTH(Table1[[#This Row],[Loss date]])&lt;Policy_Inception_Month,YEAR(Table1[[#This Row],[Loss date]])-1,YEAR(Table1[[#This Row],[Loss date]]))</f>
        <v>2010</v>
      </c>
      <c r="G1477" s="10" t="s">
        <v>125</v>
      </c>
      <c r="H1477" s="10" t="s">
        <v>2</v>
      </c>
      <c r="I1477" s="11">
        <v>3551.8291759406079</v>
      </c>
      <c r="J1477" s="11">
        <v>0</v>
      </c>
      <c r="K1477" s="11">
        <v>3551.8291759406079</v>
      </c>
      <c r="L1477" s="12">
        <v>0</v>
      </c>
      <c r="M1477" s="12">
        <v>0</v>
      </c>
      <c r="N1477" s="12">
        <v>3551.8291759406079</v>
      </c>
      <c r="O1477" s="70">
        <f>IF(Table1[[#This Row],[Overall amount]]=0,0,1)</f>
        <v>1</v>
      </c>
      <c r="P1477" s="70">
        <f>Table1[[#This Row],[Overall amount]]*Exchange_Rate</f>
        <v>3551.8291759406079</v>
      </c>
      <c r="Q1477" s="70">
        <f>Table1[[#This Row],[Overall (destination currency)]]*(1+Claims_Inflation)^((Revalue_at_date-Table1[[#This Row],[Loss date]])/365.25)</f>
        <v>4592.0999999999995</v>
      </c>
      <c r="R1477" s="70">
        <f>INT(Table1[[#This Row],[Reporting date]])-INT(Table1[[#This Row],[Loss date]])</f>
        <v>2</v>
      </c>
      <c r="S1477" s="69" t="s">
        <v>9</v>
      </c>
      <c r="T1477" s="70">
        <f>VLOOKUP(Table1[[#This Row],[Policy Year]],exposure_table,3,FALSE)</f>
        <v>837.11513600000012</v>
      </c>
      <c r="U1477" s="17">
        <f>IF(MONTH(Table1[[#This Row],[Reporting date]])&lt;Policy_Inception_Month,YEAR(Table1[[#This Row],[Reporting date]])-1,YEAR(Table1[[#This Row],[Reporting date]]))</f>
        <v>2010</v>
      </c>
      <c r="V1477" s="17">
        <f>Table1[[#This Row],[Reporting year]]-Table1[[#This Row],[Policy Year]]</f>
        <v>0</v>
      </c>
      <c r="W1477" s="17">
        <f>INT(Table1[[#This Row],[Reporting date]])-INT(Table1[[#This Row],[Loss date]])</f>
        <v>2</v>
      </c>
      <c r="X1477" s="17">
        <f>INT((YEAR(Table1[[#This Row],[Loss date]])*12+MONTH(Table1[[#This Row],[Loss date]])-Earliest_Month)/4)</f>
        <v>15</v>
      </c>
      <c r="Y1477" s="17">
        <f>INT((YEAR(Table1[[#This Row],[Reporting date]])*12+MONTH(Table1[[#This Row],[Reporting date]])-Earliest_Month)/4)</f>
        <v>15</v>
      </c>
      <c r="Z1477" s="17">
        <f>Table1[[#This Row],[Reporting third]]-Table1[[#This Row],[Policy third]]</f>
        <v>0</v>
      </c>
      <c r="AA1477" s="71">
        <f>IF(Table1[[#This Row],[Overall amount]]=0,"N/A",Table1[[#This Row],[Outstanding]]/Table1[[#This Row],[Overall amount]])</f>
        <v>0</v>
      </c>
      <c r="AB1477" s="17">
        <f>IF(MONTH(Table1[[#This Row],[Loss date]])&lt;Pol_Inc_Month_Shifted,YEAR(Table1[[#This Row],[Loss date]])-1,YEAR(Table1[[#This Row],[Loss date]]))</f>
        <v>2009</v>
      </c>
      <c r="AC1477" s="17">
        <f>IF(MONTH(Table1[[#This Row],[Reporting date]])&lt;Pol_Inc_Month_Shifted,YEAR(Table1[[#This Row],[Reporting date]])-1,YEAR(Table1[[#This Row],[Reporting date]]))</f>
        <v>2009</v>
      </c>
      <c r="AD1477" s="17">
        <f>Table1[[#This Row],[Reporting year (shifted)]]-Table1[[#This Row],[Policy Year (shifted)]]</f>
        <v>0</v>
      </c>
    </row>
    <row r="1478" spans="1:30" ht="13.9">
      <c r="A1478" s="8" t="s">
        <v>3248</v>
      </c>
      <c r="B1478" s="8" t="s">
        <v>1530</v>
      </c>
      <c r="C1478" s="8" t="s">
        <v>118</v>
      </c>
      <c r="D1478" s="9">
        <v>40400</v>
      </c>
      <c r="E1478" s="9">
        <v>40403</v>
      </c>
      <c r="F1478" s="17">
        <f>IF(MONTH(Table1[[#This Row],[Loss date]])&lt;Policy_Inception_Month,YEAR(Table1[[#This Row],[Loss date]])-1,YEAR(Table1[[#This Row],[Loss date]]))</f>
        <v>2010</v>
      </c>
      <c r="G1478" s="10" t="s">
        <v>129</v>
      </c>
      <c r="H1478" s="10" t="s">
        <v>2</v>
      </c>
      <c r="I1478" s="11">
        <v>216.63097563476751</v>
      </c>
      <c r="J1478" s="11">
        <v>0</v>
      </c>
      <c r="K1478" s="11">
        <v>216.63097563476751</v>
      </c>
      <c r="L1478" s="12">
        <v>0</v>
      </c>
      <c r="M1478" s="12">
        <v>0</v>
      </c>
      <c r="N1478" s="12">
        <v>216.63097563476751</v>
      </c>
      <c r="O1478" s="70">
        <f>IF(Table1[[#This Row],[Overall amount]]=0,0,1)</f>
        <v>1</v>
      </c>
      <c r="P1478" s="70">
        <f>Table1[[#This Row],[Overall amount]]*Exchange_Rate</f>
        <v>216.63097563476751</v>
      </c>
      <c r="Q1478" s="70">
        <f>Table1[[#This Row],[Overall (destination currency)]]*(1+Claims_Inflation)^((Revalue_at_date-Table1[[#This Row],[Loss date]])/365.25)</f>
        <v>278.39999999999998</v>
      </c>
      <c r="R1478" s="70">
        <f>INT(Table1[[#This Row],[Reporting date]])-INT(Table1[[#This Row],[Loss date]])</f>
        <v>3</v>
      </c>
      <c r="S1478" s="69" t="s">
        <v>9</v>
      </c>
      <c r="T1478" s="70">
        <f>VLOOKUP(Table1[[#This Row],[Policy Year]],exposure_table,3,FALSE)</f>
        <v>837.11513600000012</v>
      </c>
      <c r="U1478" s="17">
        <f>IF(MONTH(Table1[[#This Row],[Reporting date]])&lt;Policy_Inception_Month,YEAR(Table1[[#This Row],[Reporting date]])-1,YEAR(Table1[[#This Row],[Reporting date]]))</f>
        <v>2010</v>
      </c>
      <c r="V1478" s="17">
        <f>Table1[[#This Row],[Reporting year]]-Table1[[#This Row],[Policy Year]]</f>
        <v>0</v>
      </c>
      <c r="W1478" s="17">
        <f>INT(Table1[[#This Row],[Reporting date]])-INT(Table1[[#This Row],[Loss date]])</f>
        <v>3</v>
      </c>
      <c r="X1478" s="17">
        <f>INT((YEAR(Table1[[#This Row],[Loss date]])*12+MONTH(Table1[[#This Row],[Loss date]])-Earliest_Month)/4)</f>
        <v>16</v>
      </c>
      <c r="Y1478" s="17">
        <f>INT((YEAR(Table1[[#This Row],[Reporting date]])*12+MONTH(Table1[[#This Row],[Reporting date]])-Earliest_Month)/4)</f>
        <v>16</v>
      </c>
      <c r="Z1478" s="17">
        <f>Table1[[#This Row],[Reporting third]]-Table1[[#This Row],[Policy third]]</f>
        <v>0</v>
      </c>
      <c r="AA1478" s="71">
        <f>IF(Table1[[#This Row],[Overall amount]]=0,"N/A",Table1[[#This Row],[Outstanding]]/Table1[[#This Row],[Overall amount]])</f>
        <v>0</v>
      </c>
      <c r="AB1478" s="17">
        <f>IF(MONTH(Table1[[#This Row],[Loss date]])&lt;Pol_Inc_Month_Shifted,YEAR(Table1[[#This Row],[Loss date]])-1,YEAR(Table1[[#This Row],[Loss date]]))</f>
        <v>2009</v>
      </c>
      <c r="AC1478" s="17">
        <f>IF(MONTH(Table1[[#This Row],[Reporting date]])&lt;Pol_Inc_Month_Shifted,YEAR(Table1[[#This Row],[Reporting date]])-1,YEAR(Table1[[#This Row],[Reporting date]]))</f>
        <v>2009</v>
      </c>
      <c r="AD1478" s="17">
        <f>Table1[[#This Row],[Reporting year (shifted)]]-Table1[[#This Row],[Policy Year (shifted)]]</f>
        <v>0</v>
      </c>
    </row>
    <row r="1479" spans="1:30" ht="13.9">
      <c r="A1479" s="8" t="s">
        <v>3249</v>
      </c>
      <c r="B1479" s="8" t="s">
        <v>1531</v>
      </c>
      <c r="C1479" s="8" t="s">
        <v>118</v>
      </c>
      <c r="D1479" s="9">
        <v>40391</v>
      </c>
      <c r="E1479" s="9">
        <v>40391</v>
      </c>
      <c r="F1479" s="17">
        <f>IF(MONTH(Table1[[#This Row],[Loss date]])&lt;Policy_Inception_Month,YEAR(Table1[[#This Row],[Loss date]])-1,YEAR(Table1[[#This Row],[Loss date]]))</f>
        <v>2010</v>
      </c>
      <c r="G1479" s="10" t="s">
        <v>128</v>
      </c>
      <c r="H1479" s="10" t="s">
        <v>2</v>
      </c>
      <c r="I1479" s="11">
        <v>14134.247689766196</v>
      </c>
      <c r="J1479" s="11">
        <v>0</v>
      </c>
      <c r="K1479" s="11">
        <v>14134.247689766196</v>
      </c>
      <c r="L1479" s="12">
        <v>0</v>
      </c>
      <c r="M1479" s="12">
        <v>0</v>
      </c>
      <c r="N1479" s="12">
        <v>14134.247689766196</v>
      </c>
      <c r="O1479" s="70">
        <f>IF(Table1[[#This Row],[Overall amount]]=0,0,1)</f>
        <v>1</v>
      </c>
      <c r="P1479" s="70">
        <f>Table1[[#This Row],[Overall amount]]*Exchange_Rate</f>
        <v>14134.247689766196</v>
      </c>
      <c r="Q1479" s="70">
        <f>Table1[[#This Row],[Overall (destination currency)]]*(1+Claims_Inflation)^((Revalue_at_date-Table1[[#This Row],[Loss date]])/365.25)</f>
        <v>18186.263999999996</v>
      </c>
      <c r="R1479" s="70">
        <f>INT(Table1[[#This Row],[Reporting date]])-INT(Table1[[#This Row],[Loss date]])</f>
        <v>0</v>
      </c>
      <c r="S1479" s="69" t="s">
        <v>9</v>
      </c>
      <c r="T1479" s="70">
        <f>VLOOKUP(Table1[[#This Row],[Policy Year]],exposure_table,3,FALSE)</f>
        <v>837.11513600000012</v>
      </c>
      <c r="U1479" s="17">
        <f>IF(MONTH(Table1[[#This Row],[Reporting date]])&lt;Policy_Inception_Month,YEAR(Table1[[#This Row],[Reporting date]])-1,YEAR(Table1[[#This Row],[Reporting date]]))</f>
        <v>2010</v>
      </c>
      <c r="V1479" s="17">
        <f>Table1[[#This Row],[Reporting year]]-Table1[[#This Row],[Policy Year]]</f>
        <v>0</v>
      </c>
      <c r="W1479" s="17">
        <f>INT(Table1[[#This Row],[Reporting date]])-INT(Table1[[#This Row],[Loss date]])</f>
        <v>0</v>
      </c>
      <c r="X1479" s="17">
        <f>INT((YEAR(Table1[[#This Row],[Loss date]])*12+MONTH(Table1[[#This Row],[Loss date]])-Earliest_Month)/4)</f>
        <v>16</v>
      </c>
      <c r="Y1479" s="17">
        <f>INT((YEAR(Table1[[#This Row],[Reporting date]])*12+MONTH(Table1[[#This Row],[Reporting date]])-Earliest_Month)/4)</f>
        <v>16</v>
      </c>
      <c r="Z1479" s="17">
        <f>Table1[[#This Row],[Reporting third]]-Table1[[#This Row],[Policy third]]</f>
        <v>0</v>
      </c>
      <c r="AA1479" s="71">
        <f>IF(Table1[[#This Row],[Overall amount]]=0,"N/A",Table1[[#This Row],[Outstanding]]/Table1[[#This Row],[Overall amount]])</f>
        <v>0</v>
      </c>
      <c r="AB1479" s="17">
        <f>IF(MONTH(Table1[[#This Row],[Loss date]])&lt;Pol_Inc_Month_Shifted,YEAR(Table1[[#This Row],[Loss date]])-1,YEAR(Table1[[#This Row],[Loss date]]))</f>
        <v>2009</v>
      </c>
      <c r="AC1479" s="17">
        <f>IF(MONTH(Table1[[#This Row],[Reporting date]])&lt;Pol_Inc_Month_Shifted,YEAR(Table1[[#This Row],[Reporting date]])-1,YEAR(Table1[[#This Row],[Reporting date]]))</f>
        <v>2009</v>
      </c>
      <c r="AD1479" s="17">
        <f>Table1[[#This Row],[Reporting year (shifted)]]-Table1[[#This Row],[Policy Year (shifted)]]</f>
        <v>0</v>
      </c>
    </row>
    <row r="1480" spans="1:30" ht="13.9">
      <c r="A1480" s="8" t="s">
        <v>3250</v>
      </c>
      <c r="B1480" s="8" t="s">
        <v>1532</v>
      </c>
      <c r="C1480" s="8" t="s">
        <v>118</v>
      </c>
      <c r="D1480" s="9">
        <v>40189</v>
      </c>
      <c r="E1480" s="9">
        <v>40424</v>
      </c>
      <c r="F1480" s="17">
        <f>IF(MONTH(Table1[[#This Row],[Loss date]])&lt;Policy_Inception_Month,YEAR(Table1[[#This Row],[Loss date]])-1,YEAR(Table1[[#This Row],[Loss date]]))</f>
        <v>2009</v>
      </c>
      <c r="G1480" s="10" t="s">
        <v>128</v>
      </c>
      <c r="H1480" s="10" t="s">
        <v>2</v>
      </c>
      <c r="I1480" s="11">
        <v>842.44154242588434</v>
      </c>
      <c r="J1480" s="11">
        <v>0</v>
      </c>
      <c r="K1480" s="11">
        <v>842.44154242588434</v>
      </c>
      <c r="L1480" s="12">
        <v>0</v>
      </c>
      <c r="M1480" s="12">
        <v>0</v>
      </c>
      <c r="N1480" s="12">
        <v>842.44154242588434</v>
      </c>
      <c r="O1480" s="70">
        <f>IF(Table1[[#This Row],[Overall amount]]=0,0,1)</f>
        <v>1</v>
      </c>
      <c r="P1480" s="70">
        <f>Table1[[#This Row],[Overall amount]]*Exchange_Rate</f>
        <v>842.44154242588434</v>
      </c>
      <c r="Q1480" s="70">
        <f>Table1[[#This Row],[Overall (destination currency)]]*(1+Claims_Inflation)^((Revalue_at_date-Table1[[#This Row],[Loss date]])/365.25)</f>
        <v>1113.5999999999999</v>
      </c>
      <c r="R1480" s="70">
        <f>INT(Table1[[#This Row],[Reporting date]])-INT(Table1[[#This Row],[Loss date]])</f>
        <v>235</v>
      </c>
      <c r="S1480" s="69" t="s">
        <v>9</v>
      </c>
      <c r="T1480" s="70">
        <f>VLOOKUP(Table1[[#This Row],[Policy Year]],exposure_table,3,FALSE)</f>
        <v>760.22808576000011</v>
      </c>
      <c r="U1480" s="17">
        <f>IF(MONTH(Table1[[#This Row],[Reporting date]])&lt;Policy_Inception_Month,YEAR(Table1[[#This Row],[Reporting date]])-1,YEAR(Table1[[#This Row],[Reporting date]]))</f>
        <v>2010</v>
      </c>
      <c r="V1480" s="17">
        <f>Table1[[#This Row],[Reporting year]]-Table1[[#This Row],[Policy Year]]</f>
        <v>1</v>
      </c>
      <c r="W1480" s="17">
        <f>INT(Table1[[#This Row],[Reporting date]])-INT(Table1[[#This Row],[Loss date]])</f>
        <v>235</v>
      </c>
      <c r="X1480" s="17">
        <f>INT((YEAR(Table1[[#This Row],[Loss date]])*12+MONTH(Table1[[#This Row],[Loss date]])-Earliest_Month)/4)</f>
        <v>14</v>
      </c>
      <c r="Y1480" s="17">
        <f>INT((YEAR(Table1[[#This Row],[Reporting date]])*12+MONTH(Table1[[#This Row],[Reporting date]])-Earliest_Month)/4)</f>
        <v>16</v>
      </c>
      <c r="Z1480" s="17">
        <f>Table1[[#This Row],[Reporting third]]-Table1[[#This Row],[Policy third]]</f>
        <v>2</v>
      </c>
      <c r="AA1480" s="71">
        <f>IF(Table1[[#This Row],[Overall amount]]=0,"N/A",Table1[[#This Row],[Outstanding]]/Table1[[#This Row],[Overall amount]])</f>
        <v>0</v>
      </c>
      <c r="AB1480" s="17">
        <f>IF(MONTH(Table1[[#This Row],[Loss date]])&lt;Pol_Inc_Month_Shifted,YEAR(Table1[[#This Row],[Loss date]])-1,YEAR(Table1[[#This Row],[Loss date]]))</f>
        <v>2009</v>
      </c>
      <c r="AC1480" s="17">
        <f>IF(MONTH(Table1[[#This Row],[Reporting date]])&lt;Pol_Inc_Month_Shifted,YEAR(Table1[[#This Row],[Reporting date]])-1,YEAR(Table1[[#This Row],[Reporting date]]))</f>
        <v>2009</v>
      </c>
      <c r="AD1480" s="17">
        <f>Table1[[#This Row],[Reporting year (shifted)]]-Table1[[#This Row],[Policy Year (shifted)]]</f>
        <v>0</v>
      </c>
    </row>
    <row r="1481" spans="1:30" ht="13.9">
      <c r="A1481" s="8" t="s">
        <v>3251</v>
      </c>
      <c r="B1481" s="8" t="s">
        <v>1533</v>
      </c>
      <c r="C1481" s="8" t="s">
        <v>118</v>
      </c>
      <c r="D1481" s="9">
        <v>39728</v>
      </c>
      <c r="E1481" s="9">
        <v>39973</v>
      </c>
      <c r="F1481" s="17">
        <f>IF(MONTH(Table1[[#This Row],[Loss date]])&lt;Policy_Inception_Month,YEAR(Table1[[#This Row],[Loss date]])-1,YEAR(Table1[[#This Row],[Loss date]]))</f>
        <v>2008</v>
      </c>
      <c r="G1481" s="10" t="s">
        <v>119</v>
      </c>
      <c r="H1481" s="10" t="s">
        <v>2</v>
      </c>
      <c r="I1481" s="11">
        <v>9521.3436096834575</v>
      </c>
      <c r="J1481" s="11">
        <v>0</v>
      </c>
      <c r="K1481" s="11">
        <v>9521.3436096834575</v>
      </c>
      <c r="L1481" s="12">
        <v>0</v>
      </c>
      <c r="M1481" s="12">
        <v>0</v>
      </c>
      <c r="N1481" s="12">
        <v>9521.3436096834575</v>
      </c>
      <c r="O1481" s="70">
        <f>IF(Table1[[#This Row],[Overall amount]]=0,0,1)</f>
        <v>1</v>
      </c>
      <c r="P1481" s="70">
        <f>Table1[[#This Row],[Overall amount]]*Exchange_Rate</f>
        <v>9521.3436096834575</v>
      </c>
      <c r="Q1481" s="70">
        <f>Table1[[#This Row],[Overall (destination currency)]]*(1+Claims_Inflation)^((Revalue_at_date-Table1[[#This Row],[Loss date]])/365.25)</f>
        <v>13385.412</v>
      </c>
      <c r="R1481" s="70">
        <f>INT(Table1[[#This Row],[Reporting date]])-INT(Table1[[#This Row],[Loss date]])</f>
        <v>245</v>
      </c>
      <c r="S1481" s="69" t="s">
        <v>9</v>
      </c>
      <c r="T1481" s="70">
        <f>VLOOKUP(Table1[[#This Row],[Policy Year]],exposure_table,3,FALSE)</f>
        <v>601.98581780480015</v>
      </c>
      <c r="U1481" s="17">
        <f>IF(MONTH(Table1[[#This Row],[Reporting date]])&lt;Policy_Inception_Month,YEAR(Table1[[#This Row],[Reporting date]])-1,YEAR(Table1[[#This Row],[Reporting date]]))</f>
        <v>2009</v>
      </c>
      <c r="V1481" s="17">
        <f>Table1[[#This Row],[Reporting year]]-Table1[[#This Row],[Policy Year]]</f>
        <v>1</v>
      </c>
      <c r="W1481" s="17">
        <f>INT(Table1[[#This Row],[Reporting date]])-INT(Table1[[#This Row],[Loss date]])</f>
        <v>245</v>
      </c>
      <c r="X1481" s="17">
        <f>INT((YEAR(Table1[[#This Row],[Loss date]])*12+MONTH(Table1[[#This Row],[Loss date]])-Earliest_Month)/4)</f>
        <v>10</v>
      </c>
      <c r="Y1481" s="17">
        <f>INT((YEAR(Table1[[#This Row],[Reporting date]])*12+MONTH(Table1[[#This Row],[Reporting date]])-Earliest_Month)/4)</f>
        <v>12</v>
      </c>
      <c r="Z1481" s="17">
        <f>Table1[[#This Row],[Reporting third]]-Table1[[#This Row],[Policy third]]</f>
        <v>2</v>
      </c>
      <c r="AA1481" s="71">
        <f>IF(Table1[[#This Row],[Overall amount]]=0,"N/A",Table1[[#This Row],[Outstanding]]/Table1[[#This Row],[Overall amount]])</f>
        <v>0</v>
      </c>
      <c r="AB1481" s="17">
        <f>IF(MONTH(Table1[[#This Row],[Loss date]])&lt;Pol_Inc_Month_Shifted,YEAR(Table1[[#This Row],[Loss date]])-1,YEAR(Table1[[#This Row],[Loss date]]))</f>
        <v>2007</v>
      </c>
      <c r="AC1481" s="17">
        <f>IF(MONTH(Table1[[#This Row],[Reporting date]])&lt;Pol_Inc_Month_Shifted,YEAR(Table1[[#This Row],[Reporting date]])-1,YEAR(Table1[[#This Row],[Reporting date]]))</f>
        <v>2008</v>
      </c>
      <c r="AD1481" s="17">
        <f>Table1[[#This Row],[Reporting year (shifted)]]-Table1[[#This Row],[Policy Year (shifted)]]</f>
        <v>1</v>
      </c>
    </row>
    <row r="1482" spans="1:30" ht="13.9">
      <c r="A1482" s="8" t="s">
        <v>3252</v>
      </c>
      <c r="B1482" s="8" t="s">
        <v>1534</v>
      </c>
      <c r="C1482" s="8" t="s">
        <v>118</v>
      </c>
      <c r="D1482" s="9">
        <v>40467</v>
      </c>
      <c r="E1482" s="9">
        <v>40467</v>
      </c>
      <c r="F1482" s="17">
        <f>IF(MONTH(Table1[[#This Row],[Loss date]])&lt;Policy_Inception_Month,YEAR(Table1[[#This Row],[Loss date]])-1,YEAR(Table1[[#This Row],[Loss date]]))</f>
        <v>2010</v>
      </c>
      <c r="G1482" s="10" t="s">
        <v>129</v>
      </c>
      <c r="H1482" s="10" t="s">
        <v>2</v>
      </c>
      <c r="I1482" s="11">
        <v>396.17352639769939</v>
      </c>
      <c r="J1482" s="11">
        <v>0</v>
      </c>
      <c r="K1482" s="11">
        <v>396.17352639769939</v>
      </c>
      <c r="L1482" s="12">
        <v>0</v>
      </c>
      <c r="M1482" s="12">
        <v>0</v>
      </c>
      <c r="N1482" s="12">
        <v>396.17352639769939</v>
      </c>
      <c r="O1482" s="70">
        <f>IF(Table1[[#This Row],[Overall amount]]=0,0,1)</f>
        <v>1</v>
      </c>
      <c r="P1482" s="70">
        <f>Table1[[#This Row],[Overall amount]]*Exchange_Rate</f>
        <v>396.17352639769939</v>
      </c>
      <c r="Q1482" s="70">
        <f>Table1[[#This Row],[Overall (destination currency)]]*(1+Claims_Inflation)^((Revalue_at_date-Table1[[#This Row],[Loss date]])/365.25)</f>
        <v>504.59999999999997</v>
      </c>
      <c r="R1482" s="70">
        <f>INT(Table1[[#This Row],[Reporting date]])-INT(Table1[[#This Row],[Loss date]])</f>
        <v>0</v>
      </c>
      <c r="S1482" s="69" t="s">
        <v>9</v>
      </c>
      <c r="T1482" s="70">
        <f>VLOOKUP(Table1[[#This Row],[Policy Year]],exposure_table,3,FALSE)</f>
        <v>837.11513600000012</v>
      </c>
      <c r="U1482" s="17">
        <f>IF(MONTH(Table1[[#This Row],[Reporting date]])&lt;Policy_Inception_Month,YEAR(Table1[[#This Row],[Reporting date]])-1,YEAR(Table1[[#This Row],[Reporting date]]))</f>
        <v>2010</v>
      </c>
      <c r="V1482" s="17">
        <f>Table1[[#This Row],[Reporting year]]-Table1[[#This Row],[Policy Year]]</f>
        <v>0</v>
      </c>
      <c r="W1482" s="17">
        <f>INT(Table1[[#This Row],[Reporting date]])-INT(Table1[[#This Row],[Loss date]])</f>
        <v>0</v>
      </c>
      <c r="X1482" s="17">
        <f>INT((YEAR(Table1[[#This Row],[Loss date]])*12+MONTH(Table1[[#This Row],[Loss date]])-Earliest_Month)/4)</f>
        <v>16</v>
      </c>
      <c r="Y1482" s="17">
        <f>INT((YEAR(Table1[[#This Row],[Reporting date]])*12+MONTH(Table1[[#This Row],[Reporting date]])-Earliest_Month)/4)</f>
        <v>16</v>
      </c>
      <c r="Z1482" s="17">
        <f>Table1[[#This Row],[Reporting third]]-Table1[[#This Row],[Policy third]]</f>
        <v>0</v>
      </c>
      <c r="AA1482" s="71">
        <f>IF(Table1[[#This Row],[Overall amount]]=0,"N/A",Table1[[#This Row],[Outstanding]]/Table1[[#This Row],[Overall amount]])</f>
        <v>0</v>
      </c>
      <c r="AB1482" s="17">
        <f>IF(MONTH(Table1[[#This Row],[Loss date]])&lt;Pol_Inc_Month_Shifted,YEAR(Table1[[#This Row],[Loss date]])-1,YEAR(Table1[[#This Row],[Loss date]]))</f>
        <v>2009</v>
      </c>
      <c r="AC1482" s="17">
        <f>IF(MONTH(Table1[[#This Row],[Reporting date]])&lt;Pol_Inc_Month_Shifted,YEAR(Table1[[#This Row],[Reporting date]])-1,YEAR(Table1[[#This Row],[Reporting date]]))</f>
        <v>2009</v>
      </c>
      <c r="AD1482" s="17">
        <f>Table1[[#This Row],[Reporting year (shifted)]]-Table1[[#This Row],[Policy Year (shifted)]]</f>
        <v>0</v>
      </c>
    </row>
    <row r="1483" spans="1:30" ht="13.9">
      <c r="A1483" s="8" t="s">
        <v>3253</v>
      </c>
      <c r="B1483" s="8" t="s">
        <v>1535</v>
      </c>
      <c r="C1483" s="8" t="s">
        <v>118</v>
      </c>
      <c r="D1483" s="9">
        <v>40491</v>
      </c>
      <c r="E1483" s="9">
        <v>40671</v>
      </c>
      <c r="F1483" s="17">
        <f>IF(MONTH(Table1[[#This Row],[Loss date]])&lt;Policy_Inception_Month,YEAR(Table1[[#This Row],[Loss date]])-1,YEAR(Table1[[#This Row],[Loss date]]))</f>
        <v>2010</v>
      </c>
      <c r="G1483" s="10" t="s">
        <v>119</v>
      </c>
      <c r="H1483" s="10" t="s">
        <v>2</v>
      </c>
      <c r="I1483" s="11">
        <v>14876.56617052076</v>
      </c>
      <c r="J1483" s="11">
        <v>0</v>
      </c>
      <c r="K1483" s="11">
        <v>14876.56617052076</v>
      </c>
      <c r="L1483" s="12">
        <v>0</v>
      </c>
      <c r="M1483" s="12">
        <v>1175.24872747114</v>
      </c>
      <c r="N1483" s="12">
        <v>13701.31744304962</v>
      </c>
      <c r="O1483" s="70">
        <f>IF(Table1[[#This Row],[Overall amount]]=0,0,1)</f>
        <v>1</v>
      </c>
      <c r="P1483" s="70">
        <f>Table1[[#This Row],[Overall amount]]*Exchange_Rate</f>
        <v>13701.31744304962</v>
      </c>
      <c r="Q1483" s="70">
        <f>Table1[[#This Row],[Overall (destination currency)]]*(1+Claims_Inflation)^((Revalue_at_date-Table1[[#This Row],[Loss date]])/365.25)</f>
        <v>17395.295399999999</v>
      </c>
      <c r="R1483" s="70">
        <f>INT(Table1[[#This Row],[Reporting date]])-INT(Table1[[#This Row],[Loss date]])</f>
        <v>180</v>
      </c>
      <c r="S1483" s="69" t="s">
        <v>9</v>
      </c>
      <c r="T1483" s="70">
        <f>VLOOKUP(Table1[[#This Row],[Policy Year]],exposure_table,3,FALSE)</f>
        <v>837.11513600000012</v>
      </c>
      <c r="U1483" s="17">
        <f>IF(MONTH(Table1[[#This Row],[Reporting date]])&lt;Policy_Inception_Month,YEAR(Table1[[#This Row],[Reporting date]])-1,YEAR(Table1[[#This Row],[Reporting date]]))</f>
        <v>2011</v>
      </c>
      <c r="V1483" s="17">
        <f>Table1[[#This Row],[Reporting year]]-Table1[[#This Row],[Policy Year]]</f>
        <v>1</v>
      </c>
      <c r="W1483" s="17">
        <f>INT(Table1[[#This Row],[Reporting date]])-INT(Table1[[#This Row],[Loss date]])</f>
        <v>180</v>
      </c>
      <c r="X1483" s="17">
        <f>INT((YEAR(Table1[[#This Row],[Loss date]])*12+MONTH(Table1[[#This Row],[Loss date]])-Earliest_Month)/4)</f>
        <v>16</v>
      </c>
      <c r="Y1483" s="17">
        <f>INT((YEAR(Table1[[#This Row],[Reporting date]])*12+MONTH(Table1[[#This Row],[Reporting date]])-Earliest_Month)/4)</f>
        <v>18</v>
      </c>
      <c r="Z1483" s="17">
        <f>Table1[[#This Row],[Reporting third]]-Table1[[#This Row],[Policy third]]</f>
        <v>2</v>
      </c>
      <c r="AA1483" s="71">
        <f>IF(Table1[[#This Row],[Overall amount]]=0,"N/A",Table1[[#This Row],[Outstanding]]/Table1[[#This Row],[Overall amount]])</f>
        <v>0</v>
      </c>
      <c r="AB1483" s="17">
        <f>IF(MONTH(Table1[[#This Row],[Loss date]])&lt;Pol_Inc_Month_Shifted,YEAR(Table1[[#This Row],[Loss date]])-1,YEAR(Table1[[#This Row],[Loss date]]))</f>
        <v>2009</v>
      </c>
      <c r="AC1483" s="17">
        <f>IF(MONTH(Table1[[#This Row],[Reporting date]])&lt;Pol_Inc_Month_Shifted,YEAR(Table1[[#This Row],[Reporting date]])-1,YEAR(Table1[[#This Row],[Reporting date]]))</f>
        <v>2010</v>
      </c>
      <c r="AD1483" s="17">
        <f>Table1[[#This Row],[Reporting year (shifted)]]-Table1[[#This Row],[Policy Year (shifted)]]</f>
        <v>1</v>
      </c>
    </row>
    <row r="1484" spans="1:30" ht="13.9">
      <c r="A1484" s="8" t="s">
        <v>3254</v>
      </c>
      <c r="B1484" s="8" t="s">
        <v>1536</v>
      </c>
      <c r="C1484" s="8" t="s">
        <v>118</v>
      </c>
      <c r="D1484" s="9">
        <v>40483</v>
      </c>
      <c r="E1484" s="9">
        <v>40564</v>
      </c>
      <c r="F1484" s="17">
        <f>IF(MONTH(Table1[[#This Row],[Loss date]])&lt;Policy_Inception_Month,YEAR(Table1[[#This Row],[Loss date]])-1,YEAR(Table1[[#This Row],[Loss date]]))</f>
        <v>2010</v>
      </c>
      <c r="G1484" s="10" t="s">
        <v>129</v>
      </c>
      <c r="H1484" s="10" t="s">
        <v>2</v>
      </c>
      <c r="I1484" s="11">
        <v>424.40193698156537</v>
      </c>
      <c r="J1484" s="11">
        <v>0</v>
      </c>
      <c r="K1484" s="11">
        <v>424.40193698156537</v>
      </c>
      <c r="L1484" s="12">
        <v>0</v>
      </c>
      <c r="M1484" s="12">
        <v>0</v>
      </c>
      <c r="N1484" s="12">
        <v>424.40193698156537</v>
      </c>
      <c r="O1484" s="70">
        <f>IF(Table1[[#This Row],[Overall amount]]=0,0,1)</f>
        <v>1</v>
      </c>
      <c r="P1484" s="70">
        <f>Table1[[#This Row],[Overall amount]]*Exchange_Rate</f>
        <v>424.40193698156537</v>
      </c>
      <c r="Q1484" s="70">
        <f>Table1[[#This Row],[Overall (destination currency)]]*(1+Claims_Inflation)^((Revalue_at_date-Table1[[#This Row],[Loss date]])/365.25)</f>
        <v>539.4000000000002</v>
      </c>
      <c r="R1484" s="70">
        <f>INT(Table1[[#This Row],[Reporting date]])-INT(Table1[[#This Row],[Loss date]])</f>
        <v>81</v>
      </c>
      <c r="S1484" s="69" t="s">
        <v>9</v>
      </c>
      <c r="T1484" s="70">
        <f>VLOOKUP(Table1[[#This Row],[Policy Year]],exposure_table,3,FALSE)</f>
        <v>837.11513600000012</v>
      </c>
      <c r="U1484" s="17">
        <f>IF(MONTH(Table1[[#This Row],[Reporting date]])&lt;Policy_Inception_Month,YEAR(Table1[[#This Row],[Reporting date]])-1,YEAR(Table1[[#This Row],[Reporting date]]))</f>
        <v>2010</v>
      </c>
      <c r="V1484" s="17">
        <f>Table1[[#This Row],[Reporting year]]-Table1[[#This Row],[Policy Year]]</f>
        <v>0</v>
      </c>
      <c r="W1484" s="17">
        <f>INT(Table1[[#This Row],[Reporting date]])-INT(Table1[[#This Row],[Loss date]])</f>
        <v>81</v>
      </c>
      <c r="X1484" s="17">
        <f>INT((YEAR(Table1[[#This Row],[Loss date]])*12+MONTH(Table1[[#This Row],[Loss date]])-Earliest_Month)/4)</f>
        <v>16</v>
      </c>
      <c r="Y1484" s="17">
        <f>INT((YEAR(Table1[[#This Row],[Reporting date]])*12+MONTH(Table1[[#This Row],[Reporting date]])-Earliest_Month)/4)</f>
        <v>17</v>
      </c>
      <c r="Z1484" s="17">
        <f>Table1[[#This Row],[Reporting third]]-Table1[[#This Row],[Policy third]]</f>
        <v>1</v>
      </c>
      <c r="AA1484" s="71">
        <f>IF(Table1[[#This Row],[Overall amount]]=0,"N/A",Table1[[#This Row],[Outstanding]]/Table1[[#This Row],[Overall amount]])</f>
        <v>0</v>
      </c>
      <c r="AB1484" s="17">
        <f>IF(MONTH(Table1[[#This Row],[Loss date]])&lt;Pol_Inc_Month_Shifted,YEAR(Table1[[#This Row],[Loss date]])-1,YEAR(Table1[[#This Row],[Loss date]]))</f>
        <v>2009</v>
      </c>
      <c r="AC1484" s="17">
        <f>IF(MONTH(Table1[[#This Row],[Reporting date]])&lt;Pol_Inc_Month_Shifted,YEAR(Table1[[#This Row],[Reporting date]])-1,YEAR(Table1[[#This Row],[Reporting date]]))</f>
        <v>2010</v>
      </c>
      <c r="AD1484" s="17">
        <f>Table1[[#This Row],[Reporting year (shifted)]]-Table1[[#This Row],[Policy Year (shifted)]]</f>
        <v>1</v>
      </c>
    </row>
    <row r="1485" spans="1:30" ht="13.9">
      <c r="A1485" s="8" t="s">
        <v>3255</v>
      </c>
      <c r="B1485" s="8" t="s">
        <v>1537</v>
      </c>
      <c r="C1485" s="8" t="s">
        <v>118</v>
      </c>
      <c r="D1485" s="9">
        <v>40665</v>
      </c>
      <c r="E1485" s="9">
        <v>40669</v>
      </c>
      <c r="F1485" s="17">
        <f>IF(MONTH(Table1[[#This Row],[Loss date]])&lt;Policy_Inception_Month,YEAR(Table1[[#This Row],[Loss date]])-1,YEAR(Table1[[#This Row],[Loss date]]))</f>
        <v>2011</v>
      </c>
      <c r="G1485" s="10" t="s">
        <v>129</v>
      </c>
      <c r="H1485" s="10" t="s">
        <v>2</v>
      </c>
      <c r="I1485" s="11">
        <v>7402.7667832465968</v>
      </c>
      <c r="J1485" s="11">
        <v>0</v>
      </c>
      <c r="K1485" s="11">
        <v>7402.7667832465968</v>
      </c>
      <c r="L1485" s="12">
        <v>0</v>
      </c>
      <c r="M1485" s="12">
        <v>0</v>
      </c>
      <c r="N1485" s="12">
        <v>7402.7667832465968</v>
      </c>
      <c r="O1485" s="70">
        <f>IF(Table1[[#This Row],[Overall amount]]=0,0,1)</f>
        <v>1</v>
      </c>
      <c r="P1485" s="70">
        <f>Table1[[#This Row],[Overall amount]]*Exchange_Rate</f>
        <v>7402.7667832465968</v>
      </c>
      <c r="Q1485" s="70">
        <f>Table1[[#This Row],[Overall (destination currency)]]*(1+Claims_Inflation)^((Revalue_at_date-Table1[[#This Row],[Loss date]])/365.25)</f>
        <v>9182.6759999999977</v>
      </c>
      <c r="R1485" s="70">
        <f>INT(Table1[[#This Row],[Reporting date]])-INT(Table1[[#This Row],[Loss date]])</f>
        <v>4</v>
      </c>
      <c r="S1485" s="69" t="s">
        <v>9</v>
      </c>
      <c r="T1485" s="70">
        <f>VLOOKUP(Table1[[#This Row],[Policy Year]],exposure_table,3,FALSE)</f>
        <v>870.52680000000009</v>
      </c>
      <c r="U1485" s="17">
        <f>IF(MONTH(Table1[[#This Row],[Reporting date]])&lt;Policy_Inception_Month,YEAR(Table1[[#This Row],[Reporting date]])-1,YEAR(Table1[[#This Row],[Reporting date]]))</f>
        <v>2011</v>
      </c>
      <c r="V1485" s="17">
        <f>Table1[[#This Row],[Reporting year]]-Table1[[#This Row],[Policy Year]]</f>
        <v>0</v>
      </c>
      <c r="W1485" s="17">
        <f>INT(Table1[[#This Row],[Reporting date]])-INT(Table1[[#This Row],[Loss date]])</f>
        <v>4</v>
      </c>
      <c r="X1485" s="17">
        <f>INT((YEAR(Table1[[#This Row],[Loss date]])*12+MONTH(Table1[[#This Row],[Loss date]])-Earliest_Month)/4)</f>
        <v>18</v>
      </c>
      <c r="Y1485" s="17">
        <f>INT((YEAR(Table1[[#This Row],[Reporting date]])*12+MONTH(Table1[[#This Row],[Reporting date]])-Earliest_Month)/4)</f>
        <v>18</v>
      </c>
      <c r="Z1485" s="17">
        <f>Table1[[#This Row],[Reporting third]]-Table1[[#This Row],[Policy third]]</f>
        <v>0</v>
      </c>
      <c r="AA1485" s="71">
        <f>IF(Table1[[#This Row],[Overall amount]]=0,"N/A",Table1[[#This Row],[Outstanding]]/Table1[[#This Row],[Overall amount]])</f>
        <v>0</v>
      </c>
      <c r="AB1485" s="17">
        <f>IF(MONTH(Table1[[#This Row],[Loss date]])&lt;Pol_Inc_Month_Shifted,YEAR(Table1[[#This Row],[Loss date]])-1,YEAR(Table1[[#This Row],[Loss date]]))</f>
        <v>2010</v>
      </c>
      <c r="AC1485" s="17">
        <f>IF(MONTH(Table1[[#This Row],[Reporting date]])&lt;Pol_Inc_Month_Shifted,YEAR(Table1[[#This Row],[Reporting date]])-1,YEAR(Table1[[#This Row],[Reporting date]]))</f>
        <v>2010</v>
      </c>
      <c r="AD1485" s="17">
        <f>Table1[[#This Row],[Reporting year (shifted)]]-Table1[[#This Row],[Policy Year (shifted)]]</f>
        <v>0</v>
      </c>
    </row>
    <row r="1486" spans="1:30" ht="13.9">
      <c r="A1486" s="8" t="s">
        <v>3256</v>
      </c>
      <c r="B1486" s="8" t="s">
        <v>1538</v>
      </c>
      <c r="C1486" s="8" t="s">
        <v>118</v>
      </c>
      <c r="D1486" s="9">
        <v>38489</v>
      </c>
      <c r="E1486" s="9">
        <v>38492</v>
      </c>
      <c r="F1486" s="17">
        <f>IF(MONTH(Table1[[#This Row],[Loss date]])&lt;Policy_Inception_Month,YEAR(Table1[[#This Row],[Loss date]])-1,YEAR(Table1[[#This Row],[Loss date]]))</f>
        <v>2005</v>
      </c>
      <c r="G1486" s="10" t="s">
        <v>119</v>
      </c>
      <c r="H1486" s="10" t="s">
        <v>2</v>
      </c>
      <c r="I1486" s="11">
        <v>519.02869304263629</v>
      </c>
      <c r="J1486" s="11">
        <v>0</v>
      </c>
      <c r="K1486" s="11">
        <v>519.02869304263629</v>
      </c>
      <c r="L1486" s="12">
        <v>0</v>
      </c>
      <c r="M1486" s="12">
        <v>15.570860791279086</v>
      </c>
      <c r="N1486" s="12">
        <v>503.45783225135722</v>
      </c>
      <c r="O1486" s="70">
        <f>IF(Table1[[#This Row],[Overall amount]]=0,0,1)</f>
        <v>1</v>
      </c>
      <c r="P1486" s="70">
        <f>Table1[[#This Row],[Overall amount]]*Exchange_Rate</f>
        <v>503.45783225135722</v>
      </c>
      <c r="Q1486" s="70">
        <f>Table1[[#This Row],[Overall (destination currency)]]*(1+Claims_Inflation)^((Revalue_at_date-Table1[[#This Row],[Loss date]])/365.25)</f>
        <v>835.17000000000007</v>
      </c>
      <c r="R1486" s="70">
        <f>INT(Table1[[#This Row],[Reporting date]])-INT(Table1[[#This Row],[Loss date]])</f>
        <v>3</v>
      </c>
      <c r="S1486" s="69" t="s">
        <v>9</v>
      </c>
      <c r="T1486" s="70">
        <f>VLOOKUP(Table1[[#This Row],[Policy Year]],exposure_table,3,FALSE)</f>
        <v>409.50481038040112</v>
      </c>
      <c r="U1486" s="17">
        <f>IF(MONTH(Table1[[#This Row],[Reporting date]])&lt;Policy_Inception_Month,YEAR(Table1[[#This Row],[Reporting date]])-1,YEAR(Table1[[#This Row],[Reporting date]]))</f>
        <v>2005</v>
      </c>
      <c r="V1486" s="17">
        <f>Table1[[#This Row],[Reporting year]]-Table1[[#This Row],[Policy Year]]</f>
        <v>0</v>
      </c>
      <c r="W1486" s="17">
        <f>INT(Table1[[#This Row],[Reporting date]])-INT(Table1[[#This Row],[Loss date]])</f>
        <v>3</v>
      </c>
      <c r="X1486" s="17">
        <f>INT((YEAR(Table1[[#This Row],[Loss date]])*12+MONTH(Table1[[#This Row],[Loss date]])-Earliest_Month)/4)</f>
        <v>0</v>
      </c>
      <c r="Y1486" s="17">
        <f>INT((YEAR(Table1[[#This Row],[Reporting date]])*12+MONTH(Table1[[#This Row],[Reporting date]])-Earliest_Month)/4)</f>
        <v>0</v>
      </c>
      <c r="Z1486" s="17">
        <f>Table1[[#This Row],[Reporting third]]-Table1[[#This Row],[Policy third]]</f>
        <v>0</v>
      </c>
      <c r="AA1486" s="71">
        <f>IF(Table1[[#This Row],[Overall amount]]=0,"N/A",Table1[[#This Row],[Outstanding]]/Table1[[#This Row],[Overall amount]])</f>
        <v>0</v>
      </c>
      <c r="AB1486" s="17">
        <f>IF(MONTH(Table1[[#This Row],[Loss date]])&lt;Pol_Inc_Month_Shifted,YEAR(Table1[[#This Row],[Loss date]])-1,YEAR(Table1[[#This Row],[Loss date]]))</f>
        <v>2004</v>
      </c>
      <c r="AC1486" s="17">
        <f>IF(MONTH(Table1[[#This Row],[Reporting date]])&lt;Pol_Inc_Month_Shifted,YEAR(Table1[[#This Row],[Reporting date]])-1,YEAR(Table1[[#This Row],[Reporting date]]))</f>
        <v>2004</v>
      </c>
      <c r="AD1486" s="17">
        <f>Table1[[#This Row],[Reporting year (shifted)]]-Table1[[#This Row],[Policy Year (shifted)]]</f>
        <v>0</v>
      </c>
    </row>
    <row r="1487" spans="1:30" ht="13.9">
      <c r="A1487" s="8" t="s">
        <v>3257</v>
      </c>
      <c r="B1487" s="8" t="s">
        <v>1539</v>
      </c>
      <c r="C1487" s="8" t="s">
        <v>118</v>
      </c>
      <c r="D1487" s="9">
        <v>38957</v>
      </c>
      <c r="E1487" s="9">
        <v>38957</v>
      </c>
      <c r="F1487" s="17">
        <f>IF(MONTH(Table1[[#This Row],[Loss date]])&lt;Policy_Inception_Month,YEAR(Table1[[#This Row],[Loss date]])-1,YEAR(Table1[[#This Row],[Loss date]]))</f>
        <v>2006</v>
      </c>
      <c r="G1487" s="10" t="s">
        <v>119</v>
      </c>
      <c r="H1487" s="10" t="s">
        <v>2</v>
      </c>
      <c r="I1487" s="11">
        <v>196.36306006788644</v>
      </c>
      <c r="J1487" s="11">
        <v>0</v>
      </c>
      <c r="K1487" s="11">
        <v>196.36306006788644</v>
      </c>
      <c r="L1487" s="12">
        <v>0</v>
      </c>
      <c r="M1487" s="12">
        <v>0</v>
      </c>
      <c r="N1487" s="12">
        <v>196.36306006788644</v>
      </c>
      <c r="O1487" s="70">
        <f>IF(Table1[[#This Row],[Overall amount]]=0,0,1)</f>
        <v>1</v>
      </c>
      <c r="P1487" s="70">
        <f>Table1[[#This Row],[Overall amount]]*Exchange_Rate</f>
        <v>196.36306006788644</v>
      </c>
      <c r="Q1487" s="70">
        <f>Table1[[#This Row],[Overall (destination currency)]]*(1+Claims_Inflation)^((Revalue_at_date-Table1[[#This Row],[Loss date]])/365.25)</f>
        <v>306</v>
      </c>
      <c r="R1487" s="70">
        <f>INT(Table1[[#This Row],[Reporting date]])-INT(Table1[[#This Row],[Loss date]])</f>
        <v>0</v>
      </c>
      <c r="S1487" s="69" t="s">
        <v>9</v>
      </c>
      <c r="T1487" s="70">
        <f>VLOOKUP(Table1[[#This Row],[Policy Year]],exposure_table,3,FALSE)</f>
        <v>483.32023209000977</v>
      </c>
      <c r="U1487" s="17">
        <f>IF(MONTH(Table1[[#This Row],[Reporting date]])&lt;Policy_Inception_Month,YEAR(Table1[[#This Row],[Reporting date]])-1,YEAR(Table1[[#This Row],[Reporting date]]))</f>
        <v>2006</v>
      </c>
      <c r="V1487" s="17">
        <f>Table1[[#This Row],[Reporting year]]-Table1[[#This Row],[Policy Year]]</f>
        <v>0</v>
      </c>
      <c r="W1487" s="17">
        <f>INT(Table1[[#This Row],[Reporting date]])-INT(Table1[[#This Row],[Loss date]])</f>
        <v>0</v>
      </c>
      <c r="X1487" s="17">
        <f>INT((YEAR(Table1[[#This Row],[Loss date]])*12+MONTH(Table1[[#This Row],[Loss date]])-Earliest_Month)/4)</f>
        <v>4</v>
      </c>
      <c r="Y1487" s="17">
        <f>INT((YEAR(Table1[[#This Row],[Reporting date]])*12+MONTH(Table1[[#This Row],[Reporting date]])-Earliest_Month)/4)</f>
        <v>4</v>
      </c>
      <c r="Z1487" s="17">
        <f>Table1[[#This Row],[Reporting third]]-Table1[[#This Row],[Policy third]]</f>
        <v>0</v>
      </c>
      <c r="AA1487" s="71">
        <f>IF(Table1[[#This Row],[Overall amount]]=0,"N/A",Table1[[#This Row],[Outstanding]]/Table1[[#This Row],[Overall amount]])</f>
        <v>0</v>
      </c>
      <c r="AB1487" s="17">
        <f>IF(MONTH(Table1[[#This Row],[Loss date]])&lt;Pol_Inc_Month_Shifted,YEAR(Table1[[#This Row],[Loss date]])-1,YEAR(Table1[[#This Row],[Loss date]]))</f>
        <v>2005</v>
      </c>
      <c r="AC1487" s="17">
        <f>IF(MONTH(Table1[[#This Row],[Reporting date]])&lt;Pol_Inc_Month_Shifted,YEAR(Table1[[#This Row],[Reporting date]])-1,YEAR(Table1[[#This Row],[Reporting date]]))</f>
        <v>2005</v>
      </c>
      <c r="AD1487" s="17">
        <f>Table1[[#This Row],[Reporting year (shifted)]]-Table1[[#This Row],[Policy Year (shifted)]]</f>
        <v>0</v>
      </c>
    </row>
    <row r="1488" spans="1:30" ht="13.9">
      <c r="A1488" s="8" t="s">
        <v>3258</v>
      </c>
      <c r="B1488" s="8" t="s">
        <v>1540</v>
      </c>
      <c r="C1488" s="8" t="s">
        <v>118</v>
      </c>
      <c r="D1488" s="9">
        <v>39702</v>
      </c>
      <c r="E1488" s="9">
        <v>39706</v>
      </c>
      <c r="F1488" s="17">
        <f>IF(MONTH(Table1[[#This Row],[Loss date]])&lt;Policy_Inception_Month,YEAR(Table1[[#This Row],[Loss date]])-1,YEAR(Table1[[#This Row],[Loss date]]))</f>
        <v>2008</v>
      </c>
      <c r="G1488" s="10" t="s">
        <v>125</v>
      </c>
      <c r="H1488" s="10" t="s">
        <v>2</v>
      </c>
      <c r="I1488" s="11">
        <v>216.91000285352297</v>
      </c>
      <c r="J1488" s="11">
        <v>0</v>
      </c>
      <c r="K1488" s="11">
        <v>216.91000285352297</v>
      </c>
      <c r="L1488" s="12">
        <v>0</v>
      </c>
      <c r="M1488" s="12">
        <v>11.930050156943762</v>
      </c>
      <c r="N1488" s="12">
        <v>204.9799526965792</v>
      </c>
      <c r="O1488" s="70">
        <f>IF(Table1[[#This Row],[Overall amount]]=0,0,1)</f>
        <v>1</v>
      </c>
      <c r="P1488" s="70">
        <f>Table1[[#This Row],[Overall amount]]*Exchange_Rate</f>
        <v>204.9799526965792</v>
      </c>
      <c r="Q1488" s="70">
        <f>Table1[[#This Row],[Overall (destination currency)]]*(1+Claims_Inflation)^((Revalue_at_date-Table1[[#This Row],[Loss date]])/365.25)</f>
        <v>289.16999999999996</v>
      </c>
      <c r="R1488" s="70">
        <f>INT(Table1[[#This Row],[Reporting date]])-INT(Table1[[#This Row],[Loss date]])</f>
        <v>4</v>
      </c>
      <c r="S1488" s="69" t="s">
        <v>9</v>
      </c>
      <c r="T1488" s="70">
        <f>VLOOKUP(Table1[[#This Row],[Policy Year]],exposure_table,3,FALSE)</f>
        <v>601.98581780480015</v>
      </c>
      <c r="U1488" s="17">
        <f>IF(MONTH(Table1[[#This Row],[Reporting date]])&lt;Policy_Inception_Month,YEAR(Table1[[#This Row],[Reporting date]])-1,YEAR(Table1[[#This Row],[Reporting date]]))</f>
        <v>2008</v>
      </c>
      <c r="V1488" s="17">
        <f>Table1[[#This Row],[Reporting year]]-Table1[[#This Row],[Policy Year]]</f>
        <v>0</v>
      </c>
      <c r="W1488" s="17">
        <f>INT(Table1[[#This Row],[Reporting date]])-INT(Table1[[#This Row],[Loss date]])</f>
        <v>4</v>
      </c>
      <c r="X1488" s="17">
        <f>INT((YEAR(Table1[[#This Row],[Loss date]])*12+MONTH(Table1[[#This Row],[Loss date]])-Earliest_Month)/4)</f>
        <v>10</v>
      </c>
      <c r="Y1488" s="17">
        <f>INT((YEAR(Table1[[#This Row],[Reporting date]])*12+MONTH(Table1[[#This Row],[Reporting date]])-Earliest_Month)/4)</f>
        <v>10</v>
      </c>
      <c r="Z1488" s="17">
        <f>Table1[[#This Row],[Reporting third]]-Table1[[#This Row],[Policy third]]</f>
        <v>0</v>
      </c>
      <c r="AA1488" s="71">
        <f>IF(Table1[[#This Row],[Overall amount]]=0,"N/A",Table1[[#This Row],[Outstanding]]/Table1[[#This Row],[Overall amount]])</f>
        <v>0</v>
      </c>
      <c r="AB1488" s="17">
        <f>IF(MONTH(Table1[[#This Row],[Loss date]])&lt;Pol_Inc_Month_Shifted,YEAR(Table1[[#This Row],[Loss date]])-1,YEAR(Table1[[#This Row],[Loss date]]))</f>
        <v>2007</v>
      </c>
      <c r="AC1488" s="17">
        <f>IF(MONTH(Table1[[#This Row],[Reporting date]])&lt;Pol_Inc_Month_Shifted,YEAR(Table1[[#This Row],[Reporting date]])-1,YEAR(Table1[[#This Row],[Reporting date]]))</f>
        <v>2007</v>
      </c>
      <c r="AD1488" s="17">
        <f>Table1[[#This Row],[Reporting year (shifted)]]-Table1[[#This Row],[Policy Year (shifted)]]</f>
        <v>0</v>
      </c>
    </row>
    <row r="1489" spans="1:30" ht="13.9">
      <c r="A1489" s="8" t="s">
        <v>3259</v>
      </c>
      <c r="B1489" s="8" t="s">
        <v>1541</v>
      </c>
      <c r="C1489" s="8" t="s">
        <v>118</v>
      </c>
      <c r="D1489" s="9">
        <v>39710</v>
      </c>
      <c r="E1489" s="9">
        <v>39712</v>
      </c>
      <c r="F1489" s="17">
        <f>IF(MONTH(Table1[[#This Row],[Loss date]])&lt;Policy_Inception_Month,YEAR(Table1[[#This Row],[Loss date]])-1,YEAR(Table1[[#This Row],[Loss date]]))</f>
        <v>2008</v>
      </c>
      <c r="G1489" s="10" t="s">
        <v>125</v>
      </c>
      <c r="H1489" s="10" t="s">
        <v>2</v>
      </c>
      <c r="I1489" s="11">
        <v>86394.104736123976</v>
      </c>
      <c r="J1489" s="11">
        <v>0</v>
      </c>
      <c r="K1489" s="11">
        <v>86394.104736123976</v>
      </c>
      <c r="L1489" s="12">
        <v>0</v>
      </c>
      <c r="M1489" s="12">
        <v>0</v>
      </c>
      <c r="N1489" s="12">
        <v>86394.104736123976</v>
      </c>
      <c r="O1489" s="70">
        <f>IF(Table1[[#This Row],[Overall amount]]=0,0,1)</f>
        <v>1</v>
      </c>
      <c r="P1489" s="70">
        <f>Table1[[#This Row],[Overall amount]]*Exchange_Rate</f>
        <v>86394.104736123976</v>
      </c>
      <c r="Q1489" s="70">
        <f>Table1[[#This Row],[Overall (destination currency)]]*(1+Claims_Inflation)^((Revalue_at_date-Table1[[#This Row],[Loss date]])/365.25)</f>
        <v>121748.00399999997</v>
      </c>
      <c r="R1489" s="70">
        <f>INT(Table1[[#This Row],[Reporting date]])-INT(Table1[[#This Row],[Loss date]])</f>
        <v>2</v>
      </c>
      <c r="S1489" s="69" t="s">
        <v>9</v>
      </c>
      <c r="T1489" s="70">
        <f>VLOOKUP(Table1[[#This Row],[Policy Year]],exposure_table,3,FALSE)</f>
        <v>601.98581780480015</v>
      </c>
      <c r="U1489" s="17">
        <f>IF(MONTH(Table1[[#This Row],[Reporting date]])&lt;Policy_Inception_Month,YEAR(Table1[[#This Row],[Reporting date]])-1,YEAR(Table1[[#This Row],[Reporting date]]))</f>
        <v>2008</v>
      </c>
      <c r="V1489" s="17">
        <f>Table1[[#This Row],[Reporting year]]-Table1[[#This Row],[Policy Year]]</f>
        <v>0</v>
      </c>
      <c r="W1489" s="17">
        <f>INT(Table1[[#This Row],[Reporting date]])-INT(Table1[[#This Row],[Loss date]])</f>
        <v>2</v>
      </c>
      <c r="X1489" s="17">
        <f>INT((YEAR(Table1[[#This Row],[Loss date]])*12+MONTH(Table1[[#This Row],[Loss date]])-Earliest_Month)/4)</f>
        <v>10</v>
      </c>
      <c r="Y1489" s="17">
        <f>INT((YEAR(Table1[[#This Row],[Reporting date]])*12+MONTH(Table1[[#This Row],[Reporting date]])-Earliest_Month)/4)</f>
        <v>10</v>
      </c>
      <c r="Z1489" s="17">
        <f>Table1[[#This Row],[Reporting third]]-Table1[[#This Row],[Policy third]]</f>
        <v>0</v>
      </c>
      <c r="AA1489" s="71">
        <f>IF(Table1[[#This Row],[Overall amount]]=0,"N/A",Table1[[#This Row],[Outstanding]]/Table1[[#This Row],[Overall amount]])</f>
        <v>0</v>
      </c>
      <c r="AB1489" s="17">
        <f>IF(MONTH(Table1[[#This Row],[Loss date]])&lt;Pol_Inc_Month_Shifted,YEAR(Table1[[#This Row],[Loss date]])-1,YEAR(Table1[[#This Row],[Loss date]]))</f>
        <v>2007</v>
      </c>
      <c r="AC1489" s="17">
        <f>IF(MONTH(Table1[[#This Row],[Reporting date]])&lt;Pol_Inc_Month_Shifted,YEAR(Table1[[#This Row],[Reporting date]])-1,YEAR(Table1[[#This Row],[Reporting date]]))</f>
        <v>2007</v>
      </c>
      <c r="AD1489" s="17">
        <f>Table1[[#This Row],[Reporting year (shifted)]]-Table1[[#This Row],[Policy Year (shifted)]]</f>
        <v>0</v>
      </c>
    </row>
    <row r="1490" spans="1:30" ht="13.9">
      <c r="A1490" s="8" t="s">
        <v>3260</v>
      </c>
      <c r="B1490" s="8" t="s">
        <v>1542</v>
      </c>
      <c r="C1490" s="8" t="s">
        <v>118</v>
      </c>
      <c r="D1490" s="9">
        <v>39711</v>
      </c>
      <c r="E1490" s="9">
        <v>39712</v>
      </c>
      <c r="F1490" s="17">
        <f>IF(MONTH(Table1[[#This Row],[Loss date]])&lt;Policy_Inception_Month,YEAR(Table1[[#This Row],[Loss date]])-1,YEAR(Table1[[#This Row],[Loss date]]))</f>
        <v>2008</v>
      </c>
      <c r="G1490" s="10" t="s">
        <v>125</v>
      </c>
      <c r="H1490" s="10" t="s">
        <v>2</v>
      </c>
      <c r="I1490" s="11">
        <v>910.91709353649946</v>
      </c>
      <c r="J1490" s="11">
        <v>0</v>
      </c>
      <c r="K1490" s="11">
        <v>910.91709353649946</v>
      </c>
      <c r="L1490" s="12">
        <v>0</v>
      </c>
      <c r="M1490" s="12">
        <v>0</v>
      </c>
      <c r="N1490" s="12">
        <v>910.91709353649946</v>
      </c>
      <c r="O1490" s="70">
        <f>IF(Table1[[#This Row],[Overall amount]]=0,0,1)</f>
        <v>1</v>
      </c>
      <c r="P1490" s="70">
        <f>Table1[[#This Row],[Overall amount]]*Exchange_Rate</f>
        <v>910.91709353649946</v>
      </c>
      <c r="Q1490" s="70">
        <f>Table1[[#This Row],[Overall (destination currency)]]*(1+Claims_Inflation)^((Revalue_at_date-Table1[[#This Row],[Loss date]])/365.25)</f>
        <v>1283.5079999999998</v>
      </c>
      <c r="R1490" s="70">
        <f>INT(Table1[[#This Row],[Reporting date]])-INT(Table1[[#This Row],[Loss date]])</f>
        <v>1</v>
      </c>
      <c r="S1490" s="69" t="s">
        <v>9</v>
      </c>
      <c r="T1490" s="70">
        <f>VLOOKUP(Table1[[#This Row],[Policy Year]],exposure_table,3,FALSE)</f>
        <v>601.98581780480015</v>
      </c>
      <c r="U1490" s="17">
        <f>IF(MONTH(Table1[[#This Row],[Reporting date]])&lt;Policy_Inception_Month,YEAR(Table1[[#This Row],[Reporting date]])-1,YEAR(Table1[[#This Row],[Reporting date]]))</f>
        <v>2008</v>
      </c>
      <c r="V1490" s="17">
        <f>Table1[[#This Row],[Reporting year]]-Table1[[#This Row],[Policy Year]]</f>
        <v>0</v>
      </c>
      <c r="W1490" s="17">
        <f>INT(Table1[[#This Row],[Reporting date]])-INT(Table1[[#This Row],[Loss date]])</f>
        <v>1</v>
      </c>
      <c r="X1490" s="17">
        <f>INT((YEAR(Table1[[#This Row],[Loss date]])*12+MONTH(Table1[[#This Row],[Loss date]])-Earliest_Month)/4)</f>
        <v>10</v>
      </c>
      <c r="Y1490" s="17">
        <f>INT((YEAR(Table1[[#This Row],[Reporting date]])*12+MONTH(Table1[[#This Row],[Reporting date]])-Earliest_Month)/4)</f>
        <v>10</v>
      </c>
      <c r="Z1490" s="17">
        <f>Table1[[#This Row],[Reporting third]]-Table1[[#This Row],[Policy third]]</f>
        <v>0</v>
      </c>
      <c r="AA1490" s="71">
        <f>IF(Table1[[#This Row],[Overall amount]]=0,"N/A",Table1[[#This Row],[Outstanding]]/Table1[[#This Row],[Overall amount]])</f>
        <v>0</v>
      </c>
      <c r="AB1490" s="17">
        <f>IF(MONTH(Table1[[#This Row],[Loss date]])&lt;Pol_Inc_Month_Shifted,YEAR(Table1[[#This Row],[Loss date]])-1,YEAR(Table1[[#This Row],[Loss date]]))</f>
        <v>2007</v>
      </c>
      <c r="AC1490" s="17">
        <f>IF(MONTH(Table1[[#This Row],[Reporting date]])&lt;Pol_Inc_Month_Shifted,YEAR(Table1[[#This Row],[Reporting date]])-1,YEAR(Table1[[#This Row],[Reporting date]]))</f>
        <v>2007</v>
      </c>
      <c r="AD1490" s="17">
        <f>Table1[[#This Row],[Reporting year (shifted)]]-Table1[[#This Row],[Policy Year (shifted)]]</f>
        <v>0</v>
      </c>
    </row>
    <row r="1491" spans="1:30" ht="13.9">
      <c r="A1491" s="8" t="s">
        <v>3261</v>
      </c>
      <c r="B1491" s="8" t="s">
        <v>1543</v>
      </c>
      <c r="C1491" s="8" t="s">
        <v>118</v>
      </c>
      <c r="D1491" s="9">
        <v>39709</v>
      </c>
      <c r="E1491" s="9">
        <v>39712</v>
      </c>
      <c r="F1491" s="17">
        <f>IF(MONTH(Table1[[#This Row],[Loss date]])&lt;Policy_Inception_Month,YEAR(Table1[[#This Row],[Loss date]])-1,YEAR(Table1[[#This Row],[Loss date]]))</f>
        <v>2008</v>
      </c>
      <c r="G1491" s="10" t="s">
        <v>125</v>
      </c>
      <c r="H1491" s="10" t="s">
        <v>2</v>
      </c>
      <c r="I1491" s="11">
        <v>1145.8709162069661</v>
      </c>
      <c r="J1491" s="11">
        <v>0</v>
      </c>
      <c r="K1491" s="11">
        <v>1145.8709162069661</v>
      </c>
      <c r="L1491" s="12">
        <v>0</v>
      </c>
      <c r="M1491" s="12">
        <v>104.27425337483393</v>
      </c>
      <c r="N1491" s="12">
        <v>1041.5966628321321</v>
      </c>
      <c r="O1491" s="70">
        <f>IF(Table1[[#This Row],[Overall amount]]=0,0,1)</f>
        <v>1</v>
      </c>
      <c r="P1491" s="70">
        <f>Table1[[#This Row],[Overall amount]]*Exchange_Rate</f>
        <v>1041.5966628321321</v>
      </c>
      <c r="Q1491" s="70">
        <f>Table1[[#This Row],[Overall (destination currency)]]*(1+Claims_Inflation)^((Revalue_at_date-Table1[[#This Row],[Loss date]])/365.25)</f>
        <v>1468.0313639999999</v>
      </c>
      <c r="R1491" s="70">
        <f>INT(Table1[[#This Row],[Reporting date]])-INT(Table1[[#This Row],[Loss date]])</f>
        <v>3</v>
      </c>
      <c r="S1491" s="69" t="s">
        <v>9</v>
      </c>
      <c r="T1491" s="70">
        <f>VLOOKUP(Table1[[#This Row],[Policy Year]],exposure_table,3,FALSE)</f>
        <v>601.98581780480015</v>
      </c>
      <c r="U1491" s="17">
        <f>IF(MONTH(Table1[[#This Row],[Reporting date]])&lt;Policy_Inception_Month,YEAR(Table1[[#This Row],[Reporting date]])-1,YEAR(Table1[[#This Row],[Reporting date]]))</f>
        <v>2008</v>
      </c>
      <c r="V1491" s="17">
        <f>Table1[[#This Row],[Reporting year]]-Table1[[#This Row],[Policy Year]]</f>
        <v>0</v>
      </c>
      <c r="W1491" s="17">
        <f>INT(Table1[[#This Row],[Reporting date]])-INT(Table1[[#This Row],[Loss date]])</f>
        <v>3</v>
      </c>
      <c r="X1491" s="17">
        <f>INT((YEAR(Table1[[#This Row],[Loss date]])*12+MONTH(Table1[[#This Row],[Loss date]])-Earliest_Month)/4)</f>
        <v>10</v>
      </c>
      <c r="Y1491" s="17">
        <f>INT((YEAR(Table1[[#This Row],[Reporting date]])*12+MONTH(Table1[[#This Row],[Reporting date]])-Earliest_Month)/4)</f>
        <v>10</v>
      </c>
      <c r="Z1491" s="17">
        <f>Table1[[#This Row],[Reporting third]]-Table1[[#This Row],[Policy third]]</f>
        <v>0</v>
      </c>
      <c r="AA1491" s="71">
        <f>IF(Table1[[#This Row],[Overall amount]]=0,"N/A",Table1[[#This Row],[Outstanding]]/Table1[[#This Row],[Overall amount]])</f>
        <v>0</v>
      </c>
      <c r="AB1491" s="17">
        <f>IF(MONTH(Table1[[#This Row],[Loss date]])&lt;Pol_Inc_Month_Shifted,YEAR(Table1[[#This Row],[Loss date]])-1,YEAR(Table1[[#This Row],[Loss date]]))</f>
        <v>2007</v>
      </c>
      <c r="AC1491" s="17">
        <f>IF(MONTH(Table1[[#This Row],[Reporting date]])&lt;Pol_Inc_Month_Shifted,YEAR(Table1[[#This Row],[Reporting date]])-1,YEAR(Table1[[#This Row],[Reporting date]]))</f>
        <v>2007</v>
      </c>
      <c r="AD1491" s="17">
        <f>Table1[[#This Row],[Reporting year (shifted)]]-Table1[[#This Row],[Policy Year (shifted)]]</f>
        <v>0</v>
      </c>
    </row>
    <row r="1492" spans="1:30" ht="13.9">
      <c r="A1492" s="8" t="s">
        <v>3262</v>
      </c>
      <c r="B1492" s="8" t="s">
        <v>1544</v>
      </c>
      <c r="C1492" s="8" t="s">
        <v>118</v>
      </c>
      <c r="D1492" s="9">
        <v>40024</v>
      </c>
      <c r="E1492" s="9">
        <v>40024</v>
      </c>
      <c r="F1492" s="17">
        <f>IF(MONTH(Table1[[#This Row],[Loss date]])&lt;Policy_Inception_Month,YEAR(Table1[[#This Row],[Loss date]])-1,YEAR(Table1[[#This Row],[Loss date]]))</f>
        <v>2009</v>
      </c>
      <c r="G1492" s="10" t="s">
        <v>129</v>
      </c>
      <c r="H1492" s="10" t="s">
        <v>2</v>
      </c>
      <c r="I1492" s="11">
        <v>1493.6389211044796</v>
      </c>
      <c r="J1492" s="11">
        <v>0</v>
      </c>
      <c r="K1492" s="11">
        <v>1493.6389211044796</v>
      </c>
      <c r="L1492" s="12">
        <v>0</v>
      </c>
      <c r="M1492" s="12">
        <v>0</v>
      </c>
      <c r="N1492" s="12">
        <v>1493.6389211044796</v>
      </c>
      <c r="O1492" s="70">
        <f>IF(Table1[[#This Row],[Overall amount]]=0,0,1)</f>
        <v>1</v>
      </c>
      <c r="P1492" s="70">
        <f>Table1[[#This Row],[Overall amount]]*Exchange_Rate</f>
        <v>1493.6389211044796</v>
      </c>
      <c r="Q1492" s="70">
        <f>Table1[[#This Row],[Overall (destination currency)]]*(1+Claims_Inflation)^((Revalue_at_date-Table1[[#This Row],[Loss date]])/365.25)</f>
        <v>2018.3999999999999</v>
      </c>
      <c r="R1492" s="70">
        <f>INT(Table1[[#This Row],[Reporting date]])-INT(Table1[[#This Row],[Loss date]])</f>
        <v>0</v>
      </c>
      <c r="S1492" s="69" t="s">
        <v>9</v>
      </c>
      <c r="T1492" s="70">
        <f>VLOOKUP(Table1[[#This Row],[Policy Year]],exposure_table,3,FALSE)</f>
        <v>760.22808576000011</v>
      </c>
      <c r="U1492" s="17">
        <f>IF(MONTH(Table1[[#This Row],[Reporting date]])&lt;Policy_Inception_Month,YEAR(Table1[[#This Row],[Reporting date]])-1,YEAR(Table1[[#This Row],[Reporting date]]))</f>
        <v>2009</v>
      </c>
      <c r="V1492" s="17">
        <f>Table1[[#This Row],[Reporting year]]-Table1[[#This Row],[Policy Year]]</f>
        <v>0</v>
      </c>
      <c r="W1492" s="17">
        <f>INT(Table1[[#This Row],[Reporting date]])-INT(Table1[[#This Row],[Loss date]])</f>
        <v>0</v>
      </c>
      <c r="X1492" s="17">
        <f>INT((YEAR(Table1[[#This Row],[Loss date]])*12+MONTH(Table1[[#This Row],[Loss date]])-Earliest_Month)/4)</f>
        <v>12</v>
      </c>
      <c r="Y1492" s="17">
        <f>INT((YEAR(Table1[[#This Row],[Reporting date]])*12+MONTH(Table1[[#This Row],[Reporting date]])-Earliest_Month)/4)</f>
        <v>12</v>
      </c>
      <c r="Z1492" s="17">
        <f>Table1[[#This Row],[Reporting third]]-Table1[[#This Row],[Policy third]]</f>
        <v>0</v>
      </c>
      <c r="AA1492" s="71">
        <f>IF(Table1[[#This Row],[Overall amount]]=0,"N/A",Table1[[#This Row],[Outstanding]]/Table1[[#This Row],[Overall amount]])</f>
        <v>0</v>
      </c>
      <c r="AB1492" s="17">
        <f>IF(MONTH(Table1[[#This Row],[Loss date]])&lt;Pol_Inc_Month_Shifted,YEAR(Table1[[#This Row],[Loss date]])-1,YEAR(Table1[[#This Row],[Loss date]]))</f>
        <v>2008</v>
      </c>
      <c r="AC1492" s="17">
        <f>IF(MONTH(Table1[[#This Row],[Reporting date]])&lt;Pol_Inc_Month_Shifted,YEAR(Table1[[#This Row],[Reporting date]])-1,YEAR(Table1[[#This Row],[Reporting date]]))</f>
        <v>2008</v>
      </c>
      <c r="AD1492" s="17">
        <f>Table1[[#This Row],[Reporting year (shifted)]]-Table1[[#This Row],[Policy Year (shifted)]]</f>
        <v>0</v>
      </c>
    </row>
    <row r="1493" spans="1:30" ht="13.9">
      <c r="A1493" s="8" t="s">
        <v>3263</v>
      </c>
      <c r="B1493" s="8" t="s">
        <v>1545</v>
      </c>
      <c r="C1493" s="8" t="s">
        <v>118</v>
      </c>
      <c r="D1493" s="9">
        <v>40032</v>
      </c>
      <c r="E1493" s="9">
        <v>40039</v>
      </c>
      <c r="F1493" s="17">
        <f>IF(MONTH(Table1[[#This Row],[Loss date]])&lt;Policy_Inception_Month,YEAR(Table1[[#This Row],[Loss date]])-1,YEAR(Table1[[#This Row],[Loss date]]))</f>
        <v>2009</v>
      </c>
      <c r="G1493" s="10" t="s">
        <v>119</v>
      </c>
      <c r="H1493" s="10" t="s">
        <v>2</v>
      </c>
      <c r="I1493" s="11">
        <v>360.91901971800576</v>
      </c>
      <c r="J1493" s="11">
        <v>0</v>
      </c>
      <c r="K1493" s="11">
        <v>360.91901971800576</v>
      </c>
      <c r="L1493" s="12">
        <v>0</v>
      </c>
      <c r="M1493" s="12">
        <v>0</v>
      </c>
      <c r="N1493" s="12">
        <v>360.91901971800576</v>
      </c>
      <c r="O1493" s="70">
        <f>IF(Table1[[#This Row],[Overall amount]]=0,0,1)</f>
        <v>1</v>
      </c>
      <c r="P1493" s="70">
        <f>Table1[[#This Row],[Overall amount]]*Exchange_Rate</f>
        <v>360.91901971800576</v>
      </c>
      <c r="Q1493" s="70">
        <f>Table1[[#This Row],[Overall (destination currency)]]*(1+Claims_Inflation)^((Revalue_at_date-Table1[[#This Row],[Loss date]])/365.25)</f>
        <v>487.2</v>
      </c>
      <c r="R1493" s="70">
        <f>INT(Table1[[#This Row],[Reporting date]])-INT(Table1[[#This Row],[Loss date]])</f>
        <v>7</v>
      </c>
      <c r="S1493" s="69" t="s">
        <v>9</v>
      </c>
      <c r="T1493" s="70">
        <f>VLOOKUP(Table1[[#This Row],[Policy Year]],exposure_table,3,FALSE)</f>
        <v>760.22808576000011</v>
      </c>
      <c r="U1493" s="17">
        <f>IF(MONTH(Table1[[#This Row],[Reporting date]])&lt;Policy_Inception_Month,YEAR(Table1[[#This Row],[Reporting date]])-1,YEAR(Table1[[#This Row],[Reporting date]]))</f>
        <v>2009</v>
      </c>
      <c r="V1493" s="17">
        <f>Table1[[#This Row],[Reporting year]]-Table1[[#This Row],[Policy Year]]</f>
        <v>0</v>
      </c>
      <c r="W1493" s="17">
        <f>INT(Table1[[#This Row],[Reporting date]])-INT(Table1[[#This Row],[Loss date]])</f>
        <v>7</v>
      </c>
      <c r="X1493" s="17">
        <f>INT((YEAR(Table1[[#This Row],[Loss date]])*12+MONTH(Table1[[#This Row],[Loss date]])-Earliest_Month)/4)</f>
        <v>13</v>
      </c>
      <c r="Y1493" s="17">
        <f>INT((YEAR(Table1[[#This Row],[Reporting date]])*12+MONTH(Table1[[#This Row],[Reporting date]])-Earliest_Month)/4)</f>
        <v>13</v>
      </c>
      <c r="Z1493" s="17">
        <f>Table1[[#This Row],[Reporting third]]-Table1[[#This Row],[Policy third]]</f>
        <v>0</v>
      </c>
      <c r="AA1493" s="71">
        <f>IF(Table1[[#This Row],[Overall amount]]=0,"N/A",Table1[[#This Row],[Outstanding]]/Table1[[#This Row],[Overall amount]])</f>
        <v>0</v>
      </c>
      <c r="AB1493" s="17">
        <f>IF(MONTH(Table1[[#This Row],[Loss date]])&lt;Pol_Inc_Month_Shifted,YEAR(Table1[[#This Row],[Loss date]])-1,YEAR(Table1[[#This Row],[Loss date]]))</f>
        <v>2008</v>
      </c>
      <c r="AC1493" s="17">
        <f>IF(MONTH(Table1[[#This Row],[Reporting date]])&lt;Pol_Inc_Month_Shifted,YEAR(Table1[[#This Row],[Reporting date]])-1,YEAR(Table1[[#This Row],[Reporting date]]))</f>
        <v>2008</v>
      </c>
      <c r="AD1493" s="17">
        <f>Table1[[#This Row],[Reporting year (shifted)]]-Table1[[#This Row],[Policy Year (shifted)]]</f>
        <v>0</v>
      </c>
    </row>
    <row r="1494" spans="1:30" ht="13.9">
      <c r="A1494" s="8" t="s">
        <v>3264</v>
      </c>
      <c r="B1494" s="8" t="s">
        <v>1546</v>
      </c>
      <c r="C1494" s="8" t="s">
        <v>118</v>
      </c>
      <c r="D1494" s="9">
        <v>38957</v>
      </c>
      <c r="E1494" s="9">
        <v>38970</v>
      </c>
      <c r="F1494" s="17">
        <f>IF(MONTH(Table1[[#This Row],[Loss date]])&lt;Policy_Inception_Month,YEAR(Table1[[#This Row],[Loss date]])-1,YEAR(Table1[[#This Row],[Loss date]]))</f>
        <v>2006</v>
      </c>
      <c r="G1494" s="10" t="s">
        <v>129</v>
      </c>
      <c r="H1494" s="10" t="s">
        <v>2</v>
      </c>
      <c r="I1494" s="11">
        <v>505.15359766483738</v>
      </c>
      <c r="J1494" s="11">
        <v>0</v>
      </c>
      <c r="K1494" s="11">
        <v>505.15359766483738</v>
      </c>
      <c r="L1494" s="12">
        <v>0</v>
      </c>
      <c r="M1494" s="12">
        <v>0</v>
      </c>
      <c r="N1494" s="12">
        <v>505.15359766483738</v>
      </c>
      <c r="O1494" s="70">
        <f>IF(Table1[[#This Row],[Overall amount]]=0,0,1)</f>
        <v>1</v>
      </c>
      <c r="P1494" s="70">
        <f>Table1[[#This Row],[Overall amount]]*Exchange_Rate</f>
        <v>505.15359766483738</v>
      </c>
      <c r="Q1494" s="70">
        <f>Table1[[#This Row],[Overall (destination currency)]]*(1+Claims_Inflation)^((Revalue_at_date-Table1[[#This Row],[Loss date]])/365.25)</f>
        <v>787.20000000000016</v>
      </c>
      <c r="R1494" s="70">
        <f>INT(Table1[[#This Row],[Reporting date]])-INT(Table1[[#This Row],[Loss date]])</f>
        <v>13</v>
      </c>
      <c r="S1494" s="69" t="s">
        <v>9</v>
      </c>
      <c r="T1494" s="70">
        <f>VLOOKUP(Table1[[#This Row],[Policy Year]],exposure_table,3,FALSE)</f>
        <v>483.32023209000977</v>
      </c>
      <c r="U1494" s="17">
        <f>IF(MONTH(Table1[[#This Row],[Reporting date]])&lt;Policy_Inception_Month,YEAR(Table1[[#This Row],[Reporting date]])-1,YEAR(Table1[[#This Row],[Reporting date]]))</f>
        <v>2006</v>
      </c>
      <c r="V1494" s="17">
        <f>Table1[[#This Row],[Reporting year]]-Table1[[#This Row],[Policy Year]]</f>
        <v>0</v>
      </c>
      <c r="W1494" s="17">
        <f>INT(Table1[[#This Row],[Reporting date]])-INT(Table1[[#This Row],[Loss date]])</f>
        <v>13</v>
      </c>
      <c r="X1494" s="17">
        <f>INT((YEAR(Table1[[#This Row],[Loss date]])*12+MONTH(Table1[[#This Row],[Loss date]])-Earliest_Month)/4)</f>
        <v>4</v>
      </c>
      <c r="Y1494" s="17">
        <f>INT((YEAR(Table1[[#This Row],[Reporting date]])*12+MONTH(Table1[[#This Row],[Reporting date]])-Earliest_Month)/4)</f>
        <v>4</v>
      </c>
      <c r="Z1494" s="17">
        <f>Table1[[#This Row],[Reporting third]]-Table1[[#This Row],[Policy third]]</f>
        <v>0</v>
      </c>
      <c r="AA1494" s="71">
        <f>IF(Table1[[#This Row],[Overall amount]]=0,"N/A",Table1[[#This Row],[Outstanding]]/Table1[[#This Row],[Overall amount]])</f>
        <v>0</v>
      </c>
      <c r="AB1494" s="17">
        <f>IF(MONTH(Table1[[#This Row],[Loss date]])&lt;Pol_Inc_Month_Shifted,YEAR(Table1[[#This Row],[Loss date]])-1,YEAR(Table1[[#This Row],[Loss date]]))</f>
        <v>2005</v>
      </c>
      <c r="AC1494" s="17">
        <f>IF(MONTH(Table1[[#This Row],[Reporting date]])&lt;Pol_Inc_Month_Shifted,YEAR(Table1[[#This Row],[Reporting date]])-1,YEAR(Table1[[#This Row],[Reporting date]]))</f>
        <v>2005</v>
      </c>
      <c r="AD1494" s="17">
        <f>Table1[[#This Row],[Reporting year (shifted)]]-Table1[[#This Row],[Policy Year (shifted)]]</f>
        <v>0</v>
      </c>
    </row>
    <row r="1495" spans="1:30" ht="13.9">
      <c r="A1495" s="8" t="s">
        <v>3265</v>
      </c>
      <c r="B1495" s="8" t="s">
        <v>1547</v>
      </c>
      <c r="C1495" s="8" t="s">
        <v>118</v>
      </c>
      <c r="D1495" s="9">
        <v>39575</v>
      </c>
      <c r="E1495" s="9">
        <v>39585</v>
      </c>
      <c r="F1495" s="17">
        <f>IF(MONTH(Table1[[#This Row],[Loss date]])&lt;Policy_Inception_Month,YEAR(Table1[[#This Row],[Loss date]])-1,YEAR(Table1[[#This Row],[Loss date]]))</f>
        <v>2008</v>
      </c>
      <c r="G1495" s="10" t="s">
        <v>119</v>
      </c>
      <c r="H1495" s="10" t="s">
        <v>2</v>
      </c>
      <c r="I1495" s="11">
        <v>355.43538471567882</v>
      </c>
      <c r="J1495" s="11">
        <v>0</v>
      </c>
      <c r="K1495" s="11">
        <v>355.43538471567882</v>
      </c>
      <c r="L1495" s="12">
        <v>0</v>
      </c>
      <c r="M1495" s="12">
        <v>0</v>
      </c>
      <c r="N1495" s="12">
        <v>355.43538471567882</v>
      </c>
      <c r="O1495" s="70">
        <f>IF(Table1[[#This Row],[Overall amount]]=0,0,1)</f>
        <v>1</v>
      </c>
      <c r="P1495" s="70">
        <f>Table1[[#This Row],[Overall amount]]*Exchange_Rate</f>
        <v>355.43538471567882</v>
      </c>
      <c r="Q1495" s="70">
        <f>Table1[[#This Row],[Overall (destination currency)]]*(1+Claims_Inflation)^((Revalue_at_date-Table1[[#This Row],[Loss date]])/365.25)</f>
        <v>509.99999999999994</v>
      </c>
      <c r="R1495" s="70">
        <f>INT(Table1[[#This Row],[Reporting date]])-INT(Table1[[#This Row],[Loss date]])</f>
        <v>10</v>
      </c>
      <c r="S1495" s="69" t="s">
        <v>9</v>
      </c>
      <c r="T1495" s="70">
        <f>VLOOKUP(Table1[[#This Row],[Policy Year]],exposure_table,3,FALSE)</f>
        <v>601.98581780480015</v>
      </c>
      <c r="U1495" s="17">
        <f>IF(MONTH(Table1[[#This Row],[Reporting date]])&lt;Policy_Inception_Month,YEAR(Table1[[#This Row],[Reporting date]])-1,YEAR(Table1[[#This Row],[Reporting date]]))</f>
        <v>2008</v>
      </c>
      <c r="V1495" s="17">
        <f>Table1[[#This Row],[Reporting year]]-Table1[[#This Row],[Policy Year]]</f>
        <v>0</v>
      </c>
      <c r="W1495" s="17">
        <f>INT(Table1[[#This Row],[Reporting date]])-INT(Table1[[#This Row],[Loss date]])</f>
        <v>10</v>
      </c>
      <c r="X1495" s="17">
        <f>INT((YEAR(Table1[[#This Row],[Loss date]])*12+MONTH(Table1[[#This Row],[Loss date]])-Earliest_Month)/4)</f>
        <v>9</v>
      </c>
      <c r="Y1495" s="17">
        <f>INT((YEAR(Table1[[#This Row],[Reporting date]])*12+MONTH(Table1[[#This Row],[Reporting date]])-Earliest_Month)/4)</f>
        <v>9</v>
      </c>
      <c r="Z1495" s="17">
        <f>Table1[[#This Row],[Reporting third]]-Table1[[#This Row],[Policy third]]</f>
        <v>0</v>
      </c>
      <c r="AA1495" s="71">
        <f>IF(Table1[[#This Row],[Overall amount]]=0,"N/A",Table1[[#This Row],[Outstanding]]/Table1[[#This Row],[Overall amount]])</f>
        <v>0</v>
      </c>
      <c r="AB1495" s="17">
        <f>IF(MONTH(Table1[[#This Row],[Loss date]])&lt;Pol_Inc_Month_Shifted,YEAR(Table1[[#This Row],[Loss date]])-1,YEAR(Table1[[#This Row],[Loss date]]))</f>
        <v>2007</v>
      </c>
      <c r="AC1495" s="17">
        <f>IF(MONTH(Table1[[#This Row],[Reporting date]])&lt;Pol_Inc_Month_Shifted,YEAR(Table1[[#This Row],[Reporting date]])-1,YEAR(Table1[[#This Row],[Reporting date]]))</f>
        <v>2007</v>
      </c>
      <c r="AD1495" s="17">
        <f>Table1[[#This Row],[Reporting year (shifted)]]-Table1[[#This Row],[Policy Year (shifted)]]</f>
        <v>0</v>
      </c>
    </row>
    <row r="1496" spans="1:30" ht="13.9">
      <c r="A1496" s="8" t="s">
        <v>3266</v>
      </c>
      <c r="B1496" s="8" t="s">
        <v>1548</v>
      </c>
      <c r="C1496" s="8" t="s">
        <v>118</v>
      </c>
      <c r="D1496" s="9">
        <v>40748</v>
      </c>
      <c r="E1496" s="9">
        <v>40753</v>
      </c>
      <c r="F1496" s="17">
        <f>IF(MONTH(Table1[[#This Row],[Loss date]])&lt;Policy_Inception_Month,YEAR(Table1[[#This Row],[Loss date]])-1,YEAR(Table1[[#This Row],[Loss date]]))</f>
        <v>2011</v>
      </c>
      <c r="G1496" s="10" t="s">
        <v>129</v>
      </c>
      <c r="H1496" s="10" t="s">
        <v>2</v>
      </c>
      <c r="I1496" s="11">
        <v>2713.4860917760197</v>
      </c>
      <c r="J1496" s="11">
        <v>0</v>
      </c>
      <c r="K1496" s="11">
        <v>2713.4860917760197</v>
      </c>
      <c r="L1496" s="12">
        <v>0</v>
      </c>
      <c r="M1496" s="12">
        <v>0</v>
      </c>
      <c r="N1496" s="12">
        <v>2713.4860917760197</v>
      </c>
      <c r="O1496" s="70">
        <f>IF(Table1[[#This Row],[Overall amount]]=0,0,1)</f>
        <v>1</v>
      </c>
      <c r="P1496" s="70">
        <f>Table1[[#This Row],[Overall amount]]*Exchange_Rate</f>
        <v>2713.4860917760197</v>
      </c>
      <c r="Q1496" s="70">
        <f>Table1[[#This Row],[Overall (destination currency)]]*(1+Claims_Inflation)^((Revalue_at_date-Table1[[#This Row],[Loss date]])/365.25)</f>
        <v>3328.8000000000006</v>
      </c>
      <c r="R1496" s="70">
        <f>INT(Table1[[#This Row],[Reporting date]])-INT(Table1[[#This Row],[Loss date]])</f>
        <v>5</v>
      </c>
      <c r="S1496" s="69" t="s">
        <v>9</v>
      </c>
      <c r="T1496" s="70">
        <f>VLOOKUP(Table1[[#This Row],[Policy Year]],exposure_table,3,FALSE)</f>
        <v>870.52680000000009</v>
      </c>
      <c r="U1496" s="17">
        <f>IF(MONTH(Table1[[#This Row],[Reporting date]])&lt;Policy_Inception_Month,YEAR(Table1[[#This Row],[Reporting date]])-1,YEAR(Table1[[#This Row],[Reporting date]]))</f>
        <v>2011</v>
      </c>
      <c r="V1496" s="17">
        <f>Table1[[#This Row],[Reporting year]]-Table1[[#This Row],[Policy Year]]</f>
        <v>0</v>
      </c>
      <c r="W1496" s="17">
        <f>INT(Table1[[#This Row],[Reporting date]])-INT(Table1[[#This Row],[Loss date]])</f>
        <v>5</v>
      </c>
      <c r="X1496" s="17">
        <f>INT((YEAR(Table1[[#This Row],[Loss date]])*12+MONTH(Table1[[#This Row],[Loss date]])-Earliest_Month)/4)</f>
        <v>18</v>
      </c>
      <c r="Y1496" s="17">
        <f>INT((YEAR(Table1[[#This Row],[Reporting date]])*12+MONTH(Table1[[#This Row],[Reporting date]])-Earliest_Month)/4)</f>
        <v>18</v>
      </c>
      <c r="Z1496" s="17">
        <f>Table1[[#This Row],[Reporting third]]-Table1[[#This Row],[Policy third]]</f>
        <v>0</v>
      </c>
      <c r="AA1496" s="71">
        <f>IF(Table1[[#This Row],[Overall amount]]=0,"N/A",Table1[[#This Row],[Outstanding]]/Table1[[#This Row],[Overall amount]])</f>
        <v>0</v>
      </c>
      <c r="AB1496" s="17">
        <f>IF(MONTH(Table1[[#This Row],[Loss date]])&lt;Pol_Inc_Month_Shifted,YEAR(Table1[[#This Row],[Loss date]])-1,YEAR(Table1[[#This Row],[Loss date]]))</f>
        <v>2010</v>
      </c>
      <c r="AC1496" s="17">
        <f>IF(MONTH(Table1[[#This Row],[Reporting date]])&lt;Pol_Inc_Month_Shifted,YEAR(Table1[[#This Row],[Reporting date]])-1,YEAR(Table1[[#This Row],[Reporting date]]))</f>
        <v>2010</v>
      </c>
      <c r="AD1496" s="17">
        <f>Table1[[#This Row],[Reporting year (shifted)]]-Table1[[#This Row],[Policy Year (shifted)]]</f>
        <v>0</v>
      </c>
    </row>
    <row r="1497" spans="1:30" ht="13.9">
      <c r="A1497" s="8" t="s">
        <v>3267</v>
      </c>
      <c r="B1497" s="8" t="s">
        <v>1549</v>
      </c>
      <c r="C1497" s="8" t="s">
        <v>118</v>
      </c>
      <c r="D1497" s="9">
        <v>39539</v>
      </c>
      <c r="E1497" s="9">
        <v>39573</v>
      </c>
      <c r="F1497" s="17">
        <f>IF(MONTH(Table1[[#This Row],[Loss date]])&lt;Policy_Inception_Month,YEAR(Table1[[#This Row],[Loss date]])-1,YEAR(Table1[[#This Row],[Loss date]]))</f>
        <v>2008</v>
      </c>
      <c r="G1497" s="10" t="s">
        <v>124</v>
      </c>
      <c r="H1497" s="10" t="s">
        <v>2</v>
      </c>
      <c r="I1497" s="11">
        <v>7432.2385444428228</v>
      </c>
      <c r="J1497" s="11">
        <v>0</v>
      </c>
      <c r="K1497" s="11">
        <v>7432.2385444428228</v>
      </c>
      <c r="L1497" s="12">
        <v>0</v>
      </c>
      <c r="M1497" s="12">
        <v>0</v>
      </c>
      <c r="N1497" s="12">
        <v>7432.2385444428228</v>
      </c>
      <c r="O1497" s="70">
        <f>IF(Table1[[#This Row],[Overall amount]]=0,0,1)</f>
        <v>1</v>
      </c>
      <c r="P1497" s="70">
        <f>Table1[[#This Row],[Overall amount]]*Exchange_Rate</f>
        <v>7432.2385444428228</v>
      </c>
      <c r="Q1497" s="70">
        <f>Table1[[#This Row],[Overall (destination currency)]]*(1+Claims_Inflation)^((Revalue_at_date-Table1[[#This Row],[Loss date]])/365.25)</f>
        <v>10715.628000000001</v>
      </c>
      <c r="R1497" s="70">
        <f>INT(Table1[[#This Row],[Reporting date]])-INT(Table1[[#This Row],[Loss date]])</f>
        <v>34</v>
      </c>
      <c r="S1497" s="69" t="s">
        <v>9</v>
      </c>
      <c r="T1497" s="70">
        <f>VLOOKUP(Table1[[#This Row],[Policy Year]],exposure_table,3,FALSE)</f>
        <v>601.98581780480015</v>
      </c>
      <c r="U1497" s="17">
        <f>IF(MONTH(Table1[[#This Row],[Reporting date]])&lt;Policy_Inception_Month,YEAR(Table1[[#This Row],[Reporting date]])-1,YEAR(Table1[[#This Row],[Reporting date]]))</f>
        <v>2008</v>
      </c>
      <c r="V1497" s="17">
        <f>Table1[[#This Row],[Reporting year]]-Table1[[#This Row],[Policy Year]]</f>
        <v>0</v>
      </c>
      <c r="W1497" s="17">
        <f>INT(Table1[[#This Row],[Reporting date]])-INT(Table1[[#This Row],[Loss date]])</f>
        <v>34</v>
      </c>
      <c r="X1497" s="17">
        <f>INT((YEAR(Table1[[#This Row],[Loss date]])*12+MONTH(Table1[[#This Row],[Loss date]])-Earliest_Month)/4)</f>
        <v>9</v>
      </c>
      <c r="Y1497" s="17">
        <f>INT((YEAR(Table1[[#This Row],[Reporting date]])*12+MONTH(Table1[[#This Row],[Reporting date]])-Earliest_Month)/4)</f>
        <v>9</v>
      </c>
      <c r="Z1497" s="17">
        <f>Table1[[#This Row],[Reporting third]]-Table1[[#This Row],[Policy third]]</f>
        <v>0</v>
      </c>
      <c r="AA1497" s="71">
        <f>IF(Table1[[#This Row],[Overall amount]]=0,"N/A",Table1[[#This Row],[Outstanding]]/Table1[[#This Row],[Overall amount]])</f>
        <v>0</v>
      </c>
      <c r="AB1497" s="17">
        <f>IF(MONTH(Table1[[#This Row],[Loss date]])&lt;Pol_Inc_Month_Shifted,YEAR(Table1[[#This Row],[Loss date]])-1,YEAR(Table1[[#This Row],[Loss date]]))</f>
        <v>2007</v>
      </c>
      <c r="AC1497" s="17">
        <f>IF(MONTH(Table1[[#This Row],[Reporting date]])&lt;Pol_Inc_Month_Shifted,YEAR(Table1[[#This Row],[Reporting date]])-1,YEAR(Table1[[#This Row],[Reporting date]]))</f>
        <v>2007</v>
      </c>
      <c r="AD1497" s="17">
        <f>Table1[[#This Row],[Reporting year (shifted)]]-Table1[[#This Row],[Policy Year (shifted)]]</f>
        <v>0</v>
      </c>
    </row>
    <row r="1498" spans="1:30" ht="13.9">
      <c r="A1498" s="8" t="s">
        <v>3268</v>
      </c>
      <c r="B1498" s="8" t="s">
        <v>1550</v>
      </c>
      <c r="C1498" s="8" t="s">
        <v>118</v>
      </c>
      <c r="D1498" s="9">
        <v>39960</v>
      </c>
      <c r="E1498" s="9">
        <v>39966</v>
      </c>
      <c r="F1498" s="17">
        <f>IF(MONTH(Table1[[#This Row],[Loss date]])&lt;Policy_Inception_Month,YEAR(Table1[[#This Row],[Loss date]])-1,YEAR(Table1[[#This Row],[Loss date]]))</f>
        <v>2009</v>
      </c>
      <c r="G1498" s="10" t="s">
        <v>124</v>
      </c>
      <c r="H1498" s="10" t="s">
        <v>2</v>
      </c>
      <c r="I1498" s="11">
        <v>255.33172977593941</v>
      </c>
      <c r="J1498" s="11">
        <v>0</v>
      </c>
      <c r="K1498" s="11">
        <v>255.33172977593941</v>
      </c>
      <c r="L1498" s="12">
        <v>0</v>
      </c>
      <c r="M1498" s="12">
        <v>0</v>
      </c>
      <c r="N1498" s="12">
        <v>255.33172977593941</v>
      </c>
      <c r="O1498" s="70">
        <f>IF(Table1[[#This Row],[Overall amount]]=0,0,1)</f>
        <v>1</v>
      </c>
      <c r="P1498" s="70">
        <f>Table1[[#This Row],[Overall amount]]*Exchange_Rate</f>
        <v>255.33172977593941</v>
      </c>
      <c r="Q1498" s="70">
        <f>Table1[[#This Row],[Overall (destination currency)]]*(1+Claims_Inflation)^((Revalue_at_date-Table1[[#This Row],[Loss date]])/365.25)</f>
        <v>348</v>
      </c>
      <c r="R1498" s="70">
        <f>INT(Table1[[#This Row],[Reporting date]])-INT(Table1[[#This Row],[Loss date]])</f>
        <v>6</v>
      </c>
      <c r="S1498" s="69" t="s">
        <v>9</v>
      </c>
      <c r="T1498" s="70">
        <f>VLOOKUP(Table1[[#This Row],[Policy Year]],exposure_table,3,FALSE)</f>
        <v>760.22808576000011</v>
      </c>
      <c r="U1498" s="17">
        <f>IF(MONTH(Table1[[#This Row],[Reporting date]])&lt;Policy_Inception_Month,YEAR(Table1[[#This Row],[Reporting date]])-1,YEAR(Table1[[#This Row],[Reporting date]]))</f>
        <v>2009</v>
      </c>
      <c r="V1498" s="17">
        <f>Table1[[#This Row],[Reporting year]]-Table1[[#This Row],[Policy Year]]</f>
        <v>0</v>
      </c>
      <c r="W1498" s="17">
        <f>INT(Table1[[#This Row],[Reporting date]])-INT(Table1[[#This Row],[Loss date]])</f>
        <v>6</v>
      </c>
      <c r="X1498" s="17">
        <f>INT((YEAR(Table1[[#This Row],[Loss date]])*12+MONTH(Table1[[#This Row],[Loss date]])-Earliest_Month)/4)</f>
        <v>12</v>
      </c>
      <c r="Y1498" s="17">
        <f>INT((YEAR(Table1[[#This Row],[Reporting date]])*12+MONTH(Table1[[#This Row],[Reporting date]])-Earliest_Month)/4)</f>
        <v>12</v>
      </c>
      <c r="Z1498" s="17">
        <f>Table1[[#This Row],[Reporting third]]-Table1[[#This Row],[Policy third]]</f>
        <v>0</v>
      </c>
      <c r="AA1498" s="71">
        <f>IF(Table1[[#This Row],[Overall amount]]=0,"N/A",Table1[[#This Row],[Outstanding]]/Table1[[#This Row],[Overall amount]])</f>
        <v>0</v>
      </c>
      <c r="AB1498" s="17">
        <f>IF(MONTH(Table1[[#This Row],[Loss date]])&lt;Pol_Inc_Month_Shifted,YEAR(Table1[[#This Row],[Loss date]])-1,YEAR(Table1[[#This Row],[Loss date]]))</f>
        <v>2008</v>
      </c>
      <c r="AC1498" s="17">
        <f>IF(MONTH(Table1[[#This Row],[Reporting date]])&lt;Pol_Inc_Month_Shifted,YEAR(Table1[[#This Row],[Reporting date]])-1,YEAR(Table1[[#This Row],[Reporting date]]))</f>
        <v>2008</v>
      </c>
      <c r="AD1498" s="17">
        <f>Table1[[#This Row],[Reporting year (shifted)]]-Table1[[#This Row],[Policy Year (shifted)]]</f>
        <v>0</v>
      </c>
    </row>
    <row r="1499" spans="1:30" ht="13.9">
      <c r="A1499" s="8" t="s">
        <v>3269</v>
      </c>
      <c r="B1499" s="8" t="s">
        <v>1551</v>
      </c>
      <c r="C1499" s="8" t="s">
        <v>118</v>
      </c>
      <c r="D1499" s="9">
        <v>39830</v>
      </c>
      <c r="E1499" s="9">
        <v>39929</v>
      </c>
      <c r="F1499" s="17">
        <f>IF(MONTH(Table1[[#This Row],[Loss date]])&lt;Policy_Inception_Month,YEAR(Table1[[#This Row],[Loss date]])-1,YEAR(Table1[[#This Row],[Loss date]]))</f>
        <v>2008</v>
      </c>
      <c r="G1499" s="10" t="s">
        <v>125</v>
      </c>
      <c r="H1499" s="10" t="s">
        <v>2</v>
      </c>
      <c r="I1499" s="11">
        <v>980.67543875063473</v>
      </c>
      <c r="J1499" s="11">
        <v>0</v>
      </c>
      <c r="K1499" s="11">
        <v>980.67543875063473</v>
      </c>
      <c r="L1499" s="12">
        <v>0</v>
      </c>
      <c r="M1499" s="12">
        <v>0</v>
      </c>
      <c r="N1499" s="12">
        <v>980.67543875063473</v>
      </c>
      <c r="O1499" s="70">
        <f>IF(Table1[[#This Row],[Overall amount]]=0,0,1)</f>
        <v>1</v>
      </c>
      <c r="P1499" s="70">
        <f>Table1[[#This Row],[Overall amount]]*Exchange_Rate</f>
        <v>980.67543875063473</v>
      </c>
      <c r="Q1499" s="70">
        <f>Table1[[#This Row],[Overall (destination currency)]]*(1+Claims_Inflation)^((Revalue_at_date-Table1[[#This Row],[Loss date]])/365.25)</f>
        <v>1360.0079999999998</v>
      </c>
      <c r="R1499" s="70">
        <f>INT(Table1[[#This Row],[Reporting date]])-INT(Table1[[#This Row],[Loss date]])</f>
        <v>99</v>
      </c>
      <c r="S1499" s="69" t="s">
        <v>9</v>
      </c>
      <c r="T1499" s="70">
        <f>VLOOKUP(Table1[[#This Row],[Policy Year]],exposure_table,3,FALSE)</f>
        <v>601.98581780480015</v>
      </c>
      <c r="U1499" s="17">
        <f>IF(MONTH(Table1[[#This Row],[Reporting date]])&lt;Policy_Inception_Month,YEAR(Table1[[#This Row],[Reporting date]])-1,YEAR(Table1[[#This Row],[Reporting date]]))</f>
        <v>2009</v>
      </c>
      <c r="V1499" s="17">
        <f>Table1[[#This Row],[Reporting year]]-Table1[[#This Row],[Policy Year]]</f>
        <v>1</v>
      </c>
      <c r="W1499" s="17">
        <f>INT(Table1[[#This Row],[Reporting date]])-INT(Table1[[#This Row],[Loss date]])</f>
        <v>99</v>
      </c>
      <c r="X1499" s="17">
        <f>INT((YEAR(Table1[[#This Row],[Loss date]])*12+MONTH(Table1[[#This Row],[Loss date]])-Earliest_Month)/4)</f>
        <v>11</v>
      </c>
      <c r="Y1499" s="17">
        <f>INT((YEAR(Table1[[#This Row],[Reporting date]])*12+MONTH(Table1[[#This Row],[Reporting date]])-Earliest_Month)/4)</f>
        <v>12</v>
      </c>
      <c r="Z1499" s="17">
        <f>Table1[[#This Row],[Reporting third]]-Table1[[#This Row],[Policy third]]</f>
        <v>1</v>
      </c>
      <c r="AA1499" s="71">
        <f>IF(Table1[[#This Row],[Overall amount]]=0,"N/A",Table1[[#This Row],[Outstanding]]/Table1[[#This Row],[Overall amount]])</f>
        <v>0</v>
      </c>
      <c r="AB1499" s="17">
        <f>IF(MONTH(Table1[[#This Row],[Loss date]])&lt;Pol_Inc_Month_Shifted,YEAR(Table1[[#This Row],[Loss date]])-1,YEAR(Table1[[#This Row],[Loss date]]))</f>
        <v>2008</v>
      </c>
      <c r="AC1499" s="17">
        <f>IF(MONTH(Table1[[#This Row],[Reporting date]])&lt;Pol_Inc_Month_Shifted,YEAR(Table1[[#This Row],[Reporting date]])-1,YEAR(Table1[[#This Row],[Reporting date]]))</f>
        <v>2008</v>
      </c>
      <c r="AD1499" s="17">
        <f>Table1[[#This Row],[Reporting year (shifted)]]-Table1[[#This Row],[Policy Year (shifted)]]</f>
        <v>0</v>
      </c>
    </row>
    <row r="1500" spans="1:30" ht="13.9">
      <c r="A1500" s="8" t="s">
        <v>3270</v>
      </c>
      <c r="B1500" s="8" t="s">
        <v>1552</v>
      </c>
      <c r="C1500" s="8" t="s">
        <v>118</v>
      </c>
      <c r="D1500" s="9">
        <v>40731</v>
      </c>
      <c r="E1500" s="9">
        <v>40755</v>
      </c>
      <c r="F1500" s="17">
        <f>IF(MONTH(Table1[[#This Row],[Loss date]])&lt;Policy_Inception_Month,YEAR(Table1[[#This Row],[Loss date]])-1,YEAR(Table1[[#This Row],[Loss date]]))</f>
        <v>2011</v>
      </c>
      <c r="G1500" s="10" t="s">
        <v>125</v>
      </c>
      <c r="H1500" s="10" t="s">
        <v>2</v>
      </c>
      <c r="I1500" s="11">
        <v>10919.845403555009</v>
      </c>
      <c r="J1500" s="11">
        <v>0</v>
      </c>
      <c r="K1500" s="11">
        <v>10919.845403555009</v>
      </c>
      <c r="L1500" s="12">
        <v>0</v>
      </c>
      <c r="M1500" s="12">
        <v>0</v>
      </c>
      <c r="N1500" s="12">
        <v>10919.845403555009</v>
      </c>
      <c r="O1500" s="70">
        <f>IF(Table1[[#This Row],[Overall amount]]=0,0,1)</f>
        <v>1</v>
      </c>
      <c r="P1500" s="70">
        <f>Table1[[#This Row],[Overall amount]]*Exchange_Rate</f>
        <v>10919.845403555009</v>
      </c>
      <c r="Q1500" s="70">
        <f>Table1[[#This Row],[Overall (destination currency)]]*(1+Claims_Inflation)^((Revalue_at_date-Table1[[#This Row],[Loss date]])/365.25)</f>
        <v>13426.500000000002</v>
      </c>
      <c r="R1500" s="70">
        <f>INT(Table1[[#This Row],[Reporting date]])-INT(Table1[[#This Row],[Loss date]])</f>
        <v>24</v>
      </c>
      <c r="S1500" s="69" t="s">
        <v>9</v>
      </c>
      <c r="T1500" s="70">
        <f>VLOOKUP(Table1[[#This Row],[Policy Year]],exposure_table,3,FALSE)</f>
        <v>870.52680000000009</v>
      </c>
      <c r="U1500" s="17">
        <f>IF(MONTH(Table1[[#This Row],[Reporting date]])&lt;Policy_Inception_Month,YEAR(Table1[[#This Row],[Reporting date]])-1,YEAR(Table1[[#This Row],[Reporting date]]))</f>
        <v>2011</v>
      </c>
      <c r="V1500" s="17">
        <f>Table1[[#This Row],[Reporting year]]-Table1[[#This Row],[Policy Year]]</f>
        <v>0</v>
      </c>
      <c r="W1500" s="17">
        <f>INT(Table1[[#This Row],[Reporting date]])-INT(Table1[[#This Row],[Loss date]])</f>
        <v>24</v>
      </c>
      <c r="X1500" s="17">
        <f>INT((YEAR(Table1[[#This Row],[Loss date]])*12+MONTH(Table1[[#This Row],[Loss date]])-Earliest_Month)/4)</f>
        <v>18</v>
      </c>
      <c r="Y1500" s="17">
        <f>INT((YEAR(Table1[[#This Row],[Reporting date]])*12+MONTH(Table1[[#This Row],[Reporting date]])-Earliest_Month)/4)</f>
        <v>18</v>
      </c>
      <c r="Z1500" s="17">
        <f>Table1[[#This Row],[Reporting third]]-Table1[[#This Row],[Policy third]]</f>
        <v>0</v>
      </c>
      <c r="AA1500" s="71">
        <f>IF(Table1[[#This Row],[Overall amount]]=0,"N/A",Table1[[#This Row],[Outstanding]]/Table1[[#This Row],[Overall amount]])</f>
        <v>0</v>
      </c>
      <c r="AB1500" s="17">
        <f>IF(MONTH(Table1[[#This Row],[Loss date]])&lt;Pol_Inc_Month_Shifted,YEAR(Table1[[#This Row],[Loss date]])-1,YEAR(Table1[[#This Row],[Loss date]]))</f>
        <v>2010</v>
      </c>
      <c r="AC1500" s="17">
        <f>IF(MONTH(Table1[[#This Row],[Reporting date]])&lt;Pol_Inc_Month_Shifted,YEAR(Table1[[#This Row],[Reporting date]])-1,YEAR(Table1[[#This Row],[Reporting date]]))</f>
        <v>2010</v>
      </c>
      <c r="AD1500" s="17">
        <f>Table1[[#This Row],[Reporting year (shifted)]]-Table1[[#This Row],[Policy Year (shifted)]]</f>
        <v>0</v>
      </c>
    </row>
    <row r="1501" spans="1:30" ht="13.9">
      <c r="A1501" s="8" t="s">
        <v>3271</v>
      </c>
      <c r="B1501" s="8" t="s">
        <v>1553</v>
      </c>
      <c r="C1501" s="8" t="s">
        <v>118</v>
      </c>
      <c r="D1501" s="9">
        <v>38800</v>
      </c>
      <c r="E1501" s="9">
        <v>38851</v>
      </c>
      <c r="F1501" s="17">
        <f>IF(MONTH(Table1[[#This Row],[Loss date]])&lt;Policy_Inception_Month,YEAR(Table1[[#This Row],[Loss date]])-1,YEAR(Table1[[#This Row],[Loss date]]))</f>
        <v>2005</v>
      </c>
      <c r="G1501" s="10" t="s">
        <v>126</v>
      </c>
      <c r="H1501" s="10" t="s">
        <v>2</v>
      </c>
      <c r="I1501" s="11">
        <v>6185.6345722464321</v>
      </c>
      <c r="J1501" s="11">
        <v>0</v>
      </c>
      <c r="K1501" s="11">
        <v>6185.6345722464321</v>
      </c>
      <c r="L1501" s="12">
        <v>0</v>
      </c>
      <c r="M1501" s="12">
        <v>0</v>
      </c>
      <c r="N1501" s="12">
        <v>6185.6345722464321</v>
      </c>
      <c r="O1501" s="70">
        <f>IF(Table1[[#This Row],[Overall amount]]=0,0,1)</f>
        <v>1</v>
      </c>
      <c r="P1501" s="70">
        <f>Table1[[#This Row],[Overall amount]]*Exchange_Rate</f>
        <v>6185.6345722464321</v>
      </c>
      <c r="Q1501" s="70">
        <f>Table1[[#This Row],[Overall (destination currency)]]*(1+Claims_Inflation)^((Revalue_at_date-Table1[[#This Row],[Loss date]])/365.25)</f>
        <v>9843.6</v>
      </c>
      <c r="R1501" s="70">
        <f>INT(Table1[[#This Row],[Reporting date]])-INT(Table1[[#This Row],[Loss date]])</f>
        <v>51</v>
      </c>
      <c r="S1501" s="69" t="s">
        <v>9</v>
      </c>
      <c r="T1501" s="70">
        <f>VLOOKUP(Table1[[#This Row],[Policy Year]],exposure_table,3,FALSE)</f>
        <v>409.50481038040112</v>
      </c>
      <c r="U1501" s="17">
        <f>IF(MONTH(Table1[[#This Row],[Reporting date]])&lt;Policy_Inception_Month,YEAR(Table1[[#This Row],[Reporting date]])-1,YEAR(Table1[[#This Row],[Reporting date]]))</f>
        <v>2006</v>
      </c>
      <c r="V1501" s="17">
        <f>Table1[[#This Row],[Reporting year]]-Table1[[#This Row],[Policy Year]]</f>
        <v>1</v>
      </c>
      <c r="W1501" s="17">
        <f>INT(Table1[[#This Row],[Reporting date]])-INT(Table1[[#This Row],[Loss date]])</f>
        <v>51</v>
      </c>
      <c r="X1501" s="17">
        <f>INT((YEAR(Table1[[#This Row],[Loss date]])*12+MONTH(Table1[[#This Row],[Loss date]])-Earliest_Month)/4)</f>
        <v>2</v>
      </c>
      <c r="Y1501" s="17">
        <f>INT((YEAR(Table1[[#This Row],[Reporting date]])*12+MONTH(Table1[[#This Row],[Reporting date]])-Earliest_Month)/4)</f>
        <v>3</v>
      </c>
      <c r="Z1501" s="17">
        <f>Table1[[#This Row],[Reporting third]]-Table1[[#This Row],[Policy third]]</f>
        <v>1</v>
      </c>
      <c r="AA1501" s="71">
        <f>IF(Table1[[#This Row],[Overall amount]]=0,"N/A",Table1[[#This Row],[Outstanding]]/Table1[[#This Row],[Overall amount]])</f>
        <v>0</v>
      </c>
      <c r="AB1501" s="17">
        <f>IF(MONTH(Table1[[#This Row],[Loss date]])&lt;Pol_Inc_Month_Shifted,YEAR(Table1[[#This Row],[Loss date]])-1,YEAR(Table1[[#This Row],[Loss date]]))</f>
        <v>2005</v>
      </c>
      <c r="AC1501" s="17">
        <f>IF(MONTH(Table1[[#This Row],[Reporting date]])&lt;Pol_Inc_Month_Shifted,YEAR(Table1[[#This Row],[Reporting date]])-1,YEAR(Table1[[#This Row],[Reporting date]]))</f>
        <v>2005</v>
      </c>
      <c r="AD1501" s="17">
        <f>Table1[[#This Row],[Reporting year (shifted)]]-Table1[[#This Row],[Policy Year (shifted)]]</f>
        <v>0</v>
      </c>
    </row>
    <row r="1502" spans="1:30" ht="13.9">
      <c r="A1502" s="8" t="s">
        <v>3272</v>
      </c>
      <c r="B1502" s="8" t="s">
        <v>1554</v>
      </c>
      <c r="C1502" s="8" t="s">
        <v>118</v>
      </c>
      <c r="D1502" s="9">
        <v>39063</v>
      </c>
      <c r="E1502" s="9">
        <v>39090</v>
      </c>
      <c r="F1502" s="17">
        <f>IF(MONTH(Table1[[#This Row],[Loss date]])&lt;Policy_Inception_Month,YEAR(Table1[[#This Row],[Loss date]])-1,YEAR(Table1[[#This Row],[Loss date]]))</f>
        <v>2006</v>
      </c>
      <c r="G1502" s="10" t="s">
        <v>119</v>
      </c>
      <c r="H1502" s="10" t="s">
        <v>2</v>
      </c>
      <c r="I1502" s="11">
        <v>32.022324963335258</v>
      </c>
      <c r="J1502" s="11">
        <v>0</v>
      </c>
      <c r="K1502" s="11">
        <v>32.022324963335258</v>
      </c>
      <c r="L1502" s="12">
        <v>0</v>
      </c>
      <c r="M1502" s="12">
        <v>0</v>
      </c>
      <c r="N1502" s="12">
        <v>32.022324963335258</v>
      </c>
      <c r="O1502" s="70">
        <f>IF(Table1[[#This Row],[Overall amount]]=0,0,1)</f>
        <v>1</v>
      </c>
      <c r="P1502" s="70">
        <f>Table1[[#This Row],[Overall amount]]*Exchange_Rate</f>
        <v>32.022324963335258</v>
      </c>
      <c r="Q1502" s="70">
        <f>Table1[[#This Row],[Overall (destination currency)]]*(1+Claims_Inflation)^((Revalue_at_date-Table1[[#This Row],[Loss date]])/365.25)</f>
        <v>49.20000000000001</v>
      </c>
      <c r="R1502" s="70">
        <f>INT(Table1[[#This Row],[Reporting date]])-INT(Table1[[#This Row],[Loss date]])</f>
        <v>27</v>
      </c>
      <c r="S1502" s="69" t="s">
        <v>9</v>
      </c>
      <c r="T1502" s="70">
        <f>VLOOKUP(Table1[[#This Row],[Policy Year]],exposure_table,3,FALSE)</f>
        <v>483.32023209000977</v>
      </c>
      <c r="U1502" s="17">
        <f>IF(MONTH(Table1[[#This Row],[Reporting date]])&lt;Policy_Inception_Month,YEAR(Table1[[#This Row],[Reporting date]])-1,YEAR(Table1[[#This Row],[Reporting date]]))</f>
        <v>2006</v>
      </c>
      <c r="V1502" s="17">
        <f>Table1[[#This Row],[Reporting year]]-Table1[[#This Row],[Policy Year]]</f>
        <v>0</v>
      </c>
      <c r="W1502" s="17">
        <f>INT(Table1[[#This Row],[Reporting date]])-INT(Table1[[#This Row],[Loss date]])</f>
        <v>27</v>
      </c>
      <c r="X1502" s="17">
        <f>INT((YEAR(Table1[[#This Row],[Loss date]])*12+MONTH(Table1[[#This Row],[Loss date]])-Earliest_Month)/4)</f>
        <v>5</v>
      </c>
      <c r="Y1502" s="17">
        <f>INT((YEAR(Table1[[#This Row],[Reporting date]])*12+MONTH(Table1[[#This Row],[Reporting date]])-Earliest_Month)/4)</f>
        <v>5</v>
      </c>
      <c r="Z1502" s="17">
        <f>Table1[[#This Row],[Reporting third]]-Table1[[#This Row],[Policy third]]</f>
        <v>0</v>
      </c>
      <c r="AA1502" s="71">
        <f>IF(Table1[[#This Row],[Overall amount]]=0,"N/A",Table1[[#This Row],[Outstanding]]/Table1[[#This Row],[Overall amount]])</f>
        <v>0</v>
      </c>
      <c r="AB1502" s="17">
        <f>IF(MONTH(Table1[[#This Row],[Loss date]])&lt;Pol_Inc_Month_Shifted,YEAR(Table1[[#This Row],[Loss date]])-1,YEAR(Table1[[#This Row],[Loss date]]))</f>
        <v>2006</v>
      </c>
      <c r="AC1502" s="17">
        <f>IF(MONTH(Table1[[#This Row],[Reporting date]])&lt;Pol_Inc_Month_Shifted,YEAR(Table1[[#This Row],[Reporting date]])-1,YEAR(Table1[[#This Row],[Reporting date]]))</f>
        <v>2006</v>
      </c>
      <c r="AD1502" s="17">
        <f>Table1[[#This Row],[Reporting year (shifted)]]-Table1[[#This Row],[Policy Year (shifted)]]</f>
        <v>0</v>
      </c>
    </row>
    <row r="1503" spans="1:30" ht="13.9">
      <c r="A1503" s="8" t="s">
        <v>3273</v>
      </c>
      <c r="B1503" s="8" t="s">
        <v>1555</v>
      </c>
      <c r="C1503" s="8" t="s">
        <v>118</v>
      </c>
      <c r="D1503" s="9">
        <v>39243</v>
      </c>
      <c r="E1503" s="9">
        <v>39264</v>
      </c>
      <c r="F1503" s="17">
        <f>IF(MONTH(Table1[[#This Row],[Loss date]])&lt;Policy_Inception_Month,YEAR(Table1[[#This Row],[Loss date]])-1,YEAR(Table1[[#This Row],[Loss date]]))</f>
        <v>2007</v>
      </c>
      <c r="G1503" s="10" t="s">
        <v>129</v>
      </c>
      <c r="H1503" s="10" t="s">
        <v>2</v>
      </c>
      <c r="I1503" s="11">
        <v>29368.613879749053</v>
      </c>
      <c r="J1503" s="11">
        <v>0</v>
      </c>
      <c r="K1503" s="11">
        <v>29368.613879749053</v>
      </c>
      <c r="L1503" s="12">
        <v>0</v>
      </c>
      <c r="M1503" s="12">
        <v>2819.3869324559087</v>
      </c>
      <c r="N1503" s="12">
        <v>26549.226947293144</v>
      </c>
      <c r="O1503" s="70">
        <f>IF(Table1[[#This Row],[Overall amount]]=0,0,1)</f>
        <v>1</v>
      </c>
      <c r="P1503" s="70">
        <f>Table1[[#This Row],[Overall amount]]*Exchange_Rate</f>
        <v>26549.226947293144</v>
      </c>
      <c r="Q1503" s="70">
        <f>Table1[[#This Row],[Overall (destination currency)]]*(1+Claims_Inflation)^((Revalue_at_date-Table1[[#This Row],[Loss date]])/365.25)</f>
        <v>39821.879807999998</v>
      </c>
      <c r="R1503" s="70">
        <f>INT(Table1[[#This Row],[Reporting date]])-INT(Table1[[#This Row],[Loss date]])</f>
        <v>21</v>
      </c>
      <c r="S1503" s="69" t="s">
        <v>9</v>
      </c>
      <c r="T1503" s="70">
        <f>VLOOKUP(Table1[[#This Row],[Policy Year]],exposure_table,3,FALSE)</f>
        <v>547.7736362475523</v>
      </c>
      <c r="U1503" s="17">
        <f>IF(MONTH(Table1[[#This Row],[Reporting date]])&lt;Policy_Inception_Month,YEAR(Table1[[#This Row],[Reporting date]])-1,YEAR(Table1[[#This Row],[Reporting date]]))</f>
        <v>2007</v>
      </c>
      <c r="V1503" s="17">
        <f>Table1[[#This Row],[Reporting year]]-Table1[[#This Row],[Policy Year]]</f>
        <v>0</v>
      </c>
      <c r="W1503" s="17">
        <f>INT(Table1[[#This Row],[Reporting date]])-INT(Table1[[#This Row],[Loss date]])</f>
        <v>21</v>
      </c>
      <c r="X1503" s="17">
        <f>INT((YEAR(Table1[[#This Row],[Loss date]])*12+MONTH(Table1[[#This Row],[Loss date]])-Earliest_Month)/4)</f>
        <v>6</v>
      </c>
      <c r="Y1503" s="17">
        <f>INT((YEAR(Table1[[#This Row],[Reporting date]])*12+MONTH(Table1[[#This Row],[Reporting date]])-Earliest_Month)/4)</f>
        <v>6</v>
      </c>
      <c r="Z1503" s="17">
        <f>Table1[[#This Row],[Reporting third]]-Table1[[#This Row],[Policy third]]</f>
        <v>0</v>
      </c>
      <c r="AA1503" s="71">
        <f>IF(Table1[[#This Row],[Overall amount]]=0,"N/A",Table1[[#This Row],[Outstanding]]/Table1[[#This Row],[Overall amount]])</f>
        <v>0</v>
      </c>
      <c r="AB1503" s="17">
        <f>IF(MONTH(Table1[[#This Row],[Loss date]])&lt;Pol_Inc_Month_Shifted,YEAR(Table1[[#This Row],[Loss date]])-1,YEAR(Table1[[#This Row],[Loss date]]))</f>
        <v>2006</v>
      </c>
      <c r="AC1503" s="17">
        <f>IF(MONTH(Table1[[#This Row],[Reporting date]])&lt;Pol_Inc_Month_Shifted,YEAR(Table1[[#This Row],[Reporting date]])-1,YEAR(Table1[[#This Row],[Reporting date]]))</f>
        <v>2006</v>
      </c>
      <c r="AD1503" s="17">
        <f>Table1[[#This Row],[Reporting year (shifted)]]-Table1[[#This Row],[Policy Year (shifted)]]</f>
        <v>0</v>
      </c>
    </row>
    <row r="1504" spans="1:30" ht="13.9">
      <c r="A1504" s="8" t="s">
        <v>3274</v>
      </c>
      <c r="B1504" s="8" t="s">
        <v>1556</v>
      </c>
      <c r="C1504" s="8" t="s">
        <v>118</v>
      </c>
      <c r="D1504" s="9">
        <v>39221</v>
      </c>
      <c r="E1504" s="9">
        <v>39264</v>
      </c>
      <c r="F1504" s="17">
        <f>IF(MONTH(Table1[[#This Row],[Loss date]])&lt;Policy_Inception_Month,YEAR(Table1[[#This Row],[Loss date]])-1,YEAR(Table1[[#This Row],[Loss date]]))</f>
        <v>2007</v>
      </c>
      <c r="G1504" s="10" t="s">
        <v>129</v>
      </c>
      <c r="H1504" s="10" t="s">
        <v>2</v>
      </c>
      <c r="I1504" s="11">
        <v>28589.135346563718</v>
      </c>
      <c r="J1504" s="11">
        <v>0</v>
      </c>
      <c r="K1504" s="11">
        <v>28589.135346563718</v>
      </c>
      <c r="L1504" s="12">
        <v>0</v>
      </c>
      <c r="M1504" s="12">
        <v>0</v>
      </c>
      <c r="N1504" s="12">
        <v>28589.135346563718</v>
      </c>
      <c r="O1504" s="70">
        <f>IF(Table1[[#This Row],[Overall amount]]=0,0,1)</f>
        <v>1</v>
      </c>
      <c r="P1504" s="70">
        <f>Table1[[#This Row],[Overall amount]]*Exchange_Rate</f>
        <v>28589.135346563718</v>
      </c>
      <c r="Q1504" s="70">
        <f>Table1[[#This Row],[Overall (destination currency)]]*(1+Claims_Inflation)^((Revalue_at_date-Table1[[#This Row],[Loss date]])/365.25)</f>
        <v>43007.796000000002</v>
      </c>
      <c r="R1504" s="70">
        <f>INT(Table1[[#This Row],[Reporting date]])-INT(Table1[[#This Row],[Loss date]])</f>
        <v>43</v>
      </c>
      <c r="S1504" s="69" t="s">
        <v>9</v>
      </c>
      <c r="T1504" s="70">
        <f>VLOOKUP(Table1[[#This Row],[Policy Year]],exposure_table,3,FALSE)</f>
        <v>547.7736362475523</v>
      </c>
      <c r="U1504" s="17">
        <f>IF(MONTH(Table1[[#This Row],[Reporting date]])&lt;Policy_Inception_Month,YEAR(Table1[[#This Row],[Reporting date]])-1,YEAR(Table1[[#This Row],[Reporting date]]))</f>
        <v>2007</v>
      </c>
      <c r="V1504" s="17">
        <f>Table1[[#This Row],[Reporting year]]-Table1[[#This Row],[Policy Year]]</f>
        <v>0</v>
      </c>
      <c r="W1504" s="17">
        <f>INT(Table1[[#This Row],[Reporting date]])-INT(Table1[[#This Row],[Loss date]])</f>
        <v>43</v>
      </c>
      <c r="X1504" s="17">
        <f>INT((YEAR(Table1[[#This Row],[Loss date]])*12+MONTH(Table1[[#This Row],[Loss date]])-Earliest_Month)/4)</f>
        <v>6</v>
      </c>
      <c r="Y1504" s="17">
        <f>INT((YEAR(Table1[[#This Row],[Reporting date]])*12+MONTH(Table1[[#This Row],[Reporting date]])-Earliest_Month)/4)</f>
        <v>6</v>
      </c>
      <c r="Z1504" s="17">
        <f>Table1[[#This Row],[Reporting third]]-Table1[[#This Row],[Policy third]]</f>
        <v>0</v>
      </c>
      <c r="AA1504" s="71">
        <f>IF(Table1[[#This Row],[Overall amount]]=0,"N/A",Table1[[#This Row],[Outstanding]]/Table1[[#This Row],[Overall amount]])</f>
        <v>0</v>
      </c>
      <c r="AB1504" s="17">
        <f>IF(MONTH(Table1[[#This Row],[Loss date]])&lt;Pol_Inc_Month_Shifted,YEAR(Table1[[#This Row],[Loss date]])-1,YEAR(Table1[[#This Row],[Loss date]]))</f>
        <v>2006</v>
      </c>
      <c r="AC1504" s="17">
        <f>IF(MONTH(Table1[[#This Row],[Reporting date]])&lt;Pol_Inc_Month_Shifted,YEAR(Table1[[#This Row],[Reporting date]])-1,YEAR(Table1[[#This Row],[Reporting date]]))</f>
        <v>2006</v>
      </c>
      <c r="AD1504" s="17">
        <f>Table1[[#This Row],[Reporting year (shifted)]]-Table1[[#This Row],[Policy Year (shifted)]]</f>
        <v>0</v>
      </c>
    </row>
    <row r="1505" spans="1:30" ht="13.9">
      <c r="A1505" s="8" t="s">
        <v>3275</v>
      </c>
      <c r="B1505" s="8" t="s">
        <v>1557</v>
      </c>
      <c r="C1505" s="8" t="s">
        <v>118</v>
      </c>
      <c r="D1505" s="9">
        <v>39523</v>
      </c>
      <c r="E1505" s="9">
        <v>39543</v>
      </c>
      <c r="F1505" s="17">
        <f>IF(MONTH(Table1[[#This Row],[Loss date]])&lt;Policy_Inception_Month,YEAR(Table1[[#This Row],[Loss date]])-1,YEAR(Table1[[#This Row],[Loss date]]))</f>
        <v>2007</v>
      </c>
      <c r="G1505" s="10" t="s">
        <v>129</v>
      </c>
      <c r="H1505" s="10" t="s">
        <v>2</v>
      </c>
      <c r="I1505" s="11">
        <v>2835.5604980592216</v>
      </c>
      <c r="J1505" s="11">
        <v>0</v>
      </c>
      <c r="K1505" s="11">
        <v>2835.5604980592216</v>
      </c>
      <c r="L1505" s="12">
        <v>0</v>
      </c>
      <c r="M1505" s="12">
        <v>0</v>
      </c>
      <c r="N1505" s="12">
        <v>2835.5604980592216</v>
      </c>
      <c r="O1505" s="70">
        <f>IF(Table1[[#This Row],[Overall amount]]=0,0,1)</f>
        <v>1</v>
      </c>
      <c r="P1505" s="70">
        <f>Table1[[#This Row],[Overall amount]]*Exchange_Rate</f>
        <v>2835.5604980592216</v>
      </c>
      <c r="Q1505" s="70">
        <f>Table1[[#This Row],[Overall (destination currency)]]*(1+Claims_Inflation)^((Revalue_at_date-Table1[[#This Row],[Loss date]])/365.25)</f>
        <v>4096.9919999999993</v>
      </c>
      <c r="R1505" s="70">
        <f>INT(Table1[[#This Row],[Reporting date]])-INT(Table1[[#This Row],[Loss date]])</f>
        <v>20</v>
      </c>
      <c r="S1505" s="69" t="s">
        <v>9</v>
      </c>
      <c r="T1505" s="70">
        <f>VLOOKUP(Table1[[#This Row],[Policy Year]],exposure_table,3,FALSE)</f>
        <v>547.7736362475523</v>
      </c>
      <c r="U1505" s="17">
        <f>IF(MONTH(Table1[[#This Row],[Reporting date]])&lt;Policy_Inception_Month,YEAR(Table1[[#This Row],[Reporting date]])-1,YEAR(Table1[[#This Row],[Reporting date]]))</f>
        <v>2008</v>
      </c>
      <c r="V1505" s="17">
        <f>Table1[[#This Row],[Reporting year]]-Table1[[#This Row],[Policy Year]]</f>
        <v>1</v>
      </c>
      <c r="W1505" s="17">
        <f>INT(Table1[[#This Row],[Reporting date]])-INT(Table1[[#This Row],[Loss date]])</f>
        <v>20</v>
      </c>
      <c r="X1505" s="17">
        <f>INT((YEAR(Table1[[#This Row],[Loss date]])*12+MONTH(Table1[[#This Row],[Loss date]])-Earliest_Month)/4)</f>
        <v>8</v>
      </c>
      <c r="Y1505" s="17">
        <f>INT((YEAR(Table1[[#This Row],[Reporting date]])*12+MONTH(Table1[[#This Row],[Reporting date]])-Earliest_Month)/4)</f>
        <v>9</v>
      </c>
      <c r="Z1505" s="17">
        <f>Table1[[#This Row],[Reporting third]]-Table1[[#This Row],[Policy third]]</f>
        <v>1</v>
      </c>
      <c r="AA1505" s="71">
        <f>IF(Table1[[#This Row],[Overall amount]]=0,"N/A",Table1[[#This Row],[Outstanding]]/Table1[[#This Row],[Overall amount]])</f>
        <v>0</v>
      </c>
      <c r="AB1505" s="17">
        <f>IF(MONTH(Table1[[#This Row],[Loss date]])&lt;Pol_Inc_Month_Shifted,YEAR(Table1[[#This Row],[Loss date]])-1,YEAR(Table1[[#This Row],[Loss date]]))</f>
        <v>2007</v>
      </c>
      <c r="AC1505" s="17">
        <f>IF(MONTH(Table1[[#This Row],[Reporting date]])&lt;Pol_Inc_Month_Shifted,YEAR(Table1[[#This Row],[Reporting date]])-1,YEAR(Table1[[#This Row],[Reporting date]]))</f>
        <v>2007</v>
      </c>
      <c r="AD1505" s="17">
        <f>Table1[[#This Row],[Reporting year (shifted)]]-Table1[[#This Row],[Policy Year (shifted)]]</f>
        <v>0</v>
      </c>
    </row>
    <row r="1506" spans="1:30" ht="13.9">
      <c r="A1506" s="8" t="s">
        <v>3276</v>
      </c>
      <c r="B1506" s="8" t="s">
        <v>1558</v>
      </c>
      <c r="C1506" s="8" t="s">
        <v>118</v>
      </c>
      <c r="D1506" s="9">
        <v>39537</v>
      </c>
      <c r="E1506" s="9">
        <v>39543</v>
      </c>
      <c r="F1506" s="17">
        <f>IF(MONTH(Table1[[#This Row],[Loss date]])&lt;Policy_Inception_Month,YEAR(Table1[[#This Row],[Loss date]])-1,YEAR(Table1[[#This Row],[Loss date]]))</f>
        <v>2007</v>
      </c>
      <c r="G1506" s="10" t="s">
        <v>129</v>
      </c>
      <c r="H1506" s="10" t="s">
        <v>2</v>
      </c>
      <c r="I1506" s="11">
        <v>9686.1497403006288</v>
      </c>
      <c r="J1506" s="11">
        <v>0</v>
      </c>
      <c r="K1506" s="11">
        <v>9686.1497403006288</v>
      </c>
      <c r="L1506" s="12">
        <v>0</v>
      </c>
      <c r="M1506" s="12">
        <v>736.14738026284795</v>
      </c>
      <c r="N1506" s="12">
        <v>8950.0023600377808</v>
      </c>
      <c r="O1506" s="70">
        <f>IF(Table1[[#This Row],[Overall amount]]=0,0,1)</f>
        <v>1</v>
      </c>
      <c r="P1506" s="70">
        <f>Table1[[#This Row],[Overall amount]]*Exchange_Rate</f>
        <v>8950.0023600377808</v>
      </c>
      <c r="Q1506" s="70">
        <f>Table1[[#This Row],[Overall (destination currency)]]*(1+Claims_Inflation)^((Revalue_at_date-Table1[[#This Row],[Loss date]])/365.25)</f>
        <v>12907.352303999998</v>
      </c>
      <c r="R1506" s="70">
        <f>INT(Table1[[#This Row],[Reporting date]])-INT(Table1[[#This Row],[Loss date]])</f>
        <v>6</v>
      </c>
      <c r="S1506" s="69" t="s">
        <v>9</v>
      </c>
      <c r="T1506" s="70">
        <f>VLOOKUP(Table1[[#This Row],[Policy Year]],exposure_table,3,FALSE)</f>
        <v>547.7736362475523</v>
      </c>
      <c r="U1506" s="17">
        <f>IF(MONTH(Table1[[#This Row],[Reporting date]])&lt;Policy_Inception_Month,YEAR(Table1[[#This Row],[Reporting date]])-1,YEAR(Table1[[#This Row],[Reporting date]]))</f>
        <v>2008</v>
      </c>
      <c r="V1506" s="17">
        <f>Table1[[#This Row],[Reporting year]]-Table1[[#This Row],[Policy Year]]</f>
        <v>1</v>
      </c>
      <c r="W1506" s="17">
        <f>INT(Table1[[#This Row],[Reporting date]])-INT(Table1[[#This Row],[Loss date]])</f>
        <v>6</v>
      </c>
      <c r="X1506" s="17">
        <f>INT((YEAR(Table1[[#This Row],[Loss date]])*12+MONTH(Table1[[#This Row],[Loss date]])-Earliest_Month)/4)</f>
        <v>8</v>
      </c>
      <c r="Y1506" s="17">
        <f>INT((YEAR(Table1[[#This Row],[Reporting date]])*12+MONTH(Table1[[#This Row],[Reporting date]])-Earliest_Month)/4)</f>
        <v>9</v>
      </c>
      <c r="Z1506" s="17">
        <f>Table1[[#This Row],[Reporting third]]-Table1[[#This Row],[Policy third]]</f>
        <v>1</v>
      </c>
      <c r="AA1506" s="71">
        <f>IF(Table1[[#This Row],[Overall amount]]=0,"N/A",Table1[[#This Row],[Outstanding]]/Table1[[#This Row],[Overall amount]])</f>
        <v>0</v>
      </c>
      <c r="AB1506" s="17">
        <f>IF(MONTH(Table1[[#This Row],[Loss date]])&lt;Pol_Inc_Month_Shifted,YEAR(Table1[[#This Row],[Loss date]])-1,YEAR(Table1[[#This Row],[Loss date]]))</f>
        <v>2007</v>
      </c>
      <c r="AC1506" s="17">
        <f>IF(MONTH(Table1[[#This Row],[Reporting date]])&lt;Pol_Inc_Month_Shifted,YEAR(Table1[[#This Row],[Reporting date]])-1,YEAR(Table1[[#This Row],[Reporting date]]))</f>
        <v>2007</v>
      </c>
      <c r="AD1506" s="17">
        <f>Table1[[#This Row],[Reporting year (shifted)]]-Table1[[#This Row],[Policy Year (shifted)]]</f>
        <v>0</v>
      </c>
    </row>
    <row r="1507" spans="1:30" ht="13.9">
      <c r="A1507" s="8" t="s">
        <v>3277</v>
      </c>
      <c r="B1507" s="8" t="s">
        <v>1559</v>
      </c>
      <c r="C1507" s="8" t="s">
        <v>118</v>
      </c>
      <c r="D1507" s="9">
        <v>39339</v>
      </c>
      <c r="E1507" s="9">
        <v>39543</v>
      </c>
      <c r="F1507" s="17">
        <f>IF(MONTH(Table1[[#This Row],[Loss date]])&lt;Policy_Inception_Month,YEAR(Table1[[#This Row],[Loss date]])-1,YEAR(Table1[[#This Row],[Loss date]]))</f>
        <v>2007</v>
      </c>
      <c r="G1507" s="10" t="s">
        <v>129</v>
      </c>
      <c r="H1507" s="10" t="s">
        <v>2</v>
      </c>
      <c r="I1507" s="11">
        <v>2617.478677123368</v>
      </c>
      <c r="J1507" s="11">
        <v>0</v>
      </c>
      <c r="K1507" s="11">
        <v>2617.478677123368</v>
      </c>
      <c r="L1507" s="12">
        <v>0</v>
      </c>
      <c r="M1507" s="12">
        <v>0</v>
      </c>
      <c r="N1507" s="12">
        <v>2617.478677123368</v>
      </c>
      <c r="O1507" s="70">
        <f>IF(Table1[[#This Row],[Overall amount]]=0,0,1)</f>
        <v>1</v>
      </c>
      <c r="P1507" s="70">
        <f>Table1[[#This Row],[Overall amount]]*Exchange_Rate</f>
        <v>2617.478677123368</v>
      </c>
      <c r="Q1507" s="70">
        <f>Table1[[#This Row],[Overall (destination currency)]]*(1+Claims_Inflation)^((Revalue_at_date-Table1[[#This Row],[Loss date]])/365.25)</f>
        <v>3876.0000000000005</v>
      </c>
      <c r="R1507" s="70">
        <f>INT(Table1[[#This Row],[Reporting date]])-INT(Table1[[#This Row],[Loss date]])</f>
        <v>204</v>
      </c>
      <c r="S1507" s="69" t="s">
        <v>9</v>
      </c>
      <c r="T1507" s="70">
        <f>VLOOKUP(Table1[[#This Row],[Policy Year]],exposure_table,3,FALSE)</f>
        <v>547.7736362475523</v>
      </c>
      <c r="U1507" s="17">
        <f>IF(MONTH(Table1[[#This Row],[Reporting date]])&lt;Policy_Inception_Month,YEAR(Table1[[#This Row],[Reporting date]])-1,YEAR(Table1[[#This Row],[Reporting date]]))</f>
        <v>2008</v>
      </c>
      <c r="V1507" s="17">
        <f>Table1[[#This Row],[Reporting year]]-Table1[[#This Row],[Policy Year]]</f>
        <v>1</v>
      </c>
      <c r="W1507" s="17">
        <f>INT(Table1[[#This Row],[Reporting date]])-INT(Table1[[#This Row],[Loss date]])</f>
        <v>204</v>
      </c>
      <c r="X1507" s="17">
        <f>INT((YEAR(Table1[[#This Row],[Loss date]])*12+MONTH(Table1[[#This Row],[Loss date]])-Earliest_Month)/4)</f>
        <v>7</v>
      </c>
      <c r="Y1507" s="17">
        <f>INT((YEAR(Table1[[#This Row],[Reporting date]])*12+MONTH(Table1[[#This Row],[Reporting date]])-Earliest_Month)/4)</f>
        <v>9</v>
      </c>
      <c r="Z1507" s="17">
        <f>Table1[[#This Row],[Reporting third]]-Table1[[#This Row],[Policy third]]</f>
        <v>2</v>
      </c>
      <c r="AA1507" s="71">
        <f>IF(Table1[[#This Row],[Overall amount]]=0,"N/A",Table1[[#This Row],[Outstanding]]/Table1[[#This Row],[Overall amount]])</f>
        <v>0</v>
      </c>
      <c r="AB1507" s="17">
        <f>IF(MONTH(Table1[[#This Row],[Loss date]])&lt;Pol_Inc_Month_Shifted,YEAR(Table1[[#This Row],[Loss date]])-1,YEAR(Table1[[#This Row],[Loss date]]))</f>
        <v>2006</v>
      </c>
      <c r="AC1507" s="17">
        <f>IF(MONTH(Table1[[#This Row],[Reporting date]])&lt;Pol_Inc_Month_Shifted,YEAR(Table1[[#This Row],[Reporting date]])-1,YEAR(Table1[[#This Row],[Reporting date]]))</f>
        <v>2007</v>
      </c>
      <c r="AD1507" s="17">
        <f>Table1[[#This Row],[Reporting year (shifted)]]-Table1[[#This Row],[Policy Year (shifted)]]</f>
        <v>1</v>
      </c>
    </row>
    <row r="1508" spans="1:30" ht="13.9">
      <c r="A1508" s="8" t="s">
        <v>3278</v>
      </c>
      <c r="B1508" s="8" t="s">
        <v>1560</v>
      </c>
      <c r="C1508" s="8" t="s">
        <v>118</v>
      </c>
      <c r="D1508" s="9">
        <v>40727</v>
      </c>
      <c r="E1508" s="9">
        <v>40733</v>
      </c>
      <c r="F1508" s="17">
        <f>IF(MONTH(Table1[[#This Row],[Loss date]])&lt;Policy_Inception_Month,YEAR(Table1[[#This Row],[Loss date]])-1,YEAR(Table1[[#This Row],[Loss date]]))</f>
        <v>2011</v>
      </c>
      <c r="G1508" s="10" t="s">
        <v>119</v>
      </c>
      <c r="H1508" s="10" t="s">
        <v>2</v>
      </c>
      <c r="I1508" s="11">
        <v>466.75051881326397</v>
      </c>
      <c r="J1508" s="11">
        <v>0</v>
      </c>
      <c r="K1508" s="11">
        <v>466.75051881326397</v>
      </c>
      <c r="L1508" s="12">
        <v>0</v>
      </c>
      <c r="M1508" s="12">
        <v>0</v>
      </c>
      <c r="N1508" s="12">
        <v>466.75051881326397</v>
      </c>
      <c r="O1508" s="70">
        <f>IF(Table1[[#This Row],[Overall amount]]=0,0,1)</f>
        <v>1</v>
      </c>
      <c r="P1508" s="70">
        <f>Table1[[#This Row],[Overall amount]]*Exchange_Rate</f>
        <v>466.75051881326397</v>
      </c>
      <c r="Q1508" s="70">
        <f>Table1[[#This Row],[Overall (destination currency)]]*(1+Claims_Inflation)^((Revalue_at_date-Table1[[#This Row],[Loss date]])/365.25)</f>
        <v>574.19999999999982</v>
      </c>
      <c r="R1508" s="70">
        <f>INT(Table1[[#This Row],[Reporting date]])-INT(Table1[[#This Row],[Loss date]])</f>
        <v>6</v>
      </c>
      <c r="S1508" s="69" t="s">
        <v>9</v>
      </c>
      <c r="T1508" s="70">
        <f>VLOOKUP(Table1[[#This Row],[Policy Year]],exposure_table,3,FALSE)</f>
        <v>870.52680000000009</v>
      </c>
      <c r="U1508" s="17">
        <f>IF(MONTH(Table1[[#This Row],[Reporting date]])&lt;Policy_Inception_Month,YEAR(Table1[[#This Row],[Reporting date]])-1,YEAR(Table1[[#This Row],[Reporting date]]))</f>
        <v>2011</v>
      </c>
      <c r="V1508" s="17">
        <f>Table1[[#This Row],[Reporting year]]-Table1[[#This Row],[Policy Year]]</f>
        <v>0</v>
      </c>
      <c r="W1508" s="17">
        <f>INT(Table1[[#This Row],[Reporting date]])-INT(Table1[[#This Row],[Loss date]])</f>
        <v>6</v>
      </c>
      <c r="X1508" s="17">
        <f>INT((YEAR(Table1[[#This Row],[Loss date]])*12+MONTH(Table1[[#This Row],[Loss date]])-Earliest_Month)/4)</f>
        <v>18</v>
      </c>
      <c r="Y1508" s="17">
        <f>INT((YEAR(Table1[[#This Row],[Reporting date]])*12+MONTH(Table1[[#This Row],[Reporting date]])-Earliest_Month)/4)</f>
        <v>18</v>
      </c>
      <c r="Z1508" s="17">
        <f>Table1[[#This Row],[Reporting third]]-Table1[[#This Row],[Policy third]]</f>
        <v>0</v>
      </c>
      <c r="AA1508" s="71">
        <f>IF(Table1[[#This Row],[Overall amount]]=0,"N/A",Table1[[#This Row],[Outstanding]]/Table1[[#This Row],[Overall amount]])</f>
        <v>0</v>
      </c>
      <c r="AB1508" s="17">
        <f>IF(MONTH(Table1[[#This Row],[Loss date]])&lt;Pol_Inc_Month_Shifted,YEAR(Table1[[#This Row],[Loss date]])-1,YEAR(Table1[[#This Row],[Loss date]]))</f>
        <v>2010</v>
      </c>
      <c r="AC1508" s="17">
        <f>IF(MONTH(Table1[[#This Row],[Reporting date]])&lt;Pol_Inc_Month_Shifted,YEAR(Table1[[#This Row],[Reporting date]])-1,YEAR(Table1[[#This Row],[Reporting date]]))</f>
        <v>2010</v>
      </c>
      <c r="AD1508" s="17">
        <f>Table1[[#This Row],[Reporting year (shifted)]]-Table1[[#This Row],[Policy Year (shifted)]]</f>
        <v>0</v>
      </c>
    </row>
    <row r="1509" spans="1:30" ht="13.9">
      <c r="A1509" s="8" t="s">
        <v>3279</v>
      </c>
      <c r="B1509" s="8" t="s">
        <v>1561</v>
      </c>
      <c r="C1509" s="8" t="s">
        <v>118</v>
      </c>
      <c r="D1509" s="9">
        <v>40761</v>
      </c>
      <c r="E1509" s="9">
        <v>40763</v>
      </c>
      <c r="F1509" s="17">
        <f>IF(MONTH(Table1[[#This Row],[Loss date]])&lt;Policy_Inception_Month,YEAR(Table1[[#This Row],[Loss date]])-1,YEAR(Table1[[#This Row],[Loss date]]))</f>
        <v>2011</v>
      </c>
      <c r="G1509" s="10" t="s">
        <v>129</v>
      </c>
      <c r="H1509" s="10" t="s">
        <v>2</v>
      </c>
      <c r="I1509" s="11">
        <v>1179.2921525374704</v>
      </c>
      <c r="J1509" s="11">
        <v>0</v>
      </c>
      <c r="K1509" s="11">
        <v>1179.2921525374704</v>
      </c>
      <c r="L1509" s="12">
        <v>0</v>
      </c>
      <c r="M1509" s="12">
        <v>0</v>
      </c>
      <c r="N1509" s="12">
        <v>1179.2921525374704</v>
      </c>
      <c r="O1509" s="70">
        <f>IF(Table1[[#This Row],[Overall amount]]=0,0,1)</f>
        <v>1</v>
      </c>
      <c r="P1509" s="70">
        <f>Table1[[#This Row],[Overall amount]]*Exchange_Rate</f>
        <v>1179.2921525374704</v>
      </c>
      <c r="Q1509" s="70">
        <f>Table1[[#This Row],[Overall (destination currency)]]*(1+Claims_Inflation)^((Revalue_at_date-Table1[[#This Row],[Loss date]])/365.25)</f>
        <v>1444.2</v>
      </c>
      <c r="R1509" s="70">
        <f>INT(Table1[[#This Row],[Reporting date]])-INT(Table1[[#This Row],[Loss date]])</f>
        <v>2</v>
      </c>
      <c r="S1509" s="69" t="s">
        <v>9</v>
      </c>
      <c r="T1509" s="70">
        <f>VLOOKUP(Table1[[#This Row],[Policy Year]],exposure_table,3,FALSE)</f>
        <v>870.52680000000009</v>
      </c>
      <c r="U1509" s="17">
        <f>IF(MONTH(Table1[[#This Row],[Reporting date]])&lt;Policy_Inception_Month,YEAR(Table1[[#This Row],[Reporting date]])-1,YEAR(Table1[[#This Row],[Reporting date]]))</f>
        <v>2011</v>
      </c>
      <c r="V1509" s="17">
        <f>Table1[[#This Row],[Reporting year]]-Table1[[#This Row],[Policy Year]]</f>
        <v>0</v>
      </c>
      <c r="W1509" s="17">
        <f>INT(Table1[[#This Row],[Reporting date]])-INT(Table1[[#This Row],[Loss date]])</f>
        <v>2</v>
      </c>
      <c r="X1509" s="17">
        <f>INT((YEAR(Table1[[#This Row],[Loss date]])*12+MONTH(Table1[[#This Row],[Loss date]])-Earliest_Month)/4)</f>
        <v>19</v>
      </c>
      <c r="Y1509" s="17">
        <f>INT((YEAR(Table1[[#This Row],[Reporting date]])*12+MONTH(Table1[[#This Row],[Reporting date]])-Earliest_Month)/4)</f>
        <v>19</v>
      </c>
      <c r="Z1509" s="17">
        <f>Table1[[#This Row],[Reporting third]]-Table1[[#This Row],[Policy third]]</f>
        <v>0</v>
      </c>
      <c r="AA1509" s="71">
        <f>IF(Table1[[#This Row],[Overall amount]]=0,"N/A",Table1[[#This Row],[Outstanding]]/Table1[[#This Row],[Overall amount]])</f>
        <v>0</v>
      </c>
      <c r="AB1509" s="17">
        <f>IF(MONTH(Table1[[#This Row],[Loss date]])&lt;Pol_Inc_Month_Shifted,YEAR(Table1[[#This Row],[Loss date]])-1,YEAR(Table1[[#This Row],[Loss date]]))</f>
        <v>2010</v>
      </c>
      <c r="AC1509" s="17">
        <f>IF(MONTH(Table1[[#This Row],[Reporting date]])&lt;Pol_Inc_Month_Shifted,YEAR(Table1[[#This Row],[Reporting date]])-1,YEAR(Table1[[#This Row],[Reporting date]]))</f>
        <v>2010</v>
      </c>
      <c r="AD1509" s="17">
        <f>Table1[[#This Row],[Reporting year (shifted)]]-Table1[[#This Row],[Policy Year (shifted)]]</f>
        <v>0</v>
      </c>
    </row>
    <row r="1510" spans="1:30" ht="13.9">
      <c r="A1510" s="8" t="s">
        <v>3280</v>
      </c>
      <c r="B1510" s="8" t="s">
        <v>1562</v>
      </c>
      <c r="C1510" s="8" t="s">
        <v>118</v>
      </c>
      <c r="D1510" s="9">
        <v>40798</v>
      </c>
      <c r="E1510" s="9">
        <v>40801</v>
      </c>
      <c r="F1510" s="17">
        <f>IF(MONTH(Table1[[#This Row],[Loss date]])&lt;Policy_Inception_Month,YEAR(Table1[[#This Row],[Loss date]])-1,YEAR(Table1[[#This Row],[Loss date]]))</f>
        <v>2011</v>
      </c>
      <c r="G1510" s="10" t="s">
        <v>119</v>
      </c>
      <c r="H1510" s="10" t="s">
        <v>2</v>
      </c>
      <c r="I1510" s="11">
        <v>257.01727070929013</v>
      </c>
      <c r="J1510" s="11">
        <v>0</v>
      </c>
      <c r="K1510" s="11">
        <v>257.01727070929013</v>
      </c>
      <c r="L1510" s="12">
        <v>0</v>
      </c>
      <c r="M1510" s="12">
        <v>0</v>
      </c>
      <c r="N1510" s="12">
        <v>257.01727070929013</v>
      </c>
      <c r="O1510" s="70">
        <f>IF(Table1[[#This Row],[Overall amount]]=0,0,1)</f>
        <v>1</v>
      </c>
      <c r="P1510" s="70">
        <f>Table1[[#This Row],[Overall amount]]*Exchange_Rate</f>
        <v>257.01727070929013</v>
      </c>
      <c r="Q1510" s="70">
        <f>Table1[[#This Row],[Overall (destination currency)]]*(1+Claims_Inflation)^((Revalue_at_date-Table1[[#This Row],[Loss date]])/365.25)</f>
        <v>313.2</v>
      </c>
      <c r="R1510" s="70">
        <f>INT(Table1[[#This Row],[Reporting date]])-INT(Table1[[#This Row],[Loss date]])</f>
        <v>3</v>
      </c>
      <c r="S1510" s="69" t="s">
        <v>9</v>
      </c>
      <c r="T1510" s="70">
        <f>VLOOKUP(Table1[[#This Row],[Policy Year]],exposure_table,3,FALSE)</f>
        <v>870.52680000000009</v>
      </c>
      <c r="U1510" s="17">
        <f>IF(MONTH(Table1[[#This Row],[Reporting date]])&lt;Policy_Inception_Month,YEAR(Table1[[#This Row],[Reporting date]])-1,YEAR(Table1[[#This Row],[Reporting date]]))</f>
        <v>2011</v>
      </c>
      <c r="V1510" s="17">
        <f>Table1[[#This Row],[Reporting year]]-Table1[[#This Row],[Policy Year]]</f>
        <v>0</v>
      </c>
      <c r="W1510" s="17">
        <f>INT(Table1[[#This Row],[Reporting date]])-INT(Table1[[#This Row],[Loss date]])</f>
        <v>3</v>
      </c>
      <c r="X1510" s="17">
        <f>INT((YEAR(Table1[[#This Row],[Loss date]])*12+MONTH(Table1[[#This Row],[Loss date]])-Earliest_Month)/4)</f>
        <v>19</v>
      </c>
      <c r="Y1510" s="17">
        <f>INT((YEAR(Table1[[#This Row],[Reporting date]])*12+MONTH(Table1[[#This Row],[Reporting date]])-Earliest_Month)/4)</f>
        <v>19</v>
      </c>
      <c r="Z1510" s="17">
        <f>Table1[[#This Row],[Reporting third]]-Table1[[#This Row],[Policy third]]</f>
        <v>0</v>
      </c>
      <c r="AA1510" s="71">
        <f>IF(Table1[[#This Row],[Overall amount]]=0,"N/A",Table1[[#This Row],[Outstanding]]/Table1[[#This Row],[Overall amount]])</f>
        <v>0</v>
      </c>
      <c r="AB1510" s="17">
        <f>IF(MONTH(Table1[[#This Row],[Loss date]])&lt;Pol_Inc_Month_Shifted,YEAR(Table1[[#This Row],[Loss date]])-1,YEAR(Table1[[#This Row],[Loss date]]))</f>
        <v>2010</v>
      </c>
      <c r="AC1510" s="17">
        <f>IF(MONTH(Table1[[#This Row],[Reporting date]])&lt;Pol_Inc_Month_Shifted,YEAR(Table1[[#This Row],[Reporting date]])-1,YEAR(Table1[[#This Row],[Reporting date]]))</f>
        <v>2010</v>
      </c>
      <c r="AD1510" s="17">
        <f>Table1[[#This Row],[Reporting year (shifted)]]-Table1[[#This Row],[Policy Year (shifted)]]</f>
        <v>0</v>
      </c>
    </row>
    <row r="1511" spans="1:30" ht="13.9">
      <c r="A1511" s="8" t="s">
        <v>3281</v>
      </c>
      <c r="B1511" s="8" t="s">
        <v>1563</v>
      </c>
      <c r="C1511" s="8" t="s">
        <v>118</v>
      </c>
      <c r="D1511" s="9">
        <v>40826</v>
      </c>
      <c r="E1511" s="9">
        <v>40830</v>
      </c>
      <c r="F1511" s="17">
        <f>IF(MONTH(Table1[[#This Row],[Loss date]])&lt;Policy_Inception_Month,YEAR(Table1[[#This Row],[Loss date]])-1,YEAR(Table1[[#This Row],[Loss date]]))</f>
        <v>2011</v>
      </c>
      <c r="G1511" s="10" t="s">
        <v>119</v>
      </c>
      <c r="H1511" s="10" t="s">
        <v>2</v>
      </c>
      <c r="I1511" s="11">
        <v>1232.5729188090056</v>
      </c>
      <c r="J1511" s="11">
        <v>0</v>
      </c>
      <c r="K1511" s="11">
        <v>1232.5729188090056</v>
      </c>
      <c r="L1511" s="12">
        <v>0</v>
      </c>
      <c r="M1511" s="12">
        <v>0</v>
      </c>
      <c r="N1511" s="12">
        <v>1232.5729188090056</v>
      </c>
      <c r="O1511" s="70">
        <f>IF(Table1[[#This Row],[Overall amount]]=0,0,1)</f>
        <v>1</v>
      </c>
      <c r="P1511" s="70">
        <f>Table1[[#This Row],[Overall amount]]*Exchange_Rate</f>
        <v>1232.5729188090056</v>
      </c>
      <c r="Q1511" s="70">
        <f>Table1[[#This Row],[Overall (destination currency)]]*(1+Claims_Inflation)^((Revalue_at_date-Table1[[#This Row],[Loss date]])/365.25)</f>
        <v>1496.3999999999999</v>
      </c>
      <c r="R1511" s="70">
        <f>INT(Table1[[#This Row],[Reporting date]])-INT(Table1[[#This Row],[Loss date]])</f>
        <v>4</v>
      </c>
      <c r="S1511" s="69" t="s">
        <v>9</v>
      </c>
      <c r="T1511" s="70">
        <f>VLOOKUP(Table1[[#This Row],[Policy Year]],exposure_table,3,FALSE)</f>
        <v>870.52680000000009</v>
      </c>
      <c r="U1511" s="17">
        <f>IF(MONTH(Table1[[#This Row],[Reporting date]])&lt;Policy_Inception_Month,YEAR(Table1[[#This Row],[Reporting date]])-1,YEAR(Table1[[#This Row],[Reporting date]]))</f>
        <v>2011</v>
      </c>
      <c r="V1511" s="17">
        <f>Table1[[#This Row],[Reporting year]]-Table1[[#This Row],[Policy Year]]</f>
        <v>0</v>
      </c>
      <c r="W1511" s="17">
        <f>INT(Table1[[#This Row],[Reporting date]])-INT(Table1[[#This Row],[Loss date]])</f>
        <v>4</v>
      </c>
      <c r="X1511" s="17">
        <f>INT((YEAR(Table1[[#This Row],[Loss date]])*12+MONTH(Table1[[#This Row],[Loss date]])-Earliest_Month)/4)</f>
        <v>19</v>
      </c>
      <c r="Y1511" s="17">
        <f>INT((YEAR(Table1[[#This Row],[Reporting date]])*12+MONTH(Table1[[#This Row],[Reporting date]])-Earliest_Month)/4)</f>
        <v>19</v>
      </c>
      <c r="Z1511" s="17">
        <f>Table1[[#This Row],[Reporting third]]-Table1[[#This Row],[Policy third]]</f>
        <v>0</v>
      </c>
      <c r="AA1511" s="71">
        <f>IF(Table1[[#This Row],[Overall amount]]=0,"N/A",Table1[[#This Row],[Outstanding]]/Table1[[#This Row],[Overall amount]])</f>
        <v>0</v>
      </c>
      <c r="AB1511" s="17">
        <f>IF(MONTH(Table1[[#This Row],[Loss date]])&lt;Pol_Inc_Month_Shifted,YEAR(Table1[[#This Row],[Loss date]])-1,YEAR(Table1[[#This Row],[Loss date]]))</f>
        <v>2010</v>
      </c>
      <c r="AC1511" s="17">
        <f>IF(MONTH(Table1[[#This Row],[Reporting date]])&lt;Pol_Inc_Month_Shifted,YEAR(Table1[[#This Row],[Reporting date]])-1,YEAR(Table1[[#This Row],[Reporting date]]))</f>
        <v>2010</v>
      </c>
      <c r="AD1511" s="17">
        <f>Table1[[#This Row],[Reporting year (shifted)]]-Table1[[#This Row],[Policy Year (shifted)]]</f>
        <v>0</v>
      </c>
    </row>
    <row r="1512" spans="1:30" ht="13.9">
      <c r="A1512" s="8" t="s">
        <v>3282</v>
      </c>
      <c r="B1512" s="8" t="s">
        <v>1564</v>
      </c>
      <c r="C1512" s="8" t="s">
        <v>118</v>
      </c>
      <c r="D1512" s="9">
        <v>40854</v>
      </c>
      <c r="E1512" s="9">
        <v>40857</v>
      </c>
      <c r="F1512" s="17">
        <f>IF(MONTH(Table1[[#This Row],[Loss date]])&lt;Policy_Inception_Month,YEAR(Table1[[#This Row],[Loss date]])-1,YEAR(Table1[[#This Row],[Loss date]]))</f>
        <v>2011</v>
      </c>
      <c r="G1512" s="10" t="s">
        <v>125</v>
      </c>
      <c r="H1512" s="10" t="s">
        <v>2</v>
      </c>
      <c r="I1512" s="11">
        <v>676.13963695848759</v>
      </c>
      <c r="J1512" s="11">
        <v>0</v>
      </c>
      <c r="K1512" s="11">
        <v>676.13963695848759</v>
      </c>
      <c r="L1512" s="12">
        <v>0</v>
      </c>
      <c r="M1512" s="12">
        <v>0</v>
      </c>
      <c r="N1512" s="12">
        <v>676.13963695848759</v>
      </c>
      <c r="O1512" s="70">
        <f>IF(Table1[[#This Row],[Overall amount]]=0,0,1)</f>
        <v>1</v>
      </c>
      <c r="P1512" s="70">
        <f>Table1[[#This Row],[Overall amount]]*Exchange_Rate</f>
        <v>676.13963695848759</v>
      </c>
      <c r="Q1512" s="70">
        <f>Table1[[#This Row],[Overall (destination currency)]]*(1+Claims_Inflation)^((Revalue_at_date-Table1[[#This Row],[Loss date]])/365.25)</f>
        <v>817.80000000000007</v>
      </c>
      <c r="R1512" s="70">
        <f>INT(Table1[[#This Row],[Reporting date]])-INT(Table1[[#This Row],[Loss date]])</f>
        <v>3</v>
      </c>
      <c r="S1512" s="69" t="s">
        <v>9</v>
      </c>
      <c r="T1512" s="70">
        <f>VLOOKUP(Table1[[#This Row],[Policy Year]],exposure_table,3,FALSE)</f>
        <v>870.52680000000009</v>
      </c>
      <c r="U1512" s="17">
        <f>IF(MONTH(Table1[[#This Row],[Reporting date]])&lt;Policy_Inception_Month,YEAR(Table1[[#This Row],[Reporting date]])-1,YEAR(Table1[[#This Row],[Reporting date]]))</f>
        <v>2011</v>
      </c>
      <c r="V1512" s="17">
        <f>Table1[[#This Row],[Reporting year]]-Table1[[#This Row],[Policy Year]]</f>
        <v>0</v>
      </c>
      <c r="W1512" s="17">
        <f>INT(Table1[[#This Row],[Reporting date]])-INT(Table1[[#This Row],[Loss date]])</f>
        <v>3</v>
      </c>
      <c r="X1512" s="17">
        <f>INT((YEAR(Table1[[#This Row],[Loss date]])*12+MONTH(Table1[[#This Row],[Loss date]])-Earliest_Month)/4)</f>
        <v>19</v>
      </c>
      <c r="Y1512" s="17">
        <f>INT((YEAR(Table1[[#This Row],[Reporting date]])*12+MONTH(Table1[[#This Row],[Reporting date]])-Earliest_Month)/4)</f>
        <v>19</v>
      </c>
      <c r="Z1512" s="17">
        <f>Table1[[#This Row],[Reporting third]]-Table1[[#This Row],[Policy third]]</f>
        <v>0</v>
      </c>
      <c r="AA1512" s="71">
        <f>IF(Table1[[#This Row],[Overall amount]]=0,"N/A",Table1[[#This Row],[Outstanding]]/Table1[[#This Row],[Overall amount]])</f>
        <v>0</v>
      </c>
      <c r="AB1512" s="17">
        <f>IF(MONTH(Table1[[#This Row],[Loss date]])&lt;Pol_Inc_Month_Shifted,YEAR(Table1[[#This Row],[Loss date]])-1,YEAR(Table1[[#This Row],[Loss date]]))</f>
        <v>2010</v>
      </c>
      <c r="AC1512" s="17">
        <f>IF(MONTH(Table1[[#This Row],[Reporting date]])&lt;Pol_Inc_Month_Shifted,YEAR(Table1[[#This Row],[Reporting date]])-1,YEAR(Table1[[#This Row],[Reporting date]]))</f>
        <v>2010</v>
      </c>
      <c r="AD1512" s="17">
        <f>Table1[[#This Row],[Reporting year (shifted)]]-Table1[[#This Row],[Policy Year (shifted)]]</f>
        <v>0</v>
      </c>
    </row>
    <row r="1513" spans="1:30" ht="13.9">
      <c r="A1513" s="8" t="s">
        <v>3283</v>
      </c>
      <c r="B1513" s="8" t="s">
        <v>1565</v>
      </c>
      <c r="C1513" s="8" t="s">
        <v>118</v>
      </c>
      <c r="D1513" s="9">
        <v>40858</v>
      </c>
      <c r="E1513" s="9">
        <v>40860</v>
      </c>
      <c r="F1513" s="17">
        <f>IF(MONTH(Table1[[#This Row],[Loss date]])&lt;Policy_Inception_Month,YEAR(Table1[[#This Row],[Loss date]])-1,YEAR(Table1[[#This Row],[Loss date]]))</f>
        <v>2011</v>
      </c>
      <c r="G1513" s="10" t="s">
        <v>124</v>
      </c>
      <c r="H1513" s="10" t="s">
        <v>2</v>
      </c>
      <c r="I1513" s="11">
        <v>129.54274639222243</v>
      </c>
      <c r="J1513" s="11">
        <v>0</v>
      </c>
      <c r="K1513" s="11">
        <v>129.54274639222243</v>
      </c>
      <c r="L1513" s="12">
        <v>0</v>
      </c>
      <c r="M1513" s="12">
        <v>1.9431411958833367</v>
      </c>
      <c r="N1513" s="12">
        <v>127.59960519633908</v>
      </c>
      <c r="O1513" s="70">
        <f>IF(Table1[[#This Row],[Overall amount]]=0,0,1)</f>
        <v>1</v>
      </c>
      <c r="P1513" s="70">
        <f>Table1[[#This Row],[Overall amount]]*Exchange_Rate</f>
        <v>127.59960519633908</v>
      </c>
      <c r="Q1513" s="70">
        <f>Table1[[#This Row],[Overall (destination currency)]]*(1+Claims_Inflation)^((Revalue_at_date-Table1[[#This Row],[Loss date]])/365.25)</f>
        <v>154.25099999999998</v>
      </c>
      <c r="R1513" s="70">
        <f>INT(Table1[[#This Row],[Reporting date]])-INT(Table1[[#This Row],[Loss date]])</f>
        <v>2</v>
      </c>
      <c r="S1513" s="69" t="s">
        <v>9</v>
      </c>
      <c r="T1513" s="70">
        <f>VLOOKUP(Table1[[#This Row],[Policy Year]],exposure_table,3,FALSE)</f>
        <v>870.52680000000009</v>
      </c>
      <c r="U1513" s="17">
        <f>IF(MONTH(Table1[[#This Row],[Reporting date]])&lt;Policy_Inception_Month,YEAR(Table1[[#This Row],[Reporting date]])-1,YEAR(Table1[[#This Row],[Reporting date]]))</f>
        <v>2011</v>
      </c>
      <c r="V1513" s="17">
        <f>Table1[[#This Row],[Reporting year]]-Table1[[#This Row],[Policy Year]]</f>
        <v>0</v>
      </c>
      <c r="W1513" s="17">
        <f>INT(Table1[[#This Row],[Reporting date]])-INT(Table1[[#This Row],[Loss date]])</f>
        <v>2</v>
      </c>
      <c r="X1513" s="17">
        <f>INT((YEAR(Table1[[#This Row],[Loss date]])*12+MONTH(Table1[[#This Row],[Loss date]])-Earliest_Month)/4)</f>
        <v>19</v>
      </c>
      <c r="Y1513" s="17">
        <f>INT((YEAR(Table1[[#This Row],[Reporting date]])*12+MONTH(Table1[[#This Row],[Reporting date]])-Earliest_Month)/4)</f>
        <v>19</v>
      </c>
      <c r="Z1513" s="17">
        <f>Table1[[#This Row],[Reporting third]]-Table1[[#This Row],[Policy third]]</f>
        <v>0</v>
      </c>
      <c r="AA1513" s="71">
        <f>IF(Table1[[#This Row],[Overall amount]]=0,"N/A",Table1[[#This Row],[Outstanding]]/Table1[[#This Row],[Overall amount]])</f>
        <v>0</v>
      </c>
      <c r="AB1513" s="17">
        <f>IF(MONTH(Table1[[#This Row],[Loss date]])&lt;Pol_Inc_Month_Shifted,YEAR(Table1[[#This Row],[Loss date]])-1,YEAR(Table1[[#This Row],[Loss date]]))</f>
        <v>2010</v>
      </c>
      <c r="AC1513" s="17">
        <f>IF(MONTH(Table1[[#This Row],[Reporting date]])&lt;Pol_Inc_Month_Shifted,YEAR(Table1[[#This Row],[Reporting date]])-1,YEAR(Table1[[#This Row],[Reporting date]]))</f>
        <v>2010</v>
      </c>
      <c r="AD1513" s="17">
        <f>Table1[[#This Row],[Reporting year (shifted)]]-Table1[[#This Row],[Policy Year (shifted)]]</f>
        <v>0</v>
      </c>
    </row>
    <row r="1514" spans="1:30" ht="13.9">
      <c r="A1514" s="8" t="s">
        <v>3284</v>
      </c>
      <c r="B1514" s="8" t="s">
        <v>1566</v>
      </c>
      <c r="C1514" s="8" t="s">
        <v>118</v>
      </c>
      <c r="D1514" s="9">
        <v>40876</v>
      </c>
      <c r="E1514" s="9">
        <v>40887</v>
      </c>
      <c r="F1514" s="17">
        <f>IF(MONTH(Table1[[#This Row],[Loss date]])&lt;Policy_Inception_Month,YEAR(Table1[[#This Row],[Loss date]])-1,YEAR(Table1[[#This Row],[Loss date]]))</f>
        <v>2011</v>
      </c>
      <c r="G1514" s="10" t="s">
        <v>119</v>
      </c>
      <c r="H1514" s="10" t="s">
        <v>2</v>
      </c>
      <c r="I1514" s="11">
        <v>937.83877316351095</v>
      </c>
      <c r="J1514" s="11">
        <v>0</v>
      </c>
      <c r="K1514" s="11">
        <v>937.83877316351095</v>
      </c>
      <c r="L1514" s="12">
        <v>0</v>
      </c>
      <c r="M1514" s="12">
        <v>0</v>
      </c>
      <c r="N1514" s="12">
        <v>937.83877316351095</v>
      </c>
      <c r="O1514" s="70">
        <f>IF(Table1[[#This Row],[Overall amount]]=0,0,1)</f>
        <v>1</v>
      </c>
      <c r="P1514" s="70">
        <f>Table1[[#This Row],[Overall amount]]*Exchange_Rate</f>
        <v>937.83877316351095</v>
      </c>
      <c r="Q1514" s="70">
        <f>Table1[[#This Row],[Overall (destination currency)]]*(1+Claims_Inflation)^((Revalue_at_date-Table1[[#This Row],[Loss date]])/365.25)</f>
        <v>1131</v>
      </c>
      <c r="R1514" s="70">
        <f>INT(Table1[[#This Row],[Reporting date]])-INT(Table1[[#This Row],[Loss date]])</f>
        <v>11</v>
      </c>
      <c r="S1514" s="69" t="s">
        <v>9</v>
      </c>
      <c r="T1514" s="70">
        <f>VLOOKUP(Table1[[#This Row],[Policy Year]],exposure_table,3,FALSE)</f>
        <v>870.52680000000009</v>
      </c>
      <c r="U1514" s="17">
        <f>IF(MONTH(Table1[[#This Row],[Reporting date]])&lt;Policy_Inception_Month,YEAR(Table1[[#This Row],[Reporting date]])-1,YEAR(Table1[[#This Row],[Reporting date]]))</f>
        <v>2011</v>
      </c>
      <c r="V1514" s="17">
        <f>Table1[[#This Row],[Reporting year]]-Table1[[#This Row],[Policy Year]]</f>
        <v>0</v>
      </c>
      <c r="W1514" s="17">
        <f>INT(Table1[[#This Row],[Reporting date]])-INT(Table1[[#This Row],[Loss date]])</f>
        <v>11</v>
      </c>
      <c r="X1514" s="17">
        <f>INT((YEAR(Table1[[#This Row],[Loss date]])*12+MONTH(Table1[[#This Row],[Loss date]])-Earliest_Month)/4)</f>
        <v>19</v>
      </c>
      <c r="Y1514" s="17">
        <f>INT((YEAR(Table1[[#This Row],[Reporting date]])*12+MONTH(Table1[[#This Row],[Reporting date]])-Earliest_Month)/4)</f>
        <v>20</v>
      </c>
      <c r="Z1514" s="17">
        <f>Table1[[#This Row],[Reporting third]]-Table1[[#This Row],[Policy third]]</f>
        <v>1</v>
      </c>
      <c r="AA1514" s="71">
        <f>IF(Table1[[#This Row],[Overall amount]]=0,"N/A",Table1[[#This Row],[Outstanding]]/Table1[[#This Row],[Overall amount]])</f>
        <v>0</v>
      </c>
      <c r="AB1514" s="17">
        <f>IF(MONTH(Table1[[#This Row],[Loss date]])&lt;Pol_Inc_Month_Shifted,YEAR(Table1[[#This Row],[Loss date]])-1,YEAR(Table1[[#This Row],[Loss date]]))</f>
        <v>2010</v>
      </c>
      <c r="AC1514" s="17">
        <f>IF(MONTH(Table1[[#This Row],[Reporting date]])&lt;Pol_Inc_Month_Shifted,YEAR(Table1[[#This Row],[Reporting date]])-1,YEAR(Table1[[#This Row],[Reporting date]]))</f>
        <v>2011</v>
      </c>
      <c r="AD1514" s="17">
        <f>Table1[[#This Row],[Reporting year (shifted)]]-Table1[[#This Row],[Policy Year (shifted)]]</f>
        <v>1</v>
      </c>
    </row>
    <row r="1515" spans="1:30" ht="13.9">
      <c r="A1515" s="8" t="s">
        <v>3285</v>
      </c>
      <c r="B1515" s="8" t="s">
        <v>1567</v>
      </c>
      <c r="C1515" s="8" t="s">
        <v>118</v>
      </c>
      <c r="D1515" s="9">
        <v>40943</v>
      </c>
      <c r="E1515" s="9">
        <v>40948</v>
      </c>
      <c r="F1515" s="17">
        <f>IF(MONTH(Table1[[#This Row],[Loss date]])&lt;Policy_Inception_Month,YEAR(Table1[[#This Row],[Loss date]])-1,YEAR(Table1[[#This Row],[Loss date]]))</f>
        <v>2011</v>
      </c>
      <c r="G1515" s="10" t="s">
        <v>119</v>
      </c>
      <c r="H1515" s="10" t="s">
        <v>2</v>
      </c>
      <c r="I1515" s="11">
        <v>888.03798464405793</v>
      </c>
      <c r="J1515" s="11">
        <v>0</v>
      </c>
      <c r="K1515" s="11">
        <v>888.03798464405793</v>
      </c>
      <c r="L1515" s="12">
        <v>0</v>
      </c>
      <c r="M1515" s="12">
        <v>0</v>
      </c>
      <c r="N1515" s="12">
        <v>888.03798464405793</v>
      </c>
      <c r="O1515" s="70">
        <f>IF(Table1[[#This Row],[Overall amount]]=0,0,1)</f>
        <v>1</v>
      </c>
      <c r="P1515" s="70">
        <f>Table1[[#This Row],[Overall amount]]*Exchange_Rate</f>
        <v>888.03798464405793</v>
      </c>
      <c r="Q1515" s="70">
        <f>Table1[[#This Row],[Overall (destination currency)]]*(1+Claims_Inflation)^((Revalue_at_date-Table1[[#This Row],[Loss date]])/365.25)</f>
        <v>1061.3999999999996</v>
      </c>
      <c r="R1515" s="70">
        <f>INT(Table1[[#This Row],[Reporting date]])-INT(Table1[[#This Row],[Loss date]])</f>
        <v>5</v>
      </c>
      <c r="S1515" s="69" t="s">
        <v>9</v>
      </c>
      <c r="T1515" s="70">
        <f>VLOOKUP(Table1[[#This Row],[Policy Year]],exposure_table,3,FALSE)</f>
        <v>870.52680000000009</v>
      </c>
      <c r="U1515" s="17">
        <f>IF(MONTH(Table1[[#This Row],[Reporting date]])&lt;Policy_Inception_Month,YEAR(Table1[[#This Row],[Reporting date]])-1,YEAR(Table1[[#This Row],[Reporting date]]))</f>
        <v>2011</v>
      </c>
      <c r="V1515" s="17">
        <f>Table1[[#This Row],[Reporting year]]-Table1[[#This Row],[Policy Year]]</f>
        <v>0</v>
      </c>
      <c r="W1515" s="17">
        <f>INT(Table1[[#This Row],[Reporting date]])-INT(Table1[[#This Row],[Loss date]])</f>
        <v>5</v>
      </c>
      <c r="X1515" s="17">
        <f>INT((YEAR(Table1[[#This Row],[Loss date]])*12+MONTH(Table1[[#This Row],[Loss date]])-Earliest_Month)/4)</f>
        <v>20</v>
      </c>
      <c r="Y1515" s="17">
        <f>INT((YEAR(Table1[[#This Row],[Reporting date]])*12+MONTH(Table1[[#This Row],[Reporting date]])-Earliest_Month)/4)</f>
        <v>20</v>
      </c>
      <c r="Z1515" s="17">
        <f>Table1[[#This Row],[Reporting third]]-Table1[[#This Row],[Policy third]]</f>
        <v>0</v>
      </c>
      <c r="AA1515" s="71">
        <f>IF(Table1[[#This Row],[Overall amount]]=0,"N/A",Table1[[#This Row],[Outstanding]]/Table1[[#This Row],[Overall amount]])</f>
        <v>0</v>
      </c>
      <c r="AB1515" s="17">
        <f>IF(MONTH(Table1[[#This Row],[Loss date]])&lt;Pol_Inc_Month_Shifted,YEAR(Table1[[#This Row],[Loss date]])-1,YEAR(Table1[[#This Row],[Loss date]]))</f>
        <v>2011</v>
      </c>
      <c r="AC1515" s="17">
        <f>IF(MONTH(Table1[[#This Row],[Reporting date]])&lt;Pol_Inc_Month_Shifted,YEAR(Table1[[#This Row],[Reporting date]])-1,YEAR(Table1[[#This Row],[Reporting date]]))</f>
        <v>2011</v>
      </c>
      <c r="AD1515" s="17">
        <f>Table1[[#This Row],[Reporting year (shifted)]]-Table1[[#This Row],[Policy Year (shifted)]]</f>
        <v>0</v>
      </c>
    </row>
    <row r="1516" spans="1:30" ht="13.9">
      <c r="A1516" s="8" t="s">
        <v>3286</v>
      </c>
      <c r="B1516" s="8" t="s">
        <v>1568</v>
      </c>
      <c r="C1516" s="8" t="s">
        <v>118</v>
      </c>
      <c r="D1516" s="9">
        <v>40940</v>
      </c>
      <c r="E1516" s="9">
        <v>40950</v>
      </c>
      <c r="F1516" s="17">
        <f>IF(MONTH(Table1[[#This Row],[Loss date]])&lt;Policy_Inception_Month,YEAR(Table1[[#This Row],[Loss date]])-1,YEAR(Table1[[#This Row],[Loss date]]))</f>
        <v>2011</v>
      </c>
      <c r="G1516" s="10" t="s">
        <v>119</v>
      </c>
      <c r="H1516" s="10" t="s">
        <v>2</v>
      </c>
      <c r="I1516" s="11">
        <v>3312.9262526893681</v>
      </c>
      <c r="J1516" s="11">
        <v>0</v>
      </c>
      <c r="K1516" s="11">
        <v>3312.9262526893681</v>
      </c>
      <c r="L1516" s="12">
        <v>0</v>
      </c>
      <c r="M1516" s="12">
        <v>0</v>
      </c>
      <c r="N1516" s="12">
        <v>3312.9262526893681</v>
      </c>
      <c r="O1516" s="70">
        <f>IF(Table1[[#This Row],[Overall amount]]=0,0,1)</f>
        <v>1</v>
      </c>
      <c r="P1516" s="70">
        <f>Table1[[#This Row],[Overall amount]]*Exchange_Rate</f>
        <v>3312.9262526893681</v>
      </c>
      <c r="Q1516" s="70">
        <f>Table1[[#This Row],[Overall (destination currency)]]*(1+Claims_Inflation)^((Revalue_at_date-Table1[[#This Row],[Loss date]])/365.25)</f>
        <v>3961.26</v>
      </c>
      <c r="R1516" s="70">
        <f>INT(Table1[[#This Row],[Reporting date]])-INT(Table1[[#This Row],[Loss date]])</f>
        <v>10</v>
      </c>
      <c r="S1516" s="69" t="s">
        <v>9</v>
      </c>
      <c r="T1516" s="70">
        <f>VLOOKUP(Table1[[#This Row],[Policy Year]],exposure_table,3,FALSE)</f>
        <v>870.52680000000009</v>
      </c>
      <c r="U1516" s="17">
        <f>IF(MONTH(Table1[[#This Row],[Reporting date]])&lt;Policy_Inception_Month,YEAR(Table1[[#This Row],[Reporting date]])-1,YEAR(Table1[[#This Row],[Reporting date]]))</f>
        <v>2011</v>
      </c>
      <c r="V1516" s="17">
        <f>Table1[[#This Row],[Reporting year]]-Table1[[#This Row],[Policy Year]]</f>
        <v>0</v>
      </c>
      <c r="W1516" s="17">
        <f>INT(Table1[[#This Row],[Reporting date]])-INT(Table1[[#This Row],[Loss date]])</f>
        <v>10</v>
      </c>
      <c r="X1516" s="17">
        <f>INT((YEAR(Table1[[#This Row],[Loss date]])*12+MONTH(Table1[[#This Row],[Loss date]])-Earliest_Month)/4)</f>
        <v>20</v>
      </c>
      <c r="Y1516" s="17">
        <f>INT((YEAR(Table1[[#This Row],[Reporting date]])*12+MONTH(Table1[[#This Row],[Reporting date]])-Earliest_Month)/4)</f>
        <v>20</v>
      </c>
      <c r="Z1516" s="17">
        <f>Table1[[#This Row],[Reporting third]]-Table1[[#This Row],[Policy third]]</f>
        <v>0</v>
      </c>
      <c r="AA1516" s="71">
        <f>IF(Table1[[#This Row],[Overall amount]]=0,"N/A",Table1[[#This Row],[Outstanding]]/Table1[[#This Row],[Overall amount]])</f>
        <v>0</v>
      </c>
      <c r="AB1516" s="17">
        <f>IF(MONTH(Table1[[#This Row],[Loss date]])&lt;Pol_Inc_Month_Shifted,YEAR(Table1[[#This Row],[Loss date]])-1,YEAR(Table1[[#This Row],[Loss date]]))</f>
        <v>2011</v>
      </c>
      <c r="AC1516" s="17">
        <f>IF(MONTH(Table1[[#This Row],[Reporting date]])&lt;Pol_Inc_Month_Shifted,YEAR(Table1[[#This Row],[Reporting date]])-1,YEAR(Table1[[#This Row],[Reporting date]]))</f>
        <v>2011</v>
      </c>
      <c r="AD1516" s="17">
        <f>Table1[[#This Row],[Reporting year (shifted)]]-Table1[[#This Row],[Policy Year (shifted)]]</f>
        <v>0</v>
      </c>
    </row>
    <row r="1517" spans="1:30" ht="13.9">
      <c r="A1517" s="8" t="s">
        <v>3287</v>
      </c>
      <c r="B1517" s="8" t="s">
        <v>1569</v>
      </c>
      <c r="C1517" s="8" t="s">
        <v>118</v>
      </c>
      <c r="D1517" s="9">
        <v>40938</v>
      </c>
      <c r="E1517" s="9">
        <v>40950</v>
      </c>
      <c r="F1517" s="17">
        <f>IF(MONTH(Table1[[#This Row],[Loss date]])&lt;Policy_Inception_Month,YEAR(Table1[[#This Row],[Loss date]])-1,YEAR(Table1[[#This Row],[Loss date]]))</f>
        <v>2011</v>
      </c>
      <c r="G1517" s="10" t="s">
        <v>119</v>
      </c>
      <c r="H1517" s="10" t="s">
        <v>2</v>
      </c>
      <c r="I1517" s="11">
        <v>960.18645972646209</v>
      </c>
      <c r="J1517" s="11">
        <v>0</v>
      </c>
      <c r="K1517" s="11">
        <v>960.18645972646209</v>
      </c>
      <c r="L1517" s="12">
        <v>0</v>
      </c>
      <c r="M1517" s="12">
        <v>27.845407332067403</v>
      </c>
      <c r="N1517" s="12">
        <v>932.34105239439464</v>
      </c>
      <c r="O1517" s="70">
        <f>IF(Table1[[#This Row],[Overall amount]]=0,0,1)</f>
        <v>1</v>
      </c>
      <c r="P1517" s="70">
        <f>Table1[[#This Row],[Overall amount]]*Exchange_Rate</f>
        <v>932.34105239439464</v>
      </c>
      <c r="Q1517" s="70">
        <f>Table1[[#This Row],[Overall (destination currency)]]*(1+Claims_Inflation)^((Revalue_at_date-Table1[[#This Row],[Loss date]])/365.25)</f>
        <v>1115.0963999999997</v>
      </c>
      <c r="R1517" s="70">
        <f>INT(Table1[[#This Row],[Reporting date]])-INT(Table1[[#This Row],[Loss date]])</f>
        <v>12</v>
      </c>
      <c r="S1517" s="69" t="s">
        <v>9</v>
      </c>
      <c r="T1517" s="70">
        <f>VLOOKUP(Table1[[#This Row],[Policy Year]],exposure_table,3,FALSE)</f>
        <v>870.52680000000009</v>
      </c>
      <c r="U1517" s="17">
        <f>IF(MONTH(Table1[[#This Row],[Reporting date]])&lt;Policy_Inception_Month,YEAR(Table1[[#This Row],[Reporting date]])-1,YEAR(Table1[[#This Row],[Reporting date]]))</f>
        <v>2011</v>
      </c>
      <c r="V1517" s="17">
        <f>Table1[[#This Row],[Reporting year]]-Table1[[#This Row],[Policy Year]]</f>
        <v>0</v>
      </c>
      <c r="W1517" s="17">
        <f>INT(Table1[[#This Row],[Reporting date]])-INT(Table1[[#This Row],[Loss date]])</f>
        <v>12</v>
      </c>
      <c r="X1517" s="17">
        <f>INT((YEAR(Table1[[#This Row],[Loss date]])*12+MONTH(Table1[[#This Row],[Loss date]])-Earliest_Month)/4)</f>
        <v>20</v>
      </c>
      <c r="Y1517" s="17">
        <f>INT((YEAR(Table1[[#This Row],[Reporting date]])*12+MONTH(Table1[[#This Row],[Reporting date]])-Earliest_Month)/4)</f>
        <v>20</v>
      </c>
      <c r="Z1517" s="17">
        <f>Table1[[#This Row],[Reporting third]]-Table1[[#This Row],[Policy third]]</f>
        <v>0</v>
      </c>
      <c r="AA1517" s="71">
        <f>IF(Table1[[#This Row],[Overall amount]]=0,"N/A",Table1[[#This Row],[Outstanding]]/Table1[[#This Row],[Overall amount]])</f>
        <v>0</v>
      </c>
      <c r="AB1517" s="17">
        <f>IF(MONTH(Table1[[#This Row],[Loss date]])&lt;Pol_Inc_Month_Shifted,YEAR(Table1[[#This Row],[Loss date]])-1,YEAR(Table1[[#This Row],[Loss date]]))</f>
        <v>2011</v>
      </c>
      <c r="AC1517" s="17">
        <f>IF(MONTH(Table1[[#This Row],[Reporting date]])&lt;Pol_Inc_Month_Shifted,YEAR(Table1[[#This Row],[Reporting date]])-1,YEAR(Table1[[#This Row],[Reporting date]]))</f>
        <v>2011</v>
      </c>
      <c r="AD1517" s="17">
        <f>Table1[[#This Row],[Reporting year (shifted)]]-Table1[[#This Row],[Policy Year (shifted)]]</f>
        <v>0</v>
      </c>
    </row>
    <row r="1518" spans="1:30" ht="13.9">
      <c r="A1518" s="8" t="s">
        <v>3288</v>
      </c>
      <c r="B1518" s="8" t="s">
        <v>1570</v>
      </c>
      <c r="C1518" s="8" t="s">
        <v>118</v>
      </c>
      <c r="D1518" s="9">
        <v>40973</v>
      </c>
      <c r="E1518" s="9">
        <v>40984</v>
      </c>
      <c r="F1518" s="17">
        <f>IF(MONTH(Table1[[#This Row],[Loss date]])&lt;Policy_Inception_Month,YEAR(Table1[[#This Row],[Loss date]])-1,YEAR(Table1[[#This Row],[Loss date]]))</f>
        <v>2011</v>
      </c>
      <c r="G1518" s="10" t="s">
        <v>141</v>
      </c>
      <c r="H1518" s="10" t="s">
        <v>2</v>
      </c>
      <c r="I1518" s="11">
        <v>175.39747933335767</v>
      </c>
      <c r="J1518" s="11">
        <v>0</v>
      </c>
      <c r="K1518" s="11">
        <v>175.39747933335767</v>
      </c>
      <c r="L1518" s="12">
        <v>0</v>
      </c>
      <c r="M1518" s="12">
        <v>4.9111294213340138</v>
      </c>
      <c r="N1518" s="12">
        <v>170.48634991202366</v>
      </c>
      <c r="O1518" s="70">
        <f>IF(Table1[[#This Row],[Overall amount]]=0,0,1)</f>
        <v>1</v>
      </c>
      <c r="P1518" s="70">
        <f>Table1[[#This Row],[Overall amount]]*Exchange_Rate</f>
        <v>170.48634991202366</v>
      </c>
      <c r="Q1518" s="70">
        <f>Table1[[#This Row],[Overall (destination currency)]]*(1+Claims_Inflation)^((Revalue_at_date-Table1[[#This Row],[Loss date]])/365.25)</f>
        <v>202.95359999999999</v>
      </c>
      <c r="R1518" s="70">
        <f>INT(Table1[[#This Row],[Reporting date]])-INT(Table1[[#This Row],[Loss date]])</f>
        <v>11</v>
      </c>
      <c r="S1518" s="69" t="s">
        <v>9</v>
      </c>
      <c r="T1518" s="70">
        <f>VLOOKUP(Table1[[#This Row],[Policy Year]],exposure_table,3,FALSE)</f>
        <v>870.52680000000009</v>
      </c>
      <c r="U1518" s="17">
        <f>IF(MONTH(Table1[[#This Row],[Reporting date]])&lt;Policy_Inception_Month,YEAR(Table1[[#This Row],[Reporting date]])-1,YEAR(Table1[[#This Row],[Reporting date]]))</f>
        <v>2011</v>
      </c>
      <c r="V1518" s="17">
        <f>Table1[[#This Row],[Reporting year]]-Table1[[#This Row],[Policy Year]]</f>
        <v>0</v>
      </c>
      <c r="W1518" s="17">
        <f>INT(Table1[[#This Row],[Reporting date]])-INT(Table1[[#This Row],[Loss date]])</f>
        <v>11</v>
      </c>
      <c r="X1518" s="17">
        <f>INT((YEAR(Table1[[#This Row],[Loss date]])*12+MONTH(Table1[[#This Row],[Loss date]])-Earliest_Month)/4)</f>
        <v>20</v>
      </c>
      <c r="Y1518" s="17">
        <f>INT((YEAR(Table1[[#This Row],[Reporting date]])*12+MONTH(Table1[[#This Row],[Reporting date]])-Earliest_Month)/4)</f>
        <v>20</v>
      </c>
      <c r="Z1518" s="17">
        <f>Table1[[#This Row],[Reporting third]]-Table1[[#This Row],[Policy third]]</f>
        <v>0</v>
      </c>
      <c r="AA1518" s="71">
        <f>IF(Table1[[#This Row],[Overall amount]]=0,"N/A",Table1[[#This Row],[Outstanding]]/Table1[[#This Row],[Overall amount]])</f>
        <v>0</v>
      </c>
      <c r="AB1518" s="17">
        <f>IF(MONTH(Table1[[#This Row],[Loss date]])&lt;Pol_Inc_Month_Shifted,YEAR(Table1[[#This Row],[Loss date]])-1,YEAR(Table1[[#This Row],[Loss date]]))</f>
        <v>2011</v>
      </c>
      <c r="AC1518" s="17">
        <f>IF(MONTH(Table1[[#This Row],[Reporting date]])&lt;Pol_Inc_Month_Shifted,YEAR(Table1[[#This Row],[Reporting date]])-1,YEAR(Table1[[#This Row],[Reporting date]]))</f>
        <v>2011</v>
      </c>
      <c r="AD1518" s="17">
        <f>Table1[[#This Row],[Reporting year (shifted)]]-Table1[[#This Row],[Policy Year (shifted)]]</f>
        <v>0</v>
      </c>
    </row>
    <row r="1519" spans="1:30" ht="13.9">
      <c r="A1519" s="8" t="s">
        <v>3289</v>
      </c>
      <c r="B1519" s="8" t="s">
        <v>1571</v>
      </c>
      <c r="C1519" s="8" t="s">
        <v>118</v>
      </c>
      <c r="D1519" s="9">
        <v>40948</v>
      </c>
      <c r="E1519" s="9">
        <v>40993</v>
      </c>
      <c r="F1519" s="17">
        <f>IF(MONTH(Table1[[#This Row],[Loss date]])&lt;Policy_Inception_Month,YEAR(Table1[[#This Row],[Loss date]])-1,YEAR(Table1[[#This Row],[Loss date]]))</f>
        <v>2011</v>
      </c>
      <c r="G1519" s="10" t="s">
        <v>119</v>
      </c>
      <c r="H1519" s="10" t="s">
        <v>2</v>
      </c>
      <c r="I1519" s="11">
        <v>349.62543114969696</v>
      </c>
      <c r="J1519" s="11">
        <v>0</v>
      </c>
      <c r="K1519" s="11">
        <v>349.62543114969696</v>
      </c>
      <c r="L1519" s="12">
        <v>0</v>
      </c>
      <c r="M1519" s="12">
        <v>0</v>
      </c>
      <c r="N1519" s="12">
        <v>349.62543114969696</v>
      </c>
      <c r="O1519" s="70">
        <f>IF(Table1[[#This Row],[Overall amount]]=0,0,1)</f>
        <v>1</v>
      </c>
      <c r="P1519" s="70">
        <f>Table1[[#This Row],[Overall amount]]*Exchange_Rate</f>
        <v>349.62543114969696</v>
      </c>
      <c r="Q1519" s="70">
        <f>Table1[[#This Row],[Overall (destination currency)]]*(1+Claims_Inflation)^((Revalue_at_date-Table1[[#This Row],[Loss date]])/365.25)</f>
        <v>417.59999999999991</v>
      </c>
      <c r="R1519" s="70">
        <f>INT(Table1[[#This Row],[Reporting date]])-INT(Table1[[#This Row],[Loss date]])</f>
        <v>45</v>
      </c>
      <c r="S1519" s="69" t="s">
        <v>9</v>
      </c>
      <c r="T1519" s="70">
        <f>VLOOKUP(Table1[[#This Row],[Policy Year]],exposure_table,3,FALSE)</f>
        <v>870.52680000000009</v>
      </c>
      <c r="U1519" s="17">
        <f>IF(MONTH(Table1[[#This Row],[Reporting date]])&lt;Policy_Inception_Month,YEAR(Table1[[#This Row],[Reporting date]])-1,YEAR(Table1[[#This Row],[Reporting date]]))</f>
        <v>2011</v>
      </c>
      <c r="V1519" s="17">
        <f>Table1[[#This Row],[Reporting year]]-Table1[[#This Row],[Policy Year]]</f>
        <v>0</v>
      </c>
      <c r="W1519" s="17">
        <f>INT(Table1[[#This Row],[Reporting date]])-INT(Table1[[#This Row],[Loss date]])</f>
        <v>45</v>
      </c>
      <c r="X1519" s="17">
        <f>INT((YEAR(Table1[[#This Row],[Loss date]])*12+MONTH(Table1[[#This Row],[Loss date]])-Earliest_Month)/4)</f>
        <v>20</v>
      </c>
      <c r="Y1519" s="17">
        <f>INT((YEAR(Table1[[#This Row],[Reporting date]])*12+MONTH(Table1[[#This Row],[Reporting date]])-Earliest_Month)/4)</f>
        <v>20</v>
      </c>
      <c r="Z1519" s="17">
        <f>Table1[[#This Row],[Reporting third]]-Table1[[#This Row],[Policy third]]</f>
        <v>0</v>
      </c>
      <c r="AA1519" s="71">
        <f>IF(Table1[[#This Row],[Overall amount]]=0,"N/A",Table1[[#This Row],[Outstanding]]/Table1[[#This Row],[Overall amount]])</f>
        <v>0</v>
      </c>
      <c r="AB1519" s="17">
        <f>IF(MONTH(Table1[[#This Row],[Loss date]])&lt;Pol_Inc_Month_Shifted,YEAR(Table1[[#This Row],[Loss date]])-1,YEAR(Table1[[#This Row],[Loss date]]))</f>
        <v>2011</v>
      </c>
      <c r="AC1519" s="17">
        <f>IF(MONTH(Table1[[#This Row],[Reporting date]])&lt;Pol_Inc_Month_Shifted,YEAR(Table1[[#This Row],[Reporting date]])-1,YEAR(Table1[[#This Row],[Reporting date]]))</f>
        <v>2011</v>
      </c>
      <c r="AD1519" s="17">
        <f>Table1[[#This Row],[Reporting year (shifted)]]-Table1[[#This Row],[Policy Year (shifted)]]</f>
        <v>0</v>
      </c>
    </row>
    <row r="1520" spans="1:30" ht="13.9">
      <c r="A1520" s="8" t="s">
        <v>3290</v>
      </c>
      <c r="B1520" s="8" t="s">
        <v>1572</v>
      </c>
      <c r="C1520" s="8" t="s">
        <v>118</v>
      </c>
      <c r="D1520" s="9">
        <v>41004</v>
      </c>
      <c r="E1520" s="9">
        <v>41008</v>
      </c>
      <c r="F1520" s="17">
        <f>IF(MONTH(Table1[[#This Row],[Loss date]])&lt;Policy_Inception_Month,YEAR(Table1[[#This Row],[Loss date]])-1,YEAR(Table1[[#This Row],[Loss date]]))</f>
        <v>2012</v>
      </c>
      <c r="G1520" s="10" t="s">
        <v>119</v>
      </c>
      <c r="H1520" s="10" t="s">
        <v>2</v>
      </c>
      <c r="I1520" s="11">
        <v>689.82410628465823</v>
      </c>
      <c r="J1520" s="11">
        <v>20243.781678121817</v>
      </c>
      <c r="K1520" s="11">
        <v>20933.605784406478</v>
      </c>
      <c r="L1520" s="12">
        <v>0</v>
      </c>
      <c r="M1520" s="12">
        <v>0</v>
      </c>
      <c r="N1520" s="12">
        <v>20933.605784406478</v>
      </c>
      <c r="O1520" s="70">
        <f>IF(Table1[[#This Row],[Overall amount]]=0,0,1)</f>
        <v>1</v>
      </c>
      <c r="P1520" s="70">
        <f>Table1[[#This Row],[Overall amount]]*Exchange_Rate</f>
        <v>20933.605784406478</v>
      </c>
      <c r="Q1520" s="70">
        <f>Table1[[#This Row],[Overall (destination currency)]]*(1+Claims_Inflation)^((Revalue_at_date-Table1[[#This Row],[Loss date]])/365.25)</f>
        <v>24817.200000000001</v>
      </c>
      <c r="R1520" s="70">
        <f>INT(Table1[[#This Row],[Reporting date]])-INT(Table1[[#This Row],[Loss date]])</f>
        <v>4</v>
      </c>
      <c r="S1520" s="69" t="s">
        <v>16</v>
      </c>
      <c r="T1520" s="70">
        <f>VLOOKUP(Table1[[#This Row],[Policy Year]],exposure_table,3,FALSE)</f>
        <v>1057.54</v>
      </c>
      <c r="U1520" s="17">
        <f>IF(MONTH(Table1[[#This Row],[Reporting date]])&lt;Policy_Inception_Month,YEAR(Table1[[#This Row],[Reporting date]])-1,YEAR(Table1[[#This Row],[Reporting date]]))</f>
        <v>2012</v>
      </c>
      <c r="V1520" s="17">
        <f>Table1[[#This Row],[Reporting year]]-Table1[[#This Row],[Policy Year]]</f>
        <v>0</v>
      </c>
      <c r="W1520" s="17">
        <f>INT(Table1[[#This Row],[Reporting date]])-INT(Table1[[#This Row],[Loss date]])</f>
        <v>4</v>
      </c>
      <c r="X1520" s="17">
        <f>INT((YEAR(Table1[[#This Row],[Loss date]])*12+MONTH(Table1[[#This Row],[Loss date]])-Earliest_Month)/4)</f>
        <v>21</v>
      </c>
      <c r="Y1520" s="17">
        <f>INT((YEAR(Table1[[#This Row],[Reporting date]])*12+MONTH(Table1[[#This Row],[Reporting date]])-Earliest_Month)/4)</f>
        <v>21</v>
      </c>
      <c r="Z1520" s="17">
        <f>Table1[[#This Row],[Reporting third]]-Table1[[#This Row],[Policy third]]</f>
        <v>0</v>
      </c>
      <c r="AA1520" s="71">
        <f>IF(Table1[[#This Row],[Overall amount]]=0,"N/A",Table1[[#This Row],[Outstanding]]/Table1[[#This Row],[Overall amount]])</f>
        <v>0.96704704801508623</v>
      </c>
      <c r="AB1520" s="17">
        <f>IF(MONTH(Table1[[#This Row],[Loss date]])&lt;Pol_Inc_Month_Shifted,YEAR(Table1[[#This Row],[Loss date]])-1,YEAR(Table1[[#This Row],[Loss date]]))</f>
        <v>2011</v>
      </c>
      <c r="AC1520" s="17">
        <f>IF(MONTH(Table1[[#This Row],[Reporting date]])&lt;Pol_Inc_Month_Shifted,YEAR(Table1[[#This Row],[Reporting date]])-1,YEAR(Table1[[#This Row],[Reporting date]]))</f>
        <v>2011</v>
      </c>
      <c r="AD1520" s="17">
        <f>Table1[[#This Row],[Reporting year (shifted)]]-Table1[[#This Row],[Policy Year (shifted)]]</f>
        <v>0</v>
      </c>
    </row>
    <row r="1521" spans="1:30" ht="13.9">
      <c r="A1521" s="8" t="s">
        <v>3291</v>
      </c>
      <c r="B1521" s="8" t="s">
        <v>1573</v>
      </c>
      <c r="C1521" s="8" t="s">
        <v>118</v>
      </c>
      <c r="D1521" s="9">
        <v>41035</v>
      </c>
      <c r="E1521" s="9">
        <v>41037</v>
      </c>
      <c r="F1521" s="17">
        <f>IF(MONTH(Table1[[#This Row],[Loss date]])&lt;Policy_Inception_Month,YEAR(Table1[[#This Row],[Loss date]])-1,YEAR(Table1[[#This Row],[Loss date]]))</f>
        <v>2012</v>
      </c>
      <c r="G1521" s="10" t="s">
        <v>119</v>
      </c>
      <c r="H1521" s="10" t="s">
        <v>2</v>
      </c>
      <c r="I1521" s="11">
        <v>456.87838308405975</v>
      </c>
      <c r="J1521" s="11">
        <v>0</v>
      </c>
      <c r="K1521" s="11">
        <v>456.87838308405975</v>
      </c>
      <c r="L1521" s="12">
        <v>152.46219680224462</v>
      </c>
      <c r="M1521" s="12">
        <v>0</v>
      </c>
      <c r="N1521" s="12">
        <v>609.34057988630434</v>
      </c>
      <c r="O1521" s="70">
        <f>IF(Table1[[#This Row],[Overall amount]]=0,0,1)</f>
        <v>1</v>
      </c>
      <c r="P1521" s="70">
        <f>Table1[[#This Row],[Overall amount]]*Exchange_Rate</f>
        <v>609.34057988630434</v>
      </c>
      <c r="Q1521" s="70">
        <f>Table1[[#This Row],[Overall (destination currency)]]*(1+Claims_Inflation)^((Revalue_at_date-Table1[[#This Row],[Loss date]])/365.25)</f>
        <v>719.39999999999986</v>
      </c>
      <c r="R1521" s="70">
        <f>INT(Table1[[#This Row],[Reporting date]])-INT(Table1[[#This Row],[Loss date]])</f>
        <v>2</v>
      </c>
      <c r="S1521" s="69" t="s">
        <v>9</v>
      </c>
      <c r="T1521" s="70">
        <f>VLOOKUP(Table1[[#This Row],[Policy Year]],exposure_table,3,FALSE)</f>
        <v>1057.54</v>
      </c>
      <c r="U1521" s="17">
        <f>IF(MONTH(Table1[[#This Row],[Reporting date]])&lt;Policy_Inception_Month,YEAR(Table1[[#This Row],[Reporting date]])-1,YEAR(Table1[[#This Row],[Reporting date]]))</f>
        <v>2012</v>
      </c>
      <c r="V1521" s="17">
        <f>Table1[[#This Row],[Reporting year]]-Table1[[#This Row],[Policy Year]]</f>
        <v>0</v>
      </c>
      <c r="W1521" s="17">
        <f>INT(Table1[[#This Row],[Reporting date]])-INT(Table1[[#This Row],[Loss date]])</f>
        <v>2</v>
      </c>
      <c r="X1521" s="17">
        <f>INT((YEAR(Table1[[#This Row],[Loss date]])*12+MONTH(Table1[[#This Row],[Loss date]])-Earliest_Month)/4)</f>
        <v>21</v>
      </c>
      <c r="Y1521" s="17">
        <f>INT((YEAR(Table1[[#This Row],[Reporting date]])*12+MONTH(Table1[[#This Row],[Reporting date]])-Earliest_Month)/4)</f>
        <v>21</v>
      </c>
      <c r="Z1521" s="17">
        <f>Table1[[#This Row],[Reporting third]]-Table1[[#This Row],[Policy third]]</f>
        <v>0</v>
      </c>
      <c r="AA1521" s="71">
        <f>IF(Table1[[#This Row],[Overall amount]]=0,"N/A",Table1[[#This Row],[Outstanding]]/Table1[[#This Row],[Overall amount]])</f>
        <v>0</v>
      </c>
      <c r="AB1521" s="17">
        <f>IF(MONTH(Table1[[#This Row],[Loss date]])&lt;Pol_Inc_Month_Shifted,YEAR(Table1[[#This Row],[Loss date]])-1,YEAR(Table1[[#This Row],[Loss date]]))</f>
        <v>2011</v>
      </c>
      <c r="AC1521" s="17">
        <f>IF(MONTH(Table1[[#This Row],[Reporting date]])&lt;Pol_Inc_Month_Shifted,YEAR(Table1[[#This Row],[Reporting date]])-1,YEAR(Table1[[#This Row],[Reporting date]]))</f>
        <v>2011</v>
      </c>
      <c r="AD1521" s="17">
        <f>Table1[[#This Row],[Reporting year (shifted)]]-Table1[[#This Row],[Policy Year (shifted)]]</f>
        <v>0</v>
      </c>
    </row>
    <row r="1522" spans="1:30" ht="13.9">
      <c r="A1522" s="8" t="s">
        <v>3292</v>
      </c>
      <c r="B1522" s="8" t="s">
        <v>1574</v>
      </c>
      <c r="C1522" s="8" t="s">
        <v>118</v>
      </c>
      <c r="D1522" s="9">
        <v>41058</v>
      </c>
      <c r="E1522" s="9">
        <v>41061</v>
      </c>
      <c r="F1522" s="17">
        <f>IF(MONTH(Table1[[#This Row],[Loss date]])&lt;Policy_Inception_Month,YEAR(Table1[[#This Row],[Loss date]])-1,YEAR(Table1[[#This Row],[Loss date]]))</f>
        <v>2012</v>
      </c>
      <c r="G1522" s="10" t="s">
        <v>119</v>
      </c>
      <c r="H1522" s="10" t="s">
        <v>2</v>
      </c>
      <c r="I1522" s="11">
        <v>813.08492298987778</v>
      </c>
      <c r="J1522" s="11">
        <v>0</v>
      </c>
      <c r="K1522" s="11">
        <v>813.08492298987778</v>
      </c>
      <c r="L1522" s="12">
        <v>0</v>
      </c>
      <c r="M1522" s="12">
        <v>0</v>
      </c>
      <c r="N1522" s="12">
        <v>813.08492298987778</v>
      </c>
      <c r="O1522" s="70">
        <f>IF(Table1[[#This Row],[Overall amount]]=0,0,1)</f>
        <v>1</v>
      </c>
      <c r="P1522" s="70">
        <f>Table1[[#This Row],[Overall amount]]*Exchange_Rate</f>
        <v>813.08492298987778</v>
      </c>
      <c r="Q1522" s="70">
        <f>Table1[[#This Row],[Overall (destination currency)]]*(1+Claims_Inflation)^((Revalue_at_date-Table1[[#This Row],[Loss date]])/365.25)</f>
        <v>957</v>
      </c>
      <c r="R1522" s="70">
        <f>INT(Table1[[#This Row],[Reporting date]])-INT(Table1[[#This Row],[Loss date]])</f>
        <v>3</v>
      </c>
      <c r="S1522" s="69" t="s">
        <v>9</v>
      </c>
      <c r="T1522" s="70">
        <f>VLOOKUP(Table1[[#This Row],[Policy Year]],exposure_table,3,FALSE)</f>
        <v>1057.54</v>
      </c>
      <c r="U1522" s="17">
        <f>IF(MONTH(Table1[[#This Row],[Reporting date]])&lt;Policy_Inception_Month,YEAR(Table1[[#This Row],[Reporting date]])-1,YEAR(Table1[[#This Row],[Reporting date]]))</f>
        <v>2012</v>
      </c>
      <c r="V1522" s="17">
        <f>Table1[[#This Row],[Reporting year]]-Table1[[#This Row],[Policy Year]]</f>
        <v>0</v>
      </c>
      <c r="W1522" s="17">
        <f>INT(Table1[[#This Row],[Reporting date]])-INT(Table1[[#This Row],[Loss date]])</f>
        <v>3</v>
      </c>
      <c r="X1522" s="17">
        <f>INT((YEAR(Table1[[#This Row],[Loss date]])*12+MONTH(Table1[[#This Row],[Loss date]])-Earliest_Month)/4)</f>
        <v>21</v>
      </c>
      <c r="Y1522" s="17">
        <f>INT((YEAR(Table1[[#This Row],[Reporting date]])*12+MONTH(Table1[[#This Row],[Reporting date]])-Earliest_Month)/4)</f>
        <v>21</v>
      </c>
      <c r="Z1522" s="17">
        <f>Table1[[#This Row],[Reporting third]]-Table1[[#This Row],[Policy third]]</f>
        <v>0</v>
      </c>
      <c r="AA1522" s="71">
        <f>IF(Table1[[#This Row],[Overall amount]]=0,"N/A",Table1[[#This Row],[Outstanding]]/Table1[[#This Row],[Overall amount]])</f>
        <v>0</v>
      </c>
      <c r="AB1522" s="17">
        <f>IF(MONTH(Table1[[#This Row],[Loss date]])&lt;Pol_Inc_Month_Shifted,YEAR(Table1[[#This Row],[Loss date]])-1,YEAR(Table1[[#This Row],[Loss date]]))</f>
        <v>2011</v>
      </c>
      <c r="AC1522" s="17">
        <f>IF(MONTH(Table1[[#This Row],[Reporting date]])&lt;Pol_Inc_Month_Shifted,YEAR(Table1[[#This Row],[Reporting date]])-1,YEAR(Table1[[#This Row],[Reporting date]]))</f>
        <v>2011</v>
      </c>
      <c r="AD1522" s="17">
        <f>Table1[[#This Row],[Reporting year (shifted)]]-Table1[[#This Row],[Policy Year (shifted)]]</f>
        <v>0</v>
      </c>
    </row>
    <row r="1523" spans="1:30" ht="13.9">
      <c r="A1523" s="8" t="s">
        <v>3293</v>
      </c>
      <c r="B1523" s="8" t="s">
        <v>1575</v>
      </c>
      <c r="C1523" s="8" t="s">
        <v>118</v>
      </c>
      <c r="D1523" s="9">
        <v>39201</v>
      </c>
      <c r="E1523" s="9">
        <v>39201</v>
      </c>
      <c r="F1523" s="17">
        <f>IF(MONTH(Table1[[#This Row],[Loss date]])&lt;Policy_Inception_Month,YEAR(Table1[[#This Row],[Loss date]])-1,YEAR(Table1[[#This Row],[Loss date]]))</f>
        <v>2007</v>
      </c>
      <c r="G1523" s="10" t="s">
        <v>119</v>
      </c>
      <c r="H1523" s="10" t="s">
        <v>2</v>
      </c>
      <c r="I1523" s="11">
        <v>570.81676813351851</v>
      </c>
      <c r="J1523" s="11">
        <v>0</v>
      </c>
      <c r="K1523" s="11">
        <v>570.81676813351851</v>
      </c>
      <c r="L1523" s="12">
        <v>0</v>
      </c>
      <c r="M1523" s="12">
        <v>0</v>
      </c>
      <c r="N1523" s="12">
        <v>570.81676813351851</v>
      </c>
      <c r="O1523" s="70">
        <f>IF(Table1[[#This Row],[Overall amount]]=0,0,1)</f>
        <v>1</v>
      </c>
      <c r="P1523" s="70">
        <f>Table1[[#This Row],[Overall amount]]*Exchange_Rate</f>
        <v>570.81676813351851</v>
      </c>
      <c r="Q1523" s="70">
        <f>Table1[[#This Row],[Overall (destination currency)]]*(1+Claims_Inflation)^((Revalue_at_date-Table1[[#This Row],[Loss date]])/365.25)</f>
        <v>861.00000000000011</v>
      </c>
      <c r="R1523" s="70">
        <f>INT(Table1[[#This Row],[Reporting date]])-INT(Table1[[#This Row],[Loss date]])</f>
        <v>0</v>
      </c>
      <c r="S1523" s="69" t="s">
        <v>9</v>
      </c>
      <c r="T1523" s="70">
        <f>VLOOKUP(Table1[[#This Row],[Policy Year]],exposure_table,3,FALSE)</f>
        <v>547.7736362475523</v>
      </c>
      <c r="U1523" s="17">
        <f>IF(MONTH(Table1[[#This Row],[Reporting date]])&lt;Policy_Inception_Month,YEAR(Table1[[#This Row],[Reporting date]])-1,YEAR(Table1[[#This Row],[Reporting date]]))</f>
        <v>2007</v>
      </c>
      <c r="V1523" s="17">
        <f>Table1[[#This Row],[Reporting year]]-Table1[[#This Row],[Policy Year]]</f>
        <v>0</v>
      </c>
      <c r="W1523" s="17">
        <f>INT(Table1[[#This Row],[Reporting date]])-INT(Table1[[#This Row],[Loss date]])</f>
        <v>0</v>
      </c>
      <c r="X1523" s="17">
        <f>INT((YEAR(Table1[[#This Row],[Loss date]])*12+MONTH(Table1[[#This Row],[Loss date]])-Earliest_Month)/4)</f>
        <v>6</v>
      </c>
      <c r="Y1523" s="17">
        <f>INT((YEAR(Table1[[#This Row],[Reporting date]])*12+MONTH(Table1[[#This Row],[Reporting date]])-Earliest_Month)/4)</f>
        <v>6</v>
      </c>
      <c r="Z1523" s="17">
        <f>Table1[[#This Row],[Reporting third]]-Table1[[#This Row],[Policy third]]</f>
        <v>0</v>
      </c>
      <c r="AA1523" s="71">
        <f>IF(Table1[[#This Row],[Overall amount]]=0,"N/A",Table1[[#This Row],[Outstanding]]/Table1[[#This Row],[Overall amount]])</f>
        <v>0</v>
      </c>
      <c r="AB1523" s="17">
        <f>IF(MONTH(Table1[[#This Row],[Loss date]])&lt;Pol_Inc_Month_Shifted,YEAR(Table1[[#This Row],[Loss date]])-1,YEAR(Table1[[#This Row],[Loss date]]))</f>
        <v>2006</v>
      </c>
      <c r="AC1523" s="17">
        <f>IF(MONTH(Table1[[#This Row],[Reporting date]])&lt;Pol_Inc_Month_Shifted,YEAR(Table1[[#This Row],[Reporting date]])-1,YEAR(Table1[[#This Row],[Reporting date]]))</f>
        <v>2006</v>
      </c>
      <c r="AD1523" s="17">
        <f>Table1[[#This Row],[Reporting year (shifted)]]-Table1[[#This Row],[Policy Year (shifted)]]</f>
        <v>0</v>
      </c>
    </row>
    <row r="1524" spans="1:30" ht="13.9">
      <c r="A1524" s="8" t="s">
        <v>3294</v>
      </c>
      <c r="B1524" s="8" t="s">
        <v>1576</v>
      </c>
      <c r="C1524" s="8" t="s">
        <v>118</v>
      </c>
      <c r="D1524" s="9">
        <v>39373</v>
      </c>
      <c r="E1524" s="9">
        <v>39397</v>
      </c>
      <c r="F1524" s="17">
        <f>IF(MONTH(Table1[[#This Row],[Loss date]])&lt;Policy_Inception_Month,YEAR(Table1[[#This Row],[Loss date]])-1,YEAR(Table1[[#This Row],[Loss date]]))</f>
        <v>2007</v>
      </c>
      <c r="G1524" s="10" t="s">
        <v>119</v>
      </c>
      <c r="H1524" s="10" t="s">
        <v>2</v>
      </c>
      <c r="I1524" s="11">
        <v>1308.9332924489622</v>
      </c>
      <c r="J1524" s="11">
        <v>0</v>
      </c>
      <c r="K1524" s="11">
        <v>1308.9332924489622</v>
      </c>
      <c r="L1524" s="12">
        <v>0</v>
      </c>
      <c r="M1524" s="12">
        <v>0</v>
      </c>
      <c r="N1524" s="12">
        <v>1308.9332924489622</v>
      </c>
      <c r="O1524" s="70">
        <f>IF(Table1[[#This Row],[Overall amount]]=0,0,1)</f>
        <v>1</v>
      </c>
      <c r="P1524" s="70">
        <f>Table1[[#This Row],[Overall amount]]*Exchange_Rate</f>
        <v>1308.9332924489622</v>
      </c>
      <c r="Q1524" s="70">
        <f>Table1[[#This Row],[Overall (destination currency)]]*(1+Claims_Inflation)^((Revalue_at_date-Table1[[#This Row],[Loss date]])/365.25)</f>
        <v>1929.5040000000001</v>
      </c>
      <c r="R1524" s="70">
        <f>INT(Table1[[#This Row],[Reporting date]])-INT(Table1[[#This Row],[Loss date]])</f>
        <v>24</v>
      </c>
      <c r="S1524" s="69" t="s">
        <v>9</v>
      </c>
      <c r="T1524" s="70">
        <f>VLOOKUP(Table1[[#This Row],[Policy Year]],exposure_table,3,FALSE)</f>
        <v>547.7736362475523</v>
      </c>
      <c r="U1524" s="17">
        <f>IF(MONTH(Table1[[#This Row],[Reporting date]])&lt;Policy_Inception_Month,YEAR(Table1[[#This Row],[Reporting date]])-1,YEAR(Table1[[#This Row],[Reporting date]]))</f>
        <v>2007</v>
      </c>
      <c r="V1524" s="17">
        <f>Table1[[#This Row],[Reporting year]]-Table1[[#This Row],[Policy Year]]</f>
        <v>0</v>
      </c>
      <c r="W1524" s="17">
        <f>INT(Table1[[#This Row],[Reporting date]])-INT(Table1[[#This Row],[Loss date]])</f>
        <v>24</v>
      </c>
      <c r="X1524" s="17">
        <f>INT((YEAR(Table1[[#This Row],[Loss date]])*12+MONTH(Table1[[#This Row],[Loss date]])-Earliest_Month)/4)</f>
        <v>7</v>
      </c>
      <c r="Y1524" s="17">
        <f>INT((YEAR(Table1[[#This Row],[Reporting date]])*12+MONTH(Table1[[#This Row],[Reporting date]])-Earliest_Month)/4)</f>
        <v>7</v>
      </c>
      <c r="Z1524" s="17">
        <f>Table1[[#This Row],[Reporting third]]-Table1[[#This Row],[Policy third]]</f>
        <v>0</v>
      </c>
      <c r="AA1524" s="71">
        <f>IF(Table1[[#This Row],[Overall amount]]=0,"N/A",Table1[[#This Row],[Outstanding]]/Table1[[#This Row],[Overall amount]])</f>
        <v>0</v>
      </c>
      <c r="AB1524" s="17">
        <f>IF(MONTH(Table1[[#This Row],[Loss date]])&lt;Pol_Inc_Month_Shifted,YEAR(Table1[[#This Row],[Loss date]])-1,YEAR(Table1[[#This Row],[Loss date]]))</f>
        <v>2006</v>
      </c>
      <c r="AC1524" s="17">
        <f>IF(MONTH(Table1[[#This Row],[Reporting date]])&lt;Pol_Inc_Month_Shifted,YEAR(Table1[[#This Row],[Reporting date]])-1,YEAR(Table1[[#This Row],[Reporting date]]))</f>
        <v>2006</v>
      </c>
      <c r="AD1524" s="17">
        <f>Table1[[#This Row],[Reporting year (shifted)]]-Table1[[#This Row],[Policy Year (shifted)]]</f>
        <v>0</v>
      </c>
    </row>
    <row r="1525" spans="1:30" ht="13.9">
      <c r="A1525" s="8" t="s">
        <v>3295</v>
      </c>
      <c r="B1525" s="8" t="s">
        <v>1577</v>
      </c>
      <c r="C1525" s="8" t="s">
        <v>118</v>
      </c>
      <c r="D1525" s="9">
        <v>40468</v>
      </c>
      <c r="E1525" s="9">
        <v>40470</v>
      </c>
      <c r="F1525" s="17">
        <f>IF(MONTH(Table1[[#This Row],[Loss date]])&lt;Policy_Inception_Month,YEAR(Table1[[#This Row],[Loss date]])-1,YEAR(Table1[[#This Row],[Loss date]]))</f>
        <v>2010</v>
      </c>
      <c r="G1525" s="10" t="s">
        <v>119</v>
      </c>
      <c r="H1525" s="10" t="s">
        <v>2</v>
      </c>
      <c r="I1525" s="11">
        <v>724.13799641234641</v>
      </c>
      <c r="J1525" s="11">
        <v>0</v>
      </c>
      <c r="K1525" s="11">
        <v>724.13799641234641</v>
      </c>
      <c r="L1525" s="12">
        <v>0</v>
      </c>
      <c r="M1525" s="12">
        <v>27.517243863669162</v>
      </c>
      <c r="N1525" s="12">
        <v>696.62075254867727</v>
      </c>
      <c r="O1525" s="70">
        <f>IF(Table1[[#This Row],[Overall amount]]=0,0,1)</f>
        <v>1</v>
      </c>
      <c r="P1525" s="70">
        <f>Table1[[#This Row],[Overall amount]]*Exchange_Rate</f>
        <v>696.62075254867727</v>
      </c>
      <c r="Q1525" s="70">
        <f>Table1[[#This Row],[Overall (destination currency)]]*(1+Claims_Inflation)^((Revalue_at_date-Table1[[#This Row],[Loss date]])/365.25)</f>
        <v>887.1564000000003</v>
      </c>
      <c r="R1525" s="70">
        <f>INT(Table1[[#This Row],[Reporting date]])-INT(Table1[[#This Row],[Loss date]])</f>
        <v>2</v>
      </c>
      <c r="S1525" s="69" t="s">
        <v>9</v>
      </c>
      <c r="T1525" s="70">
        <f>VLOOKUP(Table1[[#This Row],[Policy Year]],exposure_table,3,FALSE)</f>
        <v>837.11513600000012</v>
      </c>
      <c r="U1525" s="17">
        <f>IF(MONTH(Table1[[#This Row],[Reporting date]])&lt;Policy_Inception_Month,YEAR(Table1[[#This Row],[Reporting date]])-1,YEAR(Table1[[#This Row],[Reporting date]]))</f>
        <v>2010</v>
      </c>
      <c r="V1525" s="17">
        <f>Table1[[#This Row],[Reporting year]]-Table1[[#This Row],[Policy Year]]</f>
        <v>0</v>
      </c>
      <c r="W1525" s="17">
        <f>INT(Table1[[#This Row],[Reporting date]])-INT(Table1[[#This Row],[Loss date]])</f>
        <v>2</v>
      </c>
      <c r="X1525" s="17">
        <f>INT((YEAR(Table1[[#This Row],[Loss date]])*12+MONTH(Table1[[#This Row],[Loss date]])-Earliest_Month)/4)</f>
        <v>16</v>
      </c>
      <c r="Y1525" s="17">
        <f>INT((YEAR(Table1[[#This Row],[Reporting date]])*12+MONTH(Table1[[#This Row],[Reporting date]])-Earliest_Month)/4)</f>
        <v>16</v>
      </c>
      <c r="Z1525" s="17">
        <f>Table1[[#This Row],[Reporting third]]-Table1[[#This Row],[Policy third]]</f>
        <v>0</v>
      </c>
      <c r="AA1525" s="71">
        <f>IF(Table1[[#This Row],[Overall amount]]=0,"N/A",Table1[[#This Row],[Outstanding]]/Table1[[#This Row],[Overall amount]])</f>
        <v>0</v>
      </c>
      <c r="AB1525" s="17">
        <f>IF(MONTH(Table1[[#This Row],[Loss date]])&lt;Pol_Inc_Month_Shifted,YEAR(Table1[[#This Row],[Loss date]])-1,YEAR(Table1[[#This Row],[Loss date]]))</f>
        <v>2009</v>
      </c>
      <c r="AC1525" s="17">
        <f>IF(MONTH(Table1[[#This Row],[Reporting date]])&lt;Pol_Inc_Month_Shifted,YEAR(Table1[[#This Row],[Reporting date]])-1,YEAR(Table1[[#This Row],[Reporting date]]))</f>
        <v>2009</v>
      </c>
      <c r="AD1525" s="17">
        <f>Table1[[#This Row],[Reporting year (shifted)]]-Table1[[#This Row],[Policy Year (shifted)]]</f>
        <v>0</v>
      </c>
    </row>
    <row r="1526" spans="1:30" ht="13.9">
      <c r="A1526" s="8" t="s">
        <v>3296</v>
      </c>
      <c r="B1526" s="8" t="s">
        <v>1578</v>
      </c>
      <c r="C1526" s="8" t="s">
        <v>118</v>
      </c>
      <c r="D1526" s="9">
        <v>40539</v>
      </c>
      <c r="E1526" s="9">
        <v>40568</v>
      </c>
      <c r="F1526" s="17">
        <f>IF(MONTH(Table1[[#This Row],[Loss date]])&lt;Policy_Inception_Month,YEAR(Table1[[#This Row],[Loss date]])-1,YEAR(Table1[[#This Row],[Loss date]]))</f>
        <v>2010</v>
      </c>
      <c r="G1526" s="10" t="s">
        <v>119</v>
      </c>
      <c r="H1526" s="10" t="s">
        <v>2</v>
      </c>
      <c r="I1526" s="11">
        <v>841.38397140966811</v>
      </c>
      <c r="J1526" s="11">
        <v>0</v>
      </c>
      <c r="K1526" s="11">
        <v>841.38397140966811</v>
      </c>
      <c r="L1526" s="12">
        <v>0</v>
      </c>
      <c r="M1526" s="12">
        <v>0</v>
      </c>
      <c r="N1526" s="12">
        <v>841.38397140966811</v>
      </c>
      <c r="O1526" s="70">
        <f>IF(Table1[[#This Row],[Overall amount]]=0,0,1)</f>
        <v>1</v>
      </c>
      <c r="P1526" s="70">
        <f>Table1[[#This Row],[Overall amount]]*Exchange_Rate</f>
        <v>841.38397140966811</v>
      </c>
      <c r="Q1526" s="70">
        <f>Table1[[#This Row],[Overall (destination currency)]]*(1+Claims_Inflation)^((Revalue_at_date-Table1[[#This Row],[Loss date]])/365.25)</f>
        <v>1061.3999999999999</v>
      </c>
      <c r="R1526" s="70">
        <f>INT(Table1[[#This Row],[Reporting date]])-INT(Table1[[#This Row],[Loss date]])</f>
        <v>29</v>
      </c>
      <c r="S1526" s="69" t="s">
        <v>9</v>
      </c>
      <c r="T1526" s="70">
        <f>VLOOKUP(Table1[[#This Row],[Policy Year]],exposure_table,3,FALSE)</f>
        <v>837.11513600000012</v>
      </c>
      <c r="U1526" s="17">
        <f>IF(MONTH(Table1[[#This Row],[Reporting date]])&lt;Policy_Inception_Month,YEAR(Table1[[#This Row],[Reporting date]])-1,YEAR(Table1[[#This Row],[Reporting date]]))</f>
        <v>2010</v>
      </c>
      <c r="V1526" s="17">
        <f>Table1[[#This Row],[Reporting year]]-Table1[[#This Row],[Policy Year]]</f>
        <v>0</v>
      </c>
      <c r="W1526" s="17">
        <f>INT(Table1[[#This Row],[Reporting date]])-INT(Table1[[#This Row],[Loss date]])</f>
        <v>29</v>
      </c>
      <c r="X1526" s="17">
        <f>INT((YEAR(Table1[[#This Row],[Loss date]])*12+MONTH(Table1[[#This Row],[Loss date]])-Earliest_Month)/4)</f>
        <v>17</v>
      </c>
      <c r="Y1526" s="17">
        <f>INT((YEAR(Table1[[#This Row],[Reporting date]])*12+MONTH(Table1[[#This Row],[Reporting date]])-Earliest_Month)/4)</f>
        <v>17</v>
      </c>
      <c r="Z1526" s="17">
        <f>Table1[[#This Row],[Reporting third]]-Table1[[#This Row],[Policy third]]</f>
        <v>0</v>
      </c>
      <c r="AA1526" s="71">
        <f>IF(Table1[[#This Row],[Overall amount]]=0,"N/A",Table1[[#This Row],[Outstanding]]/Table1[[#This Row],[Overall amount]])</f>
        <v>0</v>
      </c>
      <c r="AB1526" s="17">
        <f>IF(MONTH(Table1[[#This Row],[Loss date]])&lt;Pol_Inc_Month_Shifted,YEAR(Table1[[#This Row],[Loss date]])-1,YEAR(Table1[[#This Row],[Loss date]]))</f>
        <v>2010</v>
      </c>
      <c r="AC1526" s="17">
        <f>IF(MONTH(Table1[[#This Row],[Reporting date]])&lt;Pol_Inc_Month_Shifted,YEAR(Table1[[#This Row],[Reporting date]])-1,YEAR(Table1[[#This Row],[Reporting date]]))</f>
        <v>2010</v>
      </c>
      <c r="AD1526" s="17">
        <f>Table1[[#This Row],[Reporting year (shifted)]]-Table1[[#This Row],[Policy Year (shifted)]]</f>
        <v>0</v>
      </c>
    </row>
    <row r="1527" spans="1:30" ht="13.9">
      <c r="A1527" s="8" t="s">
        <v>3297</v>
      </c>
      <c r="B1527" s="8" t="s">
        <v>1579</v>
      </c>
      <c r="C1527" s="8" t="s">
        <v>118</v>
      </c>
      <c r="D1527" s="9">
        <v>40833</v>
      </c>
      <c r="E1527" s="9">
        <v>40837</v>
      </c>
      <c r="F1527" s="17">
        <f>IF(MONTH(Table1[[#This Row],[Loss date]])&lt;Policy_Inception_Month,YEAR(Table1[[#This Row],[Loss date]])-1,YEAR(Table1[[#This Row],[Loss date]]))</f>
        <v>2011</v>
      </c>
      <c r="G1527" s="10" t="s">
        <v>119</v>
      </c>
      <c r="H1527" s="10" t="s">
        <v>2</v>
      </c>
      <c r="I1527" s="11">
        <v>0</v>
      </c>
      <c r="J1527" s="11">
        <v>0</v>
      </c>
      <c r="K1527" s="11">
        <v>0</v>
      </c>
      <c r="L1527" s="12">
        <v>0</v>
      </c>
      <c r="M1527" s="12">
        <v>0</v>
      </c>
      <c r="N1527" s="12">
        <v>0</v>
      </c>
      <c r="O1527" s="70">
        <f>IF(Table1[[#This Row],[Overall amount]]=0,0,1)</f>
        <v>0</v>
      </c>
      <c r="P1527" s="70">
        <f>Table1[[#This Row],[Overall amount]]*Exchange_Rate</f>
        <v>0</v>
      </c>
      <c r="Q1527" s="70">
        <f>Table1[[#This Row],[Overall (destination currency)]]*(1+Claims_Inflation)^((Revalue_at_date-Table1[[#This Row],[Loss date]])/365.25)</f>
        <v>0</v>
      </c>
      <c r="R1527" s="70">
        <f>INT(Table1[[#This Row],[Reporting date]])-INT(Table1[[#This Row],[Loss date]])</f>
        <v>4</v>
      </c>
      <c r="S1527" s="69" t="s">
        <v>9</v>
      </c>
      <c r="T1527" s="70">
        <f>VLOOKUP(Table1[[#This Row],[Policy Year]],exposure_table,3,FALSE)</f>
        <v>870.52680000000009</v>
      </c>
      <c r="U1527" s="17">
        <f>IF(MONTH(Table1[[#This Row],[Reporting date]])&lt;Policy_Inception_Month,YEAR(Table1[[#This Row],[Reporting date]])-1,YEAR(Table1[[#This Row],[Reporting date]]))</f>
        <v>2011</v>
      </c>
      <c r="V1527" s="17">
        <f>Table1[[#This Row],[Reporting year]]-Table1[[#This Row],[Policy Year]]</f>
        <v>0</v>
      </c>
      <c r="W1527" s="17">
        <f>INT(Table1[[#This Row],[Reporting date]])-INT(Table1[[#This Row],[Loss date]])</f>
        <v>4</v>
      </c>
      <c r="X1527" s="17">
        <f>INT((YEAR(Table1[[#This Row],[Loss date]])*12+MONTH(Table1[[#This Row],[Loss date]])-Earliest_Month)/4)</f>
        <v>19</v>
      </c>
      <c r="Y1527" s="17">
        <f>INT((YEAR(Table1[[#This Row],[Reporting date]])*12+MONTH(Table1[[#This Row],[Reporting date]])-Earliest_Month)/4)</f>
        <v>19</v>
      </c>
      <c r="Z1527" s="17">
        <f>Table1[[#This Row],[Reporting third]]-Table1[[#This Row],[Policy third]]</f>
        <v>0</v>
      </c>
      <c r="AA1527" s="71" t="str">
        <f>IF(Table1[[#This Row],[Overall amount]]=0,"N/A",Table1[[#This Row],[Outstanding]]/Table1[[#This Row],[Overall amount]])</f>
        <v>N/A</v>
      </c>
      <c r="AB1527" s="17">
        <f>IF(MONTH(Table1[[#This Row],[Loss date]])&lt;Pol_Inc_Month_Shifted,YEAR(Table1[[#This Row],[Loss date]])-1,YEAR(Table1[[#This Row],[Loss date]]))</f>
        <v>2010</v>
      </c>
      <c r="AC1527" s="17">
        <f>IF(MONTH(Table1[[#This Row],[Reporting date]])&lt;Pol_Inc_Month_Shifted,YEAR(Table1[[#This Row],[Reporting date]])-1,YEAR(Table1[[#This Row],[Reporting date]]))</f>
        <v>2010</v>
      </c>
      <c r="AD1527" s="17">
        <f>Table1[[#This Row],[Reporting year (shifted)]]-Table1[[#This Row],[Policy Year (shifted)]]</f>
        <v>0</v>
      </c>
    </row>
    <row r="1528" spans="1:30" ht="13.9">
      <c r="A1528" s="8" t="s">
        <v>3298</v>
      </c>
      <c r="B1528" s="8" t="s">
        <v>1580</v>
      </c>
      <c r="C1528" s="8" t="s">
        <v>154</v>
      </c>
      <c r="D1528" s="9">
        <v>38797</v>
      </c>
      <c r="E1528" s="9">
        <v>38958</v>
      </c>
      <c r="F1528" s="17">
        <f>IF(MONTH(Table1[[#This Row],[Loss date]])&lt;Policy_Inception_Month,YEAR(Table1[[#This Row],[Loss date]])-1,YEAR(Table1[[#This Row],[Loss date]]))</f>
        <v>2005</v>
      </c>
      <c r="G1528" s="10" t="s">
        <v>126</v>
      </c>
      <c r="H1528" s="10" t="s">
        <v>2</v>
      </c>
      <c r="I1528" s="11">
        <v>816.89571726958991</v>
      </c>
      <c r="J1528" s="11">
        <v>0</v>
      </c>
      <c r="K1528" s="11">
        <v>816.89571726958991</v>
      </c>
      <c r="L1528" s="12">
        <v>0</v>
      </c>
      <c r="M1528" s="12">
        <v>73.520614554263091</v>
      </c>
      <c r="N1528" s="12">
        <v>743.37510271532688</v>
      </c>
      <c r="O1528" s="70">
        <f>IF(Table1[[#This Row],[Overall amount]]=0,0,1)</f>
        <v>1</v>
      </c>
      <c r="P1528" s="70">
        <f>Table1[[#This Row],[Overall amount]]*Exchange_Rate</f>
        <v>743.37510271532688</v>
      </c>
      <c r="Q1528" s="70">
        <f>Table1[[#This Row],[Overall (destination currency)]]*(1+Claims_Inflation)^((Revalue_at_date-Table1[[#This Row],[Loss date]])/365.25)</f>
        <v>1183.4549999999999</v>
      </c>
      <c r="R1528" s="70">
        <f>INT(Table1[[#This Row],[Reporting date]])-INT(Table1[[#This Row],[Loss date]])</f>
        <v>161</v>
      </c>
      <c r="S1528" s="69" t="s">
        <v>9</v>
      </c>
      <c r="T1528" s="70">
        <f>VLOOKUP(Table1[[#This Row],[Policy Year]],exposure_table,3,FALSE)</f>
        <v>409.50481038040112</v>
      </c>
      <c r="U1528" s="17">
        <f>IF(MONTH(Table1[[#This Row],[Reporting date]])&lt;Policy_Inception_Month,YEAR(Table1[[#This Row],[Reporting date]])-1,YEAR(Table1[[#This Row],[Reporting date]]))</f>
        <v>2006</v>
      </c>
      <c r="V1528" s="17">
        <f>Table1[[#This Row],[Reporting year]]-Table1[[#This Row],[Policy Year]]</f>
        <v>1</v>
      </c>
      <c r="W1528" s="17">
        <f>INT(Table1[[#This Row],[Reporting date]])-INT(Table1[[#This Row],[Loss date]])</f>
        <v>161</v>
      </c>
      <c r="X1528" s="17">
        <f>INT((YEAR(Table1[[#This Row],[Loss date]])*12+MONTH(Table1[[#This Row],[Loss date]])-Earliest_Month)/4)</f>
        <v>2</v>
      </c>
      <c r="Y1528" s="17">
        <f>INT((YEAR(Table1[[#This Row],[Reporting date]])*12+MONTH(Table1[[#This Row],[Reporting date]])-Earliest_Month)/4)</f>
        <v>4</v>
      </c>
      <c r="Z1528" s="17">
        <f>Table1[[#This Row],[Reporting third]]-Table1[[#This Row],[Policy third]]</f>
        <v>2</v>
      </c>
      <c r="AA1528" s="71">
        <f>IF(Table1[[#This Row],[Overall amount]]=0,"N/A",Table1[[#This Row],[Outstanding]]/Table1[[#This Row],[Overall amount]])</f>
        <v>0</v>
      </c>
      <c r="AB1528" s="17">
        <f>IF(MONTH(Table1[[#This Row],[Loss date]])&lt;Pol_Inc_Month_Shifted,YEAR(Table1[[#This Row],[Loss date]])-1,YEAR(Table1[[#This Row],[Loss date]]))</f>
        <v>2005</v>
      </c>
      <c r="AC1528" s="17">
        <f>IF(MONTH(Table1[[#This Row],[Reporting date]])&lt;Pol_Inc_Month_Shifted,YEAR(Table1[[#This Row],[Reporting date]])-1,YEAR(Table1[[#This Row],[Reporting date]]))</f>
        <v>2005</v>
      </c>
      <c r="AD1528" s="17">
        <f>Table1[[#This Row],[Reporting year (shifted)]]-Table1[[#This Row],[Policy Year (shifted)]]</f>
        <v>0</v>
      </c>
    </row>
    <row r="1529" spans="1:30" ht="13.9">
      <c r="A1529" s="8" t="s">
        <v>3299</v>
      </c>
      <c r="B1529" s="8" t="s">
        <v>1581</v>
      </c>
      <c r="C1529" s="8" t="s">
        <v>123</v>
      </c>
      <c r="D1529" s="9">
        <v>40253</v>
      </c>
      <c r="E1529" s="9">
        <v>41156</v>
      </c>
      <c r="F1529" s="17">
        <f>IF(MONTH(Table1[[#This Row],[Loss date]])&lt;Policy_Inception_Month,YEAR(Table1[[#This Row],[Loss date]])-1,YEAR(Table1[[#This Row],[Loss date]]))</f>
        <v>2009</v>
      </c>
      <c r="G1529" s="10" t="s">
        <v>127</v>
      </c>
      <c r="H1529" s="10" t="s">
        <v>2</v>
      </c>
      <c r="I1529" s="11">
        <v>23602.549268604773</v>
      </c>
      <c r="J1529" s="11">
        <v>11647.957818413524</v>
      </c>
      <c r="K1529" s="11">
        <v>35250.507087018297</v>
      </c>
      <c r="L1529" s="12">
        <v>0</v>
      </c>
      <c r="M1529" s="12">
        <v>0</v>
      </c>
      <c r="N1529" s="12">
        <v>35250.507087018297</v>
      </c>
      <c r="O1529" s="70">
        <f>IF(Table1[[#This Row],[Overall amount]]=0,0,1)</f>
        <v>1</v>
      </c>
      <c r="P1529" s="70">
        <f>Table1[[#This Row],[Overall amount]]*Exchange_Rate</f>
        <v>35250.507087018297</v>
      </c>
      <c r="Q1529" s="70">
        <f>Table1[[#This Row],[Overall (destination currency)]]*(1+Claims_Inflation)^((Revalue_at_date-Table1[[#This Row],[Loss date]])/365.25)</f>
        <v>46200.000000000007</v>
      </c>
      <c r="R1529" s="70">
        <f>INT(Table1[[#This Row],[Reporting date]])-INT(Table1[[#This Row],[Loss date]])</f>
        <v>903</v>
      </c>
      <c r="S1529" s="69" t="s">
        <v>16</v>
      </c>
      <c r="T1529" s="70">
        <f>VLOOKUP(Table1[[#This Row],[Policy Year]],exposure_table,3,FALSE)</f>
        <v>760.22808576000011</v>
      </c>
      <c r="U1529" s="17">
        <f>IF(MONTH(Table1[[#This Row],[Reporting date]])&lt;Policy_Inception_Month,YEAR(Table1[[#This Row],[Reporting date]])-1,YEAR(Table1[[#This Row],[Reporting date]]))</f>
        <v>2012</v>
      </c>
      <c r="V1529" s="17">
        <f>Table1[[#This Row],[Reporting year]]-Table1[[#This Row],[Policy Year]]</f>
        <v>3</v>
      </c>
      <c r="W1529" s="17">
        <f>INT(Table1[[#This Row],[Reporting date]])-INT(Table1[[#This Row],[Loss date]])</f>
        <v>903</v>
      </c>
      <c r="X1529" s="17">
        <f>INT((YEAR(Table1[[#This Row],[Loss date]])*12+MONTH(Table1[[#This Row],[Loss date]])-Earliest_Month)/4)</f>
        <v>14</v>
      </c>
      <c r="Y1529" s="17">
        <f>INT((YEAR(Table1[[#This Row],[Reporting date]])*12+MONTH(Table1[[#This Row],[Reporting date]])-Earliest_Month)/4)</f>
        <v>22</v>
      </c>
      <c r="Z1529" s="17">
        <f>Table1[[#This Row],[Reporting third]]-Table1[[#This Row],[Policy third]]</f>
        <v>8</v>
      </c>
      <c r="AA1529" s="71">
        <f>IF(Table1[[#This Row],[Overall amount]]=0,"N/A",Table1[[#This Row],[Outstanding]]/Table1[[#This Row],[Overall amount]])</f>
        <v>0.33043376623376625</v>
      </c>
      <c r="AB1529" s="17">
        <f>IF(MONTH(Table1[[#This Row],[Loss date]])&lt;Pol_Inc_Month_Shifted,YEAR(Table1[[#This Row],[Loss date]])-1,YEAR(Table1[[#This Row],[Loss date]]))</f>
        <v>2009</v>
      </c>
      <c r="AC1529" s="17">
        <f>IF(MONTH(Table1[[#This Row],[Reporting date]])&lt;Pol_Inc_Month_Shifted,YEAR(Table1[[#This Row],[Reporting date]])-1,YEAR(Table1[[#This Row],[Reporting date]]))</f>
        <v>2011</v>
      </c>
      <c r="AD1529" s="17">
        <f>Table1[[#This Row],[Reporting year (shifted)]]-Table1[[#This Row],[Policy Year (shifted)]]</f>
        <v>2</v>
      </c>
    </row>
    <row r="1530" spans="1:30" ht="13.9">
      <c r="A1530" s="8" t="s">
        <v>3300</v>
      </c>
      <c r="B1530" s="8" t="s">
        <v>1582</v>
      </c>
      <c r="C1530" s="8" t="s">
        <v>123</v>
      </c>
      <c r="D1530" s="9">
        <v>40069</v>
      </c>
      <c r="E1530" s="9">
        <v>41210</v>
      </c>
      <c r="F1530" s="17">
        <f>IF(MONTH(Table1[[#This Row],[Loss date]])&lt;Policy_Inception_Month,YEAR(Table1[[#This Row],[Loss date]])-1,YEAR(Table1[[#This Row],[Loss date]]))</f>
        <v>2009</v>
      </c>
      <c r="G1530" s="10" t="s">
        <v>131</v>
      </c>
      <c r="H1530" s="10" t="s">
        <v>2</v>
      </c>
      <c r="I1530" s="11">
        <v>623.03459859122097</v>
      </c>
      <c r="J1530" s="11">
        <v>0</v>
      </c>
      <c r="K1530" s="11">
        <v>623.03459859122097</v>
      </c>
      <c r="L1530" s="12">
        <v>268.01029477683727</v>
      </c>
      <c r="M1530" s="12">
        <v>0</v>
      </c>
      <c r="N1530" s="12">
        <v>891.04489336805818</v>
      </c>
      <c r="O1530" s="70">
        <f>IF(Table1[[#This Row],[Overall amount]]=0,0,1)</f>
        <v>1</v>
      </c>
      <c r="P1530" s="70">
        <f>Table1[[#This Row],[Overall amount]]*Exchange_Rate</f>
        <v>891.04489336805818</v>
      </c>
      <c r="Q1530" s="70">
        <f>Table1[[#This Row],[Overall (destination currency)]]*(1+Claims_Inflation)^((Revalue_at_date-Table1[[#This Row],[Loss date]])/365.25)</f>
        <v>1196.8799999999997</v>
      </c>
      <c r="R1530" s="70">
        <f>INT(Table1[[#This Row],[Reporting date]])-INT(Table1[[#This Row],[Loss date]])</f>
        <v>1141</v>
      </c>
      <c r="S1530" s="69" t="s">
        <v>9</v>
      </c>
      <c r="T1530" s="70">
        <f>VLOOKUP(Table1[[#This Row],[Policy Year]],exposure_table,3,FALSE)</f>
        <v>760.22808576000011</v>
      </c>
      <c r="U1530" s="17">
        <f>IF(MONTH(Table1[[#This Row],[Reporting date]])&lt;Policy_Inception_Month,YEAR(Table1[[#This Row],[Reporting date]])-1,YEAR(Table1[[#This Row],[Reporting date]]))</f>
        <v>2012</v>
      </c>
      <c r="V1530" s="17">
        <f>Table1[[#This Row],[Reporting year]]-Table1[[#This Row],[Policy Year]]</f>
        <v>3</v>
      </c>
      <c r="W1530" s="17">
        <f>INT(Table1[[#This Row],[Reporting date]])-INT(Table1[[#This Row],[Loss date]])</f>
        <v>1141</v>
      </c>
      <c r="X1530" s="17">
        <f>INT((YEAR(Table1[[#This Row],[Loss date]])*12+MONTH(Table1[[#This Row],[Loss date]])-Earliest_Month)/4)</f>
        <v>13</v>
      </c>
      <c r="Y1530" s="17">
        <f>INT((YEAR(Table1[[#This Row],[Reporting date]])*12+MONTH(Table1[[#This Row],[Reporting date]])-Earliest_Month)/4)</f>
        <v>22</v>
      </c>
      <c r="Z1530" s="17">
        <f>Table1[[#This Row],[Reporting third]]-Table1[[#This Row],[Policy third]]</f>
        <v>9</v>
      </c>
      <c r="AA1530" s="71">
        <f>IF(Table1[[#This Row],[Overall amount]]=0,"N/A",Table1[[#This Row],[Outstanding]]/Table1[[#This Row],[Overall amount]])</f>
        <v>0</v>
      </c>
      <c r="AB1530" s="17">
        <f>IF(MONTH(Table1[[#This Row],[Loss date]])&lt;Pol_Inc_Month_Shifted,YEAR(Table1[[#This Row],[Loss date]])-1,YEAR(Table1[[#This Row],[Loss date]]))</f>
        <v>2008</v>
      </c>
      <c r="AC1530" s="17">
        <f>IF(MONTH(Table1[[#This Row],[Reporting date]])&lt;Pol_Inc_Month_Shifted,YEAR(Table1[[#This Row],[Reporting date]])-1,YEAR(Table1[[#This Row],[Reporting date]]))</f>
        <v>2011</v>
      </c>
      <c r="AD1530" s="17">
        <f>Table1[[#This Row],[Reporting year (shifted)]]-Table1[[#This Row],[Policy Year (shifted)]]</f>
        <v>3</v>
      </c>
    </row>
    <row r="1531" spans="1:30" ht="13.9">
      <c r="A1531" s="8" t="s">
        <v>3301</v>
      </c>
      <c r="B1531" s="8" t="s">
        <v>1583</v>
      </c>
      <c r="C1531" s="8" t="s">
        <v>123</v>
      </c>
      <c r="D1531" s="9">
        <v>40980</v>
      </c>
      <c r="E1531" s="9">
        <v>41212</v>
      </c>
      <c r="F1531" s="17">
        <f>IF(MONTH(Table1[[#This Row],[Loss date]])&lt;Policy_Inception_Month,YEAR(Table1[[#This Row],[Loss date]])-1,YEAR(Table1[[#This Row],[Loss date]]))</f>
        <v>2011</v>
      </c>
      <c r="G1531" s="10" t="s">
        <v>124</v>
      </c>
      <c r="H1531" s="10" t="s">
        <v>2</v>
      </c>
      <c r="I1531" s="11">
        <v>11460.235091764587</v>
      </c>
      <c r="J1531" s="11">
        <v>0</v>
      </c>
      <c r="K1531" s="11">
        <v>11460.235091764587</v>
      </c>
      <c r="L1531" s="12">
        <v>0</v>
      </c>
      <c r="M1531" s="12">
        <v>0</v>
      </c>
      <c r="N1531" s="12">
        <v>11460.235091764587</v>
      </c>
      <c r="O1531" s="70">
        <f>IF(Table1[[#This Row],[Overall amount]]=0,0,1)</f>
        <v>1</v>
      </c>
      <c r="P1531" s="70">
        <f>Table1[[#This Row],[Overall amount]]*Exchange_Rate</f>
        <v>11460.235091764587</v>
      </c>
      <c r="Q1531" s="70">
        <f>Table1[[#This Row],[Overall (destination currency)]]*(1+Claims_Inflation)^((Revalue_at_date-Table1[[#This Row],[Loss date]])/365.25)</f>
        <v>13629.959999999997</v>
      </c>
      <c r="R1531" s="70">
        <f>INT(Table1[[#This Row],[Reporting date]])-INT(Table1[[#This Row],[Loss date]])</f>
        <v>232</v>
      </c>
      <c r="S1531" s="69" t="s">
        <v>9</v>
      </c>
      <c r="T1531" s="70">
        <f>VLOOKUP(Table1[[#This Row],[Policy Year]],exposure_table,3,FALSE)</f>
        <v>870.52680000000009</v>
      </c>
      <c r="U1531" s="17">
        <f>IF(MONTH(Table1[[#This Row],[Reporting date]])&lt;Policy_Inception_Month,YEAR(Table1[[#This Row],[Reporting date]])-1,YEAR(Table1[[#This Row],[Reporting date]]))</f>
        <v>2012</v>
      </c>
      <c r="V1531" s="17">
        <f>Table1[[#This Row],[Reporting year]]-Table1[[#This Row],[Policy Year]]</f>
        <v>1</v>
      </c>
      <c r="W1531" s="17">
        <f>INT(Table1[[#This Row],[Reporting date]])-INT(Table1[[#This Row],[Loss date]])</f>
        <v>232</v>
      </c>
      <c r="X1531" s="17">
        <f>INT((YEAR(Table1[[#This Row],[Loss date]])*12+MONTH(Table1[[#This Row],[Loss date]])-Earliest_Month)/4)</f>
        <v>20</v>
      </c>
      <c r="Y1531" s="17">
        <f>INT((YEAR(Table1[[#This Row],[Reporting date]])*12+MONTH(Table1[[#This Row],[Reporting date]])-Earliest_Month)/4)</f>
        <v>22</v>
      </c>
      <c r="Z1531" s="17">
        <f>Table1[[#This Row],[Reporting third]]-Table1[[#This Row],[Policy third]]</f>
        <v>2</v>
      </c>
      <c r="AA1531" s="71">
        <f>IF(Table1[[#This Row],[Overall amount]]=0,"N/A",Table1[[#This Row],[Outstanding]]/Table1[[#This Row],[Overall amount]])</f>
        <v>0</v>
      </c>
      <c r="AB1531" s="17">
        <f>IF(MONTH(Table1[[#This Row],[Loss date]])&lt;Pol_Inc_Month_Shifted,YEAR(Table1[[#This Row],[Loss date]])-1,YEAR(Table1[[#This Row],[Loss date]]))</f>
        <v>2011</v>
      </c>
      <c r="AC1531" s="17">
        <f>IF(MONTH(Table1[[#This Row],[Reporting date]])&lt;Pol_Inc_Month_Shifted,YEAR(Table1[[#This Row],[Reporting date]])-1,YEAR(Table1[[#This Row],[Reporting date]]))</f>
        <v>2011</v>
      </c>
      <c r="AD1531" s="17">
        <f>Table1[[#This Row],[Reporting year (shifted)]]-Table1[[#This Row],[Policy Year (shifted)]]</f>
        <v>0</v>
      </c>
    </row>
    <row r="1532" spans="1:30" ht="13.9">
      <c r="A1532" s="8" t="s">
        <v>3302</v>
      </c>
      <c r="B1532" s="8" t="s">
        <v>1584</v>
      </c>
      <c r="C1532" s="8" t="s">
        <v>123</v>
      </c>
      <c r="D1532" s="9">
        <v>39984</v>
      </c>
      <c r="E1532" s="9">
        <v>41208</v>
      </c>
      <c r="F1532" s="17">
        <f>IF(MONTH(Table1[[#This Row],[Loss date]])&lt;Policy_Inception_Month,YEAR(Table1[[#This Row],[Loss date]])-1,YEAR(Table1[[#This Row],[Loss date]]))</f>
        <v>2009</v>
      </c>
      <c r="G1532" s="10" t="s">
        <v>127</v>
      </c>
      <c r="H1532" s="10" t="s">
        <v>2</v>
      </c>
      <c r="I1532" s="11">
        <v>27502.301387499781</v>
      </c>
      <c r="J1532" s="11">
        <v>15557.668809565153</v>
      </c>
      <c r="K1532" s="11">
        <v>43059.970197064933</v>
      </c>
      <c r="L1532" s="12">
        <v>0</v>
      </c>
      <c r="M1532" s="12">
        <v>0</v>
      </c>
      <c r="N1532" s="12">
        <v>43059.970197064933</v>
      </c>
      <c r="O1532" s="70">
        <f>IF(Table1[[#This Row],[Overall amount]]=0,0,1)</f>
        <v>1</v>
      </c>
      <c r="P1532" s="70">
        <f>Table1[[#This Row],[Overall amount]]*Exchange_Rate</f>
        <v>43059.970197064933</v>
      </c>
      <c r="Q1532" s="70">
        <f>Table1[[#This Row],[Overall (destination currency)]]*(1+Claims_Inflation)^((Revalue_at_date-Table1[[#This Row],[Loss date]])/365.25)</f>
        <v>58500</v>
      </c>
      <c r="R1532" s="70">
        <f>INT(Table1[[#This Row],[Reporting date]])-INT(Table1[[#This Row],[Loss date]])</f>
        <v>1224</v>
      </c>
      <c r="S1532" s="69" t="s">
        <v>16</v>
      </c>
      <c r="T1532" s="70">
        <f>VLOOKUP(Table1[[#This Row],[Policy Year]],exposure_table,3,FALSE)</f>
        <v>760.22808576000011</v>
      </c>
      <c r="U1532" s="17">
        <f>IF(MONTH(Table1[[#This Row],[Reporting date]])&lt;Policy_Inception_Month,YEAR(Table1[[#This Row],[Reporting date]])-1,YEAR(Table1[[#This Row],[Reporting date]]))</f>
        <v>2012</v>
      </c>
      <c r="V1532" s="17">
        <f>Table1[[#This Row],[Reporting year]]-Table1[[#This Row],[Policy Year]]</f>
        <v>3</v>
      </c>
      <c r="W1532" s="17">
        <f>INT(Table1[[#This Row],[Reporting date]])-INT(Table1[[#This Row],[Loss date]])</f>
        <v>1224</v>
      </c>
      <c r="X1532" s="17">
        <f>INT((YEAR(Table1[[#This Row],[Loss date]])*12+MONTH(Table1[[#This Row],[Loss date]])-Earliest_Month)/4)</f>
        <v>12</v>
      </c>
      <c r="Y1532" s="17">
        <f>INT((YEAR(Table1[[#This Row],[Reporting date]])*12+MONTH(Table1[[#This Row],[Reporting date]])-Earliest_Month)/4)</f>
        <v>22</v>
      </c>
      <c r="Z1532" s="17">
        <f>Table1[[#This Row],[Reporting third]]-Table1[[#This Row],[Policy third]]</f>
        <v>10</v>
      </c>
      <c r="AA1532" s="71">
        <f>IF(Table1[[#This Row],[Overall amount]]=0,"N/A",Table1[[#This Row],[Outstanding]]/Table1[[#This Row],[Overall amount]])</f>
        <v>0.36130235897435897</v>
      </c>
      <c r="AB1532" s="17">
        <f>IF(MONTH(Table1[[#This Row],[Loss date]])&lt;Pol_Inc_Month_Shifted,YEAR(Table1[[#This Row],[Loss date]])-1,YEAR(Table1[[#This Row],[Loss date]]))</f>
        <v>2008</v>
      </c>
      <c r="AC1532" s="17">
        <f>IF(MONTH(Table1[[#This Row],[Reporting date]])&lt;Pol_Inc_Month_Shifted,YEAR(Table1[[#This Row],[Reporting date]])-1,YEAR(Table1[[#This Row],[Reporting date]]))</f>
        <v>2011</v>
      </c>
      <c r="AD1532" s="17">
        <f>Table1[[#This Row],[Reporting year (shifted)]]-Table1[[#This Row],[Policy Year (shifted)]]</f>
        <v>3</v>
      </c>
    </row>
    <row r="1533" spans="1:30" ht="13.9">
      <c r="A1533" s="8" t="s">
        <v>3303</v>
      </c>
      <c r="B1533" s="8" t="s">
        <v>1585</v>
      </c>
      <c r="C1533" s="8" t="s">
        <v>123</v>
      </c>
      <c r="D1533" s="9">
        <v>40141</v>
      </c>
      <c r="E1533" s="9">
        <v>41307</v>
      </c>
      <c r="F1533" s="17">
        <f>IF(MONTH(Table1[[#This Row],[Loss date]])&lt;Policy_Inception_Month,YEAR(Table1[[#This Row],[Loss date]])-1,YEAR(Table1[[#This Row],[Loss date]]))</f>
        <v>2009</v>
      </c>
      <c r="G1533" s="10" t="s">
        <v>125</v>
      </c>
      <c r="H1533" s="10" t="s">
        <v>2</v>
      </c>
      <c r="I1533" s="11">
        <v>24976.244860950701</v>
      </c>
      <c r="J1533" s="11">
        <v>1632.7937492111485</v>
      </c>
      <c r="K1533" s="11">
        <v>26609.038610161853</v>
      </c>
      <c r="L1533" s="12">
        <v>270.60039264571373</v>
      </c>
      <c r="M1533" s="12">
        <v>0</v>
      </c>
      <c r="N1533" s="12">
        <v>26879.639002807566</v>
      </c>
      <c r="O1533" s="70">
        <f>IF(Table1[[#This Row],[Overall amount]]=0,0,1)</f>
        <v>1</v>
      </c>
      <c r="P1533" s="70">
        <f>Table1[[#This Row],[Overall amount]]*Exchange_Rate</f>
        <v>26879.639002807566</v>
      </c>
      <c r="Q1533" s="70">
        <f>Table1[[#This Row],[Overall (destination currency)]]*(1+Claims_Inflation)^((Revalue_at_date-Table1[[#This Row],[Loss date]])/365.25)</f>
        <v>35760</v>
      </c>
      <c r="R1533" s="70">
        <f>INT(Table1[[#This Row],[Reporting date]])-INT(Table1[[#This Row],[Loss date]])</f>
        <v>1166</v>
      </c>
      <c r="S1533" s="69" t="s">
        <v>16</v>
      </c>
      <c r="T1533" s="70">
        <f>VLOOKUP(Table1[[#This Row],[Policy Year]],exposure_table,3,FALSE)</f>
        <v>760.22808576000011</v>
      </c>
      <c r="U1533" s="17">
        <f>IF(MONTH(Table1[[#This Row],[Reporting date]])&lt;Policy_Inception_Month,YEAR(Table1[[#This Row],[Reporting date]])-1,YEAR(Table1[[#This Row],[Reporting date]]))</f>
        <v>2012</v>
      </c>
      <c r="V1533" s="17">
        <f>Table1[[#This Row],[Reporting year]]-Table1[[#This Row],[Policy Year]]</f>
        <v>3</v>
      </c>
      <c r="W1533" s="17">
        <f>INT(Table1[[#This Row],[Reporting date]])-INT(Table1[[#This Row],[Loss date]])</f>
        <v>1166</v>
      </c>
      <c r="X1533" s="17">
        <f>INT((YEAR(Table1[[#This Row],[Loss date]])*12+MONTH(Table1[[#This Row],[Loss date]])-Earliest_Month)/4)</f>
        <v>13</v>
      </c>
      <c r="Y1533" s="17">
        <f>INT((YEAR(Table1[[#This Row],[Reporting date]])*12+MONTH(Table1[[#This Row],[Reporting date]])-Earliest_Month)/4)</f>
        <v>23</v>
      </c>
      <c r="Z1533" s="17">
        <f>Table1[[#This Row],[Reporting third]]-Table1[[#This Row],[Policy third]]</f>
        <v>10</v>
      </c>
      <c r="AA1533" s="71">
        <f>IF(Table1[[#This Row],[Overall amount]]=0,"N/A",Table1[[#This Row],[Outstanding]]/Table1[[#This Row],[Overall amount]])</f>
        <v>6.0744630872483218E-2</v>
      </c>
      <c r="AB1533" s="17">
        <f>IF(MONTH(Table1[[#This Row],[Loss date]])&lt;Pol_Inc_Month_Shifted,YEAR(Table1[[#This Row],[Loss date]])-1,YEAR(Table1[[#This Row],[Loss date]]))</f>
        <v>2008</v>
      </c>
      <c r="AC1533" s="17">
        <f>IF(MONTH(Table1[[#This Row],[Reporting date]])&lt;Pol_Inc_Month_Shifted,YEAR(Table1[[#This Row],[Reporting date]])-1,YEAR(Table1[[#This Row],[Reporting date]]))</f>
        <v>2012</v>
      </c>
      <c r="AD1533" s="17">
        <f>Table1[[#This Row],[Reporting year (shifted)]]-Table1[[#This Row],[Policy Year (shifted)]]</f>
        <v>4</v>
      </c>
    </row>
    <row r="1534" spans="1:30" ht="13.9">
      <c r="A1534" s="8" t="s">
        <v>3304</v>
      </c>
      <c r="B1534" s="8" t="s">
        <v>1586</v>
      </c>
      <c r="C1534" s="8" t="s">
        <v>123</v>
      </c>
      <c r="D1534" s="9">
        <v>41194</v>
      </c>
      <c r="E1534" s="9">
        <v>41615</v>
      </c>
      <c r="F1534" s="17">
        <f>IF(MONTH(Table1[[#This Row],[Loss date]])&lt;Policy_Inception_Month,YEAR(Table1[[#This Row],[Loss date]])-1,YEAR(Table1[[#This Row],[Loss date]]))</f>
        <v>2012</v>
      </c>
      <c r="G1534" s="10" t="s">
        <v>125</v>
      </c>
      <c r="H1534" s="10" t="s">
        <v>2</v>
      </c>
      <c r="I1534" s="11">
        <v>10986.793667333435</v>
      </c>
      <c r="J1534" s="11">
        <v>10625.073144786234</v>
      </c>
      <c r="K1534" s="11">
        <v>21611.866812119668</v>
      </c>
      <c r="L1534" s="12">
        <v>0</v>
      </c>
      <c r="M1534" s="12">
        <v>0</v>
      </c>
      <c r="N1534" s="12">
        <v>21611.866812119668</v>
      </c>
      <c r="O1534" s="70">
        <f>IF(Table1[[#This Row],[Overall amount]]=0,0,1)</f>
        <v>1</v>
      </c>
      <c r="P1534" s="70">
        <f>Table1[[#This Row],[Overall amount]]*Exchange_Rate</f>
        <v>21611.866812119668</v>
      </c>
      <c r="Q1534" s="70">
        <f>Table1[[#This Row],[Overall (destination currency)]]*(1+Claims_Inflation)^((Revalue_at_date-Table1[[#This Row],[Loss date]])/365.25)</f>
        <v>24979.200000000004</v>
      </c>
      <c r="R1534" s="70">
        <f>INT(Table1[[#This Row],[Reporting date]])-INT(Table1[[#This Row],[Loss date]])</f>
        <v>421</v>
      </c>
      <c r="S1534" s="69" t="s">
        <v>16</v>
      </c>
      <c r="T1534" s="70">
        <f>VLOOKUP(Table1[[#This Row],[Policy Year]],exposure_table,3,FALSE)</f>
        <v>1057.54</v>
      </c>
      <c r="U1534" s="17">
        <f>IF(MONTH(Table1[[#This Row],[Reporting date]])&lt;Policy_Inception_Month,YEAR(Table1[[#This Row],[Reporting date]])-1,YEAR(Table1[[#This Row],[Reporting date]]))</f>
        <v>2013</v>
      </c>
      <c r="V1534" s="17">
        <f>Table1[[#This Row],[Reporting year]]-Table1[[#This Row],[Policy Year]]</f>
        <v>1</v>
      </c>
      <c r="W1534" s="17">
        <f>INT(Table1[[#This Row],[Reporting date]])-INT(Table1[[#This Row],[Loss date]])</f>
        <v>421</v>
      </c>
      <c r="X1534" s="17">
        <f>INT((YEAR(Table1[[#This Row],[Loss date]])*12+MONTH(Table1[[#This Row],[Loss date]])-Earliest_Month)/4)</f>
        <v>22</v>
      </c>
      <c r="Y1534" s="17">
        <f>INT((YEAR(Table1[[#This Row],[Reporting date]])*12+MONTH(Table1[[#This Row],[Reporting date]])-Earliest_Month)/4)</f>
        <v>26</v>
      </c>
      <c r="Z1534" s="17">
        <f>Table1[[#This Row],[Reporting third]]-Table1[[#This Row],[Policy third]]</f>
        <v>4</v>
      </c>
      <c r="AA1534" s="71">
        <f>IF(Table1[[#This Row],[Overall amount]]=0,"N/A",Table1[[#This Row],[Outstanding]]/Table1[[#This Row],[Overall amount]])</f>
        <v>0.49163143735588011</v>
      </c>
      <c r="AB1534" s="17">
        <f>IF(MONTH(Table1[[#This Row],[Loss date]])&lt;Pol_Inc_Month_Shifted,YEAR(Table1[[#This Row],[Loss date]])-1,YEAR(Table1[[#This Row],[Loss date]]))</f>
        <v>2011</v>
      </c>
      <c r="AC1534" s="17">
        <f>IF(MONTH(Table1[[#This Row],[Reporting date]])&lt;Pol_Inc_Month_Shifted,YEAR(Table1[[#This Row],[Reporting date]])-1,YEAR(Table1[[#This Row],[Reporting date]]))</f>
        <v>2013</v>
      </c>
      <c r="AD1534" s="17">
        <f>Table1[[#This Row],[Reporting year (shifted)]]-Table1[[#This Row],[Policy Year (shifted)]]</f>
        <v>2</v>
      </c>
    </row>
    <row r="1535" spans="1:30" ht="13.9">
      <c r="A1535" s="8" t="s">
        <v>3305</v>
      </c>
      <c r="B1535" s="8" t="s">
        <v>1587</v>
      </c>
      <c r="C1535" s="8" t="s">
        <v>118</v>
      </c>
      <c r="D1535" s="9">
        <v>40782</v>
      </c>
      <c r="E1535" s="9">
        <v>41175</v>
      </c>
      <c r="F1535" s="17">
        <f>IF(MONTH(Table1[[#This Row],[Loss date]])&lt;Policy_Inception_Month,YEAR(Table1[[#This Row],[Loss date]])-1,YEAR(Table1[[#This Row],[Loss date]]))</f>
        <v>2011</v>
      </c>
      <c r="G1535" s="10" t="s">
        <v>121</v>
      </c>
      <c r="H1535" s="10" t="s">
        <v>2</v>
      </c>
      <c r="I1535" s="11">
        <v>537.0117102696297</v>
      </c>
      <c r="J1535" s="11">
        <v>0</v>
      </c>
      <c r="K1535" s="11">
        <v>537.0117102696297</v>
      </c>
      <c r="L1535" s="12">
        <v>0</v>
      </c>
      <c r="M1535" s="12">
        <v>0</v>
      </c>
      <c r="N1535" s="12">
        <v>537.0117102696297</v>
      </c>
      <c r="O1535" s="70">
        <f>IF(Table1[[#This Row],[Overall amount]]=0,0,1)</f>
        <v>1</v>
      </c>
      <c r="P1535" s="70">
        <f>Table1[[#This Row],[Overall amount]]*Exchange_Rate</f>
        <v>537.0117102696297</v>
      </c>
      <c r="Q1535" s="70">
        <f>Table1[[#This Row],[Overall (destination currency)]]*(1+Claims_Inflation)^((Revalue_at_date-Table1[[#This Row],[Loss date]])/365.25)</f>
        <v>655.79999999999984</v>
      </c>
      <c r="R1535" s="70">
        <f>INT(Table1[[#This Row],[Reporting date]])-INT(Table1[[#This Row],[Loss date]])</f>
        <v>393</v>
      </c>
      <c r="S1535" s="69" t="s">
        <v>9</v>
      </c>
      <c r="T1535" s="70">
        <f>VLOOKUP(Table1[[#This Row],[Policy Year]],exposure_table,3,FALSE)</f>
        <v>870.52680000000009</v>
      </c>
      <c r="U1535" s="17">
        <f>IF(MONTH(Table1[[#This Row],[Reporting date]])&lt;Policy_Inception_Month,YEAR(Table1[[#This Row],[Reporting date]])-1,YEAR(Table1[[#This Row],[Reporting date]]))</f>
        <v>2012</v>
      </c>
      <c r="V1535" s="17">
        <f>Table1[[#This Row],[Reporting year]]-Table1[[#This Row],[Policy Year]]</f>
        <v>1</v>
      </c>
      <c r="W1535" s="17">
        <f>INT(Table1[[#This Row],[Reporting date]])-INT(Table1[[#This Row],[Loss date]])</f>
        <v>393</v>
      </c>
      <c r="X1535" s="17">
        <f>INT((YEAR(Table1[[#This Row],[Loss date]])*12+MONTH(Table1[[#This Row],[Loss date]])-Earliest_Month)/4)</f>
        <v>19</v>
      </c>
      <c r="Y1535" s="17">
        <f>INT((YEAR(Table1[[#This Row],[Reporting date]])*12+MONTH(Table1[[#This Row],[Reporting date]])-Earliest_Month)/4)</f>
        <v>22</v>
      </c>
      <c r="Z1535" s="17">
        <f>Table1[[#This Row],[Reporting third]]-Table1[[#This Row],[Policy third]]</f>
        <v>3</v>
      </c>
      <c r="AA1535" s="71">
        <f>IF(Table1[[#This Row],[Overall amount]]=0,"N/A",Table1[[#This Row],[Outstanding]]/Table1[[#This Row],[Overall amount]])</f>
        <v>0</v>
      </c>
      <c r="AB1535" s="17">
        <f>IF(MONTH(Table1[[#This Row],[Loss date]])&lt;Pol_Inc_Month_Shifted,YEAR(Table1[[#This Row],[Loss date]])-1,YEAR(Table1[[#This Row],[Loss date]]))</f>
        <v>2010</v>
      </c>
      <c r="AC1535" s="17">
        <f>IF(MONTH(Table1[[#This Row],[Reporting date]])&lt;Pol_Inc_Month_Shifted,YEAR(Table1[[#This Row],[Reporting date]])-1,YEAR(Table1[[#This Row],[Reporting date]]))</f>
        <v>2011</v>
      </c>
      <c r="AD1535" s="17">
        <f>Table1[[#This Row],[Reporting year (shifted)]]-Table1[[#This Row],[Policy Year (shifted)]]</f>
        <v>1</v>
      </c>
    </row>
    <row r="1536" spans="1:30" ht="13.9">
      <c r="A1536" s="8" t="s">
        <v>3306</v>
      </c>
      <c r="B1536" s="8" t="s">
        <v>1588</v>
      </c>
      <c r="C1536" s="8" t="s">
        <v>123</v>
      </c>
      <c r="D1536" s="9">
        <v>41105</v>
      </c>
      <c r="E1536" s="9">
        <v>41142</v>
      </c>
      <c r="F1536" s="17">
        <f>IF(MONTH(Table1[[#This Row],[Loss date]])&lt;Policy_Inception_Month,YEAR(Table1[[#This Row],[Loss date]])-1,YEAR(Table1[[#This Row],[Loss date]]))</f>
        <v>2012</v>
      </c>
      <c r="G1536" s="10" t="s">
        <v>124</v>
      </c>
      <c r="H1536" s="10" t="s">
        <v>2</v>
      </c>
      <c r="I1536" s="11">
        <v>21632.949562967115</v>
      </c>
      <c r="J1536" s="11">
        <v>1964.2067742429888</v>
      </c>
      <c r="K1536" s="11">
        <v>23597.156337210105</v>
      </c>
      <c r="L1536" s="12">
        <v>0</v>
      </c>
      <c r="M1536" s="12">
        <v>0</v>
      </c>
      <c r="N1536" s="12">
        <v>23597.156337210105</v>
      </c>
      <c r="O1536" s="70">
        <f>IF(Table1[[#This Row],[Overall amount]]=0,0,1)</f>
        <v>1</v>
      </c>
      <c r="P1536" s="70">
        <f>Table1[[#This Row],[Overall amount]]*Exchange_Rate</f>
        <v>23597.156337210105</v>
      </c>
      <c r="Q1536" s="70">
        <f>Table1[[#This Row],[Overall (destination currency)]]*(1+Claims_Inflation)^((Revalue_at_date-Table1[[#This Row],[Loss date]])/365.25)</f>
        <v>27600</v>
      </c>
      <c r="R1536" s="70">
        <f>INT(Table1[[#This Row],[Reporting date]])-INT(Table1[[#This Row],[Loss date]])</f>
        <v>37</v>
      </c>
      <c r="S1536" s="69" t="s">
        <v>16</v>
      </c>
      <c r="T1536" s="70">
        <f>VLOOKUP(Table1[[#This Row],[Policy Year]],exposure_table,3,FALSE)</f>
        <v>1057.54</v>
      </c>
      <c r="U1536" s="17">
        <f>IF(MONTH(Table1[[#This Row],[Reporting date]])&lt;Policy_Inception_Month,YEAR(Table1[[#This Row],[Reporting date]])-1,YEAR(Table1[[#This Row],[Reporting date]]))</f>
        <v>2012</v>
      </c>
      <c r="V1536" s="17">
        <f>Table1[[#This Row],[Reporting year]]-Table1[[#This Row],[Policy Year]]</f>
        <v>0</v>
      </c>
      <c r="W1536" s="17">
        <f>INT(Table1[[#This Row],[Reporting date]])-INT(Table1[[#This Row],[Loss date]])</f>
        <v>37</v>
      </c>
      <c r="X1536" s="17">
        <f>INT((YEAR(Table1[[#This Row],[Loss date]])*12+MONTH(Table1[[#This Row],[Loss date]])-Earliest_Month)/4)</f>
        <v>21</v>
      </c>
      <c r="Y1536" s="17">
        <f>INT((YEAR(Table1[[#This Row],[Reporting date]])*12+MONTH(Table1[[#This Row],[Reporting date]])-Earliest_Month)/4)</f>
        <v>22</v>
      </c>
      <c r="Z1536" s="17">
        <f>Table1[[#This Row],[Reporting third]]-Table1[[#This Row],[Policy third]]</f>
        <v>1</v>
      </c>
      <c r="AA1536" s="71">
        <f>IF(Table1[[#This Row],[Overall amount]]=0,"N/A",Table1[[#This Row],[Outstanding]]/Table1[[#This Row],[Overall amount]])</f>
        <v>8.3239130434782607E-2</v>
      </c>
      <c r="AB1536" s="17">
        <f>IF(MONTH(Table1[[#This Row],[Loss date]])&lt;Pol_Inc_Month_Shifted,YEAR(Table1[[#This Row],[Loss date]])-1,YEAR(Table1[[#This Row],[Loss date]]))</f>
        <v>2011</v>
      </c>
      <c r="AC1536" s="17">
        <f>IF(MONTH(Table1[[#This Row],[Reporting date]])&lt;Pol_Inc_Month_Shifted,YEAR(Table1[[#This Row],[Reporting date]])-1,YEAR(Table1[[#This Row],[Reporting date]]))</f>
        <v>2011</v>
      </c>
      <c r="AD1536" s="17">
        <f>Table1[[#This Row],[Reporting year (shifted)]]-Table1[[#This Row],[Policy Year (shifted)]]</f>
        <v>0</v>
      </c>
    </row>
    <row r="1537" spans="1:30" ht="13.9">
      <c r="A1537" s="8" t="s">
        <v>3307</v>
      </c>
      <c r="B1537" s="8" t="s">
        <v>1589</v>
      </c>
      <c r="C1537" s="8" t="s">
        <v>123</v>
      </c>
      <c r="D1537" s="9">
        <v>41159</v>
      </c>
      <c r="E1537" s="9">
        <v>41217</v>
      </c>
      <c r="F1537" s="17">
        <f>IF(MONTH(Table1[[#This Row],[Loss date]])&lt;Policy_Inception_Month,YEAR(Table1[[#This Row],[Loss date]])-1,YEAR(Table1[[#This Row],[Loss date]]))</f>
        <v>2012</v>
      </c>
      <c r="G1537" s="10" t="s">
        <v>127</v>
      </c>
      <c r="H1537" s="10" t="s">
        <v>2</v>
      </c>
      <c r="I1537" s="11">
        <v>0</v>
      </c>
      <c r="J1537" s="11">
        <v>0</v>
      </c>
      <c r="K1537" s="11">
        <v>0</v>
      </c>
      <c r="L1537" s="12">
        <v>0</v>
      </c>
      <c r="M1537" s="12">
        <v>0</v>
      </c>
      <c r="N1537" s="12">
        <v>0</v>
      </c>
      <c r="O1537" s="70">
        <f>IF(Table1[[#This Row],[Overall amount]]=0,0,1)</f>
        <v>0</v>
      </c>
      <c r="P1537" s="70">
        <f>Table1[[#This Row],[Overall amount]]*Exchange_Rate</f>
        <v>0</v>
      </c>
      <c r="Q1537" s="70">
        <f>Table1[[#This Row],[Overall (destination currency)]]*(1+Claims_Inflation)^((Revalue_at_date-Table1[[#This Row],[Loss date]])/365.25)</f>
        <v>0</v>
      </c>
      <c r="R1537" s="70">
        <f>INT(Table1[[#This Row],[Reporting date]])-INT(Table1[[#This Row],[Loss date]])</f>
        <v>58</v>
      </c>
      <c r="S1537" s="69" t="s">
        <v>9</v>
      </c>
      <c r="T1537" s="70">
        <f>VLOOKUP(Table1[[#This Row],[Policy Year]],exposure_table,3,FALSE)</f>
        <v>1057.54</v>
      </c>
      <c r="U1537" s="17">
        <f>IF(MONTH(Table1[[#This Row],[Reporting date]])&lt;Policy_Inception_Month,YEAR(Table1[[#This Row],[Reporting date]])-1,YEAR(Table1[[#This Row],[Reporting date]]))</f>
        <v>2012</v>
      </c>
      <c r="V1537" s="17">
        <f>Table1[[#This Row],[Reporting year]]-Table1[[#This Row],[Policy Year]]</f>
        <v>0</v>
      </c>
      <c r="W1537" s="17">
        <f>INT(Table1[[#This Row],[Reporting date]])-INT(Table1[[#This Row],[Loss date]])</f>
        <v>58</v>
      </c>
      <c r="X1537" s="17">
        <f>INT((YEAR(Table1[[#This Row],[Loss date]])*12+MONTH(Table1[[#This Row],[Loss date]])-Earliest_Month)/4)</f>
        <v>22</v>
      </c>
      <c r="Y1537" s="17">
        <f>INT((YEAR(Table1[[#This Row],[Reporting date]])*12+MONTH(Table1[[#This Row],[Reporting date]])-Earliest_Month)/4)</f>
        <v>22</v>
      </c>
      <c r="Z1537" s="17">
        <f>Table1[[#This Row],[Reporting third]]-Table1[[#This Row],[Policy third]]</f>
        <v>0</v>
      </c>
      <c r="AA1537" s="71" t="str">
        <f>IF(Table1[[#This Row],[Overall amount]]=0,"N/A",Table1[[#This Row],[Outstanding]]/Table1[[#This Row],[Overall amount]])</f>
        <v>N/A</v>
      </c>
      <c r="AB1537" s="17">
        <f>IF(MONTH(Table1[[#This Row],[Loss date]])&lt;Pol_Inc_Month_Shifted,YEAR(Table1[[#This Row],[Loss date]])-1,YEAR(Table1[[#This Row],[Loss date]]))</f>
        <v>2011</v>
      </c>
      <c r="AC1537" s="17">
        <f>IF(MONTH(Table1[[#This Row],[Reporting date]])&lt;Pol_Inc_Month_Shifted,YEAR(Table1[[#This Row],[Reporting date]])-1,YEAR(Table1[[#This Row],[Reporting date]]))</f>
        <v>2011</v>
      </c>
      <c r="AD1537" s="17">
        <f>Table1[[#This Row],[Reporting year (shifted)]]-Table1[[#This Row],[Policy Year (shifted)]]</f>
        <v>0</v>
      </c>
    </row>
    <row r="1538" spans="1:30" ht="13.9">
      <c r="A1538" s="8" t="s">
        <v>3308</v>
      </c>
      <c r="B1538" s="8" t="s">
        <v>1590</v>
      </c>
      <c r="C1538" s="8" t="s">
        <v>123</v>
      </c>
      <c r="D1538" s="9">
        <v>41084</v>
      </c>
      <c r="E1538" s="9">
        <v>41211</v>
      </c>
      <c r="F1538" s="17">
        <f>IF(MONTH(Table1[[#This Row],[Loss date]])&lt;Policy_Inception_Month,YEAR(Table1[[#This Row],[Loss date]])-1,YEAR(Table1[[#This Row],[Loss date]]))</f>
        <v>2012</v>
      </c>
      <c r="G1538" s="10" t="s">
        <v>125</v>
      </c>
      <c r="H1538" s="10" t="s">
        <v>2</v>
      </c>
      <c r="I1538" s="11">
        <v>10265.678397984595</v>
      </c>
      <c r="J1538" s="11">
        <v>0</v>
      </c>
      <c r="K1538" s="11">
        <v>10265.678397984595</v>
      </c>
      <c r="L1538" s="12">
        <v>0</v>
      </c>
      <c r="M1538" s="12">
        <v>0</v>
      </c>
      <c r="N1538" s="12">
        <v>10265.678397984595</v>
      </c>
      <c r="O1538" s="70">
        <f>IF(Table1[[#This Row],[Overall amount]]=0,0,1)</f>
        <v>1</v>
      </c>
      <c r="P1538" s="70">
        <f>Table1[[#This Row],[Overall amount]]*Exchange_Rate</f>
        <v>10265.678397984595</v>
      </c>
      <c r="Q1538" s="70">
        <f>Table1[[#This Row],[Overall (destination currency)]]*(1+Claims_Inflation)^((Revalue_at_date-Table1[[#This Row],[Loss date]])/365.25)</f>
        <v>12040.800000000001</v>
      </c>
      <c r="R1538" s="70">
        <f>INT(Table1[[#This Row],[Reporting date]])-INT(Table1[[#This Row],[Loss date]])</f>
        <v>127</v>
      </c>
      <c r="S1538" s="69" t="s">
        <v>9</v>
      </c>
      <c r="T1538" s="70">
        <f>VLOOKUP(Table1[[#This Row],[Policy Year]],exposure_table,3,FALSE)</f>
        <v>1057.54</v>
      </c>
      <c r="U1538" s="17">
        <f>IF(MONTH(Table1[[#This Row],[Reporting date]])&lt;Policy_Inception_Month,YEAR(Table1[[#This Row],[Reporting date]])-1,YEAR(Table1[[#This Row],[Reporting date]]))</f>
        <v>2012</v>
      </c>
      <c r="V1538" s="17">
        <f>Table1[[#This Row],[Reporting year]]-Table1[[#This Row],[Policy Year]]</f>
        <v>0</v>
      </c>
      <c r="W1538" s="17">
        <f>INT(Table1[[#This Row],[Reporting date]])-INT(Table1[[#This Row],[Loss date]])</f>
        <v>127</v>
      </c>
      <c r="X1538" s="17">
        <f>INT((YEAR(Table1[[#This Row],[Loss date]])*12+MONTH(Table1[[#This Row],[Loss date]])-Earliest_Month)/4)</f>
        <v>21</v>
      </c>
      <c r="Y1538" s="17">
        <f>INT((YEAR(Table1[[#This Row],[Reporting date]])*12+MONTH(Table1[[#This Row],[Reporting date]])-Earliest_Month)/4)</f>
        <v>22</v>
      </c>
      <c r="Z1538" s="17">
        <f>Table1[[#This Row],[Reporting third]]-Table1[[#This Row],[Policy third]]</f>
        <v>1</v>
      </c>
      <c r="AA1538" s="71">
        <f>IF(Table1[[#This Row],[Overall amount]]=0,"N/A",Table1[[#This Row],[Outstanding]]/Table1[[#This Row],[Overall amount]])</f>
        <v>0</v>
      </c>
      <c r="AB1538" s="17">
        <f>IF(MONTH(Table1[[#This Row],[Loss date]])&lt;Pol_Inc_Month_Shifted,YEAR(Table1[[#This Row],[Loss date]])-1,YEAR(Table1[[#This Row],[Loss date]]))</f>
        <v>2011</v>
      </c>
      <c r="AC1538" s="17">
        <f>IF(MONTH(Table1[[#This Row],[Reporting date]])&lt;Pol_Inc_Month_Shifted,YEAR(Table1[[#This Row],[Reporting date]])-1,YEAR(Table1[[#This Row],[Reporting date]]))</f>
        <v>2011</v>
      </c>
      <c r="AD1538" s="17">
        <f>Table1[[#This Row],[Reporting year (shifted)]]-Table1[[#This Row],[Policy Year (shifted)]]</f>
        <v>0</v>
      </c>
    </row>
    <row r="1539" spans="1:30" ht="13.9">
      <c r="A1539" s="8" t="s">
        <v>3309</v>
      </c>
      <c r="B1539" s="8" t="s">
        <v>1591</v>
      </c>
      <c r="C1539" s="8" t="s">
        <v>123</v>
      </c>
      <c r="D1539" s="9">
        <v>41041</v>
      </c>
      <c r="E1539" s="9">
        <v>41173</v>
      </c>
      <c r="F1539" s="17">
        <f>IF(MONTH(Table1[[#This Row],[Loss date]])&lt;Policy_Inception_Month,YEAR(Table1[[#This Row],[Loss date]])-1,YEAR(Table1[[#This Row],[Loss date]]))</f>
        <v>2012</v>
      </c>
      <c r="G1539" s="10" t="s">
        <v>127</v>
      </c>
      <c r="H1539" s="10" t="s">
        <v>2</v>
      </c>
      <c r="I1539" s="11">
        <v>6611.9924588805798</v>
      </c>
      <c r="J1539" s="11">
        <v>0</v>
      </c>
      <c r="K1539" s="11">
        <v>6611.9924588805798</v>
      </c>
      <c r="L1539" s="12">
        <v>0</v>
      </c>
      <c r="M1539" s="12">
        <v>55.337290732785149</v>
      </c>
      <c r="N1539" s="12">
        <v>6556.6551681477949</v>
      </c>
      <c r="O1539" s="70">
        <f>IF(Table1[[#This Row],[Overall amount]]=0,0,1)</f>
        <v>1</v>
      </c>
      <c r="P1539" s="70">
        <f>Table1[[#This Row],[Overall amount]]*Exchange_Rate</f>
        <v>6556.6551681477949</v>
      </c>
      <c r="Q1539" s="70">
        <f>Table1[[#This Row],[Overall (destination currency)]]*(1+Claims_Inflation)^((Revalue_at_date-Table1[[#This Row],[Loss date]])/365.25)</f>
        <v>7734.7200000000012</v>
      </c>
      <c r="R1539" s="70">
        <f>INT(Table1[[#This Row],[Reporting date]])-INT(Table1[[#This Row],[Loss date]])</f>
        <v>132</v>
      </c>
      <c r="S1539" s="69" t="s">
        <v>9</v>
      </c>
      <c r="T1539" s="70">
        <f>VLOOKUP(Table1[[#This Row],[Policy Year]],exposure_table,3,FALSE)</f>
        <v>1057.54</v>
      </c>
      <c r="U1539" s="17">
        <f>IF(MONTH(Table1[[#This Row],[Reporting date]])&lt;Policy_Inception_Month,YEAR(Table1[[#This Row],[Reporting date]])-1,YEAR(Table1[[#This Row],[Reporting date]]))</f>
        <v>2012</v>
      </c>
      <c r="V1539" s="17">
        <f>Table1[[#This Row],[Reporting year]]-Table1[[#This Row],[Policy Year]]</f>
        <v>0</v>
      </c>
      <c r="W1539" s="17">
        <f>INT(Table1[[#This Row],[Reporting date]])-INT(Table1[[#This Row],[Loss date]])</f>
        <v>132</v>
      </c>
      <c r="X1539" s="17">
        <f>INT((YEAR(Table1[[#This Row],[Loss date]])*12+MONTH(Table1[[#This Row],[Loss date]])-Earliest_Month)/4)</f>
        <v>21</v>
      </c>
      <c r="Y1539" s="17">
        <f>INT((YEAR(Table1[[#This Row],[Reporting date]])*12+MONTH(Table1[[#This Row],[Reporting date]])-Earliest_Month)/4)</f>
        <v>22</v>
      </c>
      <c r="Z1539" s="17">
        <f>Table1[[#This Row],[Reporting third]]-Table1[[#This Row],[Policy third]]</f>
        <v>1</v>
      </c>
      <c r="AA1539" s="71">
        <f>IF(Table1[[#This Row],[Overall amount]]=0,"N/A",Table1[[#This Row],[Outstanding]]/Table1[[#This Row],[Overall amount]])</f>
        <v>0</v>
      </c>
      <c r="AB1539" s="17">
        <f>IF(MONTH(Table1[[#This Row],[Loss date]])&lt;Pol_Inc_Month_Shifted,YEAR(Table1[[#This Row],[Loss date]])-1,YEAR(Table1[[#This Row],[Loss date]]))</f>
        <v>2011</v>
      </c>
      <c r="AC1539" s="17">
        <f>IF(MONTH(Table1[[#This Row],[Reporting date]])&lt;Pol_Inc_Month_Shifted,YEAR(Table1[[#This Row],[Reporting date]])-1,YEAR(Table1[[#This Row],[Reporting date]]))</f>
        <v>2011</v>
      </c>
      <c r="AD1539" s="17">
        <f>Table1[[#This Row],[Reporting year (shifted)]]-Table1[[#This Row],[Policy Year (shifted)]]</f>
        <v>0</v>
      </c>
    </row>
    <row r="1540" spans="1:30" ht="13.9">
      <c r="A1540" s="8" t="s">
        <v>3310</v>
      </c>
      <c r="B1540" s="8" t="s">
        <v>1592</v>
      </c>
      <c r="C1540" s="8" t="s">
        <v>123</v>
      </c>
      <c r="D1540" s="9">
        <v>40922</v>
      </c>
      <c r="E1540" s="9">
        <v>41237</v>
      </c>
      <c r="F1540" s="17">
        <f>IF(MONTH(Table1[[#This Row],[Loss date]])&lt;Policy_Inception_Month,YEAR(Table1[[#This Row],[Loss date]])-1,YEAR(Table1[[#This Row],[Loss date]]))</f>
        <v>2011</v>
      </c>
      <c r="G1540" s="10" t="s">
        <v>125</v>
      </c>
      <c r="H1540" s="10" t="s">
        <v>2</v>
      </c>
      <c r="I1540" s="11">
        <v>0</v>
      </c>
      <c r="J1540" s="11">
        <v>10011.875245502166</v>
      </c>
      <c r="K1540" s="11">
        <v>10011.875245502166</v>
      </c>
      <c r="L1540" s="12">
        <v>0</v>
      </c>
      <c r="M1540" s="12">
        <v>0</v>
      </c>
      <c r="N1540" s="12">
        <v>10011.875245502166</v>
      </c>
      <c r="O1540" s="70">
        <f>IF(Table1[[#This Row],[Overall amount]]=0,0,1)</f>
        <v>1</v>
      </c>
      <c r="P1540" s="70">
        <f>Table1[[#This Row],[Overall amount]]*Exchange_Rate</f>
        <v>10011.875245502166</v>
      </c>
      <c r="Q1540" s="70">
        <f>Table1[[#This Row],[Overall (destination currency)]]*(1+Claims_Inflation)^((Revalue_at_date-Table1[[#This Row],[Loss date]])/365.25)</f>
        <v>12000</v>
      </c>
      <c r="R1540" s="70">
        <f>INT(Table1[[#This Row],[Reporting date]])-INT(Table1[[#This Row],[Loss date]])</f>
        <v>315</v>
      </c>
      <c r="S1540" s="69" t="s">
        <v>16</v>
      </c>
      <c r="T1540" s="70">
        <f>VLOOKUP(Table1[[#This Row],[Policy Year]],exposure_table,3,FALSE)</f>
        <v>870.52680000000009</v>
      </c>
      <c r="U1540" s="17">
        <f>IF(MONTH(Table1[[#This Row],[Reporting date]])&lt;Policy_Inception_Month,YEAR(Table1[[#This Row],[Reporting date]])-1,YEAR(Table1[[#This Row],[Reporting date]]))</f>
        <v>2012</v>
      </c>
      <c r="V1540" s="17">
        <f>Table1[[#This Row],[Reporting year]]-Table1[[#This Row],[Policy Year]]</f>
        <v>1</v>
      </c>
      <c r="W1540" s="17">
        <f>INT(Table1[[#This Row],[Reporting date]])-INT(Table1[[#This Row],[Loss date]])</f>
        <v>315</v>
      </c>
      <c r="X1540" s="17">
        <f>INT((YEAR(Table1[[#This Row],[Loss date]])*12+MONTH(Table1[[#This Row],[Loss date]])-Earliest_Month)/4)</f>
        <v>20</v>
      </c>
      <c r="Y1540" s="17">
        <f>INT((YEAR(Table1[[#This Row],[Reporting date]])*12+MONTH(Table1[[#This Row],[Reporting date]])-Earliest_Month)/4)</f>
        <v>22</v>
      </c>
      <c r="Z1540" s="17">
        <f>Table1[[#This Row],[Reporting third]]-Table1[[#This Row],[Policy third]]</f>
        <v>2</v>
      </c>
      <c r="AA1540" s="71">
        <f>IF(Table1[[#This Row],[Overall amount]]=0,"N/A",Table1[[#This Row],[Outstanding]]/Table1[[#This Row],[Overall amount]])</f>
        <v>1</v>
      </c>
      <c r="AB1540" s="17">
        <f>IF(MONTH(Table1[[#This Row],[Loss date]])&lt;Pol_Inc_Month_Shifted,YEAR(Table1[[#This Row],[Loss date]])-1,YEAR(Table1[[#This Row],[Loss date]]))</f>
        <v>2011</v>
      </c>
      <c r="AC1540" s="17">
        <f>IF(MONTH(Table1[[#This Row],[Reporting date]])&lt;Pol_Inc_Month_Shifted,YEAR(Table1[[#This Row],[Reporting date]])-1,YEAR(Table1[[#This Row],[Reporting date]]))</f>
        <v>2011</v>
      </c>
      <c r="AD1540" s="17">
        <f>Table1[[#This Row],[Reporting year (shifted)]]-Table1[[#This Row],[Policy Year (shifted)]]</f>
        <v>0</v>
      </c>
    </row>
    <row r="1541" spans="1:30" ht="13.9">
      <c r="A1541" s="8" t="s">
        <v>3311</v>
      </c>
      <c r="B1541" s="8" t="s">
        <v>1593</v>
      </c>
      <c r="C1541" s="8" t="s">
        <v>123</v>
      </c>
      <c r="D1541" s="9">
        <v>40916</v>
      </c>
      <c r="E1541" s="9">
        <v>41237</v>
      </c>
      <c r="F1541" s="17">
        <f>IF(MONTH(Table1[[#This Row],[Loss date]])&lt;Policy_Inception_Month,YEAR(Table1[[#This Row],[Loss date]])-1,YEAR(Table1[[#This Row],[Loss date]]))</f>
        <v>2011</v>
      </c>
      <c r="G1541" s="10" t="s">
        <v>127</v>
      </c>
      <c r="H1541" s="10" t="s">
        <v>2</v>
      </c>
      <c r="I1541" s="11">
        <v>0</v>
      </c>
      <c r="J1541" s="11">
        <v>10003.854131169666</v>
      </c>
      <c r="K1541" s="11">
        <v>10003.854131169666</v>
      </c>
      <c r="L1541" s="12">
        <v>0</v>
      </c>
      <c r="M1541" s="12">
        <v>0</v>
      </c>
      <c r="N1541" s="12">
        <v>10003.854131169666</v>
      </c>
      <c r="O1541" s="70">
        <f>IF(Table1[[#This Row],[Overall amount]]=0,0,1)</f>
        <v>1</v>
      </c>
      <c r="P1541" s="70">
        <f>Table1[[#This Row],[Overall amount]]*Exchange_Rate</f>
        <v>10003.854131169666</v>
      </c>
      <c r="Q1541" s="70">
        <f>Table1[[#This Row],[Overall (destination currency)]]*(1+Claims_Inflation)^((Revalue_at_date-Table1[[#This Row],[Loss date]])/365.25)</f>
        <v>12000</v>
      </c>
      <c r="R1541" s="70">
        <f>INT(Table1[[#This Row],[Reporting date]])-INT(Table1[[#This Row],[Loss date]])</f>
        <v>321</v>
      </c>
      <c r="S1541" s="69" t="s">
        <v>16</v>
      </c>
      <c r="T1541" s="70">
        <f>VLOOKUP(Table1[[#This Row],[Policy Year]],exposure_table,3,FALSE)</f>
        <v>870.52680000000009</v>
      </c>
      <c r="U1541" s="17">
        <f>IF(MONTH(Table1[[#This Row],[Reporting date]])&lt;Policy_Inception_Month,YEAR(Table1[[#This Row],[Reporting date]])-1,YEAR(Table1[[#This Row],[Reporting date]]))</f>
        <v>2012</v>
      </c>
      <c r="V1541" s="17">
        <f>Table1[[#This Row],[Reporting year]]-Table1[[#This Row],[Policy Year]]</f>
        <v>1</v>
      </c>
      <c r="W1541" s="17">
        <f>INT(Table1[[#This Row],[Reporting date]])-INT(Table1[[#This Row],[Loss date]])</f>
        <v>321</v>
      </c>
      <c r="X1541" s="17">
        <f>INT((YEAR(Table1[[#This Row],[Loss date]])*12+MONTH(Table1[[#This Row],[Loss date]])-Earliest_Month)/4)</f>
        <v>20</v>
      </c>
      <c r="Y1541" s="17">
        <f>INT((YEAR(Table1[[#This Row],[Reporting date]])*12+MONTH(Table1[[#This Row],[Reporting date]])-Earliest_Month)/4)</f>
        <v>22</v>
      </c>
      <c r="Z1541" s="17">
        <f>Table1[[#This Row],[Reporting third]]-Table1[[#This Row],[Policy third]]</f>
        <v>2</v>
      </c>
      <c r="AA1541" s="71">
        <f>IF(Table1[[#This Row],[Overall amount]]=0,"N/A",Table1[[#This Row],[Outstanding]]/Table1[[#This Row],[Overall amount]])</f>
        <v>1</v>
      </c>
      <c r="AB1541" s="17">
        <f>IF(MONTH(Table1[[#This Row],[Loss date]])&lt;Pol_Inc_Month_Shifted,YEAR(Table1[[#This Row],[Loss date]])-1,YEAR(Table1[[#This Row],[Loss date]]))</f>
        <v>2011</v>
      </c>
      <c r="AC1541" s="17">
        <f>IF(MONTH(Table1[[#This Row],[Reporting date]])&lt;Pol_Inc_Month_Shifted,YEAR(Table1[[#This Row],[Reporting date]])-1,YEAR(Table1[[#This Row],[Reporting date]]))</f>
        <v>2011</v>
      </c>
      <c r="AD1541" s="17">
        <f>Table1[[#This Row],[Reporting year (shifted)]]-Table1[[#This Row],[Policy Year (shifted)]]</f>
        <v>0</v>
      </c>
    </row>
    <row r="1542" spans="1:30" ht="13.9">
      <c r="A1542" s="8" t="s">
        <v>3312</v>
      </c>
      <c r="B1542" s="8" t="s">
        <v>1594</v>
      </c>
      <c r="C1542" s="8" t="s">
        <v>123</v>
      </c>
      <c r="D1542" s="9">
        <v>41125</v>
      </c>
      <c r="E1542" s="9">
        <v>41264</v>
      </c>
      <c r="F1542" s="17">
        <f>IF(MONTH(Table1[[#This Row],[Loss date]])&lt;Policy_Inception_Month,YEAR(Table1[[#This Row],[Loss date]])-1,YEAR(Table1[[#This Row],[Loss date]]))</f>
        <v>2012</v>
      </c>
      <c r="G1542" s="10" t="s">
        <v>125</v>
      </c>
      <c r="H1542" s="10" t="s">
        <v>2</v>
      </c>
      <c r="I1542" s="11">
        <v>0</v>
      </c>
      <c r="J1542" s="11">
        <v>15430.61926725575</v>
      </c>
      <c r="K1542" s="11">
        <v>15430.61926725575</v>
      </c>
      <c r="L1542" s="12">
        <v>0</v>
      </c>
      <c r="M1542" s="12">
        <v>0</v>
      </c>
      <c r="N1542" s="12">
        <v>15430.61926725575</v>
      </c>
      <c r="O1542" s="70">
        <f>IF(Table1[[#This Row],[Overall amount]]=0,0,1)</f>
        <v>1</v>
      </c>
      <c r="P1542" s="70">
        <f>Table1[[#This Row],[Overall amount]]*Exchange_Rate</f>
        <v>15430.61926725575</v>
      </c>
      <c r="Q1542" s="70">
        <f>Table1[[#This Row],[Overall (destination currency)]]*(1+Claims_Inflation)^((Revalue_at_date-Table1[[#This Row],[Loss date]])/365.25)</f>
        <v>18000</v>
      </c>
      <c r="R1542" s="70">
        <f>INT(Table1[[#This Row],[Reporting date]])-INT(Table1[[#This Row],[Loss date]])</f>
        <v>139</v>
      </c>
      <c r="S1542" s="69" t="s">
        <v>16</v>
      </c>
      <c r="T1542" s="70">
        <f>VLOOKUP(Table1[[#This Row],[Policy Year]],exposure_table,3,FALSE)</f>
        <v>1057.54</v>
      </c>
      <c r="U1542" s="17">
        <f>IF(MONTH(Table1[[#This Row],[Reporting date]])&lt;Policy_Inception_Month,YEAR(Table1[[#This Row],[Reporting date]])-1,YEAR(Table1[[#This Row],[Reporting date]]))</f>
        <v>2012</v>
      </c>
      <c r="V1542" s="17">
        <f>Table1[[#This Row],[Reporting year]]-Table1[[#This Row],[Policy Year]]</f>
        <v>0</v>
      </c>
      <c r="W1542" s="17">
        <f>INT(Table1[[#This Row],[Reporting date]])-INT(Table1[[#This Row],[Loss date]])</f>
        <v>139</v>
      </c>
      <c r="X1542" s="17">
        <f>INT((YEAR(Table1[[#This Row],[Loss date]])*12+MONTH(Table1[[#This Row],[Loss date]])-Earliest_Month)/4)</f>
        <v>22</v>
      </c>
      <c r="Y1542" s="17">
        <f>INT((YEAR(Table1[[#This Row],[Reporting date]])*12+MONTH(Table1[[#This Row],[Reporting date]])-Earliest_Month)/4)</f>
        <v>23</v>
      </c>
      <c r="Z1542" s="17">
        <f>Table1[[#This Row],[Reporting third]]-Table1[[#This Row],[Policy third]]</f>
        <v>1</v>
      </c>
      <c r="AA1542" s="71">
        <f>IF(Table1[[#This Row],[Overall amount]]=0,"N/A",Table1[[#This Row],[Outstanding]]/Table1[[#This Row],[Overall amount]])</f>
        <v>1</v>
      </c>
      <c r="AB1542" s="17">
        <f>IF(MONTH(Table1[[#This Row],[Loss date]])&lt;Pol_Inc_Month_Shifted,YEAR(Table1[[#This Row],[Loss date]])-1,YEAR(Table1[[#This Row],[Loss date]]))</f>
        <v>2011</v>
      </c>
      <c r="AC1542" s="17">
        <f>IF(MONTH(Table1[[#This Row],[Reporting date]])&lt;Pol_Inc_Month_Shifted,YEAR(Table1[[#This Row],[Reporting date]])-1,YEAR(Table1[[#This Row],[Reporting date]]))</f>
        <v>2012</v>
      </c>
      <c r="AD1542" s="17">
        <f>Table1[[#This Row],[Reporting year (shifted)]]-Table1[[#This Row],[Policy Year (shifted)]]</f>
        <v>1</v>
      </c>
    </row>
    <row r="1543" spans="1:30" ht="13.9">
      <c r="A1543" s="8" t="s">
        <v>3313</v>
      </c>
      <c r="B1543" s="8" t="s">
        <v>1595</v>
      </c>
      <c r="C1543" s="8" t="s">
        <v>123</v>
      </c>
      <c r="D1543" s="9">
        <v>41040</v>
      </c>
      <c r="E1543" s="9">
        <v>41264</v>
      </c>
      <c r="F1543" s="17">
        <f>IF(MONTH(Table1[[#This Row],[Loss date]])&lt;Policy_Inception_Month,YEAR(Table1[[#This Row],[Loss date]])-1,YEAR(Table1[[#This Row],[Loss date]]))</f>
        <v>2012</v>
      </c>
      <c r="G1543" s="10" t="s">
        <v>127</v>
      </c>
      <c r="H1543" s="10" t="s">
        <v>2</v>
      </c>
      <c r="I1543" s="11">
        <v>0</v>
      </c>
      <c r="J1543" s="11">
        <v>10170.937364098831</v>
      </c>
      <c r="K1543" s="11">
        <v>10170.937364098831</v>
      </c>
      <c r="L1543" s="12">
        <v>0</v>
      </c>
      <c r="M1543" s="12">
        <v>0</v>
      </c>
      <c r="N1543" s="12">
        <v>10170.937364098831</v>
      </c>
      <c r="O1543" s="70">
        <f>IF(Table1[[#This Row],[Overall amount]]=0,0,1)</f>
        <v>1</v>
      </c>
      <c r="P1543" s="70">
        <f>Table1[[#This Row],[Overall amount]]*Exchange_Rate</f>
        <v>10170.937364098831</v>
      </c>
      <c r="Q1543" s="70">
        <f>Table1[[#This Row],[Overall (destination currency)]]*(1+Claims_Inflation)^((Revalue_at_date-Table1[[#This Row],[Loss date]])/365.25)</f>
        <v>11999.999999999998</v>
      </c>
      <c r="R1543" s="70">
        <f>INT(Table1[[#This Row],[Reporting date]])-INT(Table1[[#This Row],[Loss date]])</f>
        <v>224</v>
      </c>
      <c r="S1543" s="69" t="s">
        <v>16</v>
      </c>
      <c r="T1543" s="70">
        <f>VLOOKUP(Table1[[#This Row],[Policy Year]],exposure_table,3,FALSE)</f>
        <v>1057.54</v>
      </c>
      <c r="U1543" s="17">
        <f>IF(MONTH(Table1[[#This Row],[Reporting date]])&lt;Policy_Inception_Month,YEAR(Table1[[#This Row],[Reporting date]])-1,YEAR(Table1[[#This Row],[Reporting date]]))</f>
        <v>2012</v>
      </c>
      <c r="V1543" s="17">
        <f>Table1[[#This Row],[Reporting year]]-Table1[[#This Row],[Policy Year]]</f>
        <v>0</v>
      </c>
      <c r="W1543" s="17">
        <f>INT(Table1[[#This Row],[Reporting date]])-INT(Table1[[#This Row],[Loss date]])</f>
        <v>224</v>
      </c>
      <c r="X1543" s="17">
        <f>INT((YEAR(Table1[[#This Row],[Loss date]])*12+MONTH(Table1[[#This Row],[Loss date]])-Earliest_Month)/4)</f>
        <v>21</v>
      </c>
      <c r="Y1543" s="17">
        <f>INT((YEAR(Table1[[#This Row],[Reporting date]])*12+MONTH(Table1[[#This Row],[Reporting date]])-Earliest_Month)/4)</f>
        <v>23</v>
      </c>
      <c r="Z1543" s="17">
        <f>Table1[[#This Row],[Reporting third]]-Table1[[#This Row],[Policy third]]</f>
        <v>2</v>
      </c>
      <c r="AA1543" s="71">
        <f>IF(Table1[[#This Row],[Overall amount]]=0,"N/A",Table1[[#This Row],[Outstanding]]/Table1[[#This Row],[Overall amount]])</f>
        <v>1</v>
      </c>
      <c r="AB1543" s="17">
        <f>IF(MONTH(Table1[[#This Row],[Loss date]])&lt;Pol_Inc_Month_Shifted,YEAR(Table1[[#This Row],[Loss date]])-1,YEAR(Table1[[#This Row],[Loss date]]))</f>
        <v>2011</v>
      </c>
      <c r="AC1543" s="17">
        <f>IF(MONTH(Table1[[#This Row],[Reporting date]])&lt;Pol_Inc_Month_Shifted,YEAR(Table1[[#This Row],[Reporting date]])-1,YEAR(Table1[[#This Row],[Reporting date]]))</f>
        <v>2012</v>
      </c>
      <c r="AD1543" s="17">
        <f>Table1[[#This Row],[Reporting year (shifted)]]-Table1[[#This Row],[Policy Year (shifted)]]</f>
        <v>1</v>
      </c>
    </row>
    <row r="1544" spans="1:30" ht="13.9">
      <c r="A1544" s="8" t="s">
        <v>3314</v>
      </c>
      <c r="B1544" s="8" t="s">
        <v>1596</v>
      </c>
      <c r="C1544" s="8" t="s">
        <v>123</v>
      </c>
      <c r="D1544" s="9">
        <v>40963</v>
      </c>
      <c r="E1544" s="9">
        <v>41285</v>
      </c>
      <c r="F1544" s="17">
        <f>IF(MONTH(Table1[[#This Row],[Loss date]])&lt;Policy_Inception_Month,YEAR(Table1[[#This Row],[Loss date]])-1,YEAR(Table1[[#This Row],[Loss date]]))</f>
        <v>2011</v>
      </c>
      <c r="G1544" s="10" t="s">
        <v>125</v>
      </c>
      <c r="H1544" s="10" t="s">
        <v>2</v>
      </c>
      <c r="I1544" s="11">
        <v>12708.955961191987</v>
      </c>
      <c r="J1544" s="11">
        <v>3020.5105856255072</v>
      </c>
      <c r="K1544" s="11">
        <v>15729.466546817495</v>
      </c>
      <c r="L1544" s="12">
        <v>302.00575769889593</v>
      </c>
      <c r="M1544" s="12">
        <v>0</v>
      </c>
      <c r="N1544" s="12">
        <v>16031.472304516392</v>
      </c>
      <c r="O1544" s="70">
        <f>IF(Table1[[#This Row],[Overall amount]]=0,0,1)</f>
        <v>1</v>
      </c>
      <c r="P1544" s="70">
        <f>Table1[[#This Row],[Overall amount]]*Exchange_Rate</f>
        <v>16031.472304516392</v>
      </c>
      <c r="Q1544" s="70">
        <f>Table1[[#This Row],[Overall (destination currency)]]*(1+Claims_Inflation)^((Revalue_at_date-Table1[[#This Row],[Loss date]])/365.25)</f>
        <v>19110</v>
      </c>
      <c r="R1544" s="70">
        <f>INT(Table1[[#This Row],[Reporting date]])-INT(Table1[[#This Row],[Loss date]])</f>
        <v>322</v>
      </c>
      <c r="S1544" s="69" t="s">
        <v>16</v>
      </c>
      <c r="T1544" s="70">
        <f>VLOOKUP(Table1[[#This Row],[Policy Year]],exposure_table,3,FALSE)</f>
        <v>870.52680000000009</v>
      </c>
      <c r="U1544" s="17">
        <f>IF(MONTH(Table1[[#This Row],[Reporting date]])&lt;Policy_Inception_Month,YEAR(Table1[[#This Row],[Reporting date]])-1,YEAR(Table1[[#This Row],[Reporting date]]))</f>
        <v>2012</v>
      </c>
      <c r="V1544" s="17">
        <f>Table1[[#This Row],[Reporting year]]-Table1[[#This Row],[Policy Year]]</f>
        <v>1</v>
      </c>
      <c r="W1544" s="17">
        <f>INT(Table1[[#This Row],[Reporting date]])-INT(Table1[[#This Row],[Loss date]])</f>
        <v>322</v>
      </c>
      <c r="X1544" s="17">
        <f>INT((YEAR(Table1[[#This Row],[Loss date]])*12+MONTH(Table1[[#This Row],[Loss date]])-Earliest_Month)/4)</f>
        <v>20</v>
      </c>
      <c r="Y1544" s="17">
        <f>INT((YEAR(Table1[[#This Row],[Reporting date]])*12+MONTH(Table1[[#This Row],[Reporting date]])-Earliest_Month)/4)</f>
        <v>23</v>
      </c>
      <c r="Z1544" s="17">
        <f>Table1[[#This Row],[Reporting third]]-Table1[[#This Row],[Policy third]]</f>
        <v>3</v>
      </c>
      <c r="AA1544" s="71">
        <f>IF(Table1[[#This Row],[Overall amount]]=0,"N/A",Table1[[#This Row],[Outstanding]]/Table1[[#This Row],[Overall amount]])</f>
        <v>0.18841130298273154</v>
      </c>
      <c r="AB1544" s="17">
        <f>IF(MONTH(Table1[[#This Row],[Loss date]])&lt;Pol_Inc_Month_Shifted,YEAR(Table1[[#This Row],[Loss date]])-1,YEAR(Table1[[#This Row],[Loss date]]))</f>
        <v>2011</v>
      </c>
      <c r="AC1544" s="17">
        <f>IF(MONTH(Table1[[#This Row],[Reporting date]])&lt;Pol_Inc_Month_Shifted,YEAR(Table1[[#This Row],[Reporting date]])-1,YEAR(Table1[[#This Row],[Reporting date]]))</f>
        <v>2012</v>
      </c>
      <c r="AD1544" s="17">
        <f>Table1[[#This Row],[Reporting year (shifted)]]-Table1[[#This Row],[Policy Year (shifted)]]</f>
        <v>1</v>
      </c>
    </row>
    <row r="1545" spans="1:30" ht="13.9">
      <c r="A1545" s="8" t="s">
        <v>3315</v>
      </c>
      <c r="B1545" s="8" t="s">
        <v>1597</v>
      </c>
      <c r="C1545" s="8" t="s">
        <v>123</v>
      </c>
      <c r="D1545" s="9">
        <v>40742</v>
      </c>
      <c r="E1545" s="9">
        <v>41295</v>
      </c>
      <c r="F1545" s="17">
        <f>IF(MONTH(Table1[[#This Row],[Loss date]])&lt;Policy_Inception_Month,YEAR(Table1[[#This Row],[Loss date]])-1,YEAR(Table1[[#This Row],[Loss date]]))</f>
        <v>2011</v>
      </c>
      <c r="G1545" s="10" t="s">
        <v>124</v>
      </c>
      <c r="H1545" s="10" t="s">
        <v>2</v>
      </c>
      <c r="I1545" s="11">
        <v>0</v>
      </c>
      <c r="J1545" s="11">
        <v>7102.7777330766285</v>
      </c>
      <c r="K1545" s="11">
        <v>7102.7777330766285</v>
      </c>
      <c r="L1545" s="12">
        <v>0</v>
      </c>
      <c r="M1545" s="12">
        <v>0</v>
      </c>
      <c r="N1545" s="12">
        <v>7102.7777330766285</v>
      </c>
      <c r="O1545" s="70">
        <f>IF(Table1[[#This Row],[Overall amount]]=0,0,1)</f>
        <v>1</v>
      </c>
      <c r="P1545" s="70">
        <f>Table1[[#This Row],[Overall amount]]*Exchange_Rate</f>
        <v>7102.7777330766285</v>
      </c>
      <c r="Q1545" s="70">
        <f>Table1[[#This Row],[Overall (destination currency)]]*(1+Claims_Inflation)^((Revalue_at_date-Table1[[#This Row],[Loss date]])/365.25)</f>
        <v>8720.4000000000015</v>
      </c>
      <c r="R1545" s="70">
        <f>INT(Table1[[#This Row],[Reporting date]])-INT(Table1[[#This Row],[Loss date]])</f>
        <v>553</v>
      </c>
      <c r="S1545" s="69" t="s">
        <v>16</v>
      </c>
      <c r="T1545" s="70">
        <f>VLOOKUP(Table1[[#This Row],[Policy Year]],exposure_table,3,FALSE)</f>
        <v>870.52680000000009</v>
      </c>
      <c r="U1545" s="17">
        <f>IF(MONTH(Table1[[#This Row],[Reporting date]])&lt;Policy_Inception_Month,YEAR(Table1[[#This Row],[Reporting date]])-1,YEAR(Table1[[#This Row],[Reporting date]]))</f>
        <v>2012</v>
      </c>
      <c r="V1545" s="17">
        <f>Table1[[#This Row],[Reporting year]]-Table1[[#This Row],[Policy Year]]</f>
        <v>1</v>
      </c>
      <c r="W1545" s="17">
        <f>INT(Table1[[#This Row],[Reporting date]])-INT(Table1[[#This Row],[Loss date]])</f>
        <v>553</v>
      </c>
      <c r="X1545" s="17">
        <f>INT((YEAR(Table1[[#This Row],[Loss date]])*12+MONTH(Table1[[#This Row],[Loss date]])-Earliest_Month)/4)</f>
        <v>18</v>
      </c>
      <c r="Y1545" s="17">
        <f>INT((YEAR(Table1[[#This Row],[Reporting date]])*12+MONTH(Table1[[#This Row],[Reporting date]])-Earliest_Month)/4)</f>
        <v>23</v>
      </c>
      <c r="Z1545" s="17">
        <f>Table1[[#This Row],[Reporting third]]-Table1[[#This Row],[Policy third]]</f>
        <v>5</v>
      </c>
      <c r="AA1545" s="71">
        <f>IF(Table1[[#This Row],[Overall amount]]=0,"N/A",Table1[[#This Row],[Outstanding]]/Table1[[#This Row],[Overall amount]])</f>
        <v>1</v>
      </c>
      <c r="AB1545" s="17">
        <f>IF(MONTH(Table1[[#This Row],[Loss date]])&lt;Pol_Inc_Month_Shifted,YEAR(Table1[[#This Row],[Loss date]])-1,YEAR(Table1[[#This Row],[Loss date]]))</f>
        <v>2010</v>
      </c>
      <c r="AC1545" s="17">
        <f>IF(MONTH(Table1[[#This Row],[Reporting date]])&lt;Pol_Inc_Month_Shifted,YEAR(Table1[[#This Row],[Reporting date]])-1,YEAR(Table1[[#This Row],[Reporting date]]))</f>
        <v>2012</v>
      </c>
      <c r="AD1545" s="17">
        <f>Table1[[#This Row],[Reporting year (shifted)]]-Table1[[#This Row],[Policy Year (shifted)]]</f>
        <v>2</v>
      </c>
    </row>
    <row r="1546" spans="1:30" ht="13.9">
      <c r="A1546" s="8" t="s">
        <v>3316</v>
      </c>
      <c r="B1546" s="8" t="s">
        <v>1598</v>
      </c>
      <c r="C1546" s="8" t="s">
        <v>123</v>
      </c>
      <c r="D1546" s="9">
        <v>41103</v>
      </c>
      <c r="E1546" s="9">
        <v>41300</v>
      </c>
      <c r="F1546" s="17">
        <f>IF(MONTH(Table1[[#This Row],[Loss date]])&lt;Policy_Inception_Month,YEAR(Table1[[#This Row],[Loss date]])-1,YEAR(Table1[[#This Row],[Loss date]]))</f>
        <v>2012</v>
      </c>
      <c r="G1546" s="10" t="s">
        <v>126</v>
      </c>
      <c r="H1546" s="10" t="s">
        <v>2</v>
      </c>
      <c r="I1546" s="11">
        <v>0</v>
      </c>
      <c r="J1546" s="11">
        <v>0</v>
      </c>
      <c r="K1546" s="11">
        <v>0</v>
      </c>
      <c r="L1546" s="12">
        <v>0</v>
      </c>
      <c r="M1546" s="12">
        <v>0</v>
      </c>
      <c r="N1546" s="12">
        <v>0</v>
      </c>
      <c r="O1546" s="70">
        <f>IF(Table1[[#This Row],[Overall amount]]=0,0,1)</f>
        <v>0</v>
      </c>
      <c r="P1546" s="70">
        <f>Table1[[#This Row],[Overall amount]]*Exchange_Rate</f>
        <v>0</v>
      </c>
      <c r="Q1546" s="70">
        <f>Table1[[#This Row],[Overall (destination currency)]]*(1+Claims_Inflation)^((Revalue_at_date-Table1[[#This Row],[Loss date]])/365.25)</f>
        <v>0</v>
      </c>
      <c r="R1546" s="70">
        <f>INT(Table1[[#This Row],[Reporting date]])-INT(Table1[[#This Row],[Loss date]])</f>
        <v>197</v>
      </c>
      <c r="S1546" s="69" t="s">
        <v>9</v>
      </c>
      <c r="T1546" s="70">
        <f>VLOOKUP(Table1[[#This Row],[Policy Year]],exposure_table,3,FALSE)</f>
        <v>1057.54</v>
      </c>
      <c r="U1546" s="17">
        <f>IF(MONTH(Table1[[#This Row],[Reporting date]])&lt;Policy_Inception_Month,YEAR(Table1[[#This Row],[Reporting date]])-1,YEAR(Table1[[#This Row],[Reporting date]]))</f>
        <v>2012</v>
      </c>
      <c r="V1546" s="17">
        <f>Table1[[#This Row],[Reporting year]]-Table1[[#This Row],[Policy Year]]</f>
        <v>0</v>
      </c>
      <c r="W1546" s="17">
        <f>INT(Table1[[#This Row],[Reporting date]])-INT(Table1[[#This Row],[Loss date]])</f>
        <v>197</v>
      </c>
      <c r="X1546" s="17">
        <f>INT((YEAR(Table1[[#This Row],[Loss date]])*12+MONTH(Table1[[#This Row],[Loss date]])-Earliest_Month)/4)</f>
        <v>21</v>
      </c>
      <c r="Y1546" s="17">
        <f>INT((YEAR(Table1[[#This Row],[Reporting date]])*12+MONTH(Table1[[#This Row],[Reporting date]])-Earliest_Month)/4)</f>
        <v>23</v>
      </c>
      <c r="Z1546" s="17">
        <f>Table1[[#This Row],[Reporting third]]-Table1[[#This Row],[Policy third]]</f>
        <v>2</v>
      </c>
      <c r="AA1546" s="71" t="str">
        <f>IF(Table1[[#This Row],[Overall amount]]=0,"N/A",Table1[[#This Row],[Outstanding]]/Table1[[#This Row],[Overall amount]])</f>
        <v>N/A</v>
      </c>
      <c r="AB1546" s="17">
        <f>IF(MONTH(Table1[[#This Row],[Loss date]])&lt;Pol_Inc_Month_Shifted,YEAR(Table1[[#This Row],[Loss date]])-1,YEAR(Table1[[#This Row],[Loss date]]))</f>
        <v>2011</v>
      </c>
      <c r="AC1546" s="17">
        <f>IF(MONTH(Table1[[#This Row],[Reporting date]])&lt;Pol_Inc_Month_Shifted,YEAR(Table1[[#This Row],[Reporting date]])-1,YEAR(Table1[[#This Row],[Reporting date]]))</f>
        <v>2012</v>
      </c>
      <c r="AD1546" s="17">
        <f>Table1[[#This Row],[Reporting year (shifted)]]-Table1[[#This Row],[Policy Year (shifted)]]</f>
        <v>1</v>
      </c>
    </row>
    <row r="1547" spans="1:30" ht="13.9">
      <c r="A1547" s="8" t="s">
        <v>3317</v>
      </c>
      <c r="B1547" s="8" t="s">
        <v>1599</v>
      </c>
      <c r="C1547" s="8" t="s">
        <v>123</v>
      </c>
      <c r="D1547" s="9">
        <v>41134</v>
      </c>
      <c r="E1547" s="9">
        <v>41303</v>
      </c>
      <c r="F1547" s="17">
        <f>IF(MONTH(Table1[[#This Row],[Loss date]])&lt;Policy_Inception_Month,YEAR(Table1[[#This Row],[Loss date]])-1,YEAR(Table1[[#This Row],[Loss date]]))</f>
        <v>2012</v>
      </c>
      <c r="G1547" s="10" t="s">
        <v>125</v>
      </c>
      <c r="H1547" s="10" t="s">
        <v>2</v>
      </c>
      <c r="I1547" s="11">
        <v>0</v>
      </c>
      <c r="J1547" s="11">
        <v>0</v>
      </c>
      <c r="K1547" s="11">
        <v>0</v>
      </c>
      <c r="L1547" s="12">
        <v>0</v>
      </c>
      <c r="M1547" s="12">
        <v>0</v>
      </c>
      <c r="N1547" s="12">
        <v>0</v>
      </c>
      <c r="O1547" s="70">
        <f>IF(Table1[[#This Row],[Overall amount]]=0,0,1)</f>
        <v>0</v>
      </c>
      <c r="P1547" s="70">
        <f>Table1[[#This Row],[Overall amount]]*Exchange_Rate</f>
        <v>0</v>
      </c>
      <c r="Q1547" s="70">
        <f>Table1[[#This Row],[Overall (destination currency)]]*(1+Claims_Inflation)^((Revalue_at_date-Table1[[#This Row],[Loss date]])/365.25)</f>
        <v>0</v>
      </c>
      <c r="R1547" s="70">
        <f>INT(Table1[[#This Row],[Reporting date]])-INT(Table1[[#This Row],[Loss date]])</f>
        <v>169</v>
      </c>
      <c r="S1547" s="69" t="s">
        <v>9</v>
      </c>
      <c r="T1547" s="70">
        <f>VLOOKUP(Table1[[#This Row],[Policy Year]],exposure_table,3,FALSE)</f>
        <v>1057.54</v>
      </c>
      <c r="U1547" s="17">
        <f>IF(MONTH(Table1[[#This Row],[Reporting date]])&lt;Policy_Inception_Month,YEAR(Table1[[#This Row],[Reporting date]])-1,YEAR(Table1[[#This Row],[Reporting date]]))</f>
        <v>2012</v>
      </c>
      <c r="V1547" s="17">
        <f>Table1[[#This Row],[Reporting year]]-Table1[[#This Row],[Policy Year]]</f>
        <v>0</v>
      </c>
      <c r="W1547" s="17">
        <f>INT(Table1[[#This Row],[Reporting date]])-INT(Table1[[#This Row],[Loss date]])</f>
        <v>169</v>
      </c>
      <c r="X1547" s="17">
        <f>INT((YEAR(Table1[[#This Row],[Loss date]])*12+MONTH(Table1[[#This Row],[Loss date]])-Earliest_Month)/4)</f>
        <v>22</v>
      </c>
      <c r="Y1547" s="17">
        <f>INT((YEAR(Table1[[#This Row],[Reporting date]])*12+MONTH(Table1[[#This Row],[Reporting date]])-Earliest_Month)/4)</f>
        <v>23</v>
      </c>
      <c r="Z1547" s="17">
        <f>Table1[[#This Row],[Reporting third]]-Table1[[#This Row],[Policy third]]</f>
        <v>1</v>
      </c>
      <c r="AA1547" s="71" t="str">
        <f>IF(Table1[[#This Row],[Overall amount]]=0,"N/A",Table1[[#This Row],[Outstanding]]/Table1[[#This Row],[Overall amount]])</f>
        <v>N/A</v>
      </c>
      <c r="AB1547" s="17">
        <f>IF(MONTH(Table1[[#This Row],[Loss date]])&lt;Pol_Inc_Month_Shifted,YEAR(Table1[[#This Row],[Loss date]])-1,YEAR(Table1[[#This Row],[Loss date]]))</f>
        <v>2011</v>
      </c>
      <c r="AC1547" s="17">
        <f>IF(MONTH(Table1[[#This Row],[Reporting date]])&lt;Pol_Inc_Month_Shifted,YEAR(Table1[[#This Row],[Reporting date]])-1,YEAR(Table1[[#This Row],[Reporting date]]))</f>
        <v>2012</v>
      </c>
      <c r="AD1547" s="17">
        <f>Table1[[#This Row],[Reporting year (shifted)]]-Table1[[#This Row],[Policy Year (shifted)]]</f>
        <v>1</v>
      </c>
    </row>
    <row r="1548" spans="1:30" ht="13.9">
      <c r="A1548" s="8" t="s">
        <v>3318</v>
      </c>
      <c r="B1548" s="8" t="s">
        <v>1600</v>
      </c>
      <c r="C1548" s="8" t="s">
        <v>123</v>
      </c>
      <c r="D1548" s="9">
        <v>41229</v>
      </c>
      <c r="E1548" s="9">
        <v>41303</v>
      </c>
      <c r="F1548" s="17">
        <f>IF(MONTH(Table1[[#This Row],[Loss date]])&lt;Policy_Inception_Month,YEAR(Table1[[#This Row],[Loss date]])-1,YEAR(Table1[[#This Row],[Loss date]]))</f>
        <v>2012</v>
      </c>
      <c r="G1548" s="10" t="s">
        <v>125</v>
      </c>
      <c r="H1548" s="10" t="s">
        <v>2</v>
      </c>
      <c r="I1548" s="11">
        <v>0</v>
      </c>
      <c r="J1548" s="11">
        <v>10430.988415746506</v>
      </c>
      <c r="K1548" s="11">
        <v>10430.988415746506</v>
      </c>
      <c r="L1548" s="12">
        <v>0</v>
      </c>
      <c r="M1548" s="12">
        <v>0</v>
      </c>
      <c r="N1548" s="12">
        <v>10430.988415746506</v>
      </c>
      <c r="O1548" s="70">
        <f>IF(Table1[[#This Row],[Overall amount]]=0,0,1)</f>
        <v>1</v>
      </c>
      <c r="P1548" s="70">
        <f>Table1[[#This Row],[Overall amount]]*Exchange_Rate</f>
        <v>10430.988415746506</v>
      </c>
      <c r="Q1548" s="70">
        <f>Table1[[#This Row],[Overall (destination currency)]]*(1+Claims_Inflation)^((Revalue_at_date-Table1[[#This Row],[Loss date]])/365.25)</f>
        <v>12000</v>
      </c>
      <c r="R1548" s="70">
        <f>INT(Table1[[#This Row],[Reporting date]])-INT(Table1[[#This Row],[Loss date]])</f>
        <v>74</v>
      </c>
      <c r="S1548" s="69" t="s">
        <v>16</v>
      </c>
      <c r="T1548" s="70">
        <f>VLOOKUP(Table1[[#This Row],[Policy Year]],exposure_table,3,FALSE)</f>
        <v>1057.54</v>
      </c>
      <c r="U1548" s="17">
        <f>IF(MONTH(Table1[[#This Row],[Reporting date]])&lt;Policy_Inception_Month,YEAR(Table1[[#This Row],[Reporting date]])-1,YEAR(Table1[[#This Row],[Reporting date]]))</f>
        <v>2012</v>
      </c>
      <c r="V1548" s="17">
        <f>Table1[[#This Row],[Reporting year]]-Table1[[#This Row],[Policy Year]]</f>
        <v>0</v>
      </c>
      <c r="W1548" s="17">
        <f>INT(Table1[[#This Row],[Reporting date]])-INT(Table1[[#This Row],[Loss date]])</f>
        <v>74</v>
      </c>
      <c r="X1548" s="17">
        <f>INT((YEAR(Table1[[#This Row],[Loss date]])*12+MONTH(Table1[[#This Row],[Loss date]])-Earliest_Month)/4)</f>
        <v>22</v>
      </c>
      <c r="Y1548" s="17">
        <f>INT((YEAR(Table1[[#This Row],[Reporting date]])*12+MONTH(Table1[[#This Row],[Reporting date]])-Earliest_Month)/4)</f>
        <v>23</v>
      </c>
      <c r="Z1548" s="17">
        <f>Table1[[#This Row],[Reporting third]]-Table1[[#This Row],[Policy third]]</f>
        <v>1</v>
      </c>
      <c r="AA1548" s="71">
        <f>IF(Table1[[#This Row],[Overall amount]]=0,"N/A",Table1[[#This Row],[Outstanding]]/Table1[[#This Row],[Overall amount]])</f>
        <v>1</v>
      </c>
      <c r="AB1548" s="17">
        <f>IF(MONTH(Table1[[#This Row],[Loss date]])&lt;Pol_Inc_Month_Shifted,YEAR(Table1[[#This Row],[Loss date]])-1,YEAR(Table1[[#This Row],[Loss date]]))</f>
        <v>2011</v>
      </c>
      <c r="AC1548" s="17">
        <f>IF(MONTH(Table1[[#This Row],[Reporting date]])&lt;Pol_Inc_Month_Shifted,YEAR(Table1[[#This Row],[Reporting date]])-1,YEAR(Table1[[#This Row],[Reporting date]]))</f>
        <v>2012</v>
      </c>
      <c r="AD1548" s="17">
        <f>Table1[[#This Row],[Reporting year (shifted)]]-Table1[[#This Row],[Policy Year (shifted)]]</f>
        <v>1</v>
      </c>
    </row>
    <row r="1549" spans="1:30" ht="13.9">
      <c r="A1549" s="8" t="s">
        <v>3319</v>
      </c>
      <c r="B1549" s="8" t="s">
        <v>1601</v>
      </c>
      <c r="C1549" s="8" t="s">
        <v>123</v>
      </c>
      <c r="D1549" s="9">
        <v>41070</v>
      </c>
      <c r="E1549" s="9">
        <v>41309</v>
      </c>
      <c r="F1549" s="17">
        <f>IF(MONTH(Table1[[#This Row],[Loss date]])&lt;Policy_Inception_Month,YEAR(Table1[[#This Row],[Loss date]])-1,YEAR(Table1[[#This Row],[Loss date]]))</f>
        <v>2012</v>
      </c>
      <c r="G1549" s="10" t="s">
        <v>131</v>
      </c>
      <c r="H1549" s="10" t="s">
        <v>2</v>
      </c>
      <c r="I1549" s="11">
        <v>3650.7107117006667</v>
      </c>
      <c r="J1549" s="11">
        <v>0</v>
      </c>
      <c r="K1549" s="11">
        <v>3650.7107117006667</v>
      </c>
      <c r="L1549" s="12">
        <v>0</v>
      </c>
      <c r="M1549" s="12">
        <v>0</v>
      </c>
      <c r="N1549" s="12">
        <v>3650.7107117006667</v>
      </c>
      <c r="O1549" s="70">
        <f>IF(Table1[[#This Row],[Overall amount]]=0,0,1)</f>
        <v>1</v>
      </c>
      <c r="P1549" s="70">
        <f>Table1[[#This Row],[Overall amount]]*Exchange_Rate</f>
        <v>3650.7107117006667</v>
      </c>
      <c r="Q1549" s="70">
        <f>Table1[[#This Row],[Overall (destination currency)]]*(1+Claims_Inflation)^((Revalue_at_date-Table1[[#This Row],[Loss date]])/365.25)</f>
        <v>4290</v>
      </c>
      <c r="R1549" s="70">
        <f>INT(Table1[[#This Row],[Reporting date]])-INT(Table1[[#This Row],[Loss date]])</f>
        <v>239</v>
      </c>
      <c r="S1549" s="69" t="s">
        <v>9</v>
      </c>
      <c r="T1549" s="70">
        <f>VLOOKUP(Table1[[#This Row],[Policy Year]],exposure_table,3,FALSE)</f>
        <v>1057.54</v>
      </c>
      <c r="U1549" s="17">
        <f>IF(MONTH(Table1[[#This Row],[Reporting date]])&lt;Policy_Inception_Month,YEAR(Table1[[#This Row],[Reporting date]])-1,YEAR(Table1[[#This Row],[Reporting date]]))</f>
        <v>2012</v>
      </c>
      <c r="V1549" s="17">
        <f>Table1[[#This Row],[Reporting year]]-Table1[[#This Row],[Policy Year]]</f>
        <v>0</v>
      </c>
      <c r="W1549" s="17">
        <f>INT(Table1[[#This Row],[Reporting date]])-INT(Table1[[#This Row],[Loss date]])</f>
        <v>239</v>
      </c>
      <c r="X1549" s="17">
        <f>INT((YEAR(Table1[[#This Row],[Loss date]])*12+MONTH(Table1[[#This Row],[Loss date]])-Earliest_Month)/4)</f>
        <v>21</v>
      </c>
      <c r="Y1549" s="17">
        <f>INT((YEAR(Table1[[#This Row],[Reporting date]])*12+MONTH(Table1[[#This Row],[Reporting date]])-Earliest_Month)/4)</f>
        <v>23</v>
      </c>
      <c r="Z1549" s="17">
        <f>Table1[[#This Row],[Reporting third]]-Table1[[#This Row],[Policy third]]</f>
        <v>2</v>
      </c>
      <c r="AA1549" s="71">
        <f>IF(Table1[[#This Row],[Overall amount]]=0,"N/A",Table1[[#This Row],[Outstanding]]/Table1[[#This Row],[Overall amount]])</f>
        <v>0</v>
      </c>
      <c r="AB1549" s="17">
        <f>IF(MONTH(Table1[[#This Row],[Loss date]])&lt;Pol_Inc_Month_Shifted,YEAR(Table1[[#This Row],[Loss date]])-1,YEAR(Table1[[#This Row],[Loss date]]))</f>
        <v>2011</v>
      </c>
      <c r="AC1549" s="17">
        <f>IF(MONTH(Table1[[#This Row],[Reporting date]])&lt;Pol_Inc_Month_Shifted,YEAR(Table1[[#This Row],[Reporting date]])-1,YEAR(Table1[[#This Row],[Reporting date]]))</f>
        <v>2012</v>
      </c>
      <c r="AD1549" s="17">
        <f>Table1[[#This Row],[Reporting year (shifted)]]-Table1[[#This Row],[Policy Year (shifted)]]</f>
        <v>1</v>
      </c>
    </row>
    <row r="1550" spans="1:30" ht="13.9">
      <c r="A1550" s="8" t="s">
        <v>3320</v>
      </c>
      <c r="B1550" s="8" t="s">
        <v>1602</v>
      </c>
      <c r="C1550" s="8" t="s">
        <v>123</v>
      </c>
      <c r="D1550" s="9">
        <v>41225</v>
      </c>
      <c r="E1550" s="9">
        <v>41322</v>
      </c>
      <c r="F1550" s="17">
        <f>IF(MONTH(Table1[[#This Row],[Loss date]])&lt;Policy_Inception_Month,YEAR(Table1[[#This Row],[Loss date]])-1,YEAR(Table1[[#This Row],[Loss date]]))</f>
        <v>2012</v>
      </c>
      <c r="G1550" s="10" t="s">
        <v>126</v>
      </c>
      <c r="H1550" s="10" t="s">
        <v>2</v>
      </c>
      <c r="I1550" s="11">
        <v>0</v>
      </c>
      <c r="J1550" s="11">
        <v>0</v>
      </c>
      <c r="K1550" s="11">
        <v>0</v>
      </c>
      <c r="L1550" s="12">
        <v>0</v>
      </c>
      <c r="M1550" s="12">
        <v>0</v>
      </c>
      <c r="N1550" s="12">
        <v>0</v>
      </c>
      <c r="O1550" s="70">
        <f>IF(Table1[[#This Row],[Overall amount]]=0,0,1)</f>
        <v>0</v>
      </c>
      <c r="P1550" s="70">
        <f>Table1[[#This Row],[Overall amount]]*Exchange_Rate</f>
        <v>0</v>
      </c>
      <c r="Q1550" s="70">
        <f>Table1[[#This Row],[Overall (destination currency)]]*(1+Claims_Inflation)^((Revalue_at_date-Table1[[#This Row],[Loss date]])/365.25)</f>
        <v>0</v>
      </c>
      <c r="R1550" s="70">
        <f>INT(Table1[[#This Row],[Reporting date]])-INT(Table1[[#This Row],[Loss date]])</f>
        <v>97</v>
      </c>
      <c r="S1550" s="69" t="s">
        <v>9</v>
      </c>
      <c r="T1550" s="70">
        <f>VLOOKUP(Table1[[#This Row],[Policy Year]],exposure_table,3,FALSE)</f>
        <v>1057.54</v>
      </c>
      <c r="U1550" s="17">
        <f>IF(MONTH(Table1[[#This Row],[Reporting date]])&lt;Policy_Inception_Month,YEAR(Table1[[#This Row],[Reporting date]])-1,YEAR(Table1[[#This Row],[Reporting date]]))</f>
        <v>2012</v>
      </c>
      <c r="V1550" s="17">
        <f>Table1[[#This Row],[Reporting year]]-Table1[[#This Row],[Policy Year]]</f>
        <v>0</v>
      </c>
      <c r="W1550" s="17">
        <f>INT(Table1[[#This Row],[Reporting date]])-INT(Table1[[#This Row],[Loss date]])</f>
        <v>97</v>
      </c>
      <c r="X1550" s="17">
        <f>INT((YEAR(Table1[[#This Row],[Loss date]])*12+MONTH(Table1[[#This Row],[Loss date]])-Earliest_Month)/4)</f>
        <v>22</v>
      </c>
      <c r="Y1550" s="17">
        <f>INT((YEAR(Table1[[#This Row],[Reporting date]])*12+MONTH(Table1[[#This Row],[Reporting date]])-Earliest_Month)/4)</f>
        <v>23</v>
      </c>
      <c r="Z1550" s="17">
        <f>Table1[[#This Row],[Reporting third]]-Table1[[#This Row],[Policy third]]</f>
        <v>1</v>
      </c>
      <c r="AA1550" s="71" t="str">
        <f>IF(Table1[[#This Row],[Overall amount]]=0,"N/A",Table1[[#This Row],[Outstanding]]/Table1[[#This Row],[Overall amount]])</f>
        <v>N/A</v>
      </c>
      <c r="AB1550" s="17">
        <f>IF(MONTH(Table1[[#This Row],[Loss date]])&lt;Pol_Inc_Month_Shifted,YEAR(Table1[[#This Row],[Loss date]])-1,YEAR(Table1[[#This Row],[Loss date]]))</f>
        <v>2011</v>
      </c>
      <c r="AC1550" s="17">
        <f>IF(MONTH(Table1[[#This Row],[Reporting date]])&lt;Pol_Inc_Month_Shifted,YEAR(Table1[[#This Row],[Reporting date]])-1,YEAR(Table1[[#This Row],[Reporting date]]))</f>
        <v>2012</v>
      </c>
      <c r="AD1550" s="17">
        <f>Table1[[#This Row],[Reporting year (shifted)]]-Table1[[#This Row],[Policy Year (shifted)]]</f>
        <v>1</v>
      </c>
    </row>
    <row r="1551" spans="1:30" ht="13.9">
      <c r="A1551" s="8" t="s">
        <v>3321</v>
      </c>
      <c r="B1551" s="8" t="s">
        <v>1603</v>
      </c>
      <c r="C1551" s="8" t="s">
        <v>123</v>
      </c>
      <c r="D1551" s="9">
        <v>41237</v>
      </c>
      <c r="E1551" s="9">
        <v>41338</v>
      </c>
      <c r="F1551" s="17">
        <f>IF(MONTH(Table1[[#This Row],[Loss date]])&lt;Policy_Inception_Month,YEAR(Table1[[#This Row],[Loss date]])-1,YEAR(Table1[[#This Row],[Loss date]]))</f>
        <v>2012</v>
      </c>
      <c r="G1551" s="10" t="s">
        <v>125</v>
      </c>
      <c r="H1551" s="10" t="s">
        <v>2</v>
      </c>
      <c r="I1551" s="11">
        <v>0</v>
      </c>
      <c r="J1551" s="11">
        <v>13052.676701498731</v>
      </c>
      <c r="K1551" s="11">
        <v>13052.676701498731</v>
      </c>
      <c r="L1551" s="12">
        <v>313.26424083596953</v>
      </c>
      <c r="M1551" s="12">
        <v>0</v>
      </c>
      <c r="N1551" s="12">
        <v>13365.940942334701</v>
      </c>
      <c r="O1551" s="70">
        <f>IF(Table1[[#This Row],[Overall amount]]=0,0,1)</f>
        <v>1</v>
      </c>
      <c r="P1551" s="70">
        <f>Table1[[#This Row],[Overall amount]]*Exchange_Rate</f>
        <v>13365.940942334701</v>
      </c>
      <c r="Q1551" s="70">
        <f>Table1[[#This Row],[Overall (destination currency)]]*(1+Claims_Inflation)^((Revalue_at_date-Table1[[#This Row],[Loss date]])/365.25)</f>
        <v>15360.000000000002</v>
      </c>
      <c r="R1551" s="70">
        <f>INT(Table1[[#This Row],[Reporting date]])-INT(Table1[[#This Row],[Loss date]])</f>
        <v>101</v>
      </c>
      <c r="S1551" s="69" t="s">
        <v>16</v>
      </c>
      <c r="T1551" s="70">
        <f>VLOOKUP(Table1[[#This Row],[Policy Year]],exposure_table,3,FALSE)</f>
        <v>1057.54</v>
      </c>
      <c r="U1551" s="17">
        <f>IF(MONTH(Table1[[#This Row],[Reporting date]])&lt;Policy_Inception_Month,YEAR(Table1[[#This Row],[Reporting date]])-1,YEAR(Table1[[#This Row],[Reporting date]]))</f>
        <v>2012</v>
      </c>
      <c r="V1551" s="17">
        <f>Table1[[#This Row],[Reporting year]]-Table1[[#This Row],[Policy Year]]</f>
        <v>0</v>
      </c>
      <c r="W1551" s="17">
        <f>INT(Table1[[#This Row],[Reporting date]])-INT(Table1[[#This Row],[Loss date]])</f>
        <v>101</v>
      </c>
      <c r="X1551" s="17">
        <f>INT((YEAR(Table1[[#This Row],[Loss date]])*12+MONTH(Table1[[#This Row],[Loss date]])-Earliest_Month)/4)</f>
        <v>22</v>
      </c>
      <c r="Y1551" s="17">
        <f>INT((YEAR(Table1[[#This Row],[Reporting date]])*12+MONTH(Table1[[#This Row],[Reporting date]])-Earliest_Month)/4)</f>
        <v>23</v>
      </c>
      <c r="Z1551" s="17">
        <f>Table1[[#This Row],[Reporting third]]-Table1[[#This Row],[Policy third]]</f>
        <v>1</v>
      </c>
      <c r="AA1551" s="71">
        <f>IF(Table1[[#This Row],[Overall amount]]=0,"N/A",Table1[[#This Row],[Outstanding]]/Table1[[#This Row],[Overall amount]])</f>
        <v>0.9765625</v>
      </c>
      <c r="AB1551" s="17">
        <f>IF(MONTH(Table1[[#This Row],[Loss date]])&lt;Pol_Inc_Month_Shifted,YEAR(Table1[[#This Row],[Loss date]])-1,YEAR(Table1[[#This Row],[Loss date]]))</f>
        <v>2011</v>
      </c>
      <c r="AC1551" s="17">
        <f>IF(MONTH(Table1[[#This Row],[Reporting date]])&lt;Pol_Inc_Month_Shifted,YEAR(Table1[[#This Row],[Reporting date]])-1,YEAR(Table1[[#This Row],[Reporting date]]))</f>
        <v>2012</v>
      </c>
      <c r="AD1551" s="17">
        <f>Table1[[#This Row],[Reporting year (shifted)]]-Table1[[#This Row],[Policy Year (shifted)]]</f>
        <v>1</v>
      </c>
    </row>
    <row r="1552" spans="1:30" ht="13.9">
      <c r="A1552" s="8" t="s">
        <v>3322</v>
      </c>
      <c r="B1552" s="8" t="s">
        <v>1604</v>
      </c>
      <c r="C1552" s="8" t="s">
        <v>123</v>
      </c>
      <c r="D1552" s="9">
        <v>41191</v>
      </c>
      <c r="E1552" s="9">
        <v>41338</v>
      </c>
      <c r="F1552" s="17">
        <f>IF(MONTH(Table1[[#This Row],[Loss date]])&lt;Policy_Inception_Month,YEAR(Table1[[#This Row],[Loss date]])-1,YEAR(Table1[[#This Row],[Loss date]]))</f>
        <v>2012</v>
      </c>
      <c r="G1552" s="10" t="s">
        <v>127</v>
      </c>
      <c r="H1552" s="10" t="s">
        <v>2</v>
      </c>
      <c r="I1552" s="11">
        <v>0</v>
      </c>
      <c r="J1552" s="11">
        <v>8821.4482254715203</v>
      </c>
      <c r="K1552" s="11">
        <v>8821.4482254715203</v>
      </c>
      <c r="L1552" s="12">
        <v>0</v>
      </c>
      <c r="M1552" s="12">
        <v>91.327934569587498</v>
      </c>
      <c r="N1552" s="12">
        <v>8730.1202909019321</v>
      </c>
      <c r="O1552" s="70">
        <f>IF(Table1[[#This Row],[Overall amount]]=0,0,1)</f>
        <v>1</v>
      </c>
      <c r="P1552" s="70">
        <f>Table1[[#This Row],[Overall amount]]*Exchange_Rate</f>
        <v>8730.1202909019321</v>
      </c>
      <c r="Q1552" s="70">
        <f>Table1[[#This Row],[Overall (destination currency)]]*(1+Claims_Inflation)^((Revalue_at_date-Table1[[#This Row],[Loss date]])/365.25)</f>
        <v>10094.4</v>
      </c>
      <c r="R1552" s="70">
        <f>INT(Table1[[#This Row],[Reporting date]])-INT(Table1[[#This Row],[Loss date]])</f>
        <v>147</v>
      </c>
      <c r="S1552" s="69" t="s">
        <v>16</v>
      </c>
      <c r="T1552" s="70">
        <f>VLOOKUP(Table1[[#This Row],[Policy Year]],exposure_table,3,FALSE)</f>
        <v>1057.54</v>
      </c>
      <c r="U1552" s="17">
        <f>IF(MONTH(Table1[[#This Row],[Reporting date]])&lt;Policy_Inception_Month,YEAR(Table1[[#This Row],[Reporting date]])-1,YEAR(Table1[[#This Row],[Reporting date]]))</f>
        <v>2012</v>
      </c>
      <c r="V1552" s="17">
        <f>Table1[[#This Row],[Reporting year]]-Table1[[#This Row],[Policy Year]]</f>
        <v>0</v>
      </c>
      <c r="W1552" s="17">
        <f>INT(Table1[[#This Row],[Reporting date]])-INT(Table1[[#This Row],[Loss date]])</f>
        <v>147</v>
      </c>
      <c r="X1552" s="17">
        <f>INT((YEAR(Table1[[#This Row],[Loss date]])*12+MONTH(Table1[[#This Row],[Loss date]])-Earliest_Month)/4)</f>
        <v>22</v>
      </c>
      <c r="Y1552" s="17">
        <f>INT((YEAR(Table1[[#This Row],[Reporting date]])*12+MONTH(Table1[[#This Row],[Reporting date]])-Earliest_Month)/4)</f>
        <v>23</v>
      </c>
      <c r="Z1552" s="17">
        <f>Table1[[#This Row],[Reporting third]]-Table1[[#This Row],[Policy third]]</f>
        <v>1</v>
      </c>
      <c r="AA1552" s="71">
        <f>IF(Table1[[#This Row],[Overall amount]]=0,"N/A",Table1[[#This Row],[Outstanding]]/Table1[[#This Row],[Overall amount]])</f>
        <v>1.0104612458392772</v>
      </c>
      <c r="AB1552" s="17">
        <f>IF(MONTH(Table1[[#This Row],[Loss date]])&lt;Pol_Inc_Month_Shifted,YEAR(Table1[[#This Row],[Loss date]])-1,YEAR(Table1[[#This Row],[Loss date]]))</f>
        <v>2011</v>
      </c>
      <c r="AC1552" s="17">
        <f>IF(MONTH(Table1[[#This Row],[Reporting date]])&lt;Pol_Inc_Month_Shifted,YEAR(Table1[[#This Row],[Reporting date]])-1,YEAR(Table1[[#This Row],[Reporting date]]))</f>
        <v>2012</v>
      </c>
      <c r="AD1552" s="17">
        <f>Table1[[#This Row],[Reporting year (shifted)]]-Table1[[#This Row],[Policy Year (shifted)]]</f>
        <v>1</v>
      </c>
    </row>
    <row r="1553" spans="1:30" ht="13.9">
      <c r="A1553" s="8" t="s">
        <v>3323</v>
      </c>
      <c r="B1553" s="8" t="s">
        <v>1605</v>
      </c>
      <c r="C1553" s="8" t="s">
        <v>123</v>
      </c>
      <c r="D1553" s="9">
        <v>41231</v>
      </c>
      <c r="E1553" s="9">
        <v>41363</v>
      </c>
      <c r="F1553" s="17">
        <f>IF(MONTH(Table1[[#This Row],[Loss date]])&lt;Policy_Inception_Month,YEAR(Table1[[#This Row],[Loss date]])-1,YEAR(Table1[[#This Row],[Loss date]]))</f>
        <v>2012</v>
      </c>
      <c r="G1553" s="10" t="s">
        <v>131</v>
      </c>
      <c r="H1553" s="10" t="s">
        <v>2</v>
      </c>
      <c r="I1553" s="11">
        <v>1878.0795962729508</v>
      </c>
      <c r="J1553" s="11">
        <v>0</v>
      </c>
      <c r="K1553" s="11">
        <v>1878.0795962729508</v>
      </c>
      <c r="L1553" s="12">
        <v>0</v>
      </c>
      <c r="M1553" s="12">
        <v>0</v>
      </c>
      <c r="N1553" s="12">
        <v>1878.0795962729508</v>
      </c>
      <c r="O1553" s="70">
        <f>IF(Table1[[#This Row],[Overall amount]]=0,0,1)</f>
        <v>1</v>
      </c>
      <c r="P1553" s="70">
        <f>Table1[[#This Row],[Overall amount]]*Exchange_Rate</f>
        <v>1878.0795962729508</v>
      </c>
      <c r="Q1553" s="70">
        <f>Table1[[#This Row],[Overall (destination currency)]]*(1+Claims_Inflation)^((Revalue_at_date-Table1[[#This Row],[Loss date]])/365.25)</f>
        <v>2160.0000000000005</v>
      </c>
      <c r="R1553" s="70">
        <f>INT(Table1[[#This Row],[Reporting date]])-INT(Table1[[#This Row],[Loss date]])</f>
        <v>132</v>
      </c>
      <c r="S1553" s="69" t="s">
        <v>16</v>
      </c>
      <c r="T1553" s="70">
        <f>VLOOKUP(Table1[[#This Row],[Policy Year]],exposure_table,3,FALSE)</f>
        <v>1057.54</v>
      </c>
      <c r="U1553" s="17">
        <f>IF(MONTH(Table1[[#This Row],[Reporting date]])&lt;Policy_Inception_Month,YEAR(Table1[[#This Row],[Reporting date]])-1,YEAR(Table1[[#This Row],[Reporting date]]))</f>
        <v>2012</v>
      </c>
      <c r="V1553" s="17">
        <f>Table1[[#This Row],[Reporting year]]-Table1[[#This Row],[Policy Year]]</f>
        <v>0</v>
      </c>
      <c r="W1553" s="17">
        <f>INT(Table1[[#This Row],[Reporting date]])-INT(Table1[[#This Row],[Loss date]])</f>
        <v>132</v>
      </c>
      <c r="X1553" s="17">
        <f>INT((YEAR(Table1[[#This Row],[Loss date]])*12+MONTH(Table1[[#This Row],[Loss date]])-Earliest_Month)/4)</f>
        <v>22</v>
      </c>
      <c r="Y1553" s="17">
        <f>INT((YEAR(Table1[[#This Row],[Reporting date]])*12+MONTH(Table1[[#This Row],[Reporting date]])-Earliest_Month)/4)</f>
        <v>23</v>
      </c>
      <c r="Z1553" s="17">
        <f>Table1[[#This Row],[Reporting third]]-Table1[[#This Row],[Policy third]]</f>
        <v>1</v>
      </c>
      <c r="AA1553" s="71">
        <f>IF(Table1[[#This Row],[Overall amount]]=0,"N/A",Table1[[#This Row],[Outstanding]]/Table1[[#This Row],[Overall amount]])</f>
        <v>0</v>
      </c>
      <c r="AB1553" s="17">
        <f>IF(MONTH(Table1[[#This Row],[Loss date]])&lt;Pol_Inc_Month_Shifted,YEAR(Table1[[#This Row],[Loss date]])-1,YEAR(Table1[[#This Row],[Loss date]]))</f>
        <v>2011</v>
      </c>
      <c r="AC1553" s="17">
        <f>IF(MONTH(Table1[[#This Row],[Reporting date]])&lt;Pol_Inc_Month_Shifted,YEAR(Table1[[#This Row],[Reporting date]])-1,YEAR(Table1[[#This Row],[Reporting date]]))</f>
        <v>2012</v>
      </c>
      <c r="AD1553" s="17">
        <f>Table1[[#This Row],[Reporting year (shifted)]]-Table1[[#This Row],[Policy Year (shifted)]]</f>
        <v>1</v>
      </c>
    </row>
    <row r="1554" spans="1:30" ht="13.9">
      <c r="A1554" s="8" t="s">
        <v>3324</v>
      </c>
      <c r="B1554" s="8" t="s">
        <v>1606</v>
      </c>
      <c r="C1554" s="8" t="s">
        <v>123</v>
      </c>
      <c r="D1554" s="9">
        <v>41279</v>
      </c>
      <c r="E1554" s="9">
        <v>41376</v>
      </c>
      <c r="F1554" s="17">
        <f>IF(MONTH(Table1[[#This Row],[Loss date]])&lt;Policy_Inception_Month,YEAR(Table1[[#This Row],[Loss date]])-1,YEAR(Table1[[#This Row],[Loss date]]))</f>
        <v>2012</v>
      </c>
      <c r="G1554" s="10" t="s">
        <v>125</v>
      </c>
      <c r="H1554" s="10" t="s">
        <v>2</v>
      </c>
      <c r="I1554" s="11">
        <v>11799.850389478785</v>
      </c>
      <c r="J1554" s="11">
        <v>0</v>
      </c>
      <c r="K1554" s="11">
        <v>11799.850389478785</v>
      </c>
      <c r="L1554" s="12">
        <v>0</v>
      </c>
      <c r="M1554" s="12">
        <v>0</v>
      </c>
      <c r="N1554" s="12">
        <v>11799.850389478785</v>
      </c>
      <c r="O1554" s="70">
        <f>IF(Table1[[#This Row],[Overall amount]]=0,0,1)</f>
        <v>1</v>
      </c>
      <c r="P1554" s="70">
        <f>Table1[[#This Row],[Overall amount]]*Exchange_Rate</f>
        <v>11799.850389478785</v>
      </c>
      <c r="Q1554" s="70">
        <f>Table1[[#This Row],[Overall (destination currency)]]*(1+Claims_Inflation)^((Revalue_at_date-Table1[[#This Row],[Loss date]])/365.25)</f>
        <v>13484.400000000001</v>
      </c>
      <c r="R1554" s="70">
        <f>INT(Table1[[#This Row],[Reporting date]])-INT(Table1[[#This Row],[Loss date]])</f>
        <v>97</v>
      </c>
      <c r="S1554" s="69" t="s">
        <v>9</v>
      </c>
      <c r="T1554" s="70">
        <f>VLOOKUP(Table1[[#This Row],[Policy Year]],exposure_table,3,FALSE)</f>
        <v>1057.54</v>
      </c>
      <c r="U1554" s="17">
        <f>IF(MONTH(Table1[[#This Row],[Reporting date]])&lt;Policy_Inception_Month,YEAR(Table1[[#This Row],[Reporting date]])-1,YEAR(Table1[[#This Row],[Reporting date]]))</f>
        <v>2013</v>
      </c>
      <c r="V1554" s="17">
        <f>Table1[[#This Row],[Reporting year]]-Table1[[#This Row],[Policy Year]]</f>
        <v>1</v>
      </c>
      <c r="W1554" s="17">
        <f>INT(Table1[[#This Row],[Reporting date]])-INT(Table1[[#This Row],[Loss date]])</f>
        <v>97</v>
      </c>
      <c r="X1554" s="17">
        <f>INT((YEAR(Table1[[#This Row],[Loss date]])*12+MONTH(Table1[[#This Row],[Loss date]])-Earliest_Month)/4)</f>
        <v>23</v>
      </c>
      <c r="Y1554" s="17">
        <f>INT((YEAR(Table1[[#This Row],[Reporting date]])*12+MONTH(Table1[[#This Row],[Reporting date]])-Earliest_Month)/4)</f>
        <v>24</v>
      </c>
      <c r="Z1554" s="17">
        <f>Table1[[#This Row],[Reporting third]]-Table1[[#This Row],[Policy third]]</f>
        <v>1</v>
      </c>
      <c r="AA1554" s="71">
        <f>IF(Table1[[#This Row],[Overall amount]]=0,"N/A",Table1[[#This Row],[Outstanding]]/Table1[[#This Row],[Overall amount]])</f>
        <v>0</v>
      </c>
      <c r="AB1554" s="17">
        <f>IF(MONTH(Table1[[#This Row],[Loss date]])&lt;Pol_Inc_Month_Shifted,YEAR(Table1[[#This Row],[Loss date]])-1,YEAR(Table1[[#This Row],[Loss date]]))</f>
        <v>2012</v>
      </c>
      <c r="AC1554" s="17">
        <f>IF(MONTH(Table1[[#This Row],[Reporting date]])&lt;Pol_Inc_Month_Shifted,YEAR(Table1[[#This Row],[Reporting date]])-1,YEAR(Table1[[#This Row],[Reporting date]]))</f>
        <v>2012</v>
      </c>
      <c r="AD1554" s="17">
        <f>Table1[[#This Row],[Reporting year (shifted)]]-Table1[[#This Row],[Policy Year (shifted)]]</f>
        <v>0</v>
      </c>
    </row>
    <row r="1555" spans="1:30" ht="13.9">
      <c r="A1555" s="8" t="s">
        <v>3325</v>
      </c>
      <c r="B1555" s="8" t="s">
        <v>1607</v>
      </c>
      <c r="C1555" s="8" t="s">
        <v>123</v>
      </c>
      <c r="D1555" s="9">
        <v>40937</v>
      </c>
      <c r="E1555" s="9">
        <v>41377</v>
      </c>
      <c r="F1555" s="17">
        <f>IF(MONTH(Table1[[#This Row],[Loss date]])&lt;Policy_Inception_Month,YEAR(Table1[[#This Row],[Loss date]])-1,YEAR(Table1[[#This Row],[Loss date]]))</f>
        <v>2011</v>
      </c>
      <c r="G1555" s="10" t="s">
        <v>125</v>
      </c>
      <c r="H1555" s="10" t="s">
        <v>2</v>
      </c>
      <c r="I1555" s="11">
        <v>0</v>
      </c>
      <c r="J1555" s="11">
        <v>9931.6366179680535</v>
      </c>
      <c r="K1555" s="11">
        <v>9931.6366179680535</v>
      </c>
      <c r="L1555" s="12">
        <v>0</v>
      </c>
      <c r="M1555" s="12">
        <v>0</v>
      </c>
      <c r="N1555" s="12">
        <v>9931.6366179680535</v>
      </c>
      <c r="O1555" s="70">
        <f>IF(Table1[[#This Row],[Overall amount]]=0,0,1)</f>
        <v>1</v>
      </c>
      <c r="P1555" s="70">
        <f>Table1[[#This Row],[Overall amount]]*Exchange_Rate</f>
        <v>9931.6366179680535</v>
      </c>
      <c r="Q1555" s="70">
        <f>Table1[[#This Row],[Overall (destination currency)]]*(1+Claims_Inflation)^((Revalue_at_date-Table1[[#This Row],[Loss date]])/365.25)</f>
        <v>11879.999999999998</v>
      </c>
      <c r="R1555" s="70">
        <f>INT(Table1[[#This Row],[Reporting date]])-INT(Table1[[#This Row],[Loss date]])</f>
        <v>440</v>
      </c>
      <c r="S1555" s="69" t="s">
        <v>16</v>
      </c>
      <c r="T1555" s="70">
        <f>VLOOKUP(Table1[[#This Row],[Policy Year]],exposure_table,3,FALSE)</f>
        <v>870.52680000000009</v>
      </c>
      <c r="U1555" s="17">
        <f>IF(MONTH(Table1[[#This Row],[Reporting date]])&lt;Policy_Inception_Month,YEAR(Table1[[#This Row],[Reporting date]])-1,YEAR(Table1[[#This Row],[Reporting date]]))</f>
        <v>2013</v>
      </c>
      <c r="V1555" s="17">
        <f>Table1[[#This Row],[Reporting year]]-Table1[[#This Row],[Policy Year]]</f>
        <v>2</v>
      </c>
      <c r="W1555" s="17">
        <f>INT(Table1[[#This Row],[Reporting date]])-INT(Table1[[#This Row],[Loss date]])</f>
        <v>440</v>
      </c>
      <c r="X1555" s="17">
        <f>INT((YEAR(Table1[[#This Row],[Loss date]])*12+MONTH(Table1[[#This Row],[Loss date]])-Earliest_Month)/4)</f>
        <v>20</v>
      </c>
      <c r="Y1555" s="17">
        <f>INT((YEAR(Table1[[#This Row],[Reporting date]])*12+MONTH(Table1[[#This Row],[Reporting date]])-Earliest_Month)/4)</f>
        <v>24</v>
      </c>
      <c r="Z1555" s="17">
        <f>Table1[[#This Row],[Reporting third]]-Table1[[#This Row],[Policy third]]</f>
        <v>4</v>
      </c>
      <c r="AA1555" s="71">
        <f>IF(Table1[[#This Row],[Overall amount]]=0,"N/A",Table1[[#This Row],[Outstanding]]/Table1[[#This Row],[Overall amount]])</f>
        <v>1</v>
      </c>
      <c r="AB1555" s="17">
        <f>IF(MONTH(Table1[[#This Row],[Loss date]])&lt;Pol_Inc_Month_Shifted,YEAR(Table1[[#This Row],[Loss date]])-1,YEAR(Table1[[#This Row],[Loss date]]))</f>
        <v>2011</v>
      </c>
      <c r="AC1555" s="17">
        <f>IF(MONTH(Table1[[#This Row],[Reporting date]])&lt;Pol_Inc_Month_Shifted,YEAR(Table1[[#This Row],[Reporting date]])-1,YEAR(Table1[[#This Row],[Reporting date]]))</f>
        <v>2012</v>
      </c>
      <c r="AD1555" s="17">
        <f>Table1[[#This Row],[Reporting year (shifted)]]-Table1[[#This Row],[Policy Year (shifted)]]</f>
        <v>1</v>
      </c>
    </row>
    <row r="1556" spans="1:30" ht="13.9">
      <c r="A1556" s="8" t="s">
        <v>3326</v>
      </c>
      <c r="B1556" s="8" t="s">
        <v>1608</v>
      </c>
      <c r="C1556" s="8" t="s">
        <v>123</v>
      </c>
      <c r="D1556" s="9">
        <v>40942</v>
      </c>
      <c r="E1556" s="9">
        <v>41377</v>
      </c>
      <c r="F1556" s="17">
        <f>IF(MONTH(Table1[[#This Row],[Loss date]])&lt;Policy_Inception_Month,YEAR(Table1[[#This Row],[Loss date]])-1,YEAR(Table1[[#This Row],[Loss date]]))</f>
        <v>2011</v>
      </c>
      <c r="G1556" s="10" t="s">
        <v>125</v>
      </c>
      <c r="H1556" s="10" t="s">
        <v>2</v>
      </c>
      <c r="I1556" s="11">
        <v>0</v>
      </c>
      <c r="J1556" s="11">
        <v>11004.377744640329</v>
      </c>
      <c r="K1556" s="11">
        <v>11004.377744640329</v>
      </c>
      <c r="L1556" s="12">
        <v>0</v>
      </c>
      <c r="M1556" s="12">
        <v>0</v>
      </c>
      <c r="N1556" s="12">
        <v>11004.377744640329</v>
      </c>
      <c r="O1556" s="70">
        <f>IF(Table1[[#This Row],[Overall amount]]=0,0,1)</f>
        <v>1</v>
      </c>
      <c r="P1556" s="70">
        <f>Table1[[#This Row],[Overall amount]]*Exchange_Rate</f>
        <v>11004.377744640329</v>
      </c>
      <c r="Q1556" s="70">
        <f>Table1[[#This Row],[Overall (destination currency)]]*(1+Claims_Inflation)^((Revalue_at_date-Table1[[#This Row],[Loss date]])/365.25)</f>
        <v>13154.400000000001</v>
      </c>
      <c r="R1556" s="70">
        <f>INT(Table1[[#This Row],[Reporting date]])-INT(Table1[[#This Row],[Loss date]])</f>
        <v>435</v>
      </c>
      <c r="S1556" s="69" t="s">
        <v>16</v>
      </c>
      <c r="T1556" s="70">
        <f>VLOOKUP(Table1[[#This Row],[Policy Year]],exposure_table,3,FALSE)</f>
        <v>870.52680000000009</v>
      </c>
      <c r="U1556" s="17">
        <f>IF(MONTH(Table1[[#This Row],[Reporting date]])&lt;Policy_Inception_Month,YEAR(Table1[[#This Row],[Reporting date]])-1,YEAR(Table1[[#This Row],[Reporting date]]))</f>
        <v>2013</v>
      </c>
      <c r="V1556" s="17">
        <f>Table1[[#This Row],[Reporting year]]-Table1[[#This Row],[Policy Year]]</f>
        <v>2</v>
      </c>
      <c r="W1556" s="17">
        <f>INT(Table1[[#This Row],[Reporting date]])-INT(Table1[[#This Row],[Loss date]])</f>
        <v>435</v>
      </c>
      <c r="X1556" s="17">
        <f>INT((YEAR(Table1[[#This Row],[Loss date]])*12+MONTH(Table1[[#This Row],[Loss date]])-Earliest_Month)/4)</f>
        <v>20</v>
      </c>
      <c r="Y1556" s="17">
        <f>INT((YEAR(Table1[[#This Row],[Reporting date]])*12+MONTH(Table1[[#This Row],[Reporting date]])-Earliest_Month)/4)</f>
        <v>24</v>
      </c>
      <c r="Z1556" s="17">
        <f>Table1[[#This Row],[Reporting third]]-Table1[[#This Row],[Policy third]]</f>
        <v>4</v>
      </c>
      <c r="AA1556" s="71">
        <f>IF(Table1[[#This Row],[Overall amount]]=0,"N/A",Table1[[#This Row],[Outstanding]]/Table1[[#This Row],[Overall amount]])</f>
        <v>1</v>
      </c>
      <c r="AB1556" s="17">
        <f>IF(MONTH(Table1[[#This Row],[Loss date]])&lt;Pol_Inc_Month_Shifted,YEAR(Table1[[#This Row],[Loss date]])-1,YEAR(Table1[[#This Row],[Loss date]]))</f>
        <v>2011</v>
      </c>
      <c r="AC1556" s="17">
        <f>IF(MONTH(Table1[[#This Row],[Reporting date]])&lt;Pol_Inc_Month_Shifted,YEAR(Table1[[#This Row],[Reporting date]])-1,YEAR(Table1[[#This Row],[Reporting date]]))</f>
        <v>2012</v>
      </c>
      <c r="AD1556" s="17">
        <f>Table1[[#This Row],[Reporting year (shifted)]]-Table1[[#This Row],[Policy Year (shifted)]]</f>
        <v>1</v>
      </c>
    </row>
    <row r="1557" spans="1:30" ht="13.9">
      <c r="A1557" s="8" t="s">
        <v>3327</v>
      </c>
      <c r="B1557" s="8" t="s">
        <v>1609</v>
      </c>
      <c r="C1557" s="8" t="s">
        <v>123</v>
      </c>
      <c r="D1557" s="9">
        <v>41281</v>
      </c>
      <c r="E1557" s="9">
        <v>41387</v>
      </c>
      <c r="F1557" s="17">
        <f>IF(MONTH(Table1[[#This Row],[Loss date]])&lt;Policy_Inception_Month,YEAR(Table1[[#This Row],[Loss date]])-1,YEAR(Table1[[#This Row],[Loss date]]))</f>
        <v>2012</v>
      </c>
      <c r="G1557" s="10" t="s">
        <v>125</v>
      </c>
      <c r="H1557" s="10" t="s">
        <v>2</v>
      </c>
      <c r="I1557" s="11">
        <v>0</v>
      </c>
      <c r="J1557" s="11">
        <v>18713.384901286758</v>
      </c>
      <c r="K1557" s="11">
        <v>18713.384901286758</v>
      </c>
      <c r="L1557" s="12">
        <v>0</v>
      </c>
      <c r="M1557" s="12">
        <v>342.51292409580128</v>
      </c>
      <c r="N1557" s="12">
        <v>18370.871977190956</v>
      </c>
      <c r="O1557" s="70">
        <f>IF(Table1[[#This Row],[Overall amount]]=0,0,1)</f>
        <v>1</v>
      </c>
      <c r="P1557" s="70">
        <f>Table1[[#This Row],[Overall amount]]*Exchange_Rate</f>
        <v>18370.871977190956</v>
      </c>
      <c r="Q1557" s="70">
        <f>Table1[[#This Row],[Overall (destination currency)]]*(1+Claims_Inflation)^((Revalue_at_date-Table1[[#This Row],[Loss date]])/365.25)</f>
        <v>20987.894400000001</v>
      </c>
      <c r="R1557" s="70">
        <f>INT(Table1[[#This Row],[Reporting date]])-INT(Table1[[#This Row],[Loss date]])</f>
        <v>106</v>
      </c>
      <c r="S1557" s="69" t="s">
        <v>16</v>
      </c>
      <c r="T1557" s="70">
        <f>VLOOKUP(Table1[[#This Row],[Policy Year]],exposure_table,3,FALSE)</f>
        <v>1057.54</v>
      </c>
      <c r="U1557" s="17">
        <f>IF(MONTH(Table1[[#This Row],[Reporting date]])&lt;Policy_Inception_Month,YEAR(Table1[[#This Row],[Reporting date]])-1,YEAR(Table1[[#This Row],[Reporting date]]))</f>
        <v>2013</v>
      </c>
      <c r="V1557" s="17">
        <f>Table1[[#This Row],[Reporting year]]-Table1[[#This Row],[Policy Year]]</f>
        <v>1</v>
      </c>
      <c r="W1557" s="17">
        <f>INT(Table1[[#This Row],[Reporting date]])-INT(Table1[[#This Row],[Loss date]])</f>
        <v>106</v>
      </c>
      <c r="X1557" s="17">
        <f>INT((YEAR(Table1[[#This Row],[Loss date]])*12+MONTH(Table1[[#This Row],[Loss date]])-Earliest_Month)/4)</f>
        <v>23</v>
      </c>
      <c r="Y1557" s="17">
        <f>INT((YEAR(Table1[[#This Row],[Reporting date]])*12+MONTH(Table1[[#This Row],[Reporting date]])-Earliest_Month)/4)</f>
        <v>24</v>
      </c>
      <c r="Z1557" s="17">
        <f>Table1[[#This Row],[Reporting third]]-Table1[[#This Row],[Policy third]]</f>
        <v>1</v>
      </c>
      <c r="AA1557" s="71">
        <f>IF(Table1[[#This Row],[Overall amount]]=0,"N/A",Table1[[#This Row],[Outstanding]]/Table1[[#This Row],[Overall amount]])</f>
        <v>1.0186443476673868</v>
      </c>
      <c r="AB1557" s="17">
        <f>IF(MONTH(Table1[[#This Row],[Loss date]])&lt;Pol_Inc_Month_Shifted,YEAR(Table1[[#This Row],[Loss date]])-1,YEAR(Table1[[#This Row],[Loss date]]))</f>
        <v>2012</v>
      </c>
      <c r="AC1557" s="17">
        <f>IF(MONTH(Table1[[#This Row],[Reporting date]])&lt;Pol_Inc_Month_Shifted,YEAR(Table1[[#This Row],[Reporting date]])-1,YEAR(Table1[[#This Row],[Reporting date]]))</f>
        <v>2012</v>
      </c>
      <c r="AD1557" s="17">
        <f>Table1[[#This Row],[Reporting year (shifted)]]-Table1[[#This Row],[Policy Year (shifted)]]</f>
        <v>0</v>
      </c>
    </row>
    <row r="1558" spans="1:30" ht="13.9">
      <c r="A1558" s="8" t="s">
        <v>3328</v>
      </c>
      <c r="B1558" s="8" t="s">
        <v>1610</v>
      </c>
      <c r="C1558" s="8" t="s">
        <v>123</v>
      </c>
      <c r="D1558" s="9">
        <v>40561</v>
      </c>
      <c r="E1558" s="9">
        <v>41405</v>
      </c>
      <c r="F1558" s="17">
        <f>IF(MONTH(Table1[[#This Row],[Loss date]])&lt;Policy_Inception_Month,YEAR(Table1[[#This Row],[Loss date]])-1,YEAR(Table1[[#This Row],[Loss date]]))</f>
        <v>2010</v>
      </c>
      <c r="G1558" s="10" t="s">
        <v>125</v>
      </c>
      <c r="H1558" s="10" t="s">
        <v>2</v>
      </c>
      <c r="I1558" s="11">
        <v>7441.6165638586053</v>
      </c>
      <c r="J1558" s="11">
        <v>0</v>
      </c>
      <c r="K1558" s="11">
        <v>7441.6165638586053</v>
      </c>
      <c r="L1558" s="12">
        <v>0</v>
      </c>
      <c r="M1558" s="12">
        <v>0</v>
      </c>
      <c r="N1558" s="12">
        <v>7441.6165638586053</v>
      </c>
      <c r="O1558" s="70">
        <f>IF(Table1[[#This Row],[Overall amount]]=0,0,1)</f>
        <v>1</v>
      </c>
      <c r="P1558" s="70">
        <f>Table1[[#This Row],[Overall amount]]*Exchange_Rate</f>
        <v>7441.6165638586053</v>
      </c>
      <c r="Q1558" s="70">
        <f>Table1[[#This Row],[Overall (destination currency)]]*(1+Claims_Inflation)^((Revalue_at_date-Table1[[#This Row],[Loss date]])/365.25)</f>
        <v>9360</v>
      </c>
      <c r="R1558" s="70">
        <f>INT(Table1[[#This Row],[Reporting date]])-INT(Table1[[#This Row],[Loss date]])</f>
        <v>844</v>
      </c>
      <c r="S1558" s="69" t="s">
        <v>9</v>
      </c>
      <c r="T1558" s="70">
        <f>VLOOKUP(Table1[[#This Row],[Policy Year]],exposure_table,3,FALSE)</f>
        <v>837.11513600000012</v>
      </c>
      <c r="U1558" s="17">
        <f>IF(MONTH(Table1[[#This Row],[Reporting date]])&lt;Policy_Inception_Month,YEAR(Table1[[#This Row],[Reporting date]])-1,YEAR(Table1[[#This Row],[Reporting date]]))</f>
        <v>2013</v>
      </c>
      <c r="V1558" s="17">
        <f>Table1[[#This Row],[Reporting year]]-Table1[[#This Row],[Policy Year]]</f>
        <v>3</v>
      </c>
      <c r="W1558" s="17">
        <f>INT(Table1[[#This Row],[Reporting date]])-INT(Table1[[#This Row],[Loss date]])</f>
        <v>844</v>
      </c>
      <c r="X1558" s="17">
        <f>INT((YEAR(Table1[[#This Row],[Loss date]])*12+MONTH(Table1[[#This Row],[Loss date]])-Earliest_Month)/4)</f>
        <v>17</v>
      </c>
      <c r="Y1558" s="17">
        <f>INT((YEAR(Table1[[#This Row],[Reporting date]])*12+MONTH(Table1[[#This Row],[Reporting date]])-Earliest_Month)/4)</f>
        <v>24</v>
      </c>
      <c r="Z1558" s="17">
        <f>Table1[[#This Row],[Reporting third]]-Table1[[#This Row],[Policy third]]</f>
        <v>7</v>
      </c>
      <c r="AA1558" s="71">
        <f>IF(Table1[[#This Row],[Overall amount]]=0,"N/A",Table1[[#This Row],[Outstanding]]/Table1[[#This Row],[Overall amount]])</f>
        <v>0</v>
      </c>
      <c r="AB1558" s="17">
        <f>IF(MONTH(Table1[[#This Row],[Loss date]])&lt;Pol_Inc_Month_Shifted,YEAR(Table1[[#This Row],[Loss date]])-1,YEAR(Table1[[#This Row],[Loss date]]))</f>
        <v>2010</v>
      </c>
      <c r="AC1558" s="17">
        <f>IF(MONTH(Table1[[#This Row],[Reporting date]])&lt;Pol_Inc_Month_Shifted,YEAR(Table1[[#This Row],[Reporting date]])-1,YEAR(Table1[[#This Row],[Reporting date]]))</f>
        <v>2012</v>
      </c>
      <c r="AD1558" s="17">
        <f>Table1[[#This Row],[Reporting year (shifted)]]-Table1[[#This Row],[Policy Year (shifted)]]</f>
        <v>2</v>
      </c>
    </row>
    <row r="1559" spans="1:30" ht="13.9">
      <c r="A1559" s="8" t="s">
        <v>3329</v>
      </c>
      <c r="B1559" s="8" t="s">
        <v>1611</v>
      </c>
      <c r="C1559" s="8" t="s">
        <v>123</v>
      </c>
      <c r="D1559" s="9">
        <v>40922</v>
      </c>
      <c r="E1559" s="9">
        <v>41414</v>
      </c>
      <c r="F1559" s="17">
        <f>IF(MONTH(Table1[[#This Row],[Loss date]])&lt;Policy_Inception_Month,YEAR(Table1[[#This Row],[Loss date]])-1,YEAR(Table1[[#This Row],[Loss date]]))</f>
        <v>2011</v>
      </c>
      <c r="G1559" s="10" t="s">
        <v>126</v>
      </c>
      <c r="H1559" s="10" t="s">
        <v>2</v>
      </c>
      <c r="I1559" s="11">
        <v>0</v>
      </c>
      <c r="J1559" s="11">
        <v>24529.094351480308</v>
      </c>
      <c r="K1559" s="11">
        <v>24529.094351480308</v>
      </c>
      <c r="L1559" s="12">
        <v>0</v>
      </c>
      <c r="M1559" s="12">
        <v>0</v>
      </c>
      <c r="N1559" s="12">
        <v>24529.094351480308</v>
      </c>
      <c r="O1559" s="70">
        <f>IF(Table1[[#This Row],[Overall amount]]=0,0,1)</f>
        <v>1</v>
      </c>
      <c r="P1559" s="70">
        <f>Table1[[#This Row],[Overall amount]]*Exchange_Rate</f>
        <v>24529.094351480308</v>
      </c>
      <c r="Q1559" s="70">
        <f>Table1[[#This Row],[Overall (destination currency)]]*(1+Claims_Inflation)^((Revalue_at_date-Table1[[#This Row],[Loss date]])/365.25)</f>
        <v>29400</v>
      </c>
      <c r="R1559" s="70">
        <f>INT(Table1[[#This Row],[Reporting date]])-INT(Table1[[#This Row],[Loss date]])</f>
        <v>492</v>
      </c>
      <c r="S1559" s="69" t="s">
        <v>16</v>
      </c>
      <c r="T1559" s="70">
        <f>VLOOKUP(Table1[[#This Row],[Policy Year]],exposure_table,3,FALSE)</f>
        <v>870.52680000000009</v>
      </c>
      <c r="U1559" s="17">
        <f>IF(MONTH(Table1[[#This Row],[Reporting date]])&lt;Policy_Inception_Month,YEAR(Table1[[#This Row],[Reporting date]])-1,YEAR(Table1[[#This Row],[Reporting date]]))</f>
        <v>2013</v>
      </c>
      <c r="V1559" s="17">
        <f>Table1[[#This Row],[Reporting year]]-Table1[[#This Row],[Policy Year]]</f>
        <v>2</v>
      </c>
      <c r="W1559" s="17">
        <f>INT(Table1[[#This Row],[Reporting date]])-INT(Table1[[#This Row],[Loss date]])</f>
        <v>492</v>
      </c>
      <c r="X1559" s="17">
        <f>INT((YEAR(Table1[[#This Row],[Loss date]])*12+MONTH(Table1[[#This Row],[Loss date]])-Earliest_Month)/4)</f>
        <v>20</v>
      </c>
      <c r="Y1559" s="17">
        <f>INT((YEAR(Table1[[#This Row],[Reporting date]])*12+MONTH(Table1[[#This Row],[Reporting date]])-Earliest_Month)/4)</f>
        <v>24</v>
      </c>
      <c r="Z1559" s="17">
        <f>Table1[[#This Row],[Reporting third]]-Table1[[#This Row],[Policy third]]</f>
        <v>4</v>
      </c>
      <c r="AA1559" s="71">
        <f>IF(Table1[[#This Row],[Overall amount]]=0,"N/A",Table1[[#This Row],[Outstanding]]/Table1[[#This Row],[Overall amount]])</f>
        <v>1</v>
      </c>
      <c r="AB1559" s="17">
        <f>IF(MONTH(Table1[[#This Row],[Loss date]])&lt;Pol_Inc_Month_Shifted,YEAR(Table1[[#This Row],[Loss date]])-1,YEAR(Table1[[#This Row],[Loss date]]))</f>
        <v>2011</v>
      </c>
      <c r="AC1559" s="17">
        <f>IF(MONTH(Table1[[#This Row],[Reporting date]])&lt;Pol_Inc_Month_Shifted,YEAR(Table1[[#This Row],[Reporting date]])-1,YEAR(Table1[[#This Row],[Reporting date]]))</f>
        <v>2012</v>
      </c>
      <c r="AD1559" s="17">
        <f>Table1[[#This Row],[Reporting year (shifted)]]-Table1[[#This Row],[Policy Year (shifted)]]</f>
        <v>1</v>
      </c>
    </row>
    <row r="1560" spans="1:30" ht="13.9">
      <c r="A1560" s="8" t="s">
        <v>3330</v>
      </c>
      <c r="B1560" s="8" t="s">
        <v>1612</v>
      </c>
      <c r="C1560" s="8" t="s">
        <v>123</v>
      </c>
      <c r="D1560" s="9">
        <v>41236</v>
      </c>
      <c r="E1560" s="9">
        <v>41414</v>
      </c>
      <c r="F1560" s="17">
        <f>IF(MONTH(Table1[[#This Row],[Loss date]])&lt;Policy_Inception_Month,YEAR(Table1[[#This Row],[Loss date]])-1,YEAR(Table1[[#This Row],[Loss date]]))</f>
        <v>2012</v>
      </c>
      <c r="G1560" s="10" t="s">
        <v>125</v>
      </c>
      <c r="H1560" s="10" t="s">
        <v>2</v>
      </c>
      <c r="I1560" s="11">
        <v>0</v>
      </c>
      <c r="J1560" s="11">
        <v>0</v>
      </c>
      <c r="K1560" s="11">
        <v>0</v>
      </c>
      <c r="L1560" s="12">
        <v>0</v>
      </c>
      <c r="M1560" s="12">
        <v>0</v>
      </c>
      <c r="N1560" s="12">
        <v>0</v>
      </c>
      <c r="O1560" s="70">
        <f>IF(Table1[[#This Row],[Overall amount]]=0,0,1)</f>
        <v>0</v>
      </c>
      <c r="P1560" s="70">
        <f>Table1[[#This Row],[Overall amount]]*Exchange_Rate</f>
        <v>0</v>
      </c>
      <c r="Q1560" s="70">
        <f>Table1[[#This Row],[Overall (destination currency)]]*(1+Claims_Inflation)^((Revalue_at_date-Table1[[#This Row],[Loss date]])/365.25)</f>
        <v>0</v>
      </c>
      <c r="R1560" s="70">
        <f>INT(Table1[[#This Row],[Reporting date]])-INT(Table1[[#This Row],[Loss date]])</f>
        <v>178</v>
      </c>
      <c r="S1560" s="69" t="s">
        <v>9</v>
      </c>
      <c r="T1560" s="70">
        <f>VLOOKUP(Table1[[#This Row],[Policy Year]],exposure_table,3,FALSE)</f>
        <v>1057.54</v>
      </c>
      <c r="U1560" s="17">
        <f>IF(MONTH(Table1[[#This Row],[Reporting date]])&lt;Policy_Inception_Month,YEAR(Table1[[#This Row],[Reporting date]])-1,YEAR(Table1[[#This Row],[Reporting date]]))</f>
        <v>2013</v>
      </c>
      <c r="V1560" s="17">
        <f>Table1[[#This Row],[Reporting year]]-Table1[[#This Row],[Policy Year]]</f>
        <v>1</v>
      </c>
      <c r="W1560" s="17">
        <f>INT(Table1[[#This Row],[Reporting date]])-INT(Table1[[#This Row],[Loss date]])</f>
        <v>178</v>
      </c>
      <c r="X1560" s="17">
        <f>INT((YEAR(Table1[[#This Row],[Loss date]])*12+MONTH(Table1[[#This Row],[Loss date]])-Earliest_Month)/4)</f>
        <v>22</v>
      </c>
      <c r="Y1560" s="17">
        <f>INT((YEAR(Table1[[#This Row],[Reporting date]])*12+MONTH(Table1[[#This Row],[Reporting date]])-Earliest_Month)/4)</f>
        <v>24</v>
      </c>
      <c r="Z1560" s="17">
        <f>Table1[[#This Row],[Reporting third]]-Table1[[#This Row],[Policy third]]</f>
        <v>2</v>
      </c>
      <c r="AA1560" s="71" t="str">
        <f>IF(Table1[[#This Row],[Overall amount]]=0,"N/A",Table1[[#This Row],[Outstanding]]/Table1[[#This Row],[Overall amount]])</f>
        <v>N/A</v>
      </c>
      <c r="AB1560" s="17">
        <f>IF(MONTH(Table1[[#This Row],[Loss date]])&lt;Pol_Inc_Month_Shifted,YEAR(Table1[[#This Row],[Loss date]])-1,YEAR(Table1[[#This Row],[Loss date]]))</f>
        <v>2011</v>
      </c>
      <c r="AC1560" s="17">
        <f>IF(MONTH(Table1[[#This Row],[Reporting date]])&lt;Pol_Inc_Month_Shifted,YEAR(Table1[[#This Row],[Reporting date]])-1,YEAR(Table1[[#This Row],[Reporting date]]))</f>
        <v>2012</v>
      </c>
      <c r="AD1560" s="17">
        <f>Table1[[#This Row],[Reporting year (shifted)]]-Table1[[#This Row],[Policy Year (shifted)]]</f>
        <v>1</v>
      </c>
    </row>
    <row r="1561" spans="1:30" ht="13.9">
      <c r="A1561" s="8" t="s">
        <v>3331</v>
      </c>
      <c r="B1561" s="8" t="s">
        <v>1613</v>
      </c>
      <c r="C1561" s="8" t="s">
        <v>123</v>
      </c>
      <c r="D1561" s="9">
        <v>40936</v>
      </c>
      <c r="E1561" s="9">
        <v>41413</v>
      </c>
      <c r="F1561" s="17">
        <f>IF(MONTH(Table1[[#This Row],[Loss date]])&lt;Policy_Inception_Month,YEAR(Table1[[#This Row],[Loss date]])-1,YEAR(Table1[[#This Row],[Loss date]]))</f>
        <v>2011</v>
      </c>
      <c r="G1561" s="10" t="s">
        <v>125</v>
      </c>
      <c r="H1561" s="10" t="s">
        <v>2</v>
      </c>
      <c r="I1561" s="11">
        <v>0</v>
      </c>
      <c r="J1561" s="11">
        <v>0</v>
      </c>
      <c r="K1561" s="11">
        <v>0</v>
      </c>
      <c r="L1561" s="12">
        <v>300.91848595976597</v>
      </c>
      <c r="M1561" s="12">
        <v>0</v>
      </c>
      <c r="N1561" s="12">
        <v>300.91848595976597</v>
      </c>
      <c r="O1561" s="70">
        <f>IF(Table1[[#This Row],[Overall amount]]=0,0,1)</f>
        <v>1</v>
      </c>
      <c r="P1561" s="70">
        <f>Table1[[#This Row],[Overall amount]]*Exchange_Rate</f>
        <v>300.91848595976597</v>
      </c>
      <c r="Q1561" s="70">
        <f>Table1[[#This Row],[Overall (destination currency)]]*(1+Claims_Inflation)^((Revalue_at_date-Table1[[#This Row],[Loss date]])/365.25)</f>
        <v>359.99999999999994</v>
      </c>
      <c r="R1561" s="70">
        <f>INT(Table1[[#This Row],[Reporting date]])-INT(Table1[[#This Row],[Loss date]])</f>
        <v>477</v>
      </c>
      <c r="S1561" s="69" t="s">
        <v>9</v>
      </c>
      <c r="T1561" s="70">
        <f>VLOOKUP(Table1[[#This Row],[Policy Year]],exposure_table,3,FALSE)</f>
        <v>870.52680000000009</v>
      </c>
      <c r="U1561" s="17">
        <f>IF(MONTH(Table1[[#This Row],[Reporting date]])&lt;Policy_Inception_Month,YEAR(Table1[[#This Row],[Reporting date]])-1,YEAR(Table1[[#This Row],[Reporting date]]))</f>
        <v>2013</v>
      </c>
      <c r="V1561" s="17">
        <f>Table1[[#This Row],[Reporting year]]-Table1[[#This Row],[Policy Year]]</f>
        <v>2</v>
      </c>
      <c r="W1561" s="17">
        <f>INT(Table1[[#This Row],[Reporting date]])-INT(Table1[[#This Row],[Loss date]])</f>
        <v>477</v>
      </c>
      <c r="X1561" s="17">
        <f>INT((YEAR(Table1[[#This Row],[Loss date]])*12+MONTH(Table1[[#This Row],[Loss date]])-Earliest_Month)/4)</f>
        <v>20</v>
      </c>
      <c r="Y1561" s="17">
        <f>INT((YEAR(Table1[[#This Row],[Reporting date]])*12+MONTH(Table1[[#This Row],[Reporting date]])-Earliest_Month)/4)</f>
        <v>24</v>
      </c>
      <c r="Z1561" s="17">
        <f>Table1[[#This Row],[Reporting third]]-Table1[[#This Row],[Policy third]]</f>
        <v>4</v>
      </c>
      <c r="AA1561" s="71">
        <f>IF(Table1[[#This Row],[Overall amount]]=0,"N/A",Table1[[#This Row],[Outstanding]]/Table1[[#This Row],[Overall amount]])</f>
        <v>0</v>
      </c>
      <c r="AB1561" s="17">
        <f>IF(MONTH(Table1[[#This Row],[Loss date]])&lt;Pol_Inc_Month_Shifted,YEAR(Table1[[#This Row],[Loss date]])-1,YEAR(Table1[[#This Row],[Loss date]]))</f>
        <v>2011</v>
      </c>
      <c r="AC1561" s="17">
        <f>IF(MONTH(Table1[[#This Row],[Reporting date]])&lt;Pol_Inc_Month_Shifted,YEAR(Table1[[#This Row],[Reporting date]])-1,YEAR(Table1[[#This Row],[Reporting date]]))</f>
        <v>2012</v>
      </c>
      <c r="AD1561" s="17">
        <f>Table1[[#This Row],[Reporting year (shifted)]]-Table1[[#This Row],[Policy Year (shifted)]]</f>
        <v>1</v>
      </c>
    </row>
    <row r="1562" spans="1:30" ht="13.9">
      <c r="A1562" s="8" t="s">
        <v>3332</v>
      </c>
      <c r="B1562" s="8" t="s">
        <v>1614</v>
      </c>
      <c r="C1562" s="8" t="s">
        <v>123</v>
      </c>
      <c r="D1562" s="9">
        <v>41204</v>
      </c>
      <c r="E1562" s="9">
        <v>41406</v>
      </c>
      <c r="F1562" s="17">
        <f>IF(MONTH(Table1[[#This Row],[Loss date]])&lt;Policy_Inception_Month,YEAR(Table1[[#This Row],[Loss date]])-1,YEAR(Table1[[#This Row],[Loss date]]))</f>
        <v>2012</v>
      </c>
      <c r="G1562" s="10" t="s">
        <v>143</v>
      </c>
      <c r="H1562" s="10" t="s">
        <v>2</v>
      </c>
      <c r="I1562" s="11">
        <v>4485.9655559152297</v>
      </c>
      <c r="J1562" s="11">
        <v>12147.973932994082</v>
      </c>
      <c r="K1562" s="11">
        <v>16633.939488909313</v>
      </c>
      <c r="L1562" s="12">
        <v>0</v>
      </c>
      <c r="M1562" s="12">
        <v>0</v>
      </c>
      <c r="N1562" s="12">
        <v>16633.939488909313</v>
      </c>
      <c r="O1562" s="70">
        <f>IF(Table1[[#This Row],[Overall amount]]=0,0,1)</f>
        <v>1</v>
      </c>
      <c r="P1562" s="70">
        <f>Table1[[#This Row],[Overall amount]]*Exchange_Rate</f>
        <v>16633.939488909313</v>
      </c>
      <c r="Q1562" s="70">
        <f>Table1[[#This Row],[Overall (destination currency)]]*(1+Claims_Inflation)^((Revalue_at_date-Table1[[#This Row],[Loss date]])/365.25)</f>
        <v>19200</v>
      </c>
      <c r="R1562" s="70">
        <f>INT(Table1[[#This Row],[Reporting date]])-INT(Table1[[#This Row],[Loss date]])</f>
        <v>202</v>
      </c>
      <c r="S1562" s="69" t="s">
        <v>16</v>
      </c>
      <c r="T1562" s="70">
        <f>VLOOKUP(Table1[[#This Row],[Policy Year]],exposure_table,3,FALSE)</f>
        <v>1057.54</v>
      </c>
      <c r="U1562" s="17">
        <f>IF(MONTH(Table1[[#This Row],[Reporting date]])&lt;Policy_Inception_Month,YEAR(Table1[[#This Row],[Reporting date]])-1,YEAR(Table1[[#This Row],[Reporting date]]))</f>
        <v>2013</v>
      </c>
      <c r="V1562" s="17">
        <f>Table1[[#This Row],[Reporting year]]-Table1[[#This Row],[Policy Year]]</f>
        <v>1</v>
      </c>
      <c r="W1562" s="17">
        <f>INT(Table1[[#This Row],[Reporting date]])-INT(Table1[[#This Row],[Loss date]])</f>
        <v>202</v>
      </c>
      <c r="X1562" s="17">
        <f>INT((YEAR(Table1[[#This Row],[Loss date]])*12+MONTH(Table1[[#This Row],[Loss date]])-Earliest_Month)/4)</f>
        <v>22</v>
      </c>
      <c r="Y1562" s="17">
        <f>INT((YEAR(Table1[[#This Row],[Reporting date]])*12+MONTH(Table1[[#This Row],[Reporting date]])-Earliest_Month)/4)</f>
        <v>24</v>
      </c>
      <c r="Z1562" s="17">
        <f>Table1[[#This Row],[Reporting third]]-Table1[[#This Row],[Policy third]]</f>
        <v>2</v>
      </c>
      <c r="AA1562" s="71">
        <f>IF(Table1[[#This Row],[Overall amount]]=0,"N/A",Table1[[#This Row],[Outstanding]]/Table1[[#This Row],[Overall amount]])</f>
        <v>0.73031250000000003</v>
      </c>
      <c r="AB1562" s="17">
        <f>IF(MONTH(Table1[[#This Row],[Loss date]])&lt;Pol_Inc_Month_Shifted,YEAR(Table1[[#This Row],[Loss date]])-1,YEAR(Table1[[#This Row],[Loss date]]))</f>
        <v>2011</v>
      </c>
      <c r="AC1562" s="17">
        <f>IF(MONTH(Table1[[#This Row],[Reporting date]])&lt;Pol_Inc_Month_Shifted,YEAR(Table1[[#This Row],[Reporting date]])-1,YEAR(Table1[[#This Row],[Reporting date]]))</f>
        <v>2012</v>
      </c>
      <c r="AD1562" s="17">
        <f>Table1[[#This Row],[Reporting year (shifted)]]-Table1[[#This Row],[Policy Year (shifted)]]</f>
        <v>1</v>
      </c>
    </row>
    <row r="1563" spans="1:30" ht="13.9">
      <c r="A1563" s="8" t="s">
        <v>3333</v>
      </c>
      <c r="B1563" s="8" t="s">
        <v>1615</v>
      </c>
      <c r="C1563" s="8" t="s">
        <v>123</v>
      </c>
      <c r="D1563" s="9">
        <v>41420</v>
      </c>
      <c r="E1563" s="9">
        <v>41420</v>
      </c>
      <c r="F1563" s="17">
        <f>IF(MONTH(Table1[[#This Row],[Loss date]])&lt;Policy_Inception_Month,YEAR(Table1[[#This Row],[Loss date]])-1,YEAR(Table1[[#This Row],[Loss date]]))</f>
        <v>2013</v>
      </c>
      <c r="G1563" s="10" t="s">
        <v>148</v>
      </c>
      <c r="H1563" s="10" t="s">
        <v>2</v>
      </c>
      <c r="I1563" s="11">
        <v>0</v>
      </c>
      <c r="J1563" s="11">
        <v>0</v>
      </c>
      <c r="K1563" s="11">
        <v>0</v>
      </c>
      <c r="L1563" s="12">
        <v>321.01640539252236</v>
      </c>
      <c r="M1563" s="12">
        <v>0</v>
      </c>
      <c r="N1563" s="12">
        <v>321.01640539252236</v>
      </c>
      <c r="O1563" s="70">
        <f>IF(Table1[[#This Row],[Overall amount]]=0,0,1)</f>
        <v>1</v>
      </c>
      <c r="P1563" s="70">
        <f>Table1[[#This Row],[Overall amount]]*Exchange_Rate</f>
        <v>321.01640539252236</v>
      </c>
      <c r="Q1563" s="70">
        <f>Table1[[#This Row],[Overall (destination currency)]]*(1+Claims_Inflation)^((Revalue_at_date-Table1[[#This Row],[Loss date]])/365.25)</f>
        <v>360</v>
      </c>
      <c r="R1563" s="70">
        <f>INT(Table1[[#This Row],[Reporting date]])-INT(Table1[[#This Row],[Loss date]])</f>
        <v>0</v>
      </c>
      <c r="S1563" s="69" t="s">
        <v>9</v>
      </c>
      <c r="T1563" s="70">
        <f>VLOOKUP(Table1[[#This Row],[Policy Year]],exposure_table,3,FALSE)</f>
        <v>1090.5865384615383</v>
      </c>
      <c r="U1563" s="17">
        <f>IF(MONTH(Table1[[#This Row],[Reporting date]])&lt;Policy_Inception_Month,YEAR(Table1[[#This Row],[Reporting date]])-1,YEAR(Table1[[#This Row],[Reporting date]]))</f>
        <v>2013</v>
      </c>
      <c r="V1563" s="17">
        <f>Table1[[#This Row],[Reporting year]]-Table1[[#This Row],[Policy Year]]</f>
        <v>0</v>
      </c>
      <c r="W1563" s="17">
        <f>INT(Table1[[#This Row],[Reporting date]])-INT(Table1[[#This Row],[Loss date]])</f>
        <v>0</v>
      </c>
      <c r="X1563" s="17">
        <f>INT((YEAR(Table1[[#This Row],[Loss date]])*12+MONTH(Table1[[#This Row],[Loss date]])-Earliest_Month)/4)</f>
        <v>24</v>
      </c>
      <c r="Y1563" s="17">
        <f>INT((YEAR(Table1[[#This Row],[Reporting date]])*12+MONTH(Table1[[#This Row],[Reporting date]])-Earliest_Month)/4)</f>
        <v>24</v>
      </c>
      <c r="Z1563" s="17">
        <f>Table1[[#This Row],[Reporting third]]-Table1[[#This Row],[Policy third]]</f>
        <v>0</v>
      </c>
      <c r="AA1563" s="71">
        <f>IF(Table1[[#This Row],[Overall amount]]=0,"N/A",Table1[[#This Row],[Outstanding]]/Table1[[#This Row],[Overall amount]])</f>
        <v>0</v>
      </c>
      <c r="AB1563" s="17">
        <f>IF(MONTH(Table1[[#This Row],[Loss date]])&lt;Pol_Inc_Month_Shifted,YEAR(Table1[[#This Row],[Loss date]])-1,YEAR(Table1[[#This Row],[Loss date]]))</f>
        <v>2012</v>
      </c>
      <c r="AC1563" s="17">
        <f>IF(MONTH(Table1[[#This Row],[Reporting date]])&lt;Pol_Inc_Month_Shifted,YEAR(Table1[[#This Row],[Reporting date]])-1,YEAR(Table1[[#This Row],[Reporting date]]))</f>
        <v>2012</v>
      </c>
      <c r="AD1563" s="17">
        <f>Table1[[#This Row],[Reporting year (shifted)]]-Table1[[#This Row],[Policy Year (shifted)]]</f>
        <v>0</v>
      </c>
    </row>
    <row r="1564" spans="1:30" ht="13.9">
      <c r="A1564" s="8" t="s">
        <v>3334</v>
      </c>
      <c r="B1564" s="8" t="s">
        <v>1616</v>
      </c>
      <c r="C1564" s="8" t="s">
        <v>123</v>
      </c>
      <c r="D1564" s="9">
        <v>41316</v>
      </c>
      <c r="E1564" s="9">
        <v>41435</v>
      </c>
      <c r="F1564" s="17">
        <f>IF(MONTH(Table1[[#This Row],[Loss date]])&lt;Policy_Inception_Month,YEAR(Table1[[#This Row],[Loss date]])-1,YEAR(Table1[[#This Row],[Loss date]]))</f>
        <v>2012</v>
      </c>
      <c r="G1564" s="10" t="s">
        <v>131</v>
      </c>
      <c r="H1564" s="10" t="s">
        <v>2</v>
      </c>
      <c r="I1564" s="11">
        <v>0</v>
      </c>
      <c r="J1564" s="11">
        <v>1.0552919036847546</v>
      </c>
      <c r="K1564" s="11">
        <v>1.0552919036847546</v>
      </c>
      <c r="L1564" s="12">
        <v>0</v>
      </c>
      <c r="M1564" s="12">
        <v>0</v>
      </c>
      <c r="N1564" s="12">
        <v>1.0552919036847546</v>
      </c>
      <c r="O1564" s="70">
        <f>IF(Table1[[#This Row],[Overall amount]]=0,0,1)</f>
        <v>1</v>
      </c>
      <c r="P1564" s="70">
        <f>Table1[[#This Row],[Overall amount]]*Exchange_Rate</f>
        <v>1.0552919036847546</v>
      </c>
      <c r="Q1564" s="70">
        <f>Table1[[#This Row],[Overall (destination currency)]]*(1+Claims_Inflation)^((Revalue_at_date-Table1[[#This Row],[Loss date]])/365.25)</f>
        <v>1.2</v>
      </c>
      <c r="R1564" s="70">
        <f>INT(Table1[[#This Row],[Reporting date]])-INT(Table1[[#This Row],[Loss date]])</f>
        <v>119</v>
      </c>
      <c r="S1564" s="69" t="s">
        <v>16</v>
      </c>
      <c r="T1564" s="70">
        <f>VLOOKUP(Table1[[#This Row],[Policy Year]],exposure_table,3,FALSE)</f>
        <v>1057.54</v>
      </c>
      <c r="U1564" s="17">
        <f>IF(MONTH(Table1[[#This Row],[Reporting date]])&lt;Policy_Inception_Month,YEAR(Table1[[#This Row],[Reporting date]])-1,YEAR(Table1[[#This Row],[Reporting date]]))</f>
        <v>2013</v>
      </c>
      <c r="V1564" s="17">
        <f>Table1[[#This Row],[Reporting year]]-Table1[[#This Row],[Policy Year]]</f>
        <v>1</v>
      </c>
      <c r="W1564" s="17">
        <f>INT(Table1[[#This Row],[Reporting date]])-INT(Table1[[#This Row],[Loss date]])</f>
        <v>119</v>
      </c>
      <c r="X1564" s="17">
        <f>INT((YEAR(Table1[[#This Row],[Loss date]])*12+MONTH(Table1[[#This Row],[Loss date]])-Earliest_Month)/4)</f>
        <v>23</v>
      </c>
      <c r="Y1564" s="17">
        <f>INT((YEAR(Table1[[#This Row],[Reporting date]])*12+MONTH(Table1[[#This Row],[Reporting date]])-Earliest_Month)/4)</f>
        <v>24</v>
      </c>
      <c r="Z1564" s="17">
        <f>Table1[[#This Row],[Reporting third]]-Table1[[#This Row],[Policy third]]</f>
        <v>1</v>
      </c>
      <c r="AA1564" s="71">
        <f>IF(Table1[[#This Row],[Overall amount]]=0,"N/A",Table1[[#This Row],[Outstanding]]/Table1[[#This Row],[Overall amount]])</f>
        <v>1</v>
      </c>
      <c r="AB1564" s="17">
        <f>IF(MONTH(Table1[[#This Row],[Loss date]])&lt;Pol_Inc_Month_Shifted,YEAR(Table1[[#This Row],[Loss date]])-1,YEAR(Table1[[#This Row],[Loss date]]))</f>
        <v>2012</v>
      </c>
      <c r="AC1564" s="17">
        <f>IF(MONTH(Table1[[#This Row],[Reporting date]])&lt;Pol_Inc_Month_Shifted,YEAR(Table1[[#This Row],[Reporting date]])-1,YEAR(Table1[[#This Row],[Reporting date]]))</f>
        <v>2012</v>
      </c>
      <c r="AD1564" s="17">
        <f>Table1[[#This Row],[Reporting year (shifted)]]-Table1[[#This Row],[Policy Year (shifted)]]</f>
        <v>0</v>
      </c>
    </row>
    <row r="1565" spans="1:30" ht="13.9">
      <c r="A1565" s="8" t="s">
        <v>3335</v>
      </c>
      <c r="B1565" s="8" t="s">
        <v>1617</v>
      </c>
      <c r="C1565" s="8" t="s">
        <v>123</v>
      </c>
      <c r="D1565" s="9">
        <v>40266</v>
      </c>
      <c r="E1565" s="9">
        <v>41436</v>
      </c>
      <c r="F1565" s="17">
        <f>IF(MONTH(Table1[[#This Row],[Loss date]])&lt;Policy_Inception_Month,YEAR(Table1[[#This Row],[Loss date]])-1,YEAR(Table1[[#This Row],[Loss date]]))</f>
        <v>2009</v>
      </c>
      <c r="G1565" s="10" t="s">
        <v>148</v>
      </c>
      <c r="H1565" s="10" t="s">
        <v>2</v>
      </c>
      <c r="I1565" s="11">
        <v>1059.9035414806831</v>
      </c>
      <c r="J1565" s="11">
        <v>0</v>
      </c>
      <c r="K1565" s="11">
        <v>1059.9035414806831</v>
      </c>
      <c r="L1565" s="12">
        <v>0</v>
      </c>
      <c r="M1565" s="12">
        <v>0</v>
      </c>
      <c r="N1565" s="12">
        <v>1059.9035414806831</v>
      </c>
      <c r="O1565" s="70">
        <f>IF(Table1[[#This Row],[Overall amount]]=0,0,1)</f>
        <v>1</v>
      </c>
      <c r="P1565" s="70">
        <f>Table1[[#This Row],[Overall amount]]*Exchange_Rate</f>
        <v>1059.9035414806831</v>
      </c>
      <c r="Q1565" s="70">
        <f>Table1[[#This Row],[Overall (destination currency)]]*(1+Claims_Inflation)^((Revalue_at_date-Table1[[#This Row],[Loss date]])/365.25)</f>
        <v>1386.7199999999998</v>
      </c>
      <c r="R1565" s="70">
        <f>INT(Table1[[#This Row],[Reporting date]])-INT(Table1[[#This Row],[Loss date]])</f>
        <v>1170</v>
      </c>
      <c r="S1565" s="69" t="s">
        <v>9</v>
      </c>
      <c r="T1565" s="70">
        <f>VLOOKUP(Table1[[#This Row],[Policy Year]],exposure_table,3,FALSE)</f>
        <v>760.22808576000011</v>
      </c>
      <c r="U1565" s="17">
        <f>IF(MONTH(Table1[[#This Row],[Reporting date]])&lt;Policy_Inception_Month,YEAR(Table1[[#This Row],[Reporting date]])-1,YEAR(Table1[[#This Row],[Reporting date]]))</f>
        <v>2013</v>
      </c>
      <c r="V1565" s="17">
        <f>Table1[[#This Row],[Reporting year]]-Table1[[#This Row],[Policy Year]]</f>
        <v>4</v>
      </c>
      <c r="W1565" s="17">
        <f>INT(Table1[[#This Row],[Reporting date]])-INT(Table1[[#This Row],[Loss date]])</f>
        <v>1170</v>
      </c>
      <c r="X1565" s="17">
        <f>INT((YEAR(Table1[[#This Row],[Loss date]])*12+MONTH(Table1[[#This Row],[Loss date]])-Earliest_Month)/4)</f>
        <v>14</v>
      </c>
      <c r="Y1565" s="17">
        <f>INT((YEAR(Table1[[#This Row],[Reporting date]])*12+MONTH(Table1[[#This Row],[Reporting date]])-Earliest_Month)/4)</f>
        <v>24</v>
      </c>
      <c r="Z1565" s="17">
        <f>Table1[[#This Row],[Reporting third]]-Table1[[#This Row],[Policy third]]</f>
        <v>10</v>
      </c>
      <c r="AA1565" s="71">
        <f>IF(Table1[[#This Row],[Overall amount]]=0,"N/A",Table1[[#This Row],[Outstanding]]/Table1[[#This Row],[Overall amount]])</f>
        <v>0</v>
      </c>
      <c r="AB1565" s="17">
        <f>IF(MONTH(Table1[[#This Row],[Loss date]])&lt;Pol_Inc_Month_Shifted,YEAR(Table1[[#This Row],[Loss date]])-1,YEAR(Table1[[#This Row],[Loss date]]))</f>
        <v>2009</v>
      </c>
      <c r="AC1565" s="17">
        <f>IF(MONTH(Table1[[#This Row],[Reporting date]])&lt;Pol_Inc_Month_Shifted,YEAR(Table1[[#This Row],[Reporting date]])-1,YEAR(Table1[[#This Row],[Reporting date]]))</f>
        <v>2012</v>
      </c>
      <c r="AD1565" s="17">
        <f>Table1[[#This Row],[Reporting year (shifted)]]-Table1[[#This Row],[Policy Year (shifted)]]</f>
        <v>3</v>
      </c>
    </row>
    <row r="1566" spans="1:30" ht="13.9">
      <c r="A1566" s="8" t="s">
        <v>3336</v>
      </c>
      <c r="B1566" s="8" t="s">
        <v>1618</v>
      </c>
      <c r="C1566" s="8" t="s">
        <v>123</v>
      </c>
      <c r="D1566" s="9">
        <v>41327</v>
      </c>
      <c r="E1566" s="9">
        <v>41448</v>
      </c>
      <c r="F1566" s="17">
        <f>IF(MONTH(Table1[[#This Row],[Loss date]])&lt;Policy_Inception_Month,YEAR(Table1[[#This Row],[Loss date]])-1,YEAR(Table1[[#This Row],[Loss date]]))</f>
        <v>2012</v>
      </c>
      <c r="G1566" s="10" t="s">
        <v>125</v>
      </c>
      <c r="H1566" s="10" t="s">
        <v>2</v>
      </c>
      <c r="I1566" s="11">
        <v>4132.4701203518507</v>
      </c>
      <c r="J1566" s="11">
        <v>45422.929588946477</v>
      </c>
      <c r="K1566" s="11">
        <v>49555.399709298326</v>
      </c>
      <c r="L1566" s="12">
        <v>0</v>
      </c>
      <c r="M1566" s="12">
        <v>0</v>
      </c>
      <c r="N1566" s="12">
        <v>49555.399709298326</v>
      </c>
      <c r="O1566" s="70">
        <f>IF(Table1[[#This Row],[Overall amount]]=0,0,1)</f>
        <v>1</v>
      </c>
      <c r="P1566" s="70">
        <f>Table1[[#This Row],[Overall amount]]*Exchange_Rate</f>
        <v>49555.399709298326</v>
      </c>
      <c r="Q1566" s="70">
        <f>Table1[[#This Row],[Overall (destination currency)]]*(1+Claims_Inflation)^((Revalue_at_date-Table1[[#This Row],[Loss date]])/365.25)</f>
        <v>56268.000000000007</v>
      </c>
      <c r="R1566" s="70">
        <f>INT(Table1[[#This Row],[Reporting date]])-INT(Table1[[#This Row],[Loss date]])</f>
        <v>121</v>
      </c>
      <c r="S1566" s="69" t="s">
        <v>16</v>
      </c>
      <c r="T1566" s="70">
        <f>VLOOKUP(Table1[[#This Row],[Policy Year]],exposure_table,3,FALSE)</f>
        <v>1057.54</v>
      </c>
      <c r="U1566" s="17">
        <f>IF(MONTH(Table1[[#This Row],[Reporting date]])&lt;Policy_Inception_Month,YEAR(Table1[[#This Row],[Reporting date]])-1,YEAR(Table1[[#This Row],[Reporting date]]))</f>
        <v>2013</v>
      </c>
      <c r="V1566" s="17">
        <f>Table1[[#This Row],[Reporting year]]-Table1[[#This Row],[Policy Year]]</f>
        <v>1</v>
      </c>
      <c r="W1566" s="17">
        <f>INT(Table1[[#This Row],[Reporting date]])-INT(Table1[[#This Row],[Loss date]])</f>
        <v>121</v>
      </c>
      <c r="X1566" s="17">
        <f>INT((YEAR(Table1[[#This Row],[Loss date]])*12+MONTH(Table1[[#This Row],[Loss date]])-Earliest_Month)/4)</f>
        <v>23</v>
      </c>
      <c r="Y1566" s="17">
        <f>INT((YEAR(Table1[[#This Row],[Reporting date]])*12+MONTH(Table1[[#This Row],[Reporting date]])-Earliest_Month)/4)</f>
        <v>24</v>
      </c>
      <c r="Z1566" s="17">
        <f>Table1[[#This Row],[Reporting third]]-Table1[[#This Row],[Policy third]]</f>
        <v>1</v>
      </c>
      <c r="AA1566" s="71">
        <f>IF(Table1[[#This Row],[Overall amount]]=0,"N/A",Table1[[#This Row],[Outstanding]]/Table1[[#This Row],[Overall amount]])</f>
        <v>0.91660908509277039</v>
      </c>
      <c r="AB1566" s="17">
        <f>IF(MONTH(Table1[[#This Row],[Loss date]])&lt;Pol_Inc_Month_Shifted,YEAR(Table1[[#This Row],[Loss date]])-1,YEAR(Table1[[#This Row],[Loss date]]))</f>
        <v>2012</v>
      </c>
      <c r="AC1566" s="17">
        <f>IF(MONTH(Table1[[#This Row],[Reporting date]])&lt;Pol_Inc_Month_Shifted,YEAR(Table1[[#This Row],[Reporting date]])-1,YEAR(Table1[[#This Row],[Reporting date]]))</f>
        <v>2012</v>
      </c>
      <c r="AD1566" s="17">
        <f>Table1[[#This Row],[Reporting year (shifted)]]-Table1[[#This Row],[Policy Year (shifted)]]</f>
        <v>0</v>
      </c>
    </row>
    <row r="1567" spans="1:30" ht="13.9">
      <c r="A1567" s="8" t="s">
        <v>3337</v>
      </c>
      <c r="B1567" s="8" t="s">
        <v>1619</v>
      </c>
      <c r="C1567" s="8" t="s">
        <v>123</v>
      </c>
      <c r="D1567" s="9">
        <v>41182</v>
      </c>
      <c r="E1567" s="9">
        <v>41448</v>
      </c>
      <c r="F1567" s="17">
        <f>IF(MONTH(Table1[[#This Row],[Loss date]])&lt;Policy_Inception_Month,YEAR(Table1[[#This Row],[Loss date]])-1,YEAR(Table1[[#This Row],[Loss date]]))</f>
        <v>2012</v>
      </c>
      <c r="G1567" s="10" t="s">
        <v>127</v>
      </c>
      <c r="H1567" s="10" t="s">
        <v>2</v>
      </c>
      <c r="I1567" s="11">
        <v>0</v>
      </c>
      <c r="J1567" s="11">
        <v>1554.8557520081856</v>
      </c>
      <c r="K1567" s="11">
        <v>1554.8557520081856</v>
      </c>
      <c r="L1567" s="12">
        <v>0</v>
      </c>
      <c r="M1567" s="12">
        <v>0</v>
      </c>
      <c r="N1567" s="12">
        <v>1554.8557520081856</v>
      </c>
      <c r="O1567" s="70">
        <f>IF(Table1[[#This Row],[Overall amount]]=0,0,1)</f>
        <v>1</v>
      </c>
      <c r="P1567" s="70">
        <f>Table1[[#This Row],[Overall amount]]*Exchange_Rate</f>
        <v>1554.8557520081856</v>
      </c>
      <c r="Q1567" s="70">
        <f>Table1[[#This Row],[Overall (destination currency)]]*(1+Claims_Inflation)^((Revalue_at_date-Table1[[#This Row],[Loss date]])/365.25)</f>
        <v>1800</v>
      </c>
      <c r="R1567" s="70">
        <f>INT(Table1[[#This Row],[Reporting date]])-INT(Table1[[#This Row],[Loss date]])</f>
        <v>266</v>
      </c>
      <c r="S1567" s="69" t="s">
        <v>16</v>
      </c>
      <c r="T1567" s="70">
        <f>VLOOKUP(Table1[[#This Row],[Policy Year]],exposure_table,3,FALSE)</f>
        <v>1057.54</v>
      </c>
      <c r="U1567" s="17">
        <f>IF(MONTH(Table1[[#This Row],[Reporting date]])&lt;Policy_Inception_Month,YEAR(Table1[[#This Row],[Reporting date]])-1,YEAR(Table1[[#This Row],[Reporting date]]))</f>
        <v>2013</v>
      </c>
      <c r="V1567" s="17">
        <f>Table1[[#This Row],[Reporting year]]-Table1[[#This Row],[Policy Year]]</f>
        <v>1</v>
      </c>
      <c r="W1567" s="17">
        <f>INT(Table1[[#This Row],[Reporting date]])-INT(Table1[[#This Row],[Loss date]])</f>
        <v>266</v>
      </c>
      <c r="X1567" s="17">
        <f>INT((YEAR(Table1[[#This Row],[Loss date]])*12+MONTH(Table1[[#This Row],[Loss date]])-Earliest_Month)/4)</f>
        <v>22</v>
      </c>
      <c r="Y1567" s="17">
        <f>INT((YEAR(Table1[[#This Row],[Reporting date]])*12+MONTH(Table1[[#This Row],[Reporting date]])-Earliest_Month)/4)</f>
        <v>24</v>
      </c>
      <c r="Z1567" s="17">
        <f>Table1[[#This Row],[Reporting third]]-Table1[[#This Row],[Policy third]]</f>
        <v>2</v>
      </c>
      <c r="AA1567" s="71">
        <f>IF(Table1[[#This Row],[Overall amount]]=0,"N/A",Table1[[#This Row],[Outstanding]]/Table1[[#This Row],[Overall amount]])</f>
        <v>1</v>
      </c>
      <c r="AB1567" s="17">
        <f>IF(MONTH(Table1[[#This Row],[Loss date]])&lt;Pol_Inc_Month_Shifted,YEAR(Table1[[#This Row],[Loss date]])-1,YEAR(Table1[[#This Row],[Loss date]]))</f>
        <v>2011</v>
      </c>
      <c r="AC1567" s="17">
        <f>IF(MONTH(Table1[[#This Row],[Reporting date]])&lt;Pol_Inc_Month_Shifted,YEAR(Table1[[#This Row],[Reporting date]])-1,YEAR(Table1[[#This Row],[Reporting date]]))</f>
        <v>2012</v>
      </c>
      <c r="AD1567" s="17">
        <f>Table1[[#This Row],[Reporting year (shifted)]]-Table1[[#This Row],[Policy Year (shifted)]]</f>
        <v>1</v>
      </c>
    </row>
    <row r="1568" spans="1:30" ht="13.9">
      <c r="A1568" s="8" t="s">
        <v>3338</v>
      </c>
      <c r="B1568" s="8" t="s">
        <v>1620</v>
      </c>
      <c r="C1568" s="8" t="s">
        <v>123</v>
      </c>
      <c r="D1568" s="9">
        <v>40952</v>
      </c>
      <c r="E1568" s="9">
        <v>41448</v>
      </c>
      <c r="F1568" s="17">
        <f>IF(MONTH(Table1[[#This Row],[Loss date]])&lt;Policy_Inception_Month,YEAR(Table1[[#This Row],[Loss date]])-1,YEAR(Table1[[#This Row],[Loss date]]))</f>
        <v>2011</v>
      </c>
      <c r="G1568" s="10" t="s">
        <v>125</v>
      </c>
      <c r="H1568" s="10" t="s">
        <v>2</v>
      </c>
      <c r="I1568" s="11">
        <v>0</v>
      </c>
      <c r="J1568" s="11">
        <v>10052.077390591938</v>
      </c>
      <c r="K1568" s="11">
        <v>10052.077390591938</v>
      </c>
      <c r="L1568" s="12">
        <v>0</v>
      </c>
      <c r="M1568" s="12">
        <v>776.52297842322719</v>
      </c>
      <c r="N1568" s="12">
        <v>9275.5544121687108</v>
      </c>
      <c r="O1568" s="70">
        <f>IF(Table1[[#This Row],[Overall amount]]=0,0,1)</f>
        <v>1</v>
      </c>
      <c r="P1568" s="70">
        <f>Table1[[#This Row],[Overall amount]]*Exchange_Rate</f>
        <v>9275.5544121687108</v>
      </c>
      <c r="Q1568" s="70">
        <f>Table1[[#This Row],[Overall (destination currency)]]*(1+Claims_Inflation)^((Revalue_at_date-Table1[[#This Row],[Loss date]])/365.25)</f>
        <v>11073</v>
      </c>
      <c r="R1568" s="70">
        <f>INT(Table1[[#This Row],[Reporting date]])-INT(Table1[[#This Row],[Loss date]])</f>
        <v>496</v>
      </c>
      <c r="S1568" s="69" t="s">
        <v>16</v>
      </c>
      <c r="T1568" s="70">
        <f>VLOOKUP(Table1[[#This Row],[Policy Year]],exposure_table,3,FALSE)</f>
        <v>870.52680000000009</v>
      </c>
      <c r="U1568" s="17">
        <f>IF(MONTH(Table1[[#This Row],[Reporting date]])&lt;Policy_Inception_Month,YEAR(Table1[[#This Row],[Reporting date]])-1,YEAR(Table1[[#This Row],[Reporting date]]))</f>
        <v>2013</v>
      </c>
      <c r="V1568" s="17">
        <f>Table1[[#This Row],[Reporting year]]-Table1[[#This Row],[Policy Year]]</f>
        <v>2</v>
      </c>
      <c r="W1568" s="17">
        <f>INT(Table1[[#This Row],[Reporting date]])-INT(Table1[[#This Row],[Loss date]])</f>
        <v>496</v>
      </c>
      <c r="X1568" s="17">
        <f>INT((YEAR(Table1[[#This Row],[Loss date]])*12+MONTH(Table1[[#This Row],[Loss date]])-Earliest_Month)/4)</f>
        <v>20</v>
      </c>
      <c r="Y1568" s="17">
        <f>INT((YEAR(Table1[[#This Row],[Reporting date]])*12+MONTH(Table1[[#This Row],[Reporting date]])-Earliest_Month)/4)</f>
        <v>24</v>
      </c>
      <c r="Z1568" s="17">
        <f>Table1[[#This Row],[Reporting third]]-Table1[[#This Row],[Policy third]]</f>
        <v>4</v>
      </c>
      <c r="AA1568" s="71">
        <f>IF(Table1[[#This Row],[Overall amount]]=0,"N/A",Table1[[#This Row],[Outstanding]]/Table1[[#This Row],[Overall amount]])</f>
        <v>1.083717149823896</v>
      </c>
      <c r="AB1568" s="17">
        <f>IF(MONTH(Table1[[#This Row],[Loss date]])&lt;Pol_Inc_Month_Shifted,YEAR(Table1[[#This Row],[Loss date]])-1,YEAR(Table1[[#This Row],[Loss date]]))</f>
        <v>2011</v>
      </c>
      <c r="AC1568" s="17">
        <f>IF(MONTH(Table1[[#This Row],[Reporting date]])&lt;Pol_Inc_Month_Shifted,YEAR(Table1[[#This Row],[Reporting date]])-1,YEAR(Table1[[#This Row],[Reporting date]]))</f>
        <v>2012</v>
      </c>
      <c r="AD1568" s="17">
        <f>Table1[[#This Row],[Reporting year (shifted)]]-Table1[[#This Row],[Policy Year (shifted)]]</f>
        <v>1</v>
      </c>
    </row>
    <row r="1569" spans="1:30" ht="13.9">
      <c r="A1569" s="8" t="s">
        <v>3339</v>
      </c>
      <c r="B1569" s="8" t="s">
        <v>1621</v>
      </c>
      <c r="C1569" s="8" t="s">
        <v>123</v>
      </c>
      <c r="D1569" s="9">
        <v>41281</v>
      </c>
      <c r="E1569" s="9">
        <v>41448</v>
      </c>
      <c r="F1569" s="17">
        <f>IF(MONTH(Table1[[#This Row],[Loss date]])&lt;Policy_Inception_Month,YEAR(Table1[[#This Row],[Loss date]])-1,YEAR(Table1[[#This Row],[Loss date]]))</f>
        <v>2012</v>
      </c>
      <c r="G1569" s="10" t="s">
        <v>125</v>
      </c>
      <c r="H1569" s="10" t="s">
        <v>2</v>
      </c>
      <c r="I1569" s="11">
        <v>5199.3295499197038</v>
      </c>
      <c r="J1569" s="11">
        <v>0</v>
      </c>
      <c r="K1569" s="11">
        <v>5199.3295499197038</v>
      </c>
      <c r="L1569" s="12">
        <v>315.11088181331536</v>
      </c>
      <c r="M1569" s="12">
        <v>159.91877252025753</v>
      </c>
      <c r="N1569" s="12">
        <v>5354.5216592127617</v>
      </c>
      <c r="O1569" s="70">
        <f>IF(Table1[[#This Row],[Overall amount]]=0,0,1)</f>
        <v>1</v>
      </c>
      <c r="P1569" s="70">
        <f>Table1[[#This Row],[Overall amount]]*Exchange_Rate</f>
        <v>5354.5216592127617</v>
      </c>
      <c r="Q1569" s="70">
        <f>Table1[[#This Row],[Overall (destination currency)]]*(1+Claims_Inflation)^((Revalue_at_date-Table1[[#This Row],[Loss date]])/365.25)</f>
        <v>6117.3</v>
      </c>
      <c r="R1569" s="70">
        <f>INT(Table1[[#This Row],[Reporting date]])-INT(Table1[[#This Row],[Loss date]])</f>
        <v>167</v>
      </c>
      <c r="S1569" s="69" t="s">
        <v>9</v>
      </c>
      <c r="T1569" s="70">
        <f>VLOOKUP(Table1[[#This Row],[Policy Year]],exposure_table,3,FALSE)</f>
        <v>1057.54</v>
      </c>
      <c r="U1569" s="17">
        <f>IF(MONTH(Table1[[#This Row],[Reporting date]])&lt;Policy_Inception_Month,YEAR(Table1[[#This Row],[Reporting date]])-1,YEAR(Table1[[#This Row],[Reporting date]]))</f>
        <v>2013</v>
      </c>
      <c r="V1569" s="17">
        <f>Table1[[#This Row],[Reporting year]]-Table1[[#This Row],[Policy Year]]</f>
        <v>1</v>
      </c>
      <c r="W1569" s="17">
        <f>INT(Table1[[#This Row],[Reporting date]])-INT(Table1[[#This Row],[Loss date]])</f>
        <v>167</v>
      </c>
      <c r="X1569" s="17">
        <f>INT((YEAR(Table1[[#This Row],[Loss date]])*12+MONTH(Table1[[#This Row],[Loss date]])-Earliest_Month)/4)</f>
        <v>23</v>
      </c>
      <c r="Y1569" s="17">
        <f>INT((YEAR(Table1[[#This Row],[Reporting date]])*12+MONTH(Table1[[#This Row],[Reporting date]])-Earliest_Month)/4)</f>
        <v>24</v>
      </c>
      <c r="Z1569" s="17">
        <f>Table1[[#This Row],[Reporting third]]-Table1[[#This Row],[Policy third]]</f>
        <v>1</v>
      </c>
      <c r="AA1569" s="71">
        <f>IF(Table1[[#This Row],[Overall amount]]=0,"N/A",Table1[[#This Row],[Outstanding]]/Table1[[#This Row],[Overall amount]])</f>
        <v>0</v>
      </c>
      <c r="AB1569" s="17">
        <f>IF(MONTH(Table1[[#This Row],[Loss date]])&lt;Pol_Inc_Month_Shifted,YEAR(Table1[[#This Row],[Loss date]])-1,YEAR(Table1[[#This Row],[Loss date]]))</f>
        <v>2012</v>
      </c>
      <c r="AC1569" s="17">
        <f>IF(MONTH(Table1[[#This Row],[Reporting date]])&lt;Pol_Inc_Month_Shifted,YEAR(Table1[[#This Row],[Reporting date]])-1,YEAR(Table1[[#This Row],[Reporting date]]))</f>
        <v>2012</v>
      </c>
      <c r="AD1569" s="17">
        <f>Table1[[#This Row],[Reporting year (shifted)]]-Table1[[#This Row],[Policy Year (shifted)]]</f>
        <v>0</v>
      </c>
    </row>
    <row r="1570" spans="1:30" ht="13.9">
      <c r="A1570" s="8" t="s">
        <v>3340</v>
      </c>
      <c r="B1570" s="8" t="s">
        <v>1622</v>
      </c>
      <c r="C1570" s="8" t="s">
        <v>123</v>
      </c>
      <c r="D1570" s="9">
        <v>41279</v>
      </c>
      <c r="E1570" s="9">
        <v>41448</v>
      </c>
      <c r="F1570" s="17">
        <f>IF(MONTH(Table1[[#This Row],[Loss date]])&lt;Policy_Inception_Month,YEAR(Table1[[#This Row],[Loss date]])-1,YEAR(Table1[[#This Row],[Loss date]]))</f>
        <v>2012</v>
      </c>
      <c r="G1570" s="10" t="s">
        <v>125</v>
      </c>
      <c r="H1570" s="10" t="s">
        <v>2</v>
      </c>
      <c r="I1570" s="11">
        <v>0</v>
      </c>
      <c r="J1570" s="11">
        <v>1.050089026384158</v>
      </c>
      <c r="K1570" s="11">
        <v>1.050089026384158</v>
      </c>
      <c r="L1570" s="12">
        <v>0</v>
      </c>
      <c r="M1570" s="12">
        <v>0</v>
      </c>
      <c r="N1570" s="12">
        <v>1.050089026384158</v>
      </c>
      <c r="O1570" s="70">
        <f>IF(Table1[[#This Row],[Overall amount]]=0,0,1)</f>
        <v>1</v>
      </c>
      <c r="P1570" s="70">
        <f>Table1[[#This Row],[Overall amount]]*Exchange_Rate</f>
        <v>1.050089026384158</v>
      </c>
      <c r="Q1570" s="70">
        <f>Table1[[#This Row],[Overall (destination currency)]]*(1+Claims_Inflation)^((Revalue_at_date-Table1[[#This Row],[Loss date]])/365.25)</f>
        <v>1.2</v>
      </c>
      <c r="R1570" s="70">
        <f>INT(Table1[[#This Row],[Reporting date]])-INT(Table1[[#This Row],[Loss date]])</f>
        <v>169</v>
      </c>
      <c r="S1570" s="69" t="s">
        <v>16</v>
      </c>
      <c r="T1570" s="70">
        <f>VLOOKUP(Table1[[#This Row],[Policy Year]],exposure_table,3,FALSE)</f>
        <v>1057.54</v>
      </c>
      <c r="U1570" s="17">
        <f>IF(MONTH(Table1[[#This Row],[Reporting date]])&lt;Policy_Inception_Month,YEAR(Table1[[#This Row],[Reporting date]])-1,YEAR(Table1[[#This Row],[Reporting date]]))</f>
        <v>2013</v>
      </c>
      <c r="V1570" s="17">
        <f>Table1[[#This Row],[Reporting year]]-Table1[[#This Row],[Policy Year]]</f>
        <v>1</v>
      </c>
      <c r="W1570" s="17">
        <f>INT(Table1[[#This Row],[Reporting date]])-INT(Table1[[#This Row],[Loss date]])</f>
        <v>169</v>
      </c>
      <c r="X1570" s="17">
        <f>INT((YEAR(Table1[[#This Row],[Loss date]])*12+MONTH(Table1[[#This Row],[Loss date]])-Earliest_Month)/4)</f>
        <v>23</v>
      </c>
      <c r="Y1570" s="17">
        <f>INT((YEAR(Table1[[#This Row],[Reporting date]])*12+MONTH(Table1[[#This Row],[Reporting date]])-Earliest_Month)/4)</f>
        <v>24</v>
      </c>
      <c r="Z1570" s="17">
        <f>Table1[[#This Row],[Reporting third]]-Table1[[#This Row],[Policy third]]</f>
        <v>1</v>
      </c>
      <c r="AA1570" s="71">
        <f>IF(Table1[[#This Row],[Overall amount]]=0,"N/A",Table1[[#This Row],[Outstanding]]/Table1[[#This Row],[Overall amount]])</f>
        <v>1</v>
      </c>
      <c r="AB1570" s="17">
        <f>IF(MONTH(Table1[[#This Row],[Loss date]])&lt;Pol_Inc_Month_Shifted,YEAR(Table1[[#This Row],[Loss date]])-1,YEAR(Table1[[#This Row],[Loss date]]))</f>
        <v>2012</v>
      </c>
      <c r="AC1570" s="17">
        <f>IF(MONTH(Table1[[#This Row],[Reporting date]])&lt;Pol_Inc_Month_Shifted,YEAR(Table1[[#This Row],[Reporting date]])-1,YEAR(Table1[[#This Row],[Reporting date]]))</f>
        <v>2012</v>
      </c>
      <c r="AD1570" s="17">
        <f>Table1[[#This Row],[Reporting year (shifted)]]-Table1[[#This Row],[Policy Year (shifted)]]</f>
        <v>0</v>
      </c>
    </row>
    <row r="1571" spans="1:30" ht="13.9">
      <c r="A1571" s="8" t="s">
        <v>3341</v>
      </c>
      <c r="B1571" s="8" t="s">
        <v>1623</v>
      </c>
      <c r="C1571" s="8" t="s">
        <v>123</v>
      </c>
      <c r="D1571" s="9">
        <v>41176</v>
      </c>
      <c r="E1571" s="9">
        <v>41448</v>
      </c>
      <c r="F1571" s="17">
        <f>IF(MONTH(Table1[[#This Row],[Loss date]])&lt;Policy_Inception_Month,YEAR(Table1[[#This Row],[Loss date]])-1,YEAR(Table1[[#This Row],[Loss date]]))</f>
        <v>2012</v>
      </c>
      <c r="G1571" s="10" t="s">
        <v>127</v>
      </c>
      <c r="H1571" s="10" t="s">
        <v>2</v>
      </c>
      <c r="I1571" s="11">
        <v>0</v>
      </c>
      <c r="J1571" s="11">
        <v>0</v>
      </c>
      <c r="K1571" s="11">
        <v>0</v>
      </c>
      <c r="L1571" s="12">
        <v>0</v>
      </c>
      <c r="M1571" s="12">
        <v>0</v>
      </c>
      <c r="N1571" s="12">
        <v>0</v>
      </c>
      <c r="O1571" s="70">
        <f>IF(Table1[[#This Row],[Overall amount]]=0,0,1)</f>
        <v>0</v>
      </c>
      <c r="P1571" s="70">
        <f>Table1[[#This Row],[Overall amount]]*Exchange_Rate</f>
        <v>0</v>
      </c>
      <c r="Q1571" s="70">
        <f>Table1[[#This Row],[Overall (destination currency)]]*(1+Claims_Inflation)^((Revalue_at_date-Table1[[#This Row],[Loss date]])/365.25)</f>
        <v>0</v>
      </c>
      <c r="R1571" s="70">
        <f>INT(Table1[[#This Row],[Reporting date]])-INT(Table1[[#This Row],[Loss date]])</f>
        <v>272</v>
      </c>
      <c r="S1571" s="69" t="s">
        <v>9</v>
      </c>
      <c r="T1571" s="70">
        <f>VLOOKUP(Table1[[#This Row],[Policy Year]],exposure_table,3,FALSE)</f>
        <v>1057.54</v>
      </c>
      <c r="U1571" s="17">
        <f>IF(MONTH(Table1[[#This Row],[Reporting date]])&lt;Policy_Inception_Month,YEAR(Table1[[#This Row],[Reporting date]])-1,YEAR(Table1[[#This Row],[Reporting date]]))</f>
        <v>2013</v>
      </c>
      <c r="V1571" s="17">
        <f>Table1[[#This Row],[Reporting year]]-Table1[[#This Row],[Policy Year]]</f>
        <v>1</v>
      </c>
      <c r="W1571" s="17">
        <f>INT(Table1[[#This Row],[Reporting date]])-INT(Table1[[#This Row],[Loss date]])</f>
        <v>272</v>
      </c>
      <c r="X1571" s="17">
        <f>INT((YEAR(Table1[[#This Row],[Loss date]])*12+MONTH(Table1[[#This Row],[Loss date]])-Earliest_Month)/4)</f>
        <v>22</v>
      </c>
      <c r="Y1571" s="17">
        <f>INT((YEAR(Table1[[#This Row],[Reporting date]])*12+MONTH(Table1[[#This Row],[Reporting date]])-Earliest_Month)/4)</f>
        <v>24</v>
      </c>
      <c r="Z1571" s="17">
        <f>Table1[[#This Row],[Reporting third]]-Table1[[#This Row],[Policy third]]</f>
        <v>2</v>
      </c>
      <c r="AA1571" s="71" t="str">
        <f>IF(Table1[[#This Row],[Overall amount]]=0,"N/A",Table1[[#This Row],[Outstanding]]/Table1[[#This Row],[Overall amount]])</f>
        <v>N/A</v>
      </c>
      <c r="AB1571" s="17">
        <f>IF(MONTH(Table1[[#This Row],[Loss date]])&lt;Pol_Inc_Month_Shifted,YEAR(Table1[[#This Row],[Loss date]])-1,YEAR(Table1[[#This Row],[Loss date]]))</f>
        <v>2011</v>
      </c>
      <c r="AC1571" s="17">
        <f>IF(MONTH(Table1[[#This Row],[Reporting date]])&lt;Pol_Inc_Month_Shifted,YEAR(Table1[[#This Row],[Reporting date]])-1,YEAR(Table1[[#This Row],[Reporting date]]))</f>
        <v>2012</v>
      </c>
      <c r="AD1571" s="17">
        <f>Table1[[#This Row],[Reporting year (shifted)]]-Table1[[#This Row],[Policy Year (shifted)]]</f>
        <v>1</v>
      </c>
    </row>
    <row r="1572" spans="1:30" ht="13.9">
      <c r="A1572" s="8" t="s">
        <v>3342</v>
      </c>
      <c r="B1572" s="8" t="s">
        <v>1624</v>
      </c>
      <c r="C1572" s="8" t="s">
        <v>123</v>
      </c>
      <c r="D1572" s="9">
        <v>41278</v>
      </c>
      <c r="E1572" s="9">
        <v>41454</v>
      </c>
      <c r="F1572" s="17">
        <f>IF(MONTH(Table1[[#This Row],[Loss date]])&lt;Policy_Inception_Month,YEAR(Table1[[#This Row],[Loss date]])-1,YEAR(Table1[[#This Row],[Loss date]]))</f>
        <v>2012</v>
      </c>
      <c r="G1572" s="10" t="s">
        <v>125</v>
      </c>
      <c r="H1572" s="10" t="s">
        <v>2</v>
      </c>
      <c r="I1572" s="11">
        <v>0</v>
      </c>
      <c r="J1572" s="11">
        <v>16274.205852252551</v>
      </c>
      <c r="K1572" s="11">
        <v>16274.205852252551</v>
      </c>
      <c r="L1572" s="12">
        <v>314.98462939843648</v>
      </c>
      <c r="M1572" s="12">
        <v>0</v>
      </c>
      <c r="N1572" s="12">
        <v>16589.190481650989</v>
      </c>
      <c r="O1572" s="70">
        <f>IF(Table1[[#This Row],[Overall amount]]=0,0,1)</f>
        <v>1</v>
      </c>
      <c r="P1572" s="70">
        <f>Table1[[#This Row],[Overall amount]]*Exchange_Rate</f>
        <v>16589.190481650989</v>
      </c>
      <c r="Q1572" s="70">
        <f>Table1[[#This Row],[Overall (destination currency)]]*(1+Claims_Inflation)^((Revalue_at_date-Table1[[#This Row],[Loss date]])/365.25)</f>
        <v>18960.000000000004</v>
      </c>
      <c r="R1572" s="70">
        <f>INT(Table1[[#This Row],[Reporting date]])-INT(Table1[[#This Row],[Loss date]])</f>
        <v>176</v>
      </c>
      <c r="S1572" s="69" t="s">
        <v>16</v>
      </c>
      <c r="T1572" s="70">
        <f>VLOOKUP(Table1[[#This Row],[Policy Year]],exposure_table,3,FALSE)</f>
        <v>1057.54</v>
      </c>
      <c r="U1572" s="17">
        <f>IF(MONTH(Table1[[#This Row],[Reporting date]])&lt;Policy_Inception_Month,YEAR(Table1[[#This Row],[Reporting date]])-1,YEAR(Table1[[#This Row],[Reporting date]]))</f>
        <v>2013</v>
      </c>
      <c r="V1572" s="17">
        <f>Table1[[#This Row],[Reporting year]]-Table1[[#This Row],[Policy Year]]</f>
        <v>1</v>
      </c>
      <c r="W1572" s="17">
        <f>INT(Table1[[#This Row],[Reporting date]])-INT(Table1[[#This Row],[Loss date]])</f>
        <v>176</v>
      </c>
      <c r="X1572" s="17">
        <f>INT((YEAR(Table1[[#This Row],[Loss date]])*12+MONTH(Table1[[#This Row],[Loss date]])-Earliest_Month)/4)</f>
        <v>23</v>
      </c>
      <c r="Y1572" s="17">
        <f>INT((YEAR(Table1[[#This Row],[Reporting date]])*12+MONTH(Table1[[#This Row],[Reporting date]])-Earliest_Month)/4)</f>
        <v>24</v>
      </c>
      <c r="Z1572" s="17">
        <f>Table1[[#This Row],[Reporting third]]-Table1[[#This Row],[Policy third]]</f>
        <v>1</v>
      </c>
      <c r="AA1572" s="71">
        <f>IF(Table1[[#This Row],[Overall amount]]=0,"N/A",Table1[[#This Row],[Outstanding]]/Table1[[#This Row],[Overall amount]])</f>
        <v>0.981012658227848</v>
      </c>
      <c r="AB1572" s="17">
        <f>IF(MONTH(Table1[[#This Row],[Loss date]])&lt;Pol_Inc_Month_Shifted,YEAR(Table1[[#This Row],[Loss date]])-1,YEAR(Table1[[#This Row],[Loss date]]))</f>
        <v>2012</v>
      </c>
      <c r="AC1572" s="17">
        <f>IF(MONTH(Table1[[#This Row],[Reporting date]])&lt;Pol_Inc_Month_Shifted,YEAR(Table1[[#This Row],[Reporting date]])-1,YEAR(Table1[[#This Row],[Reporting date]]))</f>
        <v>2012</v>
      </c>
      <c r="AD1572" s="17">
        <f>Table1[[#This Row],[Reporting year (shifted)]]-Table1[[#This Row],[Policy Year (shifted)]]</f>
        <v>0</v>
      </c>
    </row>
    <row r="1573" spans="1:30" ht="13.9">
      <c r="A1573" s="8" t="s">
        <v>3343</v>
      </c>
      <c r="B1573" s="8" t="s">
        <v>1625</v>
      </c>
      <c r="C1573" s="8" t="s">
        <v>123</v>
      </c>
      <c r="D1573" s="9">
        <v>41264</v>
      </c>
      <c r="E1573" s="9">
        <v>41460</v>
      </c>
      <c r="F1573" s="17">
        <f>IF(MONTH(Table1[[#This Row],[Loss date]])&lt;Policy_Inception_Month,YEAR(Table1[[#This Row],[Loss date]])-1,YEAR(Table1[[#This Row],[Loss date]]))</f>
        <v>2012</v>
      </c>
      <c r="G1573" s="10" t="s">
        <v>125</v>
      </c>
      <c r="H1573" s="10" t="s">
        <v>2</v>
      </c>
      <c r="I1573" s="11">
        <v>0</v>
      </c>
      <c r="J1573" s="11">
        <v>0</v>
      </c>
      <c r="K1573" s="11">
        <v>0</v>
      </c>
      <c r="L1573" s="12">
        <v>0</v>
      </c>
      <c r="M1573" s="12">
        <v>0</v>
      </c>
      <c r="N1573" s="12">
        <v>0</v>
      </c>
      <c r="O1573" s="70">
        <f>IF(Table1[[#This Row],[Overall amount]]=0,0,1)</f>
        <v>0</v>
      </c>
      <c r="P1573" s="70">
        <f>Table1[[#This Row],[Overall amount]]*Exchange_Rate</f>
        <v>0</v>
      </c>
      <c r="Q1573" s="70">
        <f>Table1[[#This Row],[Overall (destination currency)]]*(1+Claims_Inflation)^((Revalue_at_date-Table1[[#This Row],[Loss date]])/365.25)</f>
        <v>0</v>
      </c>
      <c r="R1573" s="70">
        <f>INT(Table1[[#This Row],[Reporting date]])-INT(Table1[[#This Row],[Loss date]])</f>
        <v>196</v>
      </c>
      <c r="S1573" s="69" t="s">
        <v>9</v>
      </c>
      <c r="T1573" s="70">
        <f>VLOOKUP(Table1[[#This Row],[Policy Year]],exposure_table,3,FALSE)</f>
        <v>1057.54</v>
      </c>
      <c r="U1573" s="17">
        <f>IF(MONTH(Table1[[#This Row],[Reporting date]])&lt;Policy_Inception_Month,YEAR(Table1[[#This Row],[Reporting date]])-1,YEAR(Table1[[#This Row],[Reporting date]]))</f>
        <v>2013</v>
      </c>
      <c r="V1573" s="17">
        <f>Table1[[#This Row],[Reporting year]]-Table1[[#This Row],[Policy Year]]</f>
        <v>1</v>
      </c>
      <c r="W1573" s="17">
        <f>INT(Table1[[#This Row],[Reporting date]])-INT(Table1[[#This Row],[Loss date]])</f>
        <v>196</v>
      </c>
      <c r="X1573" s="17">
        <f>INT((YEAR(Table1[[#This Row],[Loss date]])*12+MONTH(Table1[[#This Row],[Loss date]])-Earliest_Month)/4)</f>
        <v>23</v>
      </c>
      <c r="Y1573" s="17">
        <f>INT((YEAR(Table1[[#This Row],[Reporting date]])*12+MONTH(Table1[[#This Row],[Reporting date]])-Earliest_Month)/4)</f>
        <v>24</v>
      </c>
      <c r="Z1573" s="17">
        <f>Table1[[#This Row],[Reporting third]]-Table1[[#This Row],[Policy third]]</f>
        <v>1</v>
      </c>
      <c r="AA1573" s="71" t="str">
        <f>IF(Table1[[#This Row],[Overall amount]]=0,"N/A",Table1[[#This Row],[Outstanding]]/Table1[[#This Row],[Overall amount]])</f>
        <v>N/A</v>
      </c>
      <c r="AB1573" s="17">
        <f>IF(MONTH(Table1[[#This Row],[Loss date]])&lt;Pol_Inc_Month_Shifted,YEAR(Table1[[#This Row],[Loss date]])-1,YEAR(Table1[[#This Row],[Loss date]]))</f>
        <v>2012</v>
      </c>
      <c r="AC1573" s="17">
        <f>IF(MONTH(Table1[[#This Row],[Reporting date]])&lt;Pol_Inc_Month_Shifted,YEAR(Table1[[#This Row],[Reporting date]])-1,YEAR(Table1[[#This Row],[Reporting date]]))</f>
        <v>2012</v>
      </c>
      <c r="AD1573" s="17">
        <f>Table1[[#This Row],[Reporting year (shifted)]]-Table1[[#This Row],[Policy Year (shifted)]]</f>
        <v>0</v>
      </c>
    </row>
    <row r="1574" spans="1:30" ht="13.9">
      <c r="A1574" s="8" t="s">
        <v>3344</v>
      </c>
      <c r="B1574" s="8" t="s">
        <v>1626</v>
      </c>
      <c r="C1574" s="8" t="s">
        <v>123</v>
      </c>
      <c r="D1574" s="9">
        <v>41097</v>
      </c>
      <c r="E1574" s="9">
        <v>41460</v>
      </c>
      <c r="F1574" s="17">
        <f>IF(MONTH(Table1[[#This Row],[Loss date]])&lt;Policy_Inception_Month,YEAR(Table1[[#This Row],[Loss date]])-1,YEAR(Table1[[#This Row],[Loss date]]))</f>
        <v>2012</v>
      </c>
      <c r="G1574" s="10" t="s">
        <v>126</v>
      </c>
      <c r="H1574" s="10" t="s">
        <v>2</v>
      </c>
      <c r="I1574" s="11">
        <v>0</v>
      </c>
      <c r="J1574" s="11">
        <v>15373.012764409166</v>
      </c>
      <c r="K1574" s="11">
        <v>15373.012764409166</v>
      </c>
      <c r="L1574" s="12">
        <v>0</v>
      </c>
      <c r="M1574" s="12">
        <v>0</v>
      </c>
      <c r="N1574" s="12">
        <v>15373.012764409166</v>
      </c>
      <c r="O1574" s="70">
        <f>IF(Table1[[#This Row],[Overall amount]]=0,0,1)</f>
        <v>1</v>
      </c>
      <c r="P1574" s="70">
        <f>Table1[[#This Row],[Overall amount]]*Exchange_Rate</f>
        <v>15373.012764409166</v>
      </c>
      <c r="Q1574" s="70">
        <f>Table1[[#This Row],[Overall (destination currency)]]*(1+Claims_Inflation)^((Revalue_at_date-Table1[[#This Row],[Loss date]])/365.25)</f>
        <v>18000.000000000004</v>
      </c>
      <c r="R1574" s="70">
        <f>INT(Table1[[#This Row],[Reporting date]])-INT(Table1[[#This Row],[Loss date]])</f>
        <v>363</v>
      </c>
      <c r="S1574" s="69" t="s">
        <v>16</v>
      </c>
      <c r="T1574" s="70">
        <f>VLOOKUP(Table1[[#This Row],[Policy Year]],exposure_table,3,FALSE)</f>
        <v>1057.54</v>
      </c>
      <c r="U1574" s="17">
        <f>IF(MONTH(Table1[[#This Row],[Reporting date]])&lt;Policy_Inception_Month,YEAR(Table1[[#This Row],[Reporting date]])-1,YEAR(Table1[[#This Row],[Reporting date]]))</f>
        <v>2013</v>
      </c>
      <c r="V1574" s="17">
        <f>Table1[[#This Row],[Reporting year]]-Table1[[#This Row],[Policy Year]]</f>
        <v>1</v>
      </c>
      <c r="W1574" s="17">
        <f>INT(Table1[[#This Row],[Reporting date]])-INT(Table1[[#This Row],[Loss date]])</f>
        <v>363</v>
      </c>
      <c r="X1574" s="17">
        <f>INT((YEAR(Table1[[#This Row],[Loss date]])*12+MONTH(Table1[[#This Row],[Loss date]])-Earliest_Month)/4)</f>
        <v>21</v>
      </c>
      <c r="Y1574" s="17">
        <f>INT((YEAR(Table1[[#This Row],[Reporting date]])*12+MONTH(Table1[[#This Row],[Reporting date]])-Earliest_Month)/4)</f>
        <v>24</v>
      </c>
      <c r="Z1574" s="17">
        <f>Table1[[#This Row],[Reporting third]]-Table1[[#This Row],[Policy third]]</f>
        <v>3</v>
      </c>
      <c r="AA1574" s="71">
        <f>IF(Table1[[#This Row],[Overall amount]]=0,"N/A",Table1[[#This Row],[Outstanding]]/Table1[[#This Row],[Overall amount]])</f>
        <v>1</v>
      </c>
      <c r="AB1574" s="17">
        <f>IF(MONTH(Table1[[#This Row],[Loss date]])&lt;Pol_Inc_Month_Shifted,YEAR(Table1[[#This Row],[Loss date]])-1,YEAR(Table1[[#This Row],[Loss date]]))</f>
        <v>2011</v>
      </c>
      <c r="AC1574" s="17">
        <f>IF(MONTH(Table1[[#This Row],[Reporting date]])&lt;Pol_Inc_Month_Shifted,YEAR(Table1[[#This Row],[Reporting date]])-1,YEAR(Table1[[#This Row],[Reporting date]]))</f>
        <v>2012</v>
      </c>
      <c r="AD1574" s="17">
        <f>Table1[[#This Row],[Reporting year (shifted)]]-Table1[[#This Row],[Policy Year (shifted)]]</f>
        <v>1</v>
      </c>
    </row>
    <row r="1575" spans="1:30" ht="13.9">
      <c r="A1575" s="8" t="s">
        <v>3345</v>
      </c>
      <c r="B1575" s="8" t="s">
        <v>1627</v>
      </c>
      <c r="C1575" s="8" t="s">
        <v>123</v>
      </c>
      <c r="D1575" s="9">
        <v>41412</v>
      </c>
      <c r="E1575" s="9">
        <v>41461</v>
      </c>
      <c r="F1575" s="17">
        <f>IF(MONTH(Table1[[#This Row],[Loss date]])&lt;Policy_Inception_Month,YEAR(Table1[[#This Row],[Loss date]])-1,YEAR(Table1[[#This Row],[Loss date]]))</f>
        <v>2013</v>
      </c>
      <c r="G1575" s="10" t="s">
        <v>131</v>
      </c>
      <c r="H1575" s="10" t="s">
        <v>2</v>
      </c>
      <c r="I1575" s="11">
        <v>0</v>
      </c>
      <c r="J1575" s="11">
        <v>11314.4313031115</v>
      </c>
      <c r="K1575" s="11">
        <v>11314.4313031115</v>
      </c>
      <c r="L1575" s="12">
        <v>0</v>
      </c>
      <c r="M1575" s="12">
        <v>0</v>
      </c>
      <c r="N1575" s="12">
        <v>11314.4313031115</v>
      </c>
      <c r="O1575" s="70">
        <f>IF(Table1[[#This Row],[Overall amount]]=0,0,1)</f>
        <v>1</v>
      </c>
      <c r="P1575" s="70">
        <f>Table1[[#This Row],[Overall amount]]*Exchange_Rate</f>
        <v>11314.4313031115</v>
      </c>
      <c r="Q1575" s="70">
        <f>Table1[[#This Row],[Overall (destination currency)]]*(1+Claims_Inflation)^((Revalue_at_date-Table1[[#This Row],[Loss date]])/365.25)</f>
        <v>12702</v>
      </c>
      <c r="R1575" s="70">
        <f>INT(Table1[[#This Row],[Reporting date]])-INT(Table1[[#This Row],[Loss date]])</f>
        <v>49</v>
      </c>
      <c r="S1575" s="69" t="s">
        <v>16</v>
      </c>
      <c r="T1575" s="70">
        <f>VLOOKUP(Table1[[#This Row],[Policy Year]],exposure_table,3,FALSE)</f>
        <v>1090.5865384615383</v>
      </c>
      <c r="U1575" s="17">
        <f>IF(MONTH(Table1[[#This Row],[Reporting date]])&lt;Policy_Inception_Month,YEAR(Table1[[#This Row],[Reporting date]])-1,YEAR(Table1[[#This Row],[Reporting date]]))</f>
        <v>2013</v>
      </c>
      <c r="V1575" s="17">
        <f>Table1[[#This Row],[Reporting year]]-Table1[[#This Row],[Policy Year]]</f>
        <v>0</v>
      </c>
      <c r="W1575" s="17">
        <f>INT(Table1[[#This Row],[Reporting date]])-INT(Table1[[#This Row],[Loss date]])</f>
        <v>49</v>
      </c>
      <c r="X1575" s="17">
        <f>INT((YEAR(Table1[[#This Row],[Loss date]])*12+MONTH(Table1[[#This Row],[Loss date]])-Earliest_Month)/4)</f>
        <v>24</v>
      </c>
      <c r="Y1575" s="17">
        <f>INT((YEAR(Table1[[#This Row],[Reporting date]])*12+MONTH(Table1[[#This Row],[Reporting date]])-Earliest_Month)/4)</f>
        <v>24</v>
      </c>
      <c r="Z1575" s="17">
        <f>Table1[[#This Row],[Reporting third]]-Table1[[#This Row],[Policy third]]</f>
        <v>0</v>
      </c>
      <c r="AA1575" s="71">
        <f>IF(Table1[[#This Row],[Overall amount]]=0,"N/A",Table1[[#This Row],[Outstanding]]/Table1[[#This Row],[Overall amount]])</f>
        <v>1</v>
      </c>
      <c r="AB1575" s="17">
        <f>IF(MONTH(Table1[[#This Row],[Loss date]])&lt;Pol_Inc_Month_Shifted,YEAR(Table1[[#This Row],[Loss date]])-1,YEAR(Table1[[#This Row],[Loss date]]))</f>
        <v>2012</v>
      </c>
      <c r="AC1575" s="17">
        <f>IF(MONTH(Table1[[#This Row],[Reporting date]])&lt;Pol_Inc_Month_Shifted,YEAR(Table1[[#This Row],[Reporting date]])-1,YEAR(Table1[[#This Row],[Reporting date]]))</f>
        <v>2012</v>
      </c>
      <c r="AD1575" s="17">
        <f>Table1[[#This Row],[Reporting year (shifted)]]-Table1[[#This Row],[Policy Year (shifted)]]</f>
        <v>0</v>
      </c>
    </row>
    <row r="1576" spans="1:30" ht="13.9">
      <c r="A1576" s="8" t="s">
        <v>3346</v>
      </c>
      <c r="B1576" s="8" t="s">
        <v>1628</v>
      </c>
      <c r="C1576" s="8" t="s">
        <v>123</v>
      </c>
      <c r="D1576" s="9">
        <v>41281</v>
      </c>
      <c r="E1576" s="9">
        <v>41461</v>
      </c>
      <c r="F1576" s="17">
        <f>IF(MONTH(Table1[[#This Row],[Loss date]])&lt;Policy_Inception_Month,YEAR(Table1[[#This Row],[Loss date]])-1,YEAR(Table1[[#This Row],[Loss date]]))</f>
        <v>2012</v>
      </c>
      <c r="G1576" s="10" t="s">
        <v>125</v>
      </c>
      <c r="H1576" s="10" t="s">
        <v>2</v>
      </c>
      <c r="I1576" s="11">
        <v>2625.9240151109616</v>
      </c>
      <c r="J1576" s="11">
        <v>7877.7720453328839</v>
      </c>
      <c r="K1576" s="11">
        <v>10503.696060443846</v>
      </c>
      <c r="L1576" s="12">
        <v>0</v>
      </c>
      <c r="M1576" s="12">
        <v>0</v>
      </c>
      <c r="N1576" s="12">
        <v>10503.696060443846</v>
      </c>
      <c r="O1576" s="70">
        <f>IF(Table1[[#This Row],[Overall amount]]=0,0,1)</f>
        <v>1</v>
      </c>
      <c r="P1576" s="70">
        <f>Table1[[#This Row],[Overall amount]]*Exchange_Rate</f>
        <v>10503.696060443846</v>
      </c>
      <c r="Q1576" s="70">
        <f>Table1[[#This Row],[Overall (destination currency)]]*(1+Claims_Inflation)^((Revalue_at_date-Table1[[#This Row],[Loss date]])/365.25)</f>
        <v>12000</v>
      </c>
      <c r="R1576" s="70">
        <f>INT(Table1[[#This Row],[Reporting date]])-INT(Table1[[#This Row],[Loss date]])</f>
        <v>180</v>
      </c>
      <c r="S1576" s="69" t="s">
        <v>16</v>
      </c>
      <c r="T1576" s="70">
        <f>VLOOKUP(Table1[[#This Row],[Policy Year]],exposure_table,3,FALSE)</f>
        <v>1057.54</v>
      </c>
      <c r="U1576" s="17">
        <f>IF(MONTH(Table1[[#This Row],[Reporting date]])&lt;Policy_Inception_Month,YEAR(Table1[[#This Row],[Reporting date]])-1,YEAR(Table1[[#This Row],[Reporting date]]))</f>
        <v>2013</v>
      </c>
      <c r="V1576" s="17">
        <f>Table1[[#This Row],[Reporting year]]-Table1[[#This Row],[Policy Year]]</f>
        <v>1</v>
      </c>
      <c r="W1576" s="17">
        <f>INT(Table1[[#This Row],[Reporting date]])-INT(Table1[[#This Row],[Loss date]])</f>
        <v>180</v>
      </c>
      <c r="X1576" s="17">
        <f>INT((YEAR(Table1[[#This Row],[Loss date]])*12+MONTH(Table1[[#This Row],[Loss date]])-Earliest_Month)/4)</f>
        <v>23</v>
      </c>
      <c r="Y1576" s="17">
        <f>INT((YEAR(Table1[[#This Row],[Reporting date]])*12+MONTH(Table1[[#This Row],[Reporting date]])-Earliest_Month)/4)</f>
        <v>24</v>
      </c>
      <c r="Z1576" s="17">
        <f>Table1[[#This Row],[Reporting third]]-Table1[[#This Row],[Policy third]]</f>
        <v>1</v>
      </c>
      <c r="AA1576" s="71">
        <f>IF(Table1[[#This Row],[Overall amount]]=0,"N/A",Table1[[#This Row],[Outstanding]]/Table1[[#This Row],[Overall amount]])</f>
        <v>0.74999999999999989</v>
      </c>
      <c r="AB1576" s="17">
        <f>IF(MONTH(Table1[[#This Row],[Loss date]])&lt;Pol_Inc_Month_Shifted,YEAR(Table1[[#This Row],[Loss date]])-1,YEAR(Table1[[#This Row],[Loss date]]))</f>
        <v>2012</v>
      </c>
      <c r="AC1576" s="17">
        <f>IF(MONTH(Table1[[#This Row],[Reporting date]])&lt;Pol_Inc_Month_Shifted,YEAR(Table1[[#This Row],[Reporting date]])-1,YEAR(Table1[[#This Row],[Reporting date]]))</f>
        <v>2012</v>
      </c>
      <c r="AD1576" s="17">
        <f>Table1[[#This Row],[Reporting year (shifted)]]-Table1[[#This Row],[Policy Year (shifted)]]</f>
        <v>0</v>
      </c>
    </row>
    <row r="1577" spans="1:30" ht="13.9">
      <c r="A1577" s="8" t="s">
        <v>3347</v>
      </c>
      <c r="B1577" s="8" t="s">
        <v>1629</v>
      </c>
      <c r="C1577" s="8" t="s">
        <v>123</v>
      </c>
      <c r="D1577" s="9">
        <v>41455</v>
      </c>
      <c r="E1577" s="9">
        <v>41456</v>
      </c>
      <c r="F1577" s="17">
        <f>IF(MONTH(Table1[[#This Row],[Loss date]])&lt;Policy_Inception_Month,YEAR(Table1[[#This Row],[Loss date]])-1,YEAR(Table1[[#This Row],[Loss date]]))</f>
        <v>2013</v>
      </c>
      <c r="G1577" s="10" t="s">
        <v>126</v>
      </c>
      <c r="H1577" s="10" t="s">
        <v>2</v>
      </c>
      <c r="I1577" s="11">
        <v>0</v>
      </c>
      <c r="J1577" s="11">
        <v>8600.5538523143914</v>
      </c>
      <c r="K1577" s="11">
        <v>8600.5538523143914</v>
      </c>
      <c r="L1577" s="12">
        <v>0</v>
      </c>
      <c r="M1577" s="12">
        <v>0</v>
      </c>
      <c r="N1577" s="12">
        <v>8600.5538523143914</v>
      </c>
      <c r="O1577" s="70">
        <f>IF(Table1[[#This Row],[Overall amount]]=0,0,1)</f>
        <v>1</v>
      </c>
      <c r="P1577" s="70">
        <f>Table1[[#This Row],[Overall amount]]*Exchange_Rate</f>
        <v>8600.5538523143914</v>
      </c>
      <c r="Q1577" s="70">
        <f>Table1[[#This Row],[Overall (destination currency)]]*(1+Claims_Inflation)^((Revalue_at_date-Table1[[#This Row],[Loss date]])/365.25)</f>
        <v>9599.9999999999982</v>
      </c>
      <c r="R1577" s="70">
        <f>INT(Table1[[#This Row],[Reporting date]])-INT(Table1[[#This Row],[Loss date]])</f>
        <v>1</v>
      </c>
      <c r="S1577" s="69" t="s">
        <v>16</v>
      </c>
      <c r="T1577" s="70">
        <f>VLOOKUP(Table1[[#This Row],[Policy Year]],exposure_table,3,FALSE)</f>
        <v>1090.5865384615383</v>
      </c>
      <c r="U1577" s="17">
        <f>IF(MONTH(Table1[[#This Row],[Reporting date]])&lt;Policy_Inception_Month,YEAR(Table1[[#This Row],[Reporting date]])-1,YEAR(Table1[[#This Row],[Reporting date]]))</f>
        <v>2013</v>
      </c>
      <c r="V1577" s="17">
        <f>Table1[[#This Row],[Reporting year]]-Table1[[#This Row],[Policy Year]]</f>
        <v>0</v>
      </c>
      <c r="W1577" s="17">
        <f>INT(Table1[[#This Row],[Reporting date]])-INT(Table1[[#This Row],[Loss date]])</f>
        <v>1</v>
      </c>
      <c r="X1577" s="17">
        <f>INT((YEAR(Table1[[#This Row],[Loss date]])*12+MONTH(Table1[[#This Row],[Loss date]])-Earliest_Month)/4)</f>
        <v>24</v>
      </c>
      <c r="Y1577" s="17">
        <f>INT((YEAR(Table1[[#This Row],[Reporting date]])*12+MONTH(Table1[[#This Row],[Reporting date]])-Earliest_Month)/4)</f>
        <v>24</v>
      </c>
      <c r="Z1577" s="17">
        <f>Table1[[#This Row],[Reporting third]]-Table1[[#This Row],[Policy third]]</f>
        <v>0</v>
      </c>
      <c r="AA1577" s="71">
        <f>IF(Table1[[#This Row],[Overall amount]]=0,"N/A",Table1[[#This Row],[Outstanding]]/Table1[[#This Row],[Overall amount]])</f>
        <v>1</v>
      </c>
      <c r="AB1577" s="17">
        <f>IF(MONTH(Table1[[#This Row],[Loss date]])&lt;Pol_Inc_Month_Shifted,YEAR(Table1[[#This Row],[Loss date]])-1,YEAR(Table1[[#This Row],[Loss date]]))</f>
        <v>2012</v>
      </c>
      <c r="AC1577" s="17">
        <f>IF(MONTH(Table1[[#This Row],[Reporting date]])&lt;Pol_Inc_Month_Shifted,YEAR(Table1[[#This Row],[Reporting date]])-1,YEAR(Table1[[#This Row],[Reporting date]]))</f>
        <v>2012</v>
      </c>
      <c r="AD1577" s="17">
        <f>Table1[[#This Row],[Reporting year (shifted)]]-Table1[[#This Row],[Policy Year (shifted)]]</f>
        <v>0</v>
      </c>
    </row>
    <row r="1578" spans="1:30" ht="13.9">
      <c r="A1578" s="8" t="s">
        <v>3348</v>
      </c>
      <c r="B1578" s="8" t="s">
        <v>1630</v>
      </c>
      <c r="C1578" s="8" t="s">
        <v>123</v>
      </c>
      <c r="D1578" s="9">
        <v>41301</v>
      </c>
      <c r="E1578" s="9">
        <v>41476</v>
      </c>
      <c r="F1578" s="17">
        <f>IF(MONTH(Table1[[#This Row],[Loss date]])&lt;Policy_Inception_Month,YEAR(Table1[[#This Row],[Loss date]])-1,YEAR(Table1[[#This Row],[Loss date]]))</f>
        <v>2012</v>
      </c>
      <c r="G1578" s="10" t="s">
        <v>125</v>
      </c>
      <c r="H1578" s="10" t="s">
        <v>2</v>
      </c>
      <c r="I1578" s="11">
        <v>0</v>
      </c>
      <c r="J1578" s="11">
        <v>0</v>
      </c>
      <c r="K1578" s="11">
        <v>0</v>
      </c>
      <c r="L1578" s="12">
        <v>0</v>
      </c>
      <c r="M1578" s="12">
        <v>0</v>
      </c>
      <c r="N1578" s="12">
        <v>0</v>
      </c>
      <c r="O1578" s="70">
        <f>IF(Table1[[#This Row],[Overall amount]]=0,0,1)</f>
        <v>0</v>
      </c>
      <c r="P1578" s="70">
        <f>Table1[[#This Row],[Overall amount]]*Exchange_Rate</f>
        <v>0</v>
      </c>
      <c r="Q1578" s="70">
        <f>Table1[[#This Row],[Overall (destination currency)]]*(1+Claims_Inflation)^((Revalue_at_date-Table1[[#This Row],[Loss date]])/365.25)</f>
        <v>0</v>
      </c>
      <c r="R1578" s="70">
        <f>INT(Table1[[#This Row],[Reporting date]])-INT(Table1[[#This Row],[Loss date]])</f>
        <v>175</v>
      </c>
      <c r="S1578" s="69" t="s">
        <v>9</v>
      </c>
      <c r="T1578" s="70">
        <f>VLOOKUP(Table1[[#This Row],[Policy Year]],exposure_table,3,FALSE)</f>
        <v>1057.54</v>
      </c>
      <c r="U1578" s="17">
        <f>IF(MONTH(Table1[[#This Row],[Reporting date]])&lt;Policy_Inception_Month,YEAR(Table1[[#This Row],[Reporting date]])-1,YEAR(Table1[[#This Row],[Reporting date]]))</f>
        <v>2013</v>
      </c>
      <c r="V1578" s="17">
        <f>Table1[[#This Row],[Reporting year]]-Table1[[#This Row],[Policy Year]]</f>
        <v>1</v>
      </c>
      <c r="W1578" s="17">
        <f>INT(Table1[[#This Row],[Reporting date]])-INT(Table1[[#This Row],[Loss date]])</f>
        <v>175</v>
      </c>
      <c r="X1578" s="17">
        <f>INT((YEAR(Table1[[#This Row],[Loss date]])*12+MONTH(Table1[[#This Row],[Loss date]])-Earliest_Month)/4)</f>
        <v>23</v>
      </c>
      <c r="Y1578" s="17">
        <f>INT((YEAR(Table1[[#This Row],[Reporting date]])*12+MONTH(Table1[[#This Row],[Reporting date]])-Earliest_Month)/4)</f>
        <v>24</v>
      </c>
      <c r="Z1578" s="17">
        <f>Table1[[#This Row],[Reporting third]]-Table1[[#This Row],[Policy third]]</f>
        <v>1</v>
      </c>
      <c r="AA1578" s="71" t="str">
        <f>IF(Table1[[#This Row],[Overall amount]]=0,"N/A",Table1[[#This Row],[Outstanding]]/Table1[[#This Row],[Overall amount]])</f>
        <v>N/A</v>
      </c>
      <c r="AB1578" s="17">
        <f>IF(MONTH(Table1[[#This Row],[Loss date]])&lt;Pol_Inc_Month_Shifted,YEAR(Table1[[#This Row],[Loss date]])-1,YEAR(Table1[[#This Row],[Loss date]]))</f>
        <v>2012</v>
      </c>
      <c r="AC1578" s="17">
        <f>IF(MONTH(Table1[[#This Row],[Reporting date]])&lt;Pol_Inc_Month_Shifted,YEAR(Table1[[#This Row],[Reporting date]])-1,YEAR(Table1[[#This Row],[Reporting date]]))</f>
        <v>2012</v>
      </c>
      <c r="AD1578" s="17">
        <f>Table1[[#This Row],[Reporting year (shifted)]]-Table1[[#This Row],[Policy Year (shifted)]]</f>
        <v>0</v>
      </c>
    </row>
    <row r="1579" spans="1:30" ht="13.9">
      <c r="A1579" s="8" t="s">
        <v>3349</v>
      </c>
      <c r="B1579" s="8" t="s">
        <v>1631</v>
      </c>
      <c r="C1579" s="8" t="s">
        <v>123</v>
      </c>
      <c r="D1579" s="9">
        <v>41401</v>
      </c>
      <c r="E1579" s="9">
        <v>41489</v>
      </c>
      <c r="F1579" s="17">
        <f>IF(MONTH(Table1[[#This Row],[Loss date]])&lt;Policy_Inception_Month,YEAR(Table1[[#This Row],[Loss date]])-1,YEAR(Table1[[#This Row],[Loss date]]))</f>
        <v>2013</v>
      </c>
      <c r="G1579" s="10" t="s">
        <v>127</v>
      </c>
      <c r="H1579" s="10" t="s">
        <v>2</v>
      </c>
      <c r="I1579" s="11">
        <v>354.14417650029156</v>
      </c>
      <c r="J1579" s="11">
        <v>11386.621168596777</v>
      </c>
      <c r="K1579" s="11">
        <v>11740.76534509707</v>
      </c>
      <c r="L1579" s="12">
        <v>320.20269122992005</v>
      </c>
      <c r="M1579" s="12">
        <v>0</v>
      </c>
      <c r="N1579" s="12">
        <v>12060.968036326991</v>
      </c>
      <c r="O1579" s="70">
        <f>IF(Table1[[#This Row],[Overall amount]]=0,0,1)</f>
        <v>1</v>
      </c>
      <c r="P1579" s="70">
        <f>Table1[[#This Row],[Overall amount]]*Exchange_Rate</f>
        <v>12060.968036326991</v>
      </c>
      <c r="Q1579" s="70">
        <f>Table1[[#This Row],[Overall (destination currency)]]*(1+Claims_Inflation)^((Revalue_at_date-Table1[[#This Row],[Loss date]])/365.25)</f>
        <v>13560.000000000005</v>
      </c>
      <c r="R1579" s="70">
        <f>INT(Table1[[#This Row],[Reporting date]])-INT(Table1[[#This Row],[Loss date]])</f>
        <v>88</v>
      </c>
      <c r="S1579" s="69" t="s">
        <v>16</v>
      </c>
      <c r="T1579" s="70">
        <f>VLOOKUP(Table1[[#This Row],[Policy Year]],exposure_table,3,FALSE)</f>
        <v>1090.5865384615383</v>
      </c>
      <c r="U1579" s="17">
        <f>IF(MONTH(Table1[[#This Row],[Reporting date]])&lt;Policy_Inception_Month,YEAR(Table1[[#This Row],[Reporting date]])-1,YEAR(Table1[[#This Row],[Reporting date]]))</f>
        <v>2013</v>
      </c>
      <c r="V1579" s="17">
        <f>Table1[[#This Row],[Reporting year]]-Table1[[#This Row],[Policy Year]]</f>
        <v>0</v>
      </c>
      <c r="W1579" s="17">
        <f>INT(Table1[[#This Row],[Reporting date]])-INT(Table1[[#This Row],[Loss date]])</f>
        <v>88</v>
      </c>
      <c r="X1579" s="17">
        <f>INT((YEAR(Table1[[#This Row],[Loss date]])*12+MONTH(Table1[[#This Row],[Loss date]])-Earliest_Month)/4)</f>
        <v>24</v>
      </c>
      <c r="Y1579" s="17">
        <f>INT((YEAR(Table1[[#This Row],[Reporting date]])*12+MONTH(Table1[[#This Row],[Reporting date]])-Earliest_Month)/4)</f>
        <v>25</v>
      </c>
      <c r="Z1579" s="17">
        <f>Table1[[#This Row],[Reporting third]]-Table1[[#This Row],[Policy third]]</f>
        <v>1</v>
      </c>
      <c r="AA1579" s="71">
        <f>IF(Table1[[#This Row],[Overall amount]]=0,"N/A",Table1[[#This Row],[Outstanding]]/Table1[[#This Row],[Overall amount]])</f>
        <v>0.94408849557522112</v>
      </c>
      <c r="AB1579" s="17">
        <f>IF(MONTH(Table1[[#This Row],[Loss date]])&lt;Pol_Inc_Month_Shifted,YEAR(Table1[[#This Row],[Loss date]])-1,YEAR(Table1[[#This Row],[Loss date]]))</f>
        <v>2012</v>
      </c>
      <c r="AC1579" s="17">
        <f>IF(MONTH(Table1[[#This Row],[Reporting date]])&lt;Pol_Inc_Month_Shifted,YEAR(Table1[[#This Row],[Reporting date]])-1,YEAR(Table1[[#This Row],[Reporting date]]))</f>
        <v>2012</v>
      </c>
      <c r="AD1579" s="17">
        <f>Table1[[#This Row],[Reporting year (shifted)]]-Table1[[#This Row],[Policy Year (shifted)]]</f>
        <v>0</v>
      </c>
    </row>
    <row r="1580" spans="1:30" ht="13.9">
      <c r="A1580" s="8" t="s">
        <v>3350</v>
      </c>
      <c r="B1580" s="8" t="s">
        <v>1632</v>
      </c>
      <c r="C1580" s="8" t="s">
        <v>123</v>
      </c>
      <c r="D1580" s="9">
        <v>41153</v>
      </c>
      <c r="E1580" s="9">
        <v>41496</v>
      </c>
      <c r="F1580" s="17">
        <f>IF(MONTH(Table1[[#This Row],[Loss date]])&lt;Policy_Inception_Month,YEAR(Table1[[#This Row],[Loss date]])-1,YEAR(Table1[[#This Row],[Loss date]]))</f>
        <v>2012</v>
      </c>
      <c r="G1580" s="10" t="s">
        <v>125</v>
      </c>
      <c r="H1580" s="10" t="s">
        <v>2</v>
      </c>
      <c r="I1580" s="11">
        <v>0</v>
      </c>
      <c r="J1580" s="11">
        <v>20651.255514664066</v>
      </c>
      <c r="K1580" s="11">
        <v>20651.255514664066</v>
      </c>
      <c r="L1580" s="12">
        <v>0</v>
      </c>
      <c r="M1580" s="12">
        <v>0</v>
      </c>
      <c r="N1580" s="12">
        <v>20651.255514664066</v>
      </c>
      <c r="O1580" s="70">
        <f>IF(Table1[[#This Row],[Overall amount]]=0,0,1)</f>
        <v>1</v>
      </c>
      <c r="P1580" s="70">
        <f>Table1[[#This Row],[Overall amount]]*Exchange_Rate</f>
        <v>20651.255514664066</v>
      </c>
      <c r="Q1580" s="70">
        <f>Table1[[#This Row],[Overall (destination currency)]]*(1+Claims_Inflation)^((Revalue_at_date-Table1[[#This Row],[Loss date]])/365.25)</f>
        <v>24000</v>
      </c>
      <c r="R1580" s="70">
        <f>INT(Table1[[#This Row],[Reporting date]])-INT(Table1[[#This Row],[Loss date]])</f>
        <v>343</v>
      </c>
      <c r="S1580" s="69" t="s">
        <v>16</v>
      </c>
      <c r="T1580" s="70">
        <f>VLOOKUP(Table1[[#This Row],[Policy Year]],exposure_table,3,FALSE)</f>
        <v>1057.54</v>
      </c>
      <c r="U1580" s="17">
        <f>IF(MONTH(Table1[[#This Row],[Reporting date]])&lt;Policy_Inception_Month,YEAR(Table1[[#This Row],[Reporting date]])-1,YEAR(Table1[[#This Row],[Reporting date]]))</f>
        <v>2013</v>
      </c>
      <c r="V1580" s="17">
        <f>Table1[[#This Row],[Reporting year]]-Table1[[#This Row],[Policy Year]]</f>
        <v>1</v>
      </c>
      <c r="W1580" s="17">
        <f>INT(Table1[[#This Row],[Reporting date]])-INT(Table1[[#This Row],[Loss date]])</f>
        <v>343</v>
      </c>
      <c r="X1580" s="17">
        <f>INT((YEAR(Table1[[#This Row],[Loss date]])*12+MONTH(Table1[[#This Row],[Loss date]])-Earliest_Month)/4)</f>
        <v>22</v>
      </c>
      <c r="Y1580" s="17">
        <f>INT((YEAR(Table1[[#This Row],[Reporting date]])*12+MONTH(Table1[[#This Row],[Reporting date]])-Earliest_Month)/4)</f>
        <v>25</v>
      </c>
      <c r="Z1580" s="17">
        <f>Table1[[#This Row],[Reporting third]]-Table1[[#This Row],[Policy third]]</f>
        <v>3</v>
      </c>
      <c r="AA1580" s="71">
        <f>IF(Table1[[#This Row],[Overall amount]]=0,"N/A",Table1[[#This Row],[Outstanding]]/Table1[[#This Row],[Overall amount]])</f>
        <v>1</v>
      </c>
      <c r="AB1580" s="17">
        <f>IF(MONTH(Table1[[#This Row],[Loss date]])&lt;Pol_Inc_Month_Shifted,YEAR(Table1[[#This Row],[Loss date]])-1,YEAR(Table1[[#This Row],[Loss date]]))</f>
        <v>2011</v>
      </c>
      <c r="AC1580" s="17">
        <f>IF(MONTH(Table1[[#This Row],[Reporting date]])&lt;Pol_Inc_Month_Shifted,YEAR(Table1[[#This Row],[Reporting date]])-1,YEAR(Table1[[#This Row],[Reporting date]]))</f>
        <v>2012</v>
      </c>
      <c r="AD1580" s="17">
        <f>Table1[[#This Row],[Reporting year (shifted)]]-Table1[[#This Row],[Policy Year (shifted)]]</f>
        <v>1</v>
      </c>
    </row>
    <row r="1581" spans="1:30" ht="13.9">
      <c r="A1581" s="8" t="s">
        <v>3351</v>
      </c>
      <c r="B1581" s="8" t="s">
        <v>1633</v>
      </c>
      <c r="C1581" s="8" t="s">
        <v>123</v>
      </c>
      <c r="D1581" s="9">
        <v>41393</v>
      </c>
      <c r="E1581" s="9">
        <v>41496</v>
      </c>
      <c r="F1581" s="17">
        <f>IF(MONTH(Table1[[#This Row],[Loss date]])&lt;Policy_Inception_Month,YEAR(Table1[[#This Row],[Loss date]])-1,YEAR(Table1[[#This Row],[Loss date]]))</f>
        <v>2013</v>
      </c>
      <c r="G1581" s="10" t="s">
        <v>125</v>
      </c>
      <c r="H1581" s="10" t="s">
        <v>2</v>
      </c>
      <c r="I1581" s="11">
        <v>0</v>
      </c>
      <c r="J1581" s="11">
        <v>1.0662023070354358</v>
      </c>
      <c r="K1581" s="11">
        <v>1.0662023070354358</v>
      </c>
      <c r="L1581" s="12">
        <v>0</v>
      </c>
      <c r="M1581" s="12">
        <v>0</v>
      </c>
      <c r="N1581" s="12">
        <v>1.0662023070354358</v>
      </c>
      <c r="O1581" s="70">
        <f>IF(Table1[[#This Row],[Overall amount]]=0,0,1)</f>
        <v>1</v>
      </c>
      <c r="P1581" s="70">
        <f>Table1[[#This Row],[Overall amount]]*Exchange_Rate</f>
        <v>1.0662023070354358</v>
      </c>
      <c r="Q1581" s="70">
        <f>Table1[[#This Row],[Overall (destination currency)]]*(1+Claims_Inflation)^((Revalue_at_date-Table1[[#This Row],[Loss date]])/365.25)</f>
        <v>1.2</v>
      </c>
      <c r="R1581" s="70">
        <f>INT(Table1[[#This Row],[Reporting date]])-INT(Table1[[#This Row],[Loss date]])</f>
        <v>103</v>
      </c>
      <c r="S1581" s="69" t="s">
        <v>16</v>
      </c>
      <c r="T1581" s="70">
        <f>VLOOKUP(Table1[[#This Row],[Policy Year]],exposure_table,3,FALSE)</f>
        <v>1090.5865384615383</v>
      </c>
      <c r="U1581" s="17">
        <f>IF(MONTH(Table1[[#This Row],[Reporting date]])&lt;Policy_Inception_Month,YEAR(Table1[[#This Row],[Reporting date]])-1,YEAR(Table1[[#This Row],[Reporting date]]))</f>
        <v>2013</v>
      </c>
      <c r="V1581" s="17">
        <f>Table1[[#This Row],[Reporting year]]-Table1[[#This Row],[Policy Year]]</f>
        <v>0</v>
      </c>
      <c r="W1581" s="17">
        <f>INT(Table1[[#This Row],[Reporting date]])-INT(Table1[[#This Row],[Loss date]])</f>
        <v>103</v>
      </c>
      <c r="X1581" s="17">
        <f>INT((YEAR(Table1[[#This Row],[Loss date]])*12+MONTH(Table1[[#This Row],[Loss date]])-Earliest_Month)/4)</f>
        <v>24</v>
      </c>
      <c r="Y1581" s="17">
        <f>INT((YEAR(Table1[[#This Row],[Reporting date]])*12+MONTH(Table1[[#This Row],[Reporting date]])-Earliest_Month)/4)</f>
        <v>25</v>
      </c>
      <c r="Z1581" s="17">
        <f>Table1[[#This Row],[Reporting third]]-Table1[[#This Row],[Policy third]]</f>
        <v>1</v>
      </c>
      <c r="AA1581" s="71">
        <f>IF(Table1[[#This Row],[Overall amount]]=0,"N/A",Table1[[#This Row],[Outstanding]]/Table1[[#This Row],[Overall amount]])</f>
        <v>1</v>
      </c>
      <c r="AB1581" s="17">
        <f>IF(MONTH(Table1[[#This Row],[Loss date]])&lt;Pol_Inc_Month_Shifted,YEAR(Table1[[#This Row],[Loss date]])-1,YEAR(Table1[[#This Row],[Loss date]]))</f>
        <v>2012</v>
      </c>
      <c r="AC1581" s="17">
        <f>IF(MONTH(Table1[[#This Row],[Reporting date]])&lt;Pol_Inc_Month_Shifted,YEAR(Table1[[#This Row],[Reporting date]])-1,YEAR(Table1[[#This Row],[Reporting date]]))</f>
        <v>2012</v>
      </c>
      <c r="AD1581" s="17">
        <f>Table1[[#This Row],[Reporting year (shifted)]]-Table1[[#This Row],[Policy Year (shifted)]]</f>
        <v>0</v>
      </c>
    </row>
    <row r="1582" spans="1:30" ht="13.9">
      <c r="A1582" s="8" t="s">
        <v>3352</v>
      </c>
      <c r="B1582" s="8" t="s">
        <v>1634</v>
      </c>
      <c r="C1582" s="8" t="s">
        <v>123</v>
      </c>
      <c r="D1582" s="9">
        <v>41456</v>
      </c>
      <c r="E1582" s="9">
        <v>41496</v>
      </c>
      <c r="F1582" s="17">
        <f>IF(MONTH(Table1[[#This Row],[Loss date]])&lt;Policy_Inception_Month,YEAR(Table1[[#This Row],[Loss date]])-1,YEAR(Table1[[#This Row],[Loss date]]))</f>
        <v>2013</v>
      </c>
      <c r="G1582" s="10" t="s">
        <v>125</v>
      </c>
      <c r="H1582" s="10" t="s">
        <v>2</v>
      </c>
      <c r="I1582" s="11">
        <v>0</v>
      </c>
      <c r="J1582" s="11">
        <v>9676.9156417457016</v>
      </c>
      <c r="K1582" s="11">
        <v>9676.9156417457016</v>
      </c>
      <c r="L1582" s="12">
        <v>0</v>
      </c>
      <c r="M1582" s="12">
        <v>0</v>
      </c>
      <c r="N1582" s="12">
        <v>9676.9156417457016</v>
      </c>
      <c r="O1582" s="70">
        <f>IF(Table1[[#This Row],[Overall amount]]=0,0,1)</f>
        <v>1</v>
      </c>
      <c r="P1582" s="70">
        <f>Table1[[#This Row],[Overall amount]]*Exchange_Rate</f>
        <v>9676.9156417457016</v>
      </c>
      <c r="Q1582" s="70">
        <f>Table1[[#This Row],[Overall (destination currency)]]*(1+Claims_Inflation)^((Revalue_at_date-Table1[[#This Row],[Loss date]])/365.25)</f>
        <v>10800.000000000002</v>
      </c>
      <c r="R1582" s="70">
        <f>INT(Table1[[#This Row],[Reporting date]])-INT(Table1[[#This Row],[Loss date]])</f>
        <v>40</v>
      </c>
      <c r="S1582" s="69" t="s">
        <v>16</v>
      </c>
      <c r="T1582" s="70">
        <f>VLOOKUP(Table1[[#This Row],[Policy Year]],exposure_table,3,FALSE)</f>
        <v>1090.5865384615383</v>
      </c>
      <c r="U1582" s="17">
        <f>IF(MONTH(Table1[[#This Row],[Reporting date]])&lt;Policy_Inception_Month,YEAR(Table1[[#This Row],[Reporting date]])-1,YEAR(Table1[[#This Row],[Reporting date]]))</f>
        <v>2013</v>
      </c>
      <c r="V1582" s="17">
        <f>Table1[[#This Row],[Reporting year]]-Table1[[#This Row],[Policy Year]]</f>
        <v>0</v>
      </c>
      <c r="W1582" s="17">
        <f>INT(Table1[[#This Row],[Reporting date]])-INT(Table1[[#This Row],[Loss date]])</f>
        <v>40</v>
      </c>
      <c r="X1582" s="17">
        <f>INT((YEAR(Table1[[#This Row],[Loss date]])*12+MONTH(Table1[[#This Row],[Loss date]])-Earliest_Month)/4)</f>
        <v>24</v>
      </c>
      <c r="Y1582" s="17">
        <f>INT((YEAR(Table1[[#This Row],[Reporting date]])*12+MONTH(Table1[[#This Row],[Reporting date]])-Earliest_Month)/4)</f>
        <v>25</v>
      </c>
      <c r="Z1582" s="17">
        <f>Table1[[#This Row],[Reporting third]]-Table1[[#This Row],[Policy third]]</f>
        <v>1</v>
      </c>
      <c r="AA1582" s="71">
        <f>IF(Table1[[#This Row],[Overall amount]]=0,"N/A",Table1[[#This Row],[Outstanding]]/Table1[[#This Row],[Overall amount]])</f>
        <v>1</v>
      </c>
      <c r="AB1582" s="17">
        <f>IF(MONTH(Table1[[#This Row],[Loss date]])&lt;Pol_Inc_Month_Shifted,YEAR(Table1[[#This Row],[Loss date]])-1,YEAR(Table1[[#This Row],[Loss date]]))</f>
        <v>2012</v>
      </c>
      <c r="AC1582" s="17">
        <f>IF(MONTH(Table1[[#This Row],[Reporting date]])&lt;Pol_Inc_Month_Shifted,YEAR(Table1[[#This Row],[Reporting date]])-1,YEAR(Table1[[#This Row],[Reporting date]]))</f>
        <v>2012</v>
      </c>
      <c r="AD1582" s="17">
        <f>Table1[[#This Row],[Reporting year (shifted)]]-Table1[[#This Row],[Policy Year (shifted)]]</f>
        <v>0</v>
      </c>
    </row>
    <row r="1583" spans="1:30" ht="13.9">
      <c r="A1583" s="8" t="s">
        <v>3353</v>
      </c>
      <c r="B1583" s="8" t="s">
        <v>1635</v>
      </c>
      <c r="C1583" s="8" t="s">
        <v>123</v>
      </c>
      <c r="D1583" s="9">
        <v>41215</v>
      </c>
      <c r="E1583" s="9">
        <v>41498</v>
      </c>
      <c r="F1583" s="17">
        <f>IF(MONTH(Table1[[#This Row],[Loss date]])&lt;Policy_Inception_Month,YEAR(Table1[[#This Row],[Loss date]])-1,YEAR(Table1[[#This Row],[Loss date]]))</f>
        <v>2012</v>
      </c>
      <c r="G1583" s="10" t="s">
        <v>125</v>
      </c>
      <c r="H1583" s="10" t="s">
        <v>2</v>
      </c>
      <c r="I1583" s="11">
        <v>0</v>
      </c>
      <c r="J1583" s="11">
        <v>8849.7745045554802</v>
      </c>
      <c r="K1583" s="11">
        <v>8849.7745045554802</v>
      </c>
      <c r="L1583" s="12">
        <v>0</v>
      </c>
      <c r="M1583" s="12">
        <v>732.96955896553629</v>
      </c>
      <c r="N1583" s="12">
        <v>8116.8049455899436</v>
      </c>
      <c r="O1583" s="70">
        <f>IF(Table1[[#This Row],[Overall amount]]=0,0,1)</f>
        <v>1</v>
      </c>
      <c r="P1583" s="70">
        <f>Table1[[#This Row],[Overall amount]]*Exchange_Rate</f>
        <v>8116.8049455899436</v>
      </c>
      <c r="Q1583" s="70">
        <f>Table1[[#This Row],[Overall (destination currency)]]*(1+Claims_Inflation)^((Revalue_at_date-Table1[[#This Row],[Loss date]])/365.25)</f>
        <v>9355.1999999999989</v>
      </c>
      <c r="R1583" s="70">
        <f>INT(Table1[[#This Row],[Reporting date]])-INT(Table1[[#This Row],[Loss date]])</f>
        <v>283</v>
      </c>
      <c r="S1583" s="69" t="s">
        <v>16</v>
      </c>
      <c r="T1583" s="70">
        <f>VLOOKUP(Table1[[#This Row],[Policy Year]],exposure_table,3,FALSE)</f>
        <v>1057.54</v>
      </c>
      <c r="U1583" s="17">
        <f>IF(MONTH(Table1[[#This Row],[Reporting date]])&lt;Policy_Inception_Month,YEAR(Table1[[#This Row],[Reporting date]])-1,YEAR(Table1[[#This Row],[Reporting date]]))</f>
        <v>2013</v>
      </c>
      <c r="V1583" s="17">
        <f>Table1[[#This Row],[Reporting year]]-Table1[[#This Row],[Policy Year]]</f>
        <v>1</v>
      </c>
      <c r="W1583" s="17">
        <f>INT(Table1[[#This Row],[Reporting date]])-INT(Table1[[#This Row],[Loss date]])</f>
        <v>283</v>
      </c>
      <c r="X1583" s="17">
        <f>INT((YEAR(Table1[[#This Row],[Loss date]])*12+MONTH(Table1[[#This Row],[Loss date]])-Earliest_Month)/4)</f>
        <v>22</v>
      </c>
      <c r="Y1583" s="17">
        <f>INT((YEAR(Table1[[#This Row],[Reporting date]])*12+MONTH(Table1[[#This Row],[Reporting date]])-Earliest_Month)/4)</f>
        <v>25</v>
      </c>
      <c r="Z1583" s="17">
        <f>Table1[[#This Row],[Reporting third]]-Table1[[#This Row],[Policy third]]</f>
        <v>3</v>
      </c>
      <c r="AA1583" s="71">
        <f>IF(Table1[[#This Row],[Overall amount]]=0,"N/A",Table1[[#This Row],[Outstanding]]/Table1[[#This Row],[Overall amount]])</f>
        <v>1.0903027193432531</v>
      </c>
      <c r="AB1583" s="17">
        <f>IF(MONTH(Table1[[#This Row],[Loss date]])&lt;Pol_Inc_Month_Shifted,YEAR(Table1[[#This Row],[Loss date]])-1,YEAR(Table1[[#This Row],[Loss date]]))</f>
        <v>2011</v>
      </c>
      <c r="AC1583" s="17">
        <f>IF(MONTH(Table1[[#This Row],[Reporting date]])&lt;Pol_Inc_Month_Shifted,YEAR(Table1[[#This Row],[Reporting date]])-1,YEAR(Table1[[#This Row],[Reporting date]]))</f>
        <v>2012</v>
      </c>
      <c r="AD1583" s="17">
        <f>Table1[[#This Row],[Reporting year (shifted)]]-Table1[[#This Row],[Policy Year (shifted)]]</f>
        <v>1</v>
      </c>
    </row>
    <row r="1584" spans="1:30" ht="13.9">
      <c r="A1584" s="8" t="s">
        <v>3354</v>
      </c>
      <c r="B1584" s="8" t="s">
        <v>1636</v>
      </c>
      <c r="C1584" s="8" t="s">
        <v>123</v>
      </c>
      <c r="D1584" s="9">
        <v>41162</v>
      </c>
      <c r="E1584" s="9">
        <v>41498</v>
      </c>
      <c r="F1584" s="17">
        <f>IF(MONTH(Table1[[#This Row],[Loss date]])&lt;Policy_Inception_Month,YEAR(Table1[[#This Row],[Loss date]])-1,YEAR(Table1[[#This Row],[Loss date]]))</f>
        <v>2012</v>
      </c>
      <c r="G1584" s="10" t="s">
        <v>131</v>
      </c>
      <c r="H1584" s="10" t="s">
        <v>2</v>
      </c>
      <c r="I1584" s="11">
        <v>0</v>
      </c>
      <c r="J1584" s="11">
        <v>0</v>
      </c>
      <c r="K1584" s="11">
        <v>0</v>
      </c>
      <c r="L1584" s="12">
        <v>310.14146748391607</v>
      </c>
      <c r="M1584" s="12">
        <v>10.854951361937061</v>
      </c>
      <c r="N1584" s="12">
        <v>299.28651612197899</v>
      </c>
      <c r="O1584" s="70">
        <f>IF(Table1[[#This Row],[Overall amount]]=0,0,1)</f>
        <v>1</v>
      </c>
      <c r="P1584" s="70">
        <f>Table1[[#This Row],[Overall amount]]*Exchange_Rate</f>
        <v>299.28651612197899</v>
      </c>
      <c r="Q1584" s="70">
        <f>Table1[[#This Row],[Overall (destination currency)]]*(1+Claims_Inflation)^((Revalue_at_date-Table1[[#This Row],[Loss date]])/365.25)</f>
        <v>347.4</v>
      </c>
      <c r="R1584" s="70">
        <f>INT(Table1[[#This Row],[Reporting date]])-INT(Table1[[#This Row],[Loss date]])</f>
        <v>336</v>
      </c>
      <c r="S1584" s="69" t="s">
        <v>9</v>
      </c>
      <c r="T1584" s="70">
        <f>VLOOKUP(Table1[[#This Row],[Policy Year]],exposure_table,3,FALSE)</f>
        <v>1057.54</v>
      </c>
      <c r="U1584" s="17">
        <f>IF(MONTH(Table1[[#This Row],[Reporting date]])&lt;Policy_Inception_Month,YEAR(Table1[[#This Row],[Reporting date]])-1,YEAR(Table1[[#This Row],[Reporting date]]))</f>
        <v>2013</v>
      </c>
      <c r="V1584" s="17">
        <f>Table1[[#This Row],[Reporting year]]-Table1[[#This Row],[Policy Year]]</f>
        <v>1</v>
      </c>
      <c r="W1584" s="17">
        <f>INT(Table1[[#This Row],[Reporting date]])-INT(Table1[[#This Row],[Loss date]])</f>
        <v>336</v>
      </c>
      <c r="X1584" s="17">
        <f>INT((YEAR(Table1[[#This Row],[Loss date]])*12+MONTH(Table1[[#This Row],[Loss date]])-Earliest_Month)/4)</f>
        <v>22</v>
      </c>
      <c r="Y1584" s="17">
        <f>INT((YEAR(Table1[[#This Row],[Reporting date]])*12+MONTH(Table1[[#This Row],[Reporting date]])-Earliest_Month)/4)</f>
        <v>25</v>
      </c>
      <c r="Z1584" s="17">
        <f>Table1[[#This Row],[Reporting third]]-Table1[[#This Row],[Policy third]]</f>
        <v>3</v>
      </c>
      <c r="AA1584" s="71">
        <f>IF(Table1[[#This Row],[Overall amount]]=0,"N/A",Table1[[#This Row],[Outstanding]]/Table1[[#This Row],[Overall amount]])</f>
        <v>0</v>
      </c>
      <c r="AB1584" s="17">
        <f>IF(MONTH(Table1[[#This Row],[Loss date]])&lt;Pol_Inc_Month_Shifted,YEAR(Table1[[#This Row],[Loss date]])-1,YEAR(Table1[[#This Row],[Loss date]]))</f>
        <v>2011</v>
      </c>
      <c r="AC1584" s="17">
        <f>IF(MONTH(Table1[[#This Row],[Reporting date]])&lt;Pol_Inc_Month_Shifted,YEAR(Table1[[#This Row],[Reporting date]])-1,YEAR(Table1[[#This Row],[Reporting date]]))</f>
        <v>2012</v>
      </c>
      <c r="AD1584" s="17">
        <f>Table1[[#This Row],[Reporting year (shifted)]]-Table1[[#This Row],[Policy Year (shifted)]]</f>
        <v>1</v>
      </c>
    </row>
    <row r="1585" spans="1:30" ht="13.9">
      <c r="A1585" s="8" t="s">
        <v>3355</v>
      </c>
      <c r="B1585" s="8" t="s">
        <v>1637</v>
      </c>
      <c r="C1585" s="8" t="s">
        <v>123</v>
      </c>
      <c r="D1585" s="9">
        <v>41216</v>
      </c>
      <c r="E1585" s="9">
        <v>41499</v>
      </c>
      <c r="F1585" s="17">
        <f>IF(MONTH(Table1[[#This Row],[Loss date]])&lt;Policy_Inception_Month,YEAR(Table1[[#This Row],[Loss date]])-1,YEAR(Table1[[#This Row],[Loss date]]))</f>
        <v>2012</v>
      </c>
      <c r="G1585" s="10" t="s">
        <v>127</v>
      </c>
      <c r="H1585" s="10" t="s">
        <v>2</v>
      </c>
      <c r="I1585" s="11">
        <v>0</v>
      </c>
      <c r="J1585" s="11">
        <v>15619.335420122576</v>
      </c>
      <c r="K1585" s="11">
        <v>15619.335420122576</v>
      </c>
      <c r="L1585" s="12">
        <v>0</v>
      </c>
      <c r="M1585" s="12">
        <v>0</v>
      </c>
      <c r="N1585" s="12">
        <v>15619.335420122576</v>
      </c>
      <c r="O1585" s="70">
        <f>IF(Table1[[#This Row],[Overall amount]]=0,0,1)</f>
        <v>1</v>
      </c>
      <c r="P1585" s="70">
        <f>Table1[[#This Row],[Overall amount]]*Exchange_Rate</f>
        <v>15619.335420122576</v>
      </c>
      <c r="Q1585" s="70">
        <f>Table1[[#This Row],[Overall (destination currency)]]*(1+Claims_Inflation)^((Revalue_at_date-Table1[[#This Row],[Loss date]])/365.25)</f>
        <v>18000</v>
      </c>
      <c r="R1585" s="70">
        <f>INT(Table1[[#This Row],[Reporting date]])-INT(Table1[[#This Row],[Loss date]])</f>
        <v>283</v>
      </c>
      <c r="S1585" s="69" t="s">
        <v>16</v>
      </c>
      <c r="T1585" s="70">
        <f>VLOOKUP(Table1[[#This Row],[Policy Year]],exposure_table,3,FALSE)</f>
        <v>1057.54</v>
      </c>
      <c r="U1585" s="17">
        <f>IF(MONTH(Table1[[#This Row],[Reporting date]])&lt;Policy_Inception_Month,YEAR(Table1[[#This Row],[Reporting date]])-1,YEAR(Table1[[#This Row],[Reporting date]]))</f>
        <v>2013</v>
      </c>
      <c r="V1585" s="17">
        <f>Table1[[#This Row],[Reporting year]]-Table1[[#This Row],[Policy Year]]</f>
        <v>1</v>
      </c>
      <c r="W1585" s="17">
        <f>INT(Table1[[#This Row],[Reporting date]])-INT(Table1[[#This Row],[Loss date]])</f>
        <v>283</v>
      </c>
      <c r="X1585" s="17">
        <f>INT((YEAR(Table1[[#This Row],[Loss date]])*12+MONTH(Table1[[#This Row],[Loss date]])-Earliest_Month)/4)</f>
        <v>22</v>
      </c>
      <c r="Y1585" s="17">
        <f>INT((YEAR(Table1[[#This Row],[Reporting date]])*12+MONTH(Table1[[#This Row],[Reporting date]])-Earliest_Month)/4)</f>
        <v>25</v>
      </c>
      <c r="Z1585" s="17">
        <f>Table1[[#This Row],[Reporting third]]-Table1[[#This Row],[Policy third]]</f>
        <v>3</v>
      </c>
      <c r="AA1585" s="71">
        <f>IF(Table1[[#This Row],[Overall amount]]=0,"N/A",Table1[[#This Row],[Outstanding]]/Table1[[#This Row],[Overall amount]])</f>
        <v>1</v>
      </c>
      <c r="AB1585" s="17">
        <f>IF(MONTH(Table1[[#This Row],[Loss date]])&lt;Pol_Inc_Month_Shifted,YEAR(Table1[[#This Row],[Loss date]])-1,YEAR(Table1[[#This Row],[Loss date]]))</f>
        <v>2011</v>
      </c>
      <c r="AC1585" s="17">
        <f>IF(MONTH(Table1[[#This Row],[Reporting date]])&lt;Pol_Inc_Month_Shifted,YEAR(Table1[[#This Row],[Reporting date]])-1,YEAR(Table1[[#This Row],[Reporting date]]))</f>
        <v>2012</v>
      </c>
      <c r="AD1585" s="17">
        <f>Table1[[#This Row],[Reporting year (shifted)]]-Table1[[#This Row],[Policy Year (shifted)]]</f>
        <v>1</v>
      </c>
    </row>
    <row r="1586" spans="1:30" ht="13.9">
      <c r="A1586" s="8" t="s">
        <v>3356</v>
      </c>
      <c r="B1586" s="8" t="s">
        <v>1638</v>
      </c>
      <c r="C1586" s="8" t="s">
        <v>123</v>
      </c>
      <c r="D1586" s="9">
        <v>40936</v>
      </c>
      <c r="E1586" s="9">
        <v>41504</v>
      </c>
      <c r="F1586" s="17">
        <f>IF(MONTH(Table1[[#This Row],[Loss date]])&lt;Policy_Inception_Month,YEAR(Table1[[#This Row],[Loss date]])-1,YEAR(Table1[[#This Row],[Loss date]]))</f>
        <v>2011</v>
      </c>
      <c r="G1586" s="10" t="s">
        <v>125</v>
      </c>
      <c r="H1586" s="10" t="s">
        <v>2</v>
      </c>
      <c r="I1586" s="11">
        <v>0</v>
      </c>
      <c r="J1586" s="11">
        <v>1.0030616198658866</v>
      </c>
      <c r="K1586" s="11">
        <v>1.0030616198658866</v>
      </c>
      <c r="L1586" s="12">
        <v>0</v>
      </c>
      <c r="M1586" s="12">
        <v>0</v>
      </c>
      <c r="N1586" s="12">
        <v>1.0030616198658866</v>
      </c>
      <c r="O1586" s="70">
        <f>IF(Table1[[#This Row],[Overall amount]]=0,0,1)</f>
        <v>1</v>
      </c>
      <c r="P1586" s="70">
        <f>Table1[[#This Row],[Overall amount]]*Exchange_Rate</f>
        <v>1.0030616198658866</v>
      </c>
      <c r="Q1586" s="70">
        <f>Table1[[#This Row],[Overall (destination currency)]]*(1+Claims_Inflation)^((Revalue_at_date-Table1[[#This Row],[Loss date]])/365.25)</f>
        <v>1.2</v>
      </c>
      <c r="R1586" s="70">
        <f>INT(Table1[[#This Row],[Reporting date]])-INT(Table1[[#This Row],[Loss date]])</f>
        <v>568</v>
      </c>
      <c r="S1586" s="69" t="s">
        <v>16</v>
      </c>
      <c r="T1586" s="70">
        <f>VLOOKUP(Table1[[#This Row],[Policy Year]],exposure_table,3,FALSE)</f>
        <v>870.52680000000009</v>
      </c>
      <c r="U1586" s="17">
        <f>IF(MONTH(Table1[[#This Row],[Reporting date]])&lt;Policy_Inception_Month,YEAR(Table1[[#This Row],[Reporting date]])-1,YEAR(Table1[[#This Row],[Reporting date]]))</f>
        <v>2013</v>
      </c>
      <c r="V1586" s="17">
        <f>Table1[[#This Row],[Reporting year]]-Table1[[#This Row],[Policy Year]]</f>
        <v>2</v>
      </c>
      <c r="W1586" s="17">
        <f>INT(Table1[[#This Row],[Reporting date]])-INT(Table1[[#This Row],[Loss date]])</f>
        <v>568</v>
      </c>
      <c r="X1586" s="17">
        <f>INT((YEAR(Table1[[#This Row],[Loss date]])*12+MONTH(Table1[[#This Row],[Loss date]])-Earliest_Month)/4)</f>
        <v>20</v>
      </c>
      <c r="Y1586" s="17">
        <f>INT((YEAR(Table1[[#This Row],[Reporting date]])*12+MONTH(Table1[[#This Row],[Reporting date]])-Earliest_Month)/4)</f>
        <v>25</v>
      </c>
      <c r="Z1586" s="17">
        <f>Table1[[#This Row],[Reporting third]]-Table1[[#This Row],[Policy third]]</f>
        <v>5</v>
      </c>
      <c r="AA1586" s="71">
        <f>IF(Table1[[#This Row],[Overall amount]]=0,"N/A",Table1[[#This Row],[Outstanding]]/Table1[[#This Row],[Overall amount]])</f>
        <v>1</v>
      </c>
      <c r="AB1586" s="17">
        <f>IF(MONTH(Table1[[#This Row],[Loss date]])&lt;Pol_Inc_Month_Shifted,YEAR(Table1[[#This Row],[Loss date]])-1,YEAR(Table1[[#This Row],[Loss date]]))</f>
        <v>2011</v>
      </c>
      <c r="AC1586" s="17">
        <f>IF(MONTH(Table1[[#This Row],[Reporting date]])&lt;Pol_Inc_Month_Shifted,YEAR(Table1[[#This Row],[Reporting date]])-1,YEAR(Table1[[#This Row],[Reporting date]]))</f>
        <v>2012</v>
      </c>
      <c r="AD1586" s="17">
        <f>Table1[[#This Row],[Reporting year (shifted)]]-Table1[[#This Row],[Policy Year (shifted)]]</f>
        <v>1</v>
      </c>
    </row>
    <row r="1587" spans="1:30" ht="13.9">
      <c r="A1587" s="8" t="s">
        <v>3357</v>
      </c>
      <c r="B1587" s="8" t="s">
        <v>1639</v>
      </c>
      <c r="C1587" s="8" t="s">
        <v>123</v>
      </c>
      <c r="D1587" s="9">
        <v>40741</v>
      </c>
      <c r="E1587" s="9">
        <v>41509</v>
      </c>
      <c r="F1587" s="17">
        <f>IF(MONTH(Table1[[#This Row],[Loss date]])&lt;Policy_Inception_Month,YEAR(Table1[[#This Row],[Loss date]])-1,YEAR(Table1[[#This Row],[Loss date]]))</f>
        <v>2011</v>
      </c>
      <c r="G1587" s="10" t="s">
        <v>124</v>
      </c>
      <c r="H1587" s="10" t="s">
        <v>2</v>
      </c>
      <c r="I1587" s="11">
        <v>0</v>
      </c>
      <c r="J1587" s="11">
        <v>0</v>
      </c>
      <c r="K1587" s="11">
        <v>0</v>
      </c>
      <c r="L1587" s="12">
        <v>0</v>
      </c>
      <c r="M1587" s="12">
        <v>0</v>
      </c>
      <c r="N1587" s="12">
        <v>0</v>
      </c>
      <c r="O1587" s="70">
        <f>IF(Table1[[#This Row],[Overall amount]]=0,0,1)</f>
        <v>0</v>
      </c>
      <c r="P1587" s="70">
        <f>Table1[[#This Row],[Overall amount]]*Exchange_Rate</f>
        <v>0</v>
      </c>
      <c r="Q1587" s="70">
        <f>Table1[[#This Row],[Overall (destination currency)]]*(1+Claims_Inflation)^((Revalue_at_date-Table1[[#This Row],[Loss date]])/365.25)</f>
        <v>0</v>
      </c>
      <c r="R1587" s="70">
        <f>INT(Table1[[#This Row],[Reporting date]])-INT(Table1[[#This Row],[Loss date]])</f>
        <v>768</v>
      </c>
      <c r="S1587" s="69" t="s">
        <v>9</v>
      </c>
      <c r="T1587" s="70">
        <f>VLOOKUP(Table1[[#This Row],[Policy Year]],exposure_table,3,FALSE)</f>
        <v>870.52680000000009</v>
      </c>
      <c r="U1587" s="17">
        <f>IF(MONTH(Table1[[#This Row],[Reporting date]])&lt;Policy_Inception_Month,YEAR(Table1[[#This Row],[Reporting date]])-1,YEAR(Table1[[#This Row],[Reporting date]]))</f>
        <v>2013</v>
      </c>
      <c r="V1587" s="17">
        <f>Table1[[#This Row],[Reporting year]]-Table1[[#This Row],[Policy Year]]</f>
        <v>2</v>
      </c>
      <c r="W1587" s="17">
        <f>INT(Table1[[#This Row],[Reporting date]])-INT(Table1[[#This Row],[Loss date]])</f>
        <v>768</v>
      </c>
      <c r="X1587" s="17">
        <f>INT((YEAR(Table1[[#This Row],[Loss date]])*12+MONTH(Table1[[#This Row],[Loss date]])-Earliest_Month)/4)</f>
        <v>18</v>
      </c>
      <c r="Y1587" s="17">
        <f>INT((YEAR(Table1[[#This Row],[Reporting date]])*12+MONTH(Table1[[#This Row],[Reporting date]])-Earliest_Month)/4)</f>
        <v>25</v>
      </c>
      <c r="Z1587" s="17">
        <f>Table1[[#This Row],[Reporting third]]-Table1[[#This Row],[Policy third]]</f>
        <v>7</v>
      </c>
      <c r="AA1587" s="71" t="str">
        <f>IF(Table1[[#This Row],[Overall amount]]=0,"N/A",Table1[[#This Row],[Outstanding]]/Table1[[#This Row],[Overall amount]])</f>
        <v>N/A</v>
      </c>
      <c r="AB1587" s="17">
        <f>IF(MONTH(Table1[[#This Row],[Loss date]])&lt;Pol_Inc_Month_Shifted,YEAR(Table1[[#This Row],[Loss date]])-1,YEAR(Table1[[#This Row],[Loss date]]))</f>
        <v>2010</v>
      </c>
      <c r="AC1587" s="17">
        <f>IF(MONTH(Table1[[#This Row],[Reporting date]])&lt;Pol_Inc_Month_Shifted,YEAR(Table1[[#This Row],[Reporting date]])-1,YEAR(Table1[[#This Row],[Reporting date]]))</f>
        <v>2012</v>
      </c>
      <c r="AD1587" s="17">
        <f>Table1[[#This Row],[Reporting year (shifted)]]-Table1[[#This Row],[Policy Year (shifted)]]</f>
        <v>2</v>
      </c>
    </row>
    <row r="1588" spans="1:30" ht="13.9">
      <c r="A1588" s="8" t="s">
        <v>3358</v>
      </c>
      <c r="B1588" s="8" t="s">
        <v>1640</v>
      </c>
      <c r="C1588" s="8" t="s">
        <v>123</v>
      </c>
      <c r="D1588" s="9">
        <v>40951</v>
      </c>
      <c r="E1588" s="9">
        <v>41525</v>
      </c>
      <c r="F1588" s="17">
        <f>IF(MONTH(Table1[[#This Row],[Loss date]])&lt;Policy_Inception_Month,YEAR(Table1[[#This Row],[Loss date]])-1,YEAR(Table1[[#This Row],[Loss date]]))</f>
        <v>2011</v>
      </c>
      <c r="G1588" s="10" t="s">
        <v>125</v>
      </c>
      <c r="H1588" s="10" t="s">
        <v>2</v>
      </c>
      <c r="I1588" s="11">
        <v>0</v>
      </c>
      <c r="J1588" s="11">
        <v>10050.734721869452</v>
      </c>
      <c r="K1588" s="11">
        <v>10050.734721869452</v>
      </c>
      <c r="L1588" s="12">
        <v>0</v>
      </c>
      <c r="M1588" s="12">
        <v>0</v>
      </c>
      <c r="N1588" s="12">
        <v>10050.734721869452</v>
      </c>
      <c r="O1588" s="70">
        <f>IF(Table1[[#This Row],[Overall amount]]=0,0,1)</f>
        <v>1</v>
      </c>
      <c r="P1588" s="70">
        <f>Table1[[#This Row],[Overall amount]]*Exchange_Rate</f>
        <v>10050.734721869452</v>
      </c>
      <c r="Q1588" s="70">
        <f>Table1[[#This Row],[Overall (destination currency)]]*(1+Claims_Inflation)^((Revalue_at_date-Table1[[#This Row],[Loss date]])/365.25)</f>
        <v>12000</v>
      </c>
      <c r="R1588" s="70">
        <f>INT(Table1[[#This Row],[Reporting date]])-INT(Table1[[#This Row],[Loss date]])</f>
        <v>574</v>
      </c>
      <c r="S1588" s="69" t="s">
        <v>16</v>
      </c>
      <c r="T1588" s="70">
        <f>VLOOKUP(Table1[[#This Row],[Policy Year]],exposure_table,3,FALSE)</f>
        <v>870.52680000000009</v>
      </c>
      <c r="U1588" s="17">
        <f>IF(MONTH(Table1[[#This Row],[Reporting date]])&lt;Policy_Inception_Month,YEAR(Table1[[#This Row],[Reporting date]])-1,YEAR(Table1[[#This Row],[Reporting date]]))</f>
        <v>2013</v>
      </c>
      <c r="V1588" s="17">
        <f>Table1[[#This Row],[Reporting year]]-Table1[[#This Row],[Policy Year]]</f>
        <v>2</v>
      </c>
      <c r="W1588" s="17">
        <f>INT(Table1[[#This Row],[Reporting date]])-INT(Table1[[#This Row],[Loss date]])</f>
        <v>574</v>
      </c>
      <c r="X1588" s="17">
        <f>INT((YEAR(Table1[[#This Row],[Loss date]])*12+MONTH(Table1[[#This Row],[Loss date]])-Earliest_Month)/4)</f>
        <v>20</v>
      </c>
      <c r="Y1588" s="17">
        <f>INT((YEAR(Table1[[#This Row],[Reporting date]])*12+MONTH(Table1[[#This Row],[Reporting date]])-Earliest_Month)/4)</f>
        <v>25</v>
      </c>
      <c r="Z1588" s="17">
        <f>Table1[[#This Row],[Reporting third]]-Table1[[#This Row],[Policy third]]</f>
        <v>5</v>
      </c>
      <c r="AA1588" s="71">
        <f>IF(Table1[[#This Row],[Overall amount]]=0,"N/A",Table1[[#This Row],[Outstanding]]/Table1[[#This Row],[Overall amount]])</f>
        <v>1</v>
      </c>
      <c r="AB1588" s="17">
        <f>IF(MONTH(Table1[[#This Row],[Loss date]])&lt;Pol_Inc_Month_Shifted,YEAR(Table1[[#This Row],[Loss date]])-1,YEAR(Table1[[#This Row],[Loss date]]))</f>
        <v>2011</v>
      </c>
      <c r="AC1588" s="17">
        <f>IF(MONTH(Table1[[#This Row],[Reporting date]])&lt;Pol_Inc_Month_Shifted,YEAR(Table1[[#This Row],[Reporting date]])-1,YEAR(Table1[[#This Row],[Reporting date]]))</f>
        <v>2012</v>
      </c>
      <c r="AD1588" s="17">
        <f>Table1[[#This Row],[Reporting year (shifted)]]-Table1[[#This Row],[Policy Year (shifted)]]</f>
        <v>1</v>
      </c>
    </row>
    <row r="1589" spans="1:30" ht="13.9">
      <c r="A1589" s="8" t="s">
        <v>3359</v>
      </c>
      <c r="B1589" s="8" t="s">
        <v>1641</v>
      </c>
      <c r="C1589" s="8" t="s">
        <v>123</v>
      </c>
      <c r="D1589" s="9">
        <v>41398</v>
      </c>
      <c r="E1589" s="9">
        <v>41533</v>
      </c>
      <c r="F1589" s="17">
        <f>IF(MONTH(Table1[[#This Row],[Loss date]])&lt;Policy_Inception_Month,YEAR(Table1[[#This Row],[Loss date]])-1,YEAR(Table1[[#This Row],[Loss date]]))</f>
        <v>2013</v>
      </c>
      <c r="G1589" s="10" t="s">
        <v>125</v>
      </c>
      <c r="H1589" s="10" t="s">
        <v>2</v>
      </c>
      <c r="I1589" s="11">
        <v>0</v>
      </c>
      <c r="J1589" s="11">
        <v>10669.146624308085</v>
      </c>
      <c r="K1589" s="11">
        <v>10669.146624308085</v>
      </c>
      <c r="L1589" s="12">
        <v>0</v>
      </c>
      <c r="M1589" s="12">
        <v>0</v>
      </c>
      <c r="N1589" s="12">
        <v>10669.146624308085</v>
      </c>
      <c r="O1589" s="70">
        <f>IF(Table1[[#This Row],[Overall amount]]=0,0,1)</f>
        <v>1</v>
      </c>
      <c r="P1589" s="70">
        <f>Table1[[#This Row],[Overall amount]]*Exchange_Rate</f>
        <v>10669.146624308085</v>
      </c>
      <c r="Q1589" s="70">
        <f>Table1[[#This Row],[Overall (destination currency)]]*(1+Claims_Inflation)^((Revalue_at_date-Table1[[#This Row],[Loss date]])/365.25)</f>
        <v>12000</v>
      </c>
      <c r="R1589" s="70">
        <f>INT(Table1[[#This Row],[Reporting date]])-INT(Table1[[#This Row],[Loss date]])</f>
        <v>135</v>
      </c>
      <c r="S1589" s="69" t="s">
        <v>16</v>
      </c>
      <c r="T1589" s="70">
        <f>VLOOKUP(Table1[[#This Row],[Policy Year]],exposure_table,3,FALSE)</f>
        <v>1090.5865384615383</v>
      </c>
      <c r="U1589" s="17">
        <f>IF(MONTH(Table1[[#This Row],[Reporting date]])&lt;Policy_Inception_Month,YEAR(Table1[[#This Row],[Reporting date]])-1,YEAR(Table1[[#This Row],[Reporting date]]))</f>
        <v>2013</v>
      </c>
      <c r="V1589" s="17">
        <f>Table1[[#This Row],[Reporting year]]-Table1[[#This Row],[Policy Year]]</f>
        <v>0</v>
      </c>
      <c r="W1589" s="17">
        <f>INT(Table1[[#This Row],[Reporting date]])-INT(Table1[[#This Row],[Loss date]])</f>
        <v>135</v>
      </c>
      <c r="X1589" s="17">
        <f>INT((YEAR(Table1[[#This Row],[Loss date]])*12+MONTH(Table1[[#This Row],[Loss date]])-Earliest_Month)/4)</f>
        <v>24</v>
      </c>
      <c r="Y1589" s="17">
        <f>INT((YEAR(Table1[[#This Row],[Reporting date]])*12+MONTH(Table1[[#This Row],[Reporting date]])-Earliest_Month)/4)</f>
        <v>25</v>
      </c>
      <c r="Z1589" s="17">
        <f>Table1[[#This Row],[Reporting third]]-Table1[[#This Row],[Policy third]]</f>
        <v>1</v>
      </c>
      <c r="AA1589" s="71">
        <f>IF(Table1[[#This Row],[Overall amount]]=0,"N/A",Table1[[#This Row],[Outstanding]]/Table1[[#This Row],[Overall amount]])</f>
        <v>1</v>
      </c>
      <c r="AB1589" s="17">
        <f>IF(MONTH(Table1[[#This Row],[Loss date]])&lt;Pol_Inc_Month_Shifted,YEAR(Table1[[#This Row],[Loss date]])-1,YEAR(Table1[[#This Row],[Loss date]]))</f>
        <v>2012</v>
      </c>
      <c r="AC1589" s="17">
        <f>IF(MONTH(Table1[[#This Row],[Reporting date]])&lt;Pol_Inc_Month_Shifted,YEAR(Table1[[#This Row],[Reporting date]])-1,YEAR(Table1[[#This Row],[Reporting date]]))</f>
        <v>2012</v>
      </c>
      <c r="AD1589" s="17">
        <f>Table1[[#This Row],[Reporting year (shifted)]]-Table1[[#This Row],[Policy Year (shifted)]]</f>
        <v>0</v>
      </c>
    </row>
    <row r="1590" spans="1:30" ht="13.9">
      <c r="A1590" s="8" t="s">
        <v>3360</v>
      </c>
      <c r="B1590" s="8" t="s">
        <v>1642</v>
      </c>
      <c r="C1590" s="8" t="s">
        <v>123</v>
      </c>
      <c r="D1590" s="9">
        <v>41351</v>
      </c>
      <c r="E1590" s="9">
        <v>41545</v>
      </c>
      <c r="F1590" s="17">
        <f>IF(MONTH(Table1[[#This Row],[Loss date]])&lt;Policy_Inception_Month,YEAR(Table1[[#This Row],[Loss date]])-1,YEAR(Table1[[#This Row],[Loss date]]))</f>
        <v>2012</v>
      </c>
      <c r="G1590" s="10" t="s">
        <v>125</v>
      </c>
      <c r="H1590" s="10" t="s">
        <v>2</v>
      </c>
      <c r="I1590" s="11">
        <v>0</v>
      </c>
      <c r="J1590" s="11">
        <v>15903.559026852712</v>
      </c>
      <c r="K1590" s="11">
        <v>15903.559026852712</v>
      </c>
      <c r="L1590" s="12">
        <v>0</v>
      </c>
      <c r="M1590" s="12">
        <v>0</v>
      </c>
      <c r="N1590" s="12">
        <v>15903.559026852712</v>
      </c>
      <c r="O1590" s="70">
        <f>IF(Table1[[#This Row],[Overall amount]]=0,0,1)</f>
        <v>1</v>
      </c>
      <c r="P1590" s="70">
        <f>Table1[[#This Row],[Overall amount]]*Exchange_Rate</f>
        <v>15903.559026852712</v>
      </c>
      <c r="Q1590" s="70">
        <f>Table1[[#This Row],[Overall (destination currency)]]*(1+Claims_Inflation)^((Revalue_at_date-Table1[[#This Row],[Loss date]])/365.25)</f>
        <v>18000</v>
      </c>
      <c r="R1590" s="70">
        <f>INT(Table1[[#This Row],[Reporting date]])-INT(Table1[[#This Row],[Loss date]])</f>
        <v>194</v>
      </c>
      <c r="S1590" s="69" t="s">
        <v>16</v>
      </c>
      <c r="T1590" s="70">
        <f>VLOOKUP(Table1[[#This Row],[Policy Year]],exposure_table,3,FALSE)</f>
        <v>1057.54</v>
      </c>
      <c r="U1590" s="17">
        <f>IF(MONTH(Table1[[#This Row],[Reporting date]])&lt;Policy_Inception_Month,YEAR(Table1[[#This Row],[Reporting date]])-1,YEAR(Table1[[#This Row],[Reporting date]]))</f>
        <v>2013</v>
      </c>
      <c r="V1590" s="17">
        <f>Table1[[#This Row],[Reporting year]]-Table1[[#This Row],[Policy Year]]</f>
        <v>1</v>
      </c>
      <c r="W1590" s="17">
        <f>INT(Table1[[#This Row],[Reporting date]])-INT(Table1[[#This Row],[Loss date]])</f>
        <v>194</v>
      </c>
      <c r="X1590" s="17">
        <f>INT((YEAR(Table1[[#This Row],[Loss date]])*12+MONTH(Table1[[#This Row],[Loss date]])-Earliest_Month)/4)</f>
        <v>23</v>
      </c>
      <c r="Y1590" s="17">
        <f>INT((YEAR(Table1[[#This Row],[Reporting date]])*12+MONTH(Table1[[#This Row],[Reporting date]])-Earliest_Month)/4)</f>
        <v>25</v>
      </c>
      <c r="Z1590" s="17">
        <f>Table1[[#This Row],[Reporting third]]-Table1[[#This Row],[Policy third]]</f>
        <v>2</v>
      </c>
      <c r="AA1590" s="71">
        <f>IF(Table1[[#This Row],[Overall amount]]=0,"N/A",Table1[[#This Row],[Outstanding]]/Table1[[#This Row],[Overall amount]])</f>
        <v>1</v>
      </c>
      <c r="AB1590" s="17">
        <f>IF(MONTH(Table1[[#This Row],[Loss date]])&lt;Pol_Inc_Month_Shifted,YEAR(Table1[[#This Row],[Loss date]])-1,YEAR(Table1[[#This Row],[Loss date]]))</f>
        <v>2012</v>
      </c>
      <c r="AC1590" s="17">
        <f>IF(MONTH(Table1[[#This Row],[Reporting date]])&lt;Pol_Inc_Month_Shifted,YEAR(Table1[[#This Row],[Reporting date]])-1,YEAR(Table1[[#This Row],[Reporting date]]))</f>
        <v>2012</v>
      </c>
      <c r="AD1590" s="17">
        <f>Table1[[#This Row],[Reporting year (shifted)]]-Table1[[#This Row],[Policy Year (shifted)]]</f>
        <v>0</v>
      </c>
    </row>
    <row r="1591" spans="1:30" ht="13.9">
      <c r="A1591" s="8" t="s">
        <v>3361</v>
      </c>
      <c r="B1591" s="8" t="s">
        <v>1643</v>
      </c>
      <c r="C1591" s="8" t="s">
        <v>123</v>
      </c>
      <c r="D1591" s="9">
        <v>39969</v>
      </c>
      <c r="E1591" s="9">
        <v>41166</v>
      </c>
      <c r="F1591" s="17">
        <f>IF(MONTH(Table1[[#This Row],[Loss date]])&lt;Policy_Inception_Month,YEAR(Table1[[#This Row],[Loss date]])-1,YEAR(Table1[[#This Row],[Loss date]]))</f>
        <v>2009</v>
      </c>
      <c r="G1591" s="10" t="s">
        <v>125</v>
      </c>
      <c r="H1591" s="10" t="s">
        <v>2</v>
      </c>
      <c r="I1591" s="11">
        <v>0</v>
      </c>
      <c r="J1591" s="11">
        <v>0</v>
      </c>
      <c r="K1591" s="11">
        <v>0</v>
      </c>
      <c r="L1591" s="12">
        <v>0</v>
      </c>
      <c r="M1591" s="12">
        <v>0</v>
      </c>
      <c r="N1591" s="12">
        <v>0</v>
      </c>
      <c r="O1591" s="70">
        <f>IF(Table1[[#This Row],[Overall amount]]=0,0,1)</f>
        <v>0</v>
      </c>
      <c r="P1591" s="70">
        <f>Table1[[#This Row],[Overall amount]]*Exchange_Rate</f>
        <v>0</v>
      </c>
      <c r="Q1591" s="70">
        <f>Table1[[#This Row],[Overall (destination currency)]]*(1+Claims_Inflation)^((Revalue_at_date-Table1[[#This Row],[Loss date]])/365.25)</f>
        <v>0</v>
      </c>
      <c r="R1591" s="70">
        <f>INT(Table1[[#This Row],[Reporting date]])-INT(Table1[[#This Row],[Loss date]])</f>
        <v>1197</v>
      </c>
      <c r="S1591" s="69" t="s">
        <v>9</v>
      </c>
      <c r="T1591" s="70">
        <f>VLOOKUP(Table1[[#This Row],[Policy Year]],exposure_table,3,FALSE)</f>
        <v>760.22808576000011</v>
      </c>
      <c r="U1591" s="17">
        <f>IF(MONTH(Table1[[#This Row],[Reporting date]])&lt;Policy_Inception_Month,YEAR(Table1[[#This Row],[Reporting date]])-1,YEAR(Table1[[#This Row],[Reporting date]]))</f>
        <v>2012</v>
      </c>
      <c r="V1591" s="17">
        <f>Table1[[#This Row],[Reporting year]]-Table1[[#This Row],[Policy Year]]</f>
        <v>3</v>
      </c>
      <c r="W1591" s="17">
        <f>INT(Table1[[#This Row],[Reporting date]])-INT(Table1[[#This Row],[Loss date]])</f>
        <v>1197</v>
      </c>
      <c r="X1591" s="17">
        <f>INT((YEAR(Table1[[#This Row],[Loss date]])*12+MONTH(Table1[[#This Row],[Loss date]])-Earliest_Month)/4)</f>
        <v>12</v>
      </c>
      <c r="Y1591" s="17">
        <f>INT((YEAR(Table1[[#This Row],[Reporting date]])*12+MONTH(Table1[[#This Row],[Reporting date]])-Earliest_Month)/4)</f>
        <v>22</v>
      </c>
      <c r="Z1591" s="17">
        <f>Table1[[#This Row],[Reporting third]]-Table1[[#This Row],[Policy third]]</f>
        <v>10</v>
      </c>
      <c r="AA1591" s="71" t="str">
        <f>IF(Table1[[#This Row],[Overall amount]]=0,"N/A",Table1[[#This Row],[Outstanding]]/Table1[[#This Row],[Overall amount]])</f>
        <v>N/A</v>
      </c>
      <c r="AB1591" s="17">
        <f>IF(MONTH(Table1[[#This Row],[Loss date]])&lt;Pol_Inc_Month_Shifted,YEAR(Table1[[#This Row],[Loss date]])-1,YEAR(Table1[[#This Row],[Loss date]]))</f>
        <v>2008</v>
      </c>
      <c r="AC1591" s="17">
        <f>IF(MONTH(Table1[[#This Row],[Reporting date]])&lt;Pol_Inc_Month_Shifted,YEAR(Table1[[#This Row],[Reporting date]])-1,YEAR(Table1[[#This Row],[Reporting date]]))</f>
        <v>2011</v>
      </c>
      <c r="AD1591" s="17">
        <f>Table1[[#This Row],[Reporting year (shifted)]]-Table1[[#This Row],[Policy Year (shifted)]]</f>
        <v>3</v>
      </c>
    </row>
    <row r="1592" spans="1:30" ht="13.9">
      <c r="A1592" s="8" t="s">
        <v>3362</v>
      </c>
      <c r="B1592" s="8" t="s">
        <v>1644</v>
      </c>
      <c r="C1592" s="8" t="s">
        <v>123</v>
      </c>
      <c r="D1592" s="9">
        <v>40917</v>
      </c>
      <c r="E1592" s="9">
        <v>41217</v>
      </c>
      <c r="F1592" s="17">
        <f>IF(MONTH(Table1[[#This Row],[Loss date]])&lt;Policy_Inception_Month,YEAR(Table1[[#This Row],[Loss date]])-1,YEAR(Table1[[#This Row],[Loss date]]))</f>
        <v>2011</v>
      </c>
      <c r="G1592" s="10" t="s">
        <v>125</v>
      </c>
      <c r="H1592" s="10" t="s">
        <v>2</v>
      </c>
      <c r="I1592" s="11">
        <v>0</v>
      </c>
      <c r="J1592" s="11">
        <v>0</v>
      </c>
      <c r="K1592" s="11">
        <v>0</v>
      </c>
      <c r="L1592" s="12">
        <v>300.15571611467067</v>
      </c>
      <c r="M1592" s="12">
        <v>6.0031143222934134</v>
      </c>
      <c r="N1592" s="12">
        <v>294.15260179237725</v>
      </c>
      <c r="O1592" s="70">
        <f>IF(Table1[[#This Row],[Overall amount]]=0,0,1)</f>
        <v>1</v>
      </c>
      <c r="P1592" s="70">
        <f>Table1[[#This Row],[Overall amount]]*Exchange_Rate</f>
        <v>294.15260179237725</v>
      </c>
      <c r="Q1592" s="70">
        <f>Table1[[#This Row],[Overall (destination currency)]]*(1+Claims_Inflation)^((Revalue_at_date-Table1[[#This Row],[Loss date]])/365.25)</f>
        <v>352.8</v>
      </c>
      <c r="R1592" s="70">
        <f>INT(Table1[[#This Row],[Reporting date]])-INT(Table1[[#This Row],[Loss date]])</f>
        <v>300</v>
      </c>
      <c r="S1592" s="69" t="s">
        <v>9</v>
      </c>
      <c r="T1592" s="70">
        <f>VLOOKUP(Table1[[#This Row],[Policy Year]],exposure_table,3,FALSE)</f>
        <v>870.52680000000009</v>
      </c>
      <c r="U1592" s="17">
        <f>IF(MONTH(Table1[[#This Row],[Reporting date]])&lt;Policy_Inception_Month,YEAR(Table1[[#This Row],[Reporting date]])-1,YEAR(Table1[[#This Row],[Reporting date]]))</f>
        <v>2012</v>
      </c>
      <c r="V1592" s="17">
        <f>Table1[[#This Row],[Reporting year]]-Table1[[#This Row],[Policy Year]]</f>
        <v>1</v>
      </c>
      <c r="W1592" s="17">
        <f>INT(Table1[[#This Row],[Reporting date]])-INT(Table1[[#This Row],[Loss date]])</f>
        <v>300</v>
      </c>
      <c r="X1592" s="17">
        <f>INT((YEAR(Table1[[#This Row],[Loss date]])*12+MONTH(Table1[[#This Row],[Loss date]])-Earliest_Month)/4)</f>
        <v>20</v>
      </c>
      <c r="Y1592" s="17">
        <f>INT((YEAR(Table1[[#This Row],[Reporting date]])*12+MONTH(Table1[[#This Row],[Reporting date]])-Earliest_Month)/4)</f>
        <v>22</v>
      </c>
      <c r="Z1592" s="17">
        <f>Table1[[#This Row],[Reporting third]]-Table1[[#This Row],[Policy third]]</f>
        <v>2</v>
      </c>
      <c r="AA1592" s="71">
        <f>IF(Table1[[#This Row],[Overall amount]]=0,"N/A",Table1[[#This Row],[Outstanding]]/Table1[[#This Row],[Overall amount]])</f>
        <v>0</v>
      </c>
      <c r="AB1592" s="17">
        <f>IF(MONTH(Table1[[#This Row],[Loss date]])&lt;Pol_Inc_Month_Shifted,YEAR(Table1[[#This Row],[Loss date]])-1,YEAR(Table1[[#This Row],[Loss date]]))</f>
        <v>2011</v>
      </c>
      <c r="AC1592" s="17">
        <f>IF(MONTH(Table1[[#This Row],[Reporting date]])&lt;Pol_Inc_Month_Shifted,YEAR(Table1[[#This Row],[Reporting date]])-1,YEAR(Table1[[#This Row],[Reporting date]]))</f>
        <v>2011</v>
      </c>
      <c r="AD1592" s="17">
        <f>Table1[[#This Row],[Reporting year (shifted)]]-Table1[[#This Row],[Policy Year (shifted)]]</f>
        <v>0</v>
      </c>
    </row>
    <row r="1593" spans="1:30" ht="13.9">
      <c r="A1593" s="8" t="s">
        <v>3363</v>
      </c>
      <c r="B1593" s="8" t="s">
        <v>1645</v>
      </c>
      <c r="C1593" s="8" t="s">
        <v>123</v>
      </c>
      <c r="D1593" s="9">
        <v>41061</v>
      </c>
      <c r="E1593" s="9">
        <v>41341</v>
      </c>
      <c r="F1593" s="17">
        <f>IF(MONTH(Table1[[#This Row],[Loss date]])&lt;Policy_Inception_Month,YEAR(Table1[[#This Row],[Loss date]])-1,YEAR(Table1[[#This Row],[Loss date]]))</f>
        <v>2012</v>
      </c>
      <c r="G1593" s="10" t="s">
        <v>126</v>
      </c>
      <c r="H1593" s="10" t="s">
        <v>2</v>
      </c>
      <c r="I1593" s="11">
        <v>0</v>
      </c>
      <c r="J1593" s="11">
        <v>0</v>
      </c>
      <c r="K1593" s="11">
        <v>0</v>
      </c>
      <c r="L1593" s="12">
        <v>305.98526309734751</v>
      </c>
      <c r="M1593" s="12">
        <v>0</v>
      </c>
      <c r="N1593" s="12">
        <v>305.98526309734751</v>
      </c>
      <c r="O1593" s="70">
        <f>IF(Table1[[#This Row],[Overall amount]]=0,0,1)</f>
        <v>1</v>
      </c>
      <c r="P1593" s="70">
        <f>Table1[[#This Row],[Overall amount]]*Exchange_Rate</f>
        <v>305.98526309734751</v>
      </c>
      <c r="Q1593" s="70">
        <f>Table1[[#This Row],[Overall (destination currency)]]*(1+Claims_Inflation)^((Revalue_at_date-Table1[[#This Row],[Loss date]])/365.25)</f>
        <v>360</v>
      </c>
      <c r="R1593" s="70">
        <f>INT(Table1[[#This Row],[Reporting date]])-INT(Table1[[#This Row],[Loss date]])</f>
        <v>280</v>
      </c>
      <c r="S1593" s="69" t="s">
        <v>9</v>
      </c>
      <c r="T1593" s="70">
        <f>VLOOKUP(Table1[[#This Row],[Policy Year]],exposure_table,3,FALSE)</f>
        <v>1057.54</v>
      </c>
      <c r="U1593" s="17">
        <f>IF(MONTH(Table1[[#This Row],[Reporting date]])&lt;Policy_Inception_Month,YEAR(Table1[[#This Row],[Reporting date]])-1,YEAR(Table1[[#This Row],[Reporting date]]))</f>
        <v>2012</v>
      </c>
      <c r="V1593" s="17">
        <f>Table1[[#This Row],[Reporting year]]-Table1[[#This Row],[Policy Year]]</f>
        <v>0</v>
      </c>
      <c r="W1593" s="17">
        <f>INT(Table1[[#This Row],[Reporting date]])-INT(Table1[[#This Row],[Loss date]])</f>
        <v>280</v>
      </c>
      <c r="X1593" s="17">
        <f>INT((YEAR(Table1[[#This Row],[Loss date]])*12+MONTH(Table1[[#This Row],[Loss date]])-Earliest_Month)/4)</f>
        <v>21</v>
      </c>
      <c r="Y1593" s="17">
        <f>INT((YEAR(Table1[[#This Row],[Reporting date]])*12+MONTH(Table1[[#This Row],[Reporting date]])-Earliest_Month)/4)</f>
        <v>23</v>
      </c>
      <c r="Z1593" s="17">
        <f>Table1[[#This Row],[Reporting third]]-Table1[[#This Row],[Policy third]]</f>
        <v>2</v>
      </c>
      <c r="AA1593" s="71">
        <f>IF(Table1[[#This Row],[Overall amount]]=0,"N/A",Table1[[#This Row],[Outstanding]]/Table1[[#This Row],[Overall amount]])</f>
        <v>0</v>
      </c>
      <c r="AB1593" s="17">
        <f>IF(MONTH(Table1[[#This Row],[Loss date]])&lt;Pol_Inc_Month_Shifted,YEAR(Table1[[#This Row],[Loss date]])-1,YEAR(Table1[[#This Row],[Loss date]]))</f>
        <v>2011</v>
      </c>
      <c r="AC1593" s="17">
        <f>IF(MONTH(Table1[[#This Row],[Reporting date]])&lt;Pol_Inc_Month_Shifted,YEAR(Table1[[#This Row],[Reporting date]])-1,YEAR(Table1[[#This Row],[Reporting date]]))</f>
        <v>2012</v>
      </c>
      <c r="AD1593" s="17">
        <f>Table1[[#This Row],[Reporting year (shifted)]]-Table1[[#This Row],[Policy Year (shifted)]]</f>
        <v>1</v>
      </c>
    </row>
    <row r="1594" spans="1:30" ht="13.9">
      <c r="A1594" s="8" t="s">
        <v>3364</v>
      </c>
      <c r="B1594" s="8" t="s">
        <v>1646</v>
      </c>
      <c r="C1594" s="8" t="s">
        <v>123</v>
      </c>
      <c r="D1594" s="9">
        <v>40970</v>
      </c>
      <c r="E1594" s="9">
        <v>41551</v>
      </c>
      <c r="F1594" s="17">
        <f>IF(MONTH(Table1[[#This Row],[Loss date]])&lt;Policy_Inception_Month,YEAR(Table1[[#This Row],[Loss date]])-1,YEAR(Table1[[#This Row],[Loss date]]))</f>
        <v>2011</v>
      </c>
      <c r="G1594" s="10" t="s">
        <v>124</v>
      </c>
      <c r="H1594" s="10" t="s">
        <v>2</v>
      </c>
      <c r="I1594" s="11">
        <v>0</v>
      </c>
      <c r="J1594" s="11">
        <v>26198.317918240664</v>
      </c>
      <c r="K1594" s="11">
        <v>26198.317918240664</v>
      </c>
      <c r="L1594" s="12">
        <v>0</v>
      </c>
      <c r="M1594" s="12">
        <v>0</v>
      </c>
      <c r="N1594" s="12">
        <v>26198.317918240664</v>
      </c>
      <c r="O1594" s="70">
        <f>IF(Table1[[#This Row],[Overall amount]]=0,0,1)</f>
        <v>1</v>
      </c>
      <c r="P1594" s="70">
        <f>Table1[[#This Row],[Overall amount]]*Exchange_Rate</f>
        <v>26198.317918240664</v>
      </c>
      <c r="Q1594" s="70">
        <f>Table1[[#This Row],[Overall (destination currency)]]*(1+Claims_Inflation)^((Revalue_at_date-Table1[[#This Row],[Loss date]])/365.25)</f>
        <v>31200</v>
      </c>
      <c r="R1594" s="70">
        <f>INT(Table1[[#This Row],[Reporting date]])-INT(Table1[[#This Row],[Loss date]])</f>
        <v>581</v>
      </c>
      <c r="S1594" s="69" t="s">
        <v>16</v>
      </c>
      <c r="T1594" s="70">
        <f>VLOOKUP(Table1[[#This Row],[Policy Year]],exposure_table,3,FALSE)</f>
        <v>870.52680000000009</v>
      </c>
      <c r="U1594" s="17">
        <f>IF(MONTH(Table1[[#This Row],[Reporting date]])&lt;Policy_Inception_Month,YEAR(Table1[[#This Row],[Reporting date]])-1,YEAR(Table1[[#This Row],[Reporting date]]))</f>
        <v>2013</v>
      </c>
      <c r="V1594" s="17">
        <f>Table1[[#This Row],[Reporting year]]-Table1[[#This Row],[Policy Year]]</f>
        <v>2</v>
      </c>
      <c r="W1594" s="17">
        <f>INT(Table1[[#This Row],[Reporting date]])-INT(Table1[[#This Row],[Loss date]])</f>
        <v>581</v>
      </c>
      <c r="X1594" s="17">
        <f>INT((YEAR(Table1[[#This Row],[Loss date]])*12+MONTH(Table1[[#This Row],[Loss date]])-Earliest_Month)/4)</f>
        <v>20</v>
      </c>
      <c r="Y1594" s="17">
        <f>INT((YEAR(Table1[[#This Row],[Reporting date]])*12+MONTH(Table1[[#This Row],[Reporting date]])-Earliest_Month)/4)</f>
        <v>25</v>
      </c>
      <c r="Z1594" s="17">
        <f>Table1[[#This Row],[Reporting third]]-Table1[[#This Row],[Policy third]]</f>
        <v>5</v>
      </c>
      <c r="AA1594" s="71">
        <f>IF(Table1[[#This Row],[Overall amount]]=0,"N/A",Table1[[#This Row],[Outstanding]]/Table1[[#This Row],[Overall amount]])</f>
        <v>1</v>
      </c>
      <c r="AB1594" s="17">
        <f>IF(MONTH(Table1[[#This Row],[Loss date]])&lt;Pol_Inc_Month_Shifted,YEAR(Table1[[#This Row],[Loss date]])-1,YEAR(Table1[[#This Row],[Loss date]]))</f>
        <v>2011</v>
      </c>
      <c r="AC1594" s="17">
        <f>IF(MONTH(Table1[[#This Row],[Reporting date]])&lt;Pol_Inc_Month_Shifted,YEAR(Table1[[#This Row],[Reporting date]])-1,YEAR(Table1[[#This Row],[Reporting date]]))</f>
        <v>2012</v>
      </c>
      <c r="AD1594" s="17">
        <f>Table1[[#This Row],[Reporting year (shifted)]]-Table1[[#This Row],[Policy Year (shifted)]]</f>
        <v>1</v>
      </c>
    </row>
    <row r="1595" spans="1:30" ht="13.9">
      <c r="A1595" s="8" t="s">
        <v>3365</v>
      </c>
      <c r="B1595" s="8" t="s">
        <v>1647</v>
      </c>
      <c r="C1595" s="8" t="s">
        <v>123</v>
      </c>
      <c r="D1595" s="9">
        <v>41415</v>
      </c>
      <c r="E1595" s="9">
        <v>41554</v>
      </c>
      <c r="F1595" s="17">
        <f>IF(MONTH(Table1[[#This Row],[Loss date]])&lt;Policy_Inception_Month,YEAR(Table1[[#This Row],[Loss date]])-1,YEAR(Table1[[#This Row],[Loss date]]))</f>
        <v>2013</v>
      </c>
      <c r="G1595" s="10" t="s">
        <v>127</v>
      </c>
      <c r="H1595" s="10" t="s">
        <v>2</v>
      </c>
      <c r="I1595" s="11">
        <v>802.00517454208011</v>
      </c>
      <c r="J1595" s="11">
        <v>0</v>
      </c>
      <c r="K1595" s="11">
        <v>802.00517454208011</v>
      </c>
      <c r="L1595" s="12">
        <v>0</v>
      </c>
      <c r="M1595" s="12">
        <v>47.157904263074315</v>
      </c>
      <c r="N1595" s="12">
        <v>754.84727027900578</v>
      </c>
      <c r="O1595" s="70">
        <f>IF(Table1[[#This Row],[Overall amount]]=0,0,1)</f>
        <v>1</v>
      </c>
      <c r="P1595" s="70">
        <f>Table1[[#This Row],[Overall amount]]*Exchange_Rate</f>
        <v>754.84727027900578</v>
      </c>
      <c r="Q1595" s="70">
        <f>Table1[[#This Row],[Overall (destination currency)]]*(1+Claims_Inflation)^((Revalue_at_date-Table1[[#This Row],[Loss date]])/365.25)</f>
        <v>847.07999999999993</v>
      </c>
      <c r="R1595" s="70">
        <f>INT(Table1[[#This Row],[Reporting date]])-INT(Table1[[#This Row],[Loss date]])</f>
        <v>139</v>
      </c>
      <c r="S1595" s="69" t="s">
        <v>16</v>
      </c>
      <c r="T1595" s="70">
        <f>VLOOKUP(Table1[[#This Row],[Policy Year]],exposure_table,3,FALSE)</f>
        <v>1090.5865384615383</v>
      </c>
      <c r="U1595" s="17">
        <f>IF(MONTH(Table1[[#This Row],[Reporting date]])&lt;Policy_Inception_Month,YEAR(Table1[[#This Row],[Reporting date]])-1,YEAR(Table1[[#This Row],[Reporting date]]))</f>
        <v>2013</v>
      </c>
      <c r="V1595" s="17">
        <f>Table1[[#This Row],[Reporting year]]-Table1[[#This Row],[Policy Year]]</f>
        <v>0</v>
      </c>
      <c r="W1595" s="17">
        <f>INT(Table1[[#This Row],[Reporting date]])-INT(Table1[[#This Row],[Loss date]])</f>
        <v>139</v>
      </c>
      <c r="X1595" s="17">
        <f>INT((YEAR(Table1[[#This Row],[Loss date]])*12+MONTH(Table1[[#This Row],[Loss date]])-Earliest_Month)/4)</f>
        <v>24</v>
      </c>
      <c r="Y1595" s="17">
        <f>INT((YEAR(Table1[[#This Row],[Reporting date]])*12+MONTH(Table1[[#This Row],[Reporting date]])-Earliest_Month)/4)</f>
        <v>25</v>
      </c>
      <c r="Z1595" s="17">
        <f>Table1[[#This Row],[Reporting third]]-Table1[[#This Row],[Policy third]]</f>
        <v>1</v>
      </c>
      <c r="AA1595" s="71">
        <f>IF(Table1[[#This Row],[Overall amount]]=0,"N/A",Table1[[#This Row],[Outstanding]]/Table1[[#This Row],[Overall amount]])</f>
        <v>0</v>
      </c>
      <c r="AB1595" s="17">
        <f>IF(MONTH(Table1[[#This Row],[Loss date]])&lt;Pol_Inc_Month_Shifted,YEAR(Table1[[#This Row],[Loss date]])-1,YEAR(Table1[[#This Row],[Loss date]]))</f>
        <v>2012</v>
      </c>
      <c r="AC1595" s="17">
        <f>IF(MONTH(Table1[[#This Row],[Reporting date]])&lt;Pol_Inc_Month_Shifted,YEAR(Table1[[#This Row],[Reporting date]])-1,YEAR(Table1[[#This Row],[Reporting date]]))</f>
        <v>2012</v>
      </c>
      <c r="AD1595" s="17">
        <f>Table1[[#This Row],[Reporting year (shifted)]]-Table1[[#This Row],[Policy Year (shifted)]]</f>
        <v>0</v>
      </c>
    </row>
    <row r="1596" spans="1:30" ht="13.9">
      <c r="A1596" s="8" t="s">
        <v>3366</v>
      </c>
      <c r="B1596" s="8" t="s">
        <v>1648</v>
      </c>
      <c r="C1596" s="8" t="s">
        <v>123</v>
      </c>
      <c r="D1596" s="9">
        <v>41395</v>
      </c>
      <c r="E1596" s="9">
        <v>41554</v>
      </c>
      <c r="F1596" s="17">
        <f>IF(MONTH(Table1[[#This Row],[Loss date]])&lt;Policy_Inception_Month,YEAR(Table1[[#This Row],[Loss date]])-1,YEAR(Table1[[#This Row],[Loss date]]))</f>
        <v>2013</v>
      </c>
      <c r="G1596" s="10" t="s">
        <v>124</v>
      </c>
      <c r="H1596" s="10" t="s">
        <v>2</v>
      </c>
      <c r="I1596" s="11">
        <v>0</v>
      </c>
      <c r="J1596" s="11">
        <v>0</v>
      </c>
      <c r="K1596" s="11">
        <v>0</v>
      </c>
      <c r="L1596" s="12">
        <v>0</v>
      </c>
      <c r="M1596" s="12">
        <v>0</v>
      </c>
      <c r="N1596" s="12">
        <v>0</v>
      </c>
      <c r="O1596" s="70">
        <f>IF(Table1[[#This Row],[Overall amount]]=0,0,1)</f>
        <v>0</v>
      </c>
      <c r="P1596" s="70">
        <f>Table1[[#This Row],[Overall amount]]*Exchange_Rate</f>
        <v>0</v>
      </c>
      <c r="Q1596" s="70">
        <f>Table1[[#This Row],[Overall (destination currency)]]*(1+Claims_Inflation)^((Revalue_at_date-Table1[[#This Row],[Loss date]])/365.25)</f>
        <v>0</v>
      </c>
      <c r="R1596" s="70">
        <f>INT(Table1[[#This Row],[Reporting date]])-INT(Table1[[#This Row],[Loss date]])</f>
        <v>159</v>
      </c>
      <c r="S1596" s="69" t="s">
        <v>9</v>
      </c>
      <c r="T1596" s="70">
        <f>VLOOKUP(Table1[[#This Row],[Policy Year]],exposure_table,3,FALSE)</f>
        <v>1090.5865384615383</v>
      </c>
      <c r="U1596" s="17">
        <f>IF(MONTH(Table1[[#This Row],[Reporting date]])&lt;Policy_Inception_Month,YEAR(Table1[[#This Row],[Reporting date]])-1,YEAR(Table1[[#This Row],[Reporting date]]))</f>
        <v>2013</v>
      </c>
      <c r="V1596" s="17">
        <f>Table1[[#This Row],[Reporting year]]-Table1[[#This Row],[Policy Year]]</f>
        <v>0</v>
      </c>
      <c r="W1596" s="17">
        <f>INT(Table1[[#This Row],[Reporting date]])-INT(Table1[[#This Row],[Loss date]])</f>
        <v>159</v>
      </c>
      <c r="X1596" s="17">
        <f>INT((YEAR(Table1[[#This Row],[Loss date]])*12+MONTH(Table1[[#This Row],[Loss date]])-Earliest_Month)/4)</f>
        <v>24</v>
      </c>
      <c r="Y1596" s="17">
        <f>INT((YEAR(Table1[[#This Row],[Reporting date]])*12+MONTH(Table1[[#This Row],[Reporting date]])-Earliest_Month)/4)</f>
        <v>25</v>
      </c>
      <c r="Z1596" s="17">
        <f>Table1[[#This Row],[Reporting third]]-Table1[[#This Row],[Policy third]]</f>
        <v>1</v>
      </c>
      <c r="AA1596" s="71" t="str">
        <f>IF(Table1[[#This Row],[Overall amount]]=0,"N/A",Table1[[#This Row],[Outstanding]]/Table1[[#This Row],[Overall amount]])</f>
        <v>N/A</v>
      </c>
      <c r="AB1596" s="17">
        <f>IF(MONTH(Table1[[#This Row],[Loss date]])&lt;Pol_Inc_Month_Shifted,YEAR(Table1[[#This Row],[Loss date]])-1,YEAR(Table1[[#This Row],[Loss date]]))</f>
        <v>2012</v>
      </c>
      <c r="AC1596" s="17">
        <f>IF(MONTH(Table1[[#This Row],[Reporting date]])&lt;Pol_Inc_Month_Shifted,YEAR(Table1[[#This Row],[Reporting date]])-1,YEAR(Table1[[#This Row],[Reporting date]]))</f>
        <v>2012</v>
      </c>
      <c r="AD1596" s="17">
        <f>Table1[[#This Row],[Reporting year (shifted)]]-Table1[[#This Row],[Policy Year (shifted)]]</f>
        <v>0</v>
      </c>
    </row>
    <row r="1597" spans="1:30" ht="13.9">
      <c r="A1597" s="8" t="s">
        <v>3367</v>
      </c>
      <c r="B1597" s="8" t="s">
        <v>1649</v>
      </c>
      <c r="C1597" s="8" t="s">
        <v>123</v>
      </c>
      <c r="D1597" s="9">
        <v>41289</v>
      </c>
      <c r="E1597" s="9">
        <v>41554</v>
      </c>
      <c r="F1597" s="17">
        <f>IF(MONTH(Table1[[#This Row],[Loss date]])&lt;Policy_Inception_Month,YEAR(Table1[[#This Row],[Loss date]])-1,YEAR(Table1[[#This Row],[Loss date]]))</f>
        <v>2012</v>
      </c>
      <c r="G1597" s="10" t="s">
        <v>127</v>
      </c>
      <c r="H1597" s="10" t="s">
        <v>2</v>
      </c>
      <c r="I1597" s="11">
        <v>0</v>
      </c>
      <c r="J1597" s="11">
        <v>9989.1804085428412</v>
      </c>
      <c r="K1597" s="11">
        <v>9989.1804085428412</v>
      </c>
      <c r="L1597" s="12">
        <v>0</v>
      </c>
      <c r="M1597" s="12">
        <v>0</v>
      </c>
      <c r="N1597" s="12">
        <v>9989.1804085428412</v>
      </c>
      <c r="O1597" s="70">
        <f>IF(Table1[[#This Row],[Overall amount]]=0,0,1)</f>
        <v>1</v>
      </c>
      <c r="P1597" s="70">
        <f>Table1[[#This Row],[Overall amount]]*Exchange_Rate</f>
        <v>9989.1804085428412</v>
      </c>
      <c r="Q1597" s="70">
        <f>Table1[[#This Row],[Overall (destination currency)]]*(1+Claims_Inflation)^((Revalue_at_date-Table1[[#This Row],[Loss date]])/365.25)</f>
        <v>11400</v>
      </c>
      <c r="R1597" s="70">
        <f>INT(Table1[[#This Row],[Reporting date]])-INT(Table1[[#This Row],[Loss date]])</f>
        <v>265</v>
      </c>
      <c r="S1597" s="69" t="s">
        <v>16</v>
      </c>
      <c r="T1597" s="70">
        <f>VLOOKUP(Table1[[#This Row],[Policy Year]],exposure_table,3,FALSE)</f>
        <v>1057.54</v>
      </c>
      <c r="U1597" s="17">
        <f>IF(MONTH(Table1[[#This Row],[Reporting date]])&lt;Policy_Inception_Month,YEAR(Table1[[#This Row],[Reporting date]])-1,YEAR(Table1[[#This Row],[Reporting date]]))</f>
        <v>2013</v>
      </c>
      <c r="V1597" s="17">
        <f>Table1[[#This Row],[Reporting year]]-Table1[[#This Row],[Policy Year]]</f>
        <v>1</v>
      </c>
      <c r="W1597" s="17">
        <f>INT(Table1[[#This Row],[Reporting date]])-INT(Table1[[#This Row],[Loss date]])</f>
        <v>265</v>
      </c>
      <c r="X1597" s="17">
        <f>INT((YEAR(Table1[[#This Row],[Loss date]])*12+MONTH(Table1[[#This Row],[Loss date]])-Earliest_Month)/4)</f>
        <v>23</v>
      </c>
      <c r="Y1597" s="17">
        <f>INT((YEAR(Table1[[#This Row],[Reporting date]])*12+MONTH(Table1[[#This Row],[Reporting date]])-Earliest_Month)/4)</f>
        <v>25</v>
      </c>
      <c r="Z1597" s="17">
        <f>Table1[[#This Row],[Reporting third]]-Table1[[#This Row],[Policy third]]</f>
        <v>2</v>
      </c>
      <c r="AA1597" s="71">
        <f>IF(Table1[[#This Row],[Overall amount]]=0,"N/A",Table1[[#This Row],[Outstanding]]/Table1[[#This Row],[Overall amount]])</f>
        <v>1</v>
      </c>
      <c r="AB1597" s="17">
        <f>IF(MONTH(Table1[[#This Row],[Loss date]])&lt;Pol_Inc_Month_Shifted,YEAR(Table1[[#This Row],[Loss date]])-1,YEAR(Table1[[#This Row],[Loss date]]))</f>
        <v>2012</v>
      </c>
      <c r="AC1597" s="17">
        <f>IF(MONTH(Table1[[#This Row],[Reporting date]])&lt;Pol_Inc_Month_Shifted,YEAR(Table1[[#This Row],[Reporting date]])-1,YEAR(Table1[[#This Row],[Reporting date]]))</f>
        <v>2012</v>
      </c>
      <c r="AD1597" s="17">
        <f>Table1[[#This Row],[Reporting year (shifted)]]-Table1[[#This Row],[Policy Year (shifted)]]</f>
        <v>0</v>
      </c>
    </row>
    <row r="1598" spans="1:30" ht="13.9">
      <c r="A1598" s="8" t="s">
        <v>3368</v>
      </c>
      <c r="B1598" s="8" t="s">
        <v>1650</v>
      </c>
      <c r="C1598" s="8" t="s">
        <v>123</v>
      </c>
      <c r="D1598" s="9">
        <v>41302</v>
      </c>
      <c r="E1598" s="9">
        <v>41554</v>
      </c>
      <c r="F1598" s="17">
        <f>IF(MONTH(Table1[[#This Row],[Loss date]])&lt;Policy_Inception_Month,YEAR(Table1[[#This Row],[Loss date]])-1,YEAR(Table1[[#This Row],[Loss date]]))</f>
        <v>2012</v>
      </c>
      <c r="G1598" s="10" t="s">
        <v>125</v>
      </c>
      <c r="H1598" s="10" t="s">
        <v>2</v>
      </c>
      <c r="I1598" s="11">
        <v>0</v>
      </c>
      <c r="J1598" s="11">
        <v>0</v>
      </c>
      <c r="K1598" s="11">
        <v>0</v>
      </c>
      <c r="L1598" s="12">
        <v>0</v>
      </c>
      <c r="M1598" s="12">
        <v>0</v>
      </c>
      <c r="N1598" s="12">
        <v>0</v>
      </c>
      <c r="O1598" s="70">
        <f>IF(Table1[[#This Row],[Overall amount]]=0,0,1)</f>
        <v>0</v>
      </c>
      <c r="P1598" s="70">
        <f>Table1[[#This Row],[Overall amount]]*Exchange_Rate</f>
        <v>0</v>
      </c>
      <c r="Q1598" s="70">
        <f>Table1[[#This Row],[Overall (destination currency)]]*(1+Claims_Inflation)^((Revalue_at_date-Table1[[#This Row],[Loss date]])/365.25)</f>
        <v>0</v>
      </c>
      <c r="R1598" s="70">
        <f>INT(Table1[[#This Row],[Reporting date]])-INT(Table1[[#This Row],[Loss date]])</f>
        <v>252</v>
      </c>
      <c r="S1598" s="69" t="s">
        <v>9</v>
      </c>
      <c r="T1598" s="70">
        <f>VLOOKUP(Table1[[#This Row],[Policy Year]],exposure_table,3,FALSE)</f>
        <v>1057.54</v>
      </c>
      <c r="U1598" s="17">
        <f>IF(MONTH(Table1[[#This Row],[Reporting date]])&lt;Policy_Inception_Month,YEAR(Table1[[#This Row],[Reporting date]])-1,YEAR(Table1[[#This Row],[Reporting date]]))</f>
        <v>2013</v>
      </c>
      <c r="V1598" s="17">
        <f>Table1[[#This Row],[Reporting year]]-Table1[[#This Row],[Policy Year]]</f>
        <v>1</v>
      </c>
      <c r="W1598" s="17">
        <f>INT(Table1[[#This Row],[Reporting date]])-INT(Table1[[#This Row],[Loss date]])</f>
        <v>252</v>
      </c>
      <c r="X1598" s="17">
        <f>INT((YEAR(Table1[[#This Row],[Loss date]])*12+MONTH(Table1[[#This Row],[Loss date]])-Earliest_Month)/4)</f>
        <v>23</v>
      </c>
      <c r="Y1598" s="17">
        <f>INT((YEAR(Table1[[#This Row],[Reporting date]])*12+MONTH(Table1[[#This Row],[Reporting date]])-Earliest_Month)/4)</f>
        <v>25</v>
      </c>
      <c r="Z1598" s="17">
        <f>Table1[[#This Row],[Reporting third]]-Table1[[#This Row],[Policy third]]</f>
        <v>2</v>
      </c>
      <c r="AA1598" s="71" t="str">
        <f>IF(Table1[[#This Row],[Overall amount]]=0,"N/A",Table1[[#This Row],[Outstanding]]/Table1[[#This Row],[Overall amount]])</f>
        <v>N/A</v>
      </c>
      <c r="AB1598" s="17">
        <f>IF(MONTH(Table1[[#This Row],[Loss date]])&lt;Pol_Inc_Month_Shifted,YEAR(Table1[[#This Row],[Loss date]])-1,YEAR(Table1[[#This Row],[Loss date]]))</f>
        <v>2012</v>
      </c>
      <c r="AC1598" s="17">
        <f>IF(MONTH(Table1[[#This Row],[Reporting date]])&lt;Pol_Inc_Month_Shifted,YEAR(Table1[[#This Row],[Reporting date]])-1,YEAR(Table1[[#This Row],[Reporting date]]))</f>
        <v>2012</v>
      </c>
      <c r="AD1598" s="17">
        <f>Table1[[#This Row],[Reporting year (shifted)]]-Table1[[#This Row],[Policy Year (shifted)]]</f>
        <v>0</v>
      </c>
    </row>
    <row r="1599" spans="1:30" ht="13.9">
      <c r="A1599" s="8" t="s">
        <v>3369</v>
      </c>
      <c r="B1599" s="8" t="s">
        <v>1651</v>
      </c>
      <c r="C1599" s="8" t="s">
        <v>123</v>
      </c>
      <c r="D1599" s="9">
        <v>40519</v>
      </c>
      <c r="E1599" s="9">
        <v>41608</v>
      </c>
      <c r="F1599" s="17">
        <f>IF(MONTH(Table1[[#This Row],[Loss date]])&lt;Policy_Inception_Month,YEAR(Table1[[#This Row],[Loss date]])-1,YEAR(Table1[[#This Row],[Loss date]]))</f>
        <v>2010</v>
      </c>
      <c r="G1599" s="10" t="s">
        <v>125</v>
      </c>
      <c r="H1599" s="10" t="s">
        <v>2</v>
      </c>
      <c r="I1599" s="11">
        <v>0</v>
      </c>
      <c r="J1599" s="11">
        <v>0</v>
      </c>
      <c r="K1599" s="11">
        <v>0</v>
      </c>
      <c r="L1599" s="12">
        <v>0</v>
      </c>
      <c r="M1599" s="12">
        <v>0</v>
      </c>
      <c r="N1599" s="12">
        <v>0</v>
      </c>
      <c r="O1599" s="70">
        <f>IF(Table1[[#This Row],[Overall amount]]=0,0,1)</f>
        <v>0</v>
      </c>
      <c r="P1599" s="70">
        <f>Table1[[#This Row],[Overall amount]]*Exchange_Rate</f>
        <v>0</v>
      </c>
      <c r="Q1599" s="70">
        <f>Table1[[#This Row],[Overall (destination currency)]]*(1+Claims_Inflation)^((Revalue_at_date-Table1[[#This Row],[Loss date]])/365.25)</f>
        <v>0</v>
      </c>
      <c r="R1599" s="70">
        <f>INT(Table1[[#This Row],[Reporting date]])-INT(Table1[[#This Row],[Loss date]])</f>
        <v>1089</v>
      </c>
      <c r="S1599" s="69" t="s">
        <v>9</v>
      </c>
      <c r="T1599" s="70">
        <f>VLOOKUP(Table1[[#This Row],[Policy Year]],exposure_table,3,FALSE)</f>
        <v>837.11513600000012</v>
      </c>
      <c r="U1599" s="17">
        <f>IF(MONTH(Table1[[#This Row],[Reporting date]])&lt;Policy_Inception_Month,YEAR(Table1[[#This Row],[Reporting date]])-1,YEAR(Table1[[#This Row],[Reporting date]]))</f>
        <v>2013</v>
      </c>
      <c r="V1599" s="17">
        <f>Table1[[#This Row],[Reporting year]]-Table1[[#This Row],[Policy Year]]</f>
        <v>3</v>
      </c>
      <c r="W1599" s="17">
        <f>INT(Table1[[#This Row],[Reporting date]])-INT(Table1[[#This Row],[Loss date]])</f>
        <v>1089</v>
      </c>
      <c r="X1599" s="17">
        <f>INT((YEAR(Table1[[#This Row],[Loss date]])*12+MONTH(Table1[[#This Row],[Loss date]])-Earliest_Month)/4)</f>
        <v>17</v>
      </c>
      <c r="Y1599" s="17">
        <f>INT((YEAR(Table1[[#This Row],[Reporting date]])*12+MONTH(Table1[[#This Row],[Reporting date]])-Earliest_Month)/4)</f>
        <v>25</v>
      </c>
      <c r="Z1599" s="17">
        <f>Table1[[#This Row],[Reporting third]]-Table1[[#This Row],[Policy third]]</f>
        <v>8</v>
      </c>
      <c r="AA1599" s="71" t="str">
        <f>IF(Table1[[#This Row],[Overall amount]]=0,"N/A",Table1[[#This Row],[Outstanding]]/Table1[[#This Row],[Overall amount]])</f>
        <v>N/A</v>
      </c>
      <c r="AB1599" s="17">
        <f>IF(MONTH(Table1[[#This Row],[Loss date]])&lt;Pol_Inc_Month_Shifted,YEAR(Table1[[#This Row],[Loss date]])-1,YEAR(Table1[[#This Row],[Loss date]]))</f>
        <v>2010</v>
      </c>
      <c r="AC1599" s="17">
        <f>IF(MONTH(Table1[[#This Row],[Reporting date]])&lt;Pol_Inc_Month_Shifted,YEAR(Table1[[#This Row],[Reporting date]])-1,YEAR(Table1[[#This Row],[Reporting date]]))</f>
        <v>2012</v>
      </c>
      <c r="AD1599" s="17">
        <f>Table1[[#This Row],[Reporting year (shifted)]]-Table1[[#This Row],[Policy Year (shifted)]]</f>
        <v>2</v>
      </c>
    </row>
    <row r="1600" spans="1:30" ht="13.9">
      <c r="A1600" s="8" t="s">
        <v>3370</v>
      </c>
      <c r="B1600" s="8" t="s">
        <v>1652</v>
      </c>
      <c r="C1600" s="8" t="s">
        <v>123</v>
      </c>
      <c r="D1600" s="9">
        <v>41433</v>
      </c>
      <c r="E1600" s="9">
        <v>41621</v>
      </c>
      <c r="F1600" s="17">
        <f>IF(MONTH(Table1[[#This Row],[Loss date]])&lt;Policy_Inception_Month,YEAR(Table1[[#This Row],[Loss date]])-1,YEAR(Table1[[#This Row],[Loss date]]))</f>
        <v>2013</v>
      </c>
      <c r="G1600" s="10" t="s">
        <v>125</v>
      </c>
      <c r="H1600" s="10" t="s">
        <v>2</v>
      </c>
      <c r="I1600" s="11">
        <v>0</v>
      </c>
      <c r="J1600" s="11">
        <v>5359.5724719504524</v>
      </c>
      <c r="K1600" s="11">
        <v>5359.5724719504524</v>
      </c>
      <c r="L1600" s="12">
        <v>0</v>
      </c>
      <c r="M1600" s="12">
        <v>0</v>
      </c>
      <c r="N1600" s="12">
        <v>5359.5724719504524</v>
      </c>
      <c r="O1600" s="70">
        <f>IF(Table1[[#This Row],[Overall amount]]=0,0,1)</f>
        <v>1</v>
      </c>
      <c r="P1600" s="70">
        <f>Table1[[#This Row],[Overall amount]]*Exchange_Rate</f>
        <v>5359.5724719504524</v>
      </c>
      <c r="Q1600" s="70">
        <f>Table1[[#This Row],[Overall (destination currency)]]*(1+Claims_Inflation)^((Revalue_at_date-Table1[[#This Row],[Loss date]])/365.25)</f>
        <v>6000</v>
      </c>
      <c r="R1600" s="70">
        <f>INT(Table1[[#This Row],[Reporting date]])-INT(Table1[[#This Row],[Loss date]])</f>
        <v>188</v>
      </c>
      <c r="S1600" s="69" t="s">
        <v>16</v>
      </c>
      <c r="T1600" s="70">
        <f>VLOOKUP(Table1[[#This Row],[Policy Year]],exposure_table,3,FALSE)</f>
        <v>1090.5865384615383</v>
      </c>
      <c r="U1600" s="17">
        <f>IF(MONTH(Table1[[#This Row],[Reporting date]])&lt;Policy_Inception_Month,YEAR(Table1[[#This Row],[Reporting date]])-1,YEAR(Table1[[#This Row],[Reporting date]]))</f>
        <v>2013</v>
      </c>
      <c r="V1600" s="17">
        <f>Table1[[#This Row],[Reporting year]]-Table1[[#This Row],[Policy Year]]</f>
        <v>0</v>
      </c>
      <c r="W1600" s="17">
        <f>INT(Table1[[#This Row],[Reporting date]])-INT(Table1[[#This Row],[Loss date]])</f>
        <v>188</v>
      </c>
      <c r="X1600" s="17">
        <f>INT((YEAR(Table1[[#This Row],[Loss date]])*12+MONTH(Table1[[#This Row],[Loss date]])-Earliest_Month)/4)</f>
        <v>24</v>
      </c>
      <c r="Y1600" s="17">
        <f>INT((YEAR(Table1[[#This Row],[Reporting date]])*12+MONTH(Table1[[#This Row],[Reporting date]])-Earliest_Month)/4)</f>
        <v>26</v>
      </c>
      <c r="Z1600" s="17">
        <f>Table1[[#This Row],[Reporting third]]-Table1[[#This Row],[Policy third]]</f>
        <v>2</v>
      </c>
      <c r="AA1600" s="71">
        <f>IF(Table1[[#This Row],[Overall amount]]=0,"N/A",Table1[[#This Row],[Outstanding]]/Table1[[#This Row],[Overall amount]])</f>
        <v>1</v>
      </c>
      <c r="AB1600" s="17">
        <f>IF(MONTH(Table1[[#This Row],[Loss date]])&lt;Pol_Inc_Month_Shifted,YEAR(Table1[[#This Row],[Loss date]])-1,YEAR(Table1[[#This Row],[Loss date]]))</f>
        <v>2012</v>
      </c>
      <c r="AC1600" s="17">
        <f>IF(MONTH(Table1[[#This Row],[Reporting date]])&lt;Pol_Inc_Month_Shifted,YEAR(Table1[[#This Row],[Reporting date]])-1,YEAR(Table1[[#This Row],[Reporting date]]))</f>
        <v>2013</v>
      </c>
      <c r="AD1600" s="17">
        <f>Table1[[#This Row],[Reporting year (shifted)]]-Table1[[#This Row],[Policy Year (shifted)]]</f>
        <v>1</v>
      </c>
    </row>
    <row r="1601" spans="1:30" ht="13.9">
      <c r="A1601" s="8" t="s">
        <v>3371</v>
      </c>
      <c r="B1601" s="8" t="s">
        <v>1653</v>
      </c>
      <c r="C1601" s="8" t="s">
        <v>123</v>
      </c>
      <c r="D1601" s="9">
        <v>41587</v>
      </c>
      <c r="E1601" s="9">
        <v>41615</v>
      </c>
      <c r="F1601" s="17">
        <f>IF(MONTH(Table1[[#This Row],[Loss date]])&lt;Policy_Inception_Month,YEAR(Table1[[#This Row],[Loss date]])-1,YEAR(Table1[[#This Row],[Loss date]]))</f>
        <v>2013</v>
      </c>
      <c r="G1601" s="10" t="s">
        <v>155</v>
      </c>
      <c r="H1601" s="10" t="s">
        <v>2</v>
      </c>
      <c r="I1601" s="11">
        <v>0</v>
      </c>
      <c r="J1601" s="11">
        <v>0</v>
      </c>
      <c r="K1601" s="11">
        <v>0</v>
      </c>
      <c r="L1601" s="12">
        <v>0</v>
      </c>
      <c r="M1601" s="12">
        <v>0</v>
      </c>
      <c r="N1601" s="12">
        <v>0</v>
      </c>
      <c r="O1601" s="70">
        <f>IF(Table1[[#This Row],[Overall amount]]=0,0,1)</f>
        <v>0</v>
      </c>
      <c r="P1601" s="70">
        <f>Table1[[#This Row],[Overall amount]]*Exchange_Rate</f>
        <v>0</v>
      </c>
      <c r="Q1601" s="70">
        <f>Table1[[#This Row],[Overall (destination currency)]]*(1+Claims_Inflation)^((Revalue_at_date-Table1[[#This Row],[Loss date]])/365.25)</f>
        <v>0</v>
      </c>
      <c r="R1601" s="70">
        <f>INT(Table1[[#This Row],[Reporting date]])-INT(Table1[[#This Row],[Loss date]])</f>
        <v>28</v>
      </c>
      <c r="S1601" s="69" t="s">
        <v>9</v>
      </c>
      <c r="T1601" s="70">
        <f>VLOOKUP(Table1[[#This Row],[Policy Year]],exposure_table,3,FALSE)</f>
        <v>1090.5865384615383</v>
      </c>
      <c r="U1601" s="17">
        <f>IF(MONTH(Table1[[#This Row],[Reporting date]])&lt;Policy_Inception_Month,YEAR(Table1[[#This Row],[Reporting date]])-1,YEAR(Table1[[#This Row],[Reporting date]]))</f>
        <v>2013</v>
      </c>
      <c r="V1601" s="17">
        <f>Table1[[#This Row],[Reporting year]]-Table1[[#This Row],[Policy Year]]</f>
        <v>0</v>
      </c>
      <c r="W1601" s="17">
        <f>INT(Table1[[#This Row],[Reporting date]])-INT(Table1[[#This Row],[Loss date]])</f>
        <v>28</v>
      </c>
      <c r="X1601" s="17">
        <f>INT((YEAR(Table1[[#This Row],[Loss date]])*12+MONTH(Table1[[#This Row],[Loss date]])-Earliest_Month)/4)</f>
        <v>25</v>
      </c>
      <c r="Y1601" s="17">
        <f>INT((YEAR(Table1[[#This Row],[Reporting date]])*12+MONTH(Table1[[#This Row],[Reporting date]])-Earliest_Month)/4)</f>
        <v>26</v>
      </c>
      <c r="Z1601" s="17">
        <f>Table1[[#This Row],[Reporting third]]-Table1[[#This Row],[Policy third]]</f>
        <v>1</v>
      </c>
      <c r="AA1601" s="71" t="str">
        <f>IF(Table1[[#This Row],[Overall amount]]=0,"N/A",Table1[[#This Row],[Outstanding]]/Table1[[#This Row],[Overall amount]])</f>
        <v>N/A</v>
      </c>
      <c r="AB1601" s="17">
        <f>IF(MONTH(Table1[[#This Row],[Loss date]])&lt;Pol_Inc_Month_Shifted,YEAR(Table1[[#This Row],[Loss date]])-1,YEAR(Table1[[#This Row],[Loss date]]))</f>
        <v>2012</v>
      </c>
      <c r="AC1601" s="17">
        <f>IF(MONTH(Table1[[#This Row],[Reporting date]])&lt;Pol_Inc_Month_Shifted,YEAR(Table1[[#This Row],[Reporting date]])-1,YEAR(Table1[[#This Row],[Reporting date]]))</f>
        <v>2013</v>
      </c>
      <c r="AD1601" s="17">
        <f>Table1[[#This Row],[Reporting year (shifted)]]-Table1[[#This Row],[Policy Year (shifted)]]</f>
        <v>1</v>
      </c>
    </row>
    <row r="1602" spans="1:30" ht="13.9">
      <c r="A1602" s="8" t="s">
        <v>3372</v>
      </c>
      <c r="B1602" s="8" t="s">
        <v>1654</v>
      </c>
      <c r="C1602" s="8" t="s">
        <v>123</v>
      </c>
      <c r="D1602" s="9">
        <v>41447</v>
      </c>
      <c r="E1602" s="9">
        <v>41638</v>
      </c>
      <c r="F1602" s="17">
        <f>IF(MONTH(Table1[[#This Row],[Loss date]])&lt;Policy_Inception_Month,YEAR(Table1[[#This Row],[Loss date]])-1,YEAR(Table1[[#This Row],[Loss date]]))</f>
        <v>2013</v>
      </c>
      <c r="G1602" s="10" t="s">
        <v>131</v>
      </c>
      <c r="H1602" s="10" t="s">
        <v>2</v>
      </c>
      <c r="I1602" s="11">
        <v>0</v>
      </c>
      <c r="J1602" s="11">
        <v>0</v>
      </c>
      <c r="K1602" s="11">
        <v>0</v>
      </c>
      <c r="L1602" s="12">
        <v>0</v>
      </c>
      <c r="M1602" s="12">
        <v>0</v>
      </c>
      <c r="N1602" s="12">
        <v>0</v>
      </c>
      <c r="O1602" s="70">
        <f>IF(Table1[[#This Row],[Overall amount]]=0,0,1)</f>
        <v>0</v>
      </c>
      <c r="P1602" s="70">
        <f>Table1[[#This Row],[Overall amount]]*Exchange_Rate</f>
        <v>0</v>
      </c>
      <c r="Q1602" s="70">
        <f>Table1[[#This Row],[Overall (destination currency)]]*(1+Claims_Inflation)^((Revalue_at_date-Table1[[#This Row],[Loss date]])/365.25)</f>
        <v>0</v>
      </c>
      <c r="R1602" s="70">
        <f>INT(Table1[[#This Row],[Reporting date]])-INT(Table1[[#This Row],[Loss date]])</f>
        <v>191</v>
      </c>
      <c r="S1602" s="69" t="s">
        <v>9</v>
      </c>
      <c r="T1602" s="70">
        <f>VLOOKUP(Table1[[#This Row],[Policy Year]],exposure_table,3,FALSE)</f>
        <v>1090.5865384615383</v>
      </c>
      <c r="U1602" s="17">
        <f>IF(MONTH(Table1[[#This Row],[Reporting date]])&lt;Policy_Inception_Month,YEAR(Table1[[#This Row],[Reporting date]])-1,YEAR(Table1[[#This Row],[Reporting date]]))</f>
        <v>2013</v>
      </c>
      <c r="V1602" s="17">
        <f>Table1[[#This Row],[Reporting year]]-Table1[[#This Row],[Policy Year]]</f>
        <v>0</v>
      </c>
      <c r="W1602" s="17">
        <f>INT(Table1[[#This Row],[Reporting date]])-INT(Table1[[#This Row],[Loss date]])</f>
        <v>191</v>
      </c>
      <c r="X1602" s="17">
        <f>INT((YEAR(Table1[[#This Row],[Loss date]])*12+MONTH(Table1[[#This Row],[Loss date]])-Earliest_Month)/4)</f>
        <v>24</v>
      </c>
      <c r="Y1602" s="17">
        <f>INT((YEAR(Table1[[#This Row],[Reporting date]])*12+MONTH(Table1[[#This Row],[Reporting date]])-Earliest_Month)/4)</f>
        <v>26</v>
      </c>
      <c r="Z1602" s="17">
        <f>Table1[[#This Row],[Reporting third]]-Table1[[#This Row],[Policy third]]</f>
        <v>2</v>
      </c>
      <c r="AA1602" s="71" t="str">
        <f>IF(Table1[[#This Row],[Overall amount]]=0,"N/A",Table1[[#This Row],[Outstanding]]/Table1[[#This Row],[Overall amount]])</f>
        <v>N/A</v>
      </c>
      <c r="AB1602" s="17">
        <f>IF(MONTH(Table1[[#This Row],[Loss date]])&lt;Pol_Inc_Month_Shifted,YEAR(Table1[[#This Row],[Loss date]])-1,YEAR(Table1[[#This Row],[Loss date]]))</f>
        <v>2012</v>
      </c>
      <c r="AC1602" s="17">
        <f>IF(MONTH(Table1[[#This Row],[Reporting date]])&lt;Pol_Inc_Month_Shifted,YEAR(Table1[[#This Row],[Reporting date]])-1,YEAR(Table1[[#This Row],[Reporting date]]))</f>
        <v>2013</v>
      </c>
      <c r="AD1602" s="17">
        <f>Table1[[#This Row],[Reporting year (shifted)]]-Table1[[#This Row],[Policy Year (shifted)]]</f>
        <v>1</v>
      </c>
    </row>
    <row r="1603" spans="1:30" ht="13.9">
      <c r="A1603" s="8" t="s">
        <v>3373</v>
      </c>
      <c r="B1603" s="8" t="s">
        <v>1655</v>
      </c>
      <c r="C1603" s="8" t="s">
        <v>123</v>
      </c>
      <c r="D1603" s="9">
        <v>41131</v>
      </c>
      <c r="E1603" s="9">
        <v>41643</v>
      </c>
      <c r="F1603" s="17">
        <f>IF(MONTH(Table1[[#This Row],[Loss date]])&lt;Policy_Inception_Month,YEAR(Table1[[#This Row],[Loss date]])-1,YEAR(Table1[[#This Row],[Loss date]]))</f>
        <v>2012</v>
      </c>
      <c r="G1603" s="10" t="s">
        <v>125</v>
      </c>
      <c r="H1603" s="10" t="s">
        <v>2</v>
      </c>
      <c r="I1603" s="11">
        <v>0</v>
      </c>
      <c r="J1603" s="11">
        <v>12869.159645785396</v>
      </c>
      <c r="K1603" s="11">
        <v>12869.159645785396</v>
      </c>
      <c r="L1603" s="12">
        <v>0</v>
      </c>
      <c r="M1603" s="12">
        <v>0</v>
      </c>
      <c r="N1603" s="12">
        <v>12869.159645785396</v>
      </c>
      <c r="O1603" s="70">
        <f>IF(Table1[[#This Row],[Overall amount]]=0,0,1)</f>
        <v>1</v>
      </c>
      <c r="P1603" s="70">
        <f>Table1[[#This Row],[Overall amount]]*Exchange_Rate</f>
        <v>12869.159645785396</v>
      </c>
      <c r="Q1603" s="70">
        <f>Table1[[#This Row],[Overall (destination currency)]]*(1+Claims_Inflation)^((Revalue_at_date-Table1[[#This Row],[Loss date]])/365.25)</f>
        <v>15000.000000000002</v>
      </c>
      <c r="R1603" s="70">
        <f>INT(Table1[[#This Row],[Reporting date]])-INT(Table1[[#This Row],[Loss date]])</f>
        <v>512</v>
      </c>
      <c r="S1603" s="69" t="s">
        <v>16</v>
      </c>
      <c r="T1603" s="70">
        <f>VLOOKUP(Table1[[#This Row],[Policy Year]],exposure_table,3,FALSE)</f>
        <v>1057.54</v>
      </c>
      <c r="U1603" s="17">
        <f>IF(MONTH(Table1[[#This Row],[Reporting date]])&lt;Policy_Inception_Month,YEAR(Table1[[#This Row],[Reporting date]])-1,YEAR(Table1[[#This Row],[Reporting date]]))</f>
        <v>2013</v>
      </c>
      <c r="V1603" s="17">
        <f>Table1[[#This Row],[Reporting year]]-Table1[[#This Row],[Policy Year]]</f>
        <v>1</v>
      </c>
      <c r="W1603" s="17">
        <f>INT(Table1[[#This Row],[Reporting date]])-INT(Table1[[#This Row],[Loss date]])</f>
        <v>512</v>
      </c>
      <c r="X1603" s="17">
        <f>INT((YEAR(Table1[[#This Row],[Loss date]])*12+MONTH(Table1[[#This Row],[Loss date]])-Earliest_Month)/4)</f>
        <v>22</v>
      </c>
      <c r="Y1603" s="17">
        <f>INT((YEAR(Table1[[#This Row],[Reporting date]])*12+MONTH(Table1[[#This Row],[Reporting date]])-Earliest_Month)/4)</f>
        <v>26</v>
      </c>
      <c r="Z1603" s="17">
        <f>Table1[[#This Row],[Reporting third]]-Table1[[#This Row],[Policy third]]</f>
        <v>4</v>
      </c>
      <c r="AA1603" s="71">
        <f>IF(Table1[[#This Row],[Overall amount]]=0,"N/A",Table1[[#This Row],[Outstanding]]/Table1[[#This Row],[Overall amount]])</f>
        <v>1</v>
      </c>
      <c r="AB1603" s="17">
        <f>IF(MONTH(Table1[[#This Row],[Loss date]])&lt;Pol_Inc_Month_Shifted,YEAR(Table1[[#This Row],[Loss date]])-1,YEAR(Table1[[#This Row],[Loss date]]))</f>
        <v>2011</v>
      </c>
      <c r="AC1603" s="17">
        <f>IF(MONTH(Table1[[#This Row],[Reporting date]])&lt;Pol_Inc_Month_Shifted,YEAR(Table1[[#This Row],[Reporting date]])-1,YEAR(Table1[[#This Row],[Reporting date]]))</f>
        <v>2013</v>
      </c>
      <c r="AD1603" s="17">
        <f>Table1[[#This Row],[Reporting year (shifted)]]-Table1[[#This Row],[Policy Year (shifted)]]</f>
        <v>2</v>
      </c>
    </row>
    <row r="1604" spans="1:30" ht="13.9">
      <c r="A1604" s="8" t="s">
        <v>3374</v>
      </c>
      <c r="B1604" s="8" t="s">
        <v>1656</v>
      </c>
      <c r="C1604" s="8" t="s">
        <v>123</v>
      </c>
      <c r="D1604" s="9">
        <v>41083</v>
      </c>
      <c r="E1604" s="9">
        <v>41607</v>
      </c>
      <c r="F1604" s="17">
        <f>IF(MONTH(Table1[[#This Row],[Loss date]])&lt;Policy_Inception_Month,YEAR(Table1[[#This Row],[Loss date]])-1,YEAR(Table1[[#This Row],[Loss date]]))</f>
        <v>2012</v>
      </c>
      <c r="G1604" s="10" t="s">
        <v>156</v>
      </c>
      <c r="H1604" s="10" t="s">
        <v>2</v>
      </c>
      <c r="I1604" s="11">
        <v>255.73817017900933</v>
      </c>
      <c r="J1604" s="11">
        <v>7262.9640330838647</v>
      </c>
      <c r="K1604" s="11">
        <v>7518.7022032628738</v>
      </c>
      <c r="L1604" s="12">
        <v>0</v>
      </c>
      <c r="M1604" s="12">
        <v>0</v>
      </c>
      <c r="N1604" s="12">
        <v>7518.7022032628738</v>
      </c>
      <c r="O1604" s="70">
        <f>IF(Table1[[#This Row],[Overall amount]]=0,0,1)</f>
        <v>1</v>
      </c>
      <c r="P1604" s="70">
        <f>Table1[[#This Row],[Overall amount]]*Exchange_Rate</f>
        <v>7518.7022032628738</v>
      </c>
      <c r="Q1604" s="70">
        <f>Table1[[#This Row],[Overall (destination currency)]]*(1+Claims_Inflation)^((Revalue_at_date-Table1[[#This Row],[Loss date]])/365.25)</f>
        <v>8820</v>
      </c>
      <c r="R1604" s="70">
        <f>INT(Table1[[#This Row],[Reporting date]])-INT(Table1[[#This Row],[Loss date]])</f>
        <v>524</v>
      </c>
      <c r="S1604" s="69" t="s">
        <v>16</v>
      </c>
      <c r="T1604" s="70">
        <f>VLOOKUP(Table1[[#This Row],[Policy Year]],exposure_table,3,FALSE)</f>
        <v>1057.54</v>
      </c>
      <c r="U1604" s="17">
        <f>IF(MONTH(Table1[[#This Row],[Reporting date]])&lt;Policy_Inception_Month,YEAR(Table1[[#This Row],[Reporting date]])-1,YEAR(Table1[[#This Row],[Reporting date]]))</f>
        <v>2013</v>
      </c>
      <c r="V1604" s="17">
        <f>Table1[[#This Row],[Reporting year]]-Table1[[#This Row],[Policy Year]]</f>
        <v>1</v>
      </c>
      <c r="W1604" s="17">
        <f>INT(Table1[[#This Row],[Reporting date]])-INT(Table1[[#This Row],[Loss date]])</f>
        <v>524</v>
      </c>
      <c r="X1604" s="17">
        <f>INT((YEAR(Table1[[#This Row],[Loss date]])*12+MONTH(Table1[[#This Row],[Loss date]])-Earliest_Month)/4)</f>
        <v>21</v>
      </c>
      <c r="Y1604" s="17">
        <f>INT((YEAR(Table1[[#This Row],[Reporting date]])*12+MONTH(Table1[[#This Row],[Reporting date]])-Earliest_Month)/4)</f>
        <v>25</v>
      </c>
      <c r="Z1604" s="17">
        <f>Table1[[#This Row],[Reporting third]]-Table1[[#This Row],[Policy third]]</f>
        <v>4</v>
      </c>
      <c r="AA1604" s="71">
        <f>IF(Table1[[#This Row],[Overall amount]]=0,"N/A",Table1[[#This Row],[Outstanding]]/Table1[[#This Row],[Overall amount]])</f>
        <v>0.9659863945578232</v>
      </c>
      <c r="AB1604" s="17">
        <f>IF(MONTH(Table1[[#This Row],[Loss date]])&lt;Pol_Inc_Month_Shifted,YEAR(Table1[[#This Row],[Loss date]])-1,YEAR(Table1[[#This Row],[Loss date]]))</f>
        <v>2011</v>
      </c>
      <c r="AC1604" s="17">
        <f>IF(MONTH(Table1[[#This Row],[Reporting date]])&lt;Pol_Inc_Month_Shifted,YEAR(Table1[[#This Row],[Reporting date]])-1,YEAR(Table1[[#This Row],[Reporting date]]))</f>
        <v>2012</v>
      </c>
      <c r="AD1604" s="17">
        <f>Table1[[#This Row],[Reporting year (shifted)]]-Table1[[#This Row],[Policy Year (shifted)]]</f>
        <v>1</v>
      </c>
    </row>
    <row r="1605" spans="1:30" ht="13.9">
      <c r="A1605" s="8" t="s">
        <v>3375</v>
      </c>
      <c r="B1605" s="8" t="s">
        <v>1657</v>
      </c>
      <c r="C1605" s="8" t="s">
        <v>123</v>
      </c>
      <c r="D1605" s="9">
        <v>41065</v>
      </c>
      <c r="E1605" s="9">
        <v>41628</v>
      </c>
      <c r="F1605" s="17">
        <f>IF(MONTH(Table1[[#This Row],[Loss date]])&lt;Policy_Inception_Month,YEAR(Table1[[#This Row],[Loss date]])-1,YEAR(Table1[[#This Row],[Loss date]]))</f>
        <v>2012</v>
      </c>
      <c r="G1605" s="10" t="s">
        <v>157</v>
      </c>
      <c r="H1605" s="10" t="s">
        <v>2</v>
      </c>
      <c r="I1605" s="11">
        <v>0</v>
      </c>
      <c r="J1605" s="11">
        <v>10204.960035396132</v>
      </c>
      <c r="K1605" s="11">
        <v>10204.960035396132</v>
      </c>
      <c r="L1605" s="12">
        <v>0</v>
      </c>
      <c r="M1605" s="12">
        <v>0</v>
      </c>
      <c r="N1605" s="12">
        <v>10204.960035396132</v>
      </c>
      <c r="O1605" s="70">
        <f>IF(Table1[[#This Row],[Overall amount]]=0,0,1)</f>
        <v>1</v>
      </c>
      <c r="P1605" s="70">
        <f>Table1[[#This Row],[Overall amount]]*Exchange_Rate</f>
        <v>10204.960035396132</v>
      </c>
      <c r="Q1605" s="70">
        <f>Table1[[#This Row],[Overall (destination currency)]]*(1+Claims_Inflation)^((Revalue_at_date-Table1[[#This Row],[Loss date]])/365.25)</f>
        <v>12000</v>
      </c>
      <c r="R1605" s="70">
        <f>INT(Table1[[#This Row],[Reporting date]])-INT(Table1[[#This Row],[Loss date]])</f>
        <v>563</v>
      </c>
      <c r="S1605" s="69" t="s">
        <v>16</v>
      </c>
      <c r="T1605" s="70">
        <f>VLOOKUP(Table1[[#This Row],[Policy Year]],exposure_table,3,FALSE)</f>
        <v>1057.54</v>
      </c>
      <c r="U1605" s="17">
        <f>IF(MONTH(Table1[[#This Row],[Reporting date]])&lt;Policy_Inception_Month,YEAR(Table1[[#This Row],[Reporting date]])-1,YEAR(Table1[[#This Row],[Reporting date]]))</f>
        <v>2013</v>
      </c>
      <c r="V1605" s="17">
        <f>Table1[[#This Row],[Reporting year]]-Table1[[#This Row],[Policy Year]]</f>
        <v>1</v>
      </c>
      <c r="W1605" s="17">
        <f>INT(Table1[[#This Row],[Reporting date]])-INT(Table1[[#This Row],[Loss date]])</f>
        <v>563</v>
      </c>
      <c r="X1605" s="17">
        <f>INT((YEAR(Table1[[#This Row],[Loss date]])*12+MONTH(Table1[[#This Row],[Loss date]])-Earliest_Month)/4)</f>
        <v>21</v>
      </c>
      <c r="Y1605" s="17">
        <f>INT((YEAR(Table1[[#This Row],[Reporting date]])*12+MONTH(Table1[[#This Row],[Reporting date]])-Earliest_Month)/4)</f>
        <v>26</v>
      </c>
      <c r="Z1605" s="17">
        <f>Table1[[#This Row],[Reporting third]]-Table1[[#This Row],[Policy third]]</f>
        <v>5</v>
      </c>
      <c r="AA1605" s="71">
        <f>IF(Table1[[#This Row],[Overall amount]]=0,"N/A",Table1[[#This Row],[Outstanding]]/Table1[[#This Row],[Overall amount]])</f>
        <v>1</v>
      </c>
      <c r="AB1605" s="17">
        <f>IF(MONTH(Table1[[#This Row],[Loss date]])&lt;Pol_Inc_Month_Shifted,YEAR(Table1[[#This Row],[Loss date]])-1,YEAR(Table1[[#This Row],[Loss date]]))</f>
        <v>2011</v>
      </c>
      <c r="AC1605" s="17">
        <f>IF(MONTH(Table1[[#This Row],[Reporting date]])&lt;Pol_Inc_Month_Shifted,YEAR(Table1[[#This Row],[Reporting date]])-1,YEAR(Table1[[#This Row],[Reporting date]]))</f>
        <v>2013</v>
      </c>
      <c r="AD1605" s="17">
        <f>Table1[[#This Row],[Reporting year (shifted)]]-Table1[[#This Row],[Policy Year (shifted)]]</f>
        <v>2</v>
      </c>
    </row>
    <row r="1606" spans="1:30" ht="13.9">
      <c r="A1606" s="8" t="s">
        <v>3376</v>
      </c>
      <c r="B1606" s="8" t="s">
        <v>1658</v>
      </c>
      <c r="C1606" s="8" t="s">
        <v>123</v>
      </c>
      <c r="D1606" s="9">
        <v>40913</v>
      </c>
      <c r="E1606" s="9">
        <v>41637</v>
      </c>
      <c r="F1606" s="17">
        <f>IF(MONTH(Table1[[#This Row],[Loss date]])&lt;Policy_Inception_Month,YEAR(Table1[[#This Row],[Loss date]])-1,YEAR(Table1[[#This Row],[Loss date]]))</f>
        <v>2011</v>
      </c>
      <c r="G1606" s="10" t="s">
        <v>158</v>
      </c>
      <c r="H1606" s="10" t="s">
        <v>2</v>
      </c>
      <c r="I1606" s="11">
        <v>0</v>
      </c>
      <c r="J1606" s="11">
        <v>5999.9075904893289</v>
      </c>
      <c r="K1606" s="11">
        <v>5999.9075904893289</v>
      </c>
      <c r="L1606" s="12">
        <v>299.99537952446644</v>
      </c>
      <c r="M1606" s="12">
        <v>0</v>
      </c>
      <c r="N1606" s="12">
        <v>6299.9029700137953</v>
      </c>
      <c r="O1606" s="70">
        <f>IF(Table1[[#This Row],[Overall amount]]=0,0,1)</f>
        <v>1</v>
      </c>
      <c r="P1606" s="70">
        <f>Table1[[#This Row],[Overall amount]]*Exchange_Rate</f>
        <v>6299.9029700137953</v>
      </c>
      <c r="Q1606" s="70">
        <f>Table1[[#This Row],[Overall (destination currency)]]*(1+Claims_Inflation)^((Revalue_at_date-Table1[[#This Row],[Loss date]])/365.25)</f>
        <v>7560</v>
      </c>
      <c r="R1606" s="70">
        <f>INT(Table1[[#This Row],[Reporting date]])-INT(Table1[[#This Row],[Loss date]])</f>
        <v>724</v>
      </c>
      <c r="S1606" s="69" t="s">
        <v>16</v>
      </c>
      <c r="T1606" s="70">
        <f>VLOOKUP(Table1[[#This Row],[Policy Year]],exposure_table,3,FALSE)</f>
        <v>870.52680000000009</v>
      </c>
      <c r="U1606" s="17">
        <f>IF(MONTH(Table1[[#This Row],[Reporting date]])&lt;Policy_Inception_Month,YEAR(Table1[[#This Row],[Reporting date]])-1,YEAR(Table1[[#This Row],[Reporting date]]))</f>
        <v>2013</v>
      </c>
      <c r="V1606" s="17">
        <f>Table1[[#This Row],[Reporting year]]-Table1[[#This Row],[Policy Year]]</f>
        <v>2</v>
      </c>
      <c r="W1606" s="17">
        <f>INT(Table1[[#This Row],[Reporting date]])-INT(Table1[[#This Row],[Loss date]])</f>
        <v>724</v>
      </c>
      <c r="X1606" s="17">
        <f>INT((YEAR(Table1[[#This Row],[Loss date]])*12+MONTH(Table1[[#This Row],[Loss date]])-Earliest_Month)/4)</f>
        <v>20</v>
      </c>
      <c r="Y1606" s="17">
        <f>INT((YEAR(Table1[[#This Row],[Reporting date]])*12+MONTH(Table1[[#This Row],[Reporting date]])-Earliest_Month)/4)</f>
        <v>26</v>
      </c>
      <c r="Z1606" s="17">
        <f>Table1[[#This Row],[Reporting third]]-Table1[[#This Row],[Policy third]]</f>
        <v>6</v>
      </c>
      <c r="AA1606" s="71">
        <f>IF(Table1[[#This Row],[Overall amount]]=0,"N/A",Table1[[#This Row],[Outstanding]]/Table1[[#This Row],[Overall amount]])</f>
        <v>0.95238095238095233</v>
      </c>
      <c r="AB1606" s="17">
        <f>IF(MONTH(Table1[[#This Row],[Loss date]])&lt;Pol_Inc_Month_Shifted,YEAR(Table1[[#This Row],[Loss date]])-1,YEAR(Table1[[#This Row],[Loss date]]))</f>
        <v>2011</v>
      </c>
      <c r="AC1606" s="17">
        <f>IF(MONTH(Table1[[#This Row],[Reporting date]])&lt;Pol_Inc_Month_Shifted,YEAR(Table1[[#This Row],[Reporting date]])-1,YEAR(Table1[[#This Row],[Reporting date]]))</f>
        <v>2013</v>
      </c>
      <c r="AD1606" s="17">
        <f>Table1[[#This Row],[Reporting year (shifted)]]-Table1[[#This Row],[Policy Year (shifted)]]</f>
        <v>2</v>
      </c>
    </row>
    <row r="1607" spans="1:30" ht="13.9">
      <c r="A1607" s="8" t="s">
        <v>3377</v>
      </c>
      <c r="B1607" s="8" t="s">
        <v>1659</v>
      </c>
      <c r="C1607" s="8" t="s">
        <v>123</v>
      </c>
      <c r="D1607" s="9">
        <v>41135</v>
      </c>
      <c r="E1607" s="9">
        <v>41560</v>
      </c>
      <c r="F1607" s="17">
        <f>IF(MONTH(Table1[[#This Row],[Loss date]])&lt;Policy_Inception_Month,YEAR(Table1[[#This Row],[Loss date]])-1,YEAR(Table1[[#This Row],[Loss date]]))</f>
        <v>2012</v>
      </c>
      <c r="G1607" s="10" t="s">
        <v>159</v>
      </c>
      <c r="H1607" s="10" t="s">
        <v>2</v>
      </c>
      <c r="I1607" s="11">
        <v>0</v>
      </c>
      <c r="J1607" s="11">
        <v>0</v>
      </c>
      <c r="K1607" s="11">
        <v>0</v>
      </c>
      <c r="L1607" s="12">
        <v>0</v>
      </c>
      <c r="M1607" s="12">
        <v>0</v>
      </c>
      <c r="N1607" s="12">
        <v>0</v>
      </c>
      <c r="O1607" s="70">
        <f>IF(Table1[[#This Row],[Overall amount]]=0,0,1)</f>
        <v>0</v>
      </c>
      <c r="P1607" s="70">
        <f>Table1[[#This Row],[Overall amount]]*Exchange_Rate</f>
        <v>0</v>
      </c>
      <c r="Q1607" s="70">
        <f>Table1[[#This Row],[Overall (destination currency)]]*(1+Claims_Inflation)^((Revalue_at_date-Table1[[#This Row],[Loss date]])/365.25)</f>
        <v>0</v>
      </c>
      <c r="R1607" s="70">
        <f>INT(Table1[[#This Row],[Reporting date]])-INT(Table1[[#This Row],[Loss date]])</f>
        <v>425</v>
      </c>
      <c r="S1607" s="69" t="s">
        <v>9</v>
      </c>
      <c r="T1607" s="70">
        <f>VLOOKUP(Table1[[#This Row],[Policy Year]],exposure_table,3,FALSE)</f>
        <v>1057.54</v>
      </c>
      <c r="U1607" s="17">
        <f>IF(MONTH(Table1[[#This Row],[Reporting date]])&lt;Policy_Inception_Month,YEAR(Table1[[#This Row],[Reporting date]])-1,YEAR(Table1[[#This Row],[Reporting date]]))</f>
        <v>2013</v>
      </c>
      <c r="V1607" s="17">
        <f>Table1[[#This Row],[Reporting year]]-Table1[[#This Row],[Policy Year]]</f>
        <v>1</v>
      </c>
      <c r="W1607" s="17">
        <f>INT(Table1[[#This Row],[Reporting date]])-INT(Table1[[#This Row],[Loss date]])</f>
        <v>425</v>
      </c>
      <c r="X1607" s="17">
        <f>INT((YEAR(Table1[[#This Row],[Loss date]])*12+MONTH(Table1[[#This Row],[Loss date]])-Earliest_Month)/4)</f>
        <v>22</v>
      </c>
      <c r="Y1607" s="17">
        <f>INT((YEAR(Table1[[#This Row],[Reporting date]])*12+MONTH(Table1[[#This Row],[Reporting date]])-Earliest_Month)/4)</f>
        <v>25</v>
      </c>
      <c r="Z1607" s="17">
        <f>Table1[[#This Row],[Reporting third]]-Table1[[#This Row],[Policy third]]</f>
        <v>3</v>
      </c>
      <c r="AA1607" s="71" t="str">
        <f>IF(Table1[[#This Row],[Overall amount]]=0,"N/A",Table1[[#This Row],[Outstanding]]/Table1[[#This Row],[Overall amount]])</f>
        <v>N/A</v>
      </c>
      <c r="AB1607" s="17">
        <f>IF(MONTH(Table1[[#This Row],[Loss date]])&lt;Pol_Inc_Month_Shifted,YEAR(Table1[[#This Row],[Loss date]])-1,YEAR(Table1[[#This Row],[Loss date]]))</f>
        <v>2011</v>
      </c>
      <c r="AC1607" s="17">
        <f>IF(MONTH(Table1[[#This Row],[Reporting date]])&lt;Pol_Inc_Month_Shifted,YEAR(Table1[[#This Row],[Reporting date]])-1,YEAR(Table1[[#This Row],[Reporting date]]))</f>
        <v>2012</v>
      </c>
      <c r="AD1607" s="17">
        <f>Table1[[#This Row],[Reporting year (shifted)]]-Table1[[#This Row],[Policy Year (shifted)]]</f>
        <v>1</v>
      </c>
    </row>
    <row r="1608" spans="1:30" ht="13.9">
      <c r="A1608" s="8" t="s">
        <v>3378</v>
      </c>
      <c r="B1608" s="8" t="s">
        <v>1660</v>
      </c>
      <c r="C1608" s="8" t="s">
        <v>123</v>
      </c>
      <c r="D1608" s="9">
        <v>41286</v>
      </c>
      <c r="E1608" s="9">
        <v>41603</v>
      </c>
      <c r="F1608" s="17">
        <f>IF(MONTH(Table1[[#This Row],[Loss date]])&lt;Policy_Inception_Month,YEAR(Table1[[#This Row],[Loss date]])-1,YEAR(Table1[[#This Row],[Loss date]]))</f>
        <v>2012</v>
      </c>
      <c r="G1608" s="10" t="s">
        <v>158</v>
      </c>
      <c r="H1608" s="10" t="s">
        <v>2</v>
      </c>
      <c r="I1608" s="11">
        <v>625.38747302278364</v>
      </c>
      <c r="J1608" s="11">
        <v>16028.838594281428</v>
      </c>
      <c r="K1608" s="11">
        <v>16654.226067304211</v>
      </c>
      <c r="L1608" s="12">
        <v>315.32141496947071</v>
      </c>
      <c r="M1608" s="12">
        <v>0</v>
      </c>
      <c r="N1608" s="12">
        <v>16969.547482273683</v>
      </c>
      <c r="O1608" s="70">
        <f>IF(Table1[[#This Row],[Overall amount]]=0,0,1)</f>
        <v>1</v>
      </c>
      <c r="P1608" s="70">
        <f>Table1[[#This Row],[Overall amount]]*Exchange_Rate</f>
        <v>16969.547482273683</v>
      </c>
      <c r="Q1608" s="70">
        <f>Table1[[#This Row],[Overall (destination currency)]]*(1+Claims_Inflation)^((Revalue_at_date-Table1[[#This Row],[Loss date]])/365.25)</f>
        <v>19374</v>
      </c>
      <c r="R1608" s="70">
        <f>INT(Table1[[#This Row],[Reporting date]])-INT(Table1[[#This Row],[Loss date]])</f>
        <v>317</v>
      </c>
      <c r="S1608" s="69" t="s">
        <v>16</v>
      </c>
      <c r="T1608" s="70">
        <f>VLOOKUP(Table1[[#This Row],[Policy Year]],exposure_table,3,FALSE)</f>
        <v>1057.54</v>
      </c>
      <c r="U1608" s="17">
        <f>IF(MONTH(Table1[[#This Row],[Reporting date]])&lt;Policy_Inception_Month,YEAR(Table1[[#This Row],[Reporting date]])-1,YEAR(Table1[[#This Row],[Reporting date]]))</f>
        <v>2013</v>
      </c>
      <c r="V1608" s="17">
        <f>Table1[[#This Row],[Reporting year]]-Table1[[#This Row],[Policy Year]]</f>
        <v>1</v>
      </c>
      <c r="W1608" s="17">
        <f>INT(Table1[[#This Row],[Reporting date]])-INT(Table1[[#This Row],[Loss date]])</f>
        <v>317</v>
      </c>
      <c r="X1608" s="17">
        <f>INT((YEAR(Table1[[#This Row],[Loss date]])*12+MONTH(Table1[[#This Row],[Loss date]])-Earliest_Month)/4)</f>
        <v>23</v>
      </c>
      <c r="Y1608" s="17">
        <f>INT((YEAR(Table1[[#This Row],[Reporting date]])*12+MONTH(Table1[[#This Row],[Reporting date]])-Earliest_Month)/4)</f>
        <v>25</v>
      </c>
      <c r="Z1608" s="17">
        <f>Table1[[#This Row],[Reporting third]]-Table1[[#This Row],[Policy third]]</f>
        <v>2</v>
      </c>
      <c r="AA1608" s="71">
        <f>IF(Table1[[#This Row],[Overall amount]]=0,"N/A",Table1[[#This Row],[Outstanding]]/Table1[[#This Row],[Overall amount]])</f>
        <v>0.94456488076803957</v>
      </c>
      <c r="AB1608" s="17">
        <f>IF(MONTH(Table1[[#This Row],[Loss date]])&lt;Pol_Inc_Month_Shifted,YEAR(Table1[[#This Row],[Loss date]])-1,YEAR(Table1[[#This Row],[Loss date]]))</f>
        <v>2012</v>
      </c>
      <c r="AC1608" s="17">
        <f>IF(MONTH(Table1[[#This Row],[Reporting date]])&lt;Pol_Inc_Month_Shifted,YEAR(Table1[[#This Row],[Reporting date]])-1,YEAR(Table1[[#This Row],[Reporting date]]))</f>
        <v>2012</v>
      </c>
      <c r="AD1608" s="17">
        <f>Table1[[#This Row],[Reporting year (shifted)]]-Table1[[#This Row],[Policy Year (shifted)]]</f>
        <v>0</v>
      </c>
    </row>
    <row r="1609" spans="1:30" ht="13.9">
      <c r="A1609" s="8" t="s">
        <v>3379</v>
      </c>
      <c r="B1609" s="8" t="s">
        <v>1661</v>
      </c>
      <c r="C1609" s="8" t="s">
        <v>123</v>
      </c>
      <c r="D1609" s="9">
        <v>41432</v>
      </c>
      <c r="E1609" s="9">
        <v>41631</v>
      </c>
      <c r="F1609" s="17">
        <f>IF(MONTH(Table1[[#This Row],[Loss date]])&lt;Policy_Inception_Month,YEAR(Table1[[#This Row],[Loss date]])-1,YEAR(Table1[[#This Row],[Loss date]]))</f>
        <v>2013</v>
      </c>
      <c r="G1609" s="10" t="s">
        <v>160</v>
      </c>
      <c r="H1609" s="10" t="s">
        <v>2</v>
      </c>
      <c r="I1609" s="11">
        <v>0</v>
      </c>
      <c r="J1609" s="11">
        <v>16076.569761179282</v>
      </c>
      <c r="K1609" s="11">
        <v>16076.569761179282</v>
      </c>
      <c r="L1609" s="12">
        <v>0</v>
      </c>
      <c r="M1609" s="12">
        <v>0</v>
      </c>
      <c r="N1609" s="12">
        <v>16076.569761179282</v>
      </c>
      <c r="O1609" s="70">
        <f>IF(Table1[[#This Row],[Overall amount]]=0,0,1)</f>
        <v>1</v>
      </c>
      <c r="P1609" s="70">
        <f>Table1[[#This Row],[Overall amount]]*Exchange_Rate</f>
        <v>16076.569761179282</v>
      </c>
      <c r="Q1609" s="70">
        <f>Table1[[#This Row],[Overall (destination currency)]]*(1+Claims_Inflation)^((Revalue_at_date-Table1[[#This Row],[Loss date]])/365.25)</f>
        <v>18000</v>
      </c>
      <c r="R1609" s="70">
        <f>INT(Table1[[#This Row],[Reporting date]])-INT(Table1[[#This Row],[Loss date]])</f>
        <v>199</v>
      </c>
      <c r="S1609" s="69" t="s">
        <v>16</v>
      </c>
      <c r="T1609" s="70">
        <f>VLOOKUP(Table1[[#This Row],[Policy Year]],exposure_table,3,FALSE)</f>
        <v>1090.5865384615383</v>
      </c>
      <c r="U1609" s="17">
        <f>IF(MONTH(Table1[[#This Row],[Reporting date]])&lt;Policy_Inception_Month,YEAR(Table1[[#This Row],[Reporting date]])-1,YEAR(Table1[[#This Row],[Reporting date]]))</f>
        <v>2013</v>
      </c>
      <c r="V1609" s="17">
        <f>Table1[[#This Row],[Reporting year]]-Table1[[#This Row],[Policy Year]]</f>
        <v>0</v>
      </c>
      <c r="W1609" s="17">
        <f>INT(Table1[[#This Row],[Reporting date]])-INT(Table1[[#This Row],[Loss date]])</f>
        <v>199</v>
      </c>
      <c r="X1609" s="17">
        <f>INT((YEAR(Table1[[#This Row],[Loss date]])*12+MONTH(Table1[[#This Row],[Loss date]])-Earliest_Month)/4)</f>
        <v>24</v>
      </c>
      <c r="Y1609" s="17">
        <f>INT((YEAR(Table1[[#This Row],[Reporting date]])*12+MONTH(Table1[[#This Row],[Reporting date]])-Earliest_Month)/4)</f>
        <v>26</v>
      </c>
      <c r="Z1609" s="17">
        <f>Table1[[#This Row],[Reporting third]]-Table1[[#This Row],[Policy third]]</f>
        <v>2</v>
      </c>
      <c r="AA1609" s="71">
        <f>IF(Table1[[#This Row],[Overall amount]]=0,"N/A",Table1[[#This Row],[Outstanding]]/Table1[[#This Row],[Overall amount]])</f>
        <v>1</v>
      </c>
      <c r="AB1609" s="17">
        <f>IF(MONTH(Table1[[#This Row],[Loss date]])&lt;Pol_Inc_Month_Shifted,YEAR(Table1[[#This Row],[Loss date]])-1,YEAR(Table1[[#This Row],[Loss date]]))</f>
        <v>2012</v>
      </c>
      <c r="AC1609" s="17">
        <f>IF(MONTH(Table1[[#This Row],[Reporting date]])&lt;Pol_Inc_Month_Shifted,YEAR(Table1[[#This Row],[Reporting date]])-1,YEAR(Table1[[#This Row],[Reporting date]]))</f>
        <v>2013</v>
      </c>
      <c r="AD1609" s="17">
        <f>Table1[[#This Row],[Reporting year (shifted)]]-Table1[[#This Row],[Policy Year (shifted)]]</f>
        <v>1</v>
      </c>
    </row>
    <row r="1610" spans="1:30" ht="13.9">
      <c r="A1610" s="8" t="s">
        <v>3380</v>
      </c>
      <c r="B1610" s="8" t="s">
        <v>1662</v>
      </c>
      <c r="C1610" s="8" t="s">
        <v>123</v>
      </c>
      <c r="D1610" s="9">
        <v>41280</v>
      </c>
      <c r="E1610" s="9">
        <v>41692</v>
      </c>
      <c r="F1610" s="17">
        <f>IF(MONTH(Table1[[#This Row],[Loss date]])&lt;Policy_Inception_Month,YEAR(Table1[[#This Row],[Loss date]])-1,YEAR(Table1[[#This Row],[Loss date]]))</f>
        <v>2012</v>
      </c>
      <c r="G1610" s="10" t="s">
        <v>158</v>
      </c>
      <c r="H1610" s="10" t="s">
        <v>2</v>
      </c>
      <c r="I1610" s="11">
        <v>0</v>
      </c>
      <c r="J1610" s="11">
        <v>15753.439602664504</v>
      </c>
      <c r="K1610" s="11">
        <v>15753.439602664504</v>
      </c>
      <c r="L1610" s="12">
        <v>0</v>
      </c>
      <c r="M1610" s="12">
        <v>0</v>
      </c>
      <c r="N1610" s="12">
        <v>15753.439602664504</v>
      </c>
      <c r="O1610" s="70">
        <f>IF(Table1[[#This Row],[Overall amount]]=0,0,1)</f>
        <v>1</v>
      </c>
      <c r="P1610" s="70">
        <f>Table1[[#This Row],[Overall amount]]*Exchange_Rate</f>
        <v>15753.439602664504</v>
      </c>
      <c r="Q1610" s="70">
        <f>Table1[[#This Row],[Overall (destination currency)]]*(1+Claims_Inflation)^((Revalue_at_date-Table1[[#This Row],[Loss date]])/365.25)</f>
        <v>18000</v>
      </c>
      <c r="R1610" s="70">
        <f>INT(Table1[[#This Row],[Reporting date]])-INT(Table1[[#This Row],[Loss date]])</f>
        <v>412</v>
      </c>
      <c r="S1610" s="69" t="s">
        <v>16</v>
      </c>
      <c r="T1610" s="70">
        <f>VLOOKUP(Table1[[#This Row],[Policy Year]],exposure_table,3,FALSE)</f>
        <v>1057.54</v>
      </c>
      <c r="U1610" s="17">
        <f>IF(MONTH(Table1[[#This Row],[Reporting date]])&lt;Policy_Inception_Month,YEAR(Table1[[#This Row],[Reporting date]])-1,YEAR(Table1[[#This Row],[Reporting date]]))</f>
        <v>2013</v>
      </c>
      <c r="V1610" s="17">
        <f>Table1[[#This Row],[Reporting year]]-Table1[[#This Row],[Policy Year]]</f>
        <v>1</v>
      </c>
      <c r="W1610" s="17">
        <f>INT(Table1[[#This Row],[Reporting date]])-INT(Table1[[#This Row],[Loss date]])</f>
        <v>412</v>
      </c>
      <c r="X1610" s="17">
        <f>INT((YEAR(Table1[[#This Row],[Loss date]])*12+MONTH(Table1[[#This Row],[Loss date]])-Earliest_Month)/4)</f>
        <v>23</v>
      </c>
      <c r="Y1610" s="17">
        <f>INT((YEAR(Table1[[#This Row],[Reporting date]])*12+MONTH(Table1[[#This Row],[Reporting date]])-Earliest_Month)/4)</f>
        <v>26</v>
      </c>
      <c r="Z1610" s="17">
        <f>Table1[[#This Row],[Reporting third]]-Table1[[#This Row],[Policy third]]</f>
        <v>3</v>
      </c>
      <c r="AA1610" s="71">
        <f>IF(Table1[[#This Row],[Overall amount]]=0,"N/A",Table1[[#This Row],[Outstanding]]/Table1[[#This Row],[Overall amount]])</f>
        <v>1</v>
      </c>
      <c r="AB1610" s="17">
        <f>IF(MONTH(Table1[[#This Row],[Loss date]])&lt;Pol_Inc_Month_Shifted,YEAR(Table1[[#This Row],[Loss date]])-1,YEAR(Table1[[#This Row],[Loss date]]))</f>
        <v>2012</v>
      </c>
      <c r="AC1610" s="17">
        <f>IF(MONTH(Table1[[#This Row],[Reporting date]])&lt;Pol_Inc_Month_Shifted,YEAR(Table1[[#This Row],[Reporting date]])-1,YEAR(Table1[[#This Row],[Reporting date]]))</f>
        <v>2013</v>
      </c>
      <c r="AD1610" s="17">
        <f>Table1[[#This Row],[Reporting year (shifted)]]-Table1[[#This Row],[Policy Year (shifted)]]</f>
        <v>1</v>
      </c>
    </row>
    <row r="1611" spans="1:30" ht="13.9">
      <c r="A1611" s="8" t="s">
        <v>3381</v>
      </c>
      <c r="B1611" s="8" t="s">
        <v>1663</v>
      </c>
      <c r="C1611" s="8" t="s">
        <v>123</v>
      </c>
      <c r="D1611" s="9">
        <v>41440</v>
      </c>
      <c r="E1611" s="9">
        <v>41624</v>
      </c>
      <c r="F1611" s="17">
        <f>IF(MONTH(Table1[[#This Row],[Loss date]])&lt;Policy_Inception_Month,YEAR(Table1[[#This Row],[Loss date]])-1,YEAR(Table1[[#This Row],[Loss date]]))</f>
        <v>2013</v>
      </c>
      <c r="G1611" s="10" t="s">
        <v>161</v>
      </c>
      <c r="H1611" s="10" t="s">
        <v>2</v>
      </c>
      <c r="I1611" s="11">
        <v>0</v>
      </c>
      <c r="J1611" s="11">
        <v>10729.172689329587</v>
      </c>
      <c r="K1611" s="11">
        <v>10729.172689329587</v>
      </c>
      <c r="L1611" s="12">
        <v>0</v>
      </c>
      <c r="M1611" s="12">
        <v>0</v>
      </c>
      <c r="N1611" s="12">
        <v>10729.172689329587</v>
      </c>
      <c r="O1611" s="70">
        <f>IF(Table1[[#This Row],[Overall amount]]=0,0,1)</f>
        <v>1</v>
      </c>
      <c r="P1611" s="70">
        <f>Table1[[#This Row],[Overall amount]]*Exchange_Rate</f>
        <v>10729.172689329587</v>
      </c>
      <c r="Q1611" s="70">
        <f>Table1[[#This Row],[Overall (destination currency)]]*(1+Claims_Inflation)^((Revalue_at_date-Table1[[#This Row],[Loss date]])/365.25)</f>
        <v>12000</v>
      </c>
      <c r="R1611" s="70">
        <f>INT(Table1[[#This Row],[Reporting date]])-INT(Table1[[#This Row],[Loss date]])</f>
        <v>184</v>
      </c>
      <c r="S1611" s="69" t="s">
        <v>16</v>
      </c>
      <c r="T1611" s="70">
        <f>VLOOKUP(Table1[[#This Row],[Policy Year]],exposure_table,3,FALSE)</f>
        <v>1090.5865384615383</v>
      </c>
      <c r="U1611" s="17">
        <f>IF(MONTH(Table1[[#This Row],[Reporting date]])&lt;Policy_Inception_Month,YEAR(Table1[[#This Row],[Reporting date]])-1,YEAR(Table1[[#This Row],[Reporting date]]))</f>
        <v>2013</v>
      </c>
      <c r="V1611" s="17">
        <f>Table1[[#This Row],[Reporting year]]-Table1[[#This Row],[Policy Year]]</f>
        <v>0</v>
      </c>
      <c r="W1611" s="17">
        <f>INT(Table1[[#This Row],[Reporting date]])-INT(Table1[[#This Row],[Loss date]])</f>
        <v>184</v>
      </c>
      <c r="X1611" s="17">
        <f>INT((YEAR(Table1[[#This Row],[Loss date]])*12+MONTH(Table1[[#This Row],[Loss date]])-Earliest_Month)/4)</f>
        <v>24</v>
      </c>
      <c r="Y1611" s="17">
        <f>INT((YEAR(Table1[[#This Row],[Reporting date]])*12+MONTH(Table1[[#This Row],[Reporting date]])-Earliest_Month)/4)</f>
        <v>26</v>
      </c>
      <c r="Z1611" s="17">
        <f>Table1[[#This Row],[Reporting third]]-Table1[[#This Row],[Policy third]]</f>
        <v>2</v>
      </c>
      <c r="AA1611" s="71">
        <f>IF(Table1[[#This Row],[Overall amount]]=0,"N/A",Table1[[#This Row],[Outstanding]]/Table1[[#This Row],[Overall amount]])</f>
        <v>1</v>
      </c>
      <c r="AB1611" s="17">
        <f>IF(MONTH(Table1[[#This Row],[Loss date]])&lt;Pol_Inc_Month_Shifted,YEAR(Table1[[#This Row],[Loss date]])-1,YEAR(Table1[[#This Row],[Loss date]]))</f>
        <v>2012</v>
      </c>
      <c r="AC1611" s="17">
        <f>IF(MONTH(Table1[[#This Row],[Reporting date]])&lt;Pol_Inc_Month_Shifted,YEAR(Table1[[#This Row],[Reporting date]])-1,YEAR(Table1[[#This Row],[Reporting date]]))</f>
        <v>2013</v>
      </c>
      <c r="AD1611" s="17">
        <f>Table1[[#This Row],[Reporting year (shifted)]]-Table1[[#This Row],[Policy Year (shifted)]]</f>
        <v>1</v>
      </c>
    </row>
    <row r="1612" spans="1:30" ht="13.9">
      <c r="A1612" s="8" t="s">
        <v>3382</v>
      </c>
      <c r="B1612" s="8" t="s">
        <v>1664</v>
      </c>
      <c r="C1612" s="8" t="s">
        <v>123</v>
      </c>
      <c r="D1612" s="9">
        <v>41471</v>
      </c>
      <c r="E1612" s="9">
        <v>41659</v>
      </c>
      <c r="F1612" s="17">
        <f>IF(MONTH(Table1[[#This Row],[Loss date]])&lt;Policy_Inception_Month,YEAR(Table1[[#This Row],[Loss date]])-1,YEAR(Table1[[#This Row],[Loss date]]))</f>
        <v>2013</v>
      </c>
      <c r="G1612" s="10" t="s">
        <v>162</v>
      </c>
      <c r="H1612" s="10" t="s">
        <v>2</v>
      </c>
      <c r="I1612" s="11">
        <v>6194.8741417752826</v>
      </c>
      <c r="J1612" s="11">
        <v>0</v>
      </c>
      <c r="K1612" s="11">
        <v>6194.8741417752826</v>
      </c>
      <c r="L1612" s="12">
        <v>0</v>
      </c>
      <c r="M1612" s="12">
        <v>0</v>
      </c>
      <c r="N1612" s="12">
        <v>6194.8741417752826</v>
      </c>
      <c r="O1612" s="70">
        <f>IF(Table1[[#This Row],[Overall amount]]=0,0,1)</f>
        <v>1</v>
      </c>
      <c r="P1612" s="70">
        <f>Table1[[#This Row],[Overall amount]]*Exchange_Rate</f>
        <v>6194.8741417752826</v>
      </c>
      <c r="Q1612" s="70">
        <f>Table1[[#This Row],[Overall (destination currency)]]*(1+Claims_Inflation)^((Revalue_at_date-Table1[[#This Row],[Loss date]])/365.25)</f>
        <v>6900</v>
      </c>
      <c r="R1612" s="70">
        <f>INT(Table1[[#This Row],[Reporting date]])-INT(Table1[[#This Row],[Loss date]])</f>
        <v>188</v>
      </c>
      <c r="S1612" s="69" t="s">
        <v>16</v>
      </c>
      <c r="T1612" s="70">
        <f>VLOOKUP(Table1[[#This Row],[Policy Year]],exposure_table,3,FALSE)</f>
        <v>1090.5865384615383</v>
      </c>
      <c r="U1612" s="17">
        <f>IF(MONTH(Table1[[#This Row],[Reporting date]])&lt;Policy_Inception_Month,YEAR(Table1[[#This Row],[Reporting date]])-1,YEAR(Table1[[#This Row],[Reporting date]]))</f>
        <v>2013</v>
      </c>
      <c r="V1612" s="17">
        <f>Table1[[#This Row],[Reporting year]]-Table1[[#This Row],[Policy Year]]</f>
        <v>0</v>
      </c>
      <c r="W1612" s="17">
        <f>INT(Table1[[#This Row],[Reporting date]])-INT(Table1[[#This Row],[Loss date]])</f>
        <v>188</v>
      </c>
      <c r="X1612" s="17">
        <f>INT((YEAR(Table1[[#This Row],[Loss date]])*12+MONTH(Table1[[#This Row],[Loss date]])-Earliest_Month)/4)</f>
        <v>24</v>
      </c>
      <c r="Y1612" s="17">
        <f>INT((YEAR(Table1[[#This Row],[Reporting date]])*12+MONTH(Table1[[#This Row],[Reporting date]])-Earliest_Month)/4)</f>
        <v>26</v>
      </c>
      <c r="Z1612" s="17">
        <f>Table1[[#This Row],[Reporting third]]-Table1[[#This Row],[Policy third]]</f>
        <v>2</v>
      </c>
      <c r="AA1612" s="71">
        <f>IF(Table1[[#This Row],[Overall amount]]=0,"N/A",Table1[[#This Row],[Outstanding]]/Table1[[#This Row],[Overall amount]])</f>
        <v>0</v>
      </c>
      <c r="AB1612" s="17">
        <f>IF(MONTH(Table1[[#This Row],[Loss date]])&lt;Pol_Inc_Month_Shifted,YEAR(Table1[[#This Row],[Loss date]])-1,YEAR(Table1[[#This Row],[Loss date]]))</f>
        <v>2012</v>
      </c>
      <c r="AC1612" s="17">
        <f>IF(MONTH(Table1[[#This Row],[Reporting date]])&lt;Pol_Inc_Month_Shifted,YEAR(Table1[[#This Row],[Reporting date]])-1,YEAR(Table1[[#This Row],[Reporting date]]))</f>
        <v>2013</v>
      </c>
      <c r="AD1612" s="17">
        <f>Table1[[#This Row],[Reporting year (shifted)]]-Table1[[#This Row],[Policy Year (shifted)]]</f>
        <v>1</v>
      </c>
    </row>
    <row r="1613" spans="1:30" ht="13.9">
      <c r="A1613" s="8" t="s">
        <v>3383</v>
      </c>
      <c r="B1613" s="8" t="s">
        <v>1665</v>
      </c>
      <c r="C1613" s="8" t="s">
        <v>123</v>
      </c>
      <c r="D1613" s="9">
        <v>41390</v>
      </c>
      <c r="E1613" s="9">
        <v>41687</v>
      </c>
      <c r="F1613" s="17">
        <f>IF(MONTH(Table1[[#This Row],[Loss date]])&lt;Policy_Inception_Month,YEAR(Table1[[#This Row],[Loss date]])-1,YEAR(Table1[[#This Row],[Loss date]]))</f>
        <v>2013</v>
      </c>
      <c r="G1613" s="10" t="s">
        <v>159</v>
      </c>
      <c r="H1613" s="10" t="s">
        <v>2</v>
      </c>
      <c r="I1613" s="11">
        <v>0</v>
      </c>
      <c r="J1613" s="11">
        <v>1065.7751221180565</v>
      </c>
      <c r="K1613" s="11">
        <v>1065.7751221180565</v>
      </c>
      <c r="L1613" s="12">
        <v>0</v>
      </c>
      <c r="M1613" s="12">
        <v>119.15365865279873</v>
      </c>
      <c r="N1613" s="12">
        <v>946.62146346525776</v>
      </c>
      <c r="O1613" s="70">
        <f>IF(Table1[[#This Row],[Overall amount]]=0,0,1)</f>
        <v>1</v>
      </c>
      <c r="P1613" s="70">
        <f>Table1[[#This Row],[Overall amount]]*Exchange_Rate</f>
        <v>946.62146346525776</v>
      </c>
      <c r="Q1613" s="70">
        <f>Table1[[#This Row],[Overall (destination currency)]]*(1+Claims_Inflation)^((Revalue_at_date-Table1[[#This Row],[Loss date]])/365.25)</f>
        <v>1065.8399999999999</v>
      </c>
      <c r="R1613" s="70">
        <f>INT(Table1[[#This Row],[Reporting date]])-INT(Table1[[#This Row],[Loss date]])</f>
        <v>297</v>
      </c>
      <c r="S1613" s="69" t="s">
        <v>16</v>
      </c>
      <c r="T1613" s="70">
        <f>VLOOKUP(Table1[[#This Row],[Policy Year]],exposure_table,3,FALSE)</f>
        <v>1090.5865384615383</v>
      </c>
      <c r="U1613" s="17">
        <f>IF(MONTH(Table1[[#This Row],[Reporting date]])&lt;Policy_Inception_Month,YEAR(Table1[[#This Row],[Reporting date]])-1,YEAR(Table1[[#This Row],[Reporting date]]))</f>
        <v>2013</v>
      </c>
      <c r="V1613" s="17">
        <f>Table1[[#This Row],[Reporting year]]-Table1[[#This Row],[Policy Year]]</f>
        <v>0</v>
      </c>
      <c r="W1613" s="17">
        <f>INT(Table1[[#This Row],[Reporting date]])-INT(Table1[[#This Row],[Loss date]])</f>
        <v>297</v>
      </c>
      <c r="X1613" s="17">
        <f>INT((YEAR(Table1[[#This Row],[Loss date]])*12+MONTH(Table1[[#This Row],[Loss date]])-Earliest_Month)/4)</f>
        <v>24</v>
      </c>
      <c r="Y1613" s="17">
        <f>INT((YEAR(Table1[[#This Row],[Reporting date]])*12+MONTH(Table1[[#This Row],[Reporting date]])-Earliest_Month)/4)</f>
        <v>26</v>
      </c>
      <c r="Z1613" s="17">
        <f>Table1[[#This Row],[Reporting third]]-Table1[[#This Row],[Policy third]]</f>
        <v>2</v>
      </c>
      <c r="AA1613" s="71">
        <f>IF(Table1[[#This Row],[Overall amount]]=0,"N/A",Table1[[#This Row],[Outstanding]]/Table1[[#This Row],[Overall amount]])</f>
        <v>1.1258725512272012</v>
      </c>
      <c r="AB1613" s="17">
        <f>IF(MONTH(Table1[[#This Row],[Loss date]])&lt;Pol_Inc_Month_Shifted,YEAR(Table1[[#This Row],[Loss date]])-1,YEAR(Table1[[#This Row],[Loss date]]))</f>
        <v>2012</v>
      </c>
      <c r="AC1613" s="17">
        <f>IF(MONTH(Table1[[#This Row],[Reporting date]])&lt;Pol_Inc_Month_Shifted,YEAR(Table1[[#This Row],[Reporting date]])-1,YEAR(Table1[[#This Row],[Reporting date]]))</f>
        <v>2013</v>
      </c>
      <c r="AD1613" s="17">
        <f>Table1[[#This Row],[Reporting year (shifted)]]-Table1[[#This Row],[Policy Year (shifted)]]</f>
        <v>1</v>
      </c>
    </row>
    <row r="1614" spans="1:30" ht="13.9">
      <c r="A1614" s="8" t="s">
        <v>3384</v>
      </c>
      <c r="B1614" s="8" t="s">
        <v>1666</v>
      </c>
      <c r="C1614" s="8" t="s">
        <v>123</v>
      </c>
      <c r="D1614" s="9">
        <v>41264</v>
      </c>
      <c r="E1614" s="9">
        <v>41637</v>
      </c>
      <c r="F1614" s="17">
        <f>IF(MONTH(Table1[[#This Row],[Loss date]])&lt;Policy_Inception_Month,YEAR(Table1[[#This Row],[Loss date]])-1,YEAR(Table1[[#This Row],[Loss date]]))</f>
        <v>2012</v>
      </c>
      <c r="G1614" s="10" t="s">
        <v>158</v>
      </c>
      <c r="H1614" s="10" t="s">
        <v>2</v>
      </c>
      <c r="I1614" s="11">
        <v>0</v>
      </c>
      <c r="J1614" s="11">
        <v>6287.9223994424719</v>
      </c>
      <c r="K1614" s="11">
        <v>6287.9223994424719</v>
      </c>
      <c r="L1614" s="12">
        <v>0</v>
      </c>
      <c r="M1614" s="12">
        <v>0</v>
      </c>
      <c r="N1614" s="12">
        <v>6287.9223994424719</v>
      </c>
      <c r="O1614" s="70">
        <f>IF(Table1[[#This Row],[Overall amount]]=0,0,1)</f>
        <v>1</v>
      </c>
      <c r="P1614" s="70">
        <f>Table1[[#This Row],[Overall amount]]*Exchange_Rate</f>
        <v>6287.9223994424719</v>
      </c>
      <c r="Q1614" s="70">
        <f>Table1[[#This Row],[Overall (destination currency)]]*(1+Claims_Inflation)^((Revalue_at_date-Table1[[#This Row],[Loss date]])/365.25)</f>
        <v>7200</v>
      </c>
      <c r="R1614" s="70">
        <f>INT(Table1[[#This Row],[Reporting date]])-INT(Table1[[#This Row],[Loss date]])</f>
        <v>373</v>
      </c>
      <c r="S1614" s="69" t="s">
        <v>16</v>
      </c>
      <c r="T1614" s="70">
        <f>VLOOKUP(Table1[[#This Row],[Policy Year]],exposure_table,3,FALSE)</f>
        <v>1057.54</v>
      </c>
      <c r="U1614" s="17">
        <f>IF(MONTH(Table1[[#This Row],[Reporting date]])&lt;Policy_Inception_Month,YEAR(Table1[[#This Row],[Reporting date]])-1,YEAR(Table1[[#This Row],[Reporting date]]))</f>
        <v>2013</v>
      </c>
      <c r="V1614" s="17">
        <f>Table1[[#This Row],[Reporting year]]-Table1[[#This Row],[Policy Year]]</f>
        <v>1</v>
      </c>
      <c r="W1614" s="17">
        <f>INT(Table1[[#This Row],[Reporting date]])-INT(Table1[[#This Row],[Loss date]])</f>
        <v>373</v>
      </c>
      <c r="X1614" s="17">
        <f>INT((YEAR(Table1[[#This Row],[Loss date]])*12+MONTH(Table1[[#This Row],[Loss date]])-Earliest_Month)/4)</f>
        <v>23</v>
      </c>
      <c r="Y1614" s="17">
        <f>INT((YEAR(Table1[[#This Row],[Reporting date]])*12+MONTH(Table1[[#This Row],[Reporting date]])-Earliest_Month)/4)</f>
        <v>26</v>
      </c>
      <c r="Z1614" s="17">
        <f>Table1[[#This Row],[Reporting third]]-Table1[[#This Row],[Policy third]]</f>
        <v>3</v>
      </c>
      <c r="AA1614" s="71">
        <f>IF(Table1[[#This Row],[Overall amount]]=0,"N/A",Table1[[#This Row],[Outstanding]]/Table1[[#This Row],[Overall amount]])</f>
        <v>1</v>
      </c>
      <c r="AB1614" s="17">
        <f>IF(MONTH(Table1[[#This Row],[Loss date]])&lt;Pol_Inc_Month_Shifted,YEAR(Table1[[#This Row],[Loss date]])-1,YEAR(Table1[[#This Row],[Loss date]]))</f>
        <v>2012</v>
      </c>
      <c r="AC1614" s="17">
        <f>IF(MONTH(Table1[[#This Row],[Reporting date]])&lt;Pol_Inc_Month_Shifted,YEAR(Table1[[#This Row],[Reporting date]])-1,YEAR(Table1[[#This Row],[Reporting date]]))</f>
        <v>2013</v>
      </c>
      <c r="AD1614" s="17">
        <f>Table1[[#This Row],[Reporting year (shifted)]]-Table1[[#This Row],[Policy Year (shifted)]]</f>
        <v>1</v>
      </c>
    </row>
    <row r="1615" spans="1:30" ht="13.9">
      <c r="A1615" s="8" t="s">
        <v>3385</v>
      </c>
      <c r="B1615" s="8" t="s">
        <v>1667</v>
      </c>
      <c r="C1615" s="8" t="s">
        <v>123</v>
      </c>
      <c r="D1615" s="9">
        <v>41282</v>
      </c>
      <c r="E1615" s="9">
        <v>41637</v>
      </c>
      <c r="F1615" s="17">
        <f>IF(MONTH(Table1[[#This Row],[Loss date]])&lt;Policy_Inception_Month,YEAR(Table1[[#This Row],[Loss date]])-1,YEAR(Table1[[#This Row],[Loss date]]))</f>
        <v>2012</v>
      </c>
      <c r="G1615" s="10" t="s">
        <v>158</v>
      </c>
      <c r="H1615" s="10" t="s">
        <v>2</v>
      </c>
      <c r="I1615" s="11">
        <v>0</v>
      </c>
      <c r="J1615" s="11">
        <v>6303.0595439214867</v>
      </c>
      <c r="K1615" s="11">
        <v>6303.0595439214867</v>
      </c>
      <c r="L1615" s="12">
        <v>315.15297719607435</v>
      </c>
      <c r="M1615" s="12">
        <v>456.65666395711173</v>
      </c>
      <c r="N1615" s="12">
        <v>6161.5558571604488</v>
      </c>
      <c r="O1615" s="70">
        <f>IF(Table1[[#This Row],[Overall amount]]=0,0,1)</f>
        <v>1</v>
      </c>
      <c r="P1615" s="70">
        <f>Table1[[#This Row],[Overall amount]]*Exchange_Rate</f>
        <v>6161.5558571604488</v>
      </c>
      <c r="Q1615" s="70">
        <f>Table1[[#This Row],[Overall (destination currency)]]*(1+Claims_Inflation)^((Revalue_at_date-Table1[[#This Row],[Loss date]])/365.25)</f>
        <v>7038.36</v>
      </c>
      <c r="R1615" s="70">
        <f>INT(Table1[[#This Row],[Reporting date]])-INT(Table1[[#This Row],[Loss date]])</f>
        <v>355</v>
      </c>
      <c r="S1615" s="69" t="s">
        <v>16</v>
      </c>
      <c r="T1615" s="70">
        <f>VLOOKUP(Table1[[#This Row],[Policy Year]],exposure_table,3,FALSE)</f>
        <v>1057.54</v>
      </c>
      <c r="U1615" s="17">
        <f>IF(MONTH(Table1[[#This Row],[Reporting date]])&lt;Policy_Inception_Month,YEAR(Table1[[#This Row],[Reporting date]])-1,YEAR(Table1[[#This Row],[Reporting date]]))</f>
        <v>2013</v>
      </c>
      <c r="V1615" s="17">
        <f>Table1[[#This Row],[Reporting year]]-Table1[[#This Row],[Policy Year]]</f>
        <v>1</v>
      </c>
      <c r="W1615" s="17">
        <f>INT(Table1[[#This Row],[Reporting date]])-INT(Table1[[#This Row],[Loss date]])</f>
        <v>355</v>
      </c>
      <c r="X1615" s="17">
        <f>INT((YEAR(Table1[[#This Row],[Loss date]])*12+MONTH(Table1[[#This Row],[Loss date]])-Earliest_Month)/4)</f>
        <v>23</v>
      </c>
      <c r="Y1615" s="17">
        <f>INT((YEAR(Table1[[#This Row],[Reporting date]])*12+MONTH(Table1[[#This Row],[Reporting date]])-Earliest_Month)/4)</f>
        <v>26</v>
      </c>
      <c r="Z1615" s="17">
        <f>Table1[[#This Row],[Reporting third]]-Table1[[#This Row],[Policy third]]</f>
        <v>3</v>
      </c>
      <c r="AA1615" s="71">
        <f>IF(Table1[[#This Row],[Overall amount]]=0,"N/A",Table1[[#This Row],[Outstanding]]/Table1[[#This Row],[Overall amount]])</f>
        <v>1.022965577208327</v>
      </c>
      <c r="AB1615" s="17">
        <f>IF(MONTH(Table1[[#This Row],[Loss date]])&lt;Pol_Inc_Month_Shifted,YEAR(Table1[[#This Row],[Loss date]])-1,YEAR(Table1[[#This Row],[Loss date]]))</f>
        <v>2012</v>
      </c>
      <c r="AC1615" s="17">
        <f>IF(MONTH(Table1[[#This Row],[Reporting date]])&lt;Pol_Inc_Month_Shifted,YEAR(Table1[[#This Row],[Reporting date]])-1,YEAR(Table1[[#This Row],[Reporting date]]))</f>
        <v>2013</v>
      </c>
      <c r="AD1615" s="17">
        <f>Table1[[#This Row],[Reporting year (shifted)]]-Table1[[#This Row],[Policy Year (shifted)]]</f>
        <v>1</v>
      </c>
    </row>
    <row r="1616" spans="1:30" ht="13.9">
      <c r="A1616" s="8" t="s">
        <v>3386</v>
      </c>
      <c r="B1616" s="8" t="s">
        <v>1668</v>
      </c>
      <c r="C1616" s="8" t="s">
        <v>123</v>
      </c>
      <c r="D1616" s="9">
        <v>41455</v>
      </c>
      <c r="E1616" s="9">
        <v>41600</v>
      </c>
      <c r="F1616" s="17">
        <f>IF(MONTH(Table1[[#This Row],[Loss date]])&lt;Policy_Inception_Month,YEAR(Table1[[#This Row],[Loss date]])-1,YEAR(Table1[[#This Row],[Loss date]]))</f>
        <v>2013</v>
      </c>
      <c r="G1616" s="10" t="s">
        <v>163</v>
      </c>
      <c r="H1616" s="10" t="s">
        <v>2</v>
      </c>
      <c r="I1616" s="11">
        <v>0</v>
      </c>
      <c r="J1616" s="11">
        <v>1.0750692315392989</v>
      </c>
      <c r="K1616" s="11">
        <v>1.0750692315392989</v>
      </c>
      <c r="L1616" s="12">
        <v>322.52076946178965</v>
      </c>
      <c r="M1616" s="12">
        <v>0</v>
      </c>
      <c r="N1616" s="12">
        <v>323.59583869332897</v>
      </c>
      <c r="O1616" s="70">
        <f>IF(Table1[[#This Row],[Overall amount]]=0,0,1)</f>
        <v>1</v>
      </c>
      <c r="P1616" s="70">
        <f>Table1[[#This Row],[Overall amount]]*Exchange_Rate</f>
        <v>323.59583869332897</v>
      </c>
      <c r="Q1616" s="70">
        <f>Table1[[#This Row],[Overall (destination currency)]]*(1+Claims_Inflation)^((Revalue_at_date-Table1[[#This Row],[Loss date]])/365.25)</f>
        <v>361.19999999999993</v>
      </c>
      <c r="R1616" s="70">
        <f>INT(Table1[[#This Row],[Reporting date]])-INT(Table1[[#This Row],[Loss date]])</f>
        <v>145</v>
      </c>
      <c r="S1616" s="69" t="s">
        <v>16</v>
      </c>
      <c r="T1616" s="70">
        <f>VLOOKUP(Table1[[#This Row],[Policy Year]],exposure_table,3,FALSE)</f>
        <v>1090.5865384615383</v>
      </c>
      <c r="U1616" s="17">
        <f>IF(MONTH(Table1[[#This Row],[Reporting date]])&lt;Policy_Inception_Month,YEAR(Table1[[#This Row],[Reporting date]])-1,YEAR(Table1[[#This Row],[Reporting date]]))</f>
        <v>2013</v>
      </c>
      <c r="V1616" s="17">
        <f>Table1[[#This Row],[Reporting year]]-Table1[[#This Row],[Policy Year]]</f>
        <v>0</v>
      </c>
      <c r="W1616" s="17">
        <f>INT(Table1[[#This Row],[Reporting date]])-INT(Table1[[#This Row],[Loss date]])</f>
        <v>145</v>
      </c>
      <c r="X1616" s="17">
        <f>INT((YEAR(Table1[[#This Row],[Loss date]])*12+MONTH(Table1[[#This Row],[Loss date]])-Earliest_Month)/4)</f>
        <v>24</v>
      </c>
      <c r="Y1616" s="17">
        <f>INT((YEAR(Table1[[#This Row],[Reporting date]])*12+MONTH(Table1[[#This Row],[Reporting date]])-Earliest_Month)/4)</f>
        <v>25</v>
      </c>
      <c r="Z1616" s="17">
        <f>Table1[[#This Row],[Reporting third]]-Table1[[#This Row],[Policy third]]</f>
        <v>1</v>
      </c>
      <c r="AA1616" s="71">
        <f>IF(Table1[[#This Row],[Overall amount]]=0,"N/A",Table1[[#This Row],[Outstanding]]/Table1[[#This Row],[Overall amount]])</f>
        <v>3.3222591362126247E-3</v>
      </c>
      <c r="AB1616" s="17">
        <f>IF(MONTH(Table1[[#This Row],[Loss date]])&lt;Pol_Inc_Month_Shifted,YEAR(Table1[[#This Row],[Loss date]])-1,YEAR(Table1[[#This Row],[Loss date]]))</f>
        <v>2012</v>
      </c>
      <c r="AC1616" s="17">
        <f>IF(MONTH(Table1[[#This Row],[Reporting date]])&lt;Pol_Inc_Month_Shifted,YEAR(Table1[[#This Row],[Reporting date]])-1,YEAR(Table1[[#This Row],[Reporting date]]))</f>
        <v>2012</v>
      </c>
      <c r="AD1616" s="17">
        <f>Table1[[#This Row],[Reporting year (shifted)]]-Table1[[#This Row],[Policy Year (shifted)]]</f>
        <v>0</v>
      </c>
    </row>
    <row r="1617" spans="1:30" ht="13.9">
      <c r="A1617" s="8" t="s">
        <v>3387</v>
      </c>
      <c r="B1617" s="8" t="s">
        <v>1669</v>
      </c>
      <c r="C1617" s="8" t="s">
        <v>123</v>
      </c>
      <c r="D1617" s="9">
        <v>41236</v>
      </c>
      <c r="E1617" s="9">
        <v>41572</v>
      </c>
      <c r="F1617" s="17">
        <f>IF(MONTH(Table1[[#This Row],[Loss date]])&lt;Policy_Inception_Month,YEAR(Table1[[#This Row],[Loss date]])-1,YEAR(Table1[[#This Row],[Loss date]]))</f>
        <v>2012</v>
      </c>
      <c r="G1617" s="10" t="s">
        <v>164</v>
      </c>
      <c r="H1617" s="10" t="s">
        <v>2</v>
      </c>
      <c r="I1617" s="11">
        <v>0</v>
      </c>
      <c r="J1617" s="11">
        <v>0</v>
      </c>
      <c r="K1617" s="11">
        <v>0</v>
      </c>
      <c r="L1617" s="12">
        <v>0</v>
      </c>
      <c r="M1617" s="12">
        <v>0</v>
      </c>
      <c r="N1617" s="12">
        <v>0</v>
      </c>
      <c r="O1617" s="70">
        <f>IF(Table1[[#This Row],[Overall amount]]=0,0,1)</f>
        <v>0</v>
      </c>
      <c r="P1617" s="70">
        <f>Table1[[#This Row],[Overall amount]]*Exchange_Rate</f>
        <v>0</v>
      </c>
      <c r="Q1617" s="70">
        <f>Table1[[#This Row],[Overall (destination currency)]]*(1+Claims_Inflation)^((Revalue_at_date-Table1[[#This Row],[Loss date]])/365.25)</f>
        <v>0</v>
      </c>
      <c r="R1617" s="70">
        <f>INT(Table1[[#This Row],[Reporting date]])-INT(Table1[[#This Row],[Loss date]])</f>
        <v>336</v>
      </c>
      <c r="S1617" s="69" t="s">
        <v>9</v>
      </c>
      <c r="T1617" s="70">
        <f>VLOOKUP(Table1[[#This Row],[Policy Year]],exposure_table,3,FALSE)</f>
        <v>1057.54</v>
      </c>
      <c r="U1617" s="17">
        <f>IF(MONTH(Table1[[#This Row],[Reporting date]])&lt;Policy_Inception_Month,YEAR(Table1[[#This Row],[Reporting date]])-1,YEAR(Table1[[#This Row],[Reporting date]]))</f>
        <v>2013</v>
      </c>
      <c r="V1617" s="17">
        <f>Table1[[#This Row],[Reporting year]]-Table1[[#This Row],[Policy Year]]</f>
        <v>1</v>
      </c>
      <c r="W1617" s="17">
        <f>INT(Table1[[#This Row],[Reporting date]])-INT(Table1[[#This Row],[Loss date]])</f>
        <v>336</v>
      </c>
      <c r="X1617" s="17">
        <f>INT((YEAR(Table1[[#This Row],[Loss date]])*12+MONTH(Table1[[#This Row],[Loss date]])-Earliest_Month)/4)</f>
        <v>22</v>
      </c>
      <c r="Y1617" s="17">
        <f>INT((YEAR(Table1[[#This Row],[Reporting date]])*12+MONTH(Table1[[#This Row],[Reporting date]])-Earliest_Month)/4)</f>
        <v>25</v>
      </c>
      <c r="Z1617" s="17">
        <f>Table1[[#This Row],[Reporting third]]-Table1[[#This Row],[Policy third]]</f>
        <v>3</v>
      </c>
      <c r="AA1617" s="71" t="str">
        <f>IF(Table1[[#This Row],[Overall amount]]=0,"N/A",Table1[[#This Row],[Outstanding]]/Table1[[#This Row],[Overall amount]])</f>
        <v>N/A</v>
      </c>
      <c r="AB1617" s="17">
        <f>IF(MONTH(Table1[[#This Row],[Loss date]])&lt;Pol_Inc_Month_Shifted,YEAR(Table1[[#This Row],[Loss date]])-1,YEAR(Table1[[#This Row],[Loss date]]))</f>
        <v>2011</v>
      </c>
      <c r="AC1617" s="17">
        <f>IF(MONTH(Table1[[#This Row],[Reporting date]])&lt;Pol_Inc_Month_Shifted,YEAR(Table1[[#This Row],[Reporting date]])-1,YEAR(Table1[[#This Row],[Reporting date]]))</f>
        <v>2012</v>
      </c>
      <c r="AD1617" s="17">
        <f>Table1[[#This Row],[Reporting year (shifted)]]-Table1[[#This Row],[Policy Year (shifted)]]</f>
        <v>1</v>
      </c>
    </row>
    <row r="1618" spans="1:30" ht="13.9">
      <c r="A1618" s="8" t="s">
        <v>3388</v>
      </c>
      <c r="B1618" s="8" t="s">
        <v>1670</v>
      </c>
      <c r="C1618" s="8" t="s">
        <v>123</v>
      </c>
      <c r="D1618" s="9">
        <v>41386</v>
      </c>
      <c r="E1618" s="9">
        <v>41660</v>
      </c>
      <c r="F1618" s="17">
        <f>IF(MONTH(Table1[[#This Row],[Loss date]])&lt;Policy_Inception_Month,YEAR(Table1[[#This Row],[Loss date]])-1,YEAR(Table1[[#This Row],[Loss date]]))</f>
        <v>2013</v>
      </c>
      <c r="G1618" s="10" t="s">
        <v>159</v>
      </c>
      <c r="H1618" s="10" t="s">
        <v>2</v>
      </c>
      <c r="I1618" s="11">
        <v>0</v>
      </c>
      <c r="J1618" s="11">
        <v>0</v>
      </c>
      <c r="K1618" s="11">
        <v>0</v>
      </c>
      <c r="L1618" s="12">
        <v>319.56174253772309</v>
      </c>
      <c r="M1618" s="12">
        <v>0</v>
      </c>
      <c r="N1618" s="12">
        <v>319.56174253772309</v>
      </c>
      <c r="O1618" s="70">
        <f>IF(Table1[[#This Row],[Overall amount]]=0,0,1)</f>
        <v>1</v>
      </c>
      <c r="P1618" s="70">
        <f>Table1[[#This Row],[Overall amount]]*Exchange_Rate</f>
        <v>319.56174253772309</v>
      </c>
      <c r="Q1618" s="70">
        <f>Table1[[#This Row],[Overall (destination currency)]]*(1+Claims_Inflation)^((Revalue_at_date-Table1[[#This Row],[Loss date]])/365.25)</f>
        <v>360.00000000000006</v>
      </c>
      <c r="R1618" s="70">
        <f>INT(Table1[[#This Row],[Reporting date]])-INT(Table1[[#This Row],[Loss date]])</f>
        <v>274</v>
      </c>
      <c r="S1618" s="69" t="s">
        <v>9</v>
      </c>
      <c r="T1618" s="70">
        <f>VLOOKUP(Table1[[#This Row],[Policy Year]],exposure_table,3,FALSE)</f>
        <v>1090.5865384615383</v>
      </c>
      <c r="U1618" s="17">
        <f>IF(MONTH(Table1[[#This Row],[Reporting date]])&lt;Policy_Inception_Month,YEAR(Table1[[#This Row],[Reporting date]])-1,YEAR(Table1[[#This Row],[Reporting date]]))</f>
        <v>2013</v>
      </c>
      <c r="V1618" s="17">
        <f>Table1[[#This Row],[Reporting year]]-Table1[[#This Row],[Policy Year]]</f>
        <v>0</v>
      </c>
      <c r="W1618" s="17">
        <f>INT(Table1[[#This Row],[Reporting date]])-INT(Table1[[#This Row],[Loss date]])</f>
        <v>274</v>
      </c>
      <c r="X1618" s="17">
        <f>INT((YEAR(Table1[[#This Row],[Loss date]])*12+MONTH(Table1[[#This Row],[Loss date]])-Earliest_Month)/4)</f>
        <v>24</v>
      </c>
      <c r="Y1618" s="17">
        <f>INT((YEAR(Table1[[#This Row],[Reporting date]])*12+MONTH(Table1[[#This Row],[Reporting date]])-Earliest_Month)/4)</f>
        <v>26</v>
      </c>
      <c r="Z1618" s="17">
        <f>Table1[[#This Row],[Reporting third]]-Table1[[#This Row],[Policy third]]</f>
        <v>2</v>
      </c>
      <c r="AA1618" s="71">
        <f>IF(Table1[[#This Row],[Overall amount]]=0,"N/A",Table1[[#This Row],[Outstanding]]/Table1[[#This Row],[Overall amount]])</f>
        <v>0</v>
      </c>
      <c r="AB1618" s="17">
        <f>IF(MONTH(Table1[[#This Row],[Loss date]])&lt;Pol_Inc_Month_Shifted,YEAR(Table1[[#This Row],[Loss date]])-1,YEAR(Table1[[#This Row],[Loss date]]))</f>
        <v>2012</v>
      </c>
      <c r="AC1618" s="17">
        <f>IF(MONTH(Table1[[#This Row],[Reporting date]])&lt;Pol_Inc_Month_Shifted,YEAR(Table1[[#This Row],[Reporting date]])-1,YEAR(Table1[[#This Row],[Reporting date]]))</f>
        <v>2013</v>
      </c>
      <c r="AD1618" s="17">
        <f>Table1[[#This Row],[Reporting year (shifted)]]-Table1[[#This Row],[Policy Year (shifted)]]</f>
        <v>1</v>
      </c>
    </row>
    <row r="1619" spans="1:30" ht="13.9">
      <c r="A1619" s="8" t="s">
        <v>3389</v>
      </c>
      <c r="B1619" s="8" t="s">
        <v>1671</v>
      </c>
      <c r="C1619" s="8" t="s">
        <v>123</v>
      </c>
      <c r="D1619" s="9">
        <v>41552</v>
      </c>
      <c r="E1619" s="9">
        <v>41687</v>
      </c>
      <c r="F1619" s="17">
        <f>IF(MONTH(Table1[[#This Row],[Loss date]])&lt;Policy_Inception_Month,YEAR(Table1[[#This Row],[Loss date]])-1,YEAR(Table1[[#This Row],[Loss date]]))</f>
        <v>2013</v>
      </c>
      <c r="G1619" s="10" t="s">
        <v>165</v>
      </c>
      <c r="H1619" s="10" t="s">
        <v>2</v>
      </c>
      <c r="I1619" s="11">
        <v>0</v>
      </c>
      <c r="J1619" s="11">
        <v>1.0890898411488699</v>
      </c>
      <c r="K1619" s="11">
        <v>1.0890898411488699</v>
      </c>
      <c r="L1619" s="12">
        <v>326.7269523446609</v>
      </c>
      <c r="M1619" s="12">
        <v>26.225283374864784</v>
      </c>
      <c r="N1619" s="12">
        <v>301.59075881094498</v>
      </c>
      <c r="O1619" s="70">
        <f>IF(Table1[[#This Row],[Overall amount]]=0,0,1)</f>
        <v>1</v>
      </c>
      <c r="P1619" s="70">
        <f>Table1[[#This Row],[Overall amount]]*Exchange_Rate</f>
        <v>301.59075881094498</v>
      </c>
      <c r="Q1619" s="70">
        <f>Table1[[#This Row],[Overall (destination currency)]]*(1+Claims_Inflation)^((Revalue_at_date-Table1[[#This Row],[Loss date]])/365.25)</f>
        <v>332.30399999999997</v>
      </c>
      <c r="R1619" s="70">
        <f>INT(Table1[[#This Row],[Reporting date]])-INT(Table1[[#This Row],[Loss date]])</f>
        <v>135</v>
      </c>
      <c r="S1619" s="69" t="s">
        <v>16</v>
      </c>
      <c r="T1619" s="70">
        <f>VLOOKUP(Table1[[#This Row],[Policy Year]],exposure_table,3,FALSE)</f>
        <v>1090.5865384615383</v>
      </c>
      <c r="U1619" s="17">
        <f>IF(MONTH(Table1[[#This Row],[Reporting date]])&lt;Policy_Inception_Month,YEAR(Table1[[#This Row],[Reporting date]])-1,YEAR(Table1[[#This Row],[Reporting date]]))</f>
        <v>2013</v>
      </c>
      <c r="V1619" s="17">
        <f>Table1[[#This Row],[Reporting year]]-Table1[[#This Row],[Policy Year]]</f>
        <v>0</v>
      </c>
      <c r="W1619" s="17">
        <f>INT(Table1[[#This Row],[Reporting date]])-INT(Table1[[#This Row],[Loss date]])</f>
        <v>135</v>
      </c>
      <c r="X1619" s="17">
        <f>INT((YEAR(Table1[[#This Row],[Loss date]])*12+MONTH(Table1[[#This Row],[Loss date]])-Earliest_Month)/4)</f>
        <v>25</v>
      </c>
      <c r="Y1619" s="17">
        <f>INT((YEAR(Table1[[#This Row],[Reporting date]])*12+MONTH(Table1[[#This Row],[Reporting date]])-Earliest_Month)/4)</f>
        <v>26</v>
      </c>
      <c r="Z1619" s="17">
        <f>Table1[[#This Row],[Reporting third]]-Table1[[#This Row],[Policy third]]</f>
        <v>1</v>
      </c>
      <c r="AA1619" s="71">
        <f>IF(Table1[[#This Row],[Overall amount]]=0,"N/A",Table1[[#This Row],[Outstanding]]/Table1[[#This Row],[Overall amount]])</f>
        <v>3.6111512350137233E-3</v>
      </c>
      <c r="AB1619" s="17">
        <f>IF(MONTH(Table1[[#This Row],[Loss date]])&lt;Pol_Inc_Month_Shifted,YEAR(Table1[[#This Row],[Loss date]])-1,YEAR(Table1[[#This Row],[Loss date]]))</f>
        <v>2012</v>
      </c>
      <c r="AC1619" s="17">
        <f>IF(MONTH(Table1[[#This Row],[Reporting date]])&lt;Pol_Inc_Month_Shifted,YEAR(Table1[[#This Row],[Reporting date]])-1,YEAR(Table1[[#This Row],[Reporting date]]))</f>
        <v>2013</v>
      </c>
      <c r="AD1619" s="17">
        <f>Table1[[#This Row],[Reporting year (shifted)]]-Table1[[#This Row],[Policy Year (shifted)]]</f>
        <v>1</v>
      </c>
    </row>
    <row r="1620" spans="1:30" ht="13.9">
      <c r="A1620" s="8" t="s">
        <v>3390</v>
      </c>
      <c r="B1620" s="8" t="s">
        <v>1672</v>
      </c>
      <c r="C1620" s="8" t="s">
        <v>123</v>
      </c>
      <c r="D1620" s="9">
        <v>41552</v>
      </c>
      <c r="E1620" s="9">
        <v>41672</v>
      </c>
      <c r="F1620" s="17">
        <f>IF(MONTH(Table1[[#This Row],[Loss date]])&lt;Policy_Inception_Month,YEAR(Table1[[#This Row],[Loss date]])-1,YEAR(Table1[[#This Row],[Loss date]]))</f>
        <v>2013</v>
      </c>
      <c r="G1620" s="10" t="s">
        <v>137</v>
      </c>
      <c r="H1620" s="10" t="s">
        <v>2</v>
      </c>
      <c r="I1620" s="11">
        <v>0</v>
      </c>
      <c r="J1620" s="11">
        <v>0</v>
      </c>
      <c r="K1620" s="11">
        <v>0</v>
      </c>
      <c r="L1620" s="12">
        <v>0</v>
      </c>
      <c r="M1620" s="12">
        <v>2.6138156187572874</v>
      </c>
      <c r="N1620" s="12">
        <v>-2.6138156187572874</v>
      </c>
      <c r="O1620" s="70">
        <f>IF(Table1[[#This Row],[Overall amount]]=0,0,1)</f>
        <v>1</v>
      </c>
      <c r="P1620" s="70">
        <f>Table1[[#This Row],[Overall amount]]*Exchange_Rate</f>
        <v>-2.6138156187572874</v>
      </c>
      <c r="Q1620" s="70">
        <f>Table1[[#This Row],[Overall (destination currency)]]*(1+Claims_Inflation)^((Revalue_at_date-Table1[[#This Row],[Loss date]])/365.25)</f>
        <v>-2.88</v>
      </c>
      <c r="R1620" s="70">
        <f>INT(Table1[[#This Row],[Reporting date]])-INT(Table1[[#This Row],[Loss date]])</f>
        <v>120</v>
      </c>
      <c r="S1620" s="69" t="s">
        <v>9</v>
      </c>
      <c r="T1620" s="70">
        <f>VLOOKUP(Table1[[#This Row],[Policy Year]],exposure_table,3,FALSE)</f>
        <v>1090.5865384615383</v>
      </c>
      <c r="U1620" s="17">
        <f>IF(MONTH(Table1[[#This Row],[Reporting date]])&lt;Policy_Inception_Month,YEAR(Table1[[#This Row],[Reporting date]])-1,YEAR(Table1[[#This Row],[Reporting date]]))</f>
        <v>2013</v>
      </c>
      <c r="V1620" s="17">
        <f>Table1[[#This Row],[Reporting year]]-Table1[[#This Row],[Policy Year]]</f>
        <v>0</v>
      </c>
      <c r="W1620" s="17">
        <f>INT(Table1[[#This Row],[Reporting date]])-INT(Table1[[#This Row],[Loss date]])</f>
        <v>120</v>
      </c>
      <c r="X1620" s="17">
        <f>INT((YEAR(Table1[[#This Row],[Loss date]])*12+MONTH(Table1[[#This Row],[Loss date]])-Earliest_Month)/4)</f>
        <v>25</v>
      </c>
      <c r="Y1620" s="17">
        <f>INT((YEAR(Table1[[#This Row],[Reporting date]])*12+MONTH(Table1[[#This Row],[Reporting date]])-Earliest_Month)/4)</f>
        <v>26</v>
      </c>
      <c r="Z1620" s="17">
        <f>Table1[[#This Row],[Reporting third]]-Table1[[#This Row],[Policy third]]</f>
        <v>1</v>
      </c>
      <c r="AA1620" s="71">
        <f>IF(Table1[[#This Row],[Overall amount]]=0,"N/A",Table1[[#This Row],[Outstanding]]/Table1[[#This Row],[Overall amount]])</f>
        <v>0</v>
      </c>
      <c r="AB1620" s="17">
        <f>IF(MONTH(Table1[[#This Row],[Loss date]])&lt;Pol_Inc_Month_Shifted,YEAR(Table1[[#This Row],[Loss date]])-1,YEAR(Table1[[#This Row],[Loss date]]))</f>
        <v>2012</v>
      </c>
      <c r="AC1620" s="17">
        <f>IF(MONTH(Table1[[#This Row],[Reporting date]])&lt;Pol_Inc_Month_Shifted,YEAR(Table1[[#This Row],[Reporting date]])-1,YEAR(Table1[[#This Row],[Reporting date]]))</f>
        <v>2013</v>
      </c>
      <c r="AD1620" s="17">
        <f>Table1[[#This Row],[Reporting year (shifted)]]-Table1[[#This Row],[Policy Year (shifted)]]</f>
        <v>1</v>
      </c>
    </row>
    <row r="1621" spans="1:30" ht="13.9">
      <c r="A1621" s="8" t="s">
        <v>3391</v>
      </c>
      <c r="B1621" s="8" t="s">
        <v>1673</v>
      </c>
      <c r="C1621" s="8" t="s">
        <v>123</v>
      </c>
      <c r="D1621" s="9">
        <v>41461</v>
      </c>
      <c r="E1621" s="9">
        <v>41672</v>
      </c>
      <c r="F1621" s="17">
        <f>IF(MONTH(Table1[[#This Row],[Loss date]])&lt;Policy_Inception_Month,YEAR(Table1[[#This Row],[Loss date]])-1,YEAR(Table1[[#This Row],[Loss date]]))</f>
        <v>2013</v>
      </c>
      <c r="G1621" s="10" t="s">
        <v>164</v>
      </c>
      <c r="H1621" s="10" t="s">
        <v>2</v>
      </c>
      <c r="I1621" s="11">
        <v>0</v>
      </c>
      <c r="J1621" s="11">
        <v>1.0759312246380051</v>
      </c>
      <c r="K1621" s="11">
        <v>1.0759312246380051</v>
      </c>
      <c r="L1621" s="12">
        <v>0</v>
      </c>
      <c r="M1621" s="12">
        <v>0</v>
      </c>
      <c r="N1621" s="12">
        <v>1.0759312246380051</v>
      </c>
      <c r="O1621" s="70">
        <f>IF(Table1[[#This Row],[Overall amount]]=0,0,1)</f>
        <v>1</v>
      </c>
      <c r="P1621" s="70">
        <f>Table1[[#This Row],[Overall amount]]*Exchange_Rate</f>
        <v>1.0759312246380051</v>
      </c>
      <c r="Q1621" s="70">
        <f>Table1[[#This Row],[Overall (destination currency)]]*(1+Claims_Inflation)^((Revalue_at_date-Table1[[#This Row],[Loss date]])/365.25)</f>
        <v>1.2</v>
      </c>
      <c r="R1621" s="70">
        <f>INT(Table1[[#This Row],[Reporting date]])-INT(Table1[[#This Row],[Loss date]])</f>
        <v>211</v>
      </c>
      <c r="S1621" s="69" t="s">
        <v>16</v>
      </c>
      <c r="T1621" s="70">
        <f>VLOOKUP(Table1[[#This Row],[Policy Year]],exposure_table,3,FALSE)</f>
        <v>1090.5865384615383</v>
      </c>
      <c r="U1621" s="17">
        <f>IF(MONTH(Table1[[#This Row],[Reporting date]])&lt;Policy_Inception_Month,YEAR(Table1[[#This Row],[Reporting date]])-1,YEAR(Table1[[#This Row],[Reporting date]]))</f>
        <v>2013</v>
      </c>
      <c r="V1621" s="17">
        <f>Table1[[#This Row],[Reporting year]]-Table1[[#This Row],[Policy Year]]</f>
        <v>0</v>
      </c>
      <c r="W1621" s="17">
        <f>INT(Table1[[#This Row],[Reporting date]])-INT(Table1[[#This Row],[Loss date]])</f>
        <v>211</v>
      </c>
      <c r="X1621" s="17">
        <f>INT((YEAR(Table1[[#This Row],[Loss date]])*12+MONTH(Table1[[#This Row],[Loss date]])-Earliest_Month)/4)</f>
        <v>24</v>
      </c>
      <c r="Y1621" s="17">
        <f>INT((YEAR(Table1[[#This Row],[Reporting date]])*12+MONTH(Table1[[#This Row],[Reporting date]])-Earliest_Month)/4)</f>
        <v>26</v>
      </c>
      <c r="Z1621" s="17">
        <f>Table1[[#This Row],[Reporting third]]-Table1[[#This Row],[Policy third]]</f>
        <v>2</v>
      </c>
      <c r="AA1621" s="71">
        <f>IF(Table1[[#This Row],[Overall amount]]=0,"N/A",Table1[[#This Row],[Outstanding]]/Table1[[#This Row],[Overall amount]])</f>
        <v>1</v>
      </c>
      <c r="AB1621" s="17">
        <f>IF(MONTH(Table1[[#This Row],[Loss date]])&lt;Pol_Inc_Month_Shifted,YEAR(Table1[[#This Row],[Loss date]])-1,YEAR(Table1[[#This Row],[Loss date]]))</f>
        <v>2012</v>
      </c>
      <c r="AC1621" s="17">
        <f>IF(MONTH(Table1[[#This Row],[Reporting date]])&lt;Pol_Inc_Month_Shifted,YEAR(Table1[[#This Row],[Reporting date]])-1,YEAR(Table1[[#This Row],[Reporting date]]))</f>
        <v>2013</v>
      </c>
      <c r="AD1621" s="17">
        <f>Table1[[#This Row],[Reporting year (shifted)]]-Table1[[#This Row],[Policy Year (shifted)]]</f>
        <v>1</v>
      </c>
    </row>
    <row r="1622" spans="1:30" ht="13.9">
      <c r="A1622" s="8" t="s">
        <v>3392</v>
      </c>
      <c r="B1622" s="8" t="s">
        <v>1674</v>
      </c>
      <c r="C1622" s="8" t="s">
        <v>123</v>
      </c>
      <c r="D1622" s="9">
        <v>41229</v>
      </c>
      <c r="E1622" s="9">
        <v>41615</v>
      </c>
      <c r="F1622" s="17">
        <f>IF(MONTH(Table1[[#This Row],[Loss date]])&lt;Policy_Inception_Month,YEAR(Table1[[#This Row],[Loss date]])-1,YEAR(Table1[[#This Row],[Loss date]]))</f>
        <v>2012</v>
      </c>
      <c r="G1622" s="10" t="s">
        <v>158</v>
      </c>
      <c r="H1622" s="10" t="s">
        <v>2</v>
      </c>
      <c r="I1622" s="11">
        <v>0</v>
      </c>
      <c r="J1622" s="11">
        <v>2607.7471039366264</v>
      </c>
      <c r="K1622" s="11">
        <v>2607.7471039366264</v>
      </c>
      <c r="L1622" s="12">
        <v>0</v>
      </c>
      <c r="M1622" s="12">
        <v>0</v>
      </c>
      <c r="N1622" s="12">
        <v>2607.7471039366264</v>
      </c>
      <c r="O1622" s="70">
        <f>IF(Table1[[#This Row],[Overall amount]]=0,0,1)</f>
        <v>1</v>
      </c>
      <c r="P1622" s="70">
        <f>Table1[[#This Row],[Overall amount]]*Exchange_Rate</f>
        <v>2607.7471039366264</v>
      </c>
      <c r="Q1622" s="70">
        <f>Table1[[#This Row],[Overall (destination currency)]]*(1+Claims_Inflation)^((Revalue_at_date-Table1[[#This Row],[Loss date]])/365.25)</f>
        <v>3000</v>
      </c>
      <c r="R1622" s="70">
        <f>INT(Table1[[#This Row],[Reporting date]])-INT(Table1[[#This Row],[Loss date]])</f>
        <v>386</v>
      </c>
      <c r="S1622" s="69" t="s">
        <v>16</v>
      </c>
      <c r="T1622" s="70">
        <f>VLOOKUP(Table1[[#This Row],[Policy Year]],exposure_table,3,FALSE)</f>
        <v>1057.54</v>
      </c>
      <c r="U1622" s="17">
        <f>IF(MONTH(Table1[[#This Row],[Reporting date]])&lt;Policy_Inception_Month,YEAR(Table1[[#This Row],[Reporting date]])-1,YEAR(Table1[[#This Row],[Reporting date]]))</f>
        <v>2013</v>
      </c>
      <c r="V1622" s="17">
        <f>Table1[[#This Row],[Reporting year]]-Table1[[#This Row],[Policy Year]]</f>
        <v>1</v>
      </c>
      <c r="W1622" s="17">
        <f>INT(Table1[[#This Row],[Reporting date]])-INT(Table1[[#This Row],[Loss date]])</f>
        <v>386</v>
      </c>
      <c r="X1622" s="17">
        <f>INT((YEAR(Table1[[#This Row],[Loss date]])*12+MONTH(Table1[[#This Row],[Loss date]])-Earliest_Month)/4)</f>
        <v>22</v>
      </c>
      <c r="Y1622" s="17">
        <f>INT((YEAR(Table1[[#This Row],[Reporting date]])*12+MONTH(Table1[[#This Row],[Reporting date]])-Earliest_Month)/4)</f>
        <v>26</v>
      </c>
      <c r="Z1622" s="17">
        <f>Table1[[#This Row],[Reporting third]]-Table1[[#This Row],[Policy third]]</f>
        <v>4</v>
      </c>
      <c r="AA1622" s="71">
        <f>IF(Table1[[#This Row],[Overall amount]]=0,"N/A",Table1[[#This Row],[Outstanding]]/Table1[[#This Row],[Overall amount]])</f>
        <v>1</v>
      </c>
      <c r="AB1622" s="17">
        <f>IF(MONTH(Table1[[#This Row],[Loss date]])&lt;Pol_Inc_Month_Shifted,YEAR(Table1[[#This Row],[Loss date]])-1,YEAR(Table1[[#This Row],[Loss date]]))</f>
        <v>2011</v>
      </c>
      <c r="AC1622" s="17">
        <f>IF(MONTH(Table1[[#This Row],[Reporting date]])&lt;Pol_Inc_Month_Shifted,YEAR(Table1[[#This Row],[Reporting date]])-1,YEAR(Table1[[#This Row],[Reporting date]]))</f>
        <v>2013</v>
      </c>
      <c r="AD1622" s="17">
        <f>Table1[[#This Row],[Reporting year (shifted)]]-Table1[[#This Row],[Policy Year (shifted)]]</f>
        <v>2</v>
      </c>
    </row>
    <row r="1623" spans="1:30" ht="13.9">
      <c r="A1623" s="8" t="s">
        <v>3393</v>
      </c>
      <c r="B1623" s="8" t="s">
        <v>1675</v>
      </c>
      <c r="C1623" s="8" t="s">
        <v>123</v>
      </c>
      <c r="D1623" s="9">
        <v>41517</v>
      </c>
      <c r="E1623" s="9">
        <v>41681</v>
      </c>
      <c r="F1623" s="17">
        <f>IF(MONTH(Table1[[#This Row],[Loss date]])&lt;Policy_Inception_Month,YEAR(Table1[[#This Row],[Loss date]])-1,YEAR(Table1[[#This Row],[Loss date]]))</f>
        <v>2013</v>
      </c>
      <c r="G1623" s="10" t="s">
        <v>165</v>
      </c>
      <c r="H1623" s="10" t="s">
        <v>2</v>
      </c>
      <c r="I1623" s="11">
        <v>0</v>
      </c>
      <c r="J1623" s="11">
        <v>1.0840098965984382</v>
      </c>
      <c r="K1623" s="11">
        <v>1.0840098965984382</v>
      </c>
      <c r="L1623" s="12">
        <v>0</v>
      </c>
      <c r="M1623" s="12">
        <v>0</v>
      </c>
      <c r="N1623" s="12">
        <v>1.0840098965984382</v>
      </c>
      <c r="O1623" s="70">
        <f>IF(Table1[[#This Row],[Overall amount]]=0,0,1)</f>
        <v>1</v>
      </c>
      <c r="P1623" s="70">
        <f>Table1[[#This Row],[Overall amount]]*Exchange_Rate</f>
        <v>1.0840098965984382</v>
      </c>
      <c r="Q1623" s="70">
        <f>Table1[[#This Row],[Overall (destination currency)]]*(1+Claims_Inflation)^((Revalue_at_date-Table1[[#This Row],[Loss date]])/365.25)</f>
        <v>1.2</v>
      </c>
      <c r="R1623" s="70">
        <f>INT(Table1[[#This Row],[Reporting date]])-INT(Table1[[#This Row],[Loss date]])</f>
        <v>164</v>
      </c>
      <c r="S1623" s="69" t="s">
        <v>16</v>
      </c>
      <c r="T1623" s="70">
        <f>VLOOKUP(Table1[[#This Row],[Policy Year]],exposure_table,3,FALSE)</f>
        <v>1090.5865384615383</v>
      </c>
      <c r="U1623" s="17">
        <f>IF(MONTH(Table1[[#This Row],[Reporting date]])&lt;Policy_Inception_Month,YEAR(Table1[[#This Row],[Reporting date]])-1,YEAR(Table1[[#This Row],[Reporting date]]))</f>
        <v>2013</v>
      </c>
      <c r="V1623" s="17">
        <f>Table1[[#This Row],[Reporting year]]-Table1[[#This Row],[Policy Year]]</f>
        <v>0</v>
      </c>
      <c r="W1623" s="17">
        <f>INT(Table1[[#This Row],[Reporting date]])-INT(Table1[[#This Row],[Loss date]])</f>
        <v>164</v>
      </c>
      <c r="X1623" s="17">
        <f>INT((YEAR(Table1[[#This Row],[Loss date]])*12+MONTH(Table1[[#This Row],[Loss date]])-Earliest_Month)/4)</f>
        <v>25</v>
      </c>
      <c r="Y1623" s="17">
        <f>INT((YEAR(Table1[[#This Row],[Reporting date]])*12+MONTH(Table1[[#This Row],[Reporting date]])-Earliest_Month)/4)</f>
        <v>26</v>
      </c>
      <c r="Z1623" s="17">
        <f>Table1[[#This Row],[Reporting third]]-Table1[[#This Row],[Policy third]]</f>
        <v>1</v>
      </c>
      <c r="AA1623" s="71">
        <f>IF(Table1[[#This Row],[Overall amount]]=0,"N/A",Table1[[#This Row],[Outstanding]]/Table1[[#This Row],[Overall amount]])</f>
        <v>1</v>
      </c>
      <c r="AB1623" s="17">
        <f>IF(MONTH(Table1[[#This Row],[Loss date]])&lt;Pol_Inc_Month_Shifted,YEAR(Table1[[#This Row],[Loss date]])-1,YEAR(Table1[[#This Row],[Loss date]]))</f>
        <v>2012</v>
      </c>
      <c r="AC1623" s="17">
        <f>IF(MONTH(Table1[[#This Row],[Reporting date]])&lt;Pol_Inc_Month_Shifted,YEAR(Table1[[#This Row],[Reporting date]])-1,YEAR(Table1[[#This Row],[Reporting date]]))</f>
        <v>2013</v>
      </c>
      <c r="AD1623" s="17">
        <f>Table1[[#This Row],[Reporting year (shifted)]]-Table1[[#This Row],[Policy Year (shifted)]]</f>
        <v>1</v>
      </c>
    </row>
    <row r="1624" spans="1:30" ht="13.9">
      <c r="A1624" s="8" t="s">
        <v>3394</v>
      </c>
      <c r="B1624" s="8" t="s">
        <v>1676</v>
      </c>
      <c r="C1624" s="8" t="s">
        <v>123</v>
      </c>
      <c r="D1624" s="9">
        <v>41534</v>
      </c>
      <c r="E1624" s="9">
        <v>41670</v>
      </c>
      <c r="F1624" s="17">
        <f>IF(MONTH(Table1[[#This Row],[Loss date]])&lt;Policy_Inception_Month,YEAR(Table1[[#This Row],[Loss date]])-1,YEAR(Table1[[#This Row],[Loss date]]))</f>
        <v>2013</v>
      </c>
      <c r="G1624" s="10" t="s">
        <v>124</v>
      </c>
      <c r="H1624" s="10" t="s">
        <v>2</v>
      </c>
      <c r="I1624" s="11">
        <v>0</v>
      </c>
      <c r="J1624" s="11">
        <v>0</v>
      </c>
      <c r="K1624" s="11">
        <v>0</v>
      </c>
      <c r="L1624" s="12">
        <v>0</v>
      </c>
      <c r="M1624" s="12">
        <v>14.667403481200889</v>
      </c>
      <c r="N1624" s="12">
        <v>-14.667403481200889</v>
      </c>
      <c r="O1624" s="70">
        <f>IF(Table1[[#This Row],[Overall amount]]=0,0,1)</f>
        <v>1</v>
      </c>
      <c r="P1624" s="70">
        <f>Table1[[#This Row],[Overall amount]]*Exchange_Rate</f>
        <v>-14.667403481200889</v>
      </c>
      <c r="Q1624" s="70">
        <f>Table1[[#This Row],[Overall (destination currency)]]*(1+Claims_Inflation)^((Revalue_at_date-Table1[[#This Row],[Loss date]])/365.25)</f>
        <v>-16.2</v>
      </c>
      <c r="R1624" s="70">
        <f>INT(Table1[[#This Row],[Reporting date]])-INT(Table1[[#This Row],[Loss date]])</f>
        <v>136</v>
      </c>
      <c r="S1624" s="69" t="s">
        <v>9</v>
      </c>
      <c r="T1624" s="70">
        <f>VLOOKUP(Table1[[#This Row],[Policy Year]],exposure_table,3,FALSE)</f>
        <v>1090.5865384615383</v>
      </c>
      <c r="U1624" s="17">
        <f>IF(MONTH(Table1[[#This Row],[Reporting date]])&lt;Policy_Inception_Month,YEAR(Table1[[#This Row],[Reporting date]])-1,YEAR(Table1[[#This Row],[Reporting date]]))</f>
        <v>2013</v>
      </c>
      <c r="V1624" s="17">
        <f>Table1[[#This Row],[Reporting year]]-Table1[[#This Row],[Policy Year]]</f>
        <v>0</v>
      </c>
      <c r="W1624" s="17">
        <f>INT(Table1[[#This Row],[Reporting date]])-INT(Table1[[#This Row],[Loss date]])</f>
        <v>136</v>
      </c>
      <c r="X1624" s="17">
        <f>INT((YEAR(Table1[[#This Row],[Loss date]])*12+MONTH(Table1[[#This Row],[Loss date]])-Earliest_Month)/4)</f>
        <v>25</v>
      </c>
      <c r="Y1624" s="17">
        <f>INT((YEAR(Table1[[#This Row],[Reporting date]])*12+MONTH(Table1[[#This Row],[Reporting date]])-Earliest_Month)/4)</f>
        <v>26</v>
      </c>
      <c r="Z1624" s="17">
        <f>Table1[[#This Row],[Reporting third]]-Table1[[#This Row],[Policy third]]</f>
        <v>1</v>
      </c>
      <c r="AA1624" s="71">
        <f>IF(Table1[[#This Row],[Overall amount]]=0,"N/A",Table1[[#This Row],[Outstanding]]/Table1[[#This Row],[Overall amount]])</f>
        <v>0</v>
      </c>
      <c r="AB1624" s="17">
        <f>IF(MONTH(Table1[[#This Row],[Loss date]])&lt;Pol_Inc_Month_Shifted,YEAR(Table1[[#This Row],[Loss date]])-1,YEAR(Table1[[#This Row],[Loss date]]))</f>
        <v>2012</v>
      </c>
      <c r="AC1624" s="17">
        <f>IF(MONTH(Table1[[#This Row],[Reporting date]])&lt;Pol_Inc_Month_Shifted,YEAR(Table1[[#This Row],[Reporting date]])-1,YEAR(Table1[[#This Row],[Reporting date]]))</f>
        <v>2013</v>
      </c>
      <c r="AD1624" s="17">
        <f>Table1[[#This Row],[Reporting year (shifted)]]-Table1[[#This Row],[Policy Year (shifted)]]</f>
        <v>1</v>
      </c>
    </row>
    <row r="1625" spans="1:30" ht="13.9">
      <c r="A1625" s="8" t="s">
        <v>3395</v>
      </c>
      <c r="B1625" s="8" t="s">
        <v>1677</v>
      </c>
      <c r="C1625" s="8" t="s">
        <v>123</v>
      </c>
      <c r="D1625" s="9">
        <v>40622</v>
      </c>
      <c r="E1625" s="9">
        <v>41702</v>
      </c>
      <c r="F1625" s="17">
        <f>IF(MONTH(Table1[[#This Row],[Loss date]])&lt;Policy_Inception_Month,YEAR(Table1[[#This Row],[Loss date]])-1,YEAR(Table1[[#This Row],[Loss date]]))</f>
        <v>2010</v>
      </c>
      <c r="G1625" s="10" t="s">
        <v>125</v>
      </c>
      <c r="H1625" s="10" t="s">
        <v>2</v>
      </c>
      <c r="I1625" s="11">
        <v>9378.1268620376723</v>
      </c>
      <c r="J1625" s="11">
        <v>0</v>
      </c>
      <c r="K1625" s="11">
        <v>9378.1268620376723</v>
      </c>
      <c r="L1625" s="12">
        <v>0</v>
      </c>
      <c r="M1625" s="12">
        <v>812.00150737766182</v>
      </c>
      <c r="N1625" s="12">
        <v>8566.125354660011</v>
      </c>
      <c r="O1625" s="70">
        <f>IF(Table1[[#This Row],[Overall amount]]=0,0,1)</f>
        <v>1</v>
      </c>
      <c r="P1625" s="70">
        <f>Table1[[#This Row],[Overall amount]]*Exchange_Rate</f>
        <v>8566.125354660011</v>
      </c>
      <c r="Q1625" s="70">
        <f>Table1[[#This Row],[Overall (destination currency)]]*(1+Claims_Inflation)^((Revalue_at_date-Table1[[#This Row],[Loss date]])/365.25)</f>
        <v>10686.96</v>
      </c>
      <c r="R1625" s="70">
        <f>INT(Table1[[#This Row],[Reporting date]])-INT(Table1[[#This Row],[Loss date]])</f>
        <v>1080</v>
      </c>
      <c r="S1625" s="69" t="s">
        <v>9</v>
      </c>
      <c r="T1625" s="70">
        <f>VLOOKUP(Table1[[#This Row],[Policy Year]],exposure_table,3,FALSE)</f>
        <v>837.11513600000012</v>
      </c>
      <c r="U1625" s="17">
        <f>IF(MONTH(Table1[[#This Row],[Reporting date]])&lt;Policy_Inception_Month,YEAR(Table1[[#This Row],[Reporting date]])-1,YEAR(Table1[[#This Row],[Reporting date]]))</f>
        <v>2013</v>
      </c>
      <c r="V1625" s="17">
        <f>Table1[[#This Row],[Reporting year]]-Table1[[#This Row],[Policy Year]]</f>
        <v>3</v>
      </c>
      <c r="W1625" s="17">
        <f>INT(Table1[[#This Row],[Reporting date]])-INT(Table1[[#This Row],[Loss date]])</f>
        <v>1080</v>
      </c>
      <c r="X1625" s="17">
        <f>INT((YEAR(Table1[[#This Row],[Loss date]])*12+MONTH(Table1[[#This Row],[Loss date]])-Earliest_Month)/4)</f>
        <v>17</v>
      </c>
      <c r="Y1625" s="17">
        <f>INT((YEAR(Table1[[#This Row],[Reporting date]])*12+MONTH(Table1[[#This Row],[Reporting date]])-Earliest_Month)/4)</f>
        <v>26</v>
      </c>
      <c r="Z1625" s="17">
        <f>Table1[[#This Row],[Reporting third]]-Table1[[#This Row],[Policy third]]</f>
        <v>9</v>
      </c>
      <c r="AA1625" s="71">
        <f>IF(Table1[[#This Row],[Overall amount]]=0,"N/A",Table1[[#This Row],[Outstanding]]/Table1[[#This Row],[Overall amount]])</f>
        <v>0</v>
      </c>
      <c r="AB1625" s="17">
        <f>IF(MONTH(Table1[[#This Row],[Loss date]])&lt;Pol_Inc_Month_Shifted,YEAR(Table1[[#This Row],[Loss date]])-1,YEAR(Table1[[#This Row],[Loss date]]))</f>
        <v>2010</v>
      </c>
      <c r="AC1625" s="17">
        <f>IF(MONTH(Table1[[#This Row],[Reporting date]])&lt;Pol_Inc_Month_Shifted,YEAR(Table1[[#This Row],[Reporting date]])-1,YEAR(Table1[[#This Row],[Reporting date]]))</f>
        <v>2013</v>
      </c>
      <c r="AD1625" s="17">
        <f>Table1[[#This Row],[Reporting year (shifted)]]-Table1[[#This Row],[Policy Year (shifted)]]</f>
        <v>3</v>
      </c>
    </row>
    <row r="1626" spans="1:30" ht="13.9">
      <c r="A1626" s="8" t="s">
        <v>3396</v>
      </c>
      <c r="B1626" s="8" t="s">
        <v>1678</v>
      </c>
      <c r="C1626" s="8" t="s">
        <v>123</v>
      </c>
      <c r="D1626" s="9">
        <v>41307</v>
      </c>
      <c r="E1626" s="9">
        <v>41756</v>
      </c>
      <c r="F1626" s="17">
        <f>IF(MONTH(Table1[[#This Row],[Loss date]])&lt;Policy_Inception_Month,YEAR(Table1[[#This Row],[Loss date]])-1,YEAR(Table1[[#This Row],[Loss date]]))</f>
        <v>2012</v>
      </c>
      <c r="G1626" s="10" t="s">
        <v>124</v>
      </c>
      <c r="H1626" s="10" t="s">
        <v>2</v>
      </c>
      <c r="I1626" s="11">
        <v>0</v>
      </c>
      <c r="J1626" s="11">
        <v>13702.311625267143</v>
      </c>
      <c r="K1626" s="11">
        <v>13702.311625267143</v>
      </c>
      <c r="L1626" s="12">
        <v>0</v>
      </c>
      <c r="M1626" s="12">
        <v>0</v>
      </c>
      <c r="N1626" s="12">
        <v>13702.311625267143</v>
      </c>
      <c r="O1626" s="70">
        <f>IF(Table1[[#This Row],[Overall amount]]=0,0,1)</f>
        <v>1</v>
      </c>
      <c r="P1626" s="70">
        <f>Table1[[#This Row],[Overall amount]]*Exchange_Rate</f>
        <v>13702.311625267143</v>
      </c>
      <c r="Q1626" s="70">
        <f>Table1[[#This Row],[Overall (destination currency)]]*(1+Claims_Inflation)^((Revalue_at_date-Table1[[#This Row],[Loss date]])/365.25)</f>
        <v>15600</v>
      </c>
      <c r="R1626" s="70">
        <f>INT(Table1[[#This Row],[Reporting date]])-INT(Table1[[#This Row],[Loss date]])</f>
        <v>449</v>
      </c>
      <c r="S1626" s="69" t="s">
        <v>16</v>
      </c>
      <c r="T1626" s="70">
        <f>VLOOKUP(Table1[[#This Row],[Policy Year]],exposure_table,3,FALSE)</f>
        <v>1057.54</v>
      </c>
      <c r="U1626" s="17">
        <f>IF(MONTH(Table1[[#This Row],[Reporting date]])&lt;Policy_Inception_Month,YEAR(Table1[[#This Row],[Reporting date]])-1,YEAR(Table1[[#This Row],[Reporting date]]))</f>
        <v>2014</v>
      </c>
      <c r="V1626" s="17">
        <f>Table1[[#This Row],[Reporting year]]-Table1[[#This Row],[Policy Year]]</f>
        <v>2</v>
      </c>
      <c r="W1626" s="17">
        <f>INT(Table1[[#This Row],[Reporting date]])-INT(Table1[[#This Row],[Loss date]])</f>
        <v>449</v>
      </c>
      <c r="X1626" s="17">
        <f>INT((YEAR(Table1[[#This Row],[Loss date]])*12+MONTH(Table1[[#This Row],[Loss date]])-Earliest_Month)/4)</f>
        <v>23</v>
      </c>
      <c r="Y1626" s="17">
        <f>INT((YEAR(Table1[[#This Row],[Reporting date]])*12+MONTH(Table1[[#This Row],[Reporting date]])-Earliest_Month)/4)</f>
        <v>27</v>
      </c>
      <c r="Z1626" s="17">
        <f>Table1[[#This Row],[Reporting third]]-Table1[[#This Row],[Policy third]]</f>
        <v>4</v>
      </c>
      <c r="AA1626" s="71">
        <f>IF(Table1[[#This Row],[Overall amount]]=0,"N/A",Table1[[#This Row],[Outstanding]]/Table1[[#This Row],[Overall amount]])</f>
        <v>1</v>
      </c>
      <c r="AB1626" s="17">
        <f>IF(MONTH(Table1[[#This Row],[Loss date]])&lt;Pol_Inc_Month_Shifted,YEAR(Table1[[#This Row],[Loss date]])-1,YEAR(Table1[[#This Row],[Loss date]]))</f>
        <v>2012</v>
      </c>
      <c r="AC1626" s="17">
        <f>IF(MONTH(Table1[[#This Row],[Reporting date]])&lt;Pol_Inc_Month_Shifted,YEAR(Table1[[#This Row],[Reporting date]])-1,YEAR(Table1[[#This Row],[Reporting date]]))</f>
        <v>2013</v>
      </c>
      <c r="AD1626" s="17">
        <f>Table1[[#This Row],[Reporting year (shifted)]]-Table1[[#This Row],[Policy Year (shifted)]]</f>
        <v>1</v>
      </c>
    </row>
    <row r="1627" spans="1:30" ht="13.9">
      <c r="A1627" s="8" t="s">
        <v>3397</v>
      </c>
      <c r="B1627" s="8" t="s">
        <v>1679</v>
      </c>
      <c r="C1627" s="8" t="s">
        <v>123</v>
      </c>
      <c r="D1627" s="9">
        <v>41628</v>
      </c>
      <c r="E1627" s="9">
        <v>41712</v>
      </c>
      <c r="F1627" s="17">
        <f>IF(MONTH(Table1[[#This Row],[Loss date]])&lt;Policy_Inception_Month,YEAR(Table1[[#This Row],[Loss date]])-1,YEAR(Table1[[#This Row],[Loss date]]))</f>
        <v>2013</v>
      </c>
      <c r="G1627" s="10" t="s">
        <v>125</v>
      </c>
      <c r="H1627" s="10" t="s">
        <v>2</v>
      </c>
      <c r="I1627" s="11">
        <v>0</v>
      </c>
      <c r="J1627" s="11">
        <v>11002.02697958421</v>
      </c>
      <c r="K1627" s="11">
        <v>11002.02697958421</v>
      </c>
      <c r="L1627" s="12">
        <v>0</v>
      </c>
      <c r="M1627" s="12">
        <v>0</v>
      </c>
      <c r="N1627" s="12">
        <v>11002.02697958421</v>
      </c>
      <c r="O1627" s="70">
        <f>IF(Table1[[#This Row],[Overall amount]]=0,0,1)</f>
        <v>1</v>
      </c>
      <c r="P1627" s="70">
        <f>Table1[[#This Row],[Overall amount]]*Exchange_Rate</f>
        <v>11002.02697958421</v>
      </c>
      <c r="Q1627" s="70">
        <f>Table1[[#This Row],[Overall (destination currency)]]*(1+Claims_Inflation)^((Revalue_at_date-Table1[[#This Row],[Loss date]])/365.25)</f>
        <v>12000.000000000002</v>
      </c>
      <c r="R1627" s="70">
        <f>INT(Table1[[#This Row],[Reporting date]])-INT(Table1[[#This Row],[Loss date]])</f>
        <v>84</v>
      </c>
      <c r="S1627" s="69" t="s">
        <v>16</v>
      </c>
      <c r="T1627" s="70">
        <f>VLOOKUP(Table1[[#This Row],[Policy Year]],exposure_table,3,FALSE)</f>
        <v>1090.5865384615383</v>
      </c>
      <c r="U1627" s="17">
        <f>IF(MONTH(Table1[[#This Row],[Reporting date]])&lt;Policy_Inception_Month,YEAR(Table1[[#This Row],[Reporting date]])-1,YEAR(Table1[[#This Row],[Reporting date]]))</f>
        <v>2013</v>
      </c>
      <c r="V1627" s="17">
        <f>Table1[[#This Row],[Reporting year]]-Table1[[#This Row],[Policy Year]]</f>
        <v>0</v>
      </c>
      <c r="W1627" s="17">
        <f>INT(Table1[[#This Row],[Reporting date]])-INT(Table1[[#This Row],[Loss date]])</f>
        <v>84</v>
      </c>
      <c r="X1627" s="17">
        <f>INT((YEAR(Table1[[#This Row],[Loss date]])*12+MONTH(Table1[[#This Row],[Loss date]])-Earliest_Month)/4)</f>
        <v>26</v>
      </c>
      <c r="Y1627" s="17">
        <f>INT((YEAR(Table1[[#This Row],[Reporting date]])*12+MONTH(Table1[[#This Row],[Reporting date]])-Earliest_Month)/4)</f>
        <v>26</v>
      </c>
      <c r="Z1627" s="17">
        <f>Table1[[#This Row],[Reporting third]]-Table1[[#This Row],[Policy third]]</f>
        <v>0</v>
      </c>
      <c r="AA1627" s="71">
        <f>IF(Table1[[#This Row],[Overall amount]]=0,"N/A",Table1[[#This Row],[Outstanding]]/Table1[[#This Row],[Overall amount]])</f>
        <v>1</v>
      </c>
      <c r="AB1627" s="17">
        <f>IF(MONTH(Table1[[#This Row],[Loss date]])&lt;Pol_Inc_Month_Shifted,YEAR(Table1[[#This Row],[Loss date]])-1,YEAR(Table1[[#This Row],[Loss date]]))</f>
        <v>2013</v>
      </c>
      <c r="AC1627" s="17">
        <f>IF(MONTH(Table1[[#This Row],[Reporting date]])&lt;Pol_Inc_Month_Shifted,YEAR(Table1[[#This Row],[Reporting date]])-1,YEAR(Table1[[#This Row],[Reporting date]]))</f>
        <v>2013</v>
      </c>
      <c r="AD1627" s="17">
        <f>Table1[[#This Row],[Reporting year (shifted)]]-Table1[[#This Row],[Policy Year (shifted)]]</f>
        <v>0</v>
      </c>
    </row>
    <row r="1628" spans="1:30" ht="13.9">
      <c r="A1628" s="8" t="s">
        <v>3398</v>
      </c>
      <c r="B1628" s="8" t="s">
        <v>1680</v>
      </c>
      <c r="C1628" s="8" t="s">
        <v>123</v>
      </c>
      <c r="D1628" s="9">
        <v>41542</v>
      </c>
      <c r="E1628" s="9">
        <v>41722</v>
      </c>
      <c r="F1628" s="17">
        <f>IF(MONTH(Table1[[#This Row],[Loss date]])&lt;Policy_Inception_Month,YEAR(Table1[[#This Row],[Loss date]])-1,YEAR(Table1[[#This Row],[Loss date]]))</f>
        <v>2013</v>
      </c>
      <c r="G1628" s="10" t="s">
        <v>131</v>
      </c>
      <c r="H1628" s="10" t="s">
        <v>2</v>
      </c>
      <c r="I1628" s="11">
        <v>0</v>
      </c>
      <c r="J1628" s="11">
        <v>9299.2878351568124</v>
      </c>
      <c r="K1628" s="11">
        <v>9299.2878351568124</v>
      </c>
      <c r="L1628" s="12">
        <v>326.29080123357238</v>
      </c>
      <c r="M1628" s="12">
        <v>327.26967363727306</v>
      </c>
      <c r="N1628" s="12">
        <v>9298.3089627531117</v>
      </c>
      <c r="O1628" s="70">
        <f>IF(Table1[[#This Row],[Overall amount]]=0,0,1)</f>
        <v>1</v>
      </c>
      <c r="P1628" s="70">
        <f>Table1[[#This Row],[Overall amount]]*Exchange_Rate</f>
        <v>9298.3089627531117</v>
      </c>
      <c r="Q1628" s="70">
        <f>Table1[[#This Row],[Overall (destination currency)]]*(1+Claims_Inflation)^((Revalue_at_date-Table1[[#This Row],[Loss date]])/365.25)</f>
        <v>10258.92</v>
      </c>
      <c r="R1628" s="70">
        <f>INT(Table1[[#This Row],[Reporting date]])-INT(Table1[[#This Row],[Loss date]])</f>
        <v>180</v>
      </c>
      <c r="S1628" s="69" t="s">
        <v>16</v>
      </c>
      <c r="T1628" s="70">
        <f>VLOOKUP(Table1[[#This Row],[Policy Year]],exposure_table,3,FALSE)</f>
        <v>1090.5865384615383</v>
      </c>
      <c r="U1628" s="17">
        <f>IF(MONTH(Table1[[#This Row],[Reporting date]])&lt;Policy_Inception_Month,YEAR(Table1[[#This Row],[Reporting date]])-1,YEAR(Table1[[#This Row],[Reporting date]]))</f>
        <v>2013</v>
      </c>
      <c r="V1628" s="17">
        <f>Table1[[#This Row],[Reporting year]]-Table1[[#This Row],[Policy Year]]</f>
        <v>0</v>
      </c>
      <c r="W1628" s="17">
        <f>INT(Table1[[#This Row],[Reporting date]])-INT(Table1[[#This Row],[Loss date]])</f>
        <v>180</v>
      </c>
      <c r="X1628" s="17">
        <f>INT((YEAR(Table1[[#This Row],[Loss date]])*12+MONTH(Table1[[#This Row],[Loss date]])-Earliest_Month)/4)</f>
        <v>25</v>
      </c>
      <c r="Y1628" s="17">
        <f>INT((YEAR(Table1[[#This Row],[Reporting date]])*12+MONTH(Table1[[#This Row],[Reporting date]])-Earliest_Month)/4)</f>
        <v>26</v>
      </c>
      <c r="Z1628" s="17">
        <f>Table1[[#This Row],[Reporting third]]-Table1[[#This Row],[Policy third]]</f>
        <v>1</v>
      </c>
      <c r="AA1628" s="71">
        <f>IF(Table1[[#This Row],[Overall amount]]=0,"N/A",Table1[[#This Row],[Outstanding]]/Table1[[#This Row],[Overall amount]])</f>
        <v>1.0001052742393937</v>
      </c>
      <c r="AB1628" s="17">
        <f>IF(MONTH(Table1[[#This Row],[Loss date]])&lt;Pol_Inc_Month_Shifted,YEAR(Table1[[#This Row],[Loss date]])-1,YEAR(Table1[[#This Row],[Loss date]]))</f>
        <v>2012</v>
      </c>
      <c r="AC1628" s="17">
        <f>IF(MONTH(Table1[[#This Row],[Reporting date]])&lt;Pol_Inc_Month_Shifted,YEAR(Table1[[#This Row],[Reporting date]])-1,YEAR(Table1[[#This Row],[Reporting date]]))</f>
        <v>2013</v>
      </c>
      <c r="AD1628" s="17">
        <f>Table1[[#This Row],[Reporting year (shifted)]]-Table1[[#This Row],[Policy Year (shifted)]]</f>
        <v>1</v>
      </c>
    </row>
    <row r="1629" spans="1:30" ht="13.9">
      <c r="A1629" s="8" t="s">
        <v>3399</v>
      </c>
      <c r="B1629" s="8" t="s">
        <v>1681</v>
      </c>
      <c r="C1629" s="8" t="s">
        <v>123</v>
      </c>
      <c r="D1629" s="9">
        <v>41313</v>
      </c>
      <c r="E1629" s="9">
        <v>41685</v>
      </c>
      <c r="F1629" s="17">
        <f>IF(MONTH(Table1[[#This Row],[Loss date]])&lt;Policy_Inception_Month,YEAR(Table1[[#This Row],[Loss date]])-1,YEAR(Table1[[#This Row],[Loss date]]))</f>
        <v>2012</v>
      </c>
      <c r="G1629" s="10" t="s">
        <v>126</v>
      </c>
      <c r="H1629" s="10" t="s">
        <v>2</v>
      </c>
      <c r="I1629" s="11">
        <v>0</v>
      </c>
      <c r="J1629" s="11">
        <v>1.0548690901326625</v>
      </c>
      <c r="K1629" s="11">
        <v>1.0548690901326625</v>
      </c>
      <c r="L1629" s="12">
        <v>0</v>
      </c>
      <c r="M1629" s="12">
        <v>15.240748614236706</v>
      </c>
      <c r="N1629" s="12">
        <v>-14.185879524104044</v>
      </c>
      <c r="O1629" s="70">
        <f>IF(Table1[[#This Row],[Overall amount]]=0,0,1)</f>
        <v>1</v>
      </c>
      <c r="P1629" s="70">
        <f>Table1[[#This Row],[Overall amount]]*Exchange_Rate</f>
        <v>-14.185879524104044</v>
      </c>
      <c r="Q1629" s="70">
        <f>Table1[[#This Row],[Overall (destination currency)]]*(1+Claims_Inflation)^((Revalue_at_date-Table1[[#This Row],[Loss date]])/365.25)</f>
        <v>-16.137600000000003</v>
      </c>
      <c r="R1629" s="70">
        <f>INT(Table1[[#This Row],[Reporting date]])-INT(Table1[[#This Row],[Loss date]])</f>
        <v>372</v>
      </c>
      <c r="S1629" s="69" t="s">
        <v>16</v>
      </c>
      <c r="T1629" s="70">
        <f>VLOOKUP(Table1[[#This Row],[Policy Year]],exposure_table,3,FALSE)</f>
        <v>1057.54</v>
      </c>
      <c r="U1629" s="17">
        <f>IF(MONTH(Table1[[#This Row],[Reporting date]])&lt;Policy_Inception_Month,YEAR(Table1[[#This Row],[Reporting date]])-1,YEAR(Table1[[#This Row],[Reporting date]]))</f>
        <v>2013</v>
      </c>
      <c r="V1629" s="17">
        <f>Table1[[#This Row],[Reporting year]]-Table1[[#This Row],[Policy Year]]</f>
        <v>1</v>
      </c>
      <c r="W1629" s="17">
        <f>INT(Table1[[#This Row],[Reporting date]])-INT(Table1[[#This Row],[Loss date]])</f>
        <v>372</v>
      </c>
      <c r="X1629" s="17">
        <f>INT((YEAR(Table1[[#This Row],[Loss date]])*12+MONTH(Table1[[#This Row],[Loss date]])-Earliest_Month)/4)</f>
        <v>23</v>
      </c>
      <c r="Y1629" s="17">
        <f>INT((YEAR(Table1[[#This Row],[Reporting date]])*12+MONTH(Table1[[#This Row],[Reporting date]])-Earliest_Month)/4)</f>
        <v>26</v>
      </c>
      <c r="Z1629" s="17">
        <f>Table1[[#This Row],[Reporting third]]-Table1[[#This Row],[Policy third]]</f>
        <v>3</v>
      </c>
      <c r="AA1629" s="71">
        <f>IF(Table1[[#This Row],[Overall amount]]=0,"N/A",Table1[[#This Row],[Outstanding]]/Table1[[#This Row],[Overall amount]])</f>
        <v>-7.4360499702558008E-2</v>
      </c>
      <c r="AB1629" s="17">
        <f>IF(MONTH(Table1[[#This Row],[Loss date]])&lt;Pol_Inc_Month_Shifted,YEAR(Table1[[#This Row],[Loss date]])-1,YEAR(Table1[[#This Row],[Loss date]]))</f>
        <v>2012</v>
      </c>
      <c r="AC1629" s="17">
        <f>IF(MONTH(Table1[[#This Row],[Reporting date]])&lt;Pol_Inc_Month_Shifted,YEAR(Table1[[#This Row],[Reporting date]])-1,YEAR(Table1[[#This Row],[Reporting date]]))</f>
        <v>2013</v>
      </c>
      <c r="AD1629" s="17">
        <f>Table1[[#This Row],[Reporting year (shifted)]]-Table1[[#This Row],[Policy Year (shifted)]]</f>
        <v>1</v>
      </c>
    </row>
    <row r="1630" spans="1:30" ht="13.9">
      <c r="A1630" s="8" t="s">
        <v>3400</v>
      </c>
      <c r="B1630" s="8" t="s">
        <v>1682</v>
      </c>
      <c r="C1630" s="8" t="s">
        <v>123</v>
      </c>
      <c r="D1630" s="9">
        <v>41679</v>
      </c>
      <c r="E1630" s="9">
        <v>41744</v>
      </c>
      <c r="F1630" s="17">
        <f>IF(MONTH(Table1[[#This Row],[Loss date]])&lt;Policy_Inception_Month,YEAR(Table1[[#This Row],[Loss date]])-1,YEAR(Table1[[#This Row],[Loss date]]))</f>
        <v>2013</v>
      </c>
      <c r="G1630" s="10" t="s">
        <v>125</v>
      </c>
      <c r="H1630" s="10" t="s">
        <v>2</v>
      </c>
      <c r="I1630" s="11">
        <v>0</v>
      </c>
      <c r="J1630" s="11">
        <v>18609.755077505259</v>
      </c>
      <c r="K1630" s="11">
        <v>18609.755077505259</v>
      </c>
      <c r="L1630" s="12">
        <v>332.31705495545106</v>
      </c>
      <c r="M1630" s="12">
        <v>0</v>
      </c>
      <c r="N1630" s="12">
        <v>18942.072132460711</v>
      </c>
      <c r="O1630" s="70">
        <f>IF(Table1[[#This Row],[Overall amount]]=0,0,1)</f>
        <v>1</v>
      </c>
      <c r="P1630" s="70">
        <f>Table1[[#This Row],[Overall amount]]*Exchange_Rate</f>
        <v>18942.072132460711</v>
      </c>
      <c r="Q1630" s="70">
        <f>Table1[[#This Row],[Overall (destination currency)]]*(1+Claims_Inflation)^((Revalue_at_date-Table1[[#This Row],[Loss date]])/365.25)</f>
        <v>20520</v>
      </c>
      <c r="R1630" s="70">
        <f>INT(Table1[[#This Row],[Reporting date]])-INT(Table1[[#This Row],[Loss date]])</f>
        <v>65</v>
      </c>
      <c r="S1630" s="69" t="s">
        <v>16</v>
      </c>
      <c r="T1630" s="70">
        <f>VLOOKUP(Table1[[#This Row],[Policy Year]],exposure_table,3,FALSE)</f>
        <v>1090.5865384615383</v>
      </c>
      <c r="U1630" s="17">
        <f>IF(MONTH(Table1[[#This Row],[Reporting date]])&lt;Policy_Inception_Month,YEAR(Table1[[#This Row],[Reporting date]])-1,YEAR(Table1[[#This Row],[Reporting date]]))</f>
        <v>2014</v>
      </c>
      <c r="V1630" s="17">
        <f>Table1[[#This Row],[Reporting year]]-Table1[[#This Row],[Policy Year]]</f>
        <v>1</v>
      </c>
      <c r="W1630" s="17">
        <f>INT(Table1[[#This Row],[Reporting date]])-INT(Table1[[#This Row],[Loss date]])</f>
        <v>65</v>
      </c>
      <c r="X1630" s="17">
        <f>INT((YEAR(Table1[[#This Row],[Loss date]])*12+MONTH(Table1[[#This Row],[Loss date]])-Earliest_Month)/4)</f>
        <v>26</v>
      </c>
      <c r="Y1630" s="17">
        <f>INT((YEAR(Table1[[#This Row],[Reporting date]])*12+MONTH(Table1[[#This Row],[Reporting date]])-Earliest_Month)/4)</f>
        <v>27</v>
      </c>
      <c r="Z1630" s="17">
        <f>Table1[[#This Row],[Reporting third]]-Table1[[#This Row],[Policy third]]</f>
        <v>1</v>
      </c>
      <c r="AA1630" s="71">
        <f>IF(Table1[[#This Row],[Overall amount]]=0,"N/A",Table1[[#This Row],[Outstanding]]/Table1[[#This Row],[Overall amount]])</f>
        <v>0.98245614035087714</v>
      </c>
      <c r="AB1630" s="17">
        <f>IF(MONTH(Table1[[#This Row],[Loss date]])&lt;Pol_Inc_Month_Shifted,YEAR(Table1[[#This Row],[Loss date]])-1,YEAR(Table1[[#This Row],[Loss date]]))</f>
        <v>2013</v>
      </c>
      <c r="AC1630" s="17">
        <f>IF(MONTH(Table1[[#This Row],[Reporting date]])&lt;Pol_Inc_Month_Shifted,YEAR(Table1[[#This Row],[Reporting date]])-1,YEAR(Table1[[#This Row],[Reporting date]]))</f>
        <v>2013</v>
      </c>
      <c r="AD1630" s="17">
        <f>Table1[[#This Row],[Reporting year (shifted)]]-Table1[[#This Row],[Policy Year (shifted)]]</f>
        <v>0</v>
      </c>
    </row>
    <row r="1631" spans="1:30" ht="13.9">
      <c r="A1631" s="8" t="s">
        <v>3401</v>
      </c>
      <c r="B1631" s="8" t="s">
        <v>1683</v>
      </c>
      <c r="C1631" s="8" t="s">
        <v>123</v>
      </c>
      <c r="D1631" s="9">
        <v>41618</v>
      </c>
      <c r="E1631" s="9">
        <v>41764</v>
      </c>
      <c r="F1631" s="17">
        <f>IF(MONTH(Table1[[#This Row],[Loss date]])&lt;Policy_Inception_Month,YEAR(Table1[[#This Row],[Loss date]])-1,YEAR(Table1[[#This Row],[Loss date]]))</f>
        <v>2013</v>
      </c>
      <c r="G1631" s="10" t="s">
        <v>126</v>
      </c>
      <c r="H1631" s="10" t="s">
        <v>2</v>
      </c>
      <c r="I1631" s="11">
        <v>0</v>
      </c>
      <c r="J1631" s="11">
        <v>18458.731641110553</v>
      </c>
      <c r="K1631" s="11">
        <v>18458.731641110553</v>
      </c>
      <c r="L1631" s="12">
        <v>329.62020787697418</v>
      </c>
      <c r="M1631" s="12">
        <v>0</v>
      </c>
      <c r="N1631" s="12">
        <v>18788.351848987528</v>
      </c>
      <c r="O1631" s="70">
        <f>IF(Table1[[#This Row],[Overall amount]]=0,0,1)</f>
        <v>1</v>
      </c>
      <c r="P1631" s="70">
        <f>Table1[[#This Row],[Overall amount]]*Exchange_Rate</f>
        <v>18788.351848987528</v>
      </c>
      <c r="Q1631" s="70">
        <f>Table1[[#This Row],[Overall (destination currency)]]*(1+Claims_Inflation)^((Revalue_at_date-Table1[[#This Row],[Loss date]])/365.25)</f>
        <v>20520</v>
      </c>
      <c r="R1631" s="70">
        <f>INT(Table1[[#This Row],[Reporting date]])-INT(Table1[[#This Row],[Loss date]])</f>
        <v>146</v>
      </c>
      <c r="S1631" s="69" t="s">
        <v>16</v>
      </c>
      <c r="T1631" s="70">
        <f>VLOOKUP(Table1[[#This Row],[Policy Year]],exposure_table,3,FALSE)</f>
        <v>1090.5865384615383</v>
      </c>
      <c r="U1631" s="17">
        <f>IF(MONTH(Table1[[#This Row],[Reporting date]])&lt;Policy_Inception_Month,YEAR(Table1[[#This Row],[Reporting date]])-1,YEAR(Table1[[#This Row],[Reporting date]]))</f>
        <v>2014</v>
      </c>
      <c r="V1631" s="17">
        <f>Table1[[#This Row],[Reporting year]]-Table1[[#This Row],[Policy Year]]</f>
        <v>1</v>
      </c>
      <c r="W1631" s="17">
        <f>INT(Table1[[#This Row],[Reporting date]])-INT(Table1[[#This Row],[Loss date]])</f>
        <v>146</v>
      </c>
      <c r="X1631" s="17">
        <f>INT((YEAR(Table1[[#This Row],[Loss date]])*12+MONTH(Table1[[#This Row],[Loss date]])-Earliest_Month)/4)</f>
        <v>26</v>
      </c>
      <c r="Y1631" s="17">
        <f>INT((YEAR(Table1[[#This Row],[Reporting date]])*12+MONTH(Table1[[#This Row],[Reporting date]])-Earliest_Month)/4)</f>
        <v>27</v>
      </c>
      <c r="Z1631" s="17">
        <f>Table1[[#This Row],[Reporting third]]-Table1[[#This Row],[Policy third]]</f>
        <v>1</v>
      </c>
      <c r="AA1631" s="71">
        <f>IF(Table1[[#This Row],[Overall amount]]=0,"N/A",Table1[[#This Row],[Outstanding]]/Table1[[#This Row],[Overall amount]])</f>
        <v>0.98245614035087714</v>
      </c>
      <c r="AB1631" s="17">
        <f>IF(MONTH(Table1[[#This Row],[Loss date]])&lt;Pol_Inc_Month_Shifted,YEAR(Table1[[#This Row],[Loss date]])-1,YEAR(Table1[[#This Row],[Loss date]]))</f>
        <v>2013</v>
      </c>
      <c r="AC1631" s="17">
        <f>IF(MONTH(Table1[[#This Row],[Reporting date]])&lt;Pol_Inc_Month_Shifted,YEAR(Table1[[#This Row],[Reporting date]])-1,YEAR(Table1[[#This Row],[Reporting date]]))</f>
        <v>2013</v>
      </c>
      <c r="AD1631" s="17">
        <f>Table1[[#This Row],[Reporting year (shifted)]]-Table1[[#This Row],[Policy Year (shifted)]]</f>
        <v>0</v>
      </c>
    </row>
    <row r="1632" spans="1:30" ht="13.9">
      <c r="A1632" s="8" t="s">
        <v>3402</v>
      </c>
      <c r="B1632" s="8" t="s">
        <v>1684</v>
      </c>
      <c r="C1632" s="8" t="s">
        <v>123</v>
      </c>
      <c r="D1632" s="9">
        <v>41492</v>
      </c>
      <c r="E1632" s="9">
        <v>41765</v>
      </c>
      <c r="F1632" s="17">
        <f>IF(MONTH(Table1[[#This Row],[Loss date]])&lt;Policy_Inception_Month,YEAR(Table1[[#This Row],[Loss date]])-1,YEAR(Table1[[#This Row],[Loss date]]))</f>
        <v>2013</v>
      </c>
      <c r="G1632" s="10" t="s">
        <v>124</v>
      </c>
      <c r="H1632" s="10" t="s">
        <v>2</v>
      </c>
      <c r="I1632" s="11">
        <v>0</v>
      </c>
      <c r="J1632" s="11">
        <v>17070.254876997191</v>
      </c>
      <c r="K1632" s="11">
        <v>17070.254876997191</v>
      </c>
      <c r="L1632" s="12">
        <v>0</v>
      </c>
      <c r="M1632" s="12">
        <v>1235.0005284743979</v>
      </c>
      <c r="N1632" s="12">
        <v>15835.254348522792</v>
      </c>
      <c r="O1632" s="70">
        <f>IF(Table1[[#This Row],[Overall amount]]=0,0,1)</f>
        <v>1</v>
      </c>
      <c r="P1632" s="70">
        <f>Table1[[#This Row],[Overall amount]]*Exchange_Rate</f>
        <v>15835.254348522792</v>
      </c>
      <c r="Q1632" s="70">
        <f>Table1[[#This Row],[Overall (destination currency)]]*(1+Claims_Inflation)^((Revalue_at_date-Table1[[#This Row],[Loss date]])/365.25)</f>
        <v>17588.28</v>
      </c>
      <c r="R1632" s="70">
        <f>INT(Table1[[#This Row],[Reporting date]])-INT(Table1[[#This Row],[Loss date]])</f>
        <v>273</v>
      </c>
      <c r="S1632" s="69" t="s">
        <v>16</v>
      </c>
      <c r="T1632" s="70">
        <f>VLOOKUP(Table1[[#This Row],[Policy Year]],exposure_table,3,FALSE)</f>
        <v>1090.5865384615383</v>
      </c>
      <c r="U1632" s="17">
        <f>IF(MONTH(Table1[[#This Row],[Reporting date]])&lt;Policy_Inception_Month,YEAR(Table1[[#This Row],[Reporting date]])-1,YEAR(Table1[[#This Row],[Reporting date]]))</f>
        <v>2014</v>
      </c>
      <c r="V1632" s="17">
        <f>Table1[[#This Row],[Reporting year]]-Table1[[#This Row],[Policy Year]]</f>
        <v>1</v>
      </c>
      <c r="W1632" s="17">
        <f>INT(Table1[[#This Row],[Reporting date]])-INT(Table1[[#This Row],[Loss date]])</f>
        <v>273</v>
      </c>
      <c r="X1632" s="17">
        <f>INT((YEAR(Table1[[#This Row],[Loss date]])*12+MONTH(Table1[[#This Row],[Loss date]])-Earliest_Month)/4)</f>
        <v>25</v>
      </c>
      <c r="Y1632" s="17">
        <f>INT((YEAR(Table1[[#This Row],[Reporting date]])*12+MONTH(Table1[[#This Row],[Reporting date]])-Earliest_Month)/4)</f>
        <v>27</v>
      </c>
      <c r="Z1632" s="17">
        <f>Table1[[#This Row],[Reporting third]]-Table1[[#This Row],[Policy third]]</f>
        <v>2</v>
      </c>
      <c r="AA1632" s="71">
        <f>IF(Table1[[#This Row],[Overall amount]]=0,"N/A",Table1[[#This Row],[Outstanding]]/Table1[[#This Row],[Overall amount]])</f>
        <v>1.0779905709938664</v>
      </c>
      <c r="AB1632" s="17">
        <f>IF(MONTH(Table1[[#This Row],[Loss date]])&lt;Pol_Inc_Month_Shifted,YEAR(Table1[[#This Row],[Loss date]])-1,YEAR(Table1[[#This Row],[Loss date]]))</f>
        <v>2012</v>
      </c>
      <c r="AC1632" s="17">
        <f>IF(MONTH(Table1[[#This Row],[Reporting date]])&lt;Pol_Inc_Month_Shifted,YEAR(Table1[[#This Row],[Reporting date]])-1,YEAR(Table1[[#This Row],[Reporting date]]))</f>
        <v>2013</v>
      </c>
      <c r="AD1632" s="17">
        <f>Table1[[#This Row],[Reporting year (shifted)]]-Table1[[#This Row],[Policy Year (shifted)]]</f>
        <v>1</v>
      </c>
    </row>
    <row r="1633" spans="1:30" ht="13.9">
      <c r="A1633" s="8" t="s">
        <v>3403</v>
      </c>
      <c r="B1633" s="8" t="s">
        <v>1685</v>
      </c>
      <c r="C1633" s="8" t="s">
        <v>123</v>
      </c>
      <c r="D1633" s="9">
        <v>41588</v>
      </c>
      <c r="E1633" s="9">
        <v>41722</v>
      </c>
      <c r="F1633" s="17">
        <f>IF(MONTH(Table1[[#This Row],[Loss date]])&lt;Policy_Inception_Month,YEAR(Table1[[#This Row],[Loss date]])-1,YEAR(Table1[[#This Row],[Loss date]]))</f>
        <v>2013</v>
      </c>
      <c r="G1633" s="10" t="s">
        <v>126</v>
      </c>
      <c r="H1633" s="10" t="s">
        <v>2</v>
      </c>
      <c r="I1633" s="11">
        <v>0</v>
      </c>
      <c r="J1633" s="11">
        <v>16196.228506521356</v>
      </c>
      <c r="K1633" s="11">
        <v>16196.228506521356</v>
      </c>
      <c r="L1633" s="12">
        <v>0</v>
      </c>
      <c r="M1633" s="12">
        <v>0</v>
      </c>
      <c r="N1633" s="12">
        <v>16196.228506521356</v>
      </c>
      <c r="O1633" s="70">
        <f>IF(Table1[[#This Row],[Overall amount]]=0,0,1)</f>
        <v>1</v>
      </c>
      <c r="P1633" s="70">
        <f>Table1[[#This Row],[Overall amount]]*Exchange_Rate</f>
        <v>16196.228506521356</v>
      </c>
      <c r="Q1633" s="70">
        <f>Table1[[#This Row],[Overall (destination currency)]]*(1+Claims_Inflation)^((Revalue_at_date-Table1[[#This Row],[Loss date]])/365.25)</f>
        <v>17760</v>
      </c>
      <c r="R1633" s="70">
        <f>INT(Table1[[#This Row],[Reporting date]])-INT(Table1[[#This Row],[Loss date]])</f>
        <v>134</v>
      </c>
      <c r="S1633" s="69" t="s">
        <v>16</v>
      </c>
      <c r="T1633" s="70">
        <f>VLOOKUP(Table1[[#This Row],[Policy Year]],exposure_table,3,FALSE)</f>
        <v>1090.5865384615383</v>
      </c>
      <c r="U1633" s="17">
        <f>IF(MONTH(Table1[[#This Row],[Reporting date]])&lt;Policy_Inception_Month,YEAR(Table1[[#This Row],[Reporting date]])-1,YEAR(Table1[[#This Row],[Reporting date]]))</f>
        <v>2013</v>
      </c>
      <c r="V1633" s="17">
        <f>Table1[[#This Row],[Reporting year]]-Table1[[#This Row],[Policy Year]]</f>
        <v>0</v>
      </c>
      <c r="W1633" s="17">
        <f>INT(Table1[[#This Row],[Reporting date]])-INT(Table1[[#This Row],[Loss date]])</f>
        <v>134</v>
      </c>
      <c r="X1633" s="17">
        <f>INT((YEAR(Table1[[#This Row],[Loss date]])*12+MONTH(Table1[[#This Row],[Loss date]])-Earliest_Month)/4)</f>
        <v>25</v>
      </c>
      <c r="Y1633" s="17">
        <f>INT((YEAR(Table1[[#This Row],[Reporting date]])*12+MONTH(Table1[[#This Row],[Reporting date]])-Earliest_Month)/4)</f>
        <v>26</v>
      </c>
      <c r="Z1633" s="17">
        <f>Table1[[#This Row],[Reporting third]]-Table1[[#This Row],[Policy third]]</f>
        <v>1</v>
      </c>
      <c r="AA1633" s="71">
        <f>IF(Table1[[#This Row],[Overall amount]]=0,"N/A",Table1[[#This Row],[Outstanding]]/Table1[[#This Row],[Overall amount]])</f>
        <v>1</v>
      </c>
      <c r="AB1633" s="17">
        <f>IF(MONTH(Table1[[#This Row],[Loss date]])&lt;Pol_Inc_Month_Shifted,YEAR(Table1[[#This Row],[Loss date]])-1,YEAR(Table1[[#This Row],[Loss date]]))</f>
        <v>2012</v>
      </c>
      <c r="AC1633" s="17">
        <f>IF(MONTH(Table1[[#This Row],[Reporting date]])&lt;Pol_Inc_Month_Shifted,YEAR(Table1[[#This Row],[Reporting date]])-1,YEAR(Table1[[#This Row],[Reporting date]]))</f>
        <v>2013</v>
      </c>
      <c r="AD1633" s="17">
        <f>Table1[[#This Row],[Reporting year (shifted)]]-Table1[[#This Row],[Policy Year (shifted)]]</f>
        <v>1</v>
      </c>
    </row>
    <row r="1634" spans="1:30" ht="13.9">
      <c r="A1634" s="8" t="s">
        <v>3404</v>
      </c>
      <c r="B1634" s="8" t="s">
        <v>1686</v>
      </c>
      <c r="C1634" s="8" t="s">
        <v>123</v>
      </c>
      <c r="D1634" s="9">
        <v>41553</v>
      </c>
      <c r="E1634" s="9">
        <v>41720</v>
      </c>
      <c r="F1634" s="17">
        <f>IF(MONTH(Table1[[#This Row],[Loss date]])&lt;Policy_Inception_Month,YEAR(Table1[[#This Row],[Loss date]])-1,YEAR(Table1[[#This Row],[Loss date]]))</f>
        <v>2013</v>
      </c>
      <c r="G1634" s="10" t="s">
        <v>125</v>
      </c>
      <c r="H1634" s="10" t="s">
        <v>2</v>
      </c>
      <c r="I1634" s="11">
        <v>0</v>
      </c>
      <c r="J1634" s="11">
        <v>16120.682909059484</v>
      </c>
      <c r="K1634" s="11">
        <v>16120.682909059484</v>
      </c>
      <c r="L1634" s="12">
        <v>326.77059950796252</v>
      </c>
      <c r="M1634" s="12">
        <v>0</v>
      </c>
      <c r="N1634" s="12">
        <v>16447.453508567447</v>
      </c>
      <c r="O1634" s="70">
        <f>IF(Table1[[#This Row],[Overall amount]]=0,0,1)</f>
        <v>1</v>
      </c>
      <c r="P1634" s="70">
        <f>Table1[[#This Row],[Overall amount]]*Exchange_Rate</f>
        <v>16447.453508567447</v>
      </c>
      <c r="Q1634" s="70">
        <f>Table1[[#This Row],[Overall (destination currency)]]*(1+Claims_Inflation)^((Revalue_at_date-Table1[[#This Row],[Loss date]])/365.25)</f>
        <v>18120</v>
      </c>
      <c r="R1634" s="70">
        <f>INT(Table1[[#This Row],[Reporting date]])-INT(Table1[[#This Row],[Loss date]])</f>
        <v>167</v>
      </c>
      <c r="S1634" s="69" t="s">
        <v>16</v>
      </c>
      <c r="T1634" s="70">
        <f>VLOOKUP(Table1[[#This Row],[Policy Year]],exposure_table,3,FALSE)</f>
        <v>1090.5865384615383</v>
      </c>
      <c r="U1634" s="17">
        <f>IF(MONTH(Table1[[#This Row],[Reporting date]])&lt;Policy_Inception_Month,YEAR(Table1[[#This Row],[Reporting date]])-1,YEAR(Table1[[#This Row],[Reporting date]]))</f>
        <v>2013</v>
      </c>
      <c r="V1634" s="17">
        <f>Table1[[#This Row],[Reporting year]]-Table1[[#This Row],[Policy Year]]</f>
        <v>0</v>
      </c>
      <c r="W1634" s="17">
        <f>INT(Table1[[#This Row],[Reporting date]])-INT(Table1[[#This Row],[Loss date]])</f>
        <v>167</v>
      </c>
      <c r="X1634" s="17">
        <f>INT((YEAR(Table1[[#This Row],[Loss date]])*12+MONTH(Table1[[#This Row],[Loss date]])-Earliest_Month)/4)</f>
        <v>25</v>
      </c>
      <c r="Y1634" s="17">
        <f>INT((YEAR(Table1[[#This Row],[Reporting date]])*12+MONTH(Table1[[#This Row],[Reporting date]])-Earliest_Month)/4)</f>
        <v>26</v>
      </c>
      <c r="Z1634" s="17">
        <f>Table1[[#This Row],[Reporting third]]-Table1[[#This Row],[Policy third]]</f>
        <v>1</v>
      </c>
      <c r="AA1634" s="71">
        <f>IF(Table1[[#This Row],[Overall amount]]=0,"N/A",Table1[[#This Row],[Outstanding]]/Table1[[#This Row],[Overall amount]])</f>
        <v>0.98013245033112584</v>
      </c>
      <c r="AB1634" s="17">
        <f>IF(MONTH(Table1[[#This Row],[Loss date]])&lt;Pol_Inc_Month_Shifted,YEAR(Table1[[#This Row],[Loss date]])-1,YEAR(Table1[[#This Row],[Loss date]]))</f>
        <v>2012</v>
      </c>
      <c r="AC1634" s="17">
        <f>IF(MONTH(Table1[[#This Row],[Reporting date]])&lt;Pol_Inc_Month_Shifted,YEAR(Table1[[#This Row],[Reporting date]])-1,YEAR(Table1[[#This Row],[Reporting date]]))</f>
        <v>2013</v>
      </c>
      <c r="AD1634" s="17">
        <f>Table1[[#This Row],[Reporting year (shifted)]]-Table1[[#This Row],[Policy Year (shifted)]]</f>
        <v>1</v>
      </c>
    </row>
    <row r="1635" spans="1:30" ht="13.9">
      <c r="A1635" s="8" t="s">
        <v>3405</v>
      </c>
      <c r="B1635" s="8" t="s">
        <v>1687</v>
      </c>
      <c r="C1635" s="8" t="s">
        <v>123</v>
      </c>
      <c r="D1635" s="9">
        <v>41517</v>
      </c>
      <c r="E1635" s="9">
        <v>41785</v>
      </c>
      <c r="F1635" s="17">
        <f>IF(MONTH(Table1[[#This Row],[Loss date]])&lt;Policy_Inception_Month,YEAR(Table1[[#This Row],[Loss date]])-1,YEAR(Table1[[#This Row],[Loss date]]))</f>
        <v>2013</v>
      </c>
      <c r="G1635" s="10" t="s">
        <v>125</v>
      </c>
      <c r="H1635" s="10" t="s">
        <v>2</v>
      </c>
      <c r="I1635" s="11">
        <v>0</v>
      </c>
      <c r="J1635" s="11">
        <v>8021.6732348284431</v>
      </c>
      <c r="K1635" s="11">
        <v>8021.6732348284431</v>
      </c>
      <c r="L1635" s="12">
        <v>0</v>
      </c>
      <c r="M1635" s="12">
        <v>0</v>
      </c>
      <c r="N1635" s="12">
        <v>8021.6732348284431</v>
      </c>
      <c r="O1635" s="70">
        <f>IF(Table1[[#This Row],[Overall amount]]=0,0,1)</f>
        <v>1</v>
      </c>
      <c r="P1635" s="70">
        <f>Table1[[#This Row],[Overall amount]]*Exchange_Rate</f>
        <v>8021.6732348284431</v>
      </c>
      <c r="Q1635" s="70">
        <f>Table1[[#This Row],[Overall (destination currency)]]*(1+Claims_Inflation)^((Revalue_at_date-Table1[[#This Row],[Loss date]])/365.25)</f>
        <v>8880</v>
      </c>
      <c r="R1635" s="70">
        <f>INT(Table1[[#This Row],[Reporting date]])-INT(Table1[[#This Row],[Loss date]])</f>
        <v>268</v>
      </c>
      <c r="S1635" s="69" t="s">
        <v>16</v>
      </c>
      <c r="T1635" s="70">
        <f>VLOOKUP(Table1[[#This Row],[Policy Year]],exposure_table,3,FALSE)</f>
        <v>1090.5865384615383</v>
      </c>
      <c r="U1635" s="17">
        <f>IF(MONTH(Table1[[#This Row],[Reporting date]])&lt;Policy_Inception_Month,YEAR(Table1[[#This Row],[Reporting date]])-1,YEAR(Table1[[#This Row],[Reporting date]]))</f>
        <v>2014</v>
      </c>
      <c r="V1635" s="17">
        <f>Table1[[#This Row],[Reporting year]]-Table1[[#This Row],[Policy Year]]</f>
        <v>1</v>
      </c>
      <c r="W1635" s="17">
        <f>INT(Table1[[#This Row],[Reporting date]])-INT(Table1[[#This Row],[Loss date]])</f>
        <v>268</v>
      </c>
      <c r="X1635" s="17">
        <f>INT((YEAR(Table1[[#This Row],[Loss date]])*12+MONTH(Table1[[#This Row],[Loss date]])-Earliest_Month)/4)</f>
        <v>25</v>
      </c>
      <c r="Y1635" s="17">
        <f>INT((YEAR(Table1[[#This Row],[Reporting date]])*12+MONTH(Table1[[#This Row],[Reporting date]])-Earliest_Month)/4)</f>
        <v>27</v>
      </c>
      <c r="Z1635" s="17">
        <f>Table1[[#This Row],[Reporting third]]-Table1[[#This Row],[Policy third]]</f>
        <v>2</v>
      </c>
      <c r="AA1635" s="71">
        <f>IF(Table1[[#This Row],[Overall amount]]=0,"N/A",Table1[[#This Row],[Outstanding]]/Table1[[#This Row],[Overall amount]])</f>
        <v>1</v>
      </c>
      <c r="AB1635" s="17">
        <f>IF(MONTH(Table1[[#This Row],[Loss date]])&lt;Pol_Inc_Month_Shifted,YEAR(Table1[[#This Row],[Loss date]])-1,YEAR(Table1[[#This Row],[Loss date]]))</f>
        <v>2012</v>
      </c>
      <c r="AC1635" s="17">
        <f>IF(MONTH(Table1[[#This Row],[Reporting date]])&lt;Pol_Inc_Month_Shifted,YEAR(Table1[[#This Row],[Reporting date]])-1,YEAR(Table1[[#This Row],[Reporting date]]))</f>
        <v>2013</v>
      </c>
      <c r="AD1635" s="17">
        <f>Table1[[#This Row],[Reporting year (shifted)]]-Table1[[#This Row],[Policy Year (shifted)]]</f>
        <v>1</v>
      </c>
    </row>
    <row r="1636" spans="1:30" ht="13.9">
      <c r="A1636" s="8" t="s">
        <v>3406</v>
      </c>
      <c r="B1636" s="8" t="s">
        <v>1688</v>
      </c>
      <c r="C1636" s="8" t="s">
        <v>123</v>
      </c>
      <c r="D1636" s="9">
        <v>41341</v>
      </c>
      <c r="E1636" s="9">
        <v>41787</v>
      </c>
      <c r="F1636" s="17">
        <f>IF(MONTH(Table1[[#This Row],[Loss date]])&lt;Policy_Inception_Month,YEAR(Table1[[#This Row],[Loss date]])-1,YEAR(Table1[[#This Row],[Loss date]]))</f>
        <v>2012</v>
      </c>
      <c r="G1636" s="10" t="s">
        <v>125</v>
      </c>
      <c r="H1636" s="10" t="s">
        <v>2</v>
      </c>
      <c r="I1636" s="11">
        <v>0</v>
      </c>
      <c r="J1636" s="11">
        <v>14611.74286874905</v>
      </c>
      <c r="K1636" s="11">
        <v>14611.74286874905</v>
      </c>
      <c r="L1636" s="12">
        <v>317.64658410324023</v>
      </c>
      <c r="M1636" s="12">
        <v>0</v>
      </c>
      <c r="N1636" s="12">
        <v>14929.389452852291</v>
      </c>
      <c r="O1636" s="70">
        <f>IF(Table1[[#This Row],[Overall amount]]=0,0,1)</f>
        <v>1</v>
      </c>
      <c r="P1636" s="70">
        <f>Table1[[#This Row],[Overall amount]]*Exchange_Rate</f>
        <v>14929.389452852291</v>
      </c>
      <c r="Q1636" s="70">
        <f>Table1[[#This Row],[Overall (destination currency)]]*(1+Claims_Inflation)^((Revalue_at_date-Table1[[#This Row],[Loss date]])/365.25)</f>
        <v>16920</v>
      </c>
      <c r="R1636" s="70">
        <f>INT(Table1[[#This Row],[Reporting date]])-INT(Table1[[#This Row],[Loss date]])</f>
        <v>446</v>
      </c>
      <c r="S1636" s="69" t="s">
        <v>16</v>
      </c>
      <c r="T1636" s="70">
        <f>VLOOKUP(Table1[[#This Row],[Policy Year]],exposure_table,3,FALSE)</f>
        <v>1057.54</v>
      </c>
      <c r="U1636" s="17">
        <f>IF(MONTH(Table1[[#This Row],[Reporting date]])&lt;Policy_Inception_Month,YEAR(Table1[[#This Row],[Reporting date]])-1,YEAR(Table1[[#This Row],[Reporting date]]))</f>
        <v>2014</v>
      </c>
      <c r="V1636" s="17">
        <f>Table1[[#This Row],[Reporting year]]-Table1[[#This Row],[Policy Year]]</f>
        <v>2</v>
      </c>
      <c r="W1636" s="17">
        <f>INT(Table1[[#This Row],[Reporting date]])-INT(Table1[[#This Row],[Loss date]])</f>
        <v>446</v>
      </c>
      <c r="X1636" s="17">
        <f>INT((YEAR(Table1[[#This Row],[Loss date]])*12+MONTH(Table1[[#This Row],[Loss date]])-Earliest_Month)/4)</f>
        <v>23</v>
      </c>
      <c r="Y1636" s="17">
        <f>INT((YEAR(Table1[[#This Row],[Reporting date]])*12+MONTH(Table1[[#This Row],[Reporting date]])-Earliest_Month)/4)</f>
        <v>27</v>
      </c>
      <c r="Z1636" s="17">
        <f>Table1[[#This Row],[Reporting third]]-Table1[[#This Row],[Policy third]]</f>
        <v>4</v>
      </c>
      <c r="AA1636" s="71">
        <f>IF(Table1[[#This Row],[Overall amount]]=0,"N/A",Table1[[#This Row],[Outstanding]]/Table1[[#This Row],[Overall amount]])</f>
        <v>0.97872340425531912</v>
      </c>
      <c r="AB1636" s="17">
        <f>IF(MONTH(Table1[[#This Row],[Loss date]])&lt;Pol_Inc_Month_Shifted,YEAR(Table1[[#This Row],[Loss date]])-1,YEAR(Table1[[#This Row],[Loss date]]))</f>
        <v>2012</v>
      </c>
      <c r="AC1636" s="17">
        <f>IF(MONTH(Table1[[#This Row],[Reporting date]])&lt;Pol_Inc_Month_Shifted,YEAR(Table1[[#This Row],[Reporting date]])-1,YEAR(Table1[[#This Row],[Reporting date]]))</f>
        <v>2013</v>
      </c>
      <c r="AD1636" s="17">
        <f>Table1[[#This Row],[Reporting year (shifted)]]-Table1[[#This Row],[Policy Year (shifted)]]</f>
        <v>1</v>
      </c>
    </row>
    <row r="1637" spans="1:30" ht="13.9">
      <c r="A1637" s="8" t="s">
        <v>3407</v>
      </c>
      <c r="B1637" s="8" t="s">
        <v>1689</v>
      </c>
      <c r="C1637" s="8" t="s">
        <v>123</v>
      </c>
      <c r="D1637" s="9">
        <v>41631</v>
      </c>
      <c r="E1637" s="9">
        <v>41786</v>
      </c>
      <c r="F1637" s="17">
        <f>IF(MONTH(Table1[[#This Row],[Loss date]])&lt;Policy_Inception_Month,YEAR(Table1[[#This Row],[Loss date]])-1,YEAR(Table1[[#This Row],[Loss date]]))</f>
        <v>2013</v>
      </c>
      <c r="G1637" s="10" t="s">
        <v>125</v>
      </c>
      <c r="H1637" s="10" t="s">
        <v>2</v>
      </c>
      <c r="I1637" s="11">
        <v>0</v>
      </c>
      <c r="J1637" s="11">
        <v>14088.239131736127</v>
      </c>
      <c r="K1637" s="11">
        <v>14088.239131736127</v>
      </c>
      <c r="L1637" s="12">
        <v>0</v>
      </c>
      <c r="M1637" s="12">
        <v>0</v>
      </c>
      <c r="N1637" s="12">
        <v>14088.239131736127</v>
      </c>
      <c r="O1637" s="70">
        <f>IF(Table1[[#This Row],[Overall amount]]=0,0,1)</f>
        <v>1</v>
      </c>
      <c r="P1637" s="70">
        <f>Table1[[#This Row],[Overall amount]]*Exchange_Rate</f>
        <v>14088.239131736127</v>
      </c>
      <c r="Q1637" s="70">
        <f>Table1[[#This Row],[Overall (destination currency)]]*(1+Claims_Inflation)^((Revalue_at_date-Table1[[#This Row],[Loss date]])/365.25)</f>
        <v>15360.000000000002</v>
      </c>
      <c r="R1637" s="70">
        <f>INT(Table1[[#This Row],[Reporting date]])-INT(Table1[[#This Row],[Loss date]])</f>
        <v>155</v>
      </c>
      <c r="S1637" s="69" t="s">
        <v>16</v>
      </c>
      <c r="T1637" s="70">
        <f>VLOOKUP(Table1[[#This Row],[Policy Year]],exposure_table,3,FALSE)</f>
        <v>1090.5865384615383</v>
      </c>
      <c r="U1637" s="17">
        <f>IF(MONTH(Table1[[#This Row],[Reporting date]])&lt;Policy_Inception_Month,YEAR(Table1[[#This Row],[Reporting date]])-1,YEAR(Table1[[#This Row],[Reporting date]]))</f>
        <v>2014</v>
      </c>
      <c r="V1637" s="17">
        <f>Table1[[#This Row],[Reporting year]]-Table1[[#This Row],[Policy Year]]</f>
        <v>1</v>
      </c>
      <c r="W1637" s="17">
        <f>INT(Table1[[#This Row],[Reporting date]])-INT(Table1[[#This Row],[Loss date]])</f>
        <v>155</v>
      </c>
      <c r="X1637" s="17">
        <f>INT((YEAR(Table1[[#This Row],[Loss date]])*12+MONTH(Table1[[#This Row],[Loss date]])-Earliest_Month)/4)</f>
        <v>26</v>
      </c>
      <c r="Y1637" s="17">
        <f>INT((YEAR(Table1[[#This Row],[Reporting date]])*12+MONTH(Table1[[#This Row],[Reporting date]])-Earliest_Month)/4)</f>
        <v>27</v>
      </c>
      <c r="Z1637" s="17">
        <f>Table1[[#This Row],[Reporting third]]-Table1[[#This Row],[Policy third]]</f>
        <v>1</v>
      </c>
      <c r="AA1637" s="71">
        <f>IF(Table1[[#This Row],[Overall amount]]=0,"N/A",Table1[[#This Row],[Outstanding]]/Table1[[#This Row],[Overall amount]])</f>
        <v>1</v>
      </c>
      <c r="AB1637" s="17">
        <f>IF(MONTH(Table1[[#This Row],[Loss date]])&lt;Pol_Inc_Month_Shifted,YEAR(Table1[[#This Row],[Loss date]])-1,YEAR(Table1[[#This Row],[Loss date]]))</f>
        <v>2013</v>
      </c>
      <c r="AC1637" s="17">
        <f>IF(MONTH(Table1[[#This Row],[Reporting date]])&lt;Pol_Inc_Month_Shifted,YEAR(Table1[[#This Row],[Reporting date]])-1,YEAR(Table1[[#This Row],[Reporting date]]))</f>
        <v>2013</v>
      </c>
      <c r="AD1637" s="17">
        <f>Table1[[#This Row],[Reporting year (shifted)]]-Table1[[#This Row],[Policy Year (shifted)]]</f>
        <v>0</v>
      </c>
    </row>
    <row r="1638" spans="1:30" ht="13.9">
      <c r="A1638" s="8" t="s">
        <v>3408</v>
      </c>
      <c r="B1638" s="8" t="s">
        <v>1690</v>
      </c>
      <c r="C1638" s="8" t="s">
        <v>123</v>
      </c>
      <c r="D1638" s="9">
        <v>41768</v>
      </c>
      <c r="E1638" s="9">
        <v>41792</v>
      </c>
      <c r="F1638" s="17">
        <f>IF(MONTH(Table1[[#This Row],[Loss date]])&lt;Policy_Inception_Month,YEAR(Table1[[#This Row],[Loss date]])-1,YEAR(Table1[[#This Row],[Loss date]]))</f>
        <v>2014</v>
      </c>
      <c r="G1638" s="10" t="s">
        <v>125</v>
      </c>
      <c r="H1638" s="10" t="s">
        <v>2</v>
      </c>
      <c r="I1638" s="11">
        <v>0</v>
      </c>
      <c r="J1638" s="11">
        <v>13594.020567229349</v>
      </c>
      <c r="K1638" s="11">
        <v>13594.020567229349</v>
      </c>
      <c r="L1638" s="12">
        <v>0</v>
      </c>
      <c r="M1638" s="12">
        <v>111.44249597688405</v>
      </c>
      <c r="N1638" s="12">
        <v>13482.578071252465</v>
      </c>
      <c r="O1638" s="70">
        <f>IF(Table1[[#This Row],[Overall amount]]=0,0,1)</f>
        <v>1</v>
      </c>
      <c r="P1638" s="70">
        <f>Table1[[#This Row],[Overall amount]]*Exchange_Rate</f>
        <v>13482.578071252465</v>
      </c>
      <c r="Q1638" s="70">
        <f>Table1[[#This Row],[Overall (destination currency)]]*(1+Claims_Inflation)^((Revalue_at_date-Table1[[#This Row],[Loss date]])/365.25)</f>
        <v>14433.1008</v>
      </c>
      <c r="R1638" s="70">
        <f>INT(Table1[[#This Row],[Reporting date]])-INT(Table1[[#This Row],[Loss date]])</f>
        <v>24</v>
      </c>
      <c r="S1638" s="69" t="s">
        <v>16</v>
      </c>
      <c r="T1638" s="70">
        <f>VLOOKUP(Table1[[#This Row],[Policy Year]],exposure_table,3,FALSE)</f>
        <v>1076.5070266272189</v>
      </c>
      <c r="U1638" s="17">
        <f>IF(MONTH(Table1[[#This Row],[Reporting date]])&lt;Policy_Inception_Month,YEAR(Table1[[#This Row],[Reporting date]])-1,YEAR(Table1[[#This Row],[Reporting date]]))</f>
        <v>2014</v>
      </c>
      <c r="V1638" s="17">
        <f>Table1[[#This Row],[Reporting year]]-Table1[[#This Row],[Policy Year]]</f>
        <v>0</v>
      </c>
      <c r="W1638" s="17">
        <f>INT(Table1[[#This Row],[Reporting date]])-INT(Table1[[#This Row],[Loss date]])</f>
        <v>24</v>
      </c>
      <c r="X1638" s="17">
        <f>INT((YEAR(Table1[[#This Row],[Loss date]])*12+MONTH(Table1[[#This Row],[Loss date]])-Earliest_Month)/4)</f>
        <v>27</v>
      </c>
      <c r="Y1638" s="17">
        <f>INT((YEAR(Table1[[#This Row],[Reporting date]])*12+MONTH(Table1[[#This Row],[Reporting date]])-Earliest_Month)/4)</f>
        <v>27</v>
      </c>
      <c r="Z1638" s="17">
        <f>Table1[[#This Row],[Reporting third]]-Table1[[#This Row],[Policy third]]</f>
        <v>0</v>
      </c>
      <c r="AA1638" s="71">
        <f>IF(Table1[[#This Row],[Overall amount]]=0,"N/A",Table1[[#This Row],[Outstanding]]/Table1[[#This Row],[Overall amount]])</f>
        <v>1.0082656666542507</v>
      </c>
      <c r="AB1638" s="17">
        <f>IF(MONTH(Table1[[#This Row],[Loss date]])&lt;Pol_Inc_Month_Shifted,YEAR(Table1[[#This Row],[Loss date]])-1,YEAR(Table1[[#This Row],[Loss date]]))</f>
        <v>2013</v>
      </c>
      <c r="AC1638" s="17">
        <f>IF(MONTH(Table1[[#This Row],[Reporting date]])&lt;Pol_Inc_Month_Shifted,YEAR(Table1[[#This Row],[Reporting date]])-1,YEAR(Table1[[#This Row],[Reporting date]]))</f>
        <v>2013</v>
      </c>
      <c r="AD1638" s="17">
        <f>Table1[[#This Row],[Reporting year (shifted)]]-Table1[[#This Row],[Policy Year (shifted)]]</f>
        <v>0</v>
      </c>
    </row>
    <row r="1639" spans="1:30" ht="13.9">
      <c r="A1639" s="8" t="s">
        <v>3409</v>
      </c>
      <c r="B1639" s="8" t="s">
        <v>1691</v>
      </c>
      <c r="C1639" s="8" t="s">
        <v>123</v>
      </c>
      <c r="D1639" s="9">
        <v>41621</v>
      </c>
      <c r="E1639" s="9">
        <v>41728</v>
      </c>
      <c r="F1639" s="17">
        <f>IF(MONTH(Table1[[#This Row],[Loss date]])&lt;Policy_Inception_Month,YEAR(Table1[[#This Row],[Loss date]])-1,YEAR(Table1[[#This Row],[Loss date]]))</f>
        <v>2013</v>
      </c>
      <c r="G1639" s="10" t="s">
        <v>126</v>
      </c>
      <c r="H1639" s="10" t="s">
        <v>2</v>
      </c>
      <c r="I1639" s="11">
        <v>0</v>
      </c>
      <c r="J1639" s="11">
        <v>11541.331428803058</v>
      </c>
      <c r="K1639" s="11">
        <v>11541.331428803058</v>
      </c>
      <c r="L1639" s="12">
        <v>0</v>
      </c>
      <c r="M1639" s="12">
        <v>0</v>
      </c>
      <c r="N1639" s="12">
        <v>11541.331428803058</v>
      </c>
      <c r="O1639" s="70">
        <f>IF(Table1[[#This Row],[Overall amount]]=0,0,1)</f>
        <v>1</v>
      </c>
      <c r="P1639" s="70">
        <f>Table1[[#This Row],[Overall amount]]*Exchange_Rate</f>
        <v>11541.331428803058</v>
      </c>
      <c r="Q1639" s="70">
        <f>Table1[[#This Row],[Overall (destination currency)]]*(1+Claims_Inflation)^((Revalue_at_date-Table1[[#This Row],[Loss date]])/365.25)</f>
        <v>12600</v>
      </c>
      <c r="R1639" s="70">
        <f>INT(Table1[[#This Row],[Reporting date]])-INT(Table1[[#This Row],[Loss date]])</f>
        <v>107</v>
      </c>
      <c r="S1639" s="69" t="s">
        <v>16</v>
      </c>
      <c r="T1639" s="70">
        <f>VLOOKUP(Table1[[#This Row],[Policy Year]],exposure_table,3,FALSE)</f>
        <v>1090.5865384615383</v>
      </c>
      <c r="U1639" s="17">
        <f>IF(MONTH(Table1[[#This Row],[Reporting date]])&lt;Policy_Inception_Month,YEAR(Table1[[#This Row],[Reporting date]])-1,YEAR(Table1[[#This Row],[Reporting date]]))</f>
        <v>2013</v>
      </c>
      <c r="V1639" s="17">
        <f>Table1[[#This Row],[Reporting year]]-Table1[[#This Row],[Policy Year]]</f>
        <v>0</v>
      </c>
      <c r="W1639" s="17">
        <f>INT(Table1[[#This Row],[Reporting date]])-INT(Table1[[#This Row],[Loss date]])</f>
        <v>107</v>
      </c>
      <c r="X1639" s="17">
        <f>INT((YEAR(Table1[[#This Row],[Loss date]])*12+MONTH(Table1[[#This Row],[Loss date]])-Earliest_Month)/4)</f>
        <v>26</v>
      </c>
      <c r="Y1639" s="17">
        <f>INT((YEAR(Table1[[#This Row],[Reporting date]])*12+MONTH(Table1[[#This Row],[Reporting date]])-Earliest_Month)/4)</f>
        <v>26</v>
      </c>
      <c r="Z1639" s="17">
        <f>Table1[[#This Row],[Reporting third]]-Table1[[#This Row],[Policy third]]</f>
        <v>0</v>
      </c>
      <c r="AA1639" s="71">
        <f>IF(Table1[[#This Row],[Overall amount]]=0,"N/A",Table1[[#This Row],[Outstanding]]/Table1[[#This Row],[Overall amount]])</f>
        <v>1</v>
      </c>
      <c r="AB1639" s="17">
        <f>IF(MONTH(Table1[[#This Row],[Loss date]])&lt;Pol_Inc_Month_Shifted,YEAR(Table1[[#This Row],[Loss date]])-1,YEAR(Table1[[#This Row],[Loss date]]))</f>
        <v>2013</v>
      </c>
      <c r="AC1639" s="17">
        <f>IF(MONTH(Table1[[#This Row],[Reporting date]])&lt;Pol_Inc_Month_Shifted,YEAR(Table1[[#This Row],[Reporting date]])-1,YEAR(Table1[[#This Row],[Reporting date]]))</f>
        <v>2013</v>
      </c>
      <c r="AD1639" s="17">
        <f>Table1[[#This Row],[Reporting year (shifted)]]-Table1[[#This Row],[Policy Year (shifted)]]</f>
        <v>0</v>
      </c>
    </row>
    <row r="1640" spans="1:30" ht="13.9">
      <c r="A1640" s="8" t="s">
        <v>3410</v>
      </c>
      <c r="B1640" s="8" t="s">
        <v>1692</v>
      </c>
      <c r="C1640" s="8" t="s">
        <v>123</v>
      </c>
      <c r="D1640" s="9">
        <v>41580</v>
      </c>
      <c r="E1640" s="9">
        <v>41735</v>
      </c>
      <c r="F1640" s="17">
        <f>IF(MONTH(Table1[[#This Row],[Loss date]])&lt;Policy_Inception_Month,YEAR(Table1[[#This Row],[Loss date]])-1,YEAR(Table1[[#This Row],[Loss date]]))</f>
        <v>2013</v>
      </c>
      <c r="G1640" s="10" t="s">
        <v>124</v>
      </c>
      <c r="H1640" s="10" t="s">
        <v>2</v>
      </c>
      <c r="I1640" s="11">
        <v>0</v>
      </c>
      <c r="J1640" s="11">
        <v>12024.8802486278</v>
      </c>
      <c r="K1640" s="11">
        <v>12024.8802486278</v>
      </c>
      <c r="L1640" s="12">
        <v>0</v>
      </c>
      <c r="M1640" s="12">
        <v>0</v>
      </c>
      <c r="N1640" s="12">
        <v>12024.8802486278</v>
      </c>
      <c r="O1640" s="70">
        <f>IF(Table1[[#This Row],[Overall amount]]=0,0,1)</f>
        <v>1</v>
      </c>
      <c r="P1640" s="70">
        <f>Table1[[#This Row],[Overall amount]]*Exchange_Rate</f>
        <v>12024.8802486278</v>
      </c>
      <c r="Q1640" s="70">
        <f>Table1[[#This Row],[Overall (destination currency)]]*(1+Claims_Inflation)^((Revalue_at_date-Table1[[#This Row],[Loss date]])/365.25)</f>
        <v>13200.000000000002</v>
      </c>
      <c r="R1640" s="70">
        <f>INT(Table1[[#This Row],[Reporting date]])-INT(Table1[[#This Row],[Loss date]])</f>
        <v>155</v>
      </c>
      <c r="S1640" s="69" t="s">
        <v>16</v>
      </c>
      <c r="T1640" s="70">
        <f>VLOOKUP(Table1[[#This Row],[Policy Year]],exposure_table,3,FALSE)</f>
        <v>1090.5865384615383</v>
      </c>
      <c r="U1640" s="17">
        <f>IF(MONTH(Table1[[#This Row],[Reporting date]])&lt;Policy_Inception_Month,YEAR(Table1[[#This Row],[Reporting date]])-1,YEAR(Table1[[#This Row],[Reporting date]]))</f>
        <v>2014</v>
      </c>
      <c r="V1640" s="17">
        <f>Table1[[#This Row],[Reporting year]]-Table1[[#This Row],[Policy Year]]</f>
        <v>1</v>
      </c>
      <c r="W1640" s="17">
        <f>INT(Table1[[#This Row],[Reporting date]])-INT(Table1[[#This Row],[Loss date]])</f>
        <v>155</v>
      </c>
      <c r="X1640" s="17">
        <f>INT((YEAR(Table1[[#This Row],[Loss date]])*12+MONTH(Table1[[#This Row],[Loss date]])-Earliest_Month)/4)</f>
        <v>25</v>
      </c>
      <c r="Y1640" s="17">
        <f>INT((YEAR(Table1[[#This Row],[Reporting date]])*12+MONTH(Table1[[#This Row],[Reporting date]])-Earliest_Month)/4)</f>
        <v>27</v>
      </c>
      <c r="Z1640" s="17">
        <f>Table1[[#This Row],[Reporting third]]-Table1[[#This Row],[Policy third]]</f>
        <v>2</v>
      </c>
      <c r="AA1640" s="71">
        <f>IF(Table1[[#This Row],[Overall amount]]=0,"N/A",Table1[[#This Row],[Outstanding]]/Table1[[#This Row],[Overall amount]])</f>
        <v>1</v>
      </c>
      <c r="AB1640" s="17">
        <f>IF(MONTH(Table1[[#This Row],[Loss date]])&lt;Pol_Inc_Month_Shifted,YEAR(Table1[[#This Row],[Loss date]])-1,YEAR(Table1[[#This Row],[Loss date]]))</f>
        <v>2012</v>
      </c>
      <c r="AC1640" s="17">
        <f>IF(MONTH(Table1[[#This Row],[Reporting date]])&lt;Pol_Inc_Month_Shifted,YEAR(Table1[[#This Row],[Reporting date]])-1,YEAR(Table1[[#This Row],[Reporting date]]))</f>
        <v>2013</v>
      </c>
      <c r="AD1640" s="17">
        <f>Table1[[#This Row],[Reporting year (shifted)]]-Table1[[#This Row],[Policy Year (shifted)]]</f>
        <v>1</v>
      </c>
    </row>
    <row r="1641" spans="1:30" ht="13.9">
      <c r="A1641" s="8" t="s">
        <v>3411</v>
      </c>
      <c r="B1641" s="8" t="s">
        <v>1693</v>
      </c>
      <c r="C1641" s="8" t="s">
        <v>123</v>
      </c>
      <c r="D1641" s="9">
        <v>41231</v>
      </c>
      <c r="E1641" s="9">
        <v>41778</v>
      </c>
      <c r="F1641" s="17">
        <f>IF(MONTH(Table1[[#This Row],[Loss date]])&lt;Policy_Inception_Month,YEAR(Table1[[#This Row],[Loss date]])-1,YEAR(Table1[[#This Row],[Loss date]]))</f>
        <v>2012</v>
      </c>
      <c r="G1641" s="10" t="s">
        <v>125</v>
      </c>
      <c r="H1641" s="10" t="s">
        <v>2</v>
      </c>
      <c r="I1641" s="11">
        <v>0</v>
      </c>
      <c r="J1641" s="11">
        <v>12311.855131122677</v>
      </c>
      <c r="K1641" s="11">
        <v>12311.855131122677</v>
      </c>
      <c r="L1641" s="12">
        <v>313.01326604549172</v>
      </c>
      <c r="M1641" s="12">
        <v>0</v>
      </c>
      <c r="N1641" s="12">
        <v>12624.868397168168</v>
      </c>
      <c r="O1641" s="70">
        <f>IF(Table1[[#This Row],[Overall amount]]=0,0,1)</f>
        <v>1</v>
      </c>
      <c r="P1641" s="70">
        <f>Table1[[#This Row],[Overall amount]]*Exchange_Rate</f>
        <v>12624.868397168168</v>
      </c>
      <c r="Q1641" s="70">
        <f>Table1[[#This Row],[Overall (destination currency)]]*(1+Claims_Inflation)^((Revalue_at_date-Table1[[#This Row],[Loss date]])/365.25)</f>
        <v>14520</v>
      </c>
      <c r="R1641" s="70">
        <f>INT(Table1[[#This Row],[Reporting date]])-INT(Table1[[#This Row],[Loss date]])</f>
        <v>547</v>
      </c>
      <c r="S1641" s="69" t="s">
        <v>16</v>
      </c>
      <c r="T1641" s="70">
        <f>VLOOKUP(Table1[[#This Row],[Policy Year]],exposure_table,3,FALSE)</f>
        <v>1057.54</v>
      </c>
      <c r="U1641" s="17">
        <f>IF(MONTH(Table1[[#This Row],[Reporting date]])&lt;Policy_Inception_Month,YEAR(Table1[[#This Row],[Reporting date]])-1,YEAR(Table1[[#This Row],[Reporting date]]))</f>
        <v>2014</v>
      </c>
      <c r="V1641" s="17">
        <f>Table1[[#This Row],[Reporting year]]-Table1[[#This Row],[Policy Year]]</f>
        <v>2</v>
      </c>
      <c r="W1641" s="17">
        <f>INT(Table1[[#This Row],[Reporting date]])-INT(Table1[[#This Row],[Loss date]])</f>
        <v>547</v>
      </c>
      <c r="X1641" s="17">
        <f>INT((YEAR(Table1[[#This Row],[Loss date]])*12+MONTH(Table1[[#This Row],[Loss date]])-Earliest_Month)/4)</f>
        <v>22</v>
      </c>
      <c r="Y1641" s="17">
        <f>INT((YEAR(Table1[[#This Row],[Reporting date]])*12+MONTH(Table1[[#This Row],[Reporting date]])-Earliest_Month)/4)</f>
        <v>27</v>
      </c>
      <c r="Z1641" s="17">
        <f>Table1[[#This Row],[Reporting third]]-Table1[[#This Row],[Policy third]]</f>
        <v>5</v>
      </c>
      <c r="AA1641" s="71">
        <f>IF(Table1[[#This Row],[Overall amount]]=0,"N/A",Table1[[#This Row],[Outstanding]]/Table1[[#This Row],[Overall amount]])</f>
        <v>0.97520661157024802</v>
      </c>
      <c r="AB1641" s="17">
        <f>IF(MONTH(Table1[[#This Row],[Loss date]])&lt;Pol_Inc_Month_Shifted,YEAR(Table1[[#This Row],[Loss date]])-1,YEAR(Table1[[#This Row],[Loss date]]))</f>
        <v>2011</v>
      </c>
      <c r="AC1641" s="17">
        <f>IF(MONTH(Table1[[#This Row],[Reporting date]])&lt;Pol_Inc_Month_Shifted,YEAR(Table1[[#This Row],[Reporting date]])-1,YEAR(Table1[[#This Row],[Reporting date]]))</f>
        <v>2013</v>
      </c>
      <c r="AD1641" s="17">
        <f>Table1[[#This Row],[Reporting year (shifted)]]-Table1[[#This Row],[Policy Year (shifted)]]</f>
        <v>2</v>
      </c>
    </row>
    <row r="1642" spans="1:30" ht="13.9">
      <c r="A1642" s="8" t="s">
        <v>3412</v>
      </c>
      <c r="B1642" s="8" t="s">
        <v>1694</v>
      </c>
      <c r="C1642" s="8" t="s">
        <v>123</v>
      </c>
      <c r="D1642" s="9">
        <v>40629</v>
      </c>
      <c r="E1642" s="9">
        <v>41721</v>
      </c>
      <c r="F1642" s="17">
        <f>IF(MONTH(Table1[[#This Row],[Loss date]])&lt;Policy_Inception_Month,YEAR(Table1[[#This Row],[Loss date]])-1,YEAR(Table1[[#This Row],[Loss date]]))</f>
        <v>2010</v>
      </c>
      <c r="G1642" s="10" t="s">
        <v>124</v>
      </c>
      <c r="H1642" s="10" t="s">
        <v>2</v>
      </c>
      <c r="I1642" s="11">
        <v>0</v>
      </c>
      <c r="J1642" s="11">
        <v>10831.038561791083</v>
      </c>
      <c r="K1642" s="11">
        <v>10831.038561791083</v>
      </c>
      <c r="L1642" s="12">
        <v>0</v>
      </c>
      <c r="M1642" s="12">
        <v>0</v>
      </c>
      <c r="N1642" s="12">
        <v>10831.038561791083</v>
      </c>
      <c r="O1642" s="70">
        <f>IF(Table1[[#This Row],[Overall amount]]=0,0,1)</f>
        <v>1</v>
      </c>
      <c r="P1642" s="70">
        <f>Table1[[#This Row],[Overall amount]]*Exchange_Rate</f>
        <v>10831.038561791083</v>
      </c>
      <c r="Q1642" s="70">
        <f>Table1[[#This Row],[Overall (destination currency)]]*(1+Claims_Inflation)^((Revalue_at_date-Table1[[#This Row],[Loss date]])/365.25)</f>
        <v>13500</v>
      </c>
      <c r="R1642" s="70">
        <f>INT(Table1[[#This Row],[Reporting date]])-INT(Table1[[#This Row],[Loss date]])</f>
        <v>1092</v>
      </c>
      <c r="S1642" s="69" t="s">
        <v>16</v>
      </c>
      <c r="T1642" s="70">
        <f>VLOOKUP(Table1[[#This Row],[Policy Year]],exposure_table,3,FALSE)</f>
        <v>837.11513600000012</v>
      </c>
      <c r="U1642" s="17">
        <f>IF(MONTH(Table1[[#This Row],[Reporting date]])&lt;Policy_Inception_Month,YEAR(Table1[[#This Row],[Reporting date]])-1,YEAR(Table1[[#This Row],[Reporting date]]))</f>
        <v>2013</v>
      </c>
      <c r="V1642" s="17">
        <f>Table1[[#This Row],[Reporting year]]-Table1[[#This Row],[Policy Year]]</f>
        <v>3</v>
      </c>
      <c r="W1642" s="17">
        <f>INT(Table1[[#This Row],[Reporting date]])-INT(Table1[[#This Row],[Loss date]])</f>
        <v>1092</v>
      </c>
      <c r="X1642" s="17">
        <f>INT((YEAR(Table1[[#This Row],[Loss date]])*12+MONTH(Table1[[#This Row],[Loss date]])-Earliest_Month)/4)</f>
        <v>17</v>
      </c>
      <c r="Y1642" s="17">
        <f>INT((YEAR(Table1[[#This Row],[Reporting date]])*12+MONTH(Table1[[#This Row],[Reporting date]])-Earliest_Month)/4)</f>
        <v>26</v>
      </c>
      <c r="Z1642" s="17">
        <f>Table1[[#This Row],[Reporting third]]-Table1[[#This Row],[Policy third]]</f>
        <v>9</v>
      </c>
      <c r="AA1642" s="71">
        <f>IF(Table1[[#This Row],[Overall amount]]=0,"N/A",Table1[[#This Row],[Outstanding]]/Table1[[#This Row],[Overall amount]])</f>
        <v>1</v>
      </c>
      <c r="AB1642" s="17">
        <f>IF(MONTH(Table1[[#This Row],[Loss date]])&lt;Pol_Inc_Month_Shifted,YEAR(Table1[[#This Row],[Loss date]])-1,YEAR(Table1[[#This Row],[Loss date]]))</f>
        <v>2010</v>
      </c>
      <c r="AC1642" s="17">
        <f>IF(MONTH(Table1[[#This Row],[Reporting date]])&lt;Pol_Inc_Month_Shifted,YEAR(Table1[[#This Row],[Reporting date]])-1,YEAR(Table1[[#This Row],[Reporting date]]))</f>
        <v>2013</v>
      </c>
      <c r="AD1642" s="17">
        <f>Table1[[#This Row],[Reporting year (shifted)]]-Table1[[#This Row],[Policy Year (shifted)]]</f>
        <v>3</v>
      </c>
    </row>
    <row r="1643" spans="1:30" ht="13.9">
      <c r="A1643" s="8" t="s">
        <v>3413</v>
      </c>
      <c r="B1643" s="8" t="s">
        <v>1695</v>
      </c>
      <c r="C1643" s="8" t="s">
        <v>123</v>
      </c>
      <c r="D1643" s="9">
        <v>41212</v>
      </c>
      <c r="E1643" s="9">
        <v>41800</v>
      </c>
      <c r="F1643" s="17">
        <f>IF(MONTH(Table1[[#This Row],[Loss date]])&lt;Policy_Inception_Month,YEAR(Table1[[#This Row],[Loss date]])-1,YEAR(Table1[[#This Row],[Loss date]]))</f>
        <v>2012</v>
      </c>
      <c r="G1643" s="10" t="s">
        <v>131</v>
      </c>
      <c r="H1643" s="10" t="s">
        <v>2</v>
      </c>
      <c r="I1643" s="11">
        <v>0</v>
      </c>
      <c r="J1643" s="11">
        <v>12280.64697253697</v>
      </c>
      <c r="K1643" s="11">
        <v>12280.64697253697</v>
      </c>
      <c r="L1643" s="12">
        <v>0</v>
      </c>
      <c r="M1643" s="12">
        <v>0</v>
      </c>
      <c r="N1643" s="12">
        <v>12280.64697253697</v>
      </c>
      <c r="O1643" s="70">
        <f>IF(Table1[[#This Row],[Overall amount]]=0,0,1)</f>
        <v>1</v>
      </c>
      <c r="P1643" s="70">
        <f>Table1[[#This Row],[Overall amount]]*Exchange_Rate</f>
        <v>12280.64697253697</v>
      </c>
      <c r="Q1643" s="70">
        <f>Table1[[#This Row],[Overall (destination currency)]]*(1+Claims_Inflation)^((Revalue_at_date-Table1[[#This Row],[Loss date]])/365.25)</f>
        <v>14160</v>
      </c>
      <c r="R1643" s="70">
        <f>INT(Table1[[#This Row],[Reporting date]])-INT(Table1[[#This Row],[Loss date]])</f>
        <v>588</v>
      </c>
      <c r="S1643" s="69" t="s">
        <v>16</v>
      </c>
      <c r="T1643" s="70">
        <f>VLOOKUP(Table1[[#This Row],[Policy Year]],exposure_table,3,FALSE)</f>
        <v>1057.54</v>
      </c>
      <c r="U1643" s="17">
        <f>IF(MONTH(Table1[[#This Row],[Reporting date]])&lt;Policy_Inception_Month,YEAR(Table1[[#This Row],[Reporting date]])-1,YEAR(Table1[[#This Row],[Reporting date]]))</f>
        <v>2014</v>
      </c>
      <c r="V1643" s="17">
        <f>Table1[[#This Row],[Reporting year]]-Table1[[#This Row],[Policy Year]]</f>
        <v>2</v>
      </c>
      <c r="W1643" s="17">
        <f>INT(Table1[[#This Row],[Reporting date]])-INT(Table1[[#This Row],[Loss date]])</f>
        <v>588</v>
      </c>
      <c r="X1643" s="17">
        <f>INT((YEAR(Table1[[#This Row],[Loss date]])*12+MONTH(Table1[[#This Row],[Loss date]])-Earliest_Month)/4)</f>
        <v>22</v>
      </c>
      <c r="Y1643" s="17">
        <f>INT((YEAR(Table1[[#This Row],[Reporting date]])*12+MONTH(Table1[[#This Row],[Reporting date]])-Earliest_Month)/4)</f>
        <v>27</v>
      </c>
      <c r="Z1643" s="17">
        <f>Table1[[#This Row],[Reporting third]]-Table1[[#This Row],[Policy third]]</f>
        <v>5</v>
      </c>
      <c r="AA1643" s="71">
        <f>IF(Table1[[#This Row],[Overall amount]]=0,"N/A",Table1[[#This Row],[Outstanding]]/Table1[[#This Row],[Overall amount]])</f>
        <v>1</v>
      </c>
      <c r="AB1643" s="17">
        <f>IF(MONTH(Table1[[#This Row],[Loss date]])&lt;Pol_Inc_Month_Shifted,YEAR(Table1[[#This Row],[Loss date]])-1,YEAR(Table1[[#This Row],[Loss date]]))</f>
        <v>2011</v>
      </c>
      <c r="AC1643" s="17">
        <f>IF(MONTH(Table1[[#This Row],[Reporting date]])&lt;Pol_Inc_Month_Shifted,YEAR(Table1[[#This Row],[Reporting date]])-1,YEAR(Table1[[#This Row],[Reporting date]]))</f>
        <v>2013</v>
      </c>
      <c r="AD1643" s="17">
        <f>Table1[[#This Row],[Reporting year (shifted)]]-Table1[[#This Row],[Policy Year (shifted)]]</f>
        <v>2</v>
      </c>
    </row>
    <row r="1644" spans="1:30" ht="13.9">
      <c r="A1644" s="8" t="s">
        <v>3414</v>
      </c>
      <c r="B1644" s="8" t="s">
        <v>1696</v>
      </c>
      <c r="C1644" s="8" t="s">
        <v>123</v>
      </c>
      <c r="D1644" s="9">
        <v>41618</v>
      </c>
      <c r="E1644" s="9">
        <v>41720</v>
      </c>
      <c r="F1644" s="17">
        <f>IF(MONTH(Table1[[#This Row],[Loss date]])&lt;Policy_Inception_Month,YEAR(Table1[[#This Row],[Loss date]])-1,YEAR(Table1[[#This Row],[Loss date]]))</f>
        <v>2013</v>
      </c>
      <c r="G1644" s="10" t="s">
        <v>126</v>
      </c>
      <c r="H1644" s="10" t="s">
        <v>2</v>
      </c>
      <c r="I1644" s="11">
        <v>0</v>
      </c>
      <c r="J1644" s="11">
        <v>12965.06150982765</v>
      </c>
      <c r="K1644" s="11">
        <v>12965.06150982765</v>
      </c>
      <c r="L1644" s="12">
        <v>0</v>
      </c>
      <c r="M1644" s="12">
        <v>0</v>
      </c>
      <c r="N1644" s="12">
        <v>12965.06150982765</v>
      </c>
      <c r="O1644" s="70">
        <f>IF(Table1[[#This Row],[Overall amount]]=0,0,1)</f>
        <v>1</v>
      </c>
      <c r="P1644" s="70">
        <f>Table1[[#This Row],[Overall amount]]*Exchange_Rate</f>
        <v>12965.06150982765</v>
      </c>
      <c r="Q1644" s="70">
        <f>Table1[[#This Row],[Overall (destination currency)]]*(1+Claims_Inflation)^((Revalue_at_date-Table1[[#This Row],[Loss date]])/365.25)</f>
        <v>14160</v>
      </c>
      <c r="R1644" s="70">
        <f>INT(Table1[[#This Row],[Reporting date]])-INT(Table1[[#This Row],[Loss date]])</f>
        <v>102</v>
      </c>
      <c r="S1644" s="69" t="s">
        <v>16</v>
      </c>
      <c r="T1644" s="70">
        <f>VLOOKUP(Table1[[#This Row],[Policy Year]],exposure_table,3,FALSE)</f>
        <v>1090.5865384615383</v>
      </c>
      <c r="U1644" s="17">
        <f>IF(MONTH(Table1[[#This Row],[Reporting date]])&lt;Policy_Inception_Month,YEAR(Table1[[#This Row],[Reporting date]])-1,YEAR(Table1[[#This Row],[Reporting date]]))</f>
        <v>2013</v>
      </c>
      <c r="V1644" s="17">
        <f>Table1[[#This Row],[Reporting year]]-Table1[[#This Row],[Policy Year]]</f>
        <v>0</v>
      </c>
      <c r="W1644" s="17">
        <f>INT(Table1[[#This Row],[Reporting date]])-INT(Table1[[#This Row],[Loss date]])</f>
        <v>102</v>
      </c>
      <c r="X1644" s="17">
        <f>INT((YEAR(Table1[[#This Row],[Loss date]])*12+MONTH(Table1[[#This Row],[Loss date]])-Earliest_Month)/4)</f>
        <v>26</v>
      </c>
      <c r="Y1644" s="17">
        <f>INT((YEAR(Table1[[#This Row],[Reporting date]])*12+MONTH(Table1[[#This Row],[Reporting date]])-Earliest_Month)/4)</f>
        <v>26</v>
      </c>
      <c r="Z1644" s="17">
        <f>Table1[[#This Row],[Reporting third]]-Table1[[#This Row],[Policy third]]</f>
        <v>0</v>
      </c>
      <c r="AA1644" s="71">
        <f>IF(Table1[[#This Row],[Overall amount]]=0,"N/A",Table1[[#This Row],[Outstanding]]/Table1[[#This Row],[Overall amount]])</f>
        <v>1</v>
      </c>
      <c r="AB1644" s="17">
        <f>IF(MONTH(Table1[[#This Row],[Loss date]])&lt;Pol_Inc_Month_Shifted,YEAR(Table1[[#This Row],[Loss date]])-1,YEAR(Table1[[#This Row],[Loss date]]))</f>
        <v>2013</v>
      </c>
      <c r="AC1644" s="17">
        <f>IF(MONTH(Table1[[#This Row],[Reporting date]])&lt;Pol_Inc_Month_Shifted,YEAR(Table1[[#This Row],[Reporting date]])-1,YEAR(Table1[[#This Row],[Reporting date]]))</f>
        <v>2013</v>
      </c>
      <c r="AD1644" s="17">
        <f>Table1[[#This Row],[Reporting year (shifted)]]-Table1[[#This Row],[Policy Year (shifted)]]</f>
        <v>0</v>
      </c>
    </row>
    <row r="1645" spans="1:30" ht="13.9">
      <c r="A1645" s="8" t="s">
        <v>3415</v>
      </c>
      <c r="B1645" s="8" t="s">
        <v>1697</v>
      </c>
      <c r="C1645" s="8" t="s">
        <v>123</v>
      </c>
      <c r="D1645" s="9">
        <v>41625</v>
      </c>
      <c r="E1645" s="9">
        <v>41765</v>
      </c>
      <c r="F1645" s="17">
        <f>IF(MONTH(Table1[[#This Row],[Loss date]])&lt;Policy_Inception_Month,YEAR(Table1[[#This Row],[Loss date]])-1,YEAR(Table1[[#This Row],[Loss date]]))</f>
        <v>2013</v>
      </c>
      <c r="G1645" s="10" t="s">
        <v>125</v>
      </c>
      <c r="H1645" s="10" t="s">
        <v>2</v>
      </c>
      <c r="I1645" s="11">
        <v>0</v>
      </c>
      <c r="J1645" s="11">
        <v>19533.970697903173</v>
      </c>
      <c r="K1645" s="11">
        <v>19533.970697903173</v>
      </c>
      <c r="L1645" s="12">
        <v>0</v>
      </c>
      <c r="M1645" s="12">
        <v>0</v>
      </c>
      <c r="N1645" s="12">
        <v>19533.970697903173</v>
      </c>
      <c r="O1645" s="70">
        <f>IF(Table1[[#This Row],[Overall amount]]=0,0,1)</f>
        <v>1</v>
      </c>
      <c r="P1645" s="70">
        <f>Table1[[#This Row],[Overall amount]]*Exchange_Rate</f>
        <v>19533.970697903173</v>
      </c>
      <c r="Q1645" s="70">
        <f>Table1[[#This Row],[Overall (destination currency)]]*(1+Claims_Inflation)^((Revalue_at_date-Table1[[#This Row],[Loss date]])/365.25)</f>
        <v>21314.399999999998</v>
      </c>
      <c r="R1645" s="70">
        <f>INT(Table1[[#This Row],[Reporting date]])-INT(Table1[[#This Row],[Loss date]])</f>
        <v>140</v>
      </c>
      <c r="S1645" s="69" t="s">
        <v>16</v>
      </c>
      <c r="T1645" s="70">
        <f>VLOOKUP(Table1[[#This Row],[Policy Year]],exposure_table,3,FALSE)</f>
        <v>1090.5865384615383</v>
      </c>
      <c r="U1645" s="17">
        <f>IF(MONTH(Table1[[#This Row],[Reporting date]])&lt;Policy_Inception_Month,YEAR(Table1[[#This Row],[Reporting date]])-1,YEAR(Table1[[#This Row],[Reporting date]]))</f>
        <v>2014</v>
      </c>
      <c r="V1645" s="17">
        <f>Table1[[#This Row],[Reporting year]]-Table1[[#This Row],[Policy Year]]</f>
        <v>1</v>
      </c>
      <c r="W1645" s="17">
        <f>INT(Table1[[#This Row],[Reporting date]])-INT(Table1[[#This Row],[Loss date]])</f>
        <v>140</v>
      </c>
      <c r="X1645" s="17">
        <f>INT((YEAR(Table1[[#This Row],[Loss date]])*12+MONTH(Table1[[#This Row],[Loss date]])-Earliest_Month)/4)</f>
        <v>26</v>
      </c>
      <c r="Y1645" s="17">
        <f>INT((YEAR(Table1[[#This Row],[Reporting date]])*12+MONTH(Table1[[#This Row],[Reporting date]])-Earliest_Month)/4)</f>
        <v>27</v>
      </c>
      <c r="Z1645" s="17">
        <f>Table1[[#This Row],[Reporting third]]-Table1[[#This Row],[Policy third]]</f>
        <v>1</v>
      </c>
      <c r="AA1645" s="71">
        <f>IF(Table1[[#This Row],[Overall amount]]=0,"N/A",Table1[[#This Row],[Outstanding]]/Table1[[#This Row],[Overall amount]])</f>
        <v>1</v>
      </c>
      <c r="AB1645" s="17">
        <f>IF(MONTH(Table1[[#This Row],[Loss date]])&lt;Pol_Inc_Month_Shifted,YEAR(Table1[[#This Row],[Loss date]])-1,YEAR(Table1[[#This Row],[Loss date]]))</f>
        <v>2013</v>
      </c>
      <c r="AC1645" s="17">
        <f>IF(MONTH(Table1[[#This Row],[Reporting date]])&lt;Pol_Inc_Month_Shifted,YEAR(Table1[[#This Row],[Reporting date]])-1,YEAR(Table1[[#This Row],[Reporting date]]))</f>
        <v>2013</v>
      </c>
      <c r="AD1645" s="17">
        <f>Table1[[#This Row],[Reporting year (shifted)]]-Table1[[#This Row],[Policy Year (shifted)]]</f>
        <v>0</v>
      </c>
    </row>
    <row r="1646" spans="1:30" ht="13.9">
      <c r="A1646" s="8" t="s">
        <v>3416</v>
      </c>
      <c r="B1646" s="8" t="s">
        <v>1698</v>
      </c>
      <c r="C1646" s="8" t="s">
        <v>123</v>
      </c>
      <c r="D1646" s="9">
        <v>41799</v>
      </c>
      <c r="E1646" s="9">
        <v>41807</v>
      </c>
      <c r="F1646" s="17">
        <f>IF(MONTH(Table1[[#This Row],[Loss date]])&lt;Policy_Inception_Month,YEAR(Table1[[#This Row],[Loss date]])-1,YEAR(Table1[[#This Row],[Loss date]]))</f>
        <v>2014</v>
      </c>
      <c r="G1646" s="10" t="s">
        <v>148</v>
      </c>
      <c r="H1646" s="10" t="s">
        <v>2</v>
      </c>
      <c r="I1646" s="11">
        <v>0</v>
      </c>
      <c r="J1646" s="11">
        <v>1.1256229841593517</v>
      </c>
      <c r="K1646" s="11">
        <v>1.1256229841593517</v>
      </c>
      <c r="L1646" s="12">
        <v>0</v>
      </c>
      <c r="M1646" s="12">
        <v>0</v>
      </c>
      <c r="N1646" s="12">
        <v>1.1256229841593517</v>
      </c>
      <c r="O1646" s="70">
        <f>IF(Table1[[#This Row],[Overall amount]]=0,0,1)</f>
        <v>1</v>
      </c>
      <c r="P1646" s="70">
        <f>Table1[[#This Row],[Overall amount]]*Exchange_Rate</f>
        <v>1.1256229841593517</v>
      </c>
      <c r="Q1646" s="70">
        <f>Table1[[#This Row],[Overall (destination currency)]]*(1+Claims_Inflation)^((Revalue_at_date-Table1[[#This Row],[Loss date]])/365.25)</f>
        <v>1.2</v>
      </c>
      <c r="R1646" s="70">
        <f>INT(Table1[[#This Row],[Reporting date]])-INT(Table1[[#This Row],[Loss date]])</f>
        <v>8</v>
      </c>
      <c r="S1646" s="69" t="s">
        <v>16</v>
      </c>
      <c r="T1646" s="70">
        <f>VLOOKUP(Table1[[#This Row],[Policy Year]],exposure_table,3,FALSE)</f>
        <v>1076.5070266272189</v>
      </c>
      <c r="U1646" s="17">
        <f>IF(MONTH(Table1[[#This Row],[Reporting date]])&lt;Policy_Inception_Month,YEAR(Table1[[#This Row],[Reporting date]])-1,YEAR(Table1[[#This Row],[Reporting date]]))</f>
        <v>2014</v>
      </c>
      <c r="V1646" s="17">
        <f>Table1[[#This Row],[Reporting year]]-Table1[[#This Row],[Policy Year]]</f>
        <v>0</v>
      </c>
      <c r="W1646" s="17">
        <f>INT(Table1[[#This Row],[Reporting date]])-INT(Table1[[#This Row],[Loss date]])</f>
        <v>8</v>
      </c>
      <c r="X1646" s="17">
        <f>INT((YEAR(Table1[[#This Row],[Loss date]])*12+MONTH(Table1[[#This Row],[Loss date]])-Earliest_Month)/4)</f>
        <v>27</v>
      </c>
      <c r="Y1646" s="17">
        <f>INT((YEAR(Table1[[#This Row],[Reporting date]])*12+MONTH(Table1[[#This Row],[Reporting date]])-Earliest_Month)/4)</f>
        <v>27</v>
      </c>
      <c r="Z1646" s="17">
        <f>Table1[[#This Row],[Reporting third]]-Table1[[#This Row],[Policy third]]</f>
        <v>0</v>
      </c>
      <c r="AA1646" s="71">
        <f>IF(Table1[[#This Row],[Overall amount]]=0,"N/A",Table1[[#This Row],[Outstanding]]/Table1[[#This Row],[Overall amount]])</f>
        <v>1</v>
      </c>
      <c r="AB1646" s="17">
        <f>IF(MONTH(Table1[[#This Row],[Loss date]])&lt;Pol_Inc_Month_Shifted,YEAR(Table1[[#This Row],[Loss date]])-1,YEAR(Table1[[#This Row],[Loss date]]))</f>
        <v>2013</v>
      </c>
      <c r="AC1646" s="17">
        <f>IF(MONTH(Table1[[#This Row],[Reporting date]])&lt;Pol_Inc_Month_Shifted,YEAR(Table1[[#This Row],[Reporting date]])-1,YEAR(Table1[[#This Row],[Reporting date]]))</f>
        <v>2013</v>
      </c>
      <c r="AD1646" s="17">
        <f>Table1[[#This Row],[Reporting year (shifted)]]-Table1[[#This Row],[Policy Year (shifted)]]</f>
        <v>0</v>
      </c>
    </row>
    <row r="1647" spans="1:30" ht="13.9">
      <c r="A1647" s="8" t="s">
        <v>3417</v>
      </c>
      <c r="B1647" s="8" t="s">
        <v>1699</v>
      </c>
      <c r="C1647" s="8" t="s">
        <v>123</v>
      </c>
      <c r="D1647" s="9">
        <v>40943</v>
      </c>
      <c r="E1647" s="9">
        <v>41824</v>
      </c>
      <c r="F1647" s="17">
        <f>IF(MONTH(Table1[[#This Row],[Loss date]])&lt;Policy_Inception_Month,YEAR(Table1[[#This Row],[Loss date]])-1,YEAR(Table1[[#This Row],[Loss date]]))</f>
        <v>2011</v>
      </c>
      <c r="G1647" s="10" t="s">
        <v>125</v>
      </c>
      <c r="H1647" s="10" t="s">
        <v>2</v>
      </c>
      <c r="I1647" s="11">
        <v>0</v>
      </c>
      <c r="J1647" s="11">
        <v>32127.99944444303</v>
      </c>
      <c r="K1647" s="11">
        <v>32127.99944444303</v>
      </c>
      <c r="L1647" s="12">
        <v>301.19999479165341</v>
      </c>
      <c r="M1647" s="12">
        <v>0</v>
      </c>
      <c r="N1647" s="12">
        <v>32429.199439234682</v>
      </c>
      <c r="O1647" s="70">
        <f>IF(Table1[[#This Row],[Overall amount]]=0,0,1)</f>
        <v>1</v>
      </c>
      <c r="P1647" s="70">
        <f>Table1[[#This Row],[Overall amount]]*Exchange_Rate</f>
        <v>32429.199439234682</v>
      </c>
      <c r="Q1647" s="70">
        <f>Table1[[#This Row],[Overall (destination currency)]]*(1+Claims_Inflation)^((Revalue_at_date-Table1[[#This Row],[Loss date]])/365.25)</f>
        <v>38759.999999999993</v>
      </c>
      <c r="R1647" s="70">
        <f>INT(Table1[[#This Row],[Reporting date]])-INT(Table1[[#This Row],[Loss date]])</f>
        <v>881</v>
      </c>
      <c r="S1647" s="69" t="s">
        <v>16</v>
      </c>
      <c r="T1647" s="70">
        <f>VLOOKUP(Table1[[#This Row],[Policy Year]],exposure_table,3,FALSE)</f>
        <v>870.52680000000009</v>
      </c>
      <c r="U1647" s="17">
        <f>IF(MONTH(Table1[[#This Row],[Reporting date]])&lt;Policy_Inception_Month,YEAR(Table1[[#This Row],[Reporting date]])-1,YEAR(Table1[[#This Row],[Reporting date]]))</f>
        <v>2014</v>
      </c>
      <c r="V1647" s="17">
        <f>Table1[[#This Row],[Reporting year]]-Table1[[#This Row],[Policy Year]]</f>
        <v>3</v>
      </c>
      <c r="W1647" s="17">
        <f>INT(Table1[[#This Row],[Reporting date]])-INT(Table1[[#This Row],[Loss date]])</f>
        <v>881</v>
      </c>
      <c r="X1647" s="17">
        <f>INT((YEAR(Table1[[#This Row],[Loss date]])*12+MONTH(Table1[[#This Row],[Loss date]])-Earliest_Month)/4)</f>
        <v>20</v>
      </c>
      <c r="Y1647" s="17">
        <f>INT((YEAR(Table1[[#This Row],[Reporting date]])*12+MONTH(Table1[[#This Row],[Reporting date]])-Earliest_Month)/4)</f>
        <v>27</v>
      </c>
      <c r="Z1647" s="17">
        <f>Table1[[#This Row],[Reporting third]]-Table1[[#This Row],[Policy third]]</f>
        <v>7</v>
      </c>
      <c r="AA1647" s="71">
        <f>IF(Table1[[#This Row],[Overall amount]]=0,"N/A",Table1[[#This Row],[Outstanding]]/Table1[[#This Row],[Overall amount]])</f>
        <v>0.99071207430340558</v>
      </c>
      <c r="AB1647" s="17">
        <f>IF(MONTH(Table1[[#This Row],[Loss date]])&lt;Pol_Inc_Month_Shifted,YEAR(Table1[[#This Row],[Loss date]])-1,YEAR(Table1[[#This Row],[Loss date]]))</f>
        <v>2011</v>
      </c>
      <c r="AC1647" s="17">
        <f>IF(MONTH(Table1[[#This Row],[Reporting date]])&lt;Pol_Inc_Month_Shifted,YEAR(Table1[[#This Row],[Reporting date]])-1,YEAR(Table1[[#This Row],[Reporting date]]))</f>
        <v>2013</v>
      </c>
      <c r="AD1647" s="17">
        <f>Table1[[#This Row],[Reporting year (shifted)]]-Table1[[#This Row],[Policy Year (shifted)]]</f>
        <v>2</v>
      </c>
    </row>
    <row r="1648" spans="1:30" ht="13.9">
      <c r="A1648" s="8" t="s">
        <v>3418</v>
      </c>
      <c r="B1648" s="8" t="s">
        <v>1700</v>
      </c>
      <c r="C1648" s="8" t="s">
        <v>123</v>
      </c>
      <c r="D1648" s="9">
        <v>41494</v>
      </c>
      <c r="E1648" s="9">
        <v>41826</v>
      </c>
      <c r="F1648" s="17">
        <f>IF(MONTH(Table1[[#This Row],[Loss date]])&lt;Policy_Inception_Month,YEAR(Table1[[#This Row],[Loss date]])-1,YEAR(Table1[[#This Row],[Loss date]]))</f>
        <v>2013</v>
      </c>
      <c r="G1648" s="10" t="s">
        <v>126</v>
      </c>
      <c r="H1648" s="10" t="s">
        <v>2</v>
      </c>
      <c r="I1648" s="11">
        <v>0</v>
      </c>
      <c r="J1648" s="11">
        <v>6916.3811572664918</v>
      </c>
      <c r="K1648" s="11">
        <v>6916.3811572664918</v>
      </c>
      <c r="L1648" s="12">
        <v>0</v>
      </c>
      <c r="M1648" s="12">
        <v>0</v>
      </c>
      <c r="N1648" s="12">
        <v>6916.3811572664918</v>
      </c>
      <c r="O1648" s="70">
        <f>IF(Table1[[#This Row],[Overall amount]]=0,0,1)</f>
        <v>1</v>
      </c>
      <c r="P1648" s="70">
        <f>Table1[[#This Row],[Overall amount]]*Exchange_Rate</f>
        <v>6916.3811572664918</v>
      </c>
      <c r="Q1648" s="70">
        <f>Table1[[#This Row],[Overall (destination currency)]]*(1+Claims_Inflation)^((Revalue_at_date-Table1[[#This Row],[Loss date]])/365.25)</f>
        <v>7680.0000000000009</v>
      </c>
      <c r="R1648" s="70">
        <f>INT(Table1[[#This Row],[Reporting date]])-INT(Table1[[#This Row],[Loss date]])</f>
        <v>332</v>
      </c>
      <c r="S1648" s="69" t="s">
        <v>16</v>
      </c>
      <c r="T1648" s="70">
        <f>VLOOKUP(Table1[[#This Row],[Policy Year]],exposure_table,3,FALSE)</f>
        <v>1090.5865384615383</v>
      </c>
      <c r="U1648" s="17">
        <f>IF(MONTH(Table1[[#This Row],[Reporting date]])&lt;Policy_Inception_Month,YEAR(Table1[[#This Row],[Reporting date]])-1,YEAR(Table1[[#This Row],[Reporting date]]))</f>
        <v>2014</v>
      </c>
      <c r="V1648" s="17">
        <f>Table1[[#This Row],[Reporting year]]-Table1[[#This Row],[Policy Year]]</f>
        <v>1</v>
      </c>
      <c r="W1648" s="17">
        <f>INT(Table1[[#This Row],[Reporting date]])-INT(Table1[[#This Row],[Loss date]])</f>
        <v>332</v>
      </c>
      <c r="X1648" s="17">
        <f>INT((YEAR(Table1[[#This Row],[Loss date]])*12+MONTH(Table1[[#This Row],[Loss date]])-Earliest_Month)/4)</f>
        <v>25</v>
      </c>
      <c r="Y1648" s="17">
        <f>INT((YEAR(Table1[[#This Row],[Reporting date]])*12+MONTH(Table1[[#This Row],[Reporting date]])-Earliest_Month)/4)</f>
        <v>27</v>
      </c>
      <c r="Z1648" s="17">
        <f>Table1[[#This Row],[Reporting third]]-Table1[[#This Row],[Policy third]]</f>
        <v>2</v>
      </c>
      <c r="AA1648" s="71">
        <f>IF(Table1[[#This Row],[Overall amount]]=0,"N/A",Table1[[#This Row],[Outstanding]]/Table1[[#This Row],[Overall amount]])</f>
        <v>1</v>
      </c>
      <c r="AB1648" s="17">
        <f>IF(MONTH(Table1[[#This Row],[Loss date]])&lt;Pol_Inc_Month_Shifted,YEAR(Table1[[#This Row],[Loss date]])-1,YEAR(Table1[[#This Row],[Loss date]]))</f>
        <v>2012</v>
      </c>
      <c r="AC1648" s="17">
        <f>IF(MONTH(Table1[[#This Row],[Reporting date]])&lt;Pol_Inc_Month_Shifted,YEAR(Table1[[#This Row],[Reporting date]])-1,YEAR(Table1[[#This Row],[Reporting date]]))</f>
        <v>2013</v>
      </c>
      <c r="AD1648" s="17">
        <f>Table1[[#This Row],[Reporting year (shifted)]]-Table1[[#This Row],[Policy Year (shifted)]]</f>
        <v>1</v>
      </c>
    </row>
    <row r="1649" spans="1:30" ht="13.9">
      <c r="A1649" s="8" t="s">
        <v>3419</v>
      </c>
      <c r="B1649" s="8" t="s">
        <v>1701</v>
      </c>
      <c r="C1649" s="8" t="s">
        <v>123</v>
      </c>
      <c r="D1649" s="9">
        <v>41205</v>
      </c>
      <c r="E1649" s="9">
        <v>41841</v>
      </c>
      <c r="F1649" s="17">
        <f>IF(MONTH(Table1[[#This Row],[Loss date]])&lt;Policy_Inception_Month,YEAR(Table1[[#This Row],[Loss date]])-1,YEAR(Table1[[#This Row],[Loss date]]))</f>
        <v>2012</v>
      </c>
      <c r="G1649" s="10" t="s">
        <v>125</v>
      </c>
      <c r="H1649" s="10" t="s">
        <v>2</v>
      </c>
      <c r="I1649" s="11">
        <v>0</v>
      </c>
      <c r="J1649" s="11">
        <v>13308.929281686524</v>
      </c>
      <c r="K1649" s="11">
        <v>13308.929281686524</v>
      </c>
      <c r="L1649" s="12">
        <v>0</v>
      </c>
      <c r="M1649" s="12">
        <v>0</v>
      </c>
      <c r="N1649" s="12">
        <v>13308.929281686524</v>
      </c>
      <c r="O1649" s="70">
        <f>IF(Table1[[#This Row],[Overall amount]]=0,0,1)</f>
        <v>1</v>
      </c>
      <c r="P1649" s="70">
        <f>Table1[[#This Row],[Overall amount]]*Exchange_Rate</f>
        <v>13308.929281686524</v>
      </c>
      <c r="Q1649" s="70">
        <f>Table1[[#This Row],[Overall (destination currency)]]*(1+Claims_Inflation)^((Revalue_at_date-Table1[[#This Row],[Loss date]])/365.25)</f>
        <v>15360.000000000002</v>
      </c>
      <c r="R1649" s="70">
        <f>INT(Table1[[#This Row],[Reporting date]])-INT(Table1[[#This Row],[Loss date]])</f>
        <v>636</v>
      </c>
      <c r="S1649" s="69" t="s">
        <v>16</v>
      </c>
      <c r="T1649" s="70">
        <f>VLOOKUP(Table1[[#This Row],[Policy Year]],exposure_table,3,FALSE)</f>
        <v>1057.54</v>
      </c>
      <c r="U1649" s="17">
        <f>IF(MONTH(Table1[[#This Row],[Reporting date]])&lt;Policy_Inception_Month,YEAR(Table1[[#This Row],[Reporting date]])-1,YEAR(Table1[[#This Row],[Reporting date]]))</f>
        <v>2014</v>
      </c>
      <c r="V1649" s="17">
        <f>Table1[[#This Row],[Reporting year]]-Table1[[#This Row],[Policy Year]]</f>
        <v>2</v>
      </c>
      <c r="W1649" s="17">
        <f>INT(Table1[[#This Row],[Reporting date]])-INT(Table1[[#This Row],[Loss date]])</f>
        <v>636</v>
      </c>
      <c r="X1649" s="17">
        <f>INT((YEAR(Table1[[#This Row],[Loss date]])*12+MONTH(Table1[[#This Row],[Loss date]])-Earliest_Month)/4)</f>
        <v>22</v>
      </c>
      <c r="Y1649" s="17">
        <f>INT((YEAR(Table1[[#This Row],[Reporting date]])*12+MONTH(Table1[[#This Row],[Reporting date]])-Earliest_Month)/4)</f>
        <v>27</v>
      </c>
      <c r="Z1649" s="17">
        <f>Table1[[#This Row],[Reporting third]]-Table1[[#This Row],[Policy third]]</f>
        <v>5</v>
      </c>
      <c r="AA1649" s="71">
        <f>IF(Table1[[#This Row],[Overall amount]]=0,"N/A",Table1[[#This Row],[Outstanding]]/Table1[[#This Row],[Overall amount]])</f>
        <v>1</v>
      </c>
      <c r="AB1649" s="17">
        <f>IF(MONTH(Table1[[#This Row],[Loss date]])&lt;Pol_Inc_Month_Shifted,YEAR(Table1[[#This Row],[Loss date]])-1,YEAR(Table1[[#This Row],[Loss date]]))</f>
        <v>2011</v>
      </c>
      <c r="AC1649" s="17">
        <f>IF(MONTH(Table1[[#This Row],[Reporting date]])&lt;Pol_Inc_Month_Shifted,YEAR(Table1[[#This Row],[Reporting date]])-1,YEAR(Table1[[#This Row],[Reporting date]]))</f>
        <v>2013</v>
      </c>
      <c r="AD1649" s="17">
        <f>Table1[[#This Row],[Reporting year (shifted)]]-Table1[[#This Row],[Policy Year (shifted)]]</f>
        <v>2</v>
      </c>
    </row>
    <row r="1650" spans="1:30" ht="13.9">
      <c r="A1650" s="8" t="s">
        <v>3420</v>
      </c>
      <c r="B1650" s="8" t="s">
        <v>1702</v>
      </c>
      <c r="C1650" s="8" t="s">
        <v>123</v>
      </c>
      <c r="D1650" s="9">
        <v>41334</v>
      </c>
      <c r="E1650" s="9">
        <v>41820</v>
      </c>
      <c r="F1650" s="17">
        <f>IF(MONTH(Table1[[#This Row],[Loss date]])&lt;Policy_Inception_Month,YEAR(Table1[[#This Row],[Loss date]])-1,YEAR(Table1[[#This Row],[Loss date]]))</f>
        <v>2012</v>
      </c>
      <c r="G1650" s="10" t="s">
        <v>148</v>
      </c>
      <c r="H1650" s="10" t="s">
        <v>2</v>
      </c>
      <c r="I1650" s="11">
        <v>0</v>
      </c>
      <c r="J1650" s="11">
        <v>12693.988155578456</v>
      </c>
      <c r="K1650" s="11">
        <v>12693.988155578456</v>
      </c>
      <c r="L1650" s="12">
        <v>0</v>
      </c>
      <c r="M1650" s="12">
        <v>0</v>
      </c>
      <c r="N1650" s="12">
        <v>12693.988155578456</v>
      </c>
      <c r="O1650" s="70">
        <f>IF(Table1[[#This Row],[Overall amount]]=0,0,1)</f>
        <v>1</v>
      </c>
      <c r="P1650" s="70">
        <f>Table1[[#This Row],[Overall amount]]*Exchange_Rate</f>
        <v>12693.988155578456</v>
      </c>
      <c r="Q1650" s="70">
        <f>Table1[[#This Row],[Overall (destination currency)]]*(1+Claims_Inflation)^((Revalue_at_date-Table1[[#This Row],[Loss date]])/365.25)</f>
        <v>14400</v>
      </c>
      <c r="R1650" s="70">
        <f>INT(Table1[[#This Row],[Reporting date]])-INT(Table1[[#This Row],[Loss date]])</f>
        <v>486</v>
      </c>
      <c r="S1650" s="69" t="s">
        <v>16</v>
      </c>
      <c r="T1650" s="70">
        <f>VLOOKUP(Table1[[#This Row],[Policy Year]],exposure_table,3,FALSE)</f>
        <v>1057.54</v>
      </c>
      <c r="U1650" s="17">
        <f>IF(MONTH(Table1[[#This Row],[Reporting date]])&lt;Policy_Inception_Month,YEAR(Table1[[#This Row],[Reporting date]])-1,YEAR(Table1[[#This Row],[Reporting date]]))</f>
        <v>2014</v>
      </c>
      <c r="V1650" s="17">
        <f>Table1[[#This Row],[Reporting year]]-Table1[[#This Row],[Policy Year]]</f>
        <v>2</v>
      </c>
      <c r="W1650" s="17">
        <f>INT(Table1[[#This Row],[Reporting date]])-INT(Table1[[#This Row],[Loss date]])</f>
        <v>486</v>
      </c>
      <c r="X1650" s="17">
        <f>INT((YEAR(Table1[[#This Row],[Loss date]])*12+MONTH(Table1[[#This Row],[Loss date]])-Earliest_Month)/4)</f>
        <v>23</v>
      </c>
      <c r="Y1650" s="17">
        <f>INT((YEAR(Table1[[#This Row],[Reporting date]])*12+MONTH(Table1[[#This Row],[Reporting date]])-Earliest_Month)/4)</f>
        <v>27</v>
      </c>
      <c r="Z1650" s="17">
        <f>Table1[[#This Row],[Reporting third]]-Table1[[#This Row],[Policy third]]</f>
        <v>4</v>
      </c>
      <c r="AA1650" s="71">
        <f>IF(Table1[[#This Row],[Overall amount]]=0,"N/A",Table1[[#This Row],[Outstanding]]/Table1[[#This Row],[Overall amount]])</f>
        <v>1</v>
      </c>
      <c r="AB1650" s="17">
        <f>IF(MONTH(Table1[[#This Row],[Loss date]])&lt;Pol_Inc_Month_Shifted,YEAR(Table1[[#This Row],[Loss date]])-1,YEAR(Table1[[#This Row],[Loss date]]))</f>
        <v>2012</v>
      </c>
      <c r="AC1650" s="17">
        <f>IF(MONTH(Table1[[#This Row],[Reporting date]])&lt;Pol_Inc_Month_Shifted,YEAR(Table1[[#This Row],[Reporting date]])-1,YEAR(Table1[[#This Row],[Reporting date]]))</f>
        <v>2013</v>
      </c>
      <c r="AD1650" s="17">
        <f>Table1[[#This Row],[Reporting year (shifted)]]-Table1[[#This Row],[Policy Year (shifted)]]</f>
        <v>1</v>
      </c>
    </row>
    <row r="1651" spans="1:30" ht="13.9">
      <c r="A1651" s="8" t="s">
        <v>3421</v>
      </c>
      <c r="B1651" s="8" t="s">
        <v>1703</v>
      </c>
      <c r="C1651" s="8" t="s">
        <v>123</v>
      </c>
      <c r="D1651" s="9">
        <v>41558</v>
      </c>
      <c r="E1651" s="9">
        <v>41873</v>
      </c>
      <c r="F1651" s="17">
        <f>IF(MONTH(Table1[[#This Row],[Loss date]])&lt;Policy_Inception_Month,YEAR(Table1[[#This Row],[Loss date]])-1,YEAR(Table1[[#This Row],[Loss date]]))</f>
        <v>2013</v>
      </c>
      <c r="G1651" s="10" t="s">
        <v>125</v>
      </c>
      <c r="H1651" s="10" t="s">
        <v>2</v>
      </c>
      <c r="I1651" s="11">
        <v>0</v>
      </c>
      <c r="J1651" s="11">
        <v>26704.095362150027</v>
      </c>
      <c r="K1651" s="11">
        <v>26704.095362150027</v>
      </c>
      <c r="L1651" s="12">
        <v>326.98892280183702</v>
      </c>
      <c r="M1651" s="12">
        <v>0</v>
      </c>
      <c r="N1651" s="12">
        <v>27031.084284951863</v>
      </c>
      <c r="O1651" s="70">
        <f>IF(Table1[[#This Row],[Overall amount]]=0,0,1)</f>
        <v>1</v>
      </c>
      <c r="P1651" s="70">
        <f>Table1[[#This Row],[Overall amount]]*Exchange_Rate</f>
        <v>27031.084284951863</v>
      </c>
      <c r="Q1651" s="70">
        <f>Table1[[#This Row],[Overall (destination currency)]]*(1+Claims_Inflation)^((Revalue_at_date-Table1[[#This Row],[Loss date]])/365.25)</f>
        <v>29760</v>
      </c>
      <c r="R1651" s="70">
        <f>INT(Table1[[#This Row],[Reporting date]])-INT(Table1[[#This Row],[Loss date]])</f>
        <v>315</v>
      </c>
      <c r="S1651" s="69" t="s">
        <v>16</v>
      </c>
      <c r="T1651" s="70">
        <f>VLOOKUP(Table1[[#This Row],[Policy Year]],exposure_table,3,FALSE)</f>
        <v>1090.5865384615383</v>
      </c>
      <c r="U1651" s="17">
        <f>IF(MONTH(Table1[[#This Row],[Reporting date]])&lt;Policy_Inception_Month,YEAR(Table1[[#This Row],[Reporting date]])-1,YEAR(Table1[[#This Row],[Reporting date]]))</f>
        <v>2014</v>
      </c>
      <c r="V1651" s="17">
        <f>Table1[[#This Row],[Reporting year]]-Table1[[#This Row],[Policy Year]]</f>
        <v>1</v>
      </c>
      <c r="W1651" s="17">
        <f>INT(Table1[[#This Row],[Reporting date]])-INT(Table1[[#This Row],[Loss date]])</f>
        <v>315</v>
      </c>
      <c r="X1651" s="17">
        <f>INT((YEAR(Table1[[#This Row],[Loss date]])*12+MONTH(Table1[[#This Row],[Loss date]])-Earliest_Month)/4)</f>
        <v>25</v>
      </c>
      <c r="Y1651" s="17">
        <f>INT((YEAR(Table1[[#This Row],[Reporting date]])*12+MONTH(Table1[[#This Row],[Reporting date]])-Earliest_Month)/4)</f>
        <v>28</v>
      </c>
      <c r="Z1651" s="17">
        <f>Table1[[#This Row],[Reporting third]]-Table1[[#This Row],[Policy third]]</f>
        <v>3</v>
      </c>
      <c r="AA1651" s="71">
        <f>IF(Table1[[#This Row],[Overall amount]]=0,"N/A",Table1[[#This Row],[Outstanding]]/Table1[[#This Row],[Overall amount]])</f>
        <v>0.98790322580645162</v>
      </c>
      <c r="AB1651" s="17">
        <f>IF(MONTH(Table1[[#This Row],[Loss date]])&lt;Pol_Inc_Month_Shifted,YEAR(Table1[[#This Row],[Loss date]])-1,YEAR(Table1[[#This Row],[Loss date]]))</f>
        <v>2012</v>
      </c>
      <c r="AC1651" s="17">
        <f>IF(MONTH(Table1[[#This Row],[Reporting date]])&lt;Pol_Inc_Month_Shifted,YEAR(Table1[[#This Row],[Reporting date]])-1,YEAR(Table1[[#This Row],[Reporting date]]))</f>
        <v>2013</v>
      </c>
      <c r="AD1651" s="17">
        <f>Table1[[#This Row],[Reporting year (shifted)]]-Table1[[#This Row],[Policy Year (shifted)]]</f>
        <v>1</v>
      </c>
    </row>
    <row r="1652" spans="1:30" ht="13.9">
      <c r="A1652" s="8" t="s">
        <v>3422</v>
      </c>
      <c r="B1652" s="8" t="s">
        <v>1704</v>
      </c>
      <c r="C1652" s="8" t="s">
        <v>123</v>
      </c>
      <c r="D1652" s="9">
        <v>40712</v>
      </c>
      <c r="E1652" s="9">
        <v>41903</v>
      </c>
      <c r="F1652" s="17">
        <f>IF(MONTH(Table1[[#This Row],[Loss date]])&lt;Policy_Inception_Month,YEAR(Table1[[#This Row],[Loss date]])-1,YEAR(Table1[[#This Row],[Loss date]]))</f>
        <v>2011</v>
      </c>
      <c r="G1652" s="10" t="s">
        <v>125</v>
      </c>
      <c r="H1652" s="10" t="s">
        <v>2</v>
      </c>
      <c r="I1652" s="11">
        <v>0</v>
      </c>
      <c r="J1652" s="11">
        <v>46322.673539932832</v>
      </c>
      <c r="K1652" s="11">
        <v>46322.673539932832</v>
      </c>
      <c r="L1652" s="12">
        <v>0</v>
      </c>
      <c r="M1652" s="12">
        <v>0</v>
      </c>
      <c r="N1652" s="12">
        <v>46322.673539932832</v>
      </c>
      <c r="O1652" s="70">
        <f>IF(Table1[[#This Row],[Overall amount]]=0,0,1)</f>
        <v>1</v>
      </c>
      <c r="P1652" s="70">
        <f>Table1[[#This Row],[Overall amount]]*Exchange_Rate</f>
        <v>46322.673539932832</v>
      </c>
      <c r="Q1652" s="70">
        <f>Table1[[#This Row],[Overall (destination currency)]]*(1+Claims_Inflation)^((Revalue_at_date-Table1[[#This Row],[Loss date]])/365.25)</f>
        <v>57100.799999999996</v>
      </c>
      <c r="R1652" s="70">
        <f>INT(Table1[[#This Row],[Reporting date]])-INT(Table1[[#This Row],[Loss date]])</f>
        <v>1191</v>
      </c>
      <c r="S1652" s="69" t="s">
        <v>16</v>
      </c>
      <c r="T1652" s="70">
        <f>VLOOKUP(Table1[[#This Row],[Policy Year]],exposure_table,3,FALSE)</f>
        <v>870.52680000000009</v>
      </c>
      <c r="U1652" s="17">
        <f>IF(MONTH(Table1[[#This Row],[Reporting date]])&lt;Policy_Inception_Month,YEAR(Table1[[#This Row],[Reporting date]])-1,YEAR(Table1[[#This Row],[Reporting date]]))</f>
        <v>2014</v>
      </c>
      <c r="V1652" s="17">
        <f>Table1[[#This Row],[Reporting year]]-Table1[[#This Row],[Policy Year]]</f>
        <v>3</v>
      </c>
      <c r="W1652" s="17">
        <f>INT(Table1[[#This Row],[Reporting date]])-INT(Table1[[#This Row],[Loss date]])</f>
        <v>1191</v>
      </c>
      <c r="X1652" s="17">
        <f>INT((YEAR(Table1[[#This Row],[Loss date]])*12+MONTH(Table1[[#This Row],[Loss date]])-Earliest_Month)/4)</f>
        <v>18</v>
      </c>
      <c r="Y1652" s="17">
        <f>INT((YEAR(Table1[[#This Row],[Reporting date]])*12+MONTH(Table1[[#This Row],[Reporting date]])-Earliest_Month)/4)</f>
        <v>28</v>
      </c>
      <c r="Z1652" s="17">
        <f>Table1[[#This Row],[Reporting third]]-Table1[[#This Row],[Policy third]]</f>
        <v>10</v>
      </c>
      <c r="AA1652" s="71">
        <f>IF(Table1[[#This Row],[Overall amount]]=0,"N/A",Table1[[#This Row],[Outstanding]]/Table1[[#This Row],[Overall amount]])</f>
        <v>1</v>
      </c>
      <c r="AB1652" s="17">
        <f>IF(MONTH(Table1[[#This Row],[Loss date]])&lt;Pol_Inc_Month_Shifted,YEAR(Table1[[#This Row],[Loss date]])-1,YEAR(Table1[[#This Row],[Loss date]]))</f>
        <v>2010</v>
      </c>
      <c r="AC1652" s="17">
        <f>IF(MONTH(Table1[[#This Row],[Reporting date]])&lt;Pol_Inc_Month_Shifted,YEAR(Table1[[#This Row],[Reporting date]])-1,YEAR(Table1[[#This Row],[Reporting date]]))</f>
        <v>2013</v>
      </c>
      <c r="AD1652" s="17">
        <f>Table1[[#This Row],[Reporting year (shifted)]]-Table1[[#This Row],[Policy Year (shifted)]]</f>
        <v>3</v>
      </c>
    </row>
    <row r="1653" spans="1:30" ht="13.9">
      <c r="A1653" s="8" t="s">
        <v>3423</v>
      </c>
      <c r="B1653" s="8" t="s">
        <v>1705</v>
      </c>
      <c r="C1653" s="8" t="s">
        <v>123</v>
      </c>
      <c r="D1653" s="9">
        <v>40937</v>
      </c>
      <c r="E1653" s="9">
        <v>41891</v>
      </c>
      <c r="F1653" s="17">
        <f>IF(MONTH(Table1[[#This Row],[Loss date]])&lt;Policy_Inception_Month,YEAR(Table1[[#This Row],[Loss date]])-1,YEAR(Table1[[#This Row],[Loss date]]))</f>
        <v>2011</v>
      </c>
      <c r="G1653" s="10" t="s">
        <v>125</v>
      </c>
      <c r="H1653" s="10" t="s">
        <v>2</v>
      </c>
      <c r="I1653" s="11">
        <v>0</v>
      </c>
      <c r="J1653" s="11">
        <v>5015.9780898828549</v>
      </c>
      <c r="K1653" s="11">
        <v>5015.9780898828549</v>
      </c>
      <c r="L1653" s="12">
        <v>0</v>
      </c>
      <c r="M1653" s="12">
        <v>393.45332137041117</v>
      </c>
      <c r="N1653" s="12">
        <v>4622.5247685124441</v>
      </c>
      <c r="O1653" s="70">
        <f>IF(Table1[[#This Row],[Overall amount]]=0,0,1)</f>
        <v>1</v>
      </c>
      <c r="P1653" s="70">
        <f>Table1[[#This Row],[Overall amount]]*Exchange_Rate</f>
        <v>4622.5247685124441</v>
      </c>
      <c r="Q1653" s="70">
        <f>Table1[[#This Row],[Overall (destination currency)]]*(1+Claims_Inflation)^((Revalue_at_date-Table1[[#This Row],[Loss date]])/365.25)</f>
        <v>5529.36</v>
      </c>
      <c r="R1653" s="70">
        <f>INT(Table1[[#This Row],[Reporting date]])-INT(Table1[[#This Row],[Loss date]])</f>
        <v>954</v>
      </c>
      <c r="S1653" s="69" t="s">
        <v>16</v>
      </c>
      <c r="T1653" s="70">
        <f>VLOOKUP(Table1[[#This Row],[Policy Year]],exposure_table,3,FALSE)</f>
        <v>870.52680000000009</v>
      </c>
      <c r="U1653" s="17">
        <f>IF(MONTH(Table1[[#This Row],[Reporting date]])&lt;Policy_Inception_Month,YEAR(Table1[[#This Row],[Reporting date]])-1,YEAR(Table1[[#This Row],[Reporting date]]))</f>
        <v>2014</v>
      </c>
      <c r="V1653" s="17">
        <f>Table1[[#This Row],[Reporting year]]-Table1[[#This Row],[Policy Year]]</f>
        <v>3</v>
      </c>
      <c r="W1653" s="17">
        <f>INT(Table1[[#This Row],[Reporting date]])-INT(Table1[[#This Row],[Loss date]])</f>
        <v>954</v>
      </c>
      <c r="X1653" s="17">
        <f>INT((YEAR(Table1[[#This Row],[Loss date]])*12+MONTH(Table1[[#This Row],[Loss date]])-Earliest_Month)/4)</f>
        <v>20</v>
      </c>
      <c r="Y1653" s="17">
        <f>INT((YEAR(Table1[[#This Row],[Reporting date]])*12+MONTH(Table1[[#This Row],[Reporting date]])-Earliest_Month)/4)</f>
        <v>28</v>
      </c>
      <c r="Z1653" s="17">
        <f>Table1[[#This Row],[Reporting third]]-Table1[[#This Row],[Policy third]]</f>
        <v>8</v>
      </c>
      <c r="AA1653" s="71">
        <f>IF(Table1[[#This Row],[Overall amount]]=0,"N/A",Table1[[#This Row],[Outstanding]]/Table1[[#This Row],[Overall amount]])</f>
        <v>1.0851165415165589</v>
      </c>
      <c r="AB1653" s="17">
        <f>IF(MONTH(Table1[[#This Row],[Loss date]])&lt;Pol_Inc_Month_Shifted,YEAR(Table1[[#This Row],[Loss date]])-1,YEAR(Table1[[#This Row],[Loss date]]))</f>
        <v>2011</v>
      </c>
      <c r="AC1653" s="17">
        <f>IF(MONTH(Table1[[#This Row],[Reporting date]])&lt;Pol_Inc_Month_Shifted,YEAR(Table1[[#This Row],[Reporting date]])-1,YEAR(Table1[[#This Row],[Reporting date]]))</f>
        <v>2013</v>
      </c>
      <c r="AD1653" s="17">
        <f>Table1[[#This Row],[Reporting year (shifted)]]-Table1[[#This Row],[Policy Year (shifted)]]</f>
        <v>2</v>
      </c>
    </row>
    <row r="1654" spans="1:30" ht="13.9">
      <c r="A1654" s="8" t="s">
        <v>3424</v>
      </c>
      <c r="B1654" s="8" t="s">
        <v>1706</v>
      </c>
      <c r="C1654" s="8" t="s">
        <v>123</v>
      </c>
      <c r="D1654" s="9">
        <v>41601</v>
      </c>
      <c r="E1654" s="9">
        <v>41883</v>
      </c>
      <c r="F1654" s="17">
        <f>IF(MONTH(Table1[[#This Row],[Loss date]])&lt;Policy_Inception_Month,YEAR(Table1[[#This Row],[Loss date]])-1,YEAR(Table1[[#This Row],[Loss date]]))</f>
        <v>2013</v>
      </c>
      <c r="G1654" s="10" t="s">
        <v>131</v>
      </c>
      <c r="H1654" s="10" t="s">
        <v>2</v>
      </c>
      <c r="I1654" s="11">
        <v>0</v>
      </c>
      <c r="J1654" s="11">
        <v>8221.8133680893425</v>
      </c>
      <c r="K1654" s="11">
        <v>8221.8133680893425</v>
      </c>
      <c r="L1654" s="12">
        <v>0</v>
      </c>
      <c r="M1654" s="12">
        <v>0</v>
      </c>
      <c r="N1654" s="12">
        <v>8221.8133680893425</v>
      </c>
      <c r="O1654" s="70">
        <f>IF(Table1[[#This Row],[Overall amount]]=0,0,1)</f>
        <v>1</v>
      </c>
      <c r="P1654" s="70">
        <f>Table1[[#This Row],[Overall amount]]*Exchange_Rate</f>
        <v>8221.8133680893425</v>
      </c>
      <c r="Q1654" s="70">
        <f>Table1[[#This Row],[Overall (destination currency)]]*(1+Claims_Inflation)^((Revalue_at_date-Table1[[#This Row],[Loss date]])/365.25)</f>
        <v>9000</v>
      </c>
      <c r="R1654" s="70">
        <f>INT(Table1[[#This Row],[Reporting date]])-INT(Table1[[#This Row],[Loss date]])</f>
        <v>282</v>
      </c>
      <c r="S1654" s="69" t="s">
        <v>16</v>
      </c>
      <c r="T1654" s="70">
        <f>VLOOKUP(Table1[[#This Row],[Policy Year]],exposure_table,3,FALSE)</f>
        <v>1090.5865384615383</v>
      </c>
      <c r="U1654" s="17">
        <f>IF(MONTH(Table1[[#This Row],[Reporting date]])&lt;Policy_Inception_Month,YEAR(Table1[[#This Row],[Reporting date]])-1,YEAR(Table1[[#This Row],[Reporting date]]))</f>
        <v>2014</v>
      </c>
      <c r="V1654" s="17">
        <f>Table1[[#This Row],[Reporting year]]-Table1[[#This Row],[Policy Year]]</f>
        <v>1</v>
      </c>
      <c r="W1654" s="17">
        <f>INT(Table1[[#This Row],[Reporting date]])-INT(Table1[[#This Row],[Loss date]])</f>
        <v>282</v>
      </c>
      <c r="X1654" s="17">
        <f>INT((YEAR(Table1[[#This Row],[Loss date]])*12+MONTH(Table1[[#This Row],[Loss date]])-Earliest_Month)/4)</f>
        <v>25</v>
      </c>
      <c r="Y1654" s="17">
        <f>INT((YEAR(Table1[[#This Row],[Reporting date]])*12+MONTH(Table1[[#This Row],[Reporting date]])-Earliest_Month)/4)</f>
        <v>28</v>
      </c>
      <c r="Z1654" s="17">
        <f>Table1[[#This Row],[Reporting third]]-Table1[[#This Row],[Policy third]]</f>
        <v>3</v>
      </c>
      <c r="AA1654" s="71">
        <f>IF(Table1[[#This Row],[Overall amount]]=0,"N/A",Table1[[#This Row],[Outstanding]]/Table1[[#This Row],[Overall amount]])</f>
        <v>1</v>
      </c>
      <c r="AB1654" s="17">
        <f>IF(MONTH(Table1[[#This Row],[Loss date]])&lt;Pol_Inc_Month_Shifted,YEAR(Table1[[#This Row],[Loss date]])-1,YEAR(Table1[[#This Row],[Loss date]]))</f>
        <v>2012</v>
      </c>
      <c r="AC1654" s="17">
        <f>IF(MONTH(Table1[[#This Row],[Reporting date]])&lt;Pol_Inc_Month_Shifted,YEAR(Table1[[#This Row],[Reporting date]])-1,YEAR(Table1[[#This Row],[Reporting date]]))</f>
        <v>2013</v>
      </c>
      <c r="AD1654" s="17">
        <f>Table1[[#This Row],[Reporting year (shifted)]]-Table1[[#This Row],[Policy Year (shifted)]]</f>
        <v>1</v>
      </c>
    </row>
    <row r="1655" spans="1:30" ht="13.9">
      <c r="A1655" s="8" t="s">
        <v>3425</v>
      </c>
      <c r="B1655" s="8" t="s">
        <v>1707</v>
      </c>
      <c r="C1655" s="8" t="s">
        <v>123</v>
      </c>
      <c r="D1655" s="9">
        <v>41877</v>
      </c>
      <c r="E1655" s="9">
        <v>41887</v>
      </c>
      <c r="F1655" s="17">
        <f>IF(MONTH(Table1[[#This Row],[Loss date]])&lt;Policy_Inception_Month,YEAR(Table1[[#This Row],[Loss date]])-1,YEAR(Table1[[#This Row],[Loss date]]))</f>
        <v>2014</v>
      </c>
      <c r="G1655" s="10" t="s">
        <v>126</v>
      </c>
      <c r="H1655" s="10" t="s">
        <v>2</v>
      </c>
      <c r="I1655" s="11">
        <v>0</v>
      </c>
      <c r="J1655" s="11">
        <v>1.1374124488699333</v>
      </c>
      <c r="K1655" s="11">
        <v>1.1374124488699333</v>
      </c>
      <c r="L1655" s="12">
        <v>341.22373466097991</v>
      </c>
      <c r="M1655" s="12">
        <v>0</v>
      </c>
      <c r="N1655" s="12">
        <v>342.36114710984987</v>
      </c>
      <c r="O1655" s="70">
        <f>IF(Table1[[#This Row],[Overall amount]]=0,0,1)</f>
        <v>1</v>
      </c>
      <c r="P1655" s="70">
        <f>Table1[[#This Row],[Overall amount]]*Exchange_Rate</f>
        <v>342.36114710984987</v>
      </c>
      <c r="Q1655" s="70">
        <f>Table1[[#This Row],[Overall (destination currency)]]*(1+Claims_Inflation)^((Revalue_at_date-Table1[[#This Row],[Loss date]])/365.25)</f>
        <v>361.2</v>
      </c>
      <c r="R1655" s="70">
        <f>INT(Table1[[#This Row],[Reporting date]])-INT(Table1[[#This Row],[Loss date]])</f>
        <v>10</v>
      </c>
      <c r="S1655" s="69" t="s">
        <v>16</v>
      </c>
      <c r="T1655" s="70">
        <f>VLOOKUP(Table1[[#This Row],[Policy Year]],exposure_table,3,FALSE)</f>
        <v>1076.5070266272189</v>
      </c>
      <c r="U1655" s="17">
        <f>IF(MONTH(Table1[[#This Row],[Reporting date]])&lt;Policy_Inception_Month,YEAR(Table1[[#This Row],[Reporting date]])-1,YEAR(Table1[[#This Row],[Reporting date]]))</f>
        <v>2014</v>
      </c>
      <c r="V1655" s="17">
        <f>Table1[[#This Row],[Reporting year]]-Table1[[#This Row],[Policy Year]]</f>
        <v>0</v>
      </c>
      <c r="W1655" s="17">
        <f>INT(Table1[[#This Row],[Reporting date]])-INT(Table1[[#This Row],[Loss date]])</f>
        <v>10</v>
      </c>
      <c r="X1655" s="17">
        <f>INT((YEAR(Table1[[#This Row],[Loss date]])*12+MONTH(Table1[[#This Row],[Loss date]])-Earliest_Month)/4)</f>
        <v>28</v>
      </c>
      <c r="Y1655" s="17">
        <f>INT((YEAR(Table1[[#This Row],[Reporting date]])*12+MONTH(Table1[[#This Row],[Reporting date]])-Earliest_Month)/4)</f>
        <v>28</v>
      </c>
      <c r="Z1655" s="17">
        <f>Table1[[#This Row],[Reporting third]]-Table1[[#This Row],[Policy third]]</f>
        <v>0</v>
      </c>
      <c r="AA1655" s="71">
        <f>IF(Table1[[#This Row],[Overall amount]]=0,"N/A",Table1[[#This Row],[Outstanding]]/Table1[[#This Row],[Overall amount]])</f>
        <v>3.3222591362126251E-3</v>
      </c>
      <c r="AB1655" s="17">
        <f>IF(MONTH(Table1[[#This Row],[Loss date]])&lt;Pol_Inc_Month_Shifted,YEAR(Table1[[#This Row],[Loss date]])-1,YEAR(Table1[[#This Row],[Loss date]]))</f>
        <v>2013</v>
      </c>
      <c r="AC1655" s="17">
        <f>IF(MONTH(Table1[[#This Row],[Reporting date]])&lt;Pol_Inc_Month_Shifted,YEAR(Table1[[#This Row],[Reporting date]])-1,YEAR(Table1[[#This Row],[Reporting date]]))</f>
        <v>2013</v>
      </c>
      <c r="AD1655" s="17">
        <f>Table1[[#This Row],[Reporting year (shifted)]]-Table1[[#This Row],[Policy Year (shifted)]]</f>
        <v>0</v>
      </c>
    </row>
    <row r="1656" spans="1:30" ht="13.9">
      <c r="A1656" s="8" t="s">
        <v>3426</v>
      </c>
      <c r="B1656" s="8" t="s">
        <v>1708</v>
      </c>
      <c r="C1656" s="8" t="s">
        <v>123</v>
      </c>
      <c r="D1656" s="9">
        <v>41708</v>
      </c>
      <c r="E1656" s="9">
        <v>41952</v>
      </c>
      <c r="F1656" s="17">
        <f>IF(MONTH(Table1[[#This Row],[Loss date]])&lt;Policy_Inception_Month,YEAR(Table1[[#This Row],[Loss date]])-1,YEAR(Table1[[#This Row],[Loss date]]))</f>
        <v>2013</v>
      </c>
      <c r="G1656" s="10" t="s">
        <v>125</v>
      </c>
      <c r="H1656" s="10" t="s">
        <v>2</v>
      </c>
      <c r="I1656" s="11">
        <v>0</v>
      </c>
      <c r="J1656" s="11">
        <v>1.1120229663970489</v>
      </c>
      <c r="K1656" s="11">
        <v>1.1120229663970489</v>
      </c>
      <c r="L1656" s="12">
        <v>0</v>
      </c>
      <c r="M1656" s="12">
        <v>13.38875651542047</v>
      </c>
      <c r="N1656" s="12">
        <v>-12.276733549023421</v>
      </c>
      <c r="O1656" s="70">
        <f>IF(Table1[[#This Row],[Overall amount]]=0,0,1)</f>
        <v>1</v>
      </c>
      <c r="P1656" s="70">
        <f>Table1[[#This Row],[Overall amount]]*Exchange_Rate</f>
        <v>-12.276733549023421</v>
      </c>
      <c r="Q1656" s="70">
        <f>Table1[[#This Row],[Overall (destination currency)]]*(1+Claims_Inflation)^((Revalue_at_date-Table1[[#This Row],[Loss date]])/365.25)</f>
        <v>-13.248000000000001</v>
      </c>
      <c r="R1656" s="70">
        <f>INT(Table1[[#This Row],[Reporting date]])-INT(Table1[[#This Row],[Loss date]])</f>
        <v>244</v>
      </c>
      <c r="S1656" s="69" t="s">
        <v>16</v>
      </c>
      <c r="T1656" s="70">
        <f>VLOOKUP(Table1[[#This Row],[Policy Year]],exposure_table,3,FALSE)</f>
        <v>1090.5865384615383</v>
      </c>
      <c r="U1656" s="17">
        <f>IF(MONTH(Table1[[#This Row],[Reporting date]])&lt;Policy_Inception_Month,YEAR(Table1[[#This Row],[Reporting date]])-1,YEAR(Table1[[#This Row],[Reporting date]]))</f>
        <v>2014</v>
      </c>
      <c r="V1656" s="17">
        <f>Table1[[#This Row],[Reporting year]]-Table1[[#This Row],[Policy Year]]</f>
        <v>1</v>
      </c>
      <c r="W1656" s="17">
        <f>INT(Table1[[#This Row],[Reporting date]])-INT(Table1[[#This Row],[Loss date]])</f>
        <v>244</v>
      </c>
      <c r="X1656" s="17">
        <f>INT((YEAR(Table1[[#This Row],[Loss date]])*12+MONTH(Table1[[#This Row],[Loss date]])-Earliest_Month)/4)</f>
        <v>26</v>
      </c>
      <c r="Y1656" s="17">
        <f>INT((YEAR(Table1[[#This Row],[Reporting date]])*12+MONTH(Table1[[#This Row],[Reporting date]])-Earliest_Month)/4)</f>
        <v>28</v>
      </c>
      <c r="Z1656" s="17">
        <f>Table1[[#This Row],[Reporting third]]-Table1[[#This Row],[Policy third]]</f>
        <v>2</v>
      </c>
      <c r="AA1656" s="71">
        <f>IF(Table1[[#This Row],[Overall amount]]=0,"N/A",Table1[[#This Row],[Outstanding]]/Table1[[#This Row],[Overall amount]])</f>
        <v>-9.0579710144927536E-2</v>
      </c>
      <c r="AB1656" s="17">
        <f>IF(MONTH(Table1[[#This Row],[Loss date]])&lt;Pol_Inc_Month_Shifted,YEAR(Table1[[#This Row],[Loss date]])-1,YEAR(Table1[[#This Row],[Loss date]]))</f>
        <v>2013</v>
      </c>
      <c r="AC1656" s="17">
        <f>IF(MONTH(Table1[[#This Row],[Reporting date]])&lt;Pol_Inc_Month_Shifted,YEAR(Table1[[#This Row],[Reporting date]])-1,YEAR(Table1[[#This Row],[Reporting date]]))</f>
        <v>2013</v>
      </c>
      <c r="AD1656" s="17">
        <f>Table1[[#This Row],[Reporting year (shifted)]]-Table1[[#This Row],[Policy Year (shifted)]]</f>
        <v>0</v>
      </c>
    </row>
    <row r="1657" spans="1:30" ht="13.9">
      <c r="A1657" s="8" t="s">
        <v>3427</v>
      </c>
      <c r="B1657" s="8" t="s">
        <v>1709</v>
      </c>
      <c r="C1657" s="8" t="s">
        <v>123</v>
      </c>
      <c r="D1657" s="9">
        <v>41841</v>
      </c>
      <c r="E1657" s="9">
        <v>41842</v>
      </c>
      <c r="F1657" s="17">
        <f>IF(MONTH(Table1[[#This Row],[Loss date]])&lt;Policy_Inception_Month,YEAR(Table1[[#This Row],[Loss date]])-1,YEAR(Table1[[#This Row],[Loss date]]))</f>
        <v>2014</v>
      </c>
      <c r="G1657" s="10" t="s">
        <v>124</v>
      </c>
      <c r="H1657" s="10" t="s">
        <v>2</v>
      </c>
      <c r="I1657" s="11">
        <v>0</v>
      </c>
      <c r="J1657" s="11">
        <v>12451.514808006632</v>
      </c>
      <c r="K1657" s="11">
        <v>12451.514808006632</v>
      </c>
      <c r="L1657" s="12">
        <v>0</v>
      </c>
      <c r="M1657" s="12">
        <v>0</v>
      </c>
      <c r="N1657" s="12">
        <v>12451.514808006632</v>
      </c>
      <c r="O1657" s="70">
        <f>IF(Table1[[#This Row],[Overall amount]]=0,0,1)</f>
        <v>1</v>
      </c>
      <c r="P1657" s="70">
        <f>Table1[[#This Row],[Overall amount]]*Exchange_Rate</f>
        <v>12451.514808006632</v>
      </c>
      <c r="Q1657" s="70">
        <f>Table1[[#This Row],[Overall (destination currency)]]*(1+Claims_Inflation)^((Revalue_at_date-Table1[[#This Row],[Loss date]])/365.25)</f>
        <v>13200.000000000002</v>
      </c>
      <c r="R1657" s="70">
        <f>INT(Table1[[#This Row],[Reporting date]])-INT(Table1[[#This Row],[Loss date]])</f>
        <v>1</v>
      </c>
      <c r="S1657" s="69" t="s">
        <v>16</v>
      </c>
      <c r="T1657" s="70">
        <f>VLOOKUP(Table1[[#This Row],[Policy Year]],exposure_table,3,FALSE)</f>
        <v>1076.5070266272189</v>
      </c>
      <c r="U1657" s="17">
        <f>IF(MONTH(Table1[[#This Row],[Reporting date]])&lt;Policy_Inception_Month,YEAR(Table1[[#This Row],[Reporting date]])-1,YEAR(Table1[[#This Row],[Reporting date]]))</f>
        <v>2014</v>
      </c>
      <c r="V1657" s="17">
        <f>Table1[[#This Row],[Reporting year]]-Table1[[#This Row],[Policy Year]]</f>
        <v>0</v>
      </c>
      <c r="W1657" s="17">
        <f>INT(Table1[[#This Row],[Reporting date]])-INT(Table1[[#This Row],[Loss date]])</f>
        <v>1</v>
      </c>
      <c r="X1657" s="17">
        <f>INT((YEAR(Table1[[#This Row],[Loss date]])*12+MONTH(Table1[[#This Row],[Loss date]])-Earliest_Month)/4)</f>
        <v>27</v>
      </c>
      <c r="Y1657" s="17">
        <f>INT((YEAR(Table1[[#This Row],[Reporting date]])*12+MONTH(Table1[[#This Row],[Reporting date]])-Earliest_Month)/4)</f>
        <v>27</v>
      </c>
      <c r="Z1657" s="17">
        <f>Table1[[#This Row],[Reporting third]]-Table1[[#This Row],[Policy third]]</f>
        <v>0</v>
      </c>
      <c r="AA1657" s="71">
        <f>IF(Table1[[#This Row],[Overall amount]]=0,"N/A",Table1[[#This Row],[Outstanding]]/Table1[[#This Row],[Overall amount]])</f>
        <v>1</v>
      </c>
      <c r="AB1657" s="17">
        <f>IF(MONTH(Table1[[#This Row],[Loss date]])&lt;Pol_Inc_Month_Shifted,YEAR(Table1[[#This Row],[Loss date]])-1,YEAR(Table1[[#This Row],[Loss date]]))</f>
        <v>2013</v>
      </c>
      <c r="AC1657" s="17">
        <f>IF(MONTH(Table1[[#This Row],[Reporting date]])&lt;Pol_Inc_Month_Shifted,YEAR(Table1[[#This Row],[Reporting date]])-1,YEAR(Table1[[#This Row],[Reporting date]]))</f>
        <v>2013</v>
      </c>
      <c r="AD1657" s="17">
        <f>Table1[[#This Row],[Reporting year (shifted)]]-Table1[[#This Row],[Policy Year (shifted)]]</f>
        <v>0</v>
      </c>
    </row>
    <row r="1658" spans="1:30" ht="13.9">
      <c r="A1658" s="8" t="s">
        <v>3428</v>
      </c>
      <c r="B1658" s="8" t="s">
        <v>1710</v>
      </c>
      <c r="C1658" s="8" t="s">
        <v>118</v>
      </c>
      <c r="D1658" s="9">
        <v>41155</v>
      </c>
      <c r="E1658" s="9">
        <v>41156</v>
      </c>
      <c r="F1658" s="17">
        <f>IF(MONTH(Table1[[#This Row],[Loss date]])&lt;Policy_Inception_Month,YEAR(Table1[[#This Row],[Loss date]])-1,YEAR(Table1[[#This Row],[Loss date]]))</f>
        <v>2012</v>
      </c>
      <c r="G1658" s="10" t="s">
        <v>119</v>
      </c>
      <c r="H1658" s="10" t="s">
        <v>2</v>
      </c>
      <c r="I1658" s="11">
        <v>11453.736756820799</v>
      </c>
      <c r="J1658" s="11">
        <v>0</v>
      </c>
      <c r="K1658" s="11">
        <v>11453.736756820799</v>
      </c>
      <c r="L1658" s="12">
        <v>0</v>
      </c>
      <c r="M1658" s="12">
        <v>0</v>
      </c>
      <c r="N1658" s="12">
        <v>11453.736756820799</v>
      </c>
      <c r="O1658" s="70">
        <f>IF(Table1[[#This Row],[Overall amount]]=0,0,1)</f>
        <v>1</v>
      </c>
      <c r="P1658" s="70">
        <f>Table1[[#This Row],[Overall amount]]*Exchange_Rate</f>
        <v>11453.736756820799</v>
      </c>
      <c r="Q1658" s="70">
        <f>Table1[[#This Row],[Overall (destination currency)]]*(1+Claims_Inflation)^((Revalue_at_date-Table1[[#This Row],[Loss date]])/365.25)</f>
        <v>13307.484000000002</v>
      </c>
      <c r="R1658" s="70">
        <f>INT(Table1[[#This Row],[Reporting date]])-INT(Table1[[#This Row],[Loss date]])</f>
        <v>1</v>
      </c>
      <c r="S1658" s="69" t="s">
        <v>9</v>
      </c>
      <c r="T1658" s="70">
        <f>VLOOKUP(Table1[[#This Row],[Policy Year]],exposure_table,3,FALSE)</f>
        <v>1057.54</v>
      </c>
      <c r="U1658" s="17">
        <f>IF(MONTH(Table1[[#This Row],[Reporting date]])&lt;Policy_Inception_Month,YEAR(Table1[[#This Row],[Reporting date]])-1,YEAR(Table1[[#This Row],[Reporting date]]))</f>
        <v>2012</v>
      </c>
      <c r="V1658" s="17">
        <f>Table1[[#This Row],[Reporting year]]-Table1[[#This Row],[Policy Year]]</f>
        <v>0</v>
      </c>
      <c r="W1658" s="17">
        <f>INT(Table1[[#This Row],[Reporting date]])-INT(Table1[[#This Row],[Loss date]])</f>
        <v>1</v>
      </c>
      <c r="X1658" s="17">
        <f>INT((YEAR(Table1[[#This Row],[Loss date]])*12+MONTH(Table1[[#This Row],[Loss date]])-Earliest_Month)/4)</f>
        <v>22</v>
      </c>
      <c r="Y1658" s="17">
        <f>INT((YEAR(Table1[[#This Row],[Reporting date]])*12+MONTH(Table1[[#This Row],[Reporting date]])-Earliest_Month)/4)</f>
        <v>22</v>
      </c>
      <c r="Z1658" s="17">
        <f>Table1[[#This Row],[Reporting third]]-Table1[[#This Row],[Policy third]]</f>
        <v>0</v>
      </c>
      <c r="AA1658" s="71">
        <f>IF(Table1[[#This Row],[Overall amount]]=0,"N/A",Table1[[#This Row],[Outstanding]]/Table1[[#This Row],[Overall amount]])</f>
        <v>0</v>
      </c>
      <c r="AB1658" s="17">
        <f>IF(MONTH(Table1[[#This Row],[Loss date]])&lt;Pol_Inc_Month_Shifted,YEAR(Table1[[#This Row],[Loss date]])-1,YEAR(Table1[[#This Row],[Loss date]]))</f>
        <v>2011</v>
      </c>
      <c r="AC1658" s="17">
        <f>IF(MONTH(Table1[[#This Row],[Reporting date]])&lt;Pol_Inc_Month_Shifted,YEAR(Table1[[#This Row],[Reporting date]])-1,YEAR(Table1[[#This Row],[Reporting date]]))</f>
        <v>2011</v>
      </c>
      <c r="AD1658" s="17">
        <f>Table1[[#This Row],[Reporting year (shifted)]]-Table1[[#This Row],[Policy Year (shifted)]]</f>
        <v>0</v>
      </c>
    </row>
    <row r="1659" spans="1:30" ht="13.9">
      <c r="A1659" s="8" t="s">
        <v>3429</v>
      </c>
      <c r="B1659" s="8" t="s">
        <v>1711</v>
      </c>
      <c r="C1659" s="8" t="s">
        <v>118</v>
      </c>
      <c r="D1659" s="9">
        <v>38838</v>
      </c>
      <c r="E1659" s="9">
        <v>40104</v>
      </c>
      <c r="F1659" s="17">
        <f>IF(MONTH(Table1[[#This Row],[Loss date]])&lt;Policy_Inception_Month,YEAR(Table1[[#This Row],[Loss date]])-1,YEAR(Table1[[#This Row],[Loss date]]))</f>
        <v>2006</v>
      </c>
      <c r="G1659" s="10" t="s">
        <v>119</v>
      </c>
      <c r="H1659" s="10" t="s">
        <v>2</v>
      </c>
      <c r="I1659" s="11">
        <v>1176431.363937122</v>
      </c>
      <c r="J1659" s="11">
        <v>0</v>
      </c>
      <c r="K1659" s="11">
        <v>1176431.363937122</v>
      </c>
      <c r="L1659" s="12">
        <v>0</v>
      </c>
      <c r="M1659" s="12">
        <v>0</v>
      </c>
      <c r="N1659" s="12">
        <v>1176431.363937122</v>
      </c>
      <c r="O1659" s="70">
        <f>IF(Table1[[#This Row],[Overall amount]]=0,0,1)</f>
        <v>1</v>
      </c>
      <c r="P1659" s="70">
        <f>Table1[[#This Row],[Overall amount]]*Exchange_Rate</f>
        <v>1176431.363937122</v>
      </c>
      <c r="Q1659" s="70">
        <f>Table1[[#This Row],[Overall (destination currency)]]*(1+Claims_Inflation)^((Revalue_at_date-Table1[[#This Row],[Loss date]])/365.25)</f>
        <v>1862652.3</v>
      </c>
      <c r="R1659" s="70">
        <f>INT(Table1[[#This Row],[Reporting date]])-INT(Table1[[#This Row],[Loss date]])</f>
        <v>1266</v>
      </c>
      <c r="S1659" s="69" t="s">
        <v>9</v>
      </c>
      <c r="T1659" s="70">
        <f>VLOOKUP(Table1[[#This Row],[Policy Year]],exposure_table,3,FALSE)</f>
        <v>483.32023209000977</v>
      </c>
      <c r="U1659" s="17">
        <f>IF(MONTH(Table1[[#This Row],[Reporting date]])&lt;Policy_Inception_Month,YEAR(Table1[[#This Row],[Reporting date]])-1,YEAR(Table1[[#This Row],[Reporting date]]))</f>
        <v>2009</v>
      </c>
      <c r="V1659" s="17">
        <f>Table1[[#This Row],[Reporting year]]-Table1[[#This Row],[Policy Year]]</f>
        <v>3</v>
      </c>
      <c r="W1659" s="17">
        <f>INT(Table1[[#This Row],[Reporting date]])-INT(Table1[[#This Row],[Loss date]])</f>
        <v>1266</v>
      </c>
      <c r="X1659" s="17">
        <f>INT((YEAR(Table1[[#This Row],[Loss date]])*12+MONTH(Table1[[#This Row],[Loss date]])-Earliest_Month)/4)</f>
        <v>3</v>
      </c>
      <c r="Y1659" s="17">
        <f>INT((YEAR(Table1[[#This Row],[Reporting date]])*12+MONTH(Table1[[#This Row],[Reporting date]])-Earliest_Month)/4)</f>
        <v>13</v>
      </c>
      <c r="Z1659" s="17">
        <f>Table1[[#This Row],[Reporting third]]-Table1[[#This Row],[Policy third]]</f>
        <v>10</v>
      </c>
      <c r="AA1659" s="71">
        <f>IF(Table1[[#This Row],[Overall amount]]=0,"N/A",Table1[[#This Row],[Outstanding]]/Table1[[#This Row],[Overall amount]])</f>
        <v>0</v>
      </c>
      <c r="AB1659" s="17">
        <f>IF(MONTH(Table1[[#This Row],[Loss date]])&lt;Pol_Inc_Month_Shifted,YEAR(Table1[[#This Row],[Loss date]])-1,YEAR(Table1[[#This Row],[Loss date]]))</f>
        <v>2005</v>
      </c>
      <c r="AC1659" s="17">
        <f>IF(MONTH(Table1[[#This Row],[Reporting date]])&lt;Pol_Inc_Month_Shifted,YEAR(Table1[[#This Row],[Reporting date]])-1,YEAR(Table1[[#This Row],[Reporting date]]))</f>
        <v>2008</v>
      </c>
      <c r="AD1659" s="17">
        <f>Table1[[#This Row],[Reporting year (shifted)]]-Table1[[#This Row],[Policy Year (shifted)]]</f>
        <v>3</v>
      </c>
    </row>
    <row r="1660" spans="1:30" ht="13.9">
      <c r="A1660" s="8" t="s">
        <v>3430</v>
      </c>
      <c r="B1660" s="8" t="s">
        <v>1712</v>
      </c>
      <c r="C1660" s="8" t="s">
        <v>118</v>
      </c>
      <c r="D1660" s="9">
        <v>41226</v>
      </c>
      <c r="E1660" s="9">
        <v>41229</v>
      </c>
      <c r="F1660" s="17">
        <f>IF(MONTH(Table1[[#This Row],[Loss date]])&lt;Policy_Inception_Month,YEAR(Table1[[#This Row],[Loss date]])-1,YEAR(Table1[[#This Row],[Loss date]]))</f>
        <v>2012</v>
      </c>
      <c r="G1660" s="10" t="s">
        <v>121</v>
      </c>
      <c r="H1660" s="10" t="s">
        <v>2</v>
      </c>
      <c r="I1660" s="11">
        <v>0</v>
      </c>
      <c r="J1660" s="11">
        <v>0</v>
      </c>
      <c r="K1660" s="11">
        <v>0</v>
      </c>
      <c r="L1660" s="12">
        <v>0</v>
      </c>
      <c r="M1660" s="12">
        <v>0</v>
      </c>
      <c r="N1660" s="12">
        <v>0</v>
      </c>
      <c r="O1660" s="70">
        <f>IF(Table1[[#This Row],[Overall amount]]=0,0,1)</f>
        <v>0</v>
      </c>
      <c r="P1660" s="70">
        <f>Table1[[#This Row],[Overall amount]]*Exchange_Rate</f>
        <v>0</v>
      </c>
      <c r="Q1660" s="70">
        <f>Table1[[#This Row],[Overall (destination currency)]]*(1+Claims_Inflation)^((Revalue_at_date-Table1[[#This Row],[Loss date]])/365.25)</f>
        <v>0</v>
      </c>
      <c r="R1660" s="70">
        <f>INT(Table1[[#This Row],[Reporting date]])-INT(Table1[[#This Row],[Loss date]])</f>
        <v>3</v>
      </c>
      <c r="S1660" s="69" t="s">
        <v>9</v>
      </c>
      <c r="T1660" s="70">
        <f>VLOOKUP(Table1[[#This Row],[Policy Year]],exposure_table,3,FALSE)</f>
        <v>1057.54</v>
      </c>
      <c r="U1660" s="17">
        <f>IF(MONTH(Table1[[#This Row],[Reporting date]])&lt;Policy_Inception_Month,YEAR(Table1[[#This Row],[Reporting date]])-1,YEAR(Table1[[#This Row],[Reporting date]]))</f>
        <v>2012</v>
      </c>
      <c r="V1660" s="17">
        <f>Table1[[#This Row],[Reporting year]]-Table1[[#This Row],[Policy Year]]</f>
        <v>0</v>
      </c>
      <c r="W1660" s="17">
        <f>INT(Table1[[#This Row],[Reporting date]])-INT(Table1[[#This Row],[Loss date]])</f>
        <v>3</v>
      </c>
      <c r="X1660" s="17">
        <f>INT((YEAR(Table1[[#This Row],[Loss date]])*12+MONTH(Table1[[#This Row],[Loss date]])-Earliest_Month)/4)</f>
        <v>22</v>
      </c>
      <c r="Y1660" s="17">
        <f>INT((YEAR(Table1[[#This Row],[Reporting date]])*12+MONTH(Table1[[#This Row],[Reporting date]])-Earliest_Month)/4)</f>
        <v>22</v>
      </c>
      <c r="Z1660" s="17">
        <f>Table1[[#This Row],[Reporting third]]-Table1[[#This Row],[Policy third]]</f>
        <v>0</v>
      </c>
      <c r="AA1660" s="71" t="str">
        <f>IF(Table1[[#This Row],[Overall amount]]=0,"N/A",Table1[[#This Row],[Outstanding]]/Table1[[#This Row],[Overall amount]])</f>
        <v>N/A</v>
      </c>
      <c r="AB1660" s="17">
        <f>IF(MONTH(Table1[[#This Row],[Loss date]])&lt;Pol_Inc_Month_Shifted,YEAR(Table1[[#This Row],[Loss date]])-1,YEAR(Table1[[#This Row],[Loss date]]))</f>
        <v>2011</v>
      </c>
      <c r="AC1660" s="17">
        <f>IF(MONTH(Table1[[#This Row],[Reporting date]])&lt;Pol_Inc_Month_Shifted,YEAR(Table1[[#This Row],[Reporting date]])-1,YEAR(Table1[[#This Row],[Reporting date]]))</f>
        <v>2011</v>
      </c>
      <c r="AD1660" s="17">
        <f>Table1[[#This Row],[Reporting year (shifted)]]-Table1[[#This Row],[Policy Year (shifted)]]</f>
        <v>0</v>
      </c>
    </row>
    <row r="1661" spans="1:30" ht="13.9">
      <c r="A1661" s="8" t="s">
        <v>3431</v>
      </c>
      <c r="B1661" s="8" t="s">
        <v>1713</v>
      </c>
      <c r="C1661" s="8" t="s">
        <v>118</v>
      </c>
      <c r="D1661" s="9">
        <v>41058</v>
      </c>
      <c r="E1661" s="9">
        <v>41166</v>
      </c>
      <c r="F1661" s="17">
        <f>IF(MONTH(Table1[[#This Row],[Loss date]])&lt;Policy_Inception_Month,YEAR(Table1[[#This Row],[Loss date]])-1,YEAR(Table1[[#This Row],[Loss date]]))</f>
        <v>2012</v>
      </c>
      <c r="G1661" s="10" t="s">
        <v>121</v>
      </c>
      <c r="H1661" s="10" t="s">
        <v>2</v>
      </c>
      <c r="I1661" s="11">
        <v>9417.4911247135315</v>
      </c>
      <c r="J1661" s="11">
        <v>39010.764476564444</v>
      </c>
      <c r="K1661" s="11">
        <v>48428.255601277975</v>
      </c>
      <c r="L1661" s="12">
        <v>0</v>
      </c>
      <c r="M1661" s="12">
        <v>0</v>
      </c>
      <c r="N1661" s="12">
        <v>48428.255601277975</v>
      </c>
      <c r="O1661" s="70">
        <f>IF(Table1[[#This Row],[Overall amount]]=0,0,1)</f>
        <v>1</v>
      </c>
      <c r="P1661" s="70">
        <f>Table1[[#This Row],[Overall amount]]*Exchange_Rate</f>
        <v>48428.255601277975</v>
      </c>
      <c r="Q1661" s="70">
        <f>Table1[[#This Row],[Overall (destination currency)]]*(1+Claims_Inflation)^((Revalue_at_date-Table1[[#This Row],[Loss date]])/365.25)</f>
        <v>56999.999999999985</v>
      </c>
      <c r="R1661" s="70">
        <f>INT(Table1[[#This Row],[Reporting date]])-INT(Table1[[#This Row],[Loss date]])</f>
        <v>108</v>
      </c>
      <c r="S1661" s="69" t="s">
        <v>16</v>
      </c>
      <c r="T1661" s="70">
        <f>VLOOKUP(Table1[[#This Row],[Policy Year]],exposure_table,3,FALSE)</f>
        <v>1057.54</v>
      </c>
      <c r="U1661" s="17">
        <f>IF(MONTH(Table1[[#This Row],[Reporting date]])&lt;Policy_Inception_Month,YEAR(Table1[[#This Row],[Reporting date]])-1,YEAR(Table1[[#This Row],[Reporting date]]))</f>
        <v>2012</v>
      </c>
      <c r="V1661" s="17">
        <f>Table1[[#This Row],[Reporting year]]-Table1[[#This Row],[Policy Year]]</f>
        <v>0</v>
      </c>
      <c r="W1661" s="17">
        <f>INT(Table1[[#This Row],[Reporting date]])-INT(Table1[[#This Row],[Loss date]])</f>
        <v>108</v>
      </c>
      <c r="X1661" s="17">
        <f>INT((YEAR(Table1[[#This Row],[Loss date]])*12+MONTH(Table1[[#This Row],[Loss date]])-Earliest_Month)/4)</f>
        <v>21</v>
      </c>
      <c r="Y1661" s="17">
        <f>INT((YEAR(Table1[[#This Row],[Reporting date]])*12+MONTH(Table1[[#This Row],[Reporting date]])-Earliest_Month)/4)</f>
        <v>22</v>
      </c>
      <c r="Z1661" s="17">
        <f>Table1[[#This Row],[Reporting third]]-Table1[[#This Row],[Policy third]]</f>
        <v>1</v>
      </c>
      <c r="AA1661" s="71">
        <f>IF(Table1[[#This Row],[Overall amount]]=0,"N/A",Table1[[#This Row],[Outstanding]]/Table1[[#This Row],[Overall amount]])</f>
        <v>0.80553726315789465</v>
      </c>
      <c r="AB1661" s="17">
        <f>IF(MONTH(Table1[[#This Row],[Loss date]])&lt;Pol_Inc_Month_Shifted,YEAR(Table1[[#This Row],[Loss date]])-1,YEAR(Table1[[#This Row],[Loss date]]))</f>
        <v>2011</v>
      </c>
      <c r="AC1661" s="17">
        <f>IF(MONTH(Table1[[#This Row],[Reporting date]])&lt;Pol_Inc_Month_Shifted,YEAR(Table1[[#This Row],[Reporting date]])-1,YEAR(Table1[[#This Row],[Reporting date]]))</f>
        <v>2011</v>
      </c>
      <c r="AD1661" s="17">
        <f>Table1[[#This Row],[Reporting year (shifted)]]-Table1[[#This Row],[Policy Year (shifted)]]</f>
        <v>0</v>
      </c>
    </row>
    <row r="1662" spans="1:30" ht="13.9">
      <c r="A1662" s="8" t="s">
        <v>3432</v>
      </c>
      <c r="B1662" s="8" t="s">
        <v>1714</v>
      </c>
      <c r="C1662" s="8" t="s">
        <v>118</v>
      </c>
      <c r="D1662" s="9">
        <v>41237</v>
      </c>
      <c r="E1662" s="9">
        <v>41244</v>
      </c>
      <c r="F1662" s="17">
        <f>IF(MONTH(Table1[[#This Row],[Loss date]])&lt;Policy_Inception_Month,YEAR(Table1[[#This Row],[Loss date]])-1,YEAR(Table1[[#This Row],[Loss date]]))</f>
        <v>2012</v>
      </c>
      <c r="G1662" s="10" t="s">
        <v>121</v>
      </c>
      <c r="H1662" s="10" t="s">
        <v>2</v>
      </c>
      <c r="I1662" s="11">
        <v>0</v>
      </c>
      <c r="J1662" s="11">
        <v>0</v>
      </c>
      <c r="K1662" s="11">
        <v>0</v>
      </c>
      <c r="L1662" s="12">
        <v>313.26424083596953</v>
      </c>
      <c r="M1662" s="12">
        <v>0</v>
      </c>
      <c r="N1662" s="12">
        <v>313.26424083596953</v>
      </c>
      <c r="O1662" s="70">
        <f>IF(Table1[[#This Row],[Overall amount]]=0,0,1)</f>
        <v>1</v>
      </c>
      <c r="P1662" s="70">
        <f>Table1[[#This Row],[Overall amount]]*Exchange_Rate</f>
        <v>313.26424083596953</v>
      </c>
      <c r="Q1662" s="70">
        <f>Table1[[#This Row],[Overall (destination currency)]]*(1+Claims_Inflation)^((Revalue_at_date-Table1[[#This Row],[Loss date]])/365.25)</f>
        <v>360</v>
      </c>
      <c r="R1662" s="70">
        <f>INT(Table1[[#This Row],[Reporting date]])-INT(Table1[[#This Row],[Loss date]])</f>
        <v>7</v>
      </c>
      <c r="S1662" s="69" t="s">
        <v>9</v>
      </c>
      <c r="T1662" s="70">
        <f>VLOOKUP(Table1[[#This Row],[Policy Year]],exposure_table,3,FALSE)</f>
        <v>1057.54</v>
      </c>
      <c r="U1662" s="17">
        <f>IF(MONTH(Table1[[#This Row],[Reporting date]])&lt;Policy_Inception_Month,YEAR(Table1[[#This Row],[Reporting date]])-1,YEAR(Table1[[#This Row],[Reporting date]]))</f>
        <v>2012</v>
      </c>
      <c r="V1662" s="17">
        <f>Table1[[#This Row],[Reporting year]]-Table1[[#This Row],[Policy Year]]</f>
        <v>0</v>
      </c>
      <c r="W1662" s="17">
        <f>INT(Table1[[#This Row],[Reporting date]])-INT(Table1[[#This Row],[Loss date]])</f>
        <v>7</v>
      </c>
      <c r="X1662" s="17">
        <f>INT((YEAR(Table1[[#This Row],[Loss date]])*12+MONTH(Table1[[#This Row],[Loss date]])-Earliest_Month)/4)</f>
        <v>22</v>
      </c>
      <c r="Y1662" s="17">
        <f>INT((YEAR(Table1[[#This Row],[Reporting date]])*12+MONTH(Table1[[#This Row],[Reporting date]])-Earliest_Month)/4)</f>
        <v>23</v>
      </c>
      <c r="Z1662" s="17">
        <f>Table1[[#This Row],[Reporting third]]-Table1[[#This Row],[Policy third]]</f>
        <v>1</v>
      </c>
      <c r="AA1662" s="71">
        <f>IF(Table1[[#This Row],[Overall amount]]=0,"N/A",Table1[[#This Row],[Outstanding]]/Table1[[#This Row],[Overall amount]])</f>
        <v>0</v>
      </c>
      <c r="AB1662" s="17">
        <f>IF(MONTH(Table1[[#This Row],[Loss date]])&lt;Pol_Inc_Month_Shifted,YEAR(Table1[[#This Row],[Loss date]])-1,YEAR(Table1[[#This Row],[Loss date]]))</f>
        <v>2011</v>
      </c>
      <c r="AC1662" s="17">
        <f>IF(MONTH(Table1[[#This Row],[Reporting date]])&lt;Pol_Inc_Month_Shifted,YEAR(Table1[[#This Row],[Reporting date]])-1,YEAR(Table1[[#This Row],[Reporting date]]))</f>
        <v>2012</v>
      </c>
      <c r="AD1662" s="17">
        <f>Table1[[#This Row],[Reporting year (shifted)]]-Table1[[#This Row],[Policy Year (shifted)]]</f>
        <v>1</v>
      </c>
    </row>
    <row r="1663" spans="1:30" ht="13.9">
      <c r="A1663" s="8" t="s">
        <v>3433</v>
      </c>
      <c r="B1663" s="8" t="s">
        <v>1715</v>
      </c>
      <c r="C1663" s="8" t="s">
        <v>118</v>
      </c>
      <c r="D1663" s="9">
        <v>41254</v>
      </c>
      <c r="E1663" s="9">
        <v>41257</v>
      </c>
      <c r="F1663" s="17">
        <f>IF(MONTH(Table1[[#This Row],[Loss date]])&lt;Policy_Inception_Month,YEAR(Table1[[#This Row],[Loss date]])-1,YEAR(Table1[[#This Row],[Loss date]]))</f>
        <v>2012</v>
      </c>
      <c r="G1663" s="10" t="s">
        <v>129</v>
      </c>
      <c r="H1663" s="10" t="s">
        <v>2</v>
      </c>
      <c r="I1663" s="11">
        <v>1939.3277456792598</v>
      </c>
      <c r="J1663" s="11">
        <v>0</v>
      </c>
      <c r="K1663" s="11">
        <v>1939.3277456792598</v>
      </c>
      <c r="L1663" s="12">
        <v>0</v>
      </c>
      <c r="M1663" s="12">
        <v>0</v>
      </c>
      <c r="N1663" s="12">
        <v>1939.3277456792598</v>
      </c>
      <c r="O1663" s="70">
        <f>IF(Table1[[#This Row],[Overall amount]]=0,0,1)</f>
        <v>1</v>
      </c>
      <c r="P1663" s="70">
        <f>Table1[[#This Row],[Overall amount]]*Exchange_Rate</f>
        <v>1939.3277456792598</v>
      </c>
      <c r="Q1663" s="70">
        <f>Table1[[#This Row],[Overall (destination currency)]]*(1+Claims_Inflation)^((Revalue_at_date-Table1[[#This Row],[Loss date]])/365.25)</f>
        <v>2223.6000000000004</v>
      </c>
      <c r="R1663" s="70">
        <f>INT(Table1[[#This Row],[Reporting date]])-INT(Table1[[#This Row],[Loss date]])</f>
        <v>3</v>
      </c>
      <c r="S1663" s="69" t="s">
        <v>9</v>
      </c>
      <c r="T1663" s="70">
        <f>VLOOKUP(Table1[[#This Row],[Policy Year]],exposure_table,3,FALSE)</f>
        <v>1057.54</v>
      </c>
      <c r="U1663" s="17">
        <f>IF(MONTH(Table1[[#This Row],[Reporting date]])&lt;Policy_Inception_Month,YEAR(Table1[[#This Row],[Reporting date]])-1,YEAR(Table1[[#This Row],[Reporting date]]))</f>
        <v>2012</v>
      </c>
      <c r="V1663" s="17">
        <f>Table1[[#This Row],[Reporting year]]-Table1[[#This Row],[Policy Year]]</f>
        <v>0</v>
      </c>
      <c r="W1663" s="17">
        <f>INT(Table1[[#This Row],[Reporting date]])-INT(Table1[[#This Row],[Loss date]])</f>
        <v>3</v>
      </c>
      <c r="X1663" s="17">
        <f>INT((YEAR(Table1[[#This Row],[Loss date]])*12+MONTH(Table1[[#This Row],[Loss date]])-Earliest_Month)/4)</f>
        <v>23</v>
      </c>
      <c r="Y1663" s="17">
        <f>INT((YEAR(Table1[[#This Row],[Reporting date]])*12+MONTH(Table1[[#This Row],[Reporting date]])-Earliest_Month)/4)</f>
        <v>23</v>
      </c>
      <c r="Z1663" s="17">
        <f>Table1[[#This Row],[Reporting third]]-Table1[[#This Row],[Policy third]]</f>
        <v>0</v>
      </c>
      <c r="AA1663" s="71">
        <f>IF(Table1[[#This Row],[Overall amount]]=0,"N/A",Table1[[#This Row],[Outstanding]]/Table1[[#This Row],[Overall amount]])</f>
        <v>0</v>
      </c>
      <c r="AB1663" s="17">
        <f>IF(MONTH(Table1[[#This Row],[Loss date]])&lt;Pol_Inc_Month_Shifted,YEAR(Table1[[#This Row],[Loss date]])-1,YEAR(Table1[[#This Row],[Loss date]]))</f>
        <v>2012</v>
      </c>
      <c r="AC1663" s="17">
        <f>IF(MONTH(Table1[[#This Row],[Reporting date]])&lt;Pol_Inc_Month_Shifted,YEAR(Table1[[#This Row],[Reporting date]])-1,YEAR(Table1[[#This Row],[Reporting date]]))</f>
        <v>2012</v>
      </c>
      <c r="AD1663" s="17">
        <f>Table1[[#This Row],[Reporting year (shifted)]]-Table1[[#This Row],[Policy Year (shifted)]]</f>
        <v>0</v>
      </c>
    </row>
    <row r="1664" spans="1:30" ht="13.9">
      <c r="A1664" s="8" t="s">
        <v>3434</v>
      </c>
      <c r="B1664" s="8" t="s">
        <v>1716</v>
      </c>
      <c r="C1664" s="8" t="s">
        <v>118</v>
      </c>
      <c r="D1664" s="9">
        <v>41145</v>
      </c>
      <c r="E1664" s="9">
        <v>41327</v>
      </c>
      <c r="F1664" s="17">
        <f>IF(MONTH(Table1[[#This Row],[Loss date]])&lt;Policy_Inception_Month,YEAR(Table1[[#This Row],[Loss date]])-1,YEAR(Table1[[#This Row],[Loss date]]))</f>
        <v>2012</v>
      </c>
      <c r="G1664" s="10" t="s">
        <v>126</v>
      </c>
      <c r="H1664" s="10" t="s">
        <v>2</v>
      </c>
      <c r="I1664" s="11">
        <v>0</v>
      </c>
      <c r="J1664" s="11">
        <v>0</v>
      </c>
      <c r="K1664" s="11">
        <v>0</v>
      </c>
      <c r="L1664" s="12">
        <v>0</v>
      </c>
      <c r="M1664" s="12">
        <v>0</v>
      </c>
      <c r="N1664" s="12">
        <v>0</v>
      </c>
      <c r="O1664" s="70">
        <f>IF(Table1[[#This Row],[Overall amount]]=0,0,1)</f>
        <v>0</v>
      </c>
      <c r="P1664" s="70">
        <f>Table1[[#This Row],[Overall amount]]*Exchange_Rate</f>
        <v>0</v>
      </c>
      <c r="Q1664" s="70">
        <f>Table1[[#This Row],[Overall (destination currency)]]*(1+Claims_Inflation)^((Revalue_at_date-Table1[[#This Row],[Loss date]])/365.25)</f>
        <v>0</v>
      </c>
      <c r="R1664" s="70">
        <f>INT(Table1[[#This Row],[Reporting date]])-INT(Table1[[#This Row],[Loss date]])</f>
        <v>182</v>
      </c>
      <c r="S1664" s="69" t="s">
        <v>9</v>
      </c>
      <c r="T1664" s="70">
        <f>VLOOKUP(Table1[[#This Row],[Policy Year]],exposure_table,3,FALSE)</f>
        <v>1057.54</v>
      </c>
      <c r="U1664" s="17">
        <f>IF(MONTH(Table1[[#This Row],[Reporting date]])&lt;Policy_Inception_Month,YEAR(Table1[[#This Row],[Reporting date]])-1,YEAR(Table1[[#This Row],[Reporting date]]))</f>
        <v>2012</v>
      </c>
      <c r="V1664" s="17">
        <f>Table1[[#This Row],[Reporting year]]-Table1[[#This Row],[Policy Year]]</f>
        <v>0</v>
      </c>
      <c r="W1664" s="17">
        <f>INT(Table1[[#This Row],[Reporting date]])-INT(Table1[[#This Row],[Loss date]])</f>
        <v>182</v>
      </c>
      <c r="X1664" s="17">
        <f>INT((YEAR(Table1[[#This Row],[Loss date]])*12+MONTH(Table1[[#This Row],[Loss date]])-Earliest_Month)/4)</f>
        <v>22</v>
      </c>
      <c r="Y1664" s="17">
        <f>INT((YEAR(Table1[[#This Row],[Reporting date]])*12+MONTH(Table1[[#This Row],[Reporting date]])-Earliest_Month)/4)</f>
        <v>23</v>
      </c>
      <c r="Z1664" s="17">
        <f>Table1[[#This Row],[Reporting third]]-Table1[[#This Row],[Policy third]]</f>
        <v>1</v>
      </c>
      <c r="AA1664" s="71" t="str">
        <f>IF(Table1[[#This Row],[Overall amount]]=0,"N/A",Table1[[#This Row],[Outstanding]]/Table1[[#This Row],[Overall amount]])</f>
        <v>N/A</v>
      </c>
      <c r="AB1664" s="17">
        <f>IF(MONTH(Table1[[#This Row],[Loss date]])&lt;Pol_Inc_Month_Shifted,YEAR(Table1[[#This Row],[Loss date]])-1,YEAR(Table1[[#This Row],[Loss date]]))</f>
        <v>2011</v>
      </c>
      <c r="AC1664" s="17">
        <f>IF(MONTH(Table1[[#This Row],[Reporting date]])&lt;Pol_Inc_Month_Shifted,YEAR(Table1[[#This Row],[Reporting date]])-1,YEAR(Table1[[#This Row],[Reporting date]]))</f>
        <v>2012</v>
      </c>
      <c r="AD1664" s="17">
        <f>Table1[[#This Row],[Reporting year (shifted)]]-Table1[[#This Row],[Policy Year (shifted)]]</f>
        <v>1</v>
      </c>
    </row>
    <row r="1665" spans="1:30" ht="13.9">
      <c r="A1665" s="8" t="s">
        <v>3435</v>
      </c>
      <c r="B1665" s="8" t="s">
        <v>1717</v>
      </c>
      <c r="C1665" s="8" t="s">
        <v>118</v>
      </c>
      <c r="D1665" s="9">
        <v>41339</v>
      </c>
      <c r="E1665" s="9">
        <v>41341</v>
      </c>
      <c r="F1665" s="17">
        <f>IF(MONTH(Table1[[#This Row],[Loss date]])&lt;Policy_Inception_Month,YEAR(Table1[[#This Row],[Loss date]])-1,YEAR(Table1[[#This Row],[Loss date]]))</f>
        <v>2012</v>
      </c>
      <c r="G1665" s="10" t="s">
        <v>129</v>
      </c>
      <c r="H1665" s="10" t="s">
        <v>2</v>
      </c>
      <c r="I1665" s="11">
        <v>0</v>
      </c>
      <c r="J1665" s="11">
        <v>0</v>
      </c>
      <c r="K1665" s="11">
        <v>0</v>
      </c>
      <c r="L1665" s="12">
        <v>0</v>
      </c>
      <c r="M1665" s="12">
        <v>0</v>
      </c>
      <c r="N1665" s="12">
        <v>0</v>
      </c>
      <c r="O1665" s="70">
        <f>IF(Table1[[#This Row],[Overall amount]]=0,0,1)</f>
        <v>0</v>
      </c>
      <c r="P1665" s="70">
        <f>Table1[[#This Row],[Overall amount]]*Exchange_Rate</f>
        <v>0</v>
      </c>
      <c r="Q1665" s="70">
        <f>Table1[[#This Row],[Overall (destination currency)]]*(1+Claims_Inflation)^((Revalue_at_date-Table1[[#This Row],[Loss date]])/365.25)</f>
        <v>0</v>
      </c>
      <c r="R1665" s="70">
        <f>INT(Table1[[#This Row],[Reporting date]])-INT(Table1[[#This Row],[Loss date]])</f>
        <v>2</v>
      </c>
      <c r="S1665" s="69" t="s">
        <v>9</v>
      </c>
      <c r="T1665" s="70">
        <f>VLOOKUP(Table1[[#This Row],[Policy Year]],exposure_table,3,FALSE)</f>
        <v>1057.54</v>
      </c>
      <c r="U1665" s="17">
        <f>IF(MONTH(Table1[[#This Row],[Reporting date]])&lt;Policy_Inception_Month,YEAR(Table1[[#This Row],[Reporting date]])-1,YEAR(Table1[[#This Row],[Reporting date]]))</f>
        <v>2012</v>
      </c>
      <c r="V1665" s="17">
        <f>Table1[[#This Row],[Reporting year]]-Table1[[#This Row],[Policy Year]]</f>
        <v>0</v>
      </c>
      <c r="W1665" s="17">
        <f>INT(Table1[[#This Row],[Reporting date]])-INT(Table1[[#This Row],[Loss date]])</f>
        <v>2</v>
      </c>
      <c r="X1665" s="17">
        <f>INT((YEAR(Table1[[#This Row],[Loss date]])*12+MONTH(Table1[[#This Row],[Loss date]])-Earliest_Month)/4)</f>
        <v>23</v>
      </c>
      <c r="Y1665" s="17">
        <f>INT((YEAR(Table1[[#This Row],[Reporting date]])*12+MONTH(Table1[[#This Row],[Reporting date]])-Earliest_Month)/4)</f>
        <v>23</v>
      </c>
      <c r="Z1665" s="17">
        <f>Table1[[#This Row],[Reporting third]]-Table1[[#This Row],[Policy third]]</f>
        <v>0</v>
      </c>
      <c r="AA1665" s="71" t="str">
        <f>IF(Table1[[#This Row],[Overall amount]]=0,"N/A",Table1[[#This Row],[Outstanding]]/Table1[[#This Row],[Overall amount]])</f>
        <v>N/A</v>
      </c>
      <c r="AB1665" s="17">
        <f>IF(MONTH(Table1[[#This Row],[Loss date]])&lt;Pol_Inc_Month_Shifted,YEAR(Table1[[#This Row],[Loss date]])-1,YEAR(Table1[[#This Row],[Loss date]]))</f>
        <v>2012</v>
      </c>
      <c r="AC1665" s="17">
        <f>IF(MONTH(Table1[[#This Row],[Reporting date]])&lt;Pol_Inc_Month_Shifted,YEAR(Table1[[#This Row],[Reporting date]])-1,YEAR(Table1[[#This Row],[Reporting date]]))</f>
        <v>2012</v>
      </c>
      <c r="AD1665" s="17">
        <f>Table1[[#This Row],[Reporting year (shifted)]]-Table1[[#This Row],[Policy Year (shifted)]]</f>
        <v>0</v>
      </c>
    </row>
    <row r="1666" spans="1:30" ht="13.9">
      <c r="A1666" s="8" t="s">
        <v>3436</v>
      </c>
      <c r="B1666" s="8" t="s">
        <v>1718</v>
      </c>
      <c r="C1666" s="8" t="s">
        <v>118</v>
      </c>
      <c r="D1666" s="9">
        <v>40818</v>
      </c>
      <c r="E1666" s="9">
        <v>41341</v>
      </c>
      <c r="F1666" s="17">
        <f>IF(MONTH(Table1[[#This Row],[Loss date]])&lt;Policy_Inception_Month,YEAR(Table1[[#This Row],[Loss date]])-1,YEAR(Table1[[#This Row],[Loss date]]))</f>
        <v>2011</v>
      </c>
      <c r="G1666" s="10" t="s">
        <v>121</v>
      </c>
      <c r="H1666" s="10" t="s">
        <v>2</v>
      </c>
      <c r="I1666" s="11">
        <v>0</v>
      </c>
      <c r="J1666" s="11">
        <v>987.3748546615268</v>
      </c>
      <c r="K1666" s="11">
        <v>987.3748546615268</v>
      </c>
      <c r="L1666" s="12">
        <v>0</v>
      </c>
      <c r="M1666" s="12">
        <v>0</v>
      </c>
      <c r="N1666" s="12">
        <v>987.3748546615268</v>
      </c>
      <c r="O1666" s="70">
        <f>IF(Table1[[#This Row],[Overall amount]]=0,0,1)</f>
        <v>1</v>
      </c>
      <c r="P1666" s="70">
        <f>Table1[[#This Row],[Overall amount]]*Exchange_Rate</f>
        <v>987.3748546615268</v>
      </c>
      <c r="Q1666" s="70">
        <f>Table1[[#This Row],[Overall (destination currency)]]*(1+Claims_Inflation)^((Revalue_at_date-Table1[[#This Row],[Loss date]])/365.25)</f>
        <v>1200</v>
      </c>
      <c r="R1666" s="70">
        <f>INT(Table1[[#This Row],[Reporting date]])-INT(Table1[[#This Row],[Loss date]])</f>
        <v>523</v>
      </c>
      <c r="S1666" s="69" t="s">
        <v>16</v>
      </c>
      <c r="T1666" s="70">
        <f>VLOOKUP(Table1[[#This Row],[Policy Year]],exposure_table,3,FALSE)</f>
        <v>870.52680000000009</v>
      </c>
      <c r="U1666" s="17">
        <f>IF(MONTH(Table1[[#This Row],[Reporting date]])&lt;Policy_Inception_Month,YEAR(Table1[[#This Row],[Reporting date]])-1,YEAR(Table1[[#This Row],[Reporting date]]))</f>
        <v>2012</v>
      </c>
      <c r="V1666" s="17">
        <f>Table1[[#This Row],[Reporting year]]-Table1[[#This Row],[Policy Year]]</f>
        <v>1</v>
      </c>
      <c r="W1666" s="17">
        <f>INT(Table1[[#This Row],[Reporting date]])-INT(Table1[[#This Row],[Loss date]])</f>
        <v>523</v>
      </c>
      <c r="X1666" s="17">
        <f>INT((YEAR(Table1[[#This Row],[Loss date]])*12+MONTH(Table1[[#This Row],[Loss date]])-Earliest_Month)/4)</f>
        <v>19</v>
      </c>
      <c r="Y1666" s="17">
        <f>INT((YEAR(Table1[[#This Row],[Reporting date]])*12+MONTH(Table1[[#This Row],[Reporting date]])-Earliest_Month)/4)</f>
        <v>23</v>
      </c>
      <c r="Z1666" s="17">
        <f>Table1[[#This Row],[Reporting third]]-Table1[[#This Row],[Policy third]]</f>
        <v>4</v>
      </c>
      <c r="AA1666" s="71">
        <f>IF(Table1[[#This Row],[Overall amount]]=0,"N/A",Table1[[#This Row],[Outstanding]]/Table1[[#This Row],[Overall amount]])</f>
        <v>1</v>
      </c>
      <c r="AB1666" s="17">
        <f>IF(MONTH(Table1[[#This Row],[Loss date]])&lt;Pol_Inc_Month_Shifted,YEAR(Table1[[#This Row],[Loss date]])-1,YEAR(Table1[[#This Row],[Loss date]]))</f>
        <v>2010</v>
      </c>
      <c r="AC1666" s="17">
        <f>IF(MONTH(Table1[[#This Row],[Reporting date]])&lt;Pol_Inc_Month_Shifted,YEAR(Table1[[#This Row],[Reporting date]])-1,YEAR(Table1[[#This Row],[Reporting date]]))</f>
        <v>2012</v>
      </c>
      <c r="AD1666" s="17">
        <f>Table1[[#This Row],[Reporting year (shifted)]]-Table1[[#This Row],[Policy Year (shifted)]]</f>
        <v>2</v>
      </c>
    </row>
    <row r="1667" spans="1:30" ht="13.9">
      <c r="A1667" s="8" t="s">
        <v>3437</v>
      </c>
      <c r="B1667" s="8" t="s">
        <v>1719</v>
      </c>
      <c r="C1667" s="8" t="s">
        <v>118</v>
      </c>
      <c r="D1667" s="9">
        <v>41350</v>
      </c>
      <c r="E1667" s="9">
        <v>41401</v>
      </c>
      <c r="F1667" s="17">
        <f>IF(MONTH(Table1[[#This Row],[Loss date]])&lt;Policy_Inception_Month,YEAR(Table1[[#This Row],[Loss date]])-1,YEAR(Table1[[#This Row],[Loss date]]))</f>
        <v>2012</v>
      </c>
      <c r="G1667" s="10" t="s">
        <v>131</v>
      </c>
      <c r="H1667" s="10" t="s">
        <v>2</v>
      </c>
      <c r="I1667" s="11">
        <v>795.07173841543727</v>
      </c>
      <c r="J1667" s="11">
        <v>0</v>
      </c>
      <c r="K1667" s="11">
        <v>795.07173841543727</v>
      </c>
      <c r="L1667" s="12">
        <v>0</v>
      </c>
      <c r="M1667" s="12">
        <v>33.39301301344836</v>
      </c>
      <c r="N1667" s="12">
        <v>761.67872540198891</v>
      </c>
      <c r="O1667" s="70">
        <f>IF(Table1[[#This Row],[Overall amount]]=0,0,1)</f>
        <v>1</v>
      </c>
      <c r="P1667" s="70">
        <f>Table1[[#This Row],[Overall amount]]*Exchange_Rate</f>
        <v>761.67872540198891</v>
      </c>
      <c r="Q1667" s="70">
        <f>Table1[[#This Row],[Overall (destination currency)]]*(1+Claims_Inflation)^((Revalue_at_date-Table1[[#This Row],[Loss date]])/365.25)</f>
        <v>862.19999999999993</v>
      </c>
      <c r="R1667" s="70">
        <f>INT(Table1[[#This Row],[Reporting date]])-INT(Table1[[#This Row],[Loss date]])</f>
        <v>51</v>
      </c>
      <c r="S1667" s="69" t="s">
        <v>9</v>
      </c>
      <c r="T1667" s="70">
        <f>VLOOKUP(Table1[[#This Row],[Policy Year]],exposure_table,3,FALSE)</f>
        <v>1057.54</v>
      </c>
      <c r="U1667" s="17">
        <f>IF(MONTH(Table1[[#This Row],[Reporting date]])&lt;Policy_Inception_Month,YEAR(Table1[[#This Row],[Reporting date]])-1,YEAR(Table1[[#This Row],[Reporting date]]))</f>
        <v>2013</v>
      </c>
      <c r="V1667" s="17">
        <f>Table1[[#This Row],[Reporting year]]-Table1[[#This Row],[Policy Year]]</f>
        <v>1</v>
      </c>
      <c r="W1667" s="17">
        <f>INT(Table1[[#This Row],[Reporting date]])-INT(Table1[[#This Row],[Loss date]])</f>
        <v>51</v>
      </c>
      <c r="X1667" s="17">
        <f>INT((YEAR(Table1[[#This Row],[Loss date]])*12+MONTH(Table1[[#This Row],[Loss date]])-Earliest_Month)/4)</f>
        <v>23</v>
      </c>
      <c r="Y1667" s="17">
        <f>INT((YEAR(Table1[[#This Row],[Reporting date]])*12+MONTH(Table1[[#This Row],[Reporting date]])-Earliest_Month)/4)</f>
        <v>24</v>
      </c>
      <c r="Z1667" s="17">
        <f>Table1[[#This Row],[Reporting third]]-Table1[[#This Row],[Policy third]]</f>
        <v>1</v>
      </c>
      <c r="AA1667" s="71">
        <f>IF(Table1[[#This Row],[Overall amount]]=0,"N/A",Table1[[#This Row],[Outstanding]]/Table1[[#This Row],[Overall amount]])</f>
        <v>0</v>
      </c>
      <c r="AB1667" s="17">
        <f>IF(MONTH(Table1[[#This Row],[Loss date]])&lt;Pol_Inc_Month_Shifted,YEAR(Table1[[#This Row],[Loss date]])-1,YEAR(Table1[[#This Row],[Loss date]]))</f>
        <v>2012</v>
      </c>
      <c r="AC1667" s="17">
        <f>IF(MONTH(Table1[[#This Row],[Reporting date]])&lt;Pol_Inc_Month_Shifted,YEAR(Table1[[#This Row],[Reporting date]])-1,YEAR(Table1[[#This Row],[Reporting date]]))</f>
        <v>2012</v>
      </c>
      <c r="AD1667" s="17">
        <f>Table1[[#This Row],[Reporting year (shifted)]]-Table1[[#This Row],[Policy Year (shifted)]]</f>
        <v>0</v>
      </c>
    </row>
    <row r="1668" spans="1:30" ht="13.9">
      <c r="A1668" s="8" t="s">
        <v>3438</v>
      </c>
      <c r="B1668" s="8" t="s">
        <v>1720</v>
      </c>
      <c r="C1668" s="8" t="s">
        <v>118</v>
      </c>
      <c r="D1668" s="9">
        <v>41311</v>
      </c>
      <c r="E1668" s="9">
        <v>41440</v>
      </c>
      <c r="F1668" s="17">
        <f>IF(MONTH(Table1[[#This Row],[Loss date]])&lt;Policy_Inception_Month,YEAR(Table1[[#This Row],[Loss date]])-1,YEAR(Table1[[#This Row],[Loss date]]))</f>
        <v>2012</v>
      </c>
      <c r="G1668" s="10" t="s">
        <v>121</v>
      </c>
      <c r="H1668" s="10" t="s">
        <v>2</v>
      </c>
      <c r="I1668" s="11">
        <v>0</v>
      </c>
      <c r="J1668" s="11">
        <v>0</v>
      </c>
      <c r="K1668" s="11">
        <v>0</v>
      </c>
      <c r="L1668" s="12">
        <v>0</v>
      </c>
      <c r="M1668" s="12">
        <v>0</v>
      </c>
      <c r="N1668" s="12">
        <v>0</v>
      </c>
      <c r="O1668" s="70">
        <f>IF(Table1[[#This Row],[Overall amount]]=0,0,1)</f>
        <v>0</v>
      </c>
      <c r="P1668" s="70">
        <f>Table1[[#This Row],[Overall amount]]*Exchange_Rate</f>
        <v>0</v>
      </c>
      <c r="Q1668" s="70">
        <f>Table1[[#This Row],[Overall (destination currency)]]*(1+Claims_Inflation)^((Revalue_at_date-Table1[[#This Row],[Loss date]])/365.25)</f>
        <v>0</v>
      </c>
      <c r="R1668" s="70">
        <f>INT(Table1[[#This Row],[Reporting date]])-INT(Table1[[#This Row],[Loss date]])</f>
        <v>129</v>
      </c>
      <c r="S1668" s="69" t="s">
        <v>9</v>
      </c>
      <c r="T1668" s="70">
        <f>VLOOKUP(Table1[[#This Row],[Policy Year]],exposure_table,3,FALSE)</f>
        <v>1057.54</v>
      </c>
      <c r="U1668" s="17">
        <f>IF(MONTH(Table1[[#This Row],[Reporting date]])&lt;Policy_Inception_Month,YEAR(Table1[[#This Row],[Reporting date]])-1,YEAR(Table1[[#This Row],[Reporting date]]))</f>
        <v>2013</v>
      </c>
      <c r="V1668" s="17">
        <f>Table1[[#This Row],[Reporting year]]-Table1[[#This Row],[Policy Year]]</f>
        <v>1</v>
      </c>
      <c r="W1668" s="17">
        <f>INT(Table1[[#This Row],[Reporting date]])-INT(Table1[[#This Row],[Loss date]])</f>
        <v>129</v>
      </c>
      <c r="X1668" s="17">
        <f>INT((YEAR(Table1[[#This Row],[Loss date]])*12+MONTH(Table1[[#This Row],[Loss date]])-Earliest_Month)/4)</f>
        <v>23</v>
      </c>
      <c r="Y1668" s="17">
        <f>INT((YEAR(Table1[[#This Row],[Reporting date]])*12+MONTH(Table1[[#This Row],[Reporting date]])-Earliest_Month)/4)</f>
        <v>24</v>
      </c>
      <c r="Z1668" s="17">
        <f>Table1[[#This Row],[Reporting third]]-Table1[[#This Row],[Policy third]]</f>
        <v>1</v>
      </c>
      <c r="AA1668" s="71" t="str">
        <f>IF(Table1[[#This Row],[Overall amount]]=0,"N/A",Table1[[#This Row],[Outstanding]]/Table1[[#This Row],[Overall amount]])</f>
        <v>N/A</v>
      </c>
      <c r="AB1668" s="17">
        <f>IF(MONTH(Table1[[#This Row],[Loss date]])&lt;Pol_Inc_Month_Shifted,YEAR(Table1[[#This Row],[Loss date]])-1,YEAR(Table1[[#This Row],[Loss date]]))</f>
        <v>2012</v>
      </c>
      <c r="AC1668" s="17">
        <f>IF(MONTH(Table1[[#This Row],[Reporting date]])&lt;Pol_Inc_Month_Shifted,YEAR(Table1[[#This Row],[Reporting date]])-1,YEAR(Table1[[#This Row],[Reporting date]]))</f>
        <v>2012</v>
      </c>
      <c r="AD1668" s="17">
        <f>Table1[[#This Row],[Reporting year (shifted)]]-Table1[[#This Row],[Policy Year (shifted)]]</f>
        <v>0</v>
      </c>
    </row>
    <row r="1669" spans="1:30" ht="13.9">
      <c r="A1669" s="8" t="s">
        <v>3439</v>
      </c>
      <c r="B1669" s="8" t="s">
        <v>1721</v>
      </c>
      <c r="C1669" s="8" t="s">
        <v>118</v>
      </c>
      <c r="D1669" s="9">
        <v>41255</v>
      </c>
      <c r="E1669" s="9">
        <v>41454</v>
      </c>
      <c r="F1669" s="17">
        <f>IF(MONTH(Table1[[#This Row],[Loss date]])&lt;Policy_Inception_Month,YEAR(Table1[[#This Row],[Loss date]])-1,YEAR(Table1[[#This Row],[Loss date]]))</f>
        <v>2012</v>
      </c>
      <c r="G1669" s="10" t="s">
        <v>129</v>
      </c>
      <c r="H1669" s="10" t="s">
        <v>2</v>
      </c>
      <c r="I1669" s="11">
        <v>0</v>
      </c>
      <c r="J1669" s="11">
        <v>0</v>
      </c>
      <c r="K1669" s="11">
        <v>0</v>
      </c>
      <c r="L1669" s="12">
        <v>314.01837324607419</v>
      </c>
      <c r="M1669" s="12">
        <v>0</v>
      </c>
      <c r="N1669" s="12">
        <v>314.01837324607419</v>
      </c>
      <c r="O1669" s="70">
        <f>IF(Table1[[#This Row],[Overall amount]]=0,0,1)</f>
        <v>1</v>
      </c>
      <c r="P1669" s="70">
        <f>Table1[[#This Row],[Overall amount]]*Exchange_Rate</f>
        <v>314.01837324607419</v>
      </c>
      <c r="Q1669" s="70">
        <f>Table1[[#This Row],[Overall (destination currency)]]*(1+Claims_Inflation)^((Revalue_at_date-Table1[[#This Row],[Loss date]])/365.25)</f>
        <v>360</v>
      </c>
      <c r="R1669" s="70">
        <f>INT(Table1[[#This Row],[Reporting date]])-INT(Table1[[#This Row],[Loss date]])</f>
        <v>199</v>
      </c>
      <c r="S1669" s="69" t="s">
        <v>9</v>
      </c>
      <c r="T1669" s="70">
        <f>VLOOKUP(Table1[[#This Row],[Policy Year]],exposure_table,3,FALSE)</f>
        <v>1057.54</v>
      </c>
      <c r="U1669" s="17">
        <f>IF(MONTH(Table1[[#This Row],[Reporting date]])&lt;Policy_Inception_Month,YEAR(Table1[[#This Row],[Reporting date]])-1,YEAR(Table1[[#This Row],[Reporting date]]))</f>
        <v>2013</v>
      </c>
      <c r="V1669" s="17">
        <f>Table1[[#This Row],[Reporting year]]-Table1[[#This Row],[Policy Year]]</f>
        <v>1</v>
      </c>
      <c r="W1669" s="17">
        <f>INT(Table1[[#This Row],[Reporting date]])-INT(Table1[[#This Row],[Loss date]])</f>
        <v>199</v>
      </c>
      <c r="X1669" s="17">
        <f>INT((YEAR(Table1[[#This Row],[Loss date]])*12+MONTH(Table1[[#This Row],[Loss date]])-Earliest_Month)/4)</f>
        <v>23</v>
      </c>
      <c r="Y1669" s="17">
        <f>INT((YEAR(Table1[[#This Row],[Reporting date]])*12+MONTH(Table1[[#This Row],[Reporting date]])-Earliest_Month)/4)</f>
        <v>24</v>
      </c>
      <c r="Z1669" s="17">
        <f>Table1[[#This Row],[Reporting third]]-Table1[[#This Row],[Policy third]]</f>
        <v>1</v>
      </c>
      <c r="AA1669" s="71">
        <f>IF(Table1[[#This Row],[Overall amount]]=0,"N/A",Table1[[#This Row],[Outstanding]]/Table1[[#This Row],[Overall amount]])</f>
        <v>0</v>
      </c>
      <c r="AB1669" s="17">
        <f>IF(MONTH(Table1[[#This Row],[Loss date]])&lt;Pol_Inc_Month_Shifted,YEAR(Table1[[#This Row],[Loss date]])-1,YEAR(Table1[[#This Row],[Loss date]]))</f>
        <v>2012</v>
      </c>
      <c r="AC1669" s="17">
        <f>IF(MONTH(Table1[[#This Row],[Reporting date]])&lt;Pol_Inc_Month_Shifted,YEAR(Table1[[#This Row],[Reporting date]])-1,YEAR(Table1[[#This Row],[Reporting date]]))</f>
        <v>2012</v>
      </c>
      <c r="AD1669" s="17">
        <f>Table1[[#This Row],[Reporting year (shifted)]]-Table1[[#This Row],[Policy Year (shifted)]]</f>
        <v>0</v>
      </c>
    </row>
    <row r="1670" spans="1:30" ht="13.9">
      <c r="A1670" s="8" t="s">
        <v>3440</v>
      </c>
      <c r="B1670" s="8" t="s">
        <v>1722</v>
      </c>
      <c r="C1670" s="8" t="s">
        <v>118</v>
      </c>
      <c r="D1670" s="9">
        <v>41580</v>
      </c>
      <c r="E1670" s="9">
        <v>41595</v>
      </c>
      <c r="F1670" s="17">
        <f>IF(MONTH(Table1[[#This Row],[Loss date]])&lt;Policy_Inception_Month,YEAR(Table1[[#This Row],[Loss date]])-1,YEAR(Table1[[#This Row],[Loss date]]))</f>
        <v>2013</v>
      </c>
      <c r="G1670" s="10" t="s">
        <v>121</v>
      </c>
      <c r="H1670" s="10" t="s">
        <v>2</v>
      </c>
      <c r="I1670" s="11">
        <v>0</v>
      </c>
      <c r="J1670" s="11">
        <v>0</v>
      </c>
      <c r="K1670" s="11">
        <v>0</v>
      </c>
      <c r="L1670" s="12">
        <v>0</v>
      </c>
      <c r="M1670" s="12">
        <v>0</v>
      </c>
      <c r="N1670" s="12">
        <v>0</v>
      </c>
      <c r="O1670" s="70">
        <f>IF(Table1[[#This Row],[Overall amount]]=0,0,1)</f>
        <v>0</v>
      </c>
      <c r="P1670" s="70">
        <f>Table1[[#This Row],[Overall amount]]*Exchange_Rate</f>
        <v>0</v>
      </c>
      <c r="Q1670" s="70">
        <f>Table1[[#This Row],[Overall (destination currency)]]*(1+Claims_Inflation)^((Revalue_at_date-Table1[[#This Row],[Loss date]])/365.25)</f>
        <v>0</v>
      </c>
      <c r="R1670" s="70">
        <f>INT(Table1[[#This Row],[Reporting date]])-INT(Table1[[#This Row],[Loss date]])</f>
        <v>15</v>
      </c>
      <c r="S1670" s="69" t="s">
        <v>9</v>
      </c>
      <c r="T1670" s="70">
        <f>VLOOKUP(Table1[[#This Row],[Policy Year]],exposure_table,3,FALSE)</f>
        <v>1090.5865384615383</v>
      </c>
      <c r="U1670" s="17">
        <f>IF(MONTH(Table1[[#This Row],[Reporting date]])&lt;Policy_Inception_Month,YEAR(Table1[[#This Row],[Reporting date]])-1,YEAR(Table1[[#This Row],[Reporting date]]))</f>
        <v>2013</v>
      </c>
      <c r="V1670" s="17">
        <f>Table1[[#This Row],[Reporting year]]-Table1[[#This Row],[Policy Year]]</f>
        <v>0</v>
      </c>
      <c r="W1670" s="17">
        <f>INT(Table1[[#This Row],[Reporting date]])-INT(Table1[[#This Row],[Loss date]])</f>
        <v>15</v>
      </c>
      <c r="X1670" s="17">
        <f>INT((YEAR(Table1[[#This Row],[Loss date]])*12+MONTH(Table1[[#This Row],[Loss date]])-Earliest_Month)/4)</f>
        <v>25</v>
      </c>
      <c r="Y1670" s="17">
        <f>INT((YEAR(Table1[[#This Row],[Reporting date]])*12+MONTH(Table1[[#This Row],[Reporting date]])-Earliest_Month)/4)</f>
        <v>25</v>
      </c>
      <c r="Z1670" s="17">
        <f>Table1[[#This Row],[Reporting third]]-Table1[[#This Row],[Policy third]]</f>
        <v>0</v>
      </c>
      <c r="AA1670" s="71" t="str">
        <f>IF(Table1[[#This Row],[Overall amount]]=0,"N/A",Table1[[#This Row],[Outstanding]]/Table1[[#This Row],[Overall amount]])</f>
        <v>N/A</v>
      </c>
      <c r="AB1670" s="17">
        <f>IF(MONTH(Table1[[#This Row],[Loss date]])&lt;Pol_Inc_Month_Shifted,YEAR(Table1[[#This Row],[Loss date]])-1,YEAR(Table1[[#This Row],[Loss date]]))</f>
        <v>2012</v>
      </c>
      <c r="AC1670" s="17">
        <f>IF(MONTH(Table1[[#This Row],[Reporting date]])&lt;Pol_Inc_Month_Shifted,YEAR(Table1[[#This Row],[Reporting date]])-1,YEAR(Table1[[#This Row],[Reporting date]]))</f>
        <v>2012</v>
      </c>
      <c r="AD1670" s="17">
        <f>Table1[[#This Row],[Reporting year (shifted)]]-Table1[[#This Row],[Policy Year (shifted)]]</f>
        <v>0</v>
      </c>
    </row>
    <row r="1671" spans="1:30" ht="13.9">
      <c r="A1671" s="8" t="s">
        <v>3441</v>
      </c>
      <c r="B1671" s="8" t="s">
        <v>1723</v>
      </c>
      <c r="C1671" s="8" t="s">
        <v>118</v>
      </c>
      <c r="D1671" s="9">
        <v>41555</v>
      </c>
      <c r="E1671" s="9">
        <v>41594</v>
      </c>
      <c r="F1671" s="17">
        <f>IF(MONTH(Table1[[#This Row],[Loss date]])&lt;Policy_Inception_Month,YEAR(Table1[[#This Row],[Loss date]])-1,YEAR(Table1[[#This Row],[Loss date]]))</f>
        <v>2013</v>
      </c>
      <c r="G1671" s="10" t="s">
        <v>121</v>
      </c>
      <c r="H1671" s="10" t="s">
        <v>2</v>
      </c>
      <c r="I1671" s="11">
        <v>5447.6318554616983</v>
      </c>
      <c r="J1671" s="11">
        <v>0</v>
      </c>
      <c r="K1671" s="11">
        <v>5447.6318554616983</v>
      </c>
      <c r="L1671" s="12">
        <v>0</v>
      </c>
      <c r="M1671" s="12">
        <v>0</v>
      </c>
      <c r="N1671" s="12">
        <v>5447.6318554616983</v>
      </c>
      <c r="O1671" s="70">
        <f>IF(Table1[[#This Row],[Overall amount]]=0,0,1)</f>
        <v>1</v>
      </c>
      <c r="P1671" s="70">
        <f>Table1[[#This Row],[Overall amount]]*Exchange_Rate</f>
        <v>5447.6318554616983</v>
      </c>
      <c r="Q1671" s="70">
        <f>Table1[[#This Row],[Overall (destination currency)]]*(1+Claims_Inflation)^((Revalue_at_date-Table1[[#This Row],[Loss date]])/365.25)</f>
        <v>6000</v>
      </c>
      <c r="R1671" s="70">
        <f>INT(Table1[[#This Row],[Reporting date]])-INT(Table1[[#This Row],[Loss date]])</f>
        <v>39</v>
      </c>
      <c r="S1671" s="69" t="s">
        <v>9</v>
      </c>
      <c r="T1671" s="70">
        <f>VLOOKUP(Table1[[#This Row],[Policy Year]],exposure_table,3,FALSE)</f>
        <v>1090.5865384615383</v>
      </c>
      <c r="U1671" s="17">
        <f>IF(MONTH(Table1[[#This Row],[Reporting date]])&lt;Policy_Inception_Month,YEAR(Table1[[#This Row],[Reporting date]])-1,YEAR(Table1[[#This Row],[Reporting date]]))</f>
        <v>2013</v>
      </c>
      <c r="V1671" s="17">
        <f>Table1[[#This Row],[Reporting year]]-Table1[[#This Row],[Policy Year]]</f>
        <v>0</v>
      </c>
      <c r="W1671" s="17">
        <f>INT(Table1[[#This Row],[Reporting date]])-INT(Table1[[#This Row],[Loss date]])</f>
        <v>39</v>
      </c>
      <c r="X1671" s="17">
        <f>INT((YEAR(Table1[[#This Row],[Loss date]])*12+MONTH(Table1[[#This Row],[Loss date]])-Earliest_Month)/4)</f>
        <v>25</v>
      </c>
      <c r="Y1671" s="17">
        <f>INT((YEAR(Table1[[#This Row],[Reporting date]])*12+MONTH(Table1[[#This Row],[Reporting date]])-Earliest_Month)/4)</f>
        <v>25</v>
      </c>
      <c r="Z1671" s="17">
        <f>Table1[[#This Row],[Reporting third]]-Table1[[#This Row],[Policy third]]</f>
        <v>0</v>
      </c>
      <c r="AA1671" s="71">
        <f>IF(Table1[[#This Row],[Overall amount]]=0,"N/A",Table1[[#This Row],[Outstanding]]/Table1[[#This Row],[Overall amount]])</f>
        <v>0</v>
      </c>
      <c r="AB1671" s="17">
        <f>IF(MONTH(Table1[[#This Row],[Loss date]])&lt;Pol_Inc_Month_Shifted,YEAR(Table1[[#This Row],[Loss date]])-1,YEAR(Table1[[#This Row],[Loss date]]))</f>
        <v>2012</v>
      </c>
      <c r="AC1671" s="17">
        <f>IF(MONTH(Table1[[#This Row],[Reporting date]])&lt;Pol_Inc_Month_Shifted,YEAR(Table1[[#This Row],[Reporting date]])-1,YEAR(Table1[[#This Row],[Reporting date]]))</f>
        <v>2012</v>
      </c>
      <c r="AD1671" s="17">
        <f>Table1[[#This Row],[Reporting year (shifted)]]-Table1[[#This Row],[Policy Year (shifted)]]</f>
        <v>0</v>
      </c>
    </row>
    <row r="1672" spans="1:30" ht="13.9">
      <c r="A1672" s="8" t="s">
        <v>3442</v>
      </c>
      <c r="B1672" s="8" t="s">
        <v>1724</v>
      </c>
      <c r="C1672" s="8" t="s">
        <v>118</v>
      </c>
      <c r="D1672" s="9">
        <v>41627</v>
      </c>
      <c r="E1672" s="9">
        <v>41663</v>
      </c>
      <c r="F1672" s="17">
        <f>IF(MONTH(Table1[[#This Row],[Loss date]])&lt;Policy_Inception_Month,YEAR(Table1[[#This Row],[Loss date]])-1,YEAR(Table1[[#This Row],[Loss date]]))</f>
        <v>2013</v>
      </c>
      <c r="G1672" s="10" t="s">
        <v>128</v>
      </c>
      <c r="H1672" s="10" t="s">
        <v>2</v>
      </c>
      <c r="I1672" s="11">
        <v>2730.3383528578584</v>
      </c>
      <c r="J1672" s="11">
        <v>0</v>
      </c>
      <c r="K1672" s="11">
        <v>2730.3383528578584</v>
      </c>
      <c r="L1672" s="12">
        <v>330.01672274671932</v>
      </c>
      <c r="M1672" s="12">
        <v>0</v>
      </c>
      <c r="N1672" s="12">
        <v>3060.3550756045779</v>
      </c>
      <c r="O1672" s="70">
        <f>IF(Table1[[#This Row],[Overall amount]]=0,0,1)</f>
        <v>1</v>
      </c>
      <c r="P1672" s="70">
        <f>Table1[[#This Row],[Overall amount]]*Exchange_Rate</f>
        <v>3060.3550756045779</v>
      </c>
      <c r="Q1672" s="70">
        <f>Table1[[#This Row],[Overall (destination currency)]]*(1+Claims_Inflation)^((Revalue_at_date-Table1[[#This Row],[Loss date]])/365.25)</f>
        <v>3338.4000000000005</v>
      </c>
      <c r="R1672" s="70">
        <f>INT(Table1[[#This Row],[Reporting date]])-INT(Table1[[#This Row],[Loss date]])</f>
        <v>36</v>
      </c>
      <c r="S1672" s="69" t="s">
        <v>9</v>
      </c>
      <c r="T1672" s="70">
        <f>VLOOKUP(Table1[[#This Row],[Policy Year]],exposure_table,3,FALSE)</f>
        <v>1090.5865384615383</v>
      </c>
      <c r="U1672" s="17">
        <f>IF(MONTH(Table1[[#This Row],[Reporting date]])&lt;Policy_Inception_Month,YEAR(Table1[[#This Row],[Reporting date]])-1,YEAR(Table1[[#This Row],[Reporting date]]))</f>
        <v>2013</v>
      </c>
      <c r="V1672" s="17">
        <f>Table1[[#This Row],[Reporting year]]-Table1[[#This Row],[Policy Year]]</f>
        <v>0</v>
      </c>
      <c r="W1672" s="17">
        <f>INT(Table1[[#This Row],[Reporting date]])-INT(Table1[[#This Row],[Loss date]])</f>
        <v>36</v>
      </c>
      <c r="X1672" s="17">
        <f>INT((YEAR(Table1[[#This Row],[Loss date]])*12+MONTH(Table1[[#This Row],[Loss date]])-Earliest_Month)/4)</f>
        <v>26</v>
      </c>
      <c r="Y1672" s="17">
        <f>INT((YEAR(Table1[[#This Row],[Reporting date]])*12+MONTH(Table1[[#This Row],[Reporting date]])-Earliest_Month)/4)</f>
        <v>26</v>
      </c>
      <c r="Z1672" s="17">
        <f>Table1[[#This Row],[Reporting third]]-Table1[[#This Row],[Policy third]]</f>
        <v>0</v>
      </c>
      <c r="AA1672" s="71">
        <f>IF(Table1[[#This Row],[Overall amount]]=0,"N/A",Table1[[#This Row],[Outstanding]]/Table1[[#This Row],[Overall amount]])</f>
        <v>0</v>
      </c>
      <c r="AB1672" s="17">
        <f>IF(MONTH(Table1[[#This Row],[Loss date]])&lt;Pol_Inc_Month_Shifted,YEAR(Table1[[#This Row],[Loss date]])-1,YEAR(Table1[[#This Row],[Loss date]]))</f>
        <v>2013</v>
      </c>
      <c r="AC1672" s="17">
        <f>IF(MONTH(Table1[[#This Row],[Reporting date]])&lt;Pol_Inc_Month_Shifted,YEAR(Table1[[#This Row],[Reporting date]])-1,YEAR(Table1[[#This Row],[Reporting date]]))</f>
        <v>2013</v>
      </c>
      <c r="AD1672" s="17">
        <f>Table1[[#This Row],[Reporting year (shifted)]]-Table1[[#This Row],[Policy Year (shifted)]]</f>
        <v>0</v>
      </c>
    </row>
    <row r="1673" spans="1:30" ht="13.9">
      <c r="A1673" s="8" t="s">
        <v>3443</v>
      </c>
      <c r="B1673" s="8" t="s">
        <v>1725</v>
      </c>
      <c r="C1673" s="8" t="s">
        <v>118</v>
      </c>
      <c r="D1673" s="9">
        <v>41656</v>
      </c>
      <c r="E1673" s="9">
        <v>41658</v>
      </c>
      <c r="F1673" s="17">
        <f>IF(MONTH(Table1[[#This Row],[Loss date]])&lt;Policy_Inception_Month,YEAR(Table1[[#This Row],[Loss date]])-1,YEAR(Table1[[#This Row],[Loss date]]))</f>
        <v>2013</v>
      </c>
      <c r="G1673" s="10" t="s">
        <v>121</v>
      </c>
      <c r="H1673" s="10" t="s">
        <v>2</v>
      </c>
      <c r="I1673" s="11">
        <v>893.50970633680004</v>
      </c>
      <c r="J1673" s="11">
        <v>1315.1411559467249</v>
      </c>
      <c r="K1673" s="11">
        <v>2208.6508622835249</v>
      </c>
      <c r="L1673" s="12">
        <v>0</v>
      </c>
      <c r="M1673" s="12">
        <v>0</v>
      </c>
      <c r="N1673" s="12">
        <v>2208.6508622835249</v>
      </c>
      <c r="O1673" s="70">
        <f>IF(Table1[[#This Row],[Overall amount]]=0,0,1)</f>
        <v>1</v>
      </c>
      <c r="P1673" s="70">
        <f>Table1[[#This Row],[Overall amount]]*Exchange_Rate</f>
        <v>2208.6508622835249</v>
      </c>
      <c r="Q1673" s="70">
        <f>Table1[[#This Row],[Overall (destination currency)]]*(1+Claims_Inflation)^((Revalue_at_date-Table1[[#This Row],[Loss date]])/365.25)</f>
        <v>2400</v>
      </c>
      <c r="R1673" s="70">
        <f>INT(Table1[[#This Row],[Reporting date]])-INT(Table1[[#This Row],[Loss date]])</f>
        <v>2</v>
      </c>
      <c r="S1673" s="69" t="s">
        <v>16</v>
      </c>
      <c r="T1673" s="70">
        <f>VLOOKUP(Table1[[#This Row],[Policy Year]],exposure_table,3,FALSE)</f>
        <v>1090.5865384615383</v>
      </c>
      <c r="U1673" s="17">
        <f>IF(MONTH(Table1[[#This Row],[Reporting date]])&lt;Policy_Inception_Month,YEAR(Table1[[#This Row],[Reporting date]])-1,YEAR(Table1[[#This Row],[Reporting date]]))</f>
        <v>2013</v>
      </c>
      <c r="V1673" s="17">
        <f>Table1[[#This Row],[Reporting year]]-Table1[[#This Row],[Policy Year]]</f>
        <v>0</v>
      </c>
      <c r="W1673" s="17">
        <f>INT(Table1[[#This Row],[Reporting date]])-INT(Table1[[#This Row],[Loss date]])</f>
        <v>2</v>
      </c>
      <c r="X1673" s="17">
        <f>INT((YEAR(Table1[[#This Row],[Loss date]])*12+MONTH(Table1[[#This Row],[Loss date]])-Earliest_Month)/4)</f>
        <v>26</v>
      </c>
      <c r="Y1673" s="17">
        <f>INT((YEAR(Table1[[#This Row],[Reporting date]])*12+MONTH(Table1[[#This Row],[Reporting date]])-Earliest_Month)/4)</f>
        <v>26</v>
      </c>
      <c r="Z1673" s="17">
        <f>Table1[[#This Row],[Reporting third]]-Table1[[#This Row],[Policy third]]</f>
        <v>0</v>
      </c>
      <c r="AA1673" s="71">
        <f>IF(Table1[[#This Row],[Overall amount]]=0,"N/A",Table1[[#This Row],[Outstanding]]/Table1[[#This Row],[Overall amount]])</f>
        <v>0.59545000000000003</v>
      </c>
      <c r="AB1673" s="17">
        <f>IF(MONTH(Table1[[#This Row],[Loss date]])&lt;Pol_Inc_Month_Shifted,YEAR(Table1[[#This Row],[Loss date]])-1,YEAR(Table1[[#This Row],[Loss date]]))</f>
        <v>2013</v>
      </c>
      <c r="AC1673" s="17">
        <f>IF(MONTH(Table1[[#This Row],[Reporting date]])&lt;Pol_Inc_Month_Shifted,YEAR(Table1[[#This Row],[Reporting date]])-1,YEAR(Table1[[#This Row],[Reporting date]]))</f>
        <v>2013</v>
      </c>
      <c r="AD1673" s="17">
        <f>Table1[[#This Row],[Reporting year (shifted)]]-Table1[[#This Row],[Policy Year (shifted)]]</f>
        <v>0</v>
      </c>
    </row>
    <row r="1674" spans="1:30" ht="13.9">
      <c r="A1674" s="8" t="s">
        <v>3444</v>
      </c>
      <c r="B1674" s="8" t="s">
        <v>1726</v>
      </c>
      <c r="C1674" s="8" t="s">
        <v>118</v>
      </c>
      <c r="D1674" s="9">
        <v>41597</v>
      </c>
      <c r="E1674" s="9">
        <v>41602</v>
      </c>
      <c r="F1674" s="17">
        <f>IF(MONTH(Table1[[#This Row],[Loss date]])&lt;Policy_Inception_Month,YEAR(Table1[[#This Row],[Loss date]])-1,YEAR(Table1[[#This Row],[Loss date]]))</f>
        <v>2013</v>
      </c>
      <c r="G1674" s="10" t="s">
        <v>121</v>
      </c>
      <c r="H1674" s="10" t="s">
        <v>2</v>
      </c>
      <c r="I1674" s="11">
        <v>696.83733946810889</v>
      </c>
      <c r="J1674" s="11">
        <v>0</v>
      </c>
      <c r="K1674" s="11">
        <v>696.83733946810889</v>
      </c>
      <c r="L1674" s="12">
        <v>0</v>
      </c>
      <c r="M1674" s="12">
        <v>0</v>
      </c>
      <c r="N1674" s="12">
        <v>696.83733946810889</v>
      </c>
      <c r="O1674" s="70">
        <f>IF(Table1[[#This Row],[Overall amount]]=0,0,1)</f>
        <v>1</v>
      </c>
      <c r="P1674" s="70">
        <f>Table1[[#This Row],[Overall amount]]*Exchange_Rate</f>
        <v>696.83733946810889</v>
      </c>
      <c r="Q1674" s="70">
        <f>Table1[[#This Row],[Overall (destination currency)]]*(1+Claims_Inflation)^((Revalue_at_date-Table1[[#This Row],[Loss date]])/365.25)</f>
        <v>763.19999999999993</v>
      </c>
      <c r="R1674" s="70">
        <f>INT(Table1[[#This Row],[Reporting date]])-INT(Table1[[#This Row],[Loss date]])</f>
        <v>5</v>
      </c>
      <c r="S1674" s="69" t="s">
        <v>9</v>
      </c>
      <c r="T1674" s="70">
        <f>VLOOKUP(Table1[[#This Row],[Policy Year]],exposure_table,3,FALSE)</f>
        <v>1090.5865384615383</v>
      </c>
      <c r="U1674" s="17">
        <f>IF(MONTH(Table1[[#This Row],[Reporting date]])&lt;Policy_Inception_Month,YEAR(Table1[[#This Row],[Reporting date]])-1,YEAR(Table1[[#This Row],[Reporting date]]))</f>
        <v>2013</v>
      </c>
      <c r="V1674" s="17">
        <f>Table1[[#This Row],[Reporting year]]-Table1[[#This Row],[Policy Year]]</f>
        <v>0</v>
      </c>
      <c r="W1674" s="17">
        <f>INT(Table1[[#This Row],[Reporting date]])-INT(Table1[[#This Row],[Loss date]])</f>
        <v>5</v>
      </c>
      <c r="X1674" s="17">
        <f>INT((YEAR(Table1[[#This Row],[Loss date]])*12+MONTH(Table1[[#This Row],[Loss date]])-Earliest_Month)/4)</f>
        <v>25</v>
      </c>
      <c r="Y1674" s="17">
        <f>INT((YEAR(Table1[[#This Row],[Reporting date]])*12+MONTH(Table1[[#This Row],[Reporting date]])-Earliest_Month)/4)</f>
        <v>25</v>
      </c>
      <c r="Z1674" s="17">
        <f>Table1[[#This Row],[Reporting third]]-Table1[[#This Row],[Policy third]]</f>
        <v>0</v>
      </c>
      <c r="AA1674" s="71">
        <f>IF(Table1[[#This Row],[Overall amount]]=0,"N/A",Table1[[#This Row],[Outstanding]]/Table1[[#This Row],[Overall amount]])</f>
        <v>0</v>
      </c>
      <c r="AB1674" s="17">
        <f>IF(MONTH(Table1[[#This Row],[Loss date]])&lt;Pol_Inc_Month_Shifted,YEAR(Table1[[#This Row],[Loss date]])-1,YEAR(Table1[[#This Row],[Loss date]]))</f>
        <v>2012</v>
      </c>
      <c r="AC1674" s="17">
        <f>IF(MONTH(Table1[[#This Row],[Reporting date]])&lt;Pol_Inc_Month_Shifted,YEAR(Table1[[#This Row],[Reporting date]])-1,YEAR(Table1[[#This Row],[Reporting date]]))</f>
        <v>2012</v>
      </c>
      <c r="AD1674" s="17">
        <f>Table1[[#This Row],[Reporting year (shifted)]]-Table1[[#This Row],[Policy Year (shifted)]]</f>
        <v>0</v>
      </c>
    </row>
    <row r="1675" spans="1:30" ht="13.9">
      <c r="A1675" s="8" t="s">
        <v>3445</v>
      </c>
      <c r="B1675" s="8" t="s">
        <v>1727</v>
      </c>
      <c r="C1675" s="8" t="s">
        <v>118</v>
      </c>
      <c r="D1675" s="9">
        <v>41360</v>
      </c>
      <c r="E1675" s="9">
        <v>41685</v>
      </c>
      <c r="F1675" s="17">
        <f>IF(MONTH(Table1[[#This Row],[Loss date]])&lt;Policy_Inception_Month,YEAR(Table1[[#This Row],[Loss date]])-1,YEAR(Table1[[#This Row],[Loss date]]))</f>
        <v>2012</v>
      </c>
      <c r="G1675" s="10" t="s">
        <v>129</v>
      </c>
      <c r="H1675" s="10" t="s">
        <v>2</v>
      </c>
      <c r="I1675" s="11">
        <v>0</v>
      </c>
      <c r="J1675" s="11">
        <v>9553.6140769800841</v>
      </c>
      <c r="K1675" s="11">
        <v>9553.6140769800841</v>
      </c>
      <c r="L1675" s="12">
        <v>0</v>
      </c>
      <c r="M1675" s="12">
        <v>0</v>
      </c>
      <c r="N1675" s="12">
        <v>9553.6140769800841</v>
      </c>
      <c r="O1675" s="70">
        <f>IF(Table1[[#This Row],[Overall amount]]=0,0,1)</f>
        <v>1</v>
      </c>
      <c r="P1675" s="70">
        <f>Table1[[#This Row],[Overall amount]]*Exchange_Rate</f>
        <v>9553.6140769800841</v>
      </c>
      <c r="Q1675" s="70">
        <f>Table1[[#This Row],[Overall (destination currency)]]*(1+Claims_Inflation)^((Revalue_at_date-Table1[[#This Row],[Loss date]])/365.25)</f>
        <v>10800</v>
      </c>
      <c r="R1675" s="70">
        <f>INT(Table1[[#This Row],[Reporting date]])-INT(Table1[[#This Row],[Loss date]])</f>
        <v>325</v>
      </c>
      <c r="S1675" s="69" t="s">
        <v>16</v>
      </c>
      <c r="T1675" s="70">
        <f>VLOOKUP(Table1[[#This Row],[Policy Year]],exposure_table,3,FALSE)</f>
        <v>1057.54</v>
      </c>
      <c r="U1675" s="17">
        <f>IF(MONTH(Table1[[#This Row],[Reporting date]])&lt;Policy_Inception_Month,YEAR(Table1[[#This Row],[Reporting date]])-1,YEAR(Table1[[#This Row],[Reporting date]]))</f>
        <v>2013</v>
      </c>
      <c r="V1675" s="17">
        <f>Table1[[#This Row],[Reporting year]]-Table1[[#This Row],[Policy Year]]</f>
        <v>1</v>
      </c>
      <c r="W1675" s="17">
        <f>INT(Table1[[#This Row],[Reporting date]])-INT(Table1[[#This Row],[Loss date]])</f>
        <v>325</v>
      </c>
      <c r="X1675" s="17">
        <f>INT((YEAR(Table1[[#This Row],[Loss date]])*12+MONTH(Table1[[#This Row],[Loss date]])-Earliest_Month)/4)</f>
        <v>23</v>
      </c>
      <c r="Y1675" s="17">
        <f>INT((YEAR(Table1[[#This Row],[Reporting date]])*12+MONTH(Table1[[#This Row],[Reporting date]])-Earliest_Month)/4)</f>
        <v>26</v>
      </c>
      <c r="Z1675" s="17">
        <f>Table1[[#This Row],[Reporting third]]-Table1[[#This Row],[Policy third]]</f>
        <v>3</v>
      </c>
      <c r="AA1675" s="71">
        <f>IF(Table1[[#This Row],[Overall amount]]=0,"N/A",Table1[[#This Row],[Outstanding]]/Table1[[#This Row],[Overall amount]])</f>
        <v>1</v>
      </c>
      <c r="AB1675" s="17">
        <f>IF(MONTH(Table1[[#This Row],[Loss date]])&lt;Pol_Inc_Month_Shifted,YEAR(Table1[[#This Row],[Loss date]])-1,YEAR(Table1[[#This Row],[Loss date]]))</f>
        <v>2012</v>
      </c>
      <c r="AC1675" s="17">
        <f>IF(MONTH(Table1[[#This Row],[Reporting date]])&lt;Pol_Inc_Month_Shifted,YEAR(Table1[[#This Row],[Reporting date]])-1,YEAR(Table1[[#This Row],[Reporting date]]))</f>
        <v>2013</v>
      </c>
      <c r="AD1675" s="17">
        <f>Table1[[#This Row],[Reporting year (shifted)]]-Table1[[#This Row],[Policy Year (shifted)]]</f>
        <v>1</v>
      </c>
    </row>
    <row r="1676" spans="1:30" ht="13.9">
      <c r="A1676" s="8" t="s">
        <v>3446</v>
      </c>
      <c r="B1676" s="8" t="s">
        <v>1728</v>
      </c>
      <c r="C1676" s="8" t="s">
        <v>118</v>
      </c>
      <c r="D1676" s="9">
        <v>41519</v>
      </c>
      <c r="E1676" s="9">
        <v>41686</v>
      </c>
      <c r="F1676" s="17">
        <f>IF(MONTH(Table1[[#This Row],[Loss date]])&lt;Policy_Inception_Month,YEAR(Table1[[#This Row],[Loss date]])-1,YEAR(Table1[[#This Row],[Loss date]]))</f>
        <v>2013</v>
      </c>
      <c r="G1676" s="10" t="s">
        <v>131</v>
      </c>
      <c r="H1676" s="10" t="s">
        <v>2</v>
      </c>
      <c r="I1676" s="11">
        <v>0</v>
      </c>
      <c r="J1676" s="11">
        <v>1536.4524478708845</v>
      </c>
      <c r="K1676" s="11">
        <v>1536.4524478708845</v>
      </c>
      <c r="L1676" s="12">
        <v>0</v>
      </c>
      <c r="M1676" s="12">
        <v>0</v>
      </c>
      <c r="N1676" s="12">
        <v>1536.4524478708845</v>
      </c>
      <c r="O1676" s="70">
        <f>IF(Table1[[#This Row],[Overall amount]]=0,0,1)</f>
        <v>1</v>
      </c>
      <c r="P1676" s="70">
        <f>Table1[[#This Row],[Overall amount]]*Exchange_Rate</f>
        <v>1536.4524478708845</v>
      </c>
      <c r="Q1676" s="70">
        <f>Table1[[#This Row],[Overall (destination currency)]]*(1+Claims_Inflation)^((Revalue_at_date-Table1[[#This Row],[Loss date]])/365.25)</f>
        <v>1700.4000000000003</v>
      </c>
      <c r="R1676" s="70">
        <f>INT(Table1[[#This Row],[Reporting date]])-INT(Table1[[#This Row],[Loss date]])</f>
        <v>167</v>
      </c>
      <c r="S1676" s="69" t="s">
        <v>16</v>
      </c>
      <c r="T1676" s="70">
        <f>VLOOKUP(Table1[[#This Row],[Policy Year]],exposure_table,3,FALSE)</f>
        <v>1090.5865384615383</v>
      </c>
      <c r="U1676" s="17">
        <f>IF(MONTH(Table1[[#This Row],[Reporting date]])&lt;Policy_Inception_Month,YEAR(Table1[[#This Row],[Reporting date]])-1,YEAR(Table1[[#This Row],[Reporting date]]))</f>
        <v>2013</v>
      </c>
      <c r="V1676" s="17">
        <f>Table1[[#This Row],[Reporting year]]-Table1[[#This Row],[Policy Year]]</f>
        <v>0</v>
      </c>
      <c r="W1676" s="17">
        <f>INT(Table1[[#This Row],[Reporting date]])-INT(Table1[[#This Row],[Loss date]])</f>
        <v>167</v>
      </c>
      <c r="X1676" s="17">
        <f>INT((YEAR(Table1[[#This Row],[Loss date]])*12+MONTH(Table1[[#This Row],[Loss date]])-Earliest_Month)/4)</f>
        <v>25</v>
      </c>
      <c r="Y1676" s="17">
        <f>INT((YEAR(Table1[[#This Row],[Reporting date]])*12+MONTH(Table1[[#This Row],[Reporting date]])-Earliest_Month)/4)</f>
        <v>26</v>
      </c>
      <c r="Z1676" s="17">
        <f>Table1[[#This Row],[Reporting third]]-Table1[[#This Row],[Policy third]]</f>
        <v>1</v>
      </c>
      <c r="AA1676" s="71">
        <f>IF(Table1[[#This Row],[Overall amount]]=0,"N/A",Table1[[#This Row],[Outstanding]]/Table1[[#This Row],[Overall amount]])</f>
        <v>1</v>
      </c>
      <c r="AB1676" s="17">
        <f>IF(MONTH(Table1[[#This Row],[Loss date]])&lt;Pol_Inc_Month_Shifted,YEAR(Table1[[#This Row],[Loss date]])-1,YEAR(Table1[[#This Row],[Loss date]]))</f>
        <v>2012</v>
      </c>
      <c r="AC1676" s="17">
        <f>IF(MONTH(Table1[[#This Row],[Reporting date]])&lt;Pol_Inc_Month_Shifted,YEAR(Table1[[#This Row],[Reporting date]])-1,YEAR(Table1[[#This Row],[Reporting date]]))</f>
        <v>2013</v>
      </c>
      <c r="AD1676" s="17">
        <f>Table1[[#This Row],[Reporting year (shifted)]]-Table1[[#This Row],[Policy Year (shifted)]]</f>
        <v>1</v>
      </c>
    </row>
    <row r="1677" spans="1:30" ht="13.9">
      <c r="A1677" s="8" t="s">
        <v>3447</v>
      </c>
      <c r="B1677" s="8" t="s">
        <v>1729</v>
      </c>
      <c r="C1677" s="8" t="s">
        <v>118</v>
      </c>
      <c r="D1677" s="9">
        <v>41722</v>
      </c>
      <c r="E1677" s="9">
        <v>41722</v>
      </c>
      <c r="F1677" s="17">
        <f>IF(MONTH(Table1[[#This Row],[Loss date]])&lt;Policy_Inception_Month,YEAR(Table1[[#This Row],[Loss date]])-1,YEAR(Table1[[#This Row],[Loss date]]))</f>
        <v>2013</v>
      </c>
      <c r="G1677" s="10" t="s">
        <v>129</v>
      </c>
      <c r="H1677" s="10" t="s">
        <v>2</v>
      </c>
      <c r="I1677" s="11">
        <v>0</v>
      </c>
      <c r="J1677" s="11">
        <v>5570.5226575980269</v>
      </c>
      <c r="K1677" s="11">
        <v>5570.5226575980269</v>
      </c>
      <c r="L1677" s="12">
        <v>0</v>
      </c>
      <c r="M1677" s="12">
        <v>0</v>
      </c>
      <c r="N1677" s="12">
        <v>5570.5226575980269</v>
      </c>
      <c r="O1677" s="70">
        <f>IF(Table1[[#This Row],[Overall amount]]=0,0,1)</f>
        <v>1</v>
      </c>
      <c r="P1677" s="70">
        <f>Table1[[#This Row],[Overall amount]]*Exchange_Rate</f>
        <v>5570.5226575980269</v>
      </c>
      <c r="Q1677" s="70">
        <f>Table1[[#This Row],[Overall (destination currency)]]*(1+Claims_Inflation)^((Revalue_at_date-Table1[[#This Row],[Loss date]])/365.25)</f>
        <v>6000</v>
      </c>
      <c r="R1677" s="70">
        <f>INT(Table1[[#This Row],[Reporting date]])-INT(Table1[[#This Row],[Loss date]])</f>
        <v>0</v>
      </c>
      <c r="S1677" s="69" t="s">
        <v>16</v>
      </c>
      <c r="T1677" s="70">
        <f>VLOOKUP(Table1[[#This Row],[Policy Year]],exposure_table,3,FALSE)</f>
        <v>1090.5865384615383</v>
      </c>
      <c r="U1677" s="17">
        <f>IF(MONTH(Table1[[#This Row],[Reporting date]])&lt;Policy_Inception_Month,YEAR(Table1[[#This Row],[Reporting date]])-1,YEAR(Table1[[#This Row],[Reporting date]]))</f>
        <v>2013</v>
      </c>
      <c r="V1677" s="17">
        <f>Table1[[#This Row],[Reporting year]]-Table1[[#This Row],[Policy Year]]</f>
        <v>0</v>
      </c>
      <c r="W1677" s="17">
        <f>INT(Table1[[#This Row],[Reporting date]])-INT(Table1[[#This Row],[Loss date]])</f>
        <v>0</v>
      </c>
      <c r="X1677" s="17">
        <f>INT((YEAR(Table1[[#This Row],[Loss date]])*12+MONTH(Table1[[#This Row],[Loss date]])-Earliest_Month)/4)</f>
        <v>26</v>
      </c>
      <c r="Y1677" s="17">
        <f>INT((YEAR(Table1[[#This Row],[Reporting date]])*12+MONTH(Table1[[#This Row],[Reporting date]])-Earliest_Month)/4)</f>
        <v>26</v>
      </c>
      <c r="Z1677" s="17">
        <f>Table1[[#This Row],[Reporting third]]-Table1[[#This Row],[Policy third]]</f>
        <v>0</v>
      </c>
      <c r="AA1677" s="71">
        <f>IF(Table1[[#This Row],[Overall amount]]=0,"N/A",Table1[[#This Row],[Outstanding]]/Table1[[#This Row],[Overall amount]])</f>
        <v>1</v>
      </c>
      <c r="AB1677" s="17">
        <f>IF(MONTH(Table1[[#This Row],[Loss date]])&lt;Pol_Inc_Month_Shifted,YEAR(Table1[[#This Row],[Loss date]])-1,YEAR(Table1[[#This Row],[Loss date]]))</f>
        <v>2013</v>
      </c>
      <c r="AC1677" s="17">
        <f>IF(MONTH(Table1[[#This Row],[Reporting date]])&lt;Pol_Inc_Month_Shifted,YEAR(Table1[[#This Row],[Reporting date]])-1,YEAR(Table1[[#This Row],[Reporting date]]))</f>
        <v>2013</v>
      </c>
      <c r="AD1677" s="17">
        <f>Table1[[#This Row],[Reporting year (shifted)]]-Table1[[#This Row],[Policy Year (shifted)]]</f>
        <v>0</v>
      </c>
    </row>
    <row r="1678" spans="1:30" ht="13.9">
      <c r="A1678" s="8" t="s">
        <v>3448</v>
      </c>
      <c r="B1678" s="8" t="s">
        <v>1730</v>
      </c>
      <c r="C1678" s="8" t="s">
        <v>118</v>
      </c>
      <c r="D1678" s="9">
        <v>41213</v>
      </c>
      <c r="E1678" s="9">
        <v>41707</v>
      </c>
      <c r="F1678" s="17">
        <f>IF(MONTH(Table1[[#This Row],[Loss date]])&lt;Policy_Inception_Month,YEAR(Table1[[#This Row],[Loss date]])-1,YEAR(Table1[[#This Row],[Loss date]]))</f>
        <v>2012</v>
      </c>
      <c r="G1678" s="10" t="s">
        <v>129</v>
      </c>
      <c r="H1678" s="10" t="s">
        <v>2</v>
      </c>
      <c r="I1678" s="11">
        <v>0</v>
      </c>
      <c r="J1678" s="11">
        <v>18735.692847339633</v>
      </c>
      <c r="K1678" s="11">
        <v>18735.692847339633</v>
      </c>
      <c r="L1678" s="12">
        <v>0</v>
      </c>
      <c r="M1678" s="12">
        <v>0</v>
      </c>
      <c r="N1678" s="12">
        <v>18735.692847339633</v>
      </c>
      <c r="O1678" s="70">
        <f>IF(Table1[[#This Row],[Overall amount]]=0,0,1)</f>
        <v>1</v>
      </c>
      <c r="P1678" s="70">
        <f>Table1[[#This Row],[Overall amount]]*Exchange_Rate</f>
        <v>18735.692847339633</v>
      </c>
      <c r="Q1678" s="70">
        <f>Table1[[#This Row],[Overall (destination currency)]]*(1+Claims_Inflation)^((Revalue_at_date-Table1[[#This Row],[Loss date]])/365.25)</f>
        <v>21600</v>
      </c>
      <c r="R1678" s="70">
        <f>INT(Table1[[#This Row],[Reporting date]])-INT(Table1[[#This Row],[Loss date]])</f>
        <v>494</v>
      </c>
      <c r="S1678" s="69" t="s">
        <v>16</v>
      </c>
      <c r="T1678" s="70">
        <f>VLOOKUP(Table1[[#This Row],[Policy Year]],exposure_table,3,FALSE)</f>
        <v>1057.54</v>
      </c>
      <c r="U1678" s="17">
        <f>IF(MONTH(Table1[[#This Row],[Reporting date]])&lt;Policy_Inception_Month,YEAR(Table1[[#This Row],[Reporting date]])-1,YEAR(Table1[[#This Row],[Reporting date]]))</f>
        <v>2013</v>
      </c>
      <c r="V1678" s="17">
        <f>Table1[[#This Row],[Reporting year]]-Table1[[#This Row],[Policy Year]]</f>
        <v>1</v>
      </c>
      <c r="W1678" s="17">
        <f>INT(Table1[[#This Row],[Reporting date]])-INT(Table1[[#This Row],[Loss date]])</f>
        <v>494</v>
      </c>
      <c r="X1678" s="17">
        <f>INT((YEAR(Table1[[#This Row],[Loss date]])*12+MONTH(Table1[[#This Row],[Loss date]])-Earliest_Month)/4)</f>
        <v>22</v>
      </c>
      <c r="Y1678" s="17">
        <f>INT((YEAR(Table1[[#This Row],[Reporting date]])*12+MONTH(Table1[[#This Row],[Reporting date]])-Earliest_Month)/4)</f>
        <v>26</v>
      </c>
      <c r="Z1678" s="17">
        <f>Table1[[#This Row],[Reporting third]]-Table1[[#This Row],[Policy third]]</f>
        <v>4</v>
      </c>
      <c r="AA1678" s="71">
        <f>IF(Table1[[#This Row],[Overall amount]]=0,"N/A",Table1[[#This Row],[Outstanding]]/Table1[[#This Row],[Overall amount]])</f>
        <v>1</v>
      </c>
      <c r="AB1678" s="17">
        <f>IF(MONTH(Table1[[#This Row],[Loss date]])&lt;Pol_Inc_Month_Shifted,YEAR(Table1[[#This Row],[Loss date]])-1,YEAR(Table1[[#This Row],[Loss date]]))</f>
        <v>2011</v>
      </c>
      <c r="AC1678" s="17">
        <f>IF(MONTH(Table1[[#This Row],[Reporting date]])&lt;Pol_Inc_Month_Shifted,YEAR(Table1[[#This Row],[Reporting date]])-1,YEAR(Table1[[#This Row],[Reporting date]]))</f>
        <v>2013</v>
      </c>
      <c r="AD1678" s="17">
        <f>Table1[[#This Row],[Reporting year (shifted)]]-Table1[[#This Row],[Policy Year (shifted)]]</f>
        <v>2</v>
      </c>
    </row>
    <row r="1679" spans="1:30" ht="13.9">
      <c r="A1679" s="8" t="s">
        <v>3449</v>
      </c>
      <c r="B1679" s="8" t="s">
        <v>1731</v>
      </c>
      <c r="C1679" s="8" t="s">
        <v>118</v>
      </c>
      <c r="D1679" s="9">
        <v>41616</v>
      </c>
      <c r="E1679" s="9">
        <v>41744</v>
      </c>
      <c r="F1679" s="17">
        <f>IF(MONTH(Table1[[#This Row],[Loss date]])&lt;Policy_Inception_Month,YEAR(Table1[[#This Row],[Loss date]])-1,YEAR(Table1[[#This Row],[Loss date]]))</f>
        <v>2013</v>
      </c>
      <c r="G1679" s="10" t="s">
        <v>124</v>
      </c>
      <c r="H1679" s="10" t="s">
        <v>2</v>
      </c>
      <c r="I1679" s="11">
        <v>0</v>
      </c>
      <c r="J1679" s="11">
        <v>2841.6656440355264</v>
      </c>
      <c r="K1679" s="11">
        <v>2841.6656440355264</v>
      </c>
      <c r="L1679" s="12">
        <v>0</v>
      </c>
      <c r="M1679" s="12">
        <v>0</v>
      </c>
      <c r="N1679" s="12">
        <v>2841.6656440355264</v>
      </c>
      <c r="O1679" s="70">
        <f>IF(Table1[[#This Row],[Overall amount]]=0,0,1)</f>
        <v>1</v>
      </c>
      <c r="P1679" s="70">
        <f>Table1[[#This Row],[Overall amount]]*Exchange_Rate</f>
        <v>2841.6656440355264</v>
      </c>
      <c r="Q1679" s="70">
        <f>Table1[[#This Row],[Overall (destination currency)]]*(1+Claims_Inflation)^((Revalue_at_date-Table1[[#This Row],[Loss date]])/365.25)</f>
        <v>3104.3999999999996</v>
      </c>
      <c r="R1679" s="70">
        <f>INT(Table1[[#This Row],[Reporting date]])-INT(Table1[[#This Row],[Loss date]])</f>
        <v>128</v>
      </c>
      <c r="S1679" s="69" t="s">
        <v>16</v>
      </c>
      <c r="T1679" s="70">
        <f>VLOOKUP(Table1[[#This Row],[Policy Year]],exposure_table,3,FALSE)</f>
        <v>1090.5865384615383</v>
      </c>
      <c r="U1679" s="17">
        <f>IF(MONTH(Table1[[#This Row],[Reporting date]])&lt;Policy_Inception_Month,YEAR(Table1[[#This Row],[Reporting date]])-1,YEAR(Table1[[#This Row],[Reporting date]]))</f>
        <v>2014</v>
      </c>
      <c r="V1679" s="17">
        <f>Table1[[#This Row],[Reporting year]]-Table1[[#This Row],[Policy Year]]</f>
        <v>1</v>
      </c>
      <c r="W1679" s="17">
        <f>INT(Table1[[#This Row],[Reporting date]])-INT(Table1[[#This Row],[Loss date]])</f>
        <v>128</v>
      </c>
      <c r="X1679" s="17">
        <f>INT((YEAR(Table1[[#This Row],[Loss date]])*12+MONTH(Table1[[#This Row],[Loss date]])-Earliest_Month)/4)</f>
        <v>26</v>
      </c>
      <c r="Y1679" s="17">
        <f>INT((YEAR(Table1[[#This Row],[Reporting date]])*12+MONTH(Table1[[#This Row],[Reporting date]])-Earliest_Month)/4)</f>
        <v>27</v>
      </c>
      <c r="Z1679" s="17">
        <f>Table1[[#This Row],[Reporting third]]-Table1[[#This Row],[Policy third]]</f>
        <v>1</v>
      </c>
      <c r="AA1679" s="71">
        <f>IF(Table1[[#This Row],[Overall amount]]=0,"N/A",Table1[[#This Row],[Outstanding]]/Table1[[#This Row],[Overall amount]])</f>
        <v>1</v>
      </c>
      <c r="AB1679" s="17">
        <f>IF(MONTH(Table1[[#This Row],[Loss date]])&lt;Pol_Inc_Month_Shifted,YEAR(Table1[[#This Row],[Loss date]])-1,YEAR(Table1[[#This Row],[Loss date]]))</f>
        <v>2013</v>
      </c>
      <c r="AC1679" s="17">
        <f>IF(MONTH(Table1[[#This Row],[Reporting date]])&lt;Pol_Inc_Month_Shifted,YEAR(Table1[[#This Row],[Reporting date]])-1,YEAR(Table1[[#This Row],[Reporting date]]))</f>
        <v>2013</v>
      </c>
      <c r="AD1679" s="17">
        <f>Table1[[#This Row],[Reporting year (shifted)]]-Table1[[#This Row],[Policy Year (shifted)]]</f>
        <v>0</v>
      </c>
    </row>
    <row r="1680" spans="1:30" ht="13.9">
      <c r="A1680" s="8" t="s">
        <v>3450</v>
      </c>
      <c r="B1680" s="8" t="s">
        <v>1732</v>
      </c>
      <c r="C1680" s="8" t="s">
        <v>118</v>
      </c>
      <c r="D1680" s="9">
        <v>41636</v>
      </c>
      <c r="E1680" s="9">
        <v>41834</v>
      </c>
      <c r="F1680" s="17">
        <f>IF(MONTH(Table1[[#This Row],[Loss date]])&lt;Policy_Inception_Month,YEAR(Table1[[#This Row],[Loss date]])-1,YEAR(Table1[[#This Row],[Loss date]]))</f>
        <v>2013</v>
      </c>
      <c r="G1680" s="10" t="s">
        <v>129</v>
      </c>
      <c r="H1680" s="10" t="s">
        <v>2</v>
      </c>
      <c r="I1680" s="11">
        <v>0</v>
      </c>
      <c r="J1680" s="11">
        <v>330.41371460191067</v>
      </c>
      <c r="K1680" s="11">
        <v>330.41371460191067</v>
      </c>
      <c r="L1680" s="12">
        <v>0</v>
      </c>
      <c r="M1680" s="12">
        <v>0</v>
      </c>
      <c r="N1680" s="12">
        <v>330.41371460191067</v>
      </c>
      <c r="O1680" s="70">
        <f>IF(Table1[[#This Row],[Overall amount]]=0,0,1)</f>
        <v>1</v>
      </c>
      <c r="P1680" s="70">
        <f>Table1[[#This Row],[Overall amount]]*Exchange_Rate</f>
        <v>330.41371460191067</v>
      </c>
      <c r="Q1680" s="70">
        <f>Table1[[#This Row],[Overall (destination currency)]]*(1+Claims_Inflation)^((Revalue_at_date-Table1[[#This Row],[Loss date]])/365.25)</f>
        <v>360</v>
      </c>
      <c r="R1680" s="70">
        <f>INT(Table1[[#This Row],[Reporting date]])-INT(Table1[[#This Row],[Loss date]])</f>
        <v>198</v>
      </c>
      <c r="S1680" s="69" t="s">
        <v>16</v>
      </c>
      <c r="T1680" s="70">
        <f>VLOOKUP(Table1[[#This Row],[Policy Year]],exposure_table,3,FALSE)</f>
        <v>1090.5865384615383</v>
      </c>
      <c r="U1680" s="17">
        <f>IF(MONTH(Table1[[#This Row],[Reporting date]])&lt;Policy_Inception_Month,YEAR(Table1[[#This Row],[Reporting date]])-1,YEAR(Table1[[#This Row],[Reporting date]]))</f>
        <v>2014</v>
      </c>
      <c r="V1680" s="17">
        <f>Table1[[#This Row],[Reporting year]]-Table1[[#This Row],[Policy Year]]</f>
        <v>1</v>
      </c>
      <c r="W1680" s="17">
        <f>INT(Table1[[#This Row],[Reporting date]])-INT(Table1[[#This Row],[Loss date]])</f>
        <v>198</v>
      </c>
      <c r="X1680" s="17">
        <f>INT((YEAR(Table1[[#This Row],[Loss date]])*12+MONTH(Table1[[#This Row],[Loss date]])-Earliest_Month)/4)</f>
        <v>26</v>
      </c>
      <c r="Y1680" s="17">
        <f>INT((YEAR(Table1[[#This Row],[Reporting date]])*12+MONTH(Table1[[#This Row],[Reporting date]])-Earliest_Month)/4)</f>
        <v>27</v>
      </c>
      <c r="Z1680" s="17">
        <f>Table1[[#This Row],[Reporting third]]-Table1[[#This Row],[Policy third]]</f>
        <v>1</v>
      </c>
      <c r="AA1680" s="71">
        <f>IF(Table1[[#This Row],[Overall amount]]=0,"N/A",Table1[[#This Row],[Outstanding]]/Table1[[#This Row],[Overall amount]])</f>
        <v>1</v>
      </c>
      <c r="AB1680" s="17">
        <f>IF(MONTH(Table1[[#This Row],[Loss date]])&lt;Pol_Inc_Month_Shifted,YEAR(Table1[[#This Row],[Loss date]])-1,YEAR(Table1[[#This Row],[Loss date]]))</f>
        <v>2013</v>
      </c>
      <c r="AC1680" s="17">
        <f>IF(MONTH(Table1[[#This Row],[Reporting date]])&lt;Pol_Inc_Month_Shifted,YEAR(Table1[[#This Row],[Reporting date]])-1,YEAR(Table1[[#This Row],[Reporting date]]))</f>
        <v>2013</v>
      </c>
      <c r="AD1680" s="17">
        <f>Table1[[#This Row],[Reporting year (shifted)]]-Table1[[#This Row],[Policy Year (shifted)]]</f>
        <v>0</v>
      </c>
    </row>
    <row r="1681" spans="1:30" ht="13.9">
      <c r="A1681" s="8" t="s">
        <v>3451</v>
      </c>
      <c r="B1681" s="8" t="s">
        <v>1733</v>
      </c>
      <c r="C1681" s="8" t="s">
        <v>118</v>
      </c>
      <c r="D1681" s="9">
        <v>41799</v>
      </c>
      <c r="E1681" s="9">
        <v>41853</v>
      </c>
      <c r="F1681" s="17">
        <f>IF(MONTH(Table1[[#This Row],[Loss date]])&lt;Policy_Inception_Month,YEAR(Table1[[#This Row],[Loss date]])-1,YEAR(Table1[[#This Row],[Loss date]]))</f>
        <v>2014</v>
      </c>
      <c r="G1681" s="10" t="s">
        <v>148</v>
      </c>
      <c r="H1681" s="10" t="s">
        <v>2</v>
      </c>
      <c r="I1681" s="11">
        <v>0</v>
      </c>
      <c r="J1681" s="11">
        <v>118190.41333673194</v>
      </c>
      <c r="K1681" s="11">
        <v>118190.41333673194</v>
      </c>
      <c r="L1681" s="12">
        <v>0</v>
      </c>
      <c r="M1681" s="12">
        <v>0</v>
      </c>
      <c r="N1681" s="12">
        <v>118190.41333673194</v>
      </c>
      <c r="O1681" s="70">
        <f>IF(Table1[[#This Row],[Overall amount]]=0,0,1)</f>
        <v>1</v>
      </c>
      <c r="P1681" s="70">
        <f>Table1[[#This Row],[Overall amount]]*Exchange_Rate</f>
        <v>118190.41333673194</v>
      </c>
      <c r="Q1681" s="70">
        <f>Table1[[#This Row],[Overall (destination currency)]]*(1+Claims_Inflation)^((Revalue_at_date-Table1[[#This Row],[Loss date]])/365.25)</f>
        <v>126000.00000000003</v>
      </c>
      <c r="R1681" s="70">
        <f>INT(Table1[[#This Row],[Reporting date]])-INT(Table1[[#This Row],[Loss date]])</f>
        <v>54</v>
      </c>
      <c r="S1681" s="69" t="s">
        <v>16</v>
      </c>
      <c r="T1681" s="70">
        <f>VLOOKUP(Table1[[#This Row],[Policy Year]],exposure_table,3,FALSE)</f>
        <v>1076.5070266272189</v>
      </c>
      <c r="U1681" s="17">
        <f>IF(MONTH(Table1[[#This Row],[Reporting date]])&lt;Policy_Inception_Month,YEAR(Table1[[#This Row],[Reporting date]])-1,YEAR(Table1[[#This Row],[Reporting date]]))</f>
        <v>2014</v>
      </c>
      <c r="V1681" s="17">
        <f>Table1[[#This Row],[Reporting year]]-Table1[[#This Row],[Policy Year]]</f>
        <v>0</v>
      </c>
      <c r="W1681" s="17">
        <f>INT(Table1[[#This Row],[Reporting date]])-INT(Table1[[#This Row],[Loss date]])</f>
        <v>54</v>
      </c>
      <c r="X1681" s="17">
        <f>INT((YEAR(Table1[[#This Row],[Loss date]])*12+MONTH(Table1[[#This Row],[Loss date]])-Earliest_Month)/4)</f>
        <v>27</v>
      </c>
      <c r="Y1681" s="17">
        <f>INT((YEAR(Table1[[#This Row],[Reporting date]])*12+MONTH(Table1[[#This Row],[Reporting date]])-Earliest_Month)/4)</f>
        <v>28</v>
      </c>
      <c r="Z1681" s="17">
        <f>Table1[[#This Row],[Reporting third]]-Table1[[#This Row],[Policy third]]</f>
        <v>1</v>
      </c>
      <c r="AA1681" s="71">
        <f>IF(Table1[[#This Row],[Overall amount]]=0,"N/A",Table1[[#This Row],[Outstanding]]/Table1[[#This Row],[Overall amount]])</f>
        <v>1</v>
      </c>
      <c r="AB1681" s="17">
        <f>IF(MONTH(Table1[[#This Row],[Loss date]])&lt;Pol_Inc_Month_Shifted,YEAR(Table1[[#This Row],[Loss date]])-1,YEAR(Table1[[#This Row],[Loss date]]))</f>
        <v>2013</v>
      </c>
      <c r="AC1681" s="17">
        <f>IF(MONTH(Table1[[#This Row],[Reporting date]])&lt;Pol_Inc_Month_Shifted,YEAR(Table1[[#This Row],[Reporting date]])-1,YEAR(Table1[[#This Row],[Reporting date]]))</f>
        <v>2013</v>
      </c>
      <c r="AD1681" s="17">
        <f>Table1[[#This Row],[Reporting year (shifted)]]-Table1[[#This Row],[Policy Year (shifted)]]</f>
        <v>0</v>
      </c>
    </row>
    <row r="1682" spans="1:30" ht="13.9">
      <c r="A1682" s="8" t="s">
        <v>3452</v>
      </c>
      <c r="B1682" s="8" t="s">
        <v>1734</v>
      </c>
      <c r="C1682" s="8" t="s">
        <v>118</v>
      </c>
      <c r="D1682" s="9">
        <v>41869</v>
      </c>
      <c r="E1682" s="9">
        <v>41933</v>
      </c>
      <c r="F1682" s="17">
        <f>IF(MONTH(Table1[[#This Row],[Loss date]])&lt;Policy_Inception_Month,YEAR(Table1[[#This Row],[Loss date]])-1,YEAR(Table1[[#This Row],[Loss date]]))</f>
        <v>2014</v>
      </c>
      <c r="G1682" s="10" t="s">
        <v>148</v>
      </c>
      <c r="H1682" s="10" t="s">
        <v>2</v>
      </c>
      <c r="I1682" s="11">
        <v>0</v>
      </c>
      <c r="J1682" s="11">
        <v>11361.976119355901</v>
      </c>
      <c r="K1682" s="11">
        <v>11361.976119355901</v>
      </c>
      <c r="L1682" s="12">
        <v>0</v>
      </c>
      <c r="M1682" s="12">
        <v>0</v>
      </c>
      <c r="N1682" s="12">
        <v>11361.976119355901</v>
      </c>
      <c r="O1682" s="70">
        <f>IF(Table1[[#This Row],[Overall amount]]=0,0,1)</f>
        <v>1</v>
      </c>
      <c r="P1682" s="70">
        <f>Table1[[#This Row],[Overall amount]]*Exchange_Rate</f>
        <v>11361.976119355901</v>
      </c>
      <c r="Q1682" s="70">
        <f>Table1[[#This Row],[Overall (destination currency)]]*(1+Claims_Inflation)^((Revalue_at_date-Table1[[#This Row],[Loss date]])/365.25)</f>
        <v>12000</v>
      </c>
      <c r="R1682" s="70">
        <f>INT(Table1[[#This Row],[Reporting date]])-INT(Table1[[#This Row],[Loss date]])</f>
        <v>64</v>
      </c>
      <c r="S1682" s="69" t="s">
        <v>16</v>
      </c>
      <c r="T1682" s="70">
        <f>VLOOKUP(Table1[[#This Row],[Policy Year]],exposure_table,3,FALSE)</f>
        <v>1076.5070266272189</v>
      </c>
      <c r="U1682" s="17">
        <f>IF(MONTH(Table1[[#This Row],[Reporting date]])&lt;Policy_Inception_Month,YEAR(Table1[[#This Row],[Reporting date]])-1,YEAR(Table1[[#This Row],[Reporting date]]))</f>
        <v>2014</v>
      </c>
      <c r="V1682" s="17">
        <f>Table1[[#This Row],[Reporting year]]-Table1[[#This Row],[Policy Year]]</f>
        <v>0</v>
      </c>
      <c r="W1682" s="17">
        <f>INT(Table1[[#This Row],[Reporting date]])-INT(Table1[[#This Row],[Loss date]])</f>
        <v>64</v>
      </c>
      <c r="X1682" s="17">
        <f>INT((YEAR(Table1[[#This Row],[Loss date]])*12+MONTH(Table1[[#This Row],[Loss date]])-Earliest_Month)/4)</f>
        <v>28</v>
      </c>
      <c r="Y1682" s="17">
        <f>INT((YEAR(Table1[[#This Row],[Reporting date]])*12+MONTH(Table1[[#This Row],[Reporting date]])-Earliest_Month)/4)</f>
        <v>28</v>
      </c>
      <c r="Z1682" s="17">
        <f>Table1[[#This Row],[Reporting third]]-Table1[[#This Row],[Policy third]]</f>
        <v>0</v>
      </c>
      <c r="AA1682" s="71">
        <f>IF(Table1[[#This Row],[Overall amount]]=0,"N/A",Table1[[#This Row],[Outstanding]]/Table1[[#This Row],[Overall amount]])</f>
        <v>1</v>
      </c>
      <c r="AB1682" s="17">
        <f>IF(MONTH(Table1[[#This Row],[Loss date]])&lt;Pol_Inc_Month_Shifted,YEAR(Table1[[#This Row],[Loss date]])-1,YEAR(Table1[[#This Row],[Loss date]]))</f>
        <v>2013</v>
      </c>
      <c r="AC1682" s="17">
        <f>IF(MONTH(Table1[[#This Row],[Reporting date]])&lt;Pol_Inc_Month_Shifted,YEAR(Table1[[#This Row],[Reporting date]])-1,YEAR(Table1[[#This Row],[Reporting date]]))</f>
        <v>2013</v>
      </c>
      <c r="AD1682" s="17">
        <f>Table1[[#This Row],[Reporting year (shifted)]]-Table1[[#This Row],[Policy Year (shifted)]]</f>
        <v>0</v>
      </c>
    </row>
    <row r="1683" spans="1:30" ht="13.9">
      <c r="A1683" s="8" t="s">
        <v>3453</v>
      </c>
      <c r="B1683" s="8" t="s">
        <v>1735</v>
      </c>
      <c r="C1683" s="8" t="s">
        <v>118</v>
      </c>
      <c r="D1683" s="9">
        <v>41565</v>
      </c>
      <c r="E1683" s="9">
        <v>41964</v>
      </c>
      <c r="F1683" s="17">
        <f>IF(MONTH(Table1[[#This Row],[Loss date]])&lt;Policy_Inception_Month,YEAR(Table1[[#This Row],[Loss date]])-1,YEAR(Table1[[#This Row],[Loss date]]))</f>
        <v>2013</v>
      </c>
      <c r="G1683" s="10" t="s">
        <v>129</v>
      </c>
      <c r="H1683" s="10" t="s">
        <v>2</v>
      </c>
      <c r="I1683" s="11">
        <v>0</v>
      </c>
      <c r="J1683" s="11">
        <v>1.0909827349723988</v>
      </c>
      <c r="K1683" s="11">
        <v>1.0909827349723988</v>
      </c>
      <c r="L1683" s="12">
        <v>0</v>
      </c>
      <c r="M1683" s="12">
        <v>0</v>
      </c>
      <c r="N1683" s="12">
        <v>1.0909827349723988</v>
      </c>
      <c r="O1683" s="70">
        <f>IF(Table1[[#This Row],[Overall amount]]=0,0,1)</f>
        <v>1</v>
      </c>
      <c r="P1683" s="70">
        <f>Table1[[#This Row],[Overall amount]]*Exchange_Rate</f>
        <v>1.0909827349723988</v>
      </c>
      <c r="Q1683" s="70">
        <f>Table1[[#This Row],[Overall (destination currency)]]*(1+Claims_Inflation)^((Revalue_at_date-Table1[[#This Row],[Loss date]])/365.25)</f>
        <v>1.1999999999999997</v>
      </c>
      <c r="R1683" s="70">
        <f>INT(Table1[[#This Row],[Reporting date]])-INT(Table1[[#This Row],[Loss date]])</f>
        <v>399</v>
      </c>
      <c r="S1683" s="69" t="s">
        <v>16</v>
      </c>
      <c r="T1683" s="70">
        <f>VLOOKUP(Table1[[#This Row],[Policy Year]],exposure_table,3,FALSE)</f>
        <v>1090.5865384615383</v>
      </c>
      <c r="U1683" s="17">
        <f>IF(MONTH(Table1[[#This Row],[Reporting date]])&lt;Policy_Inception_Month,YEAR(Table1[[#This Row],[Reporting date]])-1,YEAR(Table1[[#This Row],[Reporting date]]))</f>
        <v>2014</v>
      </c>
      <c r="V1683" s="17">
        <f>Table1[[#This Row],[Reporting year]]-Table1[[#This Row],[Policy Year]]</f>
        <v>1</v>
      </c>
      <c r="W1683" s="17">
        <f>INT(Table1[[#This Row],[Reporting date]])-INT(Table1[[#This Row],[Loss date]])</f>
        <v>399</v>
      </c>
      <c r="X1683" s="17">
        <f>INT((YEAR(Table1[[#This Row],[Loss date]])*12+MONTH(Table1[[#This Row],[Loss date]])-Earliest_Month)/4)</f>
        <v>25</v>
      </c>
      <c r="Y1683" s="17">
        <f>INT((YEAR(Table1[[#This Row],[Reporting date]])*12+MONTH(Table1[[#This Row],[Reporting date]])-Earliest_Month)/4)</f>
        <v>28</v>
      </c>
      <c r="Z1683" s="17">
        <f>Table1[[#This Row],[Reporting third]]-Table1[[#This Row],[Policy third]]</f>
        <v>3</v>
      </c>
      <c r="AA1683" s="71">
        <f>IF(Table1[[#This Row],[Overall amount]]=0,"N/A",Table1[[#This Row],[Outstanding]]/Table1[[#This Row],[Overall amount]])</f>
        <v>1</v>
      </c>
      <c r="AB1683" s="17">
        <f>IF(MONTH(Table1[[#This Row],[Loss date]])&lt;Pol_Inc_Month_Shifted,YEAR(Table1[[#This Row],[Loss date]])-1,YEAR(Table1[[#This Row],[Loss date]]))</f>
        <v>2012</v>
      </c>
      <c r="AC1683" s="17">
        <f>IF(MONTH(Table1[[#This Row],[Reporting date]])&lt;Pol_Inc_Month_Shifted,YEAR(Table1[[#This Row],[Reporting date]])-1,YEAR(Table1[[#This Row],[Reporting date]]))</f>
        <v>2013</v>
      </c>
      <c r="AD1683" s="17">
        <f>Table1[[#This Row],[Reporting year (shifted)]]-Table1[[#This Row],[Policy Year (shifted)]]</f>
        <v>1</v>
      </c>
    </row>
    <row r="1684" spans="1:30" ht="13.9">
      <c r="A1684" s="8" t="s">
        <v>3454</v>
      </c>
      <c r="B1684" s="8" t="s">
        <v>1736</v>
      </c>
      <c r="C1684" s="8" t="s">
        <v>118</v>
      </c>
      <c r="D1684" s="9">
        <v>41721</v>
      </c>
      <c r="E1684" s="9">
        <v>41798</v>
      </c>
      <c r="F1684" s="17">
        <f>IF(MONTH(Table1[[#This Row],[Loss date]])&lt;Policy_Inception_Month,YEAR(Table1[[#This Row],[Loss date]])-1,YEAR(Table1[[#This Row],[Loss date]]))</f>
        <v>2013</v>
      </c>
      <c r="G1684" s="10" t="s">
        <v>132</v>
      </c>
      <c r="H1684" s="10" t="s">
        <v>2</v>
      </c>
      <c r="I1684" s="11">
        <v>7680.3570782533734</v>
      </c>
      <c r="J1684" s="11">
        <v>0</v>
      </c>
      <c r="K1684" s="11">
        <v>7680.3570782533734</v>
      </c>
      <c r="L1684" s="12">
        <v>0</v>
      </c>
      <c r="M1684" s="12">
        <v>0</v>
      </c>
      <c r="N1684" s="12">
        <v>7680.3570782533734</v>
      </c>
      <c r="O1684" s="70">
        <f>IF(Table1[[#This Row],[Overall amount]]=0,0,1)</f>
        <v>1</v>
      </c>
      <c r="P1684" s="70">
        <f>Table1[[#This Row],[Overall amount]]*Exchange_Rate</f>
        <v>7680.3570782533734</v>
      </c>
      <c r="Q1684" s="70">
        <f>Table1[[#This Row],[Overall (destination currency)]]*(1+Claims_Inflation)^((Revalue_at_date-Table1[[#This Row],[Loss date]])/365.25)</f>
        <v>8273.6039999999994</v>
      </c>
      <c r="R1684" s="70">
        <f>INT(Table1[[#This Row],[Reporting date]])-INT(Table1[[#This Row],[Loss date]])</f>
        <v>77</v>
      </c>
      <c r="S1684" s="69" t="s">
        <v>9</v>
      </c>
      <c r="T1684" s="70">
        <f>VLOOKUP(Table1[[#This Row],[Policy Year]],exposure_table,3,FALSE)</f>
        <v>1090.5865384615383</v>
      </c>
      <c r="U1684" s="17">
        <f>IF(MONTH(Table1[[#This Row],[Reporting date]])&lt;Policy_Inception_Month,YEAR(Table1[[#This Row],[Reporting date]])-1,YEAR(Table1[[#This Row],[Reporting date]]))</f>
        <v>2014</v>
      </c>
      <c r="V1684" s="17">
        <f>Table1[[#This Row],[Reporting year]]-Table1[[#This Row],[Policy Year]]</f>
        <v>1</v>
      </c>
      <c r="W1684" s="17">
        <f>INT(Table1[[#This Row],[Reporting date]])-INT(Table1[[#This Row],[Loss date]])</f>
        <v>77</v>
      </c>
      <c r="X1684" s="17">
        <f>INT((YEAR(Table1[[#This Row],[Loss date]])*12+MONTH(Table1[[#This Row],[Loss date]])-Earliest_Month)/4)</f>
        <v>26</v>
      </c>
      <c r="Y1684" s="17">
        <f>INT((YEAR(Table1[[#This Row],[Reporting date]])*12+MONTH(Table1[[#This Row],[Reporting date]])-Earliest_Month)/4)</f>
        <v>27</v>
      </c>
      <c r="Z1684" s="17">
        <f>Table1[[#This Row],[Reporting third]]-Table1[[#This Row],[Policy third]]</f>
        <v>1</v>
      </c>
      <c r="AA1684" s="71">
        <f>IF(Table1[[#This Row],[Overall amount]]=0,"N/A",Table1[[#This Row],[Outstanding]]/Table1[[#This Row],[Overall amount]])</f>
        <v>0</v>
      </c>
      <c r="AB1684" s="17">
        <f>IF(MONTH(Table1[[#This Row],[Loss date]])&lt;Pol_Inc_Month_Shifted,YEAR(Table1[[#This Row],[Loss date]])-1,YEAR(Table1[[#This Row],[Loss date]]))</f>
        <v>2013</v>
      </c>
      <c r="AC1684" s="17">
        <f>IF(MONTH(Table1[[#This Row],[Reporting date]])&lt;Pol_Inc_Month_Shifted,YEAR(Table1[[#This Row],[Reporting date]])-1,YEAR(Table1[[#This Row],[Reporting date]]))</f>
        <v>2013</v>
      </c>
      <c r="AD1684" s="17">
        <f>Table1[[#This Row],[Reporting year (shifted)]]-Table1[[#This Row],[Policy Year (shifted)]]</f>
        <v>0</v>
      </c>
    </row>
    <row r="1685" spans="1:30" ht="13.9">
      <c r="A1685" s="8" t="s">
        <v>3455</v>
      </c>
      <c r="B1685" s="8" t="s">
        <v>1737</v>
      </c>
      <c r="C1685" s="8" t="s">
        <v>123</v>
      </c>
      <c r="D1685" s="9">
        <v>39710</v>
      </c>
      <c r="E1685" s="9">
        <v>40810</v>
      </c>
      <c r="F1685" s="17">
        <f>IF(MONTH(Table1[[#This Row],[Loss date]])&lt;Policy_Inception_Month,YEAR(Table1[[#This Row],[Loss date]])-1,YEAR(Table1[[#This Row],[Loss date]]))</f>
        <v>2008</v>
      </c>
      <c r="G1685" s="10" t="s">
        <v>125</v>
      </c>
      <c r="H1685" s="10" t="s">
        <v>2</v>
      </c>
      <c r="I1685" s="11">
        <v>20907.293182452227</v>
      </c>
      <c r="J1685" s="11">
        <v>0</v>
      </c>
      <c r="K1685" s="11">
        <v>20907.293182452227</v>
      </c>
      <c r="L1685" s="12">
        <v>0</v>
      </c>
      <c r="M1685" s="12">
        <v>0</v>
      </c>
      <c r="N1685" s="12">
        <v>20907.293182452227</v>
      </c>
      <c r="O1685" s="70">
        <f>IF(Table1[[#This Row],[Overall amount]]=0,0,1)</f>
        <v>1</v>
      </c>
      <c r="P1685" s="70">
        <f>Table1[[#This Row],[Overall amount]]*Exchange_Rate</f>
        <v>20907.293182452227</v>
      </c>
      <c r="Q1685" s="70">
        <f>Table1[[#This Row],[Overall (destination currency)]]*(1+Claims_Inflation)^((Revalue_at_date-Table1[[#This Row],[Loss date]])/365.25)</f>
        <v>29462.903999999999</v>
      </c>
      <c r="R1685" s="70">
        <f>INT(Table1[[#This Row],[Reporting date]])-INT(Table1[[#This Row],[Loss date]])</f>
        <v>1100</v>
      </c>
      <c r="S1685" s="69" t="s">
        <v>9</v>
      </c>
      <c r="T1685" s="70">
        <f>VLOOKUP(Table1[[#This Row],[Policy Year]],exposure_table,3,FALSE)</f>
        <v>601.98581780480015</v>
      </c>
      <c r="U1685" s="17">
        <f>IF(MONTH(Table1[[#This Row],[Reporting date]])&lt;Policy_Inception_Month,YEAR(Table1[[#This Row],[Reporting date]])-1,YEAR(Table1[[#This Row],[Reporting date]]))</f>
        <v>2011</v>
      </c>
      <c r="V1685" s="17">
        <f>Table1[[#This Row],[Reporting year]]-Table1[[#This Row],[Policy Year]]</f>
        <v>3</v>
      </c>
      <c r="W1685" s="17">
        <f>INT(Table1[[#This Row],[Reporting date]])-INT(Table1[[#This Row],[Loss date]])</f>
        <v>1100</v>
      </c>
      <c r="X1685" s="17">
        <f>INT((YEAR(Table1[[#This Row],[Loss date]])*12+MONTH(Table1[[#This Row],[Loss date]])-Earliest_Month)/4)</f>
        <v>10</v>
      </c>
      <c r="Y1685" s="17">
        <f>INT((YEAR(Table1[[#This Row],[Reporting date]])*12+MONTH(Table1[[#This Row],[Reporting date]])-Earliest_Month)/4)</f>
        <v>19</v>
      </c>
      <c r="Z1685" s="17">
        <f>Table1[[#This Row],[Reporting third]]-Table1[[#This Row],[Policy third]]</f>
        <v>9</v>
      </c>
      <c r="AA1685" s="71">
        <f>IF(Table1[[#This Row],[Overall amount]]=0,"N/A",Table1[[#This Row],[Outstanding]]/Table1[[#This Row],[Overall amount]])</f>
        <v>0</v>
      </c>
      <c r="AB1685" s="17">
        <f>IF(MONTH(Table1[[#This Row],[Loss date]])&lt;Pol_Inc_Month_Shifted,YEAR(Table1[[#This Row],[Loss date]])-1,YEAR(Table1[[#This Row],[Loss date]]))</f>
        <v>2007</v>
      </c>
      <c r="AC1685" s="17">
        <f>IF(MONTH(Table1[[#This Row],[Reporting date]])&lt;Pol_Inc_Month_Shifted,YEAR(Table1[[#This Row],[Reporting date]])-1,YEAR(Table1[[#This Row],[Reporting date]]))</f>
        <v>2010</v>
      </c>
      <c r="AD1685" s="17">
        <f>Table1[[#This Row],[Reporting year (shifted)]]-Table1[[#This Row],[Policy Year (shifted)]]</f>
        <v>3</v>
      </c>
    </row>
    <row r="1686" spans="1:30" ht="13.9">
      <c r="A1686" s="8" t="s">
        <v>3456</v>
      </c>
      <c r="B1686" s="8" t="s">
        <v>1738</v>
      </c>
      <c r="C1686" s="8" t="s">
        <v>123</v>
      </c>
      <c r="D1686" s="9">
        <v>39675</v>
      </c>
      <c r="E1686" s="9">
        <v>39817</v>
      </c>
      <c r="F1686" s="17">
        <f>IF(MONTH(Table1[[#This Row],[Loss date]])&lt;Policy_Inception_Month,YEAR(Table1[[#This Row],[Loss date]])-1,YEAR(Table1[[#This Row],[Loss date]]))</f>
        <v>2008</v>
      </c>
      <c r="G1686" s="10" t="s">
        <v>125</v>
      </c>
      <c r="H1686" s="10" t="s">
        <v>2</v>
      </c>
      <c r="I1686" s="11">
        <v>12576.560234694309</v>
      </c>
      <c r="J1686" s="11">
        <v>0</v>
      </c>
      <c r="K1686" s="11">
        <v>12576.560234694309</v>
      </c>
      <c r="L1686" s="12">
        <v>0</v>
      </c>
      <c r="M1686" s="12">
        <v>0</v>
      </c>
      <c r="N1686" s="12">
        <v>12576.560234694309</v>
      </c>
      <c r="O1686" s="70">
        <f>IF(Table1[[#This Row],[Overall amount]]=0,0,1)</f>
        <v>1</v>
      </c>
      <c r="P1686" s="70">
        <f>Table1[[#This Row],[Overall amount]]*Exchange_Rate</f>
        <v>12576.560234694309</v>
      </c>
      <c r="Q1686" s="70">
        <f>Table1[[#This Row],[Overall (destination currency)]]*(1+Claims_Inflation)^((Revalue_at_date-Table1[[#This Row],[Loss date]])/365.25)</f>
        <v>17806.151999999998</v>
      </c>
      <c r="R1686" s="70">
        <f>INT(Table1[[#This Row],[Reporting date]])-INT(Table1[[#This Row],[Loss date]])</f>
        <v>142</v>
      </c>
      <c r="S1686" s="69" t="s">
        <v>9</v>
      </c>
      <c r="T1686" s="70">
        <f>VLOOKUP(Table1[[#This Row],[Policy Year]],exposure_table,3,FALSE)</f>
        <v>601.98581780480015</v>
      </c>
      <c r="U1686" s="17">
        <f>IF(MONTH(Table1[[#This Row],[Reporting date]])&lt;Policy_Inception_Month,YEAR(Table1[[#This Row],[Reporting date]])-1,YEAR(Table1[[#This Row],[Reporting date]]))</f>
        <v>2008</v>
      </c>
      <c r="V1686" s="17">
        <f>Table1[[#This Row],[Reporting year]]-Table1[[#This Row],[Policy Year]]</f>
        <v>0</v>
      </c>
      <c r="W1686" s="17">
        <f>INT(Table1[[#This Row],[Reporting date]])-INT(Table1[[#This Row],[Loss date]])</f>
        <v>142</v>
      </c>
      <c r="X1686" s="17">
        <f>INT((YEAR(Table1[[#This Row],[Loss date]])*12+MONTH(Table1[[#This Row],[Loss date]])-Earliest_Month)/4)</f>
        <v>10</v>
      </c>
      <c r="Y1686" s="17">
        <f>INT((YEAR(Table1[[#This Row],[Reporting date]])*12+MONTH(Table1[[#This Row],[Reporting date]])-Earliest_Month)/4)</f>
        <v>11</v>
      </c>
      <c r="Z1686" s="17">
        <f>Table1[[#This Row],[Reporting third]]-Table1[[#This Row],[Policy third]]</f>
        <v>1</v>
      </c>
      <c r="AA1686" s="71">
        <f>IF(Table1[[#This Row],[Overall amount]]=0,"N/A",Table1[[#This Row],[Outstanding]]/Table1[[#This Row],[Overall amount]])</f>
        <v>0</v>
      </c>
      <c r="AB1686" s="17">
        <f>IF(MONTH(Table1[[#This Row],[Loss date]])&lt;Pol_Inc_Month_Shifted,YEAR(Table1[[#This Row],[Loss date]])-1,YEAR(Table1[[#This Row],[Loss date]]))</f>
        <v>2007</v>
      </c>
      <c r="AC1686" s="17">
        <f>IF(MONTH(Table1[[#This Row],[Reporting date]])&lt;Pol_Inc_Month_Shifted,YEAR(Table1[[#This Row],[Reporting date]])-1,YEAR(Table1[[#This Row],[Reporting date]]))</f>
        <v>2008</v>
      </c>
      <c r="AD1686" s="17">
        <f>Table1[[#This Row],[Reporting year (shifted)]]-Table1[[#This Row],[Policy Year (shifted)]]</f>
        <v>1</v>
      </c>
    </row>
    <row r="1687" spans="1:30" ht="13.9">
      <c r="A1687" s="8" t="s">
        <v>3457</v>
      </c>
      <c r="B1687" s="8" t="s">
        <v>1739</v>
      </c>
      <c r="C1687" s="8" t="s">
        <v>123</v>
      </c>
      <c r="D1687" s="9">
        <v>40768</v>
      </c>
      <c r="E1687" s="9">
        <v>40853</v>
      </c>
      <c r="F1687" s="17">
        <f>IF(MONTH(Table1[[#This Row],[Loss date]])&lt;Policy_Inception_Month,YEAR(Table1[[#This Row],[Loss date]])-1,YEAR(Table1[[#This Row],[Loss date]]))</f>
        <v>2011</v>
      </c>
      <c r="G1687" s="10" t="s">
        <v>126</v>
      </c>
      <c r="H1687" s="10" t="s">
        <v>2</v>
      </c>
      <c r="I1687" s="11">
        <v>6762.1403728060077</v>
      </c>
      <c r="J1687" s="11">
        <v>0</v>
      </c>
      <c r="K1687" s="11">
        <v>6762.1403728060077</v>
      </c>
      <c r="L1687" s="12">
        <v>0</v>
      </c>
      <c r="M1687" s="12">
        <v>0</v>
      </c>
      <c r="N1687" s="12">
        <v>6762.1403728060077</v>
      </c>
      <c r="O1687" s="70">
        <f>IF(Table1[[#This Row],[Overall amount]]=0,0,1)</f>
        <v>1</v>
      </c>
      <c r="P1687" s="70">
        <f>Table1[[#This Row],[Overall amount]]*Exchange_Rate</f>
        <v>6762.1403728060077</v>
      </c>
      <c r="Q1687" s="70">
        <f>Table1[[#This Row],[Overall (destination currency)]]*(1+Claims_Inflation)^((Revalue_at_date-Table1[[#This Row],[Loss date]])/365.25)</f>
        <v>8273.4</v>
      </c>
      <c r="R1687" s="70">
        <f>INT(Table1[[#This Row],[Reporting date]])-INT(Table1[[#This Row],[Loss date]])</f>
        <v>85</v>
      </c>
      <c r="S1687" s="69" t="s">
        <v>9</v>
      </c>
      <c r="T1687" s="70">
        <f>VLOOKUP(Table1[[#This Row],[Policy Year]],exposure_table,3,FALSE)</f>
        <v>870.52680000000009</v>
      </c>
      <c r="U1687" s="17">
        <f>IF(MONTH(Table1[[#This Row],[Reporting date]])&lt;Policy_Inception_Month,YEAR(Table1[[#This Row],[Reporting date]])-1,YEAR(Table1[[#This Row],[Reporting date]]))</f>
        <v>2011</v>
      </c>
      <c r="V1687" s="17">
        <f>Table1[[#This Row],[Reporting year]]-Table1[[#This Row],[Policy Year]]</f>
        <v>0</v>
      </c>
      <c r="W1687" s="17">
        <f>INT(Table1[[#This Row],[Reporting date]])-INT(Table1[[#This Row],[Loss date]])</f>
        <v>85</v>
      </c>
      <c r="X1687" s="17">
        <f>INT((YEAR(Table1[[#This Row],[Loss date]])*12+MONTH(Table1[[#This Row],[Loss date]])-Earliest_Month)/4)</f>
        <v>19</v>
      </c>
      <c r="Y1687" s="17">
        <f>INT((YEAR(Table1[[#This Row],[Reporting date]])*12+MONTH(Table1[[#This Row],[Reporting date]])-Earliest_Month)/4)</f>
        <v>19</v>
      </c>
      <c r="Z1687" s="17">
        <f>Table1[[#This Row],[Reporting third]]-Table1[[#This Row],[Policy third]]</f>
        <v>0</v>
      </c>
      <c r="AA1687" s="71">
        <f>IF(Table1[[#This Row],[Overall amount]]=0,"N/A",Table1[[#This Row],[Outstanding]]/Table1[[#This Row],[Overall amount]])</f>
        <v>0</v>
      </c>
      <c r="AB1687" s="17">
        <f>IF(MONTH(Table1[[#This Row],[Loss date]])&lt;Pol_Inc_Month_Shifted,YEAR(Table1[[#This Row],[Loss date]])-1,YEAR(Table1[[#This Row],[Loss date]]))</f>
        <v>2010</v>
      </c>
      <c r="AC1687" s="17">
        <f>IF(MONTH(Table1[[#This Row],[Reporting date]])&lt;Pol_Inc_Month_Shifted,YEAR(Table1[[#This Row],[Reporting date]])-1,YEAR(Table1[[#This Row],[Reporting date]]))</f>
        <v>2010</v>
      </c>
      <c r="AD1687" s="17">
        <f>Table1[[#This Row],[Reporting year (shifted)]]-Table1[[#This Row],[Policy Year (shifted)]]</f>
        <v>0</v>
      </c>
    </row>
    <row r="1688" spans="1:30" ht="13.9">
      <c r="A1688" s="8" t="s">
        <v>3458</v>
      </c>
      <c r="B1688" s="8" t="s">
        <v>1740</v>
      </c>
      <c r="C1688" s="8" t="s">
        <v>123</v>
      </c>
      <c r="D1688" s="9">
        <v>40696</v>
      </c>
      <c r="E1688" s="9">
        <v>41062</v>
      </c>
      <c r="F1688" s="17">
        <f>IF(MONTH(Table1[[#This Row],[Loss date]])&lt;Policy_Inception_Month,YEAR(Table1[[#This Row],[Loss date]])-1,YEAR(Table1[[#This Row],[Loss date]]))</f>
        <v>2011</v>
      </c>
      <c r="G1688" s="10" t="s">
        <v>131</v>
      </c>
      <c r="H1688" s="10" t="s">
        <v>2</v>
      </c>
      <c r="I1688" s="11">
        <v>647.93328973788164</v>
      </c>
      <c r="J1688" s="11">
        <v>0</v>
      </c>
      <c r="K1688" s="11">
        <v>647.93328973788164</v>
      </c>
      <c r="L1688" s="12">
        <v>0</v>
      </c>
      <c r="M1688" s="12">
        <v>0</v>
      </c>
      <c r="N1688" s="12">
        <v>647.93328973788164</v>
      </c>
      <c r="O1688" s="70">
        <f>IF(Table1[[#This Row],[Overall amount]]=0,0,1)</f>
        <v>1</v>
      </c>
      <c r="P1688" s="70">
        <f>Table1[[#This Row],[Overall amount]]*Exchange_Rate</f>
        <v>647.93328973788164</v>
      </c>
      <c r="Q1688" s="70">
        <f>Table1[[#This Row],[Overall (destination currency)]]*(1+Claims_Inflation)^((Revalue_at_date-Table1[[#This Row],[Loss date]])/365.25)</f>
        <v>800.4</v>
      </c>
      <c r="R1688" s="70">
        <f>INT(Table1[[#This Row],[Reporting date]])-INT(Table1[[#This Row],[Loss date]])</f>
        <v>366</v>
      </c>
      <c r="S1688" s="69" t="s">
        <v>9</v>
      </c>
      <c r="T1688" s="70">
        <f>VLOOKUP(Table1[[#This Row],[Policy Year]],exposure_table,3,FALSE)</f>
        <v>870.52680000000009</v>
      </c>
      <c r="U1688" s="17">
        <f>IF(MONTH(Table1[[#This Row],[Reporting date]])&lt;Policy_Inception_Month,YEAR(Table1[[#This Row],[Reporting date]])-1,YEAR(Table1[[#This Row],[Reporting date]]))</f>
        <v>2012</v>
      </c>
      <c r="V1688" s="17">
        <f>Table1[[#This Row],[Reporting year]]-Table1[[#This Row],[Policy Year]]</f>
        <v>1</v>
      </c>
      <c r="W1688" s="17">
        <f>INT(Table1[[#This Row],[Reporting date]])-INT(Table1[[#This Row],[Loss date]])</f>
        <v>366</v>
      </c>
      <c r="X1688" s="17">
        <f>INT((YEAR(Table1[[#This Row],[Loss date]])*12+MONTH(Table1[[#This Row],[Loss date]])-Earliest_Month)/4)</f>
        <v>18</v>
      </c>
      <c r="Y1688" s="17">
        <f>INT((YEAR(Table1[[#This Row],[Reporting date]])*12+MONTH(Table1[[#This Row],[Reporting date]])-Earliest_Month)/4)</f>
        <v>21</v>
      </c>
      <c r="Z1688" s="17">
        <f>Table1[[#This Row],[Reporting third]]-Table1[[#This Row],[Policy third]]</f>
        <v>3</v>
      </c>
      <c r="AA1688" s="71">
        <f>IF(Table1[[#This Row],[Overall amount]]=0,"N/A",Table1[[#This Row],[Outstanding]]/Table1[[#This Row],[Overall amount]])</f>
        <v>0</v>
      </c>
      <c r="AB1688" s="17">
        <f>IF(MONTH(Table1[[#This Row],[Loss date]])&lt;Pol_Inc_Month_Shifted,YEAR(Table1[[#This Row],[Loss date]])-1,YEAR(Table1[[#This Row],[Loss date]]))</f>
        <v>2010</v>
      </c>
      <c r="AC1688" s="17">
        <f>IF(MONTH(Table1[[#This Row],[Reporting date]])&lt;Pol_Inc_Month_Shifted,YEAR(Table1[[#This Row],[Reporting date]])-1,YEAR(Table1[[#This Row],[Reporting date]]))</f>
        <v>2011</v>
      </c>
      <c r="AD1688" s="17">
        <f>Table1[[#This Row],[Reporting year (shifted)]]-Table1[[#This Row],[Policy Year (shifted)]]</f>
        <v>1</v>
      </c>
    </row>
    <row r="1689" spans="1:30" ht="13.9">
      <c r="A1689" s="8" t="s">
        <v>3459</v>
      </c>
      <c r="B1689" s="8" t="s">
        <v>1741</v>
      </c>
      <c r="C1689" s="8" t="s">
        <v>123</v>
      </c>
      <c r="D1689" s="9">
        <v>40379</v>
      </c>
      <c r="E1689" s="9">
        <v>40789</v>
      </c>
      <c r="F1689" s="17">
        <f>IF(MONTH(Table1[[#This Row],[Loss date]])&lt;Policy_Inception_Month,YEAR(Table1[[#This Row],[Loss date]])-1,YEAR(Table1[[#This Row],[Loss date]]))</f>
        <v>2010</v>
      </c>
      <c r="G1689" s="10" t="s">
        <v>125</v>
      </c>
      <c r="H1689" s="10" t="s">
        <v>2</v>
      </c>
      <c r="I1689" s="11">
        <v>621.06939513238228</v>
      </c>
      <c r="J1689" s="11">
        <v>0</v>
      </c>
      <c r="K1689" s="11">
        <v>621.06939513238228</v>
      </c>
      <c r="L1689" s="12">
        <v>0</v>
      </c>
      <c r="M1689" s="12">
        <v>0</v>
      </c>
      <c r="N1689" s="12">
        <v>621.06939513238228</v>
      </c>
      <c r="O1689" s="70">
        <f>IF(Table1[[#This Row],[Overall amount]]=0,0,1)</f>
        <v>1</v>
      </c>
      <c r="P1689" s="70">
        <f>Table1[[#This Row],[Overall amount]]*Exchange_Rate</f>
        <v>621.06939513238228</v>
      </c>
      <c r="Q1689" s="70">
        <f>Table1[[#This Row],[Overall (destination currency)]]*(1+Claims_Inflation)^((Revalue_at_date-Table1[[#This Row],[Loss date]])/365.25)</f>
        <v>800.4</v>
      </c>
      <c r="R1689" s="70">
        <f>INT(Table1[[#This Row],[Reporting date]])-INT(Table1[[#This Row],[Loss date]])</f>
        <v>410</v>
      </c>
      <c r="S1689" s="69" t="s">
        <v>9</v>
      </c>
      <c r="T1689" s="70">
        <f>VLOOKUP(Table1[[#This Row],[Policy Year]],exposure_table,3,FALSE)</f>
        <v>837.11513600000012</v>
      </c>
      <c r="U1689" s="17">
        <f>IF(MONTH(Table1[[#This Row],[Reporting date]])&lt;Policy_Inception_Month,YEAR(Table1[[#This Row],[Reporting date]])-1,YEAR(Table1[[#This Row],[Reporting date]]))</f>
        <v>2011</v>
      </c>
      <c r="V1689" s="17">
        <f>Table1[[#This Row],[Reporting year]]-Table1[[#This Row],[Policy Year]]</f>
        <v>1</v>
      </c>
      <c r="W1689" s="17">
        <f>INT(Table1[[#This Row],[Reporting date]])-INT(Table1[[#This Row],[Loss date]])</f>
        <v>410</v>
      </c>
      <c r="X1689" s="17">
        <f>INT((YEAR(Table1[[#This Row],[Loss date]])*12+MONTH(Table1[[#This Row],[Loss date]])-Earliest_Month)/4)</f>
        <v>15</v>
      </c>
      <c r="Y1689" s="17">
        <f>INT((YEAR(Table1[[#This Row],[Reporting date]])*12+MONTH(Table1[[#This Row],[Reporting date]])-Earliest_Month)/4)</f>
        <v>19</v>
      </c>
      <c r="Z1689" s="17">
        <f>Table1[[#This Row],[Reporting third]]-Table1[[#This Row],[Policy third]]</f>
        <v>4</v>
      </c>
      <c r="AA1689" s="71">
        <f>IF(Table1[[#This Row],[Overall amount]]=0,"N/A",Table1[[#This Row],[Outstanding]]/Table1[[#This Row],[Overall amount]])</f>
        <v>0</v>
      </c>
      <c r="AB1689" s="17">
        <f>IF(MONTH(Table1[[#This Row],[Loss date]])&lt;Pol_Inc_Month_Shifted,YEAR(Table1[[#This Row],[Loss date]])-1,YEAR(Table1[[#This Row],[Loss date]]))</f>
        <v>2009</v>
      </c>
      <c r="AC1689" s="17">
        <f>IF(MONTH(Table1[[#This Row],[Reporting date]])&lt;Pol_Inc_Month_Shifted,YEAR(Table1[[#This Row],[Reporting date]])-1,YEAR(Table1[[#This Row],[Reporting date]]))</f>
        <v>2010</v>
      </c>
      <c r="AD1689" s="17">
        <f>Table1[[#This Row],[Reporting year (shifted)]]-Table1[[#This Row],[Policy Year (shifted)]]</f>
        <v>1</v>
      </c>
    </row>
    <row r="1690" spans="1:30" ht="13.9">
      <c r="A1690" s="8" t="s">
        <v>3460</v>
      </c>
      <c r="B1690" s="8" t="s">
        <v>1742</v>
      </c>
      <c r="C1690" s="8" t="s">
        <v>123</v>
      </c>
      <c r="D1690" s="9">
        <v>40833</v>
      </c>
      <c r="E1690" s="9">
        <v>40850</v>
      </c>
      <c r="F1690" s="17">
        <f>IF(MONTH(Table1[[#This Row],[Loss date]])&lt;Policy_Inception_Month,YEAR(Table1[[#This Row],[Loss date]])-1,YEAR(Table1[[#This Row],[Loss date]]))</f>
        <v>2011</v>
      </c>
      <c r="G1690" s="10" t="s">
        <v>125</v>
      </c>
      <c r="H1690" s="10" t="s">
        <v>2</v>
      </c>
      <c r="I1690" s="11">
        <v>401.67822900542762</v>
      </c>
      <c r="J1690" s="11">
        <v>0</v>
      </c>
      <c r="K1690" s="11">
        <v>401.67822900542762</v>
      </c>
      <c r="L1690" s="12">
        <v>0</v>
      </c>
      <c r="M1690" s="12">
        <v>10.451548796091965</v>
      </c>
      <c r="N1690" s="12">
        <v>391.22668020933565</v>
      </c>
      <c r="O1690" s="70">
        <f>IF(Table1[[#This Row],[Overall amount]]=0,0,1)</f>
        <v>1</v>
      </c>
      <c r="P1690" s="70">
        <f>Table1[[#This Row],[Overall amount]]*Exchange_Rate</f>
        <v>391.22668020933565</v>
      </c>
      <c r="Q1690" s="70">
        <f>Table1[[#This Row],[Overall (destination currency)]]*(1+Claims_Inflation)^((Revalue_at_date-Table1[[#This Row],[Loss date]])/365.25)</f>
        <v>474.52320000000003</v>
      </c>
      <c r="R1690" s="70">
        <f>INT(Table1[[#This Row],[Reporting date]])-INT(Table1[[#This Row],[Loss date]])</f>
        <v>17</v>
      </c>
      <c r="S1690" s="69" t="s">
        <v>9</v>
      </c>
      <c r="T1690" s="70">
        <f>VLOOKUP(Table1[[#This Row],[Policy Year]],exposure_table,3,FALSE)</f>
        <v>870.52680000000009</v>
      </c>
      <c r="U1690" s="17">
        <f>IF(MONTH(Table1[[#This Row],[Reporting date]])&lt;Policy_Inception_Month,YEAR(Table1[[#This Row],[Reporting date]])-1,YEAR(Table1[[#This Row],[Reporting date]]))</f>
        <v>2011</v>
      </c>
      <c r="V1690" s="17">
        <f>Table1[[#This Row],[Reporting year]]-Table1[[#This Row],[Policy Year]]</f>
        <v>0</v>
      </c>
      <c r="W1690" s="17">
        <f>INT(Table1[[#This Row],[Reporting date]])-INT(Table1[[#This Row],[Loss date]])</f>
        <v>17</v>
      </c>
      <c r="X1690" s="17">
        <f>INT((YEAR(Table1[[#This Row],[Loss date]])*12+MONTH(Table1[[#This Row],[Loss date]])-Earliest_Month)/4)</f>
        <v>19</v>
      </c>
      <c r="Y1690" s="17">
        <f>INT((YEAR(Table1[[#This Row],[Reporting date]])*12+MONTH(Table1[[#This Row],[Reporting date]])-Earliest_Month)/4)</f>
        <v>19</v>
      </c>
      <c r="Z1690" s="17">
        <f>Table1[[#This Row],[Reporting third]]-Table1[[#This Row],[Policy third]]</f>
        <v>0</v>
      </c>
      <c r="AA1690" s="71">
        <f>IF(Table1[[#This Row],[Overall amount]]=0,"N/A",Table1[[#This Row],[Outstanding]]/Table1[[#This Row],[Overall amount]])</f>
        <v>0</v>
      </c>
      <c r="AB1690" s="17">
        <f>IF(MONTH(Table1[[#This Row],[Loss date]])&lt;Pol_Inc_Month_Shifted,YEAR(Table1[[#This Row],[Loss date]])-1,YEAR(Table1[[#This Row],[Loss date]]))</f>
        <v>2010</v>
      </c>
      <c r="AC1690" s="17">
        <f>IF(MONTH(Table1[[#This Row],[Reporting date]])&lt;Pol_Inc_Month_Shifted,YEAR(Table1[[#This Row],[Reporting date]])-1,YEAR(Table1[[#This Row],[Reporting date]]))</f>
        <v>2010</v>
      </c>
      <c r="AD1690" s="17">
        <f>Table1[[#This Row],[Reporting year (shifted)]]-Table1[[#This Row],[Policy Year (shifted)]]</f>
        <v>0</v>
      </c>
    </row>
    <row r="1691" spans="1:30" ht="13.9">
      <c r="A1691" s="8" t="s">
        <v>3461</v>
      </c>
      <c r="B1691" s="8" t="s">
        <v>1743</v>
      </c>
      <c r="C1691" s="8" t="s">
        <v>123</v>
      </c>
      <c r="D1691" s="9">
        <v>40656</v>
      </c>
      <c r="E1691" s="9">
        <v>40808</v>
      </c>
      <c r="F1691" s="17">
        <f>IF(MONTH(Table1[[#This Row],[Loss date]])&lt;Policy_Inception_Month,YEAR(Table1[[#This Row],[Loss date]])-1,YEAR(Table1[[#This Row],[Loss date]]))</f>
        <v>2011</v>
      </c>
      <c r="G1691" s="10" t="s">
        <v>125</v>
      </c>
      <c r="H1691" s="10" t="s">
        <v>2</v>
      </c>
      <c r="I1691" s="11">
        <v>714.53270656285031</v>
      </c>
      <c r="J1691" s="11">
        <v>0</v>
      </c>
      <c r="K1691" s="11">
        <v>714.53270656285031</v>
      </c>
      <c r="L1691" s="12">
        <v>0</v>
      </c>
      <c r="M1691" s="12">
        <v>0</v>
      </c>
      <c r="N1691" s="12">
        <v>714.53270656285031</v>
      </c>
      <c r="O1691" s="70">
        <f>IF(Table1[[#This Row],[Overall amount]]=0,0,1)</f>
        <v>1</v>
      </c>
      <c r="P1691" s="70">
        <f>Table1[[#This Row],[Overall amount]]*Exchange_Rate</f>
        <v>714.53270656285031</v>
      </c>
      <c r="Q1691" s="70">
        <f>Table1[[#This Row],[Overall (destination currency)]]*(1+Claims_Inflation)^((Revalue_at_date-Table1[[#This Row],[Loss date]])/365.25)</f>
        <v>887.39999999999986</v>
      </c>
      <c r="R1691" s="70">
        <f>INT(Table1[[#This Row],[Reporting date]])-INT(Table1[[#This Row],[Loss date]])</f>
        <v>152</v>
      </c>
      <c r="S1691" s="69" t="s">
        <v>9</v>
      </c>
      <c r="T1691" s="70">
        <f>VLOOKUP(Table1[[#This Row],[Policy Year]],exposure_table,3,FALSE)</f>
        <v>870.52680000000009</v>
      </c>
      <c r="U1691" s="17">
        <f>IF(MONTH(Table1[[#This Row],[Reporting date]])&lt;Policy_Inception_Month,YEAR(Table1[[#This Row],[Reporting date]])-1,YEAR(Table1[[#This Row],[Reporting date]]))</f>
        <v>2011</v>
      </c>
      <c r="V1691" s="17">
        <f>Table1[[#This Row],[Reporting year]]-Table1[[#This Row],[Policy Year]]</f>
        <v>0</v>
      </c>
      <c r="W1691" s="17">
        <f>INT(Table1[[#This Row],[Reporting date]])-INT(Table1[[#This Row],[Loss date]])</f>
        <v>152</v>
      </c>
      <c r="X1691" s="17">
        <f>INT((YEAR(Table1[[#This Row],[Loss date]])*12+MONTH(Table1[[#This Row],[Loss date]])-Earliest_Month)/4)</f>
        <v>18</v>
      </c>
      <c r="Y1691" s="17">
        <f>INT((YEAR(Table1[[#This Row],[Reporting date]])*12+MONTH(Table1[[#This Row],[Reporting date]])-Earliest_Month)/4)</f>
        <v>19</v>
      </c>
      <c r="Z1691" s="17">
        <f>Table1[[#This Row],[Reporting third]]-Table1[[#This Row],[Policy third]]</f>
        <v>1</v>
      </c>
      <c r="AA1691" s="71">
        <f>IF(Table1[[#This Row],[Overall amount]]=0,"N/A",Table1[[#This Row],[Outstanding]]/Table1[[#This Row],[Overall amount]])</f>
        <v>0</v>
      </c>
      <c r="AB1691" s="17">
        <f>IF(MONTH(Table1[[#This Row],[Loss date]])&lt;Pol_Inc_Month_Shifted,YEAR(Table1[[#This Row],[Loss date]])-1,YEAR(Table1[[#This Row],[Loss date]]))</f>
        <v>2010</v>
      </c>
      <c r="AC1691" s="17">
        <f>IF(MONTH(Table1[[#This Row],[Reporting date]])&lt;Pol_Inc_Month_Shifted,YEAR(Table1[[#This Row],[Reporting date]])-1,YEAR(Table1[[#This Row],[Reporting date]]))</f>
        <v>2010</v>
      </c>
      <c r="AD1691" s="17">
        <f>Table1[[#This Row],[Reporting year (shifted)]]-Table1[[#This Row],[Policy Year (shifted)]]</f>
        <v>0</v>
      </c>
    </row>
    <row r="1692" spans="1:30" ht="13.9">
      <c r="A1692" s="8" t="s">
        <v>3462</v>
      </c>
      <c r="B1692" s="8" t="s">
        <v>1744</v>
      </c>
      <c r="C1692" s="8" t="s">
        <v>123</v>
      </c>
      <c r="D1692" s="9">
        <v>40540</v>
      </c>
      <c r="E1692" s="9">
        <v>40852</v>
      </c>
      <c r="F1692" s="17">
        <f>IF(MONTH(Table1[[#This Row],[Loss date]])&lt;Policy_Inception_Month,YEAR(Table1[[#This Row],[Loss date]])-1,YEAR(Table1[[#This Row],[Loss date]]))</f>
        <v>2010</v>
      </c>
      <c r="G1692" s="10" t="s">
        <v>125</v>
      </c>
      <c r="H1692" s="10" t="s">
        <v>2</v>
      </c>
      <c r="I1692" s="11">
        <v>1420.887315215306</v>
      </c>
      <c r="J1692" s="11">
        <v>0</v>
      </c>
      <c r="K1692" s="11">
        <v>1420.887315215306</v>
      </c>
      <c r="L1692" s="12">
        <v>0</v>
      </c>
      <c r="M1692" s="12">
        <v>0</v>
      </c>
      <c r="N1692" s="12">
        <v>1420.887315215306</v>
      </c>
      <c r="O1692" s="70">
        <f>IF(Table1[[#This Row],[Overall amount]]=0,0,1)</f>
        <v>1</v>
      </c>
      <c r="P1692" s="70">
        <f>Table1[[#This Row],[Overall amount]]*Exchange_Rate</f>
        <v>1420.887315215306</v>
      </c>
      <c r="Q1692" s="70">
        <f>Table1[[#This Row],[Overall (destination currency)]]*(1+Claims_Inflation)^((Revalue_at_date-Table1[[#This Row],[Loss date]])/365.25)</f>
        <v>1792.2000000000003</v>
      </c>
      <c r="R1692" s="70">
        <f>INT(Table1[[#This Row],[Reporting date]])-INT(Table1[[#This Row],[Loss date]])</f>
        <v>312</v>
      </c>
      <c r="S1692" s="69" t="s">
        <v>9</v>
      </c>
      <c r="T1692" s="70">
        <f>VLOOKUP(Table1[[#This Row],[Policy Year]],exposure_table,3,FALSE)</f>
        <v>837.11513600000012</v>
      </c>
      <c r="U1692" s="17">
        <f>IF(MONTH(Table1[[#This Row],[Reporting date]])&lt;Policy_Inception_Month,YEAR(Table1[[#This Row],[Reporting date]])-1,YEAR(Table1[[#This Row],[Reporting date]]))</f>
        <v>2011</v>
      </c>
      <c r="V1692" s="17">
        <f>Table1[[#This Row],[Reporting year]]-Table1[[#This Row],[Policy Year]]</f>
        <v>1</v>
      </c>
      <c r="W1692" s="17">
        <f>INT(Table1[[#This Row],[Reporting date]])-INT(Table1[[#This Row],[Loss date]])</f>
        <v>312</v>
      </c>
      <c r="X1692" s="17">
        <f>INT((YEAR(Table1[[#This Row],[Loss date]])*12+MONTH(Table1[[#This Row],[Loss date]])-Earliest_Month)/4)</f>
        <v>17</v>
      </c>
      <c r="Y1692" s="17">
        <f>INT((YEAR(Table1[[#This Row],[Reporting date]])*12+MONTH(Table1[[#This Row],[Reporting date]])-Earliest_Month)/4)</f>
        <v>19</v>
      </c>
      <c r="Z1692" s="17">
        <f>Table1[[#This Row],[Reporting third]]-Table1[[#This Row],[Policy third]]</f>
        <v>2</v>
      </c>
      <c r="AA1692" s="71">
        <f>IF(Table1[[#This Row],[Overall amount]]=0,"N/A",Table1[[#This Row],[Outstanding]]/Table1[[#This Row],[Overall amount]])</f>
        <v>0</v>
      </c>
      <c r="AB1692" s="17">
        <f>IF(MONTH(Table1[[#This Row],[Loss date]])&lt;Pol_Inc_Month_Shifted,YEAR(Table1[[#This Row],[Loss date]])-1,YEAR(Table1[[#This Row],[Loss date]]))</f>
        <v>2010</v>
      </c>
      <c r="AC1692" s="17">
        <f>IF(MONTH(Table1[[#This Row],[Reporting date]])&lt;Pol_Inc_Month_Shifted,YEAR(Table1[[#This Row],[Reporting date]])-1,YEAR(Table1[[#This Row],[Reporting date]]))</f>
        <v>2010</v>
      </c>
      <c r="AD1692" s="17">
        <f>Table1[[#This Row],[Reporting year (shifted)]]-Table1[[#This Row],[Policy Year (shifted)]]</f>
        <v>0</v>
      </c>
    </row>
    <row r="1693" spans="1:30" ht="13.9">
      <c r="A1693" s="8" t="s">
        <v>3463</v>
      </c>
      <c r="B1693" s="8" t="s">
        <v>1745</v>
      </c>
      <c r="C1693" s="8" t="s">
        <v>123</v>
      </c>
      <c r="D1693" s="9">
        <v>40942</v>
      </c>
      <c r="E1693" s="9">
        <v>41084</v>
      </c>
      <c r="F1693" s="17">
        <f>IF(MONTH(Table1[[#This Row],[Loss date]])&lt;Policy_Inception_Month,YEAR(Table1[[#This Row],[Loss date]])-1,YEAR(Table1[[#This Row],[Loss date]]))</f>
        <v>2011</v>
      </c>
      <c r="G1693" s="10" t="s">
        <v>130</v>
      </c>
      <c r="H1693" s="10" t="s">
        <v>2</v>
      </c>
      <c r="I1693" s="11">
        <v>160.11660739556038</v>
      </c>
      <c r="J1693" s="11">
        <v>16855.41000924863</v>
      </c>
      <c r="K1693" s="11">
        <v>17015.526616644187</v>
      </c>
      <c r="L1693" s="12">
        <v>0</v>
      </c>
      <c r="M1693" s="12">
        <v>0</v>
      </c>
      <c r="N1693" s="12">
        <v>17015.526616644187</v>
      </c>
      <c r="O1693" s="70">
        <f>IF(Table1[[#This Row],[Overall amount]]=0,0,1)</f>
        <v>1</v>
      </c>
      <c r="P1693" s="70">
        <f>Table1[[#This Row],[Overall amount]]*Exchange_Rate</f>
        <v>17015.526616644187</v>
      </c>
      <c r="Q1693" s="70">
        <f>Table1[[#This Row],[Overall (destination currency)]]*(1+Claims_Inflation)^((Revalue_at_date-Table1[[#This Row],[Loss date]])/365.25)</f>
        <v>20340</v>
      </c>
      <c r="R1693" s="70">
        <f>INT(Table1[[#This Row],[Reporting date]])-INT(Table1[[#This Row],[Loss date]])</f>
        <v>142</v>
      </c>
      <c r="S1693" s="69" t="s">
        <v>16</v>
      </c>
      <c r="T1693" s="70">
        <f>VLOOKUP(Table1[[#This Row],[Policy Year]],exposure_table,3,FALSE)</f>
        <v>870.52680000000009</v>
      </c>
      <c r="U1693" s="17">
        <f>IF(MONTH(Table1[[#This Row],[Reporting date]])&lt;Policy_Inception_Month,YEAR(Table1[[#This Row],[Reporting date]])-1,YEAR(Table1[[#This Row],[Reporting date]]))</f>
        <v>2012</v>
      </c>
      <c r="V1693" s="17">
        <f>Table1[[#This Row],[Reporting year]]-Table1[[#This Row],[Policy Year]]</f>
        <v>1</v>
      </c>
      <c r="W1693" s="17">
        <f>INT(Table1[[#This Row],[Reporting date]])-INT(Table1[[#This Row],[Loss date]])</f>
        <v>142</v>
      </c>
      <c r="X1693" s="17">
        <f>INT((YEAR(Table1[[#This Row],[Loss date]])*12+MONTH(Table1[[#This Row],[Loss date]])-Earliest_Month)/4)</f>
        <v>20</v>
      </c>
      <c r="Y1693" s="17">
        <f>INT((YEAR(Table1[[#This Row],[Reporting date]])*12+MONTH(Table1[[#This Row],[Reporting date]])-Earliest_Month)/4)</f>
        <v>21</v>
      </c>
      <c r="Z1693" s="17">
        <f>Table1[[#This Row],[Reporting third]]-Table1[[#This Row],[Policy third]]</f>
        <v>1</v>
      </c>
      <c r="AA1693" s="71">
        <f>IF(Table1[[#This Row],[Overall amount]]=0,"N/A",Table1[[#This Row],[Outstanding]]/Table1[[#This Row],[Overall amount]])</f>
        <v>0.99058997050147513</v>
      </c>
      <c r="AB1693" s="17">
        <f>IF(MONTH(Table1[[#This Row],[Loss date]])&lt;Pol_Inc_Month_Shifted,YEAR(Table1[[#This Row],[Loss date]])-1,YEAR(Table1[[#This Row],[Loss date]]))</f>
        <v>2011</v>
      </c>
      <c r="AC1693" s="17">
        <f>IF(MONTH(Table1[[#This Row],[Reporting date]])&lt;Pol_Inc_Month_Shifted,YEAR(Table1[[#This Row],[Reporting date]])-1,YEAR(Table1[[#This Row],[Reporting date]]))</f>
        <v>2011</v>
      </c>
      <c r="AD1693" s="17">
        <f>Table1[[#This Row],[Reporting year (shifted)]]-Table1[[#This Row],[Policy Year (shifted)]]</f>
        <v>0</v>
      </c>
    </row>
    <row r="1694" spans="1:30" ht="13.9">
      <c r="A1694" s="8" t="s">
        <v>3464</v>
      </c>
      <c r="B1694" s="8" t="s">
        <v>1746</v>
      </c>
      <c r="C1694" s="8" t="s">
        <v>123</v>
      </c>
      <c r="D1694" s="9">
        <v>40412</v>
      </c>
      <c r="E1694" s="9">
        <v>40412</v>
      </c>
      <c r="F1694" s="17">
        <f>IF(MONTH(Table1[[#This Row],[Loss date]])&lt;Policy_Inception_Month,YEAR(Table1[[#This Row],[Loss date]])-1,YEAR(Table1[[#This Row],[Loss date]]))</f>
        <v>2010</v>
      </c>
      <c r="G1694" s="10" t="s">
        <v>148</v>
      </c>
      <c r="H1694" s="10" t="s">
        <v>2</v>
      </c>
      <c r="I1694" s="11">
        <v>176.29503562115815</v>
      </c>
      <c r="J1694" s="11">
        <v>0</v>
      </c>
      <c r="K1694" s="11">
        <v>176.29503562115815</v>
      </c>
      <c r="L1694" s="12">
        <v>0</v>
      </c>
      <c r="M1694" s="12">
        <v>0</v>
      </c>
      <c r="N1694" s="12">
        <v>176.29503562115815</v>
      </c>
      <c r="O1694" s="70">
        <f>IF(Table1[[#This Row],[Overall amount]]=0,0,1)</f>
        <v>1</v>
      </c>
      <c r="P1694" s="70">
        <f>Table1[[#This Row],[Overall amount]]*Exchange_Rate</f>
        <v>176.29503562115815</v>
      </c>
      <c r="Q1694" s="70">
        <f>Table1[[#This Row],[Overall (destination currency)]]*(1+Claims_Inflation)^((Revalue_at_date-Table1[[#This Row],[Loss date]])/365.25)</f>
        <v>226.2</v>
      </c>
      <c r="R1694" s="70">
        <f>INT(Table1[[#This Row],[Reporting date]])-INT(Table1[[#This Row],[Loss date]])</f>
        <v>0</v>
      </c>
      <c r="S1694" s="69" t="s">
        <v>9</v>
      </c>
      <c r="T1694" s="70">
        <f>VLOOKUP(Table1[[#This Row],[Policy Year]],exposure_table,3,FALSE)</f>
        <v>837.11513600000012</v>
      </c>
      <c r="U1694" s="17">
        <f>IF(MONTH(Table1[[#This Row],[Reporting date]])&lt;Policy_Inception_Month,YEAR(Table1[[#This Row],[Reporting date]])-1,YEAR(Table1[[#This Row],[Reporting date]]))</f>
        <v>2010</v>
      </c>
      <c r="V1694" s="17">
        <f>Table1[[#This Row],[Reporting year]]-Table1[[#This Row],[Policy Year]]</f>
        <v>0</v>
      </c>
      <c r="W1694" s="17">
        <f>INT(Table1[[#This Row],[Reporting date]])-INT(Table1[[#This Row],[Loss date]])</f>
        <v>0</v>
      </c>
      <c r="X1694" s="17">
        <f>INT((YEAR(Table1[[#This Row],[Loss date]])*12+MONTH(Table1[[#This Row],[Loss date]])-Earliest_Month)/4)</f>
        <v>16</v>
      </c>
      <c r="Y1694" s="17">
        <f>INT((YEAR(Table1[[#This Row],[Reporting date]])*12+MONTH(Table1[[#This Row],[Reporting date]])-Earliest_Month)/4)</f>
        <v>16</v>
      </c>
      <c r="Z1694" s="17">
        <f>Table1[[#This Row],[Reporting third]]-Table1[[#This Row],[Policy third]]</f>
        <v>0</v>
      </c>
      <c r="AA1694" s="71">
        <f>IF(Table1[[#This Row],[Overall amount]]=0,"N/A",Table1[[#This Row],[Outstanding]]/Table1[[#This Row],[Overall amount]])</f>
        <v>0</v>
      </c>
      <c r="AB1694" s="17">
        <f>IF(MONTH(Table1[[#This Row],[Loss date]])&lt;Pol_Inc_Month_Shifted,YEAR(Table1[[#This Row],[Loss date]])-1,YEAR(Table1[[#This Row],[Loss date]]))</f>
        <v>2009</v>
      </c>
      <c r="AC1694" s="17">
        <f>IF(MONTH(Table1[[#This Row],[Reporting date]])&lt;Pol_Inc_Month_Shifted,YEAR(Table1[[#This Row],[Reporting date]])-1,YEAR(Table1[[#This Row],[Reporting date]]))</f>
        <v>2009</v>
      </c>
      <c r="AD1694" s="17">
        <f>Table1[[#This Row],[Reporting year (shifted)]]-Table1[[#This Row],[Policy Year (shifted)]]</f>
        <v>0</v>
      </c>
    </row>
    <row r="1695" spans="1:30" ht="13.9">
      <c r="A1695" s="8" t="s">
        <v>3465</v>
      </c>
      <c r="B1695" s="8" t="s">
        <v>1747</v>
      </c>
      <c r="C1695" s="8" t="s">
        <v>123</v>
      </c>
      <c r="D1695" s="9">
        <v>39500</v>
      </c>
      <c r="E1695" s="9">
        <v>39872</v>
      </c>
      <c r="F1695" s="17">
        <f>IF(MONTH(Table1[[#This Row],[Loss date]])&lt;Policy_Inception_Month,YEAR(Table1[[#This Row],[Loss date]])-1,YEAR(Table1[[#This Row],[Loss date]]))</f>
        <v>2007</v>
      </c>
      <c r="G1695" s="10" t="s">
        <v>125</v>
      </c>
      <c r="H1695" s="10" t="s">
        <v>2</v>
      </c>
      <c r="I1695" s="11">
        <v>5941.4560233096645</v>
      </c>
      <c r="J1695" s="11">
        <v>0</v>
      </c>
      <c r="K1695" s="11">
        <v>5941.4560233096645</v>
      </c>
      <c r="L1695" s="12">
        <v>0</v>
      </c>
      <c r="M1695" s="12">
        <v>0</v>
      </c>
      <c r="N1695" s="12">
        <v>5941.4560233096645</v>
      </c>
      <c r="O1695" s="70">
        <f>IF(Table1[[#This Row],[Overall amount]]=0,0,1)</f>
        <v>1</v>
      </c>
      <c r="P1695" s="70">
        <f>Table1[[#This Row],[Overall amount]]*Exchange_Rate</f>
        <v>5941.4560233096645</v>
      </c>
      <c r="Q1695" s="70">
        <f>Table1[[#This Row],[Overall (destination currency)]]*(1+Claims_Inflation)^((Revalue_at_date-Table1[[#This Row],[Loss date]])/365.25)</f>
        <v>8610.9959999999992</v>
      </c>
      <c r="R1695" s="70">
        <f>INT(Table1[[#This Row],[Reporting date]])-INT(Table1[[#This Row],[Loss date]])</f>
        <v>372</v>
      </c>
      <c r="S1695" s="69" t="s">
        <v>9</v>
      </c>
      <c r="T1695" s="70">
        <f>VLOOKUP(Table1[[#This Row],[Policy Year]],exposure_table,3,FALSE)</f>
        <v>547.7736362475523</v>
      </c>
      <c r="U1695" s="17">
        <f>IF(MONTH(Table1[[#This Row],[Reporting date]])&lt;Policy_Inception_Month,YEAR(Table1[[#This Row],[Reporting date]])-1,YEAR(Table1[[#This Row],[Reporting date]]))</f>
        <v>2008</v>
      </c>
      <c r="V1695" s="17">
        <f>Table1[[#This Row],[Reporting year]]-Table1[[#This Row],[Policy Year]]</f>
        <v>1</v>
      </c>
      <c r="W1695" s="17">
        <f>INT(Table1[[#This Row],[Reporting date]])-INT(Table1[[#This Row],[Loss date]])</f>
        <v>372</v>
      </c>
      <c r="X1695" s="17">
        <f>INT((YEAR(Table1[[#This Row],[Loss date]])*12+MONTH(Table1[[#This Row],[Loss date]])-Earliest_Month)/4)</f>
        <v>8</v>
      </c>
      <c r="Y1695" s="17">
        <f>INT((YEAR(Table1[[#This Row],[Reporting date]])*12+MONTH(Table1[[#This Row],[Reporting date]])-Earliest_Month)/4)</f>
        <v>11</v>
      </c>
      <c r="Z1695" s="17">
        <f>Table1[[#This Row],[Reporting third]]-Table1[[#This Row],[Policy third]]</f>
        <v>3</v>
      </c>
      <c r="AA1695" s="71">
        <f>IF(Table1[[#This Row],[Overall amount]]=0,"N/A",Table1[[#This Row],[Outstanding]]/Table1[[#This Row],[Overall amount]])</f>
        <v>0</v>
      </c>
      <c r="AB1695" s="17">
        <f>IF(MONTH(Table1[[#This Row],[Loss date]])&lt;Pol_Inc_Month_Shifted,YEAR(Table1[[#This Row],[Loss date]])-1,YEAR(Table1[[#This Row],[Loss date]]))</f>
        <v>2007</v>
      </c>
      <c r="AC1695" s="17">
        <f>IF(MONTH(Table1[[#This Row],[Reporting date]])&lt;Pol_Inc_Month_Shifted,YEAR(Table1[[#This Row],[Reporting date]])-1,YEAR(Table1[[#This Row],[Reporting date]]))</f>
        <v>2008</v>
      </c>
      <c r="AD1695" s="17">
        <f>Table1[[#This Row],[Reporting year (shifted)]]-Table1[[#This Row],[Policy Year (shifted)]]</f>
        <v>1</v>
      </c>
    </row>
    <row r="1696" spans="1:30" ht="13.9">
      <c r="A1696" s="8" t="s">
        <v>3466</v>
      </c>
      <c r="B1696" s="8" t="s">
        <v>1748</v>
      </c>
      <c r="C1696" s="8" t="s">
        <v>123</v>
      </c>
      <c r="D1696" s="9">
        <v>39773</v>
      </c>
      <c r="E1696" s="9">
        <v>39985</v>
      </c>
      <c r="F1696" s="17">
        <f>IF(MONTH(Table1[[#This Row],[Loss date]])&lt;Policy_Inception_Month,YEAR(Table1[[#This Row],[Loss date]])-1,YEAR(Table1[[#This Row],[Loss date]]))</f>
        <v>2008</v>
      </c>
      <c r="G1696" s="10" t="s">
        <v>125</v>
      </c>
      <c r="H1696" s="10" t="s">
        <v>2</v>
      </c>
      <c r="I1696" s="11">
        <v>6069.0979917147952</v>
      </c>
      <c r="J1696" s="11">
        <v>0</v>
      </c>
      <c r="K1696" s="11">
        <v>6069.0979917147952</v>
      </c>
      <c r="L1696" s="12">
        <v>0</v>
      </c>
      <c r="M1696" s="12">
        <v>0</v>
      </c>
      <c r="N1696" s="12">
        <v>6069.0979917147952</v>
      </c>
      <c r="O1696" s="70">
        <f>IF(Table1[[#This Row],[Overall amount]]=0,0,1)</f>
        <v>1</v>
      </c>
      <c r="P1696" s="70">
        <f>Table1[[#This Row],[Overall amount]]*Exchange_Rate</f>
        <v>6069.0979917147952</v>
      </c>
      <c r="Q1696" s="70">
        <f>Table1[[#This Row],[Overall (destination currency)]]*(1+Claims_Inflation)^((Revalue_at_date-Table1[[#This Row],[Loss date]])/365.25)</f>
        <v>8481</v>
      </c>
      <c r="R1696" s="70">
        <f>INT(Table1[[#This Row],[Reporting date]])-INT(Table1[[#This Row],[Loss date]])</f>
        <v>212</v>
      </c>
      <c r="S1696" s="69" t="s">
        <v>9</v>
      </c>
      <c r="T1696" s="70">
        <f>VLOOKUP(Table1[[#This Row],[Policy Year]],exposure_table,3,FALSE)</f>
        <v>601.98581780480015</v>
      </c>
      <c r="U1696" s="17">
        <f>IF(MONTH(Table1[[#This Row],[Reporting date]])&lt;Policy_Inception_Month,YEAR(Table1[[#This Row],[Reporting date]])-1,YEAR(Table1[[#This Row],[Reporting date]]))</f>
        <v>2009</v>
      </c>
      <c r="V1696" s="17">
        <f>Table1[[#This Row],[Reporting year]]-Table1[[#This Row],[Policy Year]]</f>
        <v>1</v>
      </c>
      <c r="W1696" s="17">
        <f>INT(Table1[[#This Row],[Reporting date]])-INT(Table1[[#This Row],[Loss date]])</f>
        <v>212</v>
      </c>
      <c r="X1696" s="17">
        <f>INT((YEAR(Table1[[#This Row],[Loss date]])*12+MONTH(Table1[[#This Row],[Loss date]])-Earliest_Month)/4)</f>
        <v>10</v>
      </c>
      <c r="Y1696" s="17">
        <f>INT((YEAR(Table1[[#This Row],[Reporting date]])*12+MONTH(Table1[[#This Row],[Reporting date]])-Earliest_Month)/4)</f>
        <v>12</v>
      </c>
      <c r="Z1696" s="17">
        <f>Table1[[#This Row],[Reporting third]]-Table1[[#This Row],[Policy third]]</f>
        <v>2</v>
      </c>
      <c r="AA1696" s="71">
        <f>IF(Table1[[#This Row],[Overall amount]]=0,"N/A",Table1[[#This Row],[Outstanding]]/Table1[[#This Row],[Overall amount]])</f>
        <v>0</v>
      </c>
      <c r="AB1696" s="17">
        <f>IF(MONTH(Table1[[#This Row],[Loss date]])&lt;Pol_Inc_Month_Shifted,YEAR(Table1[[#This Row],[Loss date]])-1,YEAR(Table1[[#This Row],[Loss date]]))</f>
        <v>2007</v>
      </c>
      <c r="AC1696" s="17">
        <f>IF(MONTH(Table1[[#This Row],[Reporting date]])&lt;Pol_Inc_Month_Shifted,YEAR(Table1[[#This Row],[Reporting date]])-1,YEAR(Table1[[#This Row],[Reporting date]]))</f>
        <v>2008</v>
      </c>
      <c r="AD1696" s="17">
        <f>Table1[[#This Row],[Reporting year (shifted)]]-Table1[[#This Row],[Policy Year (shifted)]]</f>
        <v>1</v>
      </c>
    </row>
    <row r="1697" spans="1:30" ht="13.9">
      <c r="A1697" s="8" t="s">
        <v>3467</v>
      </c>
      <c r="B1697" s="8" t="s">
        <v>1749</v>
      </c>
      <c r="C1697" s="8" t="s">
        <v>123</v>
      </c>
      <c r="D1697" s="9">
        <v>39755</v>
      </c>
      <c r="E1697" s="9">
        <v>39948</v>
      </c>
      <c r="F1697" s="17">
        <f>IF(MONTH(Table1[[#This Row],[Loss date]])&lt;Policy_Inception_Month,YEAR(Table1[[#This Row],[Loss date]])-1,YEAR(Table1[[#This Row],[Loss date]]))</f>
        <v>2008</v>
      </c>
      <c r="G1697" s="10" t="s">
        <v>131</v>
      </c>
      <c r="H1697" s="10" t="s">
        <v>2</v>
      </c>
      <c r="I1697" s="11">
        <v>4769.5161283090856</v>
      </c>
      <c r="J1697" s="11">
        <v>0</v>
      </c>
      <c r="K1697" s="11">
        <v>4769.5161283090856</v>
      </c>
      <c r="L1697" s="12">
        <v>0</v>
      </c>
      <c r="M1697" s="12">
        <v>0</v>
      </c>
      <c r="N1697" s="12">
        <v>4769.5161283090856</v>
      </c>
      <c r="O1697" s="70">
        <f>IF(Table1[[#This Row],[Overall amount]]=0,0,1)</f>
        <v>1</v>
      </c>
      <c r="P1697" s="70">
        <f>Table1[[#This Row],[Overall amount]]*Exchange_Rate</f>
        <v>4769.5161283090856</v>
      </c>
      <c r="Q1697" s="70">
        <f>Table1[[#This Row],[Overall (destination currency)]]*(1+Claims_Inflation)^((Revalue_at_date-Table1[[#This Row],[Loss date]])/365.25)</f>
        <v>6681</v>
      </c>
      <c r="R1697" s="70">
        <f>INT(Table1[[#This Row],[Reporting date]])-INT(Table1[[#This Row],[Loss date]])</f>
        <v>193</v>
      </c>
      <c r="S1697" s="69" t="s">
        <v>9</v>
      </c>
      <c r="T1697" s="70">
        <f>VLOOKUP(Table1[[#This Row],[Policy Year]],exposure_table,3,FALSE)</f>
        <v>601.98581780480015</v>
      </c>
      <c r="U1697" s="17">
        <f>IF(MONTH(Table1[[#This Row],[Reporting date]])&lt;Policy_Inception_Month,YEAR(Table1[[#This Row],[Reporting date]])-1,YEAR(Table1[[#This Row],[Reporting date]]))</f>
        <v>2009</v>
      </c>
      <c r="V1697" s="17">
        <f>Table1[[#This Row],[Reporting year]]-Table1[[#This Row],[Policy Year]]</f>
        <v>1</v>
      </c>
      <c r="W1697" s="17">
        <f>INT(Table1[[#This Row],[Reporting date]])-INT(Table1[[#This Row],[Loss date]])</f>
        <v>193</v>
      </c>
      <c r="X1697" s="17">
        <f>INT((YEAR(Table1[[#This Row],[Loss date]])*12+MONTH(Table1[[#This Row],[Loss date]])-Earliest_Month)/4)</f>
        <v>10</v>
      </c>
      <c r="Y1697" s="17">
        <f>INT((YEAR(Table1[[#This Row],[Reporting date]])*12+MONTH(Table1[[#This Row],[Reporting date]])-Earliest_Month)/4)</f>
        <v>12</v>
      </c>
      <c r="Z1697" s="17">
        <f>Table1[[#This Row],[Reporting third]]-Table1[[#This Row],[Policy third]]</f>
        <v>2</v>
      </c>
      <c r="AA1697" s="71">
        <f>IF(Table1[[#This Row],[Overall amount]]=0,"N/A",Table1[[#This Row],[Outstanding]]/Table1[[#This Row],[Overall amount]])</f>
        <v>0</v>
      </c>
      <c r="AB1697" s="17">
        <f>IF(MONTH(Table1[[#This Row],[Loss date]])&lt;Pol_Inc_Month_Shifted,YEAR(Table1[[#This Row],[Loss date]])-1,YEAR(Table1[[#This Row],[Loss date]]))</f>
        <v>2007</v>
      </c>
      <c r="AC1697" s="17">
        <f>IF(MONTH(Table1[[#This Row],[Reporting date]])&lt;Pol_Inc_Month_Shifted,YEAR(Table1[[#This Row],[Reporting date]])-1,YEAR(Table1[[#This Row],[Reporting date]]))</f>
        <v>2008</v>
      </c>
      <c r="AD1697" s="17">
        <f>Table1[[#This Row],[Reporting year (shifted)]]-Table1[[#This Row],[Policy Year (shifted)]]</f>
        <v>1</v>
      </c>
    </row>
    <row r="1698" spans="1:30" ht="13.9">
      <c r="A1698" s="8" t="s">
        <v>3468</v>
      </c>
      <c r="B1698" s="8" t="s">
        <v>1750</v>
      </c>
      <c r="C1698" s="8" t="s">
        <v>123</v>
      </c>
      <c r="D1698" s="9">
        <v>40163</v>
      </c>
      <c r="E1698" s="9">
        <v>40259</v>
      </c>
      <c r="F1698" s="17">
        <f>IF(MONTH(Table1[[#This Row],[Loss date]])&lt;Policy_Inception_Month,YEAR(Table1[[#This Row],[Loss date]])-1,YEAR(Table1[[#This Row],[Loss date]]))</f>
        <v>2009</v>
      </c>
      <c r="G1698" s="10" t="s">
        <v>141</v>
      </c>
      <c r="H1698" s="10" t="s">
        <v>2</v>
      </c>
      <c r="I1698" s="11">
        <v>787.05069977622031</v>
      </c>
      <c r="J1698" s="11">
        <v>0</v>
      </c>
      <c r="K1698" s="11">
        <v>787.05069977622031</v>
      </c>
      <c r="L1698" s="12">
        <v>0</v>
      </c>
      <c r="M1698" s="12">
        <v>0</v>
      </c>
      <c r="N1698" s="12">
        <v>787.05069977622031</v>
      </c>
      <c r="O1698" s="70">
        <f>IF(Table1[[#This Row],[Overall amount]]=0,0,1)</f>
        <v>1</v>
      </c>
      <c r="P1698" s="70">
        <f>Table1[[#This Row],[Overall amount]]*Exchange_Rate</f>
        <v>787.05069977622031</v>
      </c>
      <c r="Q1698" s="70">
        <f>Table1[[#This Row],[Overall (destination currency)]]*(1+Claims_Inflation)^((Revalue_at_date-Table1[[#This Row],[Loss date]])/365.25)</f>
        <v>1044</v>
      </c>
      <c r="R1698" s="70">
        <f>INT(Table1[[#This Row],[Reporting date]])-INT(Table1[[#This Row],[Loss date]])</f>
        <v>96</v>
      </c>
      <c r="S1698" s="69" t="s">
        <v>9</v>
      </c>
      <c r="T1698" s="70">
        <f>VLOOKUP(Table1[[#This Row],[Policy Year]],exposure_table,3,FALSE)</f>
        <v>760.22808576000011</v>
      </c>
      <c r="U1698" s="17">
        <f>IF(MONTH(Table1[[#This Row],[Reporting date]])&lt;Policy_Inception_Month,YEAR(Table1[[#This Row],[Reporting date]])-1,YEAR(Table1[[#This Row],[Reporting date]]))</f>
        <v>2009</v>
      </c>
      <c r="V1698" s="17">
        <f>Table1[[#This Row],[Reporting year]]-Table1[[#This Row],[Policy Year]]</f>
        <v>0</v>
      </c>
      <c r="W1698" s="17">
        <f>INT(Table1[[#This Row],[Reporting date]])-INT(Table1[[#This Row],[Loss date]])</f>
        <v>96</v>
      </c>
      <c r="X1698" s="17">
        <f>INT((YEAR(Table1[[#This Row],[Loss date]])*12+MONTH(Table1[[#This Row],[Loss date]])-Earliest_Month)/4)</f>
        <v>14</v>
      </c>
      <c r="Y1698" s="17">
        <f>INT((YEAR(Table1[[#This Row],[Reporting date]])*12+MONTH(Table1[[#This Row],[Reporting date]])-Earliest_Month)/4)</f>
        <v>14</v>
      </c>
      <c r="Z1698" s="17">
        <f>Table1[[#This Row],[Reporting third]]-Table1[[#This Row],[Policy third]]</f>
        <v>0</v>
      </c>
      <c r="AA1698" s="71">
        <f>IF(Table1[[#This Row],[Overall amount]]=0,"N/A",Table1[[#This Row],[Outstanding]]/Table1[[#This Row],[Overall amount]])</f>
        <v>0</v>
      </c>
      <c r="AB1698" s="17">
        <f>IF(MONTH(Table1[[#This Row],[Loss date]])&lt;Pol_Inc_Month_Shifted,YEAR(Table1[[#This Row],[Loss date]])-1,YEAR(Table1[[#This Row],[Loss date]]))</f>
        <v>2009</v>
      </c>
      <c r="AC1698" s="17">
        <f>IF(MONTH(Table1[[#This Row],[Reporting date]])&lt;Pol_Inc_Month_Shifted,YEAR(Table1[[#This Row],[Reporting date]])-1,YEAR(Table1[[#This Row],[Reporting date]]))</f>
        <v>2009</v>
      </c>
      <c r="AD1698" s="17">
        <f>Table1[[#This Row],[Reporting year (shifted)]]-Table1[[#This Row],[Policy Year (shifted)]]</f>
        <v>0</v>
      </c>
    </row>
    <row r="1699" spans="1:30" ht="13.9">
      <c r="A1699" s="8" t="s">
        <v>3469</v>
      </c>
      <c r="B1699" s="8" t="s">
        <v>1751</v>
      </c>
      <c r="C1699" s="8" t="s">
        <v>123</v>
      </c>
      <c r="D1699" s="9">
        <v>38857</v>
      </c>
      <c r="E1699" s="9">
        <v>39133</v>
      </c>
      <c r="F1699" s="17">
        <f>IF(MONTH(Table1[[#This Row],[Loss date]])&lt;Policy_Inception_Month,YEAR(Table1[[#This Row],[Loss date]])-1,YEAR(Table1[[#This Row],[Loss date]]))</f>
        <v>2006</v>
      </c>
      <c r="G1699" s="10" t="s">
        <v>125</v>
      </c>
      <c r="H1699" s="10" t="s">
        <v>2</v>
      </c>
      <c r="I1699" s="11">
        <v>202.4955624634982</v>
      </c>
      <c r="J1699" s="11">
        <v>0</v>
      </c>
      <c r="K1699" s="11">
        <v>202.4955624634982</v>
      </c>
      <c r="L1699" s="12">
        <v>0</v>
      </c>
      <c r="M1699" s="12">
        <v>0</v>
      </c>
      <c r="N1699" s="12">
        <v>202.4955624634982</v>
      </c>
      <c r="O1699" s="70">
        <f>IF(Table1[[#This Row],[Overall amount]]=0,0,1)</f>
        <v>1</v>
      </c>
      <c r="P1699" s="70">
        <f>Table1[[#This Row],[Overall amount]]*Exchange_Rate</f>
        <v>202.4955624634982</v>
      </c>
      <c r="Q1699" s="70">
        <f>Table1[[#This Row],[Overall (destination currency)]]*(1+Claims_Inflation)^((Revalue_at_date-Table1[[#This Row],[Loss date]])/365.25)</f>
        <v>319.8</v>
      </c>
      <c r="R1699" s="70">
        <f>INT(Table1[[#This Row],[Reporting date]])-INT(Table1[[#This Row],[Loss date]])</f>
        <v>276</v>
      </c>
      <c r="S1699" s="69" t="s">
        <v>9</v>
      </c>
      <c r="T1699" s="70">
        <f>VLOOKUP(Table1[[#This Row],[Policy Year]],exposure_table,3,FALSE)</f>
        <v>483.32023209000977</v>
      </c>
      <c r="U1699" s="17">
        <f>IF(MONTH(Table1[[#This Row],[Reporting date]])&lt;Policy_Inception_Month,YEAR(Table1[[#This Row],[Reporting date]])-1,YEAR(Table1[[#This Row],[Reporting date]]))</f>
        <v>2006</v>
      </c>
      <c r="V1699" s="17">
        <f>Table1[[#This Row],[Reporting year]]-Table1[[#This Row],[Policy Year]]</f>
        <v>0</v>
      </c>
      <c r="W1699" s="17">
        <f>INT(Table1[[#This Row],[Reporting date]])-INT(Table1[[#This Row],[Loss date]])</f>
        <v>276</v>
      </c>
      <c r="X1699" s="17">
        <f>INT((YEAR(Table1[[#This Row],[Loss date]])*12+MONTH(Table1[[#This Row],[Loss date]])-Earliest_Month)/4)</f>
        <v>3</v>
      </c>
      <c r="Y1699" s="17">
        <f>INT((YEAR(Table1[[#This Row],[Reporting date]])*12+MONTH(Table1[[#This Row],[Reporting date]])-Earliest_Month)/4)</f>
        <v>5</v>
      </c>
      <c r="Z1699" s="17">
        <f>Table1[[#This Row],[Reporting third]]-Table1[[#This Row],[Policy third]]</f>
        <v>2</v>
      </c>
      <c r="AA1699" s="71">
        <f>IF(Table1[[#This Row],[Overall amount]]=0,"N/A",Table1[[#This Row],[Outstanding]]/Table1[[#This Row],[Overall amount]])</f>
        <v>0</v>
      </c>
      <c r="AB1699" s="17">
        <f>IF(MONTH(Table1[[#This Row],[Loss date]])&lt;Pol_Inc_Month_Shifted,YEAR(Table1[[#This Row],[Loss date]])-1,YEAR(Table1[[#This Row],[Loss date]]))</f>
        <v>2005</v>
      </c>
      <c r="AC1699" s="17">
        <f>IF(MONTH(Table1[[#This Row],[Reporting date]])&lt;Pol_Inc_Month_Shifted,YEAR(Table1[[#This Row],[Reporting date]])-1,YEAR(Table1[[#This Row],[Reporting date]]))</f>
        <v>2006</v>
      </c>
      <c r="AD1699" s="17">
        <f>Table1[[#This Row],[Reporting year (shifted)]]-Table1[[#This Row],[Policy Year (shifted)]]</f>
        <v>1</v>
      </c>
    </row>
    <row r="1700" spans="1:30" ht="13.9">
      <c r="A1700" s="8" t="s">
        <v>3470</v>
      </c>
      <c r="B1700" s="8" t="s">
        <v>1752</v>
      </c>
      <c r="C1700" s="8" t="s">
        <v>123</v>
      </c>
      <c r="D1700" s="9">
        <v>39564</v>
      </c>
      <c r="E1700" s="9">
        <v>39607</v>
      </c>
      <c r="F1700" s="17">
        <f>IF(MONTH(Table1[[#This Row],[Loss date]])&lt;Policy_Inception_Month,YEAR(Table1[[#This Row],[Loss date]])-1,YEAR(Table1[[#This Row],[Loss date]]))</f>
        <v>2008</v>
      </c>
      <c r="G1700" s="10" t="s">
        <v>131</v>
      </c>
      <c r="H1700" s="10" t="s">
        <v>2</v>
      </c>
      <c r="I1700" s="11">
        <v>1636.7775430220638</v>
      </c>
      <c r="J1700" s="11">
        <v>0</v>
      </c>
      <c r="K1700" s="11">
        <v>1636.7775430220638</v>
      </c>
      <c r="L1700" s="12">
        <v>0</v>
      </c>
      <c r="M1700" s="12">
        <v>27.825218231375086</v>
      </c>
      <c r="N1700" s="12">
        <v>1608.9523247906886</v>
      </c>
      <c r="O1700" s="70">
        <f>IF(Table1[[#This Row],[Overall amount]]=0,0,1)</f>
        <v>1</v>
      </c>
      <c r="P1700" s="70">
        <f>Table1[[#This Row],[Overall amount]]*Exchange_Rate</f>
        <v>1608.9523247906886</v>
      </c>
      <c r="Q1700" s="70">
        <f>Table1[[#This Row],[Overall (destination currency)]]*(1+Claims_Inflation)^((Revalue_at_date-Table1[[#This Row],[Loss date]])/365.25)</f>
        <v>2312.0159999999996</v>
      </c>
      <c r="R1700" s="70">
        <f>INT(Table1[[#This Row],[Reporting date]])-INT(Table1[[#This Row],[Loss date]])</f>
        <v>43</v>
      </c>
      <c r="S1700" s="69" t="s">
        <v>9</v>
      </c>
      <c r="T1700" s="70">
        <f>VLOOKUP(Table1[[#This Row],[Policy Year]],exposure_table,3,FALSE)</f>
        <v>601.98581780480015</v>
      </c>
      <c r="U1700" s="17">
        <f>IF(MONTH(Table1[[#This Row],[Reporting date]])&lt;Policy_Inception_Month,YEAR(Table1[[#This Row],[Reporting date]])-1,YEAR(Table1[[#This Row],[Reporting date]]))</f>
        <v>2008</v>
      </c>
      <c r="V1700" s="17">
        <f>Table1[[#This Row],[Reporting year]]-Table1[[#This Row],[Policy Year]]</f>
        <v>0</v>
      </c>
      <c r="W1700" s="17">
        <f>INT(Table1[[#This Row],[Reporting date]])-INT(Table1[[#This Row],[Loss date]])</f>
        <v>43</v>
      </c>
      <c r="X1700" s="17">
        <f>INT((YEAR(Table1[[#This Row],[Loss date]])*12+MONTH(Table1[[#This Row],[Loss date]])-Earliest_Month)/4)</f>
        <v>9</v>
      </c>
      <c r="Y1700" s="17">
        <f>INT((YEAR(Table1[[#This Row],[Reporting date]])*12+MONTH(Table1[[#This Row],[Reporting date]])-Earliest_Month)/4)</f>
        <v>9</v>
      </c>
      <c r="Z1700" s="17">
        <f>Table1[[#This Row],[Reporting third]]-Table1[[#This Row],[Policy third]]</f>
        <v>0</v>
      </c>
      <c r="AA1700" s="71">
        <f>IF(Table1[[#This Row],[Overall amount]]=0,"N/A",Table1[[#This Row],[Outstanding]]/Table1[[#This Row],[Overall amount]])</f>
        <v>0</v>
      </c>
      <c r="AB1700" s="17">
        <f>IF(MONTH(Table1[[#This Row],[Loss date]])&lt;Pol_Inc_Month_Shifted,YEAR(Table1[[#This Row],[Loss date]])-1,YEAR(Table1[[#This Row],[Loss date]]))</f>
        <v>2007</v>
      </c>
      <c r="AC1700" s="17">
        <f>IF(MONTH(Table1[[#This Row],[Reporting date]])&lt;Pol_Inc_Month_Shifted,YEAR(Table1[[#This Row],[Reporting date]])-1,YEAR(Table1[[#This Row],[Reporting date]]))</f>
        <v>2007</v>
      </c>
      <c r="AD1700" s="17">
        <f>Table1[[#This Row],[Reporting year (shifted)]]-Table1[[#This Row],[Policy Year (shifted)]]</f>
        <v>0</v>
      </c>
    </row>
    <row r="1701" spans="1:30" ht="13.9">
      <c r="A1701" s="8" t="s">
        <v>3471</v>
      </c>
      <c r="B1701" s="8" t="s">
        <v>1753</v>
      </c>
      <c r="C1701" s="8" t="s">
        <v>123</v>
      </c>
      <c r="D1701" s="9">
        <v>40035</v>
      </c>
      <c r="E1701" s="9">
        <v>40459</v>
      </c>
      <c r="F1701" s="17">
        <f>IF(MONTH(Table1[[#This Row],[Loss date]])&lt;Policy_Inception_Month,YEAR(Table1[[#This Row],[Loss date]])-1,YEAR(Table1[[#This Row],[Loss date]]))</f>
        <v>2009</v>
      </c>
      <c r="G1701" s="10" t="s">
        <v>125</v>
      </c>
      <c r="H1701" s="10" t="s">
        <v>2</v>
      </c>
      <c r="I1701" s="11">
        <v>786.60302497573991</v>
      </c>
      <c r="J1701" s="11">
        <v>0</v>
      </c>
      <c r="K1701" s="11">
        <v>786.60302497573991</v>
      </c>
      <c r="L1701" s="12">
        <v>0</v>
      </c>
      <c r="M1701" s="12">
        <v>39.330151248786997</v>
      </c>
      <c r="N1701" s="12">
        <v>747.27287372695287</v>
      </c>
      <c r="O1701" s="70">
        <f>IF(Table1[[#This Row],[Overall amount]]=0,0,1)</f>
        <v>1</v>
      </c>
      <c r="P1701" s="70">
        <f>Table1[[#This Row],[Overall amount]]*Exchange_Rate</f>
        <v>747.27287372695287</v>
      </c>
      <c r="Q1701" s="70">
        <f>Table1[[#This Row],[Overall (destination currency)]]*(1+Claims_Inflation)^((Revalue_at_date-Table1[[#This Row],[Loss date]])/365.25)</f>
        <v>1008.33</v>
      </c>
      <c r="R1701" s="70">
        <f>INT(Table1[[#This Row],[Reporting date]])-INT(Table1[[#This Row],[Loss date]])</f>
        <v>424</v>
      </c>
      <c r="S1701" s="69" t="s">
        <v>9</v>
      </c>
      <c r="T1701" s="70">
        <f>VLOOKUP(Table1[[#This Row],[Policy Year]],exposure_table,3,FALSE)</f>
        <v>760.22808576000011</v>
      </c>
      <c r="U1701" s="17">
        <f>IF(MONTH(Table1[[#This Row],[Reporting date]])&lt;Policy_Inception_Month,YEAR(Table1[[#This Row],[Reporting date]])-1,YEAR(Table1[[#This Row],[Reporting date]]))</f>
        <v>2010</v>
      </c>
      <c r="V1701" s="17">
        <f>Table1[[#This Row],[Reporting year]]-Table1[[#This Row],[Policy Year]]</f>
        <v>1</v>
      </c>
      <c r="W1701" s="17">
        <f>INT(Table1[[#This Row],[Reporting date]])-INT(Table1[[#This Row],[Loss date]])</f>
        <v>424</v>
      </c>
      <c r="X1701" s="17">
        <f>INT((YEAR(Table1[[#This Row],[Loss date]])*12+MONTH(Table1[[#This Row],[Loss date]])-Earliest_Month)/4)</f>
        <v>13</v>
      </c>
      <c r="Y1701" s="17">
        <f>INT((YEAR(Table1[[#This Row],[Reporting date]])*12+MONTH(Table1[[#This Row],[Reporting date]])-Earliest_Month)/4)</f>
        <v>16</v>
      </c>
      <c r="Z1701" s="17">
        <f>Table1[[#This Row],[Reporting third]]-Table1[[#This Row],[Policy third]]</f>
        <v>3</v>
      </c>
      <c r="AA1701" s="71">
        <f>IF(Table1[[#This Row],[Overall amount]]=0,"N/A",Table1[[#This Row],[Outstanding]]/Table1[[#This Row],[Overall amount]])</f>
        <v>0</v>
      </c>
      <c r="AB1701" s="17">
        <f>IF(MONTH(Table1[[#This Row],[Loss date]])&lt;Pol_Inc_Month_Shifted,YEAR(Table1[[#This Row],[Loss date]])-1,YEAR(Table1[[#This Row],[Loss date]]))</f>
        <v>2008</v>
      </c>
      <c r="AC1701" s="17">
        <f>IF(MONTH(Table1[[#This Row],[Reporting date]])&lt;Pol_Inc_Month_Shifted,YEAR(Table1[[#This Row],[Reporting date]])-1,YEAR(Table1[[#This Row],[Reporting date]]))</f>
        <v>2009</v>
      </c>
      <c r="AD1701" s="17">
        <f>Table1[[#This Row],[Reporting year (shifted)]]-Table1[[#This Row],[Policy Year (shifted)]]</f>
        <v>1</v>
      </c>
    </row>
    <row r="1702" spans="1:30" ht="13.9">
      <c r="A1702" s="8" t="s">
        <v>3472</v>
      </c>
      <c r="B1702" s="8" t="s">
        <v>1754</v>
      </c>
      <c r="C1702" s="8" t="s">
        <v>123</v>
      </c>
      <c r="D1702" s="9">
        <v>40426</v>
      </c>
      <c r="E1702" s="9">
        <v>40426</v>
      </c>
      <c r="F1702" s="17">
        <f>IF(MONTH(Table1[[#This Row],[Loss date]])&lt;Policy_Inception_Month,YEAR(Table1[[#This Row],[Loss date]])-1,YEAR(Table1[[#This Row],[Loss date]]))</f>
        <v>2010</v>
      </c>
      <c r="G1702" s="10" t="s">
        <v>148</v>
      </c>
      <c r="H1702" s="10" t="s">
        <v>2</v>
      </c>
      <c r="I1702" s="11">
        <v>95.105789388795529</v>
      </c>
      <c r="J1702" s="11">
        <v>0</v>
      </c>
      <c r="K1702" s="11">
        <v>95.105789388795529</v>
      </c>
      <c r="L1702" s="12">
        <v>0</v>
      </c>
      <c r="M1702" s="12">
        <v>0</v>
      </c>
      <c r="N1702" s="12">
        <v>95.105789388795529</v>
      </c>
      <c r="O1702" s="70">
        <f>IF(Table1[[#This Row],[Overall amount]]=0,0,1)</f>
        <v>1</v>
      </c>
      <c r="P1702" s="70">
        <f>Table1[[#This Row],[Overall amount]]*Exchange_Rate</f>
        <v>95.105789388795529</v>
      </c>
      <c r="Q1702" s="70">
        <f>Table1[[#This Row],[Overall (destination currency)]]*(1+Claims_Inflation)^((Revalue_at_date-Table1[[#This Row],[Loss date]])/365.25)</f>
        <v>121.8</v>
      </c>
      <c r="R1702" s="70">
        <f>INT(Table1[[#This Row],[Reporting date]])-INT(Table1[[#This Row],[Loss date]])</f>
        <v>0</v>
      </c>
      <c r="S1702" s="69" t="s">
        <v>9</v>
      </c>
      <c r="T1702" s="70">
        <f>VLOOKUP(Table1[[#This Row],[Policy Year]],exposure_table,3,FALSE)</f>
        <v>837.11513600000012</v>
      </c>
      <c r="U1702" s="17">
        <f>IF(MONTH(Table1[[#This Row],[Reporting date]])&lt;Policy_Inception_Month,YEAR(Table1[[#This Row],[Reporting date]])-1,YEAR(Table1[[#This Row],[Reporting date]]))</f>
        <v>2010</v>
      </c>
      <c r="V1702" s="17">
        <f>Table1[[#This Row],[Reporting year]]-Table1[[#This Row],[Policy Year]]</f>
        <v>0</v>
      </c>
      <c r="W1702" s="17">
        <f>INT(Table1[[#This Row],[Reporting date]])-INT(Table1[[#This Row],[Loss date]])</f>
        <v>0</v>
      </c>
      <c r="X1702" s="17">
        <f>INT((YEAR(Table1[[#This Row],[Loss date]])*12+MONTH(Table1[[#This Row],[Loss date]])-Earliest_Month)/4)</f>
        <v>16</v>
      </c>
      <c r="Y1702" s="17">
        <f>INT((YEAR(Table1[[#This Row],[Reporting date]])*12+MONTH(Table1[[#This Row],[Reporting date]])-Earliest_Month)/4)</f>
        <v>16</v>
      </c>
      <c r="Z1702" s="17">
        <f>Table1[[#This Row],[Reporting third]]-Table1[[#This Row],[Policy third]]</f>
        <v>0</v>
      </c>
      <c r="AA1702" s="71">
        <f>IF(Table1[[#This Row],[Overall amount]]=0,"N/A",Table1[[#This Row],[Outstanding]]/Table1[[#This Row],[Overall amount]])</f>
        <v>0</v>
      </c>
      <c r="AB1702" s="17">
        <f>IF(MONTH(Table1[[#This Row],[Loss date]])&lt;Pol_Inc_Month_Shifted,YEAR(Table1[[#This Row],[Loss date]])-1,YEAR(Table1[[#This Row],[Loss date]]))</f>
        <v>2009</v>
      </c>
      <c r="AC1702" s="17">
        <f>IF(MONTH(Table1[[#This Row],[Reporting date]])&lt;Pol_Inc_Month_Shifted,YEAR(Table1[[#This Row],[Reporting date]])-1,YEAR(Table1[[#This Row],[Reporting date]]))</f>
        <v>2009</v>
      </c>
      <c r="AD1702" s="17">
        <f>Table1[[#This Row],[Reporting year (shifted)]]-Table1[[#This Row],[Policy Year (shifted)]]</f>
        <v>0</v>
      </c>
    </row>
    <row r="1703" spans="1:30" ht="13.9">
      <c r="A1703" s="8" t="s">
        <v>3473</v>
      </c>
      <c r="B1703" s="8" t="s">
        <v>1755</v>
      </c>
      <c r="C1703" s="8" t="s">
        <v>123</v>
      </c>
      <c r="D1703" s="9">
        <v>39110</v>
      </c>
      <c r="E1703" s="9">
        <v>40319</v>
      </c>
      <c r="F1703" s="17">
        <f>IF(MONTH(Table1[[#This Row],[Loss date]])&lt;Policy_Inception_Month,YEAR(Table1[[#This Row],[Loss date]])-1,YEAR(Table1[[#This Row],[Loss date]]))</f>
        <v>2006</v>
      </c>
      <c r="G1703" s="10" t="s">
        <v>125</v>
      </c>
      <c r="H1703" s="10" t="s">
        <v>2</v>
      </c>
      <c r="I1703" s="11">
        <v>590.11579369605431</v>
      </c>
      <c r="J1703" s="11">
        <v>0</v>
      </c>
      <c r="K1703" s="11">
        <v>590.11579369605431</v>
      </c>
      <c r="L1703" s="12">
        <v>0</v>
      </c>
      <c r="M1703" s="12">
        <v>0</v>
      </c>
      <c r="N1703" s="12">
        <v>590.11579369605431</v>
      </c>
      <c r="O1703" s="70">
        <f>IF(Table1[[#This Row],[Overall amount]]=0,0,1)</f>
        <v>1</v>
      </c>
      <c r="P1703" s="70">
        <f>Table1[[#This Row],[Overall amount]]*Exchange_Rate</f>
        <v>590.11579369605431</v>
      </c>
      <c r="Q1703" s="70">
        <f>Table1[[#This Row],[Overall (destination currency)]]*(1+Claims_Inflation)^((Revalue_at_date-Table1[[#This Row],[Loss date]])/365.25)</f>
        <v>900.99599999999987</v>
      </c>
      <c r="R1703" s="70">
        <f>INT(Table1[[#This Row],[Reporting date]])-INT(Table1[[#This Row],[Loss date]])</f>
        <v>1209</v>
      </c>
      <c r="S1703" s="69" t="s">
        <v>9</v>
      </c>
      <c r="T1703" s="70">
        <f>VLOOKUP(Table1[[#This Row],[Policy Year]],exposure_table,3,FALSE)</f>
        <v>483.32023209000977</v>
      </c>
      <c r="U1703" s="17">
        <f>IF(MONTH(Table1[[#This Row],[Reporting date]])&lt;Policy_Inception_Month,YEAR(Table1[[#This Row],[Reporting date]])-1,YEAR(Table1[[#This Row],[Reporting date]]))</f>
        <v>2010</v>
      </c>
      <c r="V1703" s="17">
        <f>Table1[[#This Row],[Reporting year]]-Table1[[#This Row],[Policy Year]]</f>
        <v>4</v>
      </c>
      <c r="W1703" s="17">
        <f>INT(Table1[[#This Row],[Reporting date]])-INT(Table1[[#This Row],[Loss date]])</f>
        <v>1209</v>
      </c>
      <c r="X1703" s="17">
        <f>INT((YEAR(Table1[[#This Row],[Loss date]])*12+MONTH(Table1[[#This Row],[Loss date]])-Earliest_Month)/4)</f>
        <v>5</v>
      </c>
      <c r="Y1703" s="17">
        <f>INT((YEAR(Table1[[#This Row],[Reporting date]])*12+MONTH(Table1[[#This Row],[Reporting date]])-Earliest_Month)/4)</f>
        <v>15</v>
      </c>
      <c r="Z1703" s="17">
        <f>Table1[[#This Row],[Reporting third]]-Table1[[#This Row],[Policy third]]</f>
        <v>10</v>
      </c>
      <c r="AA1703" s="71">
        <f>IF(Table1[[#This Row],[Overall amount]]=0,"N/A",Table1[[#This Row],[Outstanding]]/Table1[[#This Row],[Overall amount]])</f>
        <v>0</v>
      </c>
      <c r="AB1703" s="17">
        <f>IF(MONTH(Table1[[#This Row],[Loss date]])&lt;Pol_Inc_Month_Shifted,YEAR(Table1[[#This Row],[Loss date]])-1,YEAR(Table1[[#This Row],[Loss date]]))</f>
        <v>2006</v>
      </c>
      <c r="AC1703" s="17">
        <f>IF(MONTH(Table1[[#This Row],[Reporting date]])&lt;Pol_Inc_Month_Shifted,YEAR(Table1[[#This Row],[Reporting date]])-1,YEAR(Table1[[#This Row],[Reporting date]]))</f>
        <v>2009</v>
      </c>
      <c r="AD1703" s="17">
        <f>Table1[[#This Row],[Reporting year (shifted)]]-Table1[[#This Row],[Policy Year (shifted)]]</f>
        <v>3</v>
      </c>
    </row>
    <row r="1704" spans="1:30" ht="13.9">
      <c r="A1704" s="8" t="s">
        <v>3474</v>
      </c>
      <c r="B1704" s="8" t="s">
        <v>1756</v>
      </c>
      <c r="C1704" s="8" t="s">
        <v>123</v>
      </c>
      <c r="D1704" s="9">
        <v>39985</v>
      </c>
      <c r="E1704" s="9">
        <v>40340</v>
      </c>
      <c r="F1704" s="17">
        <f>IF(MONTH(Table1[[#This Row],[Loss date]])&lt;Policy_Inception_Month,YEAR(Table1[[#This Row],[Loss date]])-1,YEAR(Table1[[#This Row],[Loss date]]))</f>
        <v>2009</v>
      </c>
      <c r="G1704" s="10" t="s">
        <v>125</v>
      </c>
      <c r="H1704" s="10" t="s">
        <v>2</v>
      </c>
      <c r="I1704" s="11">
        <v>9198.8383345929906</v>
      </c>
      <c r="J1704" s="11">
        <v>0</v>
      </c>
      <c r="K1704" s="11">
        <v>9198.8383345929906</v>
      </c>
      <c r="L1704" s="12">
        <v>0</v>
      </c>
      <c r="M1704" s="12">
        <v>0</v>
      </c>
      <c r="N1704" s="12">
        <v>9198.8383345929906</v>
      </c>
      <c r="O1704" s="70">
        <f>IF(Table1[[#This Row],[Overall amount]]=0,0,1)</f>
        <v>1</v>
      </c>
      <c r="P1704" s="70">
        <f>Table1[[#This Row],[Overall amount]]*Exchange_Rate</f>
        <v>9198.8383345929906</v>
      </c>
      <c r="Q1704" s="70">
        <f>Table1[[#This Row],[Overall (destination currency)]]*(1+Claims_Inflation)^((Revalue_at_date-Table1[[#This Row],[Loss date]])/365.25)</f>
        <v>12495.6</v>
      </c>
      <c r="R1704" s="70">
        <f>INT(Table1[[#This Row],[Reporting date]])-INT(Table1[[#This Row],[Loss date]])</f>
        <v>355</v>
      </c>
      <c r="S1704" s="69" t="s">
        <v>9</v>
      </c>
      <c r="T1704" s="70">
        <f>VLOOKUP(Table1[[#This Row],[Policy Year]],exposure_table,3,FALSE)</f>
        <v>760.22808576000011</v>
      </c>
      <c r="U1704" s="17">
        <f>IF(MONTH(Table1[[#This Row],[Reporting date]])&lt;Policy_Inception_Month,YEAR(Table1[[#This Row],[Reporting date]])-1,YEAR(Table1[[#This Row],[Reporting date]]))</f>
        <v>2010</v>
      </c>
      <c r="V1704" s="17">
        <f>Table1[[#This Row],[Reporting year]]-Table1[[#This Row],[Policy Year]]</f>
        <v>1</v>
      </c>
      <c r="W1704" s="17">
        <f>INT(Table1[[#This Row],[Reporting date]])-INT(Table1[[#This Row],[Loss date]])</f>
        <v>355</v>
      </c>
      <c r="X1704" s="17">
        <f>INT((YEAR(Table1[[#This Row],[Loss date]])*12+MONTH(Table1[[#This Row],[Loss date]])-Earliest_Month)/4)</f>
        <v>12</v>
      </c>
      <c r="Y1704" s="17">
        <f>INT((YEAR(Table1[[#This Row],[Reporting date]])*12+MONTH(Table1[[#This Row],[Reporting date]])-Earliest_Month)/4)</f>
        <v>15</v>
      </c>
      <c r="Z1704" s="17">
        <f>Table1[[#This Row],[Reporting third]]-Table1[[#This Row],[Policy third]]</f>
        <v>3</v>
      </c>
      <c r="AA1704" s="71">
        <f>IF(Table1[[#This Row],[Overall amount]]=0,"N/A",Table1[[#This Row],[Outstanding]]/Table1[[#This Row],[Overall amount]])</f>
        <v>0</v>
      </c>
      <c r="AB1704" s="17">
        <f>IF(MONTH(Table1[[#This Row],[Loss date]])&lt;Pol_Inc_Month_Shifted,YEAR(Table1[[#This Row],[Loss date]])-1,YEAR(Table1[[#This Row],[Loss date]]))</f>
        <v>2008</v>
      </c>
      <c r="AC1704" s="17">
        <f>IF(MONTH(Table1[[#This Row],[Reporting date]])&lt;Pol_Inc_Month_Shifted,YEAR(Table1[[#This Row],[Reporting date]])-1,YEAR(Table1[[#This Row],[Reporting date]]))</f>
        <v>2009</v>
      </c>
      <c r="AD1704" s="17">
        <f>Table1[[#This Row],[Reporting year (shifted)]]-Table1[[#This Row],[Policy Year (shifted)]]</f>
        <v>1</v>
      </c>
    </row>
    <row r="1705" spans="1:30" ht="13.9">
      <c r="A1705" s="8" t="s">
        <v>3475</v>
      </c>
      <c r="B1705" s="8" t="s">
        <v>1757</v>
      </c>
      <c r="C1705" s="8" t="s">
        <v>118</v>
      </c>
      <c r="D1705" s="9">
        <v>38991</v>
      </c>
      <c r="E1705" s="9">
        <v>39457</v>
      </c>
      <c r="F1705" s="17">
        <f>IF(MONTH(Table1[[#This Row],[Loss date]])&lt;Policy_Inception_Month,YEAR(Table1[[#This Row],[Loss date]])-1,YEAR(Table1[[#This Row],[Loss date]]))</f>
        <v>2006</v>
      </c>
      <c r="G1705" s="10" t="s">
        <v>119</v>
      </c>
      <c r="H1705" s="10" t="s">
        <v>2</v>
      </c>
      <c r="I1705" s="11">
        <v>197.25691565669106</v>
      </c>
      <c r="J1705" s="11">
        <v>0</v>
      </c>
      <c r="K1705" s="11">
        <v>197.25691565669106</v>
      </c>
      <c r="L1705" s="12">
        <v>0</v>
      </c>
      <c r="M1705" s="12">
        <v>0</v>
      </c>
      <c r="N1705" s="12">
        <v>197.25691565669106</v>
      </c>
      <c r="O1705" s="70">
        <f>IF(Table1[[#This Row],[Overall amount]]=0,0,1)</f>
        <v>1</v>
      </c>
      <c r="P1705" s="70">
        <f>Table1[[#This Row],[Overall amount]]*Exchange_Rate</f>
        <v>197.25691565669106</v>
      </c>
      <c r="Q1705" s="70">
        <f>Table1[[#This Row],[Overall (destination currency)]]*(1+Claims_Inflation)^((Revalue_at_date-Table1[[#This Row],[Loss date]])/365.25)</f>
        <v>306</v>
      </c>
      <c r="R1705" s="70">
        <f>INT(Table1[[#This Row],[Reporting date]])-INT(Table1[[#This Row],[Loss date]])</f>
        <v>466</v>
      </c>
      <c r="S1705" s="69" t="s">
        <v>9</v>
      </c>
      <c r="T1705" s="70">
        <f>VLOOKUP(Table1[[#This Row],[Policy Year]],exposure_table,3,FALSE)</f>
        <v>483.32023209000977</v>
      </c>
      <c r="U1705" s="17">
        <f>IF(MONTH(Table1[[#This Row],[Reporting date]])&lt;Policy_Inception_Month,YEAR(Table1[[#This Row],[Reporting date]])-1,YEAR(Table1[[#This Row],[Reporting date]]))</f>
        <v>2007</v>
      </c>
      <c r="V1705" s="17">
        <f>Table1[[#This Row],[Reporting year]]-Table1[[#This Row],[Policy Year]]</f>
        <v>1</v>
      </c>
      <c r="W1705" s="17">
        <f>INT(Table1[[#This Row],[Reporting date]])-INT(Table1[[#This Row],[Loss date]])</f>
        <v>466</v>
      </c>
      <c r="X1705" s="17">
        <f>INT((YEAR(Table1[[#This Row],[Loss date]])*12+MONTH(Table1[[#This Row],[Loss date]])-Earliest_Month)/4)</f>
        <v>4</v>
      </c>
      <c r="Y1705" s="17">
        <f>INT((YEAR(Table1[[#This Row],[Reporting date]])*12+MONTH(Table1[[#This Row],[Reporting date]])-Earliest_Month)/4)</f>
        <v>8</v>
      </c>
      <c r="Z1705" s="17">
        <f>Table1[[#This Row],[Reporting third]]-Table1[[#This Row],[Policy third]]</f>
        <v>4</v>
      </c>
      <c r="AA1705" s="71">
        <f>IF(Table1[[#This Row],[Overall amount]]=0,"N/A",Table1[[#This Row],[Outstanding]]/Table1[[#This Row],[Overall amount]])</f>
        <v>0</v>
      </c>
      <c r="AB1705" s="17">
        <f>IF(MONTH(Table1[[#This Row],[Loss date]])&lt;Pol_Inc_Month_Shifted,YEAR(Table1[[#This Row],[Loss date]])-1,YEAR(Table1[[#This Row],[Loss date]]))</f>
        <v>2005</v>
      </c>
      <c r="AC1705" s="17">
        <f>IF(MONTH(Table1[[#This Row],[Reporting date]])&lt;Pol_Inc_Month_Shifted,YEAR(Table1[[#This Row],[Reporting date]])-1,YEAR(Table1[[#This Row],[Reporting date]]))</f>
        <v>2007</v>
      </c>
      <c r="AD1705" s="17">
        <f>Table1[[#This Row],[Reporting year (shifted)]]-Table1[[#This Row],[Policy Year (shifted)]]</f>
        <v>2</v>
      </c>
    </row>
    <row r="1706" spans="1:30" ht="13.9">
      <c r="A1706" s="8" t="s">
        <v>3476</v>
      </c>
      <c r="B1706" s="8" t="s">
        <v>1758</v>
      </c>
      <c r="C1706" s="8" t="s">
        <v>118</v>
      </c>
      <c r="D1706" s="9">
        <v>38930</v>
      </c>
      <c r="E1706" s="9">
        <v>38930</v>
      </c>
      <c r="F1706" s="17">
        <f>IF(MONTH(Table1[[#This Row],[Loss date]])&lt;Policy_Inception_Month,YEAR(Table1[[#This Row],[Loss date]])-1,YEAR(Table1[[#This Row],[Loss date]]))</f>
        <v>2006</v>
      </c>
      <c r="G1706" s="10" t="s">
        <v>119</v>
      </c>
      <c r="H1706" s="10" t="s">
        <v>2</v>
      </c>
      <c r="I1706" s="11">
        <v>228.26547319823774</v>
      </c>
      <c r="J1706" s="11">
        <v>0</v>
      </c>
      <c r="K1706" s="11">
        <v>228.26547319823774</v>
      </c>
      <c r="L1706" s="12">
        <v>0</v>
      </c>
      <c r="M1706" s="12">
        <v>0</v>
      </c>
      <c r="N1706" s="12">
        <v>228.26547319823774</v>
      </c>
      <c r="O1706" s="70">
        <f>IF(Table1[[#This Row],[Overall amount]]=0,0,1)</f>
        <v>1</v>
      </c>
      <c r="P1706" s="70">
        <f>Table1[[#This Row],[Overall amount]]*Exchange_Rate</f>
        <v>228.26547319823774</v>
      </c>
      <c r="Q1706" s="70">
        <f>Table1[[#This Row],[Overall (destination currency)]]*(1+Claims_Inflation)^((Revalue_at_date-Table1[[#This Row],[Loss date]])/365.25)</f>
        <v>357</v>
      </c>
      <c r="R1706" s="70">
        <f>INT(Table1[[#This Row],[Reporting date]])-INT(Table1[[#This Row],[Loss date]])</f>
        <v>0</v>
      </c>
      <c r="S1706" s="69" t="s">
        <v>9</v>
      </c>
      <c r="T1706" s="70">
        <f>VLOOKUP(Table1[[#This Row],[Policy Year]],exposure_table,3,FALSE)</f>
        <v>483.32023209000977</v>
      </c>
      <c r="U1706" s="17">
        <f>IF(MONTH(Table1[[#This Row],[Reporting date]])&lt;Policy_Inception_Month,YEAR(Table1[[#This Row],[Reporting date]])-1,YEAR(Table1[[#This Row],[Reporting date]]))</f>
        <v>2006</v>
      </c>
      <c r="V1706" s="17">
        <f>Table1[[#This Row],[Reporting year]]-Table1[[#This Row],[Policy Year]]</f>
        <v>0</v>
      </c>
      <c r="W1706" s="17">
        <f>INT(Table1[[#This Row],[Reporting date]])-INT(Table1[[#This Row],[Loss date]])</f>
        <v>0</v>
      </c>
      <c r="X1706" s="17">
        <f>INT((YEAR(Table1[[#This Row],[Loss date]])*12+MONTH(Table1[[#This Row],[Loss date]])-Earliest_Month)/4)</f>
        <v>4</v>
      </c>
      <c r="Y1706" s="17">
        <f>INT((YEAR(Table1[[#This Row],[Reporting date]])*12+MONTH(Table1[[#This Row],[Reporting date]])-Earliest_Month)/4)</f>
        <v>4</v>
      </c>
      <c r="Z1706" s="17">
        <f>Table1[[#This Row],[Reporting third]]-Table1[[#This Row],[Policy third]]</f>
        <v>0</v>
      </c>
      <c r="AA1706" s="71">
        <f>IF(Table1[[#This Row],[Overall amount]]=0,"N/A",Table1[[#This Row],[Outstanding]]/Table1[[#This Row],[Overall amount]])</f>
        <v>0</v>
      </c>
      <c r="AB1706" s="17">
        <f>IF(MONTH(Table1[[#This Row],[Loss date]])&lt;Pol_Inc_Month_Shifted,YEAR(Table1[[#This Row],[Loss date]])-1,YEAR(Table1[[#This Row],[Loss date]]))</f>
        <v>2005</v>
      </c>
      <c r="AC1706" s="17">
        <f>IF(MONTH(Table1[[#This Row],[Reporting date]])&lt;Pol_Inc_Month_Shifted,YEAR(Table1[[#This Row],[Reporting date]])-1,YEAR(Table1[[#This Row],[Reporting date]]))</f>
        <v>2005</v>
      </c>
      <c r="AD1706" s="17">
        <f>Table1[[#This Row],[Reporting year (shifted)]]-Table1[[#This Row],[Policy Year (shifted)]]</f>
        <v>0</v>
      </c>
    </row>
    <row r="1707" spans="1:30" ht="13.9">
      <c r="A1707" s="8" t="s">
        <v>3477</v>
      </c>
      <c r="B1707" s="8" t="s">
        <v>1759</v>
      </c>
      <c r="C1707" s="8" t="s">
        <v>118</v>
      </c>
      <c r="D1707" s="9">
        <v>39713</v>
      </c>
      <c r="E1707" s="9">
        <v>39717</v>
      </c>
      <c r="F1707" s="17">
        <f>IF(MONTH(Table1[[#This Row],[Loss date]])&lt;Policy_Inception_Month,YEAR(Table1[[#This Row],[Loss date]])-1,YEAR(Table1[[#This Row],[Loss date]]))</f>
        <v>2008</v>
      </c>
      <c r="G1707" s="10" t="s">
        <v>125</v>
      </c>
      <c r="H1707" s="10" t="s">
        <v>2</v>
      </c>
      <c r="I1707" s="11">
        <v>760.30136281234945</v>
      </c>
      <c r="J1707" s="11">
        <v>0</v>
      </c>
      <c r="K1707" s="11">
        <v>760.30136281234945</v>
      </c>
      <c r="L1707" s="12">
        <v>0</v>
      </c>
      <c r="M1707" s="12">
        <v>0</v>
      </c>
      <c r="N1707" s="12">
        <v>760.30136281234945</v>
      </c>
      <c r="O1707" s="70">
        <f>IF(Table1[[#This Row],[Overall amount]]=0,0,1)</f>
        <v>1</v>
      </c>
      <c r="P1707" s="70">
        <f>Table1[[#This Row],[Overall amount]]*Exchange_Rate</f>
        <v>760.30136281234945</v>
      </c>
      <c r="Q1707" s="70">
        <f>Table1[[#This Row],[Overall (destination currency)]]*(1+Claims_Inflation)^((Revalue_at_date-Table1[[#This Row],[Loss date]])/365.25)</f>
        <v>1071</v>
      </c>
      <c r="R1707" s="70">
        <f>INT(Table1[[#This Row],[Reporting date]])-INT(Table1[[#This Row],[Loss date]])</f>
        <v>4</v>
      </c>
      <c r="S1707" s="69" t="s">
        <v>9</v>
      </c>
      <c r="T1707" s="70">
        <f>VLOOKUP(Table1[[#This Row],[Policy Year]],exposure_table,3,FALSE)</f>
        <v>601.98581780480015</v>
      </c>
      <c r="U1707" s="17">
        <f>IF(MONTH(Table1[[#This Row],[Reporting date]])&lt;Policy_Inception_Month,YEAR(Table1[[#This Row],[Reporting date]])-1,YEAR(Table1[[#This Row],[Reporting date]]))</f>
        <v>2008</v>
      </c>
      <c r="V1707" s="17">
        <f>Table1[[#This Row],[Reporting year]]-Table1[[#This Row],[Policy Year]]</f>
        <v>0</v>
      </c>
      <c r="W1707" s="17">
        <f>INT(Table1[[#This Row],[Reporting date]])-INT(Table1[[#This Row],[Loss date]])</f>
        <v>4</v>
      </c>
      <c r="X1707" s="17">
        <f>INT((YEAR(Table1[[#This Row],[Loss date]])*12+MONTH(Table1[[#This Row],[Loss date]])-Earliest_Month)/4)</f>
        <v>10</v>
      </c>
      <c r="Y1707" s="17">
        <f>INT((YEAR(Table1[[#This Row],[Reporting date]])*12+MONTH(Table1[[#This Row],[Reporting date]])-Earliest_Month)/4)</f>
        <v>10</v>
      </c>
      <c r="Z1707" s="17">
        <f>Table1[[#This Row],[Reporting third]]-Table1[[#This Row],[Policy third]]</f>
        <v>0</v>
      </c>
      <c r="AA1707" s="71">
        <f>IF(Table1[[#This Row],[Overall amount]]=0,"N/A",Table1[[#This Row],[Outstanding]]/Table1[[#This Row],[Overall amount]])</f>
        <v>0</v>
      </c>
      <c r="AB1707" s="17">
        <f>IF(MONTH(Table1[[#This Row],[Loss date]])&lt;Pol_Inc_Month_Shifted,YEAR(Table1[[#This Row],[Loss date]])-1,YEAR(Table1[[#This Row],[Loss date]]))</f>
        <v>2007</v>
      </c>
      <c r="AC1707" s="17">
        <f>IF(MONTH(Table1[[#This Row],[Reporting date]])&lt;Pol_Inc_Month_Shifted,YEAR(Table1[[#This Row],[Reporting date]])-1,YEAR(Table1[[#This Row],[Reporting date]]))</f>
        <v>2007</v>
      </c>
      <c r="AD1707" s="17">
        <f>Table1[[#This Row],[Reporting year (shifted)]]-Table1[[#This Row],[Policy Year (shifted)]]</f>
        <v>0</v>
      </c>
    </row>
    <row r="1708" spans="1:30" ht="13.9">
      <c r="A1708" s="8" t="s">
        <v>3478</v>
      </c>
      <c r="B1708" s="8" t="s">
        <v>1760</v>
      </c>
      <c r="C1708" s="8" t="s">
        <v>118</v>
      </c>
      <c r="D1708" s="9">
        <v>39780</v>
      </c>
      <c r="E1708" s="9">
        <v>39791</v>
      </c>
      <c r="F1708" s="17">
        <f>IF(MONTH(Table1[[#This Row],[Loss date]])&lt;Policy_Inception_Month,YEAR(Table1[[#This Row],[Loss date]])-1,YEAR(Table1[[#This Row],[Loss date]]))</f>
        <v>2008</v>
      </c>
      <c r="G1708" s="10" t="s">
        <v>126</v>
      </c>
      <c r="H1708" s="10" t="s">
        <v>2</v>
      </c>
      <c r="I1708" s="11">
        <v>389.65377203987157</v>
      </c>
      <c r="J1708" s="11">
        <v>0</v>
      </c>
      <c r="K1708" s="11">
        <v>389.65377203987157</v>
      </c>
      <c r="L1708" s="12">
        <v>0</v>
      </c>
      <c r="M1708" s="12">
        <v>9.351690528956917</v>
      </c>
      <c r="N1708" s="12">
        <v>380.30208151091466</v>
      </c>
      <c r="O1708" s="70">
        <f>IF(Table1[[#This Row],[Overall amount]]=0,0,1)</f>
        <v>1</v>
      </c>
      <c r="P1708" s="70">
        <f>Table1[[#This Row],[Overall amount]]*Exchange_Rate</f>
        <v>380.30208151091466</v>
      </c>
      <c r="Q1708" s="70">
        <f>Table1[[#This Row],[Overall (destination currency)]]*(1+Claims_Inflation)^((Revalue_at_date-Table1[[#This Row],[Loss date]])/365.25)</f>
        <v>530.94009599999993</v>
      </c>
      <c r="R1708" s="70">
        <f>INT(Table1[[#This Row],[Reporting date]])-INT(Table1[[#This Row],[Loss date]])</f>
        <v>11</v>
      </c>
      <c r="S1708" s="69" t="s">
        <v>9</v>
      </c>
      <c r="T1708" s="70">
        <f>VLOOKUP(Table1[[#This Row],[Policy Year]],exposure_table,3,FALSE)</f>
        <v>601.98581780480015</v>
      </c>
      <c r="U1708" s="17">
        <f>IF(MONTH(Table1[[#This Row],[Reporting date]])&lt;Policy_Inception_Month,YEAR(Table1[[#This Row],[Reporting date]])-1,YEAR(Table1[[#This Row],[Reporting date]]))</f>
        <v>2008</v>
      </c>
      <c r="V1708" s="17">
        <f>Table1[[#This Row],[Reporting year]]-Table1[[#This Row],[Policy Year]]</f>
        <v>0</v>
      </c>
      <c r="W1708" s="17">
        <f>INT(Table1[[#This Row],[Reporting date]])-INT(Table1[[#This Row],[Loss date]])</f>
        <v>11</v>
      </c>
      <c r="X1708" s="17">
        <f>INT((YEAR(Table1[[#This Row],[Loss date]])*12+MONTH(Table1[[#This Row],[Loss date]])-Earliest_Month)/4)</f>
        <v>10</v>
      </c>
      <c r="Y1708" s="17">
        <f>INT((YEAR(Table1[[#This Row],[Reporting date]])*12+MONTH(Table1[[#This Row],[Reporting date]])-Earliest_Month)/4)</f>
        <v>11</v>
      </c>
      <c r="Z1708" s="17">
        <f>Table1[[#This Row],[Reporting third]]-Table1[[#This Row],[Policy third]]</f>
        <v>1</v>
      </c>
      <c r="AA1708" s="71">
        <f>IF(Table1[[#This Row],[Overall amount]]=0,"N/A",Table1[[#This Row],[Outstanding]]/Table1[[#This Row],[Overall amount]])</f>
        <v>0</v>
      </c>
      <c r="AB1708" s="17">
        <f>IF(MONTH(Table1[[#This Row],[Loss date]])&lt;Pol_Inc_Month_Shifted,YEAR(Table1[[#This Row],[Loss date]])-1,YEAR(Table1[[#This Row],[Loss date]]))</f>
        <v>2007</v>
      </c>
      <c r="AC1708" s="17">
        <f>IF(MONTH(Table1[[#This Row],[Reporting date]])&lt;Pol_Inc_Month_Shifted,YEAR(Table1[[#This Row],[Reporting date]])-1,YEAR(Table1[[#This Row],[Reporting date]]))</f>
        <v>2008</v>
      </c>
      <c r="AD1708" s="17">
        <f>Table1[[#This Row],[Reporting year (shifted)]]-Table1[[#This Row],[Policy Year (shifted)]]</f>
        <v>1</v>
      </c>
    </row>
    <row r="1709" spans="1:30" ht="13.9">
      <c r="A1709" s="8" t="s">
        <v>3479</v>
      </c>
      <c r="B1709" s="8" t="s">
        <v>1761</v>
      </c>
      <c r="C1709" s="8" t="s">
        <v>118</v>
      </c>
      <c r="D1709" s="9">
        <v>40038</v>
      </c>
      <c r="E1709" s="9">
        <v>40067</v>
      </c>
      <c r="F1709" s="17">
        <f>IF(MONTH(Table1[[#This Row],[Loss date]])&lt;Policy_Inception_Month,YEAR(Table1[[#This Row],[Loss date]])-1,YEAR(Table1[[#This Row],[Loss date]]))</f>
        <v>2009</v>
      </c>
      <c r="G1709" s="10" t="s">
        <v>131</v>
      </c>
      <c r="H1709" s="10" t="s">
        <v>2</v>
      </c>
      <c r="I1709" s="11">
        <v>9268.6432710652152</v>
      </c>
      <c r="J1709" s="11">
        <v>0</v>
      </c>
      <c r="K1709" s="11">
        <v>9268.6432710652152</v>
      </c>
      <c r="L1709" s="12">
        <v>0</v>
      </c>
      <c r="M1709" s="12">
        <v>0</v>
      </c>
      <c r="N1709" s="12">
        <v>9268.6432710652152</v>
      </c>
      <c r="O1709" s="70">
        <f>IF(Table1[[#This Row],[Overall amount]]=0,0,1)</f>
        <v>1</v>
      </c>
      <c r="P1709" s="70">
        <f>Table1[[#This Row],[Overall amount]]*Exchange_Rate</f>
        <v>9268.6432710652152</v>
      </c>
      <c r="Q1709" s="70">
        <f>Table1[[#This Row],[Overall (destination currency)]]*(1+Claims_Inflation)^((Revalue_at_date-Table1[[#This Row],[Loss date]])/365.25)</f>
        <v>12501.6</v>
      </c>
      <c r="R1709" s="70">
        <f>INT(Table1[[#This Row],[Reporting date]])-INT(Table1[[#This Row],[Loss date]])</f>
        <v>29</v>
      </c>
      <c r="S1709" s="69" t="s">
        <v>9</v>
      </c>
      <c r="T1709" s="70">
        <f>VLOOKUP(Table1[[#This Row],[Policy Year]],exposure_table,3,FALSE)</f>
        <v>760.22808576000011</v>
      </c>
      <c r="U1709" s="17">
        <f>IF(MONTH(Table1[[#This Row],[Reporting date]])&lt;Policy_Inception_Month,YEAR(Table1[[#This Row],[Reporting date]])-1,YEAR(Table1[[#This Row],[Reporting date]]))</f>
        <v>2009</v>
      </c>
      <c r="V1709" s="17">
        <f>Table1[[#This Row],[Reporting year]]-Table1[[#This Row],[Policy Year]]</f>
        <v>0</v>
      </c>
      <c r="W1709" s="17">
        <f>INT(Table1[[#This Row],[Reporting date]])-INT(Table1[[#This Row],[Loss date]])</f>
        <v>29</v>
      </c>
      <c r="X1709" s="17">
        <f>INT((YEAR(Table1[[#This Row],[Loss date]])*12+MONTH(Table1[[#This Row],[Loss date]])-Earliest_Month)/4)</f>
        <v>13</v>
      </c>
      <c r="Y1709" s="17">
        <f>INT((YEAR(Table1[[#This Row],[Reporting date]])*12+MONTH(Table1[[#This Row],[Reporting date]])-Earliest_Month)/4)</f>
        <v>13</v>
      </c>
      <c r="Z1709" s="17">
        <f>Table1[[#This Row],[Reporting third]]-Table1[[#This Row],[Policy third]]</f>
        <v>0</v>
      </c>
      <c r="AA1709" s="71">
        <f>IF(Table1[[#This Row],[Overall amount]]=0,"N/A",Table1[[#This Row],[Outstanding]]/Table1[[#This Row],[Overall amount]])</f>
        <v>0</v>
      </c>
      <c r="AB1709" s="17">
        <f>IF(MONTH(Table1[[#This Row],[Loss date]])&lt;Pol_Inc_Month_Shifted,YEAR(Table1[[#This Row],[Loss date]])-1,YEAR(Table1[[#This Row],[Loss date]]))</f>
        <v>2008</v>
      </c>
      <c r="AC1709" s="17">
        <f>IF(MONTH(Table1[[#This Row],[Reporting date]])&lt;Pol_Inc_Month_Shifted,YEAR(Table1[[#This Row],[Reporting date]])-1,YEAR(Table1[[#This Row],[Reporting date]]))</f>
        <v>2008</v>
      </c>
      <c r="AD1709" s="17">
        <f>Table1[[#This Row],[Reporting year (shifted)]]-Table1[[#This Row],[Policy Year (shifted)]]</f>
        <v>0</v>
      </c>
    </row>
    <row r="1710" spans="1:30" ht="13.9">
      <c r="A1710" s="8" t="s">
        <v>3480</v>
      </c>
      <c r="B1710" s="8" t="s">
        <v>1762</v>
      </c>
      <c r="C1710" s="8" t="s">
        <v>118</v>
      </c>
      <c r="D1710" s="9">
        <v>39379</v>
      </c>
      <c r="E1710" s="9">
        <v>39398</v>
      </c>
      <c r="F1710" s="17">
        <f>IF(MONTH(Table1[[#This Row],[Loss date]])&lt;Policy_Inception_Month,YEAR(Table1[[#This Row],[Loss date]])-1,YEAR(Table1[[#This Row],[Loss date]]))</f>
        <v>2007</v>
      </c>
      <c r="G1710" s="10" t="s">
        <v>131</v>
      </c>
      <c r="H1710" s="10" t="s">
        <v>2</v>
      </c>
      <c r="I1710" s="11">
        <v>103.87507263119181</v>
      </c>
      <c r="J1710" s="11">
        <v>0</v>
      </c>
      <c r="K1710" s="11">
        <v>103.87507263119181</v>
      </c>
      <c r="L1710" s="12">
        <v>0</v>
      </c>
      <c r="M1710" s="12">
        <v>0</v>
      </c>
      <c r="N1710" s="12">
        <v>103.87507263119181</v>
      </c>
      <c r="O1710" s="70">
        <f>IF(Table1[[#This Row],[Overall amount]]=0,0,1)</f>
        <v>1</v>
      </c>
      <c r="P1710" s="70">
        <f>Table1[[#This Row],[Overall amount]]*Exchange_Rate</f>
        <v>103.87507263119181</v>
      </c>
      <c r="Q1710" s="70">
        <f>Table1[[#This Row],[Overall (destination currency)]]*(1+Claims_Inflation)^((Revalue_at_date-Table1[[#This Row],[Loss date]])/365.25)</f>
        <v>153</v>
      </c>
      <c r="R1710" s="70">
        <f>INT(Table1[[#This Row],[Reporting date]])-INT(Table1[[#This Row],[Loss date]])</f>
        <v>19</v>
      </c>
      <c r="S1710" s="69" t="s">
        <v>9</v>
      </c>
      <c r="T1710" s="70">
        <f>VLOOKUP(Table1[[#This Row],[Policy Year]],exposure_table,3,FALSE)</f>
        <v>547.7736362475523</v>
      </c>
      <c r="U1710" s="17">
        <f>IF(MONTH(Table1[[#This Row],[Reporting date]])&lt;Policy_Inception_Month,YEAR(Table1[[#This Row],[Reporting date]])-1,YEAR(Table1[[#This Row],[Reporting date]]))</f>
        <v>2007</v>
      </c>
      <c r="V1710" s="17">
        <f>Table1[[#This Row],[Reporting year]]-Table1[[#This Row],[Policy Year]]</f>
        <v>0</v>
      </c>
      <c r="W1710" s="17">
        <f>INT(Table1[[#This Row],[Reporting date]])-INT(Table1[[#This Row],[Loss date]])</f>
        <v>19</v>
      </c>
      <c r="X1710" s="17">
        <f>INT((YEAR(Table1[[#This Row],[Loss date]])*12+MONTH(Table1[[#This Row],[Loss date]])-Earliest_Month)/4)</f>
        <v>7</v>
      </c>
      <c r="Y1710" s="17">
        <f>INT((YEAR(Table1[[#This Row],[Reporting date]])*12+MONTH(Table1[[#This Row],[Reporting date]])-Earliest_Month)/4)</f>
        <v>7</v>
      </c>
      <c r="Z1710" s="17">
        <f>Table1[[#This Row],[Reporting third]]-Table1[[#This Row],[Policy third]]</f>
        <v>0</v>
      </c>
      <c r="AA1710" s="71">
        <f>IF(Table1[[#This Row],[Overall amount]]=0,"N/A",Table1[[#This Row],[Outstanding]]/Table1[[#This Row],[Overall amount]])</f>
        <v>0</v>
      </c>
      <c r="AB1710" s="17">
        <f>IF(MONTH(Table1[[#This Row],[Loss date]])&lt;Pol_Inc_Month_Shifted,YEAR(Table1[[#This Row],[Loss date]])-1,YEAR(Table1[[#This Row],[Loss date]]))</f>
        <v>2006</v>
      </c>
      <c r="AC1710" s="17">
        <f>IF(MONTH(Table1[[#This Row],[Reporting date]])&lt;Pol_Inc_Month_Shifted,YEAR(Table1[[#This Row],[Reporting date]])-1,YEAR(Table1[[#This Row],[Reporting date]]))</f>
        <v>2006</v>
      </c>
      <c r="AD1710" s="17">
        <f>Table1[[#This Row],[Reporting year (shifted)]]-Table1[[#This Row],[Policy Year (shifted)]]</f>
        <v>0</v>
      </c>
    </row>
    <row r="1711" spans="1:30" ht="13.9">
      <c r="A1711" s="8" t="s">
        <v>3481</v>
      </c>
      <c r="B1711" s="8" t="s">
        <v>1763</v>
      </c>
      <c r="C1711" s="8" t="s">
        <v>118</v>
      </c>
      <c r="D1711" s="9">
        <v>40655</v>
      </c>
      <c r="E1711" s="9">
        <v>40705</v>
      </c>
      <c r="F1711" s="17">
        <f>IF(MONTH(Table1[[#This Row],[Loss date]])&lt;Policy_Inception_Month,YEAR(Table1[[#This Row],[Loss date]])-1,YEAR(Table1[[#This Row],[Loss date]]))</f>
        <v>2011</v>
      </c>
      <c r="G1711" s="10" t="s">
        <v>125</v>
      </c>
      <c r="H1711" s="10" t="s">
        <v>2</v>
      </c>
      <c r="I1711" s="11">
        <v>1596.9774170519722</v>
      </c>
      <c r="J1711" s="11">
        <v>0</v>
      </c>
      <c r="K1711" s="11">
        <v>1596.9774170519722</v>
      </c>
      <c r="L1711" s="12">
        <v>0</v>
      </c>
      <c r="M1711" s="12">
        <v>0</v>
      </c>
      <c r="N1711" s="12">
        <v>1596.9774170519722</v>
      </c>
      <c r="O1711" s="70">
        <f>IF(Table1[[#This Row],[Overall amount]]=0,0,1)</f>
        <v>1</v>
      </c>
      <c r="P1711" s="70">
        <f>Table1[[#This Row],[Overall amount]]*Exchange_Rate</f>
        <v>1596.9774170519722</v>
      </c>
      <c r="Q1711" s="70">
        <f>Table1[[#This Row],[Overall (destination currency)]]*(1+Claims_Inflation)^((Revalue_at_date-Table1[[#This Row],[Loss date]])/365.25)</f>
        <v>1983.6</v>
      </c>
      <c r="R1711" s="70">
        <f>INT(Table1[[#This Row],[Reporting date]])-INT(Table1[[#This Row],[Loss date]])</f>
        <v>50</v>
      </c>
      <c r="S1711" s="69" t="s">
        <v>9</v>
      </c>
      <c r="T1711" s="70">
        <f>VLOOKUP(Table1[[#This Row],[Policy Year]],exposure_table,3,FALSE)</f>
        <v>870.52680000000009</v>
      </c>
      <c r="U1711" s="17">
        <f>IF(MONTH(Table1[[#This Row],[Reporting date]])&lt;Policy_Inception_Month,YEAR(Table1[[#This Row],[Reporting date]])-1,YEAR(Table1[[#This Row],[Reporting date]]))</f>
        <v>2011</v>
      </c>
      <c r="V1711" s="17">
        <f>Table1[[#This Row],[Reporting year]]-Table1[[#This Row],[Policy Year]]</f>
        <v>0</v>
      </c>
      <c r="W1711" s="17">
        <f>INT(Table1[[#This Row],[Reporting date]])-INT(Table1[[#This Row],[Loss date]])</f>
        <v>50</v>
      </c>
      <c r="X1711" s="17">
        <f>INT((YEAR(Table1[[#This Row],[Loss date]])*12+MONTH(Table1[[#This Row],[Loss date]])-Earliest_Month)/4)</f>
        <v>18</v>
      </c>
      <c r="Y1711" s="17">
        <f>INT((YEAR(Table1[[#This Row],[Reporting date]])*12+MONTH(Table1[[#This Row],[Reporting date]])-Earliest_Month)/4)</f>
        <v>18</v>
      </c>
      <c r="Z1711" s="17">
        <f>Table1[[#This Row],[Reporting third]]-Table1[[#This Row],[Policy third]]</f>
        <v>0</v>
      </c>
      <c r="AA1711" s="71">
        <f>IF(Table1[[#This Row],[Overall amount]]=0,"N/A",Table1[[#This Row],[Outstanding]]/Table1[[#This Row],[Overall amount]])</f>
        <v>0</v>
      </c>
      <c r="AB1711" s="17">
        <f>IF(MONTH(Table1[[#This Row],[Loss date]])&lt;Pol_Inc_Month_Shifted,YEAR(Table1[[#This Row],[Loss date]])-1,YEAR(Table1[[#This Row],[Loss date]]))</f>
        <v>2010</v>
      </c>
      <c r="AC1711" s="17">
        <f>IF(MONTH(Table1[[#This Row],[Reporting date]])&lt;Pol_Inc_Month_Shifted,YEAR(Table1[[#This Row],[Reporting date]])-1,YEAR(Table1[[#This Row],[Reporting date]]))</f>
        <v>2010</v>
      </c>
      <c r="AD1711" s="17">
        <f>Table1[[#This Row],[Reporting year (shifted)]]-Table1[[#This Row],[Policy Year (shifted)]]</f>
        <v>0</v>
      </c>
    </row>
    <row r="1712" spans="1:30" ht="13.9">
      <c r="A1712" s="8" t="s">
        <v>3482</v>
      </c>
      <c r="B1712" s="8" t="s">
        <v>1764</v>
      </c>
      <c r="C1712" s="8" t="s">
        <v>118</v>
      </c>
      <c r="D1712" s="9">
        <v>39351</v>
      </c>
      <c r="E1712" s="9">
        <v>39368</v>
      </c>
      <c r="F1712" s="17">
        <f>IF(MONTH(Table1[[#This Row],[Loss date]])&lt;Policy_Inception_Month,YEAR(Table1[[#This Row],[Loss date]])-1,YEAR(Table1[[#This Row],[Loss date]]))</f>
        <v>2007</v>
      </c>
      <c r="G1712" s="10" t="s">
        <v>125</v>
      </c>
      <c r="H1712" s="10" t="s">
        <v>2</v>
      </c>
      <c r="I1712" s="11">
        <v>931.38552045456049</v>
      </c>
      <c r="J1712" s="11">
        <v>0</v>
      </c>
      <c r="K1712" s="11">
        <v>931.38552045456049</v>
      </c>
      <c r="L1712" s="12">
        <v>0</v>
      </c>
      <c r="M1712" s="12">
        <v>0</v>
      </c>
      <c r="N1712" s="12">
        <v>931.38552045456049</v>
      </c>
      <c r="O1712" s="70">
        <f>IF(Table1[[#This Row],[Overall amount]]=0,0,1)</f>
        <v>1</v>
      </c>
      <c r="P1712" s="70">
        <f>Table1[[#This Row],[Overall amount]]*Exchange_Rate</f>
        <v>931.38552045456049</v>
      </c>
      <c r="Q1712" s="70">
        <f>Table1[[#This Row],[Overall (destination currency)]]*(1+Claims_Inflation)^((Revalue_at_date-Table1[[#This Row],[Loss date]])/365.25)</f>
        <v>1376.9999999999998</v>
      </c>
      <c r="R1712" s="70">
        <f>INT(Table1[[#This Row],[Reporting date]])-INT(Table1[[#This Row],[Loss date]])</f>
        <v>17</v>
      </c>
      <c r="S1712" s="69" t="s">
        <v>9</v>
      </c>
      <c r="T1712" s="70">
        <f>VLOOKUP(Table1[[#This Row],[Policy Year]],exposure_table,3,FALSE)</f>
        <v>547.7736362475523</v>
      </c>
      <c r="U1712" s="17">
        <f>IF(MONTH(Table1[[#This Row],[Reporting date]])&lt;Policy_Inception_Month,YEAR(Table1[[#This Row],[Reporting date]])-1,YEAR(Table1[[#This Row],[Reporting date]]))</f>
        <v>2007</v>
      </c>
      <c r="V1712" s="17">
        <f>Table1[[#This Row],[Reporting year]]-Table1[[#This Row],[Policy Year]]</f>
        <v>0</v>
      </c>
      <c r="W1712" s="17">
        <f>INT(Table1[[#This Row],[Reporting date]])-INT(Table1[[#This Row],[Loss date]])</f>
        <v>17</v>
      </c>
      <c r="X1712" s="17">
        <f>INT((YEAR(Table1[[#This Row],[Loss date]])*12+MONTH(Table1[[#This Row],[Loss date]])-Earliest_Month)/4)</f>
        <v>7</v>
      </c>
      <c r="Y1712" s="17">
        <f>INT((YEAR(Table1[[#This Row],[Reporting date]])*12+MONTH(Table1[[#This Row],[Reporting date]])-Earliest_Month)/4)</f>
        <v>7</v>
      </c>
      <c r="Z1712" s="17">
        <f>Table1[[#This Row],[Reporting third]]-Table1[[#This Row],[Policy third]]</f>
        <v>0</v>
      </c>
      <c r="AA1712" s="71">
        <f>IF(Table1[[#This Row],[Overall amount]]=0,"N/A",Table1[[#This Row],[Outstanding]]/Table1[[#This Row],[Overall amount]])</f>
        <v>0</v>
      </c>
      <c r="AB1712" s="17">
        <f>IF(MONTH(Table1[[#This Row],[Loss date]])&lt;Pol_Inc_Month_Shifted,YEAR(Table1[[#This Row],[Loss date]])-1,YEAR(Table1[[#This Row],[Loss date]]))</f>
        <v>2006</v>
      </c>
      <c r="AC1712" s="17">
        <f>IF(MONTH(Table1[[#This Row],[Reporting date]])&lt;Pol_Inc_Month_Shifted,YEAR(Table1[[#This Row],[Reporting date]])-1,YEAR(Table1[[#This Row],[Reporting date]]))</f>
        <v>2006</v>
      </c>
      <c r="AD1712" s="17">
        <f>Table1[[#This Row],[Reporting year (shifted)]]-Table1[[#This Row],[Policy Year (shifted)]]</f>
        <v>0</v>
      </c>
    </row>
    <row r="1713" spans="1:30" ht="13.9">
      <c r="A1713" s="8" t="s">
        <v>3483</v>
      </c>
      <c r="B1713" s="8" t="s">
        <v>1765</v>
      </c>
      <c r="C1713" s="8" t="s">
        <v>118</v>
      </c>
      <c r="D1713" s="9">
        <v>40864</v>
      </c>
      <c r="E1713" s="9">
        <v>40980</v>
      </c>
      <c r="F1713" s="17">
        <f>IF(MONTH(Table1[[#This Row],[Loss date]])&lt;Policy_Inception_Month,YEAR(Table1[[#This Row],[Loss date]])-1,YEAR(Table1[[#This Row],[Loss date]]))</f>
        <v>2011</v>
      </c>
      <c r="G1713" s="10" t="s">
        <v>119</v>
      </c>
      <c r="H1713" s="10" t="s">
        <v>2</v>
      </c>
      <c r="I1713" s="11">
        <v>1296.4661407822964</v>
      </c>
      <c r="J1713" s="11">
        <v>0</v>
      </c>
      <c r="K1713" s="11">
        <v>1296.4661407822964</v>
      </c>
      <c r="L1713" s="12">
        <v>0</v>
      </c>
      <c r="M1713" s="12">
        <v>0</v>
      </c>
      <c r="N1713" s="12">
        <v>1296.4661407822964</v>
      </c>
      <c r="O1713" s="70">
        <f>IF(Table1[[#This Row],[Overall amount]]=0,0,1)</f>
        <v>1</v>
      </c>
      <c r="P1713" s="70">
        <f>Table1[[#This Row],[Overall amount]]*Exchange_Rate</f>
        <v>1296.4661407822964</v>
      </c>
      <c r="Q1713" s="70">
        <f>Table1[[#This Row],[Overall (destination currency)]]*(1+Claims_Inflation)^((Revalue_at_date-Table1[[#This Row],[Loss date]])/365.25)</f>
        <v>1566</v>
      </c>
      <c r="R1713" s="70">
        <f>INT(Table1[[#This Row],[Reporting date]])-INT(Table1[[#This Row],[Loss date]])</f>
        <v>116</v>
      </c>
      <c r="S1713" s="69" t="s">
        <v>9</v>
      </c>
      <c r="T1713" s="70">
        <f>VLOOKUP(Table1[[#This Row],[Policy Year]],exposure_table,3,FALSE)</f>
        <v>870.52680000000009</v>
      </c>
      <c r="U1713" s="17">
        <f>IF(MONTH(Table1[[#This Row],[Reporting date]])&lt;Policy_Inception_Month,YEAR(Table1[[#This Row],[Reporting date]])-1,YEAR(Table1[[#This Row],[Reporting date]]))</f>
        <v>2011</v>
      </c>
      <c r="V1713" s="17">
        <f>Table1[[#This Row],[Reporting year]]-Table1[[#This Row],[Policy Year]]</f>
        <v>0</v>
      </c>
      <c r="W1713" s="17">
        <f>INT(Table1[[#This Row],[Reporting date]])-INT(Table1[[#This Row],[Loss date]])</f>
        <v>116</v>
      </c>
      <c r="X1713" s="17">
        <f>INT((YEAR(Table1[[#This Row],[Loss date]])*12+MONTH(Table1[[#This Row],[Loss date]])-Earliest_Month)/4)</f>
        <v>19</v>
      </c>
      <c r="Y1713" s="17">
        <f>INT((YEAR(Table1[[#This Row],[Reporting date]])*12+MONTH(Table1[[#This Row],[Reporting date]])-Earliest_Month)/4)</f>
        <v>20</v>
      </c>
      <c r="Z1713" s="17">
        <f>Table1[[#This Row],[Reporting third]]-Table1[[#This Row],[Policy third]]</f>
        <v>1</v>
      </c>
      <c r="AA1713" s="71">
        <f>IF(Table1[[#This Row],[Overall amount]]=0,"N/A",Table1[[#This Row],[Outstanding]]/Table1[[#This Row],[Overall amount]])</f>
        <v>0</v>
      </c>
      <c r="AB1713" s="17">
        <f>IF(MONTH(Table1[[#This Row],[Loss date]])&lt;Pol_Inc_Month_Shifted,YEAR(Table1[[#This Row],[Loss date]])-1,YEAR(Table1[[#This Row],[Loss date]]))</f>
        <v>2010</v>
      </c>
      <c r="AC1713" s="17">
        <f>IF(MONTH(Table1[[#This Row],[Reporting date]])&lt;Pol_Inc_Month_Shifted,YEAR(Table1[[#This Row],[Reporting date]])-1,YEAR(Table1[[#This Row],[Reporting date]]))</f>
        <v>2011</v>
      </c>
      <c r="AD1713" s="17">
        <f>Table1[[#This Row],[Reporting year (shifted)]]-Table1[[#This Row],[Policy Year (shifted)]]</f>
        <v>1</v>
      </c>
    </row>
    <row r="1714" spans="1:30" ht="13.9">
      <c r="A1714" s="8" t="s">
        <v>3484</v>
      </c>
      <c r="B1714" s="8" t="s">
        <v>1766</v>
      </c>
      <c r="C1714" s="8" t="s">
        <v>118</v>
      </c>
      <c r="D1714" s="9">
        <v>40544</v>
      </c>
      <c r="E1714" s="9">
        <v>40937</v>
      </c>
      <c r="F1714" s="17">
        <f>IF(MONTH(Table1[[#This Row],[Loss date]])&lt;Policy_Inception_Month,YEAR(Table1[[#This Row],[Loss date]])-1,YEAR(Table1[[#This Row],[Loss date]]))</f>
        <v>2010</v>
      </c>
      <c r="G1714" s="10" t="s">
        <v>129</v>
      </c>
      <c r="H1714" s="10" t="s">
        <v>2</v>
      </c>
      <c r="I1714" s="11">
        <v>814.34132944132193</v>
      </c>
      <c r="J1714" s="11">
        <v>0</v>
      </c>
      <c r="K1714" s="11">
        <v>814.34132944132193</v>
      </c>
      <c r="L1714" s="12">
        <v>0</v>
      </c>
      <c r="M1714" s="12">
        <v>0</v>
      </c>
      <c r="N1714" s="12">
        <v>814.34132944132193</v>
      </c>
      <c r="O1714" s="70">
        <f>IF(Table1[[#This Row],[Overall amount]]=0,0,1)</f>
        <v>1</v>
      </c>
      <c r="P1714" s="70">
        <f>Table1[[#This Row],[Overall amount]]*Exchange_Rate</f>
        <v>814.34132944132193</v>
      </c>
      <c r="Q1714" s="70">
        <f>Table1[[#This Row],[Overall (destination currency)]]*(1+Claims_Inflation)^((Revalue_at_date-Table1[[#This Row],[Loss date]])/365.25)</f>
        <v>1026.6000000000001</v>
      </c>
      <c r="R1714" s="70">
        <f>INT(Table1[[#This Row],[Reporting date]])-INT(Table1[[#This Row],[Loss date]])</f>
        <v>393</v>
      </c>
      <c r="S1714" s="69" t="s">
        <v>9</v>
      </c>
      <c r="T1714" s="70">
        <f>VLOOKUP(Table1[[#This Row],[Policy Year]],exposure_table,3,FALSE)</f>
        <v>837.11513600000012</v>
      </c>
      <c r="U1714" s="17">
        <f>IF(MONTH(Table1[[#This Row],[Reporting date]])&lt;Policy_Inception_Month,YEAR(Table1[[#This Row],[Reporting date]])-1,YEAR(Table1[[#This Row],[Reporting date]]))</f>
        <v>2011</v>
      </c>
      <c r="V1714" s="17">
        <f>Table1[[#This Row],[Reporting year]]-Table1[[#This Row],[Policy Year]]</f>
        <v>1</v>
      </c>
      <c r="W1714" s="17">
        <f>INT(Table1[[#This Row],[Reporting date]])-INT(Table1[[#This Row],[Loss date]])</f>
        <v>393</v>
      </c>
      <c r="X1714" s="17">
        <f>INT((YEAR(Table1[[#This Row],[Loss date]])*12+MONTH(Table1[[#This Row],[Loss date]])-Earliest_Month)/4)</f>
        <v>17</v>
      </c>
      <c r="Y1714" s="17">
        <f>INT((YEAR(Table1[[#This Row],[Reporting date]])*12+MONTH(Table1[[#This Row],[Reporting date]])-Earliest_Month)/4)</f>
        <v>20</v>
      </c>
      <c r="Z1714" s="17">
        <f>Table1[[#This Row],[Reporting third]]-Table1[[#This Row],[Policy third]]</f>
        <v>3</v>
      </c>
      <c r="AA1714" s="71">
        <f>IF(Table1[[#This Row],[Overall amount]]=0,"N/A",Table1[[#This Row],[Outstanding]]/Table1[[#This Row],[Overall amount]])</f>
        <v>0</v>
      </c>
      <c r="AB1714" s="17">
        <f>IF(MONTH(Table1[[#This Row],[Loss date]])&lt;Pol_Inc_Month_Shifted,YEAR(Table1[[#This Row],[Loss date]])-1,YEAR(Table1[[#This Row],[Loss date]]))</f>
        <v>2010</v>
      </c>
      <c r="AC1714" s="17">
        <f>IF(MONTH(Table1[[#This Row],[Reporting date]])&lt;Pol_Inc_Month_Shifted,YEAR(Table1[[#This Row],[Reporting date]])-1,YEAR(Table1[[#This Row],[Reporting date]]))</f>
        <v>2011</v>
      </c>
      <c r="AD1714" s="17">
        <f>Table1[[#This Row],[Reporting year (shifted)]]-Table1[[#This Row],[Policy Year (shifted)]]</f>
        <v>1</v>
      </c>
    </row>
    <row r="1715" spans="1:30" ht="13.9">
      <c r="A1715" s="8" t="s">
        <v>3485</v>
      </c>
      <c r="B1715" s="8" t="s">
        <v>1767</v>
      </c>
      <c r="C1715" s="8" t="s">
        <v>118</v>
      </c>
      <c r="D1715" s="9">
        <v>38473</v>
      </c>
      <c r="E1715" s="9">
        <v>40104</v>
      </c>
      <c r="F1715" s="17">
        <f>IF(MONTH(Table1[[#This Row],[Loss date]])&lt;Policy_Inception_Month,YEAR(Table1[[#This Row],[Loss date]])-1,YEAR(Table1[[#This Row],[Loss date]]))</f>
        <v>2005</v>
      </c>
      <c r="G1715" s="10" t="s">
        <v>119</v>
      </c>
      <c r="H1715" s="10" t="s">
        <v>2</v>
      </c>
      <c r="I1715" s="11">
        <v>1120448.2395944954</v>
      </c>
      <c r="J1715" s="11">
        <v>0</v>
      </c>
      <c r="K1715" s="11">
        <v>1120448.2395944954</v>
      </c>
      <c r="L1715" s="12">
        <v>108.27607660700235</v>
      </c>
      <c r="M1715" s="12">
        <v>0</v>
      </c>
      <c r="N1715" s="12">
        <v>1120556.5156711023</v>
      </c>
      <c r="O1715" s="70">
        <f>IF(Table1[[#This Row],[Overall amount]]=0,0,1)</f>
        <v>1</v>
      </c>
      <c r="P1715" s="70">
        <f>Table1[[#This Row],[Overall amount]]*Exchange_Rate</f>
        <v>1120556.5156711023</v>
      </c>
      <c r="Q1715" s="70">
        <f>Table1[[#This Row],[Overall (destination currency)]]*(1+Claims_Inflation)^((Revalue_at_date-Table1[[#This Row],[Loss date]])/365.25)</f>
        <v>1862832.3</v>
      </c>
      <c r="R1715" s="70">
        <f>INT(Table1[[#This Row],[Reporting date]])-INT(Table1[[#This Row],[Loss date]])</f>
        <v>1631</v>
      </c>
      <c r="S1715" s="69" t="s">
        <v>9</v>
      </c>
      <c r="T1715" s="70">
        <f>VLOOKUP(Table1[[#This Row],[Policy Year]],exposure_table,3,FALSE)</f>
        <v>409.50481038040112</v>
      </c>
      <c r="U1715" s="17">
        <f>IF(MONTH(Table1[[#This Row],[Reporting date]])&lt;Policy_Inception_Month,YEAR(Table1[[#This Row],[Reporting date]])-1,YEAR(Table1[[#This Row],[Reporting date]]))</f>
        <v>2009</v>
      </c>
      <c r="V1715" s="17">
        <f>Table1[[#This Row],[Reporting year]]-Table1[[#This Row],[Policy Year]]</f>
        <v>4</v>
      </c>
      <c r="W1715" s="17">
        <f>INT(Table1[[#This Row],[Reporting date]])-INT(Table1[[#This Row],[Loss date]])</f>
        <v>1631</v>
      </c>
      <c r="X1715" s="17">
        <f>INT((YEAR(Table1[[#This Row],[Loss date]])*12+MONTH(Table1[[#This Row],[Loss date]])-Earliest_Month)/4)</f>
        <v>0</v>
      </c>
      <c r="Y1715" s="17">
        <f>INT((YEAR(Table1[[#This Row],[Reporting date]])*12+MONTH(Table1[[#This Row],[Reporting date]])-Earliest_Month)/4)</f>
        <v>13</v>
      </c>
      <c r="Z1715" s="17">
        <f>Table1[[#This Row],[Reporting third]]-Table1[[#This Row],[Policy third]]</f>
        <v>13</v>
      </c>
      <c r="AA1715" s="71">
        <f>IF(Table1[[#This Row],[Overall amount]]=0,"N/A",Table1[[#This Row],[Outstanding]]/Table1[[#This Row],[Overall amount]])</f>
        <v>0</v>
      </c>
      <c r="AB1715" s="17">
        <f>IF(MONTH(Table1[[#This Row],[Loss date]])&lt;Pol_Inc_Month_Shifted,YEAR(Table1[[#This Row],[Loss date]])-1,YEAR(Table1[[#This Row],[Loss date]]))</f>
        <v>2004</v>
      </c>
      <c r="AC1715" s="17">
        <f>IF(MONTH(Table1[[#This Row],[Reporting date]])&lt;Pol_Inc_Month_Shifted,YEAR(Table1[[#This Row],[Reporting date]])-1,YEAR(Table1[[#This Row],[Reporting date]]))</f>
        <v>2008</v>
      </c>
      <c r="AD1715" s="17">
        <f>Table1[[#This Row],[Reporting year (shifted)]]-Table1[[#This Row],[Policy Year (shifted)]]</f>
        <v>4</v>
      </c>
    </row>
    <row r="1716" spans="1:30" ht="13.9">
      <c r="A1716" s="8" t="s">
        <v>3486</v>
      </c>
      <c r="B1716" s="8" t="s">
        <v>1768</v>
      </c>
      <c r="C1716" s="8" t="s">
        <v>118</v>
      </c>
      <c r="D1716" s="9">
        <v>39173</v>
      </c>
      <c r="E1716" s="9">
        <v>39271</v>
      </c>
      <c r="F1716" s="17">
        <f>IF(MONTH(Table1[[#This Row],[Loss date]])&lt;Policy_Inception_Month,YEAR(Table1[[#This Row],[Loss date]])-1,YEAR(Table1[[#This Row],[Loss date]]))</f>
        <v>2007</v>
      </c>
      <c r="G1716" s="10" t="s">
        <v>132</v>
      </c>
      <c r="H1716" s="10" t="s">
        <v>2</v>
      </c>
      <c r="I1716" s="11">
        <v>960.0287500553203</v>
      </c>
      <c r="J1716" s="11">
        <v>0</v>
      </c>
      <c r="K1716" s="11">
        <v>960.0287500553203</v>
      </c>
      <c r="L1716" s="12">
        <v>0</v>
      </c>
      <c r="M1716" s="12">
        <v>62.401868753595814</v>
      </c>
      <c r="N1716" s="12">
        <v>897.62688130172444</v>
      </c>
      <c r="O1716" s="70">
        <f>IF(Table1[[#This Row],[Overall amount]]=0,0,1)</f>
        <v>1</v>
      </c>
      <c r="P1716" s="70">
        <f>Table1[[#This Row],[Overall amount]]*Exchange_Rate</f>
        <v>897.62688130172444</v>
      </c>
      <c r="Q1716" s="70">
        <f>Table1[[#This Row],[Overall (destination currency)]]*(1+Claims_Inflation)^((Revalue_at_date-Table1[[#This Row],[Loss date]])/365.25)</f>
        <v>1359.0224999999998</v>
      </c>
      <c r="R1716" s="70">
        <f>INT(Table1[[#This Row],[Reporting date]])-INT(Table1[[#This Row],[Loss date]])</f>
        <v>98</v>
      </c>
      <c r="S1716" s="69" t="s">
        <v>9</v>
      </c>
      <c r="T1716" s="70">
        <f>VLOOKUP(Table1[[#This Row],[Policy Year]],exposure_table,3,FALSE)</f>
        <v>547.7736362475523</v>
      </c>
      <c r="U1716" s="17">
        <f>IF(MONTH(Table1[[#This Row],[Reporting date]])&lt;Policy_Inception_Month,YEAR(Table1[[#This Row],[Reporting date]])-1,YEAR(Table1[[#This Row],[Reporting date]]))</f>
        <v>2007</v>
      </c>
      <c r="V1716" s="17">
        <f>Table1[[#This Row],[Reporting year]]-Table1[[#This Row],[Policy Year]]</f>
        <v>0</v>
      </c>
      <c r="W1716" s="17">
        <f>INT(Table1[[#This Row],[Reporting date]])-INT(Table1[[#This Row],[Loss date]])</f>
        <v>98</v>
      </c>
      <c r="X1716" s="17">
        <f>INT((YEAR(Table1[[#This Row],[Loss date]])*12+MONTH(Table1[[#This Row],[Loss date]])-Earliest_Month)/4)</f>
        <v>6</v>
      </c>
      <c r="Y1716" s="17">
        <f>INT((YEAR(Table1[[#This Row],[Reporting date]])*12+MONTH(Table1[[#This Row],[Reporting date]])-Earliest_Month)/4)</f>
        <v>6</v>
      </c>
      <c r="Z1716" s="17">
        <f>Table1[[#This Row],[Reporting third]]-Table1[[#This Row],[Policy third]]</f>
        <v>0</v>
      </c>
      <c r="AA1716" s="71">
        <f>IF(Table1[[#This Row],[Overall amount]]=0,"N/A",Table1[[#This Row],[Outstanding]]/Table1[[#This Row],[Overall amount]])</f>
        <v>0</v>
      </c>
      <c r="AB1716" s="17">
        <f>IF(MONTH(Table1[[#This Row],[Loss date]])&lt;Pol_Inc_Month_Shifted,YEAR(Table1[[#This Row],[Loss date]])-1,YEAR(Table1[[#This Row],[Loss date]]))</f>
        <v>2006</v>
      </c>
      <c r="AC1716" s="17">
        <f>IF(MONTH(Table1[[#This Row],[Reporting date]])&lt;Pol_Inc_Month_Shifted,YEAR(Table1[[#This Row],[Reporting date]])-1,YEAR(Table1[[#This Row],[Reporting date]]))</f>
        <v>2006</v>
      </c>
      <c r="AD1716" s="17">
        <f>Table1[[#This Row],[Reporting year (shifted)]]-Table1[[#This Row],[Policy Year (shifted)]]</f>
        <v>0</v>
      </c>
    </row>
    <row r="1717" spans="1:30" ht="13.9">
      <c r="A1717" s="8" t="s">
        <v>3487</v>
      </c>
      <c r="B1717" s="8" t="s">
        <v>1769</v>
      </c>
      <c r="C1717" s="8" t="s">
        <v>118</v>
      </c>
      <c r="D1717" s="9">
        <v>39169</v>
      </c>
      <c r="E1717" s="9">
        <v>39177</v>
      </c>
      <c r="F1717" s="17">
        <f>IF(MONTH(Table1[[#This Row],[Loss date]])&lt;Policy_Inception_Month,YEAR(Table1[[#This Row],[Loss date]])-1,YEAR(Table1[[#This Row],[Loss date]]))</f>
        <v>2006</v>
      </c>
      <c r="G1717" s="10" t="s">
        <v>119</v>
      </c>
      <c r="H1717" s="10" t="s">
        <v>2</v>
      </c>
      <c r="I1717" s="11">
        <v>243.59227786503132</v>
      </c>
      <c r="J1717" s="11">
        <v>0</v>
      </c>
      <c r="K1717" s="11">
        <v>243.59227786503132</v>
      </c>
      <c r="L1717" s="12">
        <v>0</v>
      </c>
      <c r="M1717" s="12">
        <v>0</v>
      </c>
      <c r="N1717" s="12">
        <v>243.59227786503132</v>
      </c>
      <c r="O1717" s="70">
        <f>IF(Table1[[#This Row],[Overall amount]]=0,0,1)</f>
        <v>1</v>
      </c>
      <c r="P1717" s="70">
        <f>Table1[[#This Row],[Overall amount]]*Exchange_Rate</f>
        <v>243.59227786503132</v>
      </c>
      <c r="Q1717" s="70">
        <f>Table1[[#This Row],[Overall (destination currency)]]*(1+Claims_Inflation)^((Revalue_at_date-Table1[[#This Row],[Loss date]])/365.25)</f>
        <v>369</v>
      </c>
      <c r="R1717" s="70">
        <f>INT(Table1[[#This Row],[Reporting date]])-INT(Table1[[#This Row],[Loss date]])</f>
        <v>8</v>
      </c>
      <c r="S1717" s="69" t="s">
        <v>9</v>
      </c>
      <c r="T1717" s="70">
        <f>VLOOKUP(Table1[[#This Row],[Policy Year]],exposure_table,3,FALSE)</f>
        <v>483.32023209000977</v>
      </c>
      <c r="U1717" s="17">
        <f>IF(MONTH(Table1[[#This Row],[Reporting date]])&lt;Policy_Inception_Month,YEAR(Table1[[#This Row],[Reporting date]])-1,YEAR(Table1[[#This Row],[Reporting date]]))</f>
        <v>2007</v>
      </c>
      <c r="V1717" s="17">
        <f>Table1[[#This Row],[Reporting year]]-Table1[[#This Row],[Policy Year]]</f>
        <v>1</v>
      </c>
      <c r="W1717" s="17">
        <f>INT(Table1[[#This Row],[Reporting date]])-INT(Table1[[#This Row],[Loss date]])</f>
        <v>8</v>
      </c>
      <c r="X1717" s="17">
        <f>INT((YEAR(Table1[[#This Row],[Loss date]])*12+MONTH(Table1[[#This Row],[Loss date]])-Earliest_Month)/4)</f>
        <v>5</v>
      </c>
      <c r="Y1717" s="17">
        <f>INT((YEAR(Table1[[#This Row],[Reporting date]])*12+MONTH(Table1[[#This Row],[Reporting date]])-Earliest_Month)/4)</f>
        <v>6</v>
      </c>
      <c r="Z1717" s="17">
        <f>Table1[[#This Row],[Reporting third]]-Table1[[#This Row],[Policy third]]</f>
        <v>1</v>
      </c>
      <c r="AA1717" s="71">
        <f>IF(Table1[[#This Row],[Overall amount]]=0,"N/A",Table1[[#This Row],[Outstanding]]/Table1[[#This Row],[Overall amount]])</f>
        <v>0</v>
      </c>
      <c r="AB1717" s="17">
        <f>IF(MONTH(Table1[[#This Row],[Loss date]])&lt;Pol_Inc_Month_Shifted,YEAR(Table1[[#This Row],[Loss date]])-1,YEAR(Table1[[#This Row],[Loss date]]))</f>
        <v>2006</v>
      </c>
      <c r="AC1717" s="17">
        <f>IF(MONTH(Table1[[#This Row],[Reporting date]])&lt;Pol_Inc_Month_Shifted,YEAR(Table1[[#This Row],[Reporting date]])-1,YEAR(Table1[[#This Row],[Reporting date]]))</f>
        <v>2006</v>
      </c>
      <c r="AD1717" s="17">
        <f>Table1[[#This Row],[Reporting year (shifted)]]-Table1[[#This Row],[Policy Year (shifted)]]</f>
        <v>0</v>
      </c>
    </row>
    <row r="1718" spans="1:30" ht="13.9">
      <c r="A1718" s="8" t="s">
        <v>3488</v>
      </c>
      <c r="B1718" s="8" t="s">
        <v>1770</v>
      </c>
      <c r="C1718" s="8" t="s">
        <v>118</v>
      </c>
      <c r="D1718" s="9">
        <v>40391</v>
      </c>
      <c r="E1718" s="9">
        <v>40410</v>
      </c>
      <c r="F1718" s="17">
        <f>IF(MONTH(Table1[[#This Row],[Loss date]])&lt;Policy_Inception_Month,YEAR(Table1[[#This Row],[Loss date]])-1,YEAR(Table1[[#This Row],[Loss date]]))</f>
        <v>2010</v>
      </c>
      <c r="G1718" s="10" t="s">
        <v>129</v>
      </c>
      <c r="H1718" s="10" t="s">
        <v>2</v>
      </c>
      <c r="I1718" s="11">
        <v>3056.2360479995559</v>
      </c>
      <c r="J1718" s="11">
        <v>0</v>
      </c>
      <c r="K1718" s="11">
        <v>3056.2360479995559</v>
      </c>
      <c r="L1718" s="12">
        <v>0</v>
      </c>
      <c r="M1718" s="12">
        <v>0</v>
      </c>
      <c r="N1718" s="12">
        <v>3056.2360479995559</v>
      </c>
      <c r="O1718" s="70">
        <f>IF(Table1[[#This Row],[Overall amount]]=0,0,1)</f>
        <v>1</v>
      </c>
      <c r="P1718" s="70">
        <f>Table1[[#This Row],[Overall amount]]*Exchange_Rate</f>
        <v>3056.2360479995559</v>
      </c>
      <c r="Q1718" s="70">
        <f>Table1[[#This Row],[Overall (destination currency)]]*(1+Claims_Inflation)^((Revalue_at_date-Table1[[#This Row],[Loss date]])/365.25)</f>
        <v>3932.3999999999996</v>
      </c>
      <c r="R1718" s="70">
        <f>INT(Table1[[#This Row],[Reporting date]])-INT(Table1[[#This Row],[Loss date]])</f>
        <v>19</v>
      </c>
      <c r="S1718" s="69" t="s">
        <v>9</v>
      </c>
      <c r="T1718" s="70">
        <f>VLOOKUP(Table1[[#This Row],[Policy Year]],exposure_table,3,FALSE)</f>
        <v>837.11513600000012</v>
      </c>
      <c r="U1718" s="17">
        <f>IF(MONTH(Table1[[#This Row],[Reporting date]])&lt;Policy_Inception_Month,YEAR(Table1[[#This Row],[Reporting date]])-1,YEAR(Table1[[#This Row],[Reporting date]]))</f>
        <v>2010</v>
      </c>
      <c r="V1718" s="17">
        <f>Table1[[#This Row],[Reporting year]]-Table1[[#This Row],[Policy Year]]</f>
        <v>0</v>
      </c>
      <c r="W1718" s="17">
        <f>INT(Table1[[#This Row],[Reporting date]])-INT(Table1[[#This Row],[Loss date]])</f>
        <v>19</v>
      </c>
      <c r="X1718" s="17">
        <f>INT((YEAR(Table1[[#This Row],[Loss date]])*12+MONTH(Table1[[#This Row],[Loss date]])-Earliest_Month)/4)</f>
        <v>16</v>
      </c>
      <c r="Y1718" s="17">
        <f>INT((YEAR(Table1[[#This Row],[Reporting date]])*12+MONTH(Table1[[#This Row],[Reporting date]])-Earliest_Month)/4)</f>
        <v>16</v>
      </c>
      <c r="Z1718" s="17">
        <f>Table1[[#This Row],[Reporting third]]-Table1[[#This Row],[Policy third]]</f>
        <v>0</v>
      </c>
      <c r="AA1718" s="71">
        <f>IF(Table1[[#This Row],[Overall amount]]=0,"N/A",Table1[[#This Row],[Outstanding]]/Table1[[#This Row],[Overall amount]])</f>
        <v>0</v>
      </c>
      <c r="AB1718" s="17">
        <f>IF(MONTH(Table1[[#This Row],[Loss date]])&lt;Pol_Inc_Month_Shifted,YEAR(Table1[[#This Row],[Loss date]])-1,YEAR(Table1[[#This Row],[Loss date]]))</f>
        <v>2009</v>
      </c>
      <c r="AC1718" s="17">
        <f>IF(MONTH(Table1[[#This Row],[Reporting date]])&lt;Pol_Inc_Month_Shifted,YEAR(Table1[[#This Row],[Reporting date]])-1,YEAR(Table1[[#This Row],[Reporting date]]))</f>
        <v>2009</v>
      </c>
      <c r="AD1718" s="17">
        <f>Table1[[#This Row],[Reporting year (shifted)]]-Table1[[#This Row],[Policy Year (shifted)]]</f>
        <v>0</v>
      </c>
    </row>
    <row r="1719" spans="1:30" ht="13.9">
      <c r="A1719" s="8" t="s">
        <v>3489</v>
      </c>
      <c r="B1719" s="8" t="s">
        <v>1771</v>
      </c>
      <c r="C1719" s="8" t="s">
        <v>118</v>
      </c>
      <c r="D1719" s="9">
        <v>40499</v>
      </c>
      <c r="E1719" s="9">
        <v>40503</v>
      </c>
      <c r="F1719" s="17">
        <f>IF(MONTH(Table1[[#This Row],[Loss date]])&lt;Policy_Inception_Month,YEAR(Table1[[#This Row],[Loss date]])-1,YEAR(Table1[[#This Row],[Loss date]]))</f>
        <v>2010</v>
      </c>
      <c r="G1719" s="10" t="s">
        <v>119</v>
      </c>
      <c r="H1719" s="10" t="s">
        <v>2</v>
      </c>
      <c r="I1719" s="11">
        <v>2836.2072379173578</v>
      </c>
      <c r="J1719" s="11">
        <v>0</v>
      </c>
      <c r="K1719" s="11">
        <v>2836.2072379173578</v>
      </c>
      <c r="L1719" s="12">
        <v>0</v>
      </c>
      <c r="M1719" s="12">
        <v>0</v>
      </c>
      <c r="N1719" s="12">
        <v>2836.2072379173578</v>
      </c>
      <c r="O1719" s="70">
        <f>IF(Table1[[#This Row],[Overall amount]]=0,0,1)</f>
        <v>1</v>
      </c>
      <c r="P1719" s="70">
        <f>Table1[[#This Row],[Overall amount]]*Exchange_Rate</f>
        <v>2836.2072379173578</v>
      </c>
      <c r="Q1719" s="70">
        <f>Table1[[#This Row],[Overall (destination currency)]]*(1+Claims_Inflation)^((Revalue_at_date-Table1[[#This Row],[Loss date]])/365.25)</f>
        <v>3597.0240000000003</v>
      </c>
      <c r="R1719" s="70">
        <f>INT(Table1[[#This Row],[Reporting date]])-INT(Table1[[#This Row],[Loss date]])</f>
        <v>4</v>
      </c>
      <c r="S1719" s="69" t="s">
        <v>9</v>
      </c>
      <c r="T1719" s="70">
        <f>VLOOKUP(Table1[[#This Row],[Policy Year]],exposure_table,3,FALSE)</f>
        <v>837.11513600000012</v>
      </c>
      <c r="U1719" s="17">
        <f>IF(MONTH(Table1[[#This Row],[Reporting date]])&lt;Policy_Inception_Month,YEAR(Table1[[#This Row],[Reporting date]])-1,YEAR(Table1[[#This Row],[Reporting date]]))</f>
        <v>2010</v>
      </c>
      <c r="V1719" s="17">
        <f>Table1[[#This Row],[Reporting year]]-Table1[[#This Row],[Policy Year]]</f>
        <v>0</v>
      </c>
      <c r="W1719" s="17">
        <f>INT(Table1[[#This Row],[Reporting date]])-INT(Table1[[#This Row],[Loss date]])</f>
        <v>4</v>
      </c>
      <c r="X1719" s="17">
        <f>INT((YEAR(Table1[[#This Row],[Loss date]])*12+MONTH(Table1[[#This Row],[Loss date]])-Earliest_Month)/4)</f>
        <v>16</v>
      </c>
      <c r="Y1719" s="17">
        <f>INT((YEAR(Table1[[#This Row],[Reporting date]])*12+MONTH(Table1[[#This Row],[Reporting date]])-Earliest_Month)/4)</f>
        <v>16</v>
      </c>
      <c r="Z1719" s="17">
        <f>Table1[[#This Row],[Reporting third]]-Table1[[#This Row],[Policy third]]</f>
        <v>0</v>
      </c>
      <c r="AA1719" s="71">
        <f>IF(Table1[[#This Row],[Overall amount]]=0,"N/A",Table1[[#This Row],[Outstanding]]/Table1[[#This Row],[Overall amount]])</f>
        <v>0</v>
      </c>
      <c r="AB1719" s="17">
        <f>IF(MONTH(Table1[[#This Row],[Loss date]])&lt;Pol_Inc_Month_Shifted,YEAR(Table1[[#This Row],[Loss date]])-1,YEAR(Table1[[#This Row],[Loss date]]))</f>
        <v>2009</v>
      </c>
      <c r="AC1719" s="17">
        <f>IF(MONTH(Table1[[#This Row],[Reporting date]])&lt;Pol_Inc_Month_Shifted,YEAR(Table1[[#This Row],[Reporting date]])-1,YEAR(Table1[[#This Row],[Reporting date]]))</f>
        <v>2009</v>
      </c>
      <c r="AD1719" s="17">
        <f>Table1[[#This Row],[Reporting year (shifted)]]-Table1[[#This Row],[Policy Year (shifted)]]</f>
        <v>0</v>
      </c>
    </row>
    <row r="1720" spans="1:30" ht="13.9">
      <c r="A1720" s="8" t="s">
        <v>3490</v>
      </c>
      <c r="B1720" s="8" t="s">
        <v>1772</v>
      </c>
      <c r="C1720" s="8" t="s">
        <v>118</v>
      </c>
      <c r="D1720" s="9">
        <v>39224</v>
      </c>
      <c r="E1720" s="9">
        <v>39278</v>
      </c>
      <c r="F1720" s="17">
        <f>IF(MONTH(Table1[[#This Row],[Loss date]])&lt;Policy_Inception_Month,YEAR(Table1[[#This Row],[Loss date]])-1,YEAR(Table1[[#This Row],[Loss date]]))</f>
        <v>2007</v>
      </c>
      <c r="G1720" s="10" t="s">
        <v>124</v>
      </c>
      <c r="H1720" s="10" t="s">
        <v>2</v>
      </c>
      <c r="I1720" s="11">
        <v>7501.0362438878465</v>
      </c>
      <c r="J1720" s="11">
        <v>0</v>
      </c>
      <c r="K1720" s="11">
        <v>7501.0362438878465</v>
      </c>
      <c r="L1720" s="12">
        <v>0</v>
      </c>
      <c r="M1720" s="12">
        <v>0</v>
      </c>
      <c r="N1720" s="12">
        <v>7501.0362438878465</v>
      </c>
      <c r="O1720" s="70">
        <f>IF(Table1[[#This Row],[Overall amount]]=0,0,1)</f>
        <v>1</v>
      </c>
      <c r="P1720" s="70">
        <f>Table1[[#This Row],[Overall amount]]*Exchange_Rate</f>
        <v>7501.0362438878465</v>
      </c>
      <c r="Q1720" s="70">
        <f>Table1[[#This Row],[Overall (destination currency)]]*(1+Claims_Inflation)^((Revalue_at_date-Table1[[#This Row],[Loss date]])/365.25)</f>
        <v>11279.591999999999</v>
      </c>
      <c r="R1720" s="70">
        <f>INT(Table1[[#This Row],[Reporting date]])-INT(Table1[[#This Row],[Loss date]])</f>
        <v>54</v>
      </c>
      <c r="S1720" s="69" t="s">
        <v>9</v>
      </c>
      <c r="T1720" s="70">
        <f>VLOOKUP(Table1[[#This Row],[Policy Year]],exposure_table,3,FALSE)</f>
        <v>547.7736362475523</v>
      </c>
      <c r="U1720" s="17">
        <f>IF(MONTH(Table1[[#This Row],[Reporting date]])&lt;Policy_Inception_Month,YEAR(Table1[[#This Row],[Reporting date]])-1,YEAR(Table1[[#This Row],[Reporting date]]))</f>
        <v>2007</v>
      </c>
      <c r="V1720" s="17">
        <f>Table1[[#This Row],[Reporting year]]-Table1[[#This Row],[Policy Year]]</f>
        <v>0</v>
      </c>
      <c r="W1720" s="17">
        <f>INT(Table1[[#This Row],[Reporting date]])-INT(Table1[[#This Row],[Loss date]])</f>
        <v>54</v>
      </c>
      <c r="X1720" s="17">
        <f>INT((YEAR(Table1[[#This Row],[Loss date]])*12+MONTH(Table1[[#This Row],[Loss date]])-Earliest_Month)/4)</f>
        <v>6</v>
      </c>
      <c r="Y1720" s="17">
        <f>INT((YEAR(Table1[[#This Row],[Reporting date]])*12+MONTH(Table1[[#This Row],[Reporting date]])-Earliest_Month)/4)</f>
        <v>6</v>
      </c>
      <c r="Z1720" s="17">
        <f>Table1[[#This Row],[Reporting third]]-Table1[[#This Row],[Policy third]]</f>
        <v>0</v>
      </c>
      <c r="AA1720" s="71">
        <f>IF(Table1[[#This Row],[Overall amount]]=0,"N/A",Table1[[#This Row],[Outstanding]]/Table1[[#This Row],[Overall amount]])</f>
        <v>0</v>
      </c>
      <c r="AB1720" s="17">
        <f>IF(MONTH(Table1[[#This Row],[Loss date]])&lt;Pol_Inc_Month_Shifted,YEAR(Table1[[#This Row],[Loss date]])-1,YEAR(Table1[[#This Row],[Loss date]]))</f>
        <v>2006</v>
      </c>
      <c r="AC1720" s="17">
        <f>IF(MONTH(Table1[[#This Row],[Reporting date]])&lt;Pol_Inc_Month_Shifted,YEAR(Table1[[#This Row],[Reporting date]])-1,YEAR(Table1[[#This Row],[Reporting date]]))</f>
        <v>2006</v>
      </c>
      <c r="AD1720" s="17">
        <f>Table1[[#This Row],[Reporting year (shifted)]]-Table1[[#This Row],[Policy Year (shifted)]]</f>
        <v>0</v>
      </c>
    </row>
    <row r="1721" spans="1:30" ht="13.9">
      <c r="A1721" s="8" t="s">
        <v>3491</v>
      </c>
      <c r="B1721" s="8" t="s">
        <v>1773</v>
      </c>
      <c r="C1721" s="8" t="s">
        <v>118</v>
      </c>
      <c r="D1721" s="9">
        <v>40688</v>
      </c>
      <c r="E1721" s="9">
        <v>40688</v>
      </c>
      <c r="F1721" s="17">
        <f>IF(MONTH(Table1[[#This Row],[Loss date]])&lt;Policy_Inception_Month,YEAR(Table1[[#This Row],[Loss date]])-1,YEAR(Table1[[#This Row],[Loss date]]))</f>
        <v>2011</v>
      </c>
      <c r="G1721" s="10" t="s">
        <v>125</v>
      </c>
      <c r="H1721" s="10" t="s">
        <v>2</v>
      </c>
      <c r="I1721" s="11">
        <v>0</v>
      </c>
      <c r="J1721" s="11">
        <v>0</v>
      </c>
      <c r="K1721" s="11">
        <v>0</v>
      </c>
      <c r="L1721" s="12">
        <v>0</v>
      </c>
      <c r="M1721" s="12">
        <v>0</v>
      </c>
      <c r="N1721" s="12">
        <v>0</v>
      </c>
      <c r="O1721" s="70">
        <f>IF(Table1[[#This Row],[Overall amount]]=0,0,1)</f>
        <v>0</v>
      </c>
      <c r="P1721" s="70">
        <f>Table1[[#This Row],[Overall amount]]*Exchange_Rate</f>
        <v>0</v>
      </c>
      <c r="Q1721" s="70">
        <f>Table1[[#This Row],[Overall (destination currency)]]*(1+Claims_Inflation)^((Revalue_at_date-Table1[[#This Row],[Loss date]])/365.25)</f>
        <v>0</v>
      </c>
      <c r="R1721" s="70">
        <f>INT(Table1[[#This Row],[Reporting date]])-INT(Table1[[#This Row],[Loss date]])</f>
        <v>0</v>
      </c>
      <c r="S1721" s="69" t="s">
        <v>9</v>
      </c>
      <c r="T1721" s="70">
        <f>VLOOKUP(Table1[[#This Row],[Policy Year]],exposure_table,3,FALSE)</f>
        <v>870.52680000000009</v>
      </c>
      <c r="U1721" s="17">
        <f>IF(MONTH(Table1[[#This Row],[Reporting date]])&lt;Policy_Inception_Month,YEAR(Table1[[#This Row],[Reporting date]])-1,YEAR(Table1[[#This Row],[Reporting date]]))</f>
        <v>2011</v>
      </c>
      <c r="V1721" s="17">
        <f>Table1[[#This Row],[Reporting year]]-Table1[[#This Row],[Policy Year]]</f>
        <v>0</v>
      </c>
      <c r="W1721" s="17">
        <f>INT(Table1[[#This Row],[Reporting date]])-INT(Table1[[#This Row],[Loss date]])</f>
        <v>0</v>
      </c>
      <c r="X1721" s="17">
        <f>INT((YEAR(Table1[[#This Row],[Loss date]])*12+MONTH(Table1[[#This Row],[Loss date]])-Earliest_Month)/4)</f>
        <v>18</v>
      </c>
      <c r="Y1721" s="17">
        <f>INT((YEAR(Table1[[#This Row],[Reporting date]])*12+MONTH(Table1[[#This Row],[Reporting date]])-Earliest_Month)/4)</f>
        <v>18</v>
      </c>
      <c r="Z1721" s="17">
        <f>Table1[[#This Row],[Reporting third]]-Table1[[#This Row],[Policy third]]</f>
        <v>0</v>
      </c>
      <c r="AA1721" s="71" t="str">
        <f>IF(Table1[[#This Row],[Overall amount]]=0,"N/A",Table1[[#This Row],[Outstanding]]/Table1[[#This Row],[Overall amount]])</f>
        <v>N/A</v>
      </c>
      <c r="AB1721" s="17">
        <f>IF(MONTH(Table1[[#This Row],[Loss date]])&lt;Pol_Inc_Month_Shifted,YEAR(Table1[[#This Row],[Loss date]])-1,YEAR(Table1[[#This Row],[Loss date]]))</f>
        <v>2010</v>
      </c>
      <c r="AC1721" s="17">
        <f>IF(MONTH(Table1[[#This Row],[Reporting date]])&lt;Pol_Inc_Month_Shifted,YEAR(Table1[[#This Row],[Reporting date]])-1,YEAR(Table1[[#This Row],[Reporting date]]))</f>
        <v>2010</v>
      </c>
      <c r="AD1721" s="17">
        <f>Table1[[#This Row],[Reporting year (shifted)]]-Table1[[#This Row],[Policy Year (shifted)]]</f>
        <v>0</v>
      </c>
    </row>
    <row r="1722" spans="1:30" ht="13.9">
      <c r="A1722" s="8" t="s">
        <v>3492</v>
      </c>
      <c r="B1722" s="8" t="s">
        <v>1774</v>
      </c>
      <c r="C1722" s="8" t="s">
        <v>118</v>
      </c>
      <c r="D1722" s="9">
        <v>39037</v>
      </c>
      <c r="E1722" s="9">
        <v>40210</v>
      </c>
      <c r="F1722" s="17">
        <f>IF(MONTH(Table1[[#This Row],[Loss date]])&lt;Policy_Inception_Month,YEAR(Table1[[#This Row],[Loss date]])-1,YEAR(Table1[[#This Row],[Loss date]]))</f>
        <v>2006</v>
      </c>
      <c r="G1722" s="10" t="s">
        <v>125</v>
      </c>
      <c r="H1722" s="10" t="s">
        <v>2</v>
      </c>
      <c r="I1722" s="11">
        <v>2344.7023444664851</v>
      </c>
      <c r="J1722" s="11">
        <v>0</v>
      </c>
      <c r="K1722" s="11">
        <v>2344.7023444664851</v>
      </c>
      <c r="L1722" s="12">
        <v>0</v>
      </c>
      <c r="M1722" s="12">
        <v>0</v>
      </c>
      <c r="N1722" s="12">
        <v>2344.7023444664851</v>
      </c>
      <c r="O1722" s="70">
        <f>IF(Table1[[#This Row],[Overall amount]]=0,0,1)</f>
        <v>1</v>
      </c>
      <c r="P1722" s="70">
        <f>Table1[[#This Row],[Overall amount]]*Exchange_Rate</f>
        <v>2344.7023444664851</v>
      </c>
      <c r="Q1722" s="70">
        <f>Table1[[#This Row],[Overall (destination currency)]]*(1+Claims_Inflation)^((Revalue_at_date-Table1[[#This Row],[Loss date]])/365.25)</f>
        <v>3615.0000000000005</v>
      </c>
      <c r="R1722" s="70">
        <f>INT(Table1[[#This Row],[Reporting date]])-INT(Table1[[#This Row],[Loss date]])</f>
        <v>1173</v>
      </c>
      <c r="S1722" s="69" t="s">
        <v>9</v>
      </c>
      <c r="T1722" s="70">
        <f>VLOOKUP(Table1[[#This Row],[Policy Year]],exposure_table,3,FALSE)</f>
        <v>483.32023209000977</v>
      </c>
      <c r="U1722" s="17">
        <f>IF(MONTH(Table1[[#This Row],[Reporting date]])&lt;Policy_Inception_Month,YEAR(Table1[[#This Row],[Reporting date]])-1,YEAR(Table1[[#This Row],[Reporting date]]))</f>
        <v>2009</v>
      </c>
      <c r="V1722" s="17">
        <f>Table1[[#This Row],[Reporting year]]-Table1[[#This Row],[Policy Year]]</f>
        <v>3</v>
      </c>
      <c r="W1722" s="17">
        <f>INT(Table1[[#This Row],[Reporting date]])-INT(Table1[[#This Row],[Loss date]])</f>
        <v>1173</v>
      </c>
      <c r="X1722" s="17">
        <f>INT((YEAR(Table1[[#This Row],[Loss date]])*12+MONTH(Table1[[#This Row],[Loss date]])-Earliest_Month)/4)</f>
        <v>4</v>
      </c>
      <c r="Y1722" s="17">
        <f>INT((YEAR(Table1[[#This Row],[Reporting date]])*12+MONTH(Table1[[#This Row],[Reporting date]])-Earliest_Month)/4)</f>
        <v>14</v>
      </c>
      <c r="Z1722" s="17">
        <f>Table1[[#This Row],[Reporting third]]-Table1[[#This Row],[Policy third]]</f>
        <v>10</v>
      </c>
      <c r="AA1722" s="71">
        <f>IF(Table1[[#This Row],[Overall amount]]=0,"N/A",Table1[[#This Row],[Outstanding]]/Table1[[#This Row],[Overall amount]])</f>
        <v>0</v>
      </c>
      <c r="AB1722" s="17">
        <f>IF(MONTH(Table1[[#This Row],[Loss date]])&lt;Pol_Inc_Month_Shifted,YEAR(Table1[[#This Row],[Loss date]])-1,YEAR(Table1[[#This Row],[Loss date]]))</f>
        <v>2005</v>
      </c>
      <c r="AC1722" s="17">
        <f>IF(MONTH(Table1[[#This Row],[Reporting date]])&lt;Pol_Inc_Month_Shifted,YEAR(Table1[[#This Row],[Reporting date]])-1,YEAR(Table1[[#This Row],[Reporting date]]))</f>
        <v>2009</v>
      </c>
      <c r="AD1722" s="17">
        <f>Table1[[#This Row],[Reporting year (shifted)]]-Table1[[#This Row],[Policy Year (shifted)]]</f>
        <v>4</v>
      </c>
    </row>
    <row r="1723" spans="1:30" ht="13.9">
      <c r="A1723" s="8" t="s">
        <v>3493</v>
      </c>
      <c r="B1723" s="8" t="s">
        <v>1775</v>
      </c>
      <c r="C1723" s="8" t="s">
        <v>118</v>
      </c>
      <c r="D1723" s="9">
        <v>39955</v>
      </c>
      <c r="E1723" s="9">
        <v>39963</v>
      </c>
      <c r="F1723" s="17">
        <f>IF(MONTH(Table1[[#This Row],[Loss date]])&lt;Policy_Inception_Month,YEAR(Table1[[#This Row],[Loss date]])-1,YEAR(Table1[[#This Row],[Loss date]]))</f>
        <v>2009</v>
      </c>
      <c r="G1723" s="10" t="s">
        <v>129</v>
      </c>
      <c r="H1723" s="10" t="s">
        <v>2</v>
      </c>
      <c r="I1723" s="11">
        <v>154658.64505165551</v>
      </c>
      <c r="J1723" s="11">
        <v>0</v>
      </c>
      <c r="K1723" s="11">
        <v>154658.64505165551</v>
      </c>
      <c r="L1723" s="12">
        <v>0</v>
      </c>
      <c r="M1723" s="12">
        <v>0</v>
      </c>
      <c r="N1723" s="12">
        <v>154658.64505165551</v>
      </c>
      <c r="O1723" s="70">
        <f>IF(Table1[[#This Row],[Overall amount]]=0,0,1)</f>
        <v>1</v>
      </c>
      <c r="P1723" s="70">
        <f>Table1[[#This Row],[Overall amount]]*Exchange_Rate</f>
        <v>154658.64505165551</v>
      </c>
      <c r="Q1723" s="70">
        <f>Table1[[#This Row],[Overall (destination currency)]]*(1+Claims_Inflation)^((Revalue_at_date-Table1[[#This Row],[Loss date]])/365.25)</f>
        <v>210930.18</v>
      </c>
      <c r="R1723" s="70">
        <f>INT(Table1[[#This Row],[Reporting date]])-INT(Table1[[#This Row],[Loss date]])</f>
        <v>8</v>
      </c>
      <c r="S1723" s="69" t="s">
        <v>9</v>
      </c>
      <c r="T1723" s="70">
        <f>VLOOKUP(Table1[[#This Row],[Policy Year]],exposure_table,3,FALSE)</f>
        <v>760.22808576000011</v>
      </c>
      <c r="U1723" s="17">
        <f>IF(MONTH(Table1[[#This Row],[Reporting date]])&lt;Policy_Inception_Month,YEAR(Table1[[#This Row],[Reporting date]])-1,YEAR(Table1[[#This Row],[Reporting date]]))</f>
        <v>2009</v>
      </c>
      <c r="V1723" s="17">
        <f>Table1[[#This Row],[Reporting year]]-Table1[[#This Row],[Policy Year]]</f>
        <v>0</v>
      </c>
      <c r="W1723" s="17">
        <f>INT(Table1[[#This Row],[Reporting date]])-INT(Table1[[#This Row],[Loss date]])</f>
        <v>8</v>
      </c>
      <c r="X1723" s="17">
        <f>INT((YEAR(Table1[[#This Row],[Loss date]])*12+MONTH(Table1[[#This Row],[Loss date]])-Earliest_Month)/4)</f>
        <v>12</v>
      </c>
      <c r="Y1723" s="17">
        <f>INT((YEAR(Table1[[#This Row],[Reporting date]])*12+MONTH(Table1[[#This Row],[Reporting date]])-Earliest_Month)/4)</f>
        <v>12</v>
      </c>
      <c r="Z1723" s="17">
        <f>Table1[[#This Row],[Reporting third]]-Table1[[#This Row],[Policy third]]</f>
        <v>0</v>
      </c>
      <c r="AA1723" s="71">
        <f>IF(Table1[[#This Row],[Overall amount]]=0,"N/A",Table1[[#This Row],[Outstanding]]/Table1[[#This Row],[Overall amount]])</f>
        <v>0</v>
      </c>
      <c r="AB1723" s="17">
        <f>IF(MONTH(Table1[[#This Row],[Loss date]])&lt;Pol_Inc_Month_Shifted,YEAR(Table1[[#This Row],[Loss date]])-1,YEAR(Table1[[#This Row],[Loss date]]))</f>
        <v>2008</v>
      </c>
      <c r="AC1723" s="17">
        <f>IF(MONTH(Table1[[#This Row],[Reporting date]])&lt;Pol_Inc_Month_Shifted,YEAR(Table1[[#This Row],[Reporting date]])-1,YEAR(Table1[[#This Row],[Reporting date]]))</f>
        <v>2008</v>
      </c>
      <c r="AD1723" s="17">
        <f>Table1[[#This Row],[Reporting year (shifted)]]-Table1[[#This Row],[Policy Year (shifted)]]</f>
        <v>0</v>
      </c>
    </row>
    <row r="1724" spans="1:30" ht="13.9">
      <c r="A1724" s="8" t="s">
        <v>3494</v>
      </c>
      <c r="B1724" s="8" t="s">
        <v>1776</v>
      </c>
      <c r="C1724" s="8" t="s">
        <v>118</v>
      </c>
      <c r="D1724" s="9">
        <v>40878</v>
      </c>
      <c r="E1724" s="9">
        <v>40913</v>
      </c>
      <c r="F1724" s="17">
        <f>IF(MONTH(Table1[[#This Row],[Loss date]])&lt;Policy_Inception_Month,YEAR(Table1[[#This Row],[Loss date]])-1,YEAR(Table1[[#This Row],[Loss date]]))</f>
        <v>2011</v>
      </c>
      <c r="G1724" s="10" t="s">
        <v>119</v>
      </c>
      <c r="H1724" s="10" t="s">
        <v>2</v>
      </c>
      <c r="I1724" s="11">
        <v>4734.5195818015609</v>
      </c>
      <c r="J1724" s="11">
        <v>0</v>
      </c>
      <c r="K1724" s="11">
        <v>4734.5195818015609</v>
      </c>
      <c r="L1724" s="12">
        <v>0</v>
      </c>
      <c r="M1724" s="12">
        <v>0</v>
      </c>
      <c r="N1724" s="12">
        <v>4734.5195818015609</v>
      </c>
      <c r="O1724" s="70">
        <f>IF(Table1[[#This Row],[Overall amount]]=0,0,1)</f>
        <v>1</v>
      </c>
      <c r="P1724" s="70">
        <f>Table1[[#This Row],[Overall amount]]*Exchange_Rate</f>
        <v>4734.5195818015609</v>
      </c>
      <c r="Q1724" s="70">
        <f>Table1[[#This Row],[Overall (destination currency)]]*(1+Claims_Inflation)^((Revalue_at_date-Table1[[#This Row],[Loss date]])/365.25)</f>
        <v>5708.1359999999995</v>
      </c>
      <c r="R1724" s="70">
        <f>INT(Table1[[#This Row],[Reporting date]])-INT(Table1[[#This Row],[Loss date]])</f>
        <v>35</v>
      </c>
      <c r="S1724" s="69" t="s">
        <v>9</v>
      </c>
      <c r="T1724" s="70">
        <f>VLOOKUP(Table1[[#This Row],[Policy Year]],exposure_table,3,FALSE)</f>
        <v>870.52680000000009</v>
      </c>
      <c r="U1724" s="17">
        <f>IF(MONTH(Table1[[#This Row],[Reporting date]])&lt;Policy_Inception_Month,YEAR(Table1[[#This Row],[Reporting date]])-1,YEAR(Table1[[#This Row],[Reporting date]]))</f>
        <v>2011</v>
      </c>
      <c r="V1724" s="17">
        <f>Table1[[#This Row],[Reporting year]]-Table1[[#This Row],[Policy Year]]</f>
        <v>0</v>
      </c>
      <c r="W1724" s="17">
        <f>INT(Table1[[#This Row],[Reporting date]])-INT(Table1[[#This Row],[Loss date]])</f>
        <v>35</v>
      </c>
      <c r="X1724" s="17">
        <f>INT((YEAR(Table1[[#This Row],[Loss date]])*12+MONTH(Table1[[#This Row],[Loss date]])-Earliest_Month)/4)</f>
        <v>20</v>
      </c>
      <c r="Y1724" s="17">
        <f>INT((YEAR(Table1[[#This Row],[Reporting date]])*12+MONTH(Table1[[#This Row],[Reporting date]])-Earliest_Month)/4)</f>
        <v>20</v>
      </c>
      <c r="Z1724" s="17">
        <f>Table1[[#This Row],[Reporting third]]-Table1[[#This Row],[Policy third]]</f>
        <v>0</v>
      </c>
      <c r="AA1724" s="71">
        <f>IF(Table1[[#This Row],[Overall amount]]=0,"N/A",Table1[[#This Row],[Outstanding]]/Table1[[#This Row],[Overall amount]])</f>
        <v>0</v>
      </c>
      <c r="AB1724" s="17">
        <f>IF(MONTH(Table1[[#This Row],[Loss date]])&lt;Pol_Inc_Month_Shifted,YEAR(Table1[[#This Row],[Loss date]])-1,YEAR(Table1[[#This Row],[Loss date]]))</f>
        <v>2011</v>
      </c>
      <c r="AC1724" s="17">
        <f>IF(MONTH(Table1[[#This Row],[Reporting date]])&lt;Pol_Inc_Month_Shifted,YEAR(Table1[[#This Row],[Reporting date]])-1,YEAR(Table1[[#This Row],[Reporting date]]))</f>
        <v>2011</v>
      </c>
      <c r="AD1724" s="17">
        <f>Table1[[#This Row],[Reporting year (shifted)]]-Table1[[#This Row],[Policy Year (shifted)]]</f>
        <v>0</v>
      </c>
    </row>
    <row r="1725" spans="1:30" ht="13.9">
      <c r="A1725" s="8" t="s">
        <v>3495</v>
      </c>
      <c r="B1725" s="8" t="s">
        <v>1777</v>
      </c>
      <c r="C1725" s="8" t="s">
        <v>118</v>
      </c>
      <c r="D1725" s="9">
        <v>40940</v>
      </c>
      <c r="E1725" s="9">
        <v>40950</v>
      </c>
      <c r="F1725" s="17">
        <f>IF(MONTH(Table1[[#This Row],[Loss date]])&lt;Policy_Inception_Month,YEAR(Table1[[#This Row],[Loss date]])-1,YEAR(Table1[[#This Row],[Loss date]]))</f>
        <v>2011</v>
      </c>
      <c r="G1725" s="10" t="s">
        <v>141</v>
      </c>
      <c r="H1725" s="10" t="s">
        <v>2</v>
      </c>
      <c r="I1725" s="11">
        <v>654.84751211881451</v>
      </c>
      <c r="J1725" s="11">
        <v>0</v>
      </c>
      <c r="K1725" s="11">
        <v>654.84751211881451</v>
      </c>
      <c r="L1725" s="12">
        <v>0</v>
      </c>
      <c r="M1725" s="12">
        <v>0</v>
      </c>
      <c r="N1725" s="12">
        <v>654.84751211881451</v>
      </c>
      <c r="O1725" s="70">
        <f>IF(Table1[[#This Row],[Overall amount]]=0,0,1)</f>
        <v>1</v>
      </c>
      <c r="P1725" s="70">
        <f>Table1[[#This Row],[Overall amount]]*Exchange_Rate</f>
        <v>654.84751211881451</v>
      </c>
      <c r="Q1725" s="70">
        <f>Table1[[#This Row],[Overall (destination currency)]]*(1+Claims_Inflation)^((Revalue_at_date-Table1[[#This Row],[Loss date]])/365.25)</f>
        <v>783</v>
      </c>
      <c r="R1725" s="70">
        <f>INT(Table1[[#This Row],[Reporting date]])-INT(Table1[[#This Row],[Loss date]])</f>
        <v>10</v>
      </c>
      <c r="S1725" s="69" t="s">
        <v>9</v>
      </c>
      <c r="T1725" s="70">
        <f>VLOOKUP(Table1[[#This Row],[Policy Year]],exposure_table,3,FALSE)</f>
        <v>870.52680000000009</v>
      </c>
      <c r="U1725" s="17">
        <f>IF(MONTH(Table1[[#This Row],[Reporting date]])&lt;Policy_Inception_Month,YEAR(Table1[[#This Row],[Reporting date]])-1,YEAR(Table1[[#This Row],[Reporting date]]))</f>
        <v>2011</v>
      </c>
      <c r="V1725" s="17">
        <f>Table1[[#This Row],[Reporting year]]-Table1[[#This Row],[Policy Year]]</f>
        <v>0</v>
      </c>
      <c r="W1725" s="17">
        <f>INT(Table1[[#This Row],[Reporting date]])-INT(Table1[[#This Row],[Loss date]])</f>
        <v>10</v>
      </c>
      <c r="X1725" s="17">
        <f>INT((YEAR(Table1[[#This Row],[Loss date]])*12+MONTH(Table1[[#This Row],[Loss date]])-Earliest_Month)/4)</f>
        <v>20</v>
      </c>
      <c r="Y1725" s="17">
        <f>INT((YEAR(Table1[[#This Row],[Reporting date]])*12+MONTH(Table1[[#This Row],[Reporting date]])-Earliest_Month)/4)</f>
        <v>20</v>
      </c>
      <c r="Z1725" s="17">
        <f>Table1[[#This Row],[Reporting third]]-Table1[[#This Row],[Policy third]]</f>
        <v>0</v>
      </c>
      <c r="AA1725" s="71">
        <f>IF(Table1[[#This Row],[Overall amount]]=0,"N/A",Table1[[#This Row],[Outstanding]]/Table1[[#This Row],[Overall amount]])</f>
        <v>0</v>
      </c>
      <c r="AB1725" s="17">
        <f>IF(MONTH(Table1[[#This Row],[Loss date]])&lt;Pol_Inc_Month_Shifted,YEAR(Table1[[#This Row],[Loss date]])-1,YEAR(Table1[[#This Row],[Loss date]]))</f>
        <v>2011</v>
      </c>
      <c r="AC1725" s="17">
        <f>IF(MONTH(Table1[[#This Row],[Reporting date]])&lt;Pol_Inc_Month_Shifted,YEAR(Table1[[#This Row],[Reporting date]])-1,YEAR(Table1[[#This Row],[Reporting date]]))</f>
        <v>2011</v>
      </c>
      <c r="AD1725" s="17">
        <f>Table1[[#This Row],[Reporting year (shifted)]]-Table1[[#This Row],[Policy Year (shifted)]]</f>
        <v>0</v>
      </c>
    </row>
    <row r="1726" spans="1:30" ht="13.9">
      <c r="A1726" s="8" t="s">
        <v>3496</v>
      </c>
      <c r="B1726" s="8" t="s">
        <v>1778</v>
      </c>
      <c r="C1726" s="8" t="s">
        <v>118</v>
      </c>
      <c r="D1726" s="9">
        <v>41073</v>
      </c>
      <c r="E1726" s="9">
        <v>41155</v>
      </c>
      <c r="F1726" s="17">
        <f>IF(MONTH(Table1[[#This Row],[Loss date]])&lt;Policy_Inception_Month,YEAR(Table1[[#This Row],[Loss date]])-1,YEAR(Table1[[#This Row],[Loss date]]))</f>
        <v>2012</v>
      </c>
      <c r="G1726" s="10" t="s">
        <v>119</v>
      </c>
      <c r="H1726" s="10" t="s">
        <v>2</v>
      </c>
      <c r="I1726" s="11">
        <v>1002.1769753570036</v>
      </c>
      <c r="J1726" s="11">
        <v>21472.73990318946</v>
      </c>
      <c r="K1726" s="11">
        <v>22474.916878546464</v>
      </c>
      <c r="L1726" s="12">
        <v>0</v>
      </c>
      <c r="M1726" s="12">
        <v>0</v>
      </c>
      <c r="N1726" s="12">
        <v>22474.916878546464</v>
      </c>
      <c r="O1726" s="70">
        <f>IF(Table1[[#This Row],[Overall amount]]=0,0,1)</f>
        <v>1</v>
      </c>
      <c r="P1726" s="70">
        <f>Table1[[#This Row],[Overall amount]]*Exchange_Rate</f>
        <v>22474.916878546464</v>
      </c>
      <c r="Q1726" s="70">
        <f>Table1[[#This Row],[Overall (destination currency)]]*(1+Claims_Inflation)^((Revalue_at_date-Table1[[#This Row],[Loss date]])/365.25)</f>
        <v>26400.000000000004</v>
      </c>
      <c r="R1726" s="70">
        <f>INT(Table1[[#This Row],[Reporting date]])-INT(Table1[[#This Row],[Loss date]])</f>
        <v>82</v>
      </c>
      <c r="S1726" s="69" t="s">
        <v>16</v>
      </c>
      <c r="T1726" s="70">
        <f>VLOOKUP(Table1[[#This Row],[Policy Year]],exposure_table,3,FALSE)</f>
        <v>1057.54</v>
      </c>
      <c r="U1726" s="17">
        <f>IF(MONTH(Table1[[#This Row],[Reporting date]])&lt;Policy_Inception_Month,YEAR(Table1[[#This Row],[Reporting date]])-1,YEAR(Table1[[#This Row],[Reporting date]]))</f>
        <v>2012</v>
      </c>
      <c r="V1726" s="17">
        <f>Table1[[#This Row],[Reporting year]]-Table1[[#This Row],[Policy Year]]</f>
        <v>0</v>
      </c>
      <c r="W1726" s="17">
        <f>INT(Table1[[#This Row],[Reporting date]])-INT(Table1[[#This Row],[Loss date]])</f>
        <v>82</v>
      </c>
      <c r="X1726" s="17">
        <f>INT((YEAR(Table1[[#This Row],[Loss date]])*12+MONTH(Table1[[#This Row],[Loss date]])-Earliest_Month)/4)</f>
        <v>21</v>
      </c>
      <c r="Y1726" s="17">
        <f>INT((YEAR(Table1[[#This Row],[Reporting date]])*12+MONTH(Table1[[#This Row],[Reporting date]])-Earliest_Month)/4)</f>
        <v>22</v>
      </c>
      <c r="Z1726" s="17">
        <f>Table1[[#This Row],[Reporting third]]-Table1[[#This Row],[Policy third]]</f>
        <v>1</v>
      </c>
      <c r="AA1726" s="71">
        <f>IF(Table1[[#This Row],[Overall amount]]=0,"N/A",Table1[[#This Row],[Outstanding]]/Table1[[#This Row],[Overall amount]])</f>
        <v>0.95540909090909087</v>
      </c>
      <c r="AB1726" s="17">
        <f>IF(MONTH(Table1[[#This Row],[Loss date]])&lt;Pol_Inc_Month_Shifted,YEAR(Table1[[#This Row],[Loss date]])-1,YEAR(Table1[[#This Row],[Loss date]]))</f>
        <v>2011</v>
      </c>
      <c r="AC1726" s="17">
        <f>IF(MONTH(Table1[[#This Row],[Reporting date]])&lt;Pol_Inc_Month_Shifted,YEAR(Table1[[#This Row],[Reporting date]])-1,YEAR(Table1[[#This Row],[Reporting date]]))</f>
        <v>2011</v>
      </c>
      <c r="AD1726" s="17">
        <f>Table1[[#This Row],[Reporting year (shifted)]]-Table1[[#This Row],[Policy Year (shifted)]]</f>
        <v>0</v>
      </c>
    </row>
    <row r="1727" spans="1:30" ht="13.9">
      <c r="A1727" s="8" t="s">
        <v>3497</v>
      </c>
      <c r="B1727" s="8" t="s">
        <v>1779</v>
      </c>
      <c r="C1727" s="8" t="s">
        <v>118</v>
      </c>
      <c r="D1727" s="9">
        <v>41130</v>
      </c>
      <c r="E1727" s="9">
        <v>41155</v>
      </c>
      <c r="F1727" s="17">
        <f>IF(MONTH(Table1[[#This Row],[Loss date]])&lt;Policy_Inception_Month,YEAR(Table1[[#This Row],[Loss date]])-1,YEAR(Table1[[#This Row],[Loss date]]))</f>
        <v>2012</v>
      </c>
      <c r="G1727" s="10" t="s">
        <v>119</v>
      </c>
      <c r="H1727" s="10" t="s">
        <v>2</v>
      </c>
      <c r="I1727" s="11">
        <v>0</v>
      </c>
      <c r="J1727" s="11">
        <v>0</v>
      </c>
      <c r="K1727" s="11">
        <v>0</v>
      </c>
      <c r="L1727" s="12">
        <v>308.8185766995407</v>
      </c>
      <c r="M1727" s="12">
        <v>0</v>
      </c>
      <c r="N1727" s="12">
        <v>308.8185766995407</v>
      </c>
      <c r="O1727" s="70">
        <f>IF(Table1[[#This Row],[Overall amount]]=0,0,1)</f>
        <v>1</v>
      </c>
      <c r="P1727" s="70">
        <f>Table1[[#This Row],[Overall amount]]*Exchange_Rate</f>
        <v>308.8185766995407</v>
      </c>
      <c r="Q1727" s="70">
        <f>Table1[[#This Row],[Overall (destination currency)]]*(1+Claims_Inflation)^((Revalue_at_date-Table1[[#This Row],[Loss date]])/365.25)</f>
        <v>360</v>
      </c>
      <c r="R1727" s="70">
        <f>INT(Table1[[#This Row],[Reporting date]])-INT(Table1[[#This Row],[Loss date]])</f>
        <v>25</v>
      </c>
      <c r="S1727" s="69" t="s">
        <v>9</v>
      </c>
      <c r="T1727" s="70">
        <f>VLOOKUP(Table1[[#This Row],[Policy Year]],exposure_table,3,FALSE)</f>
        <v>1057.54</v>
      </c>
      <c r="U1727" s="17">
        <f>IF(MONTH(Table1[[#This Row],[Reporting date]])&lt;Policy_Inception_Month,YEAR(Table1[[#This Row],[Reporting date]])-1,YEAR(Table1[[#This Row],[Reporting date]]))</f>
        <v>2012</v>
      </c>
      <c r="V1727" s="17">
        <f>Table1[[#This Row],[Reporting year]]-Table1[[#This Row],[Policy Year]]</f>
        <v>0</v>
      </c>
      <c r="W1727" s="17">
        <f>INT(Table1[[#This Row],[Reporting date]])-INT(Table1[[#This Row],[Loss date]])</f>
        <v>25</v>
      </c>
      <c r="X1727" s="17">
        <f>INT((YEAR(Table1[[#This Row],[Loss date]])*12+MONTH(Table1[[#This Row],[Loss date]])-Earliest_Month)/4)</f>
        <v>22</v>
      </c>
      <c r="Y1727" s="17">
        <f>INT((YEAR(Table1[[#This Row],[Reporting date]])*12+MONTH(Table1[[#This Row],[Reporting date]])-Earliest_Month)/4)</f>
        <v>22</v>
      </c>
      <c r="Z1727" s="17">
        <f>Table1[[#This Row],[Reporting third]]-Table1[[#This Row],[Policy third]]</f>
        <v>0</v>
      </c>
      <c r="AA1727" s="71">
        <f>IF(Table1[[#This Row],[Overall amount]]=0,"N/A",Table1[[#This Row],[Outstanding]]/Table1[[#This Row],[Overall amount]])</f>
        <v>0</v>
      </c>
      <c r="AB1727" s="17">
        <f>IF(MONTH(Table1[[#This Row],[Loss date]])&lt;Pol_Inc_Month_Shifted,YEAR(Table1[[#This Row],[Loss date]])-1,YEAR(Table1[[#This Row],[Loss date]]))</f>
        <v>2011</v>
      </c>
      <c r="AC1727" s="17">
        <f>IF(MONTH(Table1[[#This Row],[Reporting date]])&lt;Pol_Inc_Month_Shifted,YEAR(Table1[[#This Row],[Reporting date]])-1,YEAR(Table1[[#This Row],[Reporting date]]))</f>
        <v>2011</v>
      </c>
      <c r="AD1727" s="17">
        <f>Table1[[#This Row],[Reporting year (shifted)]]-Table1[[#This Row],[Policy Year (shifted)]]</f>
        <v>0</v>
      </c>
    </row>
    <row r="1728" spans="1:30" ht="13.9">
      <c r="A1728" s="8" t="s">
        <v>3498</v>
      </c>
      <c r="B1728" s="8" t="s">
        <v>1780</v>
      </c>
      <c r="C1728" s="8" t="s">
        <v>118</v>
      </c>
      <c r="D1728" s="9">
        <v>40894</v>
      </c>
      <c r="E1728" s="9">
        <v>40934</v>
      </c>
      <c r="F1728" s="17">
        <f>IF(MONTH(Table1[[#This Row],[Loss date]])&lt;Policy_Inception_Month,YEAR(Table1[[#This Row],[Loss date]])-1,YEAR(Table1[[#This Row],[Loss date]]))</f>
        <v>2011</v>
      </c>
      <c r="G1728" s="10" t="s">
        <v>121</v>
      </c>
      <c r="H1728" s="10" t="s">
        <v>2</v>
      </c>
      <c r="I1728" s="11">
        <v>192.70730752609174</v>
      </c>
      <c r="J1728" s="11">
        <v>0</v>
      </c>
      <c r="K1728" s="11">
        <v>192.70730752609174</v>
      </c>
      <c r="L1728" s="12">
        <v>0</v>
      </c>
      <c r="M1728" s="12">
        <v>0</v>
      </c>
      <c r="N1728" s="12">
        <v>192.70730752609174</v>
      </c>
      <c r="O1728" s="70">
        <f>IF(Table1[[#This Row],[Overall amount]]=0,0,1)</f>
        <v>1</v>
      </c>
      <c r="P1728" s="70">
        <f>Table1[[#This Row],[Overall amount]]*Exchange_Rate</f>
        <v>192.70730752609174</v>
      </c>
      <c r="Q1728" s="70">
        <f>Table1[[#This Row],[Overall (destination currency)]]*(1+Claims_Inflation)^((Revalue_at_date-Table1[[#This Row],[Loss date]])/365.25)</f>
        <v>231.83999999999997</v>
      </c>
      <c r="R1728" s="70">
        <f>INT(Table1[[#This Row],[Reporting date]])-INT(Table1[[#This Row],[Loss date]])</f>
        <v>40</v>
      </c>
      <c r="S1728" s="69" t="s">
        <v>9</v>
      </c>
      <c r="T1728" s="70">
        <f>VLOOKUP(Table1[[#This Row],[Policy Year]],exposure_table,3,FALSE)</f>
        <v>870.52680000000009</v>
      </c>
      <c r="U1728" s="17">
        <f>IF(MONTH(Table1[[#This Row],[Reporting date]])&lt;Policy_Inception_Month,YEAR(Table1[[#This Row],[Reporting date]])-1,YEAR(Table1[[#This Row],[Reporting date]]))</f>
        <v>2011</v>
      </c>
      <c r="V1728" s="17">
        <f>Table1[[#This Row],[Reporting year]]-Table1[[#This Row],[Policy Year]]</f>
        <v>0</v>
      </c>
      <c r="W1728" s="17">
        <f>INT(Table1[[#This Row],[Reporting date]])-INT(Table1[[#This Row],[Loss date]])</f>
        <v>40</v>
      </c>
      <c r="X1728" s="17">
        <f>INT((YEAR(Table1[[#This Row],[Loss date]])*12+MONTH(Table1[[#This Row],[Loss date]])-Earliest_Month)/4)</f>
        <v>20</v>
      </c>
      <c r="Y1728" s="17">
        <f>INT((YEAR(Table1[[#This Row],[Reporting date]])*12+MONTH(Table1[[#This Row],[Reporting date]])-Earliest_Month)/4)</f>
        <v>20</v>
      </c>
      <c r="Z1728" s="17">
        <f>Table1[[#This Row],[Reporting third]]-Table1[[#This Row],[Policy third]]</f>
        <v>0</v>
      </c>
      <c r="AA1728" s="71">
        <f>IF(Table1[[#This Row],[Overall amount]]=0,"N/A",Table1[[#This Row],[Outstanding]]/Table1[[#This Row],[Overall amount]])</f>
        <v>0</v>
      </c>
      <c r="AB1728" s="17">
        <f>IF(MONTH(Table1[[#This Row],[Loss date]])&lt;Pol_Inc_Month_Shifted,YEAR(Table1[[#This Row],[Loss date]])-1,YEAR(Table1[[#This Row],[Loss date]]))</f>
        <v>2011</v>
      </c>
      <c r="AC1728" s="17">
        <f>IF(MONTH(Table1[[#This Row],[Reporting date]])&lt;Pol_Inc_Month_Shifted,YEAR(Table1[[#This Row],[Reporting date]])-1,YEAR(Table1[[#This Row],[Reporting date]]))</f>
        <v>2011</v>
      </c>
      <c r="AD1728" s="17">
        <f>Table1[[#This Row],[Reporting year (shifted)]]-Table1[[#This Row],[Policy Year (shifted)]]</f>
        <v>0</v>
      </c>
    </row>
    <row r="1729" spans="1:30" ht="13.9">
      <c r="A1729" s="8" t="s">
        <v>3499</v>
      </c>
      <c r="B1729" s="8" t="s">
        <v>1781</v>
      </c>
      <c r="C1729" s="8" t="s">
        <v>118</v>
      </c>
      <c r="D1729" s="9">
        <v>40483</v>
      </c>
      <c r="E1729" s="9">
        <v>41484</v>
      </c>
      <c r="F1729" s="17">
        <f>IF(MONTH(Table1[[#This Row],[Loss date]])&lt;Policy_Inception_Month,YEAR(Table1[[#This Row],[Loss date]])-1,YEAR(Table1[[#This Row],[Loss date]]))</f>
        <v>2010</v>
      </c>
      <c r="G1729" s="10" t="s">
        <v>122</v>
      </c>
      <c r="H1729" s="10" t="s">
        <v>2</v>
      </c>
      <c r="I1729" s="11">
        <v>421.56944352006428</v>
      </c>
      <c r="J1729" s="11">
        <v>0</v>
      </c>
      <c r="K1729" s="11">
        <v>421.56944352006428</v>
      </c>
      <c r="L1729" s="12">
        <v>0</v>
      </c>
      <c r="M1729" s="12">
        <v>0</v>
      </c>
      <c r="N1729" s="12">
        <v>421.56944352006428</v>
      </c>
      <c r="O1729" s="70">
        <f>IF(Table1[[#This Row],[Overall amount]]=0,0,1)</f>
        <v>1</v>
      </c>
      <c r="P1729" s="70">
        <f>Table1[[#This Row],[Overall amount]]*Exchange_Rate</f>
        <v>421.56944352006428</v>
      </c>
      <c r="Q1729" s="70">
        <f>Table1[[#This Row],[Overall (destination currency)]]*(1+Claims_Inflation)^((Revalue_at_date-Table1[[#This Row],[Loss date]])/365.25)</f>
        <v>535.80000000000007</v>
      </c>
      <c r="R1729" s="70">
        <f>INT(Table1[[#This Row],[Reporting date]])-INT(Table1[[#This Row],[Loss date]])</f>
        <v>1001</v>
      </c>
      <c r="S1729" s="69" t="s">
        <v>9</v>
      </c>
      <c r="T1729" s="70">
        <f>VLOOKUP(Table1[[#This Row],[Policy Year]],exposure_table,3,FALSE)</f>
        <v>837.11513600000012</v>
      </c>
      <c r="U1729" s="17">
        <f>IF(MONTH(Table1[[#This Row],[Reporting date]])&lt;Policy_Inception_Month,YEAR(Table1[[#This Row],[Reporting date]])-1,YEAR(Table1[[#This Row],[Reporting date]]))</f>
        <v>2013</v>
      </c>
      <c r="V1729" s="17">
        <f>Table1[[#This Row],[Reporting year]]-Table1[[#This Row],[Policy Year]]</f>
        <v>3</v>
      </c>
      <c r="W1729" s="17">
        <f>INT(Table1[[#This Row],[Reporting date]])-INT(Table1[[#This Row],[Loss date]])</f>
        <v>1001</v>
      </c>
      <c r="X1729" s="17">
        <f>INT((YEAR(Table1[[#This Row],[Loss date]])*12+MONTH(Table1[[#This Row],[Loss date]])-Earliest_Month)/4)</f>
        <v>16</v>
      </c>
      <c r="Y1729" s="17">
        <f>INT((YEAR(Table1[[#This Row],[Reporting date]])*12+MONTH(Table1[[#This Row],[Reporting date]])-Earliest_Month)/4)</f>
        <v>24</v>
      </c>
      <c r="Z1729" s="17">
        <f>Table1[[#This Row],[Reporting third]]-Table1[[#This Row],[Policy third]]</f>
        <v>8</v>
      </c>
      <c r="AA1729" s="71">
        <f>IF(Table1[[#This Row],[Overall amount]]=0,"N/A",Table1[[#This Row],[Outstanding]]/Table1[[#This Row],[Overall amount]])</f>
        <v>0</v>
      </c>
      <c r="AB1729" s="17">
        <f>IF(MONTH(Table1[[#This Row],[Loss date]])&lt;Pol_Inc_Month_Shifted,YEAR(Table1[[#This Row],[Loss date]])-1,YEAR(Table1[[#This Row],[Loss date]]))</f>
        <v>2009</v>
      </c>
      <c r="AC1729" s="17">
        <f>IF(MONTH(Table1[[#This Row],[Reporting date]])&lt;Pol_Inc_Month_Shifted,YEAR(Table1[[#This Row],[Reporting date]])-1,YEAR(Table1[[#This Row],[Reporting date]]))</f>
        <v>2012</v>
      </c>
      <c r="AD1729" s="17">
        <f>Table1[[#This Row],[Reporting year (shifted)]]-Table1[[#This Row],[Policy Year (shifted)]]</f>
        <v>3</v>
      </c>
    </row>
    <row r="1730" spans="1:30" ht="13.9">
      <c r="A1730" s="8" t="s">
        <v>3500</v>
      </c>
      <c r="B1730" s="8" t="s">
        <v>1782</v>
      </c>
      <c r="C1730" s="8" t="s">
        <v>118</v>
      </c>
      <c r="D1730" s="9">
        <v>41677</v>
      </c>
      <c r="E1730" s="9">
        <v>41684</v>
      </c>
      <c r="F1730" s="17">
        <f>IF(MONTH(Table1[[#This Row],[Loss date]])&lt;Policy_Inception_Month,YEAR(Table1[[#This Row],[Loss date]])-1,YEAR(Table1[[#This Row],[Loss date]]))</f>
        <v>2013</v>
      </c>
      <c r="G1730" s="10" t="s">
        <v>120</v>
      </c>
      <c r="H1730" s="10" t="s">
        <v>2</v>
      </c>
      <c r="I1730" s="11">
        <v>0</v>
      </c>
      <c r="J1730" s="11">
        <v>0</v>
      </c>
      <c r="K1730" s="11">
        <v>0</v>
      </c>
      <c r="L1730" s="12">
        <v>0</v>
      </c>
      <c r="M1730" s="12">
        <v>0</v>
      </c>
      <c r="N1730" s="12">
        <v>0</v>
      </c>
      <c r="O1730" s="70">
        <f>IF(Table1[[#This Row],[Overall amount]]=0,0,1)</f>
        <v>0</v>
      </c>
      <c r="P1730" s="70">
        <f>Table1[[#This Row],[Overall amount]]*Exchange_Rate</f>
        <v>0</v>
      </c>
      <c r="Q1730" s="70">
        <f>Table1[[#This Row],[Overall (destination currency)]]*(1+Claims_Inflation)^((Revalue_at_date-Table1[[#This Row],[Loss date]])/365.25)</f>
        <v>0</v>
      </c>
      <c r="R1730" s="70">
        <f>INT(Table1[[#This Row],[Reporting date]])-INT(Table1[[#This Row],[Loss date]])</f>
        <v>7</v>
      </c>
      <c r="S1730" s="69" t="s">
        <v>9</v>
      </c>
      <c r="T1730" s="70">
        <f>VLOOKUP(Table1[[#This Row],[Policy Year]],exposure_table,3,FALSE)</f>
        <v>1090.5865384615383</v>
      </c>
      <c r="U1730" s="17">
        <f>IF(MONTH(Table1[[#This Row],[Reporting date]])&lt;Policy_Inception_Month,YEAR(Table1[[#This Row],[Reporting date]])-1,YEAR(Table1[[#This Row],[Reporting date]]))</f>
        <v>2013</v>
      </c>
      <c r="V1730" s="17">
        <f>Table1[[#This Row],[Reporting year]]-Table1[[#This Row],[Policy Year]]</f>
        <v>0</v>
      </c>
      <c r="W1730" s="17">
        <f>INT(Table1[[#This Row],[Reporting date]])-INT(Table1[[#This Row],[Loss date]])</f>
        <v>7</v>
      </c>
      <c r="X1730" s="17">
        <f>INT((YEAR(Table1[[#This Row],[Loss date]])*12+MONTH(Table1[[#This Row],[Loss date]])-Earliest_Month)/4)</f>
        <v>26</v>
      </c>
      <c r="Y1730" s="17">
        <f>INT((YEAR(Table1[[#This Row],[Reporting date]])*12+MONTH(Table1[[#This Row],[Reporting date]])-Earliest_Month)/4)</f>
        <v>26</v>
      </c>
      <c r="Z1730" s="17">
        <f>Table1[[#This Row],[Reporting third]]-Table1[[#This Row],[Policy third]]</f>
        <v>0</v>
      </c>
      <c r="AA1730" s="71" t="str">
        <f>IF(Table1[[#This Row],[Overall amount]]=0,"N/A",Table1[[#This Row],[Outstanding]]/Table1[[#This Row],[Overall amount]])</f>
        <v>N/A</v>
      </c>
      <c r="AB1730" s="17">
        <f>IF(MONTH(Table1[[#This Row],[Loss date]])&lt;Pol_Inc_Month_Shifted,YEAR(Table1[[#This Row],[Loss date]])-1,YEAR(Table1[[#This Row],[Loss date]]))</f>
        <v>2013</v>
      </c>
      <c r="AC1730" s="17">
        <f>IF(MONTH(Table1[[#This Row],[Reporting date]])&lt;Pol_Inc_Month_Shifted,YEAR(Table1[[#This Row],[Reporting date]])-1,YEAR(Table1[[#This Row],[Reporting date]]))</f>
        <v>2013</v>
      </c>
      <c r="AD1730" s="17">
        <f>Table1[[#This Row],[Reporting year (shifted)]]-Table1[[#This Row],[Policy Year (shifted)]]</f>
        <v>0</v>
      </c>
    </row>
    <row r="3443" spans="1:1">
      <c r="A3443"/>
    </row>
    <row r="3444" spans="1:1">
      <c r="A3444"/>
    </row>
    <row r="3445" spans="1:1">
      <c r="A3445"/>
    </row>
    <row r="3446" spans="1:1">
      <c r="A3446"/>
    </row>
    <row r="3447" spans="1:1">
      <c r="A3447"/>
    </row>
    <row r="3448" spans="1:1">
      <c r="A3448"/>
    </row>
    <row r="3449" spans="1:1">
      <c r="A3449"/>
    </row>
  </sheetData>
  <sortState xmlns:xlrd2="http://schemas.microsoft.com/office/spreadsheetml/2017/richdata2" ref="A11:AF1728">
    <sortCondition ref="D11:D1728"/>
  </sortState>
  <phoneticPr fontId="76" type="noConversion"/>
  <pageMargins left="0.75" right="0.75" top="1" bottom="1" header="0.5" footer="0.5"/>
  <pageSetup orientation="portrait" horizontalDpi="300"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Y88"/>
  <sheetViews>
    <sheetView showGridLines="0" topLeftCell="A58" workbookViewId="0">
      <selection activeCell="J55" sqref="J55"/>
    </sheetView>
  </sheetViews>
  <sheetFormatPr defaultRowHeight="12.75"/>
  <cols>
    <col min="1" max="1" width="10.6640625" customWidth="1"/>
    <col min="2" max="2" width="10.46484375" customWidth="1"/>
    <col min="3" max="3" width="9.1328125" customWidth="1"/>
    <col min="14" max="14" width="10.6640625" bestFit="1" customWidth="1"/>
    <col min="15" max="15" width="9" customWidth="1"/>
  </cols>
  <sheetData>
    <row r="1" spans="1:14" ht="13.15">
      <c r="A1" s="105" t="s">
        <v>3605</v>
      </c>
    </row>
    <row r="4" spans="1:14" ht="18.399999999999999">
      <c r="A4" s="73" t="s">
        <v>3582</v>
      </c>
      <c r="N4" s="73" t="s">
        <v>3583</v>
      </c>
    </row>
    <row r="7" spans="1:14" ht="15.75">
      <c r="A7" s="24" t="s">
        <v>3515</v>
      </c>
      <c r="N7" s="24" t="s">
        <v>3515</v>
      </c>
    </row>
    <row r="9" spans="1:14">
      <c r="F9" s="22" t="s">
        <v>3513</v>
      </c>
    </row>
    <row r="10" spans="1:14" ht="13.15">
      <c r="A10" s="72" t="s">
        <v>114</v>
      </c>
      <c r="B10" s="72">
        <v>0</v>
      </c>
      <c r="C10" s="72">
        <v>1</v>
      </c>
      <c r="D10" s="72">
        <v>2</v>
      </c>
      <c r="E10" s="72">
        <v>3</v>
      </c>
      <c r="F10" s="72">
        <v>4</v>
      </c>
      <c r="G10" s="72">
        <v>5</v>
      </c>
      <c r="H10" s="72">
        <v>6</v>
      </c>
      <c r="I10" s="72">
        <v>7</v>
      </c>
      <c r="J10" s="72">
        <v>8</v>
      </c>
      <c r="K10" s="72">
        <v>9</v>
      </c>
      <c r="L10" s="21"/>
      <c r="N10" s="22" t="s">
        <v>3571</v>
      </c>
    </row>
    <row r="11" spans="1:14" ht="13.15">
      <c r="A11" s="21">
        <f>Earliest_Year</f>
        <v>2005</v>
      </c>
      <c r="B11">
        <f>IF($A11+B$10&gt;Latest_Year,"",SUMIFS(Table1[Non-zero? (1=Yes)],Table1[Policy Year],"="&amp;'3. Projection - Methods 1 and 2'!$A11,Table1[Delay (years)],"="&amp;'3. Projection - Methods 1 and 2'!B$10))</f>
        <v>50</v>
      </c>
      <c r="C11">
        <f>IF($A11+C$10&gt;Latest_Year,"",SUMIFS(Table1[Non-zero? (1=Yes)],Table1[Policy Year],"="&amp;'3. Projection - Methods 1 and 2'!$A11,Table1[Delay (years)],"="&amp;'3. Projection - Methods 1 and 2'!C$10))</f>
        <v>26</v>
      </c>
      <c r="D11">
        <f>IF($A11+D$10&gt;Latest_Year,"",SUMIFS(Table1[Non-zero? (1=Yes)],Table1[Policy Year],"="&amp;'3. Projection - Methods 1 and 2'!$A11,Table1[Delay (years)],"="&amp;'3. Projection - Methods 1 and 2'!D$10))</f>
        <v>5</v>
      </c>
      <c r="E11">
        <f>IF($A11+E$10&gt;Latest_Year,"",SUMIFS(Table1[Non-zero? (1=Yes)],Table1[Policy Year],"="&amp;'3. Projection - Methods 1 and 2'!$A11,Table1[Delay (years)],"="&amp;'3. Projection - Methods 1 and 2'!E$10))</f>
        <v>3</v>
      </c>
      <c r="F11">
        <f>IF($A11+F$10&gt;Latest_Year,"",SUMIFS(Table1[Non-zero? (1=Yes)],Table1[Policy Year],"="&amp;'3. Projection - Methods 1 and 2'!$A11,Table1[Delay (years)],"="&amp;'3. Projection - Methods 1 and 2'!F$10))</f>
        <v>2</v>
      </c>
      <c r="G11">
        <f>IF($A11+G$10&gt;Latest_Year,"",SUMIFS(Table1[Non-zero? (1=Yes)],Table1[Policy Year],"="&amp;'3. Projection - Methods 1 and 2'!$A11,Table1[Delay (years)],"="&amp;'3. Projection - Methods 1 and 2'!G$10))</f>
        <v>0</v>
      </c>
      <c r="H11">
        <f>IF($A11+H$10&gt;Latest_Year,"",SUMIFS(Table1[Non-zero? (1=Yes)],Table1[Policy Year],"="&amp;'3. Projection - Methods 1 and 2'!$A11,Table1[Delay (years)],"="&amp;'3. Projection - Methods 1 and 2'!H$10))</f>
        <v>0</v>
      </c>
      <c r="I11">
        <f>IF($A11+I$10&gt;Latest_Year,"",SUMIFS(Table1[Non-zero? (1=Yes)],Table1[Policy Year],"="&amp;'3. Projection - Methods 1 and 2'!$A11,Table1[Delay (years)],"="&amp;'3. Projection - Methods 1 and 2'!I$10))</f>
        <v>0</v>
      </c>
      <c r="J11">
        <f>IF($A11+J$10&gt;Latest_Year,"",SUMIFS(Table1[Non-zero? (1=Yes)],Table1[Policy Year],"="&amp;'3. Projection - Methods 1 and 2'!$A11,Table1[Delay (years)],"="&amp;'3. Projection - Methods 1 and 2'!J$10))</f>
        <v>0</v>
      </c>
      <c r="K11">
        <f>IF($A11+K$10&gt;Latest_Year,"",SUMIFS(Table1[Non-zero? (1=Yes)],Table1[Policy Year],"="&amp;'3. Projection - Methods 1 and 2'!$A11,Table1[Delay (years)],"="&amp;'3. Projection - Methods 1 and 2'!K$10))</f>
        <v>0</v>
      </c>
    </row>
    <row r="12" spans="1:14" ht="13.15">
      <c r="A12" s="21">
        <f>A11+1</f>
        <v>2006</v>
      </c>
      <c r="B12">
        <f>IF($A12+B$10&gt;Latest_Year,"",SUMIFS(Table1[Non-zero? (1=Yes)],Table1[Policy Year],"="&amp;'3. Projection - Methods 1 and 2'!$A12,Table1[Delay (years)],"="&amp;'3. Projection - Methods 1 and 2'!B$10))</f>
        <v>41</v>
      </c>
      <c r="C12">
        <f>IF($A12+C$10&gt;Latest_Year,"",SUMIFS(Table1[Non-zero? (1=Yes)],Table1[Policy Year],"="&amp;'3. Projection - Methods 1 and 2'!$A12,Table1[Delay (years)],"="&amp;'3. Projection - Methods 1 and 2'!C$10))</f>
        <v>28</v>
      </c>
      <c r="D12">
        <f>IF($A12+D$10&gt;Latest_Year,"",SUMIFS(Table1[Non-zero? (1=Yes)],Table1[Policy Year],"="&amp;'3. Projection - Methods 1 and 2'!$A12,Table1[Delay (years)],"="&amp;'3. Projection - Methods 1 and 2'!D$10))</f>
        <v>13</v>
      </c>
      <c r="E12">
        <f>IF($A12+E$10&gt;Latest_Year,"",SUMIFS(Table1[Non-zero? (1=Yes)],Table1[Policy Year],"="&amp;'3. Projection - Methods 1 and 2'!$A12,Table1[Delay (years)],"="&amp;'3. Projection - Methods 1 and 2'!E$10))</f>
        <v>6</v>
      </c>
      <c r="F12">
        <f>IF($A12+F$10&gt;Latest_Year,"",SUMIFS(Table1[Non-zero? (1=Yes)],Table1[Policy Year],"="&amp;'3. Projection - Methods 1 and 2'!$A12,Table1[Delay (years)],"="&amp;'3. Projection - Methods 1 and 2'!F$10))</f>
        <v>4</v>
      </c>
      <c r="G12">
        <f>IF($A12+G$10&gt;Latest_Year,"",SUMIFS(Table1[Non-zero? (1=Yes)],Table1[Policy Year],"="&amp;'3. Projection - Methods 1 and 2'!$A12,Table1[Delay (years)],"="&amp;'3. Projection - Methods 1 and 2'!G$10))</f>
        <v>0</v>
      </c>
      <c r="H12">
        <f>IF($A12+H$10&gt;Latest_Year,"",SUMIFS(Table1[Non-zero? (1=Yes)],Table1[Policy Year],"="&amp;'3. Projection - Methods 1 and 2'!$A12,Table1[Delay (years)],"="&amp;'3. Projection - Methods 1 and 2'!H$10))</f>
        <v>0</v>
      </c>
      <c r="I12">
        <f>IF($A12+I$10&gt;Latest_Year,"",SUMIFS(Table1[Non-zero? (1=Yes)],Table1[Policy Year],"="&amp;'3. Projection - Methods 1 and 2'!$A12,Table1[Delay (years)],"="&amp;'3. Projection - Methods 1 and 2'!I$10))</f>
        <v>0</v>
      </c>
      <c r="J12">
        <f>IF($A12+J$10&gt;Latest_Year,"",SUMIFS(Table1[Non-zero? (1=Yes)],Table1[Policy Year],"="&amp;'3. Projection - Methods 1 and 2'!$A12,Table1[Delay (years)],"="&amp;'3. Projection - Methods 1 and 2'!J$10))</f>
        <v>0</v>
      </c>
      <c r="K12" t="str">
        <f>IF($A12+K$10&gt;Latest_Year,"",SUMIFS(Table1[Non-zero? (1=Yes)],Table1[Policy Year],"="&amp;'3. Projection - Methods 1 and 2'!$A12,Table1[Delay (years)],"="&amp;'3. Projection - Methods 1 and 2'!K$10))</f>
        <v/>
      </c>
    </row>
    <row r="13" spans="1:14" ht="13.15">
      <c r="A13" s="21">
        <f t="shared" ref="A13:A20" si="0">A12+1</f>
        <v>2007</v>
      </c>
      <c r="B13">
        <f>IF($A13+B$10&gt;Latest_Year,"",SUMIFS(Table1[Non-zero? (1=Yes)],Table1[Policy Year],"="&amp;'3. Projection - Methods 1 and 2'!$A13,Table1[Delay (years)],"="&amp;'3. Projection - Methods 1 and 2'!B$10))</f>
        <v>65</v>
      </c>
      <c r="C13">
        <f>IF($A13+C$10&gt;Latest_Year,"",SUMIFS(Table1[Non-zero? (1=Yes)],Table1[Policy Year],"="&amp;'3. Projection - Methods 1 and 2'!$A13,Table1[Delay (years)],"="&amp;'3. Projection - Methods 1 and 2'!C$10))</f>
        <v>33</v>
      </c>
      <c r="D13">
        <f>IF($A13+D$10&gt;Latest_Year,"",SUMIFS(Table1[Non-zero? (1=Yes)],Table1[Policy Year],"="&amp;'3. Projection - Methods 1 and 2'!$A13,Table1[Delay (years)],"="&amp;'3. Projection - Methods 1 and 2'!D$10))</f>
        <v>10</v>
      </c>
      <c r="E13">
        <f>IF($A13+E$10&gt;Latest_Year,"",SUMIFS(Table1[Non-zero? (1=Yes)],Table1[Policy Year],"="&amp;'3. Projection - Methods 1 and 2'!$A13,Table1[Delay (years)],"="&amp;'3. Projection - Methods 1 and 2'!E$10))</f>
        <v>2</v>
      </c>
      <c r="F13">
        <f>IF($A13+F$10&gt;Latest_Year,"",SUMIFS(Table1[Non-zero? (1=Yes)],Table1[Policy Year],"="&amp;'3. Projection - Methods 1 and 2'!$A13,Table1[Delay (years)],"="&amp;'3. Projection - Methods 1 and 2'!F$10))</f>
        <v>0</v>
      </c>
      <c r="G13">
        <f>IF($A13+G$10&gt;Latest_Year,"",SUMIFS(Table1[Non-zero? (1=Yes)],Table1[Policy Year],"="&amp;'3. Projection - Methods 1 and 2'!$A13,Table1[Delay (years)],"="&amp;'3. Projection - Methods 1 and 2'!G$10))</f>
        <v>0</v>
      </c>
      <c r="H13">
        <f>IF($A13+H$10&gt;Latest_Year,"",SUMIFS(Table1[Non-zero? (1=Yes)],Table1[Policy Year],"="&amp;'3. Projection - Methods 1 and 2'!$A13,Table1[Delay (years)],"="&amp;'3. Projection - Methods 1 and 2'!H$10))</f>
        <v>0</v>
      </c>
      <c r="I13">
        <f>IF($A13+I$10&gt;Latest_Year,"",SUMIFS(Table1[Non-zero? (1=Yes)],Table1[Policy Year],"="&amp;'3. Projection - Methods 1 and 2'!$A13,Table1[Delay (years)],"="&amp;'3. Projection - Methods 1 and 2'!I$10))</f>
        <v>0</v>
      </c>
      <c r="J13" t="str">
        <f>IF($A13+J$10&gt;Latest_Year,"",SUMIFS(Table1[Non-zero? (1=Yes)],Table1[Policy Year],"="&amp;'3. Projection - Methods 1 and 2'!$A13,Table1[Delay (years)],"="&amp;'3. Projection - Methods 1 and 2'!J$10))</f>
        <v/>
      </c>
      <c r="K13" t="str">
        <f>IF($A13+K$10&gt;Latest_Year,"",SUMIFS(Table1[Non-zero? (1=Yes)],Table1[Policy Year],"="&amp;'3. Projection - Methods 1 and 2'!$A13,Table1[Delay (years)],"="&amp;'3. Projection - Methods 1 and 2'!K$10))</f>
        <v/>
      </c>
    </row>
    <row r="14" spans="1:14" ht="13.15">
      <c r="A14" s="21">
        <f t="shared" si="0"/>
        <v>2008</v>
      </c>
      <c r="B14">
        <f>IF($A14+B$10&gt;Latest_Year,"",SUMIFS(Table1[Non-zero? (1=Yes)],Table1[Policy Year],"="&amp;'3. Projection - Methods 1 and 2'!$A14,Table1[Delay (years)],"="&amp;'3. Projection - Methods 1 and 2'!B$10))</f>
        <v>83</v>
      </c>
      <c r="C14">
        <f>IF($A14+C$10&gt;Latest_Year,"",SUMIFS(Table1[Non-zero? (1=Yes)],Table1[Policy Year],"="&amp;'3. Projection - Methods 1 and 2'!$A14,Table1[Delay (years)],"="&amp;'3. Projection - Methods 1 and 2'!C$10))</f>
        <v>47</v>
      </c>
      <c r="D14">
        <f>IF($A14+D$10&gt;Latest_Year,"",SUMIFS(Table1[Non-zero? (1=Yes)],Table1[Policy Year],"="&amp;'3. Projection - Methods 1 and 2'!$A14,Table1[Delay (years)],"="&amp;'3. Projection - Methods 1 and 2'!D$10))</f>
        <v>8</v>
      </c>
      <c r="E14">
        <f>IF($A14+E$10&gt;Latest_Year,"",SUMIFS(Table1[Non-zero? (1=Yes)],Table1[Policy Year],"="&amp;'3. Projection - Methods 1 and 2'!$A14,Table1[Delay (years)],"="&amp;'3. Projection - Methods 1 and 2'!E$10))</f>
        <v>6</v>
      </c>
      <c r="F14">
        <f>IF($A14+F$10&gt;Latest_Year,"",SUMIFS(Table1[Non-zero? (1=Yes)],Table1[Policy Year],"="&amp;'3. Projection - Methods 1 and 2'!$A14,Table1[Delay (years)],"="&amp;'3. Projection - Methods 1 and 2'!F$10))</f>
        <v>1</v>
      </c>
      <c r="G14">
        <f>IF($A14+G$10&gt;Latest_Year,"",SUMIFS(Table1[Non-zero? (1=Yes)],Table1[Policy Year],"="&amp;'3. Projection - Methods 1 and 2'!$A14,Table1[Delay (years)],"="&amp;'3. Projection - Methods 1 and 2'!G$10))</f>
        <v>0</v>
      </c>
      <c r="H14">
        <f>IF($A14+H$10&gt;Latest_Year,"",SUMIFS(Table1[Non-zero? (1=Yes)],Table1[Policy Year],"="&amp;'3. Projection - Methods 1 and 2'!$A14,Table1[Delay (years)],"="&amp;'3. Projection - Methods 1 and 2'!H$10))</f>
        <v>1</v>
      </c>
      <c r="I14" t="str">
        <f>IF($A14+I$10&gt;Latest_Year,"",SUMIFS(Table1[Non-zero? (1=Yes)],Table1[Policy Year],"="&amp;'3. Projection - Methods 1 and 2'!$A14,Table1[Delay (years)],"="&amp;'3. Projection - Methods 1 and 2'!I$10))</f>
        <v/>
      </c>
      <c r="J14" t="str">
        <f>IF($A14+J$10&gt;Latest_Year,"",SUMIFS(Table1[Non-zero? (1=Yes)],Table1[Policy Year],"="&amp;'3. Projection - Methods 1 and 2'!$A14,Table1[Delay (years)],"="&amp;'3. Projection - Methods 1 and 2'!J$10))</f>
        <v/>
      </c>
      <c r="K14" t="str">
        <f>IF($A14+K$10&gt;Latest_Year,"",SUMIFS(Table1[Non-zero? (1=Yes)],Table1[Policy Year],"="&amp;'3. Projection - Methods 1 and 2'!$A14,Table1[Delay (years)],"="&amp;'3. Projection - Methods 1 and 2'!K$10))</f>
        <v/>
      </c>
    </row>
    <row r="15" spans="1:14" ht="13.15">
      <c r="A15" s="21">
        <f t="shared" si="0"/>
        <v>2009</v>
      </c>
      <c r="B15">
        <f>IF($A15+B$10&gt;Latest_Year,"",SUMIFS(Table1[Non-zero? (1=Yes)],Table1[Policy Year],"="&amp;'3. Projection - Methods 1 and 2'!$A15,Table1[Delay (years)],"="&amp;'3. Projection - Methods 1 and 2'!B$10))</f>
        <v>120</v>
      </c>
      <c r="C15">
        <f>IF($A15+C$10&gt;Latest_Year,"",SUMIFS(Table1[Non-zero? (1=Yes)],Table1[Policy Year],"="&amp;'3. Projection - Methods 1 and 2'!$A15,Table1[Delay (years)],"="&amp;'3. Projection - Methods 1 and 2'!C$10))</f>
        <v>45</v>
      </c>
      <c r="D15">
        <f>IF($A15+D$10&gt;Latest_Year,"",SUMIFS(Table1[Non-zero? (1=Yes)],Table1[Policy Year],"="&amp;'3. Projection - Methods 1 and 2'!$A15,Table1[Delay (years)],"="&amp;'3. Projection - Methods 1 and 2'!D$10))</f>
        <v>16</v>
      </c>
      <c r="E15">
        <f>IF($A15+E$10&gt;Latest_Year,"",SUMIFS(Table1[Non-zero? (1=Yes)],Table1[Policy Year],"="&amp;'3. Projection - Methods 1 and 2'!$A15,Table1[Delay (years)],"="&amp;'3. Projection - Methods 1 and 2'!E$10))</f>
        <v>9</v>
      </c>
      <c r="F15">
        <f>IF($A15+F$10&gt;Latest_Year,"",SUMIFS(Table1[Non-zero? (1=Yes)],Table1[Policy Year],"="&amp;'3. Projection - Methods 1 and 2'!$A15,Table1[Delay (years)],"="&amp;'3. Projection - Methods 1 and 2'!F$10))</f>
        <v>2</v>
      </c>
      <c r="G15">
        <f>IF($A15+G$10&gt;Latest_Year,"",SUMIFS(Table1[Non-zero? (1=Yes)],Table1[Policy Year],"="&amp;'3. Projection - Methods 1 and 2'!$A15,Table1[Delay (years)],"="&amp;'3. Projection - Methods 1 and 2'!G$10))</f>
        <v>2</v>
      </c>
      <c r="H15" t="str">
        <f>IF($A15+H$10&gt;Latest_Year,"",SUMIFS(Table1[Non-zero? (1=Yes)],Table1[Policy Year],"="&amp;'3. Projection - Methods 1 and 2'!$A15,Table1[Delay (years)],"="&amp;'3. Projection - Methods 1 and 2'!H$10))</f>
        <v/>
      </c>
      <c r="I15" t="str">
        <f>IF($A15+I$10&gt;Latest_Year,"",SUMIFS(Table1[Non-zero? (1=Yes)],Table1[Policy Year],"="&amp;'3. Projection - Methods 1 and 2'!$A15,Table1[Delay (years)],"="&amp;'3. Projection - Methods 1 and 2'!I$10))</f>
        <v/>
      </c>
      <c r="J15" t="str">
        <f>IF($A15+J$10&gt;Latest_Year,"",SUMIFS(Table1[Non-zero? (1=Yes)],Table1[Policy Year],"="&amp;'3. Projection - Methods 1 and 2'!$A15,Table1[Delay (years)],"="&amp;'3. Projection - Methods 1 and 2'!J$10))</f>
        <v/>
      </c>
      <c r="K15" t="str">
        <f>IF($A15+K$10&gt;Latest_Year,"",SUMIFS(Table1[Non-zero? (1=Yes)],Table1[Policy Year],"="&amp;'3. Projection - Methods 1 and 2'!$A15,Table1[Delay (years)],"="&amp;'3. Projection - Methods 1 and 2'!K$10))</f>
        <v/>
      </c>
    </row>
    <row r="16" spans="1:14" ht="13.15">
      <c r="A16" s="21">
        <f t="shared" si="0"/>
        <v>2010</v>
      </c>
      <c r="B16">
        <f>IF($A16+B$10&gt;Latest_Year,"",SUMIFS(Table1[Non-zero? (1=Yes)],Table1[Policy Year],"="&amp;'3. Projection - Methods 1 and 2'!$A16,Table1[Delay (years)],"="&amp;'3. Projection - Methods 1 and 2'!B$10))</f>
        <v>149</v>
      </c>
      <c r="C16">
        <f>IF($A16+C$10&gt;Latest_Year,"",SUMIFS(Table1[Non-zero? (1=Yes)],Table1[Policy Year],"="&amp;'3. Projection - Methods 1 and 2'!$A16,Table1[Delay (years)],"="&amp;'3. Projection - Methods 1 and 2'!C$10))</f>
        <v>77</v>
      </c>
      <c r="D16">
        <f>IF($A16+D$10&gt;Latest_Year,"",SUMIFS(Table1[Non-zero? (1=Yes)],Table1[Policy Year],"="&amp;'3. Projection - Methods 1 and 2'!$A16,Table1[Delay (years)],"="&amp;'3. Projection - Methods 1 and 2'!D$10))</f>
        <v>20</v>
      </c>
      <c r="E16">
        <f>IF($A16+E$10&gt;Latest_Year,"",SUMIFS(Table1[Non-zero? (1=Yes)],Table1[Policy Year],"="&amp;'3. Projection - Methods 1 and 2'!$A16,Table1[Delay (years)],"="&amp;'3. Projection - Methods 1 and 2'!E$10))</f>
        <v>7</v>
      </c>
      <c r="F16">
        <f>IF($A16+F$10&gt;Latest_Year,"",SUMIFS(Table1[Non-zero? (1=Yes)],Table1[Policy Year],"="&amp;'3. Projection - Methods 1 and 2'!$A16,Table1[Delay (years)],"="&amp;'3. Projection - Methods 1 and 2'!F$10))</f>
        <v>3</v>
      </c>
      <c r="G16" t="str">
        <f>IF($A16+G$10&gt;Latest_Year,"",SUMIFS(Table1[Non-zero? (1=Yes)],Table1[Policy Year],"="&amp;'3. Projection - Methods 1 and 2'!$A16,Table1[Delay (years)],"="&amp;'3. Projection - Methods 1 and 2'!G$10))</f>
        <v/>
      </c>
      <c r="H16" t="str">
        <f>IF($A16+H$10&gt;Latest_Year,"",SUMIFS(Table1[Non-zero? (1=Yes)],Table1[Policy Year],"="&amp;'3. Projection - Methods 1 and 2'!$A16,Table1[Delay (years)],"="&amp;'3. Projection - Methods 1 and 2'!H$10))</f>
        <v/>
      </c>
      <c r="I16" t="str">
        <f>IF($A16+I$10&gt;Latest_Year,"",SUMIFS(Table1[Non-zero? (1=Yes)],Table1[Policy Year],"="&amp;'3. Projection - Methods 1 and 2'!$A16,Table1[Delay (years)],"="&amp;'3. Projection - Methods 1 and 2'!I$10))</f>
        <v/>
      </c>
      <c r="J16" t="str">
        <f>IF($A16+J$10&gt;Latest_Year,"",SUMIFS(Table1[Non-zero? (1=Yes)],Table1[Policy Year],"="&amp;'3. Projection - Methods 1 and 2'!$A16,Table1[Delay (years)],"="&amp;'3. Projection - Methods 1 and 2'!J$10))</f>
        <v/>
      </c>
      <c r="K16" t="str">
        <f>IF($A16+K$10&gt;Latest_Year,"",SUMIFS(Table1[Non-zero? (1=Yes)],Table1[Policy Year],"="&amp;'3. Projection - Methods 1 and 2'!$A16,Table1[Delay (years)],"="&amp;'3. Projection - Methods 1 and 2'!K$10))</f>
        <v/>
      </c>
    </row>
    <row r="17" spans="1:24" ht="13.15">
      <c r="A17" s="21">
        <f t="shared" si="0"/>
        <v>2011</v>
      </c>
      <c r="B17">
        <f>IF($A17+B$10&gt;Latest_Year,"",SUMIFS(Table1[Non-zero? (1=Yes)],Table1[Policy Year],"="&amp;'3. Projection - Methods 1 and 2'!$A17,Table1[Delay (years)],"="&amp;'3. Projection - Methods 1 and 2'!B$10))</f>
        <v>158</v>
      </c>
      <c r="C17">
        <f>IF($A17+C$10&gt;Latest_Year,"",SUMIFS(Table1[Non-zero? (1=Yes)],Table1[Policy Year],"="&amp;'3. Projection - Methods 1 and 2'!$A17,Table1[Delay (years)],"="&amp;'3. Projection - Methods 1 and 2'!C$10))</f>
        <v>64</v>
      </c>
      <c r="D17">
        <f>IF($A17+D$10&gt;Latest_Year,"",SUMIFS(Table1[Non-zero? (1=Yes)],Table1[Policy Year],"="&amp;'3. Projection - Methods 1 and 2'!$A17,Table1[Delay (years)],"="&amp;'3. Projection - Methods 1 and 2'!D$10))</f>
        <v>19</v>
      </c>
      <c r="E17">
        <f>IF($A17+E$10&gt;Latest_Year,"",SUMIFS(Table1[Non-zero? (1=Yes)],Table1[Policy Year],"="&amp;'3. Projection - Methods 1 and 2'!$A17,Table1[Delay (years)],"="&amp;'3. Projection - Methods 1 and 2'!E$10))</f>
        <v>9</v>
      </c>
      <c r="F17" t="str">
        <f>IF($A17+F$10&gt;Latest_Year,"",SUMIFS(Table1[Non-zero? (1=Yes)],Table1[Policy Year],"="&amp;'3. Projection - Methods 1 and 2'!$A17,Table1[Delay (years)],"="&amp;'3. Projection - Methods 1 and 2'!F$10))</f>
        <v/>
      </c>
      <c r="G17" t="str">
        <f>IF($A17+G$10&gt;Latest_Year,"",SUMIFS(Table1[Non-zero? (1=Yes)],Table1[Policy Year],"="&amp;'3. Projection - Methods 1 and 2'!$A17,Table1[Delay (years)],"="&amp;'3. Projection - Methods 1 and 2'!G$10))</f>
        <v/>
      </c>
      <c r="H17" t="str">
        <f>IF($A17+H$10&gt;Latest_Year,"",SUMIFS(Table1[Non-zero? (1=Yes)],Table1[Policy Year],"="&amp;'3. Projection - Methods 1 and 2'!$A17,Table1[Delay (years)],"="&amp;'3. Projection - Methods 1 and 2'!H$10))</f>
        <v/>
      </c>
      <c r="I17" t="str">
        <f>IF($A17+I$10&gt;Latest_Year,"",SUMIFS(Table1[Non-zero? (1=Yes)],Table1[Policy Year],"="&amp;'3. Projection - Methods 1 and 2'!$A17,Table1[Delay (years)],"="&amp;'3. Projection - Methods 1 and 2'!I$10))</f>
        <v/>
      </c>
      <c r="J17" t="str">
        <f>IF($A17+J$10&gt;Latest_Year,"",SUMIFS(Table1[Non-zero? (1=Yes)],Table1[Policy Year],"="&amp;'3. Projection - Methods 1 and 2'!$A17,Table1[Delay (years)],"="&amp;'3. Projection - Methods 1 and 2'!J$10))</f>
        <v/>
      </c>
      <c r="K17" t="str">
        <f>IF($A17+K$10&gt;Latest_Year,"",SUMIFS(Table1[Non-zero? (1=Yes)],Table1[Policy Year],"="&amp;'3. Projection - Methods 1 and 2'!$A17,Table1[Delay (years)],"="&amp;'3. Projection - Methods 1 and 2'!K$10))</f>
        <v/>
      </c>
    </row>
    <row r="18" spans="1:24" ht="13.15">
      <c r="A18" s="21">
        <f t="shared" si="0"/>
        <v>2012</v>
      </c>
      <c r="B18">
        <f>IF($A18+B$10&gt;Latest_Year,"",SUMIFS(Table1[Non-zero? (1=Yes)],Table1[Policy Year],"="&amp;'3. Projection - Methods 1 and 2'!$A18,Table1[Delay (years)],"="&amp;'3. Projection - Methods 1 and 2'!B$10))</f>
        <v>96</v>
      </c>
      <c r="C18">
        <f>IF($A18+C$10&gt;Latest_Year,"",SUMIFS(Table1[Non-zero? (1=Yes)],Table1[Policy Year],"="&amp;'3. Projection - Methods 1 and 2'!$A18,Table1[Delay (years)],"="&amp;'3. Projection - Methods 1 and 2'!C$10))</f>
        <v>81</v>
      </c>
      <c r="D18">
        <f>IF($A18+D$10&gt;Latest_Year,"",SUMIFS(Table1[Non-zero? (1=Yes)],Table1[Policy Year],"="&amp;'3. Projection - Methods 1 and 2'!$A18,Table1[Delay (years)],"="&amp;'3. Projection - Methods 1 and 2'!D$10))</f>
        <v>22</v>
      </c>
      <c r="E18" t="str">
        <f>IF($A18+E$10&gt;Latest_Year,"",SUMIFS(Table1[Non-zero? (1=Yes)],Table1[Policy Year],"="&amp;'3. Projection - Methods 1 and 2'!$A18,Table1[Delay (years)],"="&amp;'3. Projection - Methods 1 and 2'!E$10))</f>
        <v/>
      </c>
      <c r="F18" t="str">
        <f>IF($A18+F$10&gt;Latest_Year,"",SUMIFS(Table1[Non-zero? (1=Yes)],Table1[Policy Year],"="&amp;'3. Projection - Methods 1 and 2'!$A18,Table1[Delay (years)],"="&amp;'3. Projection - Methods 1 and 2'!F$10))</f>
        <v/>
      </c>
      <c r="G18" t="str">
        <f>IF($A18+G$10&gt;Latest_Year,"",SUMIFS(Table1[Non-zero? (1=Yes)],Table1[Policy Year],"="&amp;'3. Projection - Methods 1 and 2'!$A18,Table1[Delay (years)],"="&amp;'3. Projection - Methods 1 and 2'!G$10))</f>
        <v/>
      </c>
      <c r="H18" t="str">
        <f>IF($A18+H$10&gt;Latest_Year,"",SUMIFS(Table1[Non-zero? (1=Yes)],Table1[Policy Year],"="&amp;'3. Projection - Methods 1 and 2'!$A18,Table1[Delay (years)],"="&amp;'3. Projection - Methods 1 and 2'!H$10))</f>
        <v/>
      </c>
      <c r="I18" t="str">
        <f>IF($A18+I$10&gt;Latest_Year,"",SUMIFS(Table1[Non-zero? (1=Yes)],Table1[Policy Year],"="&amp;'3. Projection - Methods 1 and 2'!$A18,Table1[Delay (years)],"="&amp;'3. Projection - Methods 1 and 2'!I$10))</f>
        <v/>
      </c>
      <c r="J18" t="str">
        <f>IF($A18+J$10&gt;Latest_Year,"",SUMIFS(Table1[Non-zero? (1=Yes)],Table1[Policy Year],"="&amp;'3. Projection - Methods 1 and 2'!$A18,Table1[Delay (years)],"="&amp;'3. Projection - Methods 1 and 2'!J$10))</f>
        <v/>
      </c>
      <c r="K18" t="str">
        <f>IF($A18+K$10&gt;Latest_Year,"",SUMIFS(Table1[Non-zero? (1=Yes)],Table1[Policy Year],"="&amp;'3. Projection - Methods 1 and 2'!$A18,Table1[Delay (years)],"="&amp;'3. Projection - Methods 1 and 2'!K$10))</f>
        <v/>
      </c>
    </row>
    <row r="19" spans="1:24" ht="13.15">
      <c r="A19" s="21">
        <f t="shared" si="0"/>
        <v>2013</v>
      </c>
      <c r="B19">
        <f>IF($A19+B$10&gt;Latest_Year,"",SUMIFS(Table1[Non-zero? (1=Yes)],Table1[Policy Year],"="&amp;'3. Projection - Methods 1 and 2'!$A19,Table1[Delay (years)],"="&amp;'3. Projection - Methods 1 and 2'!B$10))</f>
        <v>102</v>
      </c>
      <c r="C19">
        <f>IF($A19+C$10&gt;Latest_Year,"",SUMIFS(Table1[Non-zero? (1=Yes)],Table1[Policy Year],"="&amp;'3. Projection - Methods 1 and 2'!$A19,Table1[Delay (years)],"="&amp;'3. Projection - Methods 1 and 2'!C$10))</f>
        <v>99</v>
      </c>
      <c r="D19" t="str">
        <f>IF($A19+D$10&gt;Latest_Year,"",SUMIFS(Table1[Non-zero? (1=Yes)],Table1[Policy Year],"="&amp;'3. Projection - Methods 1 and 2'!$A19,Table1[Delay (years)],"="&amp;'3. Projection - Methods 1 and 2'!D$10))</f>
        <v/>
      </c>
      <c r="E19" t="str">
        <f>IF($A19+E$10&gt;Latest_Year,"",SUMIFS(Table1[Non-zero? (1=Yes)],Table1[Policy Year],"="&amp;'3. Projection - Methods 1 and 2'!$A19,Table1[Delay (years)],"="&amp;'3. Projection - Methods 1 and 2'!E$10))</f>
        <v/>
      </c>
      <c r="F19" t="str">
        <f>IF($A19+F$10&gt;Latest_Year,"",SUMIFS(Table1[Non-zero? (1=Yes)],Table1[Policy Year],"="&amp;'3. Projection - Methods 1 and 2'!$A19,Table1[Delay (years)],"="&amp;'3. Projection - Methods 1 and 2'!F$10))</f>
        <v/>
      </c>
      <c r="G19" t="str">
        <f>IF($A19+G$10&gt;Latest_Year,"",SUMIFS(Table1[Non-zero? (1=Yes)],Table1[Policy Year],"="&amp;'3. Projection - Methods 1 and 2'!$A19,Table1[Delay (years)],"="&amp;'3. Projection - Methods 1 and 2'!G$10))</f>
        <v/>
      </c>
      <c r="H19" t="str">
        <f>IF($A19+H$10&gt;Latest_Year,"",SUMIFS(Table1[Non-zero? (1=Yes)],Table1[Policy Year],"="&amp;'3. Projection - Methods 1 and 2'!$A19,Table1[Delay (years)],"="&amp;'3. Projection - Methods 1 and 2'!H$10))</f>
        <v/>
      </c>
      <c r="I19" t="str">
        <f>IF($A19+I$10&gt;Latest_Year,"",SUMIFS(Table1[Non-zero? (1=Yes)],Table1[Policy Year],"="&amp;'3. Projection - Methods 1 and 2'!$A19,Table1[Delay (years)],"="&amp;'3. Projection - Methods 1 and 2'!I$10))</f>
        <v/>
      </c>
      <c r="J19" t="str">
        <f>IF($A19+J$10&gt;Latest_Year,"",SUMIFS(Table1[Non-zero? (1=Yes)],Table1[Policy Year],"="&amp;'3. Projection - Methods 1 and 2'!$A19,Table1[Delay (years)],"="&amp;'3. Projection - Methods 1 and 2'!J$10))</f>
        <v/>
      </c>
      <c r="K19" t="str">
        <f>IF($A19+K$10&gt;Latest_Year,"",SUMIFS(Table1[Non-zero? (1=Yes)],Table1[Policy Year],"="&amp;'3. Projection - Methods 1 and 2'!$A19,Table1[Delay (years)],"="&amp;'3. Projection - Methods 1 and 2'!K$10))</f>
        <v/>
      </c>
    </row>
    <row r="20" spans="1:24" ht="13.15">
      <c r="A20" s="21">
        <f t="shared" si="0"/>
        <v>2014</v>
      </c>
      <c r="B20">
        <f>IF($A20+B$10&gt;Latest_Year,"",SUMIFS(Table1[Non-zero? (1=Yes)],Table1[Policy Year],"="&amp;'3. Projection - Methods 1 and 2'!$A20,Table1[Delay (years)],"="&amp;'3. Projection - Methods 1 and 2'!B$10))</f>
        <v>68</v>
      </c>
      <c r="C20" t="str">
        <f>IF($A20+C$10&gt;Latest_Year,"",SUMIFS(Table1[Non-zero? (1=Yes)],Table1[Policy Year],"="&amp;'3. Projection - Methods 1 and 2'!$A20,Table1[Delay (years)],"="&amp;'3. Projection - Methods 1 and 2'!C$10))</f>
        <v/>
      </c>
      <c r="D20" t="str">
        <f>IF($A20+D$10&gt;Latest_Year,"",SUMIFS(Table1[Non-zero? (1=Yes)],Table1[Policy Year],"="&amp;'3. Projection - Methods 1 and 2'!$A20,Table1[Delay (years)],"="&amp;'3. Projection - Methods 1 and 2'!D$10))</f>
        <v/>
      </c>
      <c r="E20" t="str">
        <f>IF($A20+E$10&gt;Latest_Year,"",SUMIFS(Table1[Non-zero? (1=Yes)],Table1[Policy Year],"="&amp;'3. Projection - Methods 1 and 2'!$A20,Table1[Delay (years)],"="&amp;'3. Projection - Methods 1 and 2'!E$10))</f>
        <v/>
      </c>
      <c r="F20" t="str">
        <f>IF($A20+F$10&gt;Latest_Year,"",SUMIFS(Table1[Non-zero? (1=Yes)],Table1[Policy Year],"="&amp;'3. Projection - Methods 1 and 2'!$A20,Table1[Delay (years)],"="&amp;'3. Projection - Methods 1 and 2'!F$10))</f>
        <v/>
      </c>
      <c r="G20" t="str">
        <f>IF($A20+G$10&gt;Latest_Year,"",SUMIFS(Table1[Non-zero? (1=Yes)],Table1[Policy Year],"="&amp;'3. Projection - Methods 1 and 2'!$A20,Table1[Delay (years)],"="&amp;'3. Projection - Methods 1 and 2'!G$10))</f>
        <v/>
      </c>
      <c r="H20" t="str">
        <f>IF($A20+H$10&gt;Latest_Year,"",SUMIFS(Table1[Non-zero? (1=Yes)],Table1[Policy Year],"="&amp;'3. Projection - Methods 1 and 2'!$A20,Table1[Delay (years)],"="&amp;'3. Projection - Methods 1 and 2'!H$10))</f>
        <v/>
      </c>
      <c r="I20" t="str">
        <f>IF($A20+I$10&gt;Latest_Year,"",SUMIFS(Table1[Non-zero? (1=Yes)],Table1[Policy Year],"="&amp;'3. Projection - Methods 1 and 2'!$A20,Table1[Delay (years)],"="&amp;'3. Projection - Methods 1 and 2'!I$10))</f>
        <v/>
      </c>
      <c r="J20" t="str">
        <f>IF($A20+J$10&gt;Latest_Year,"",SUMIFS(Table1[Non-zero? (1=Yes)],Table1[Policy Year],"="&amp;'3. Projection - Methods 1 and 2'!$A20,Table1[Delay (years)],"="&amp;'3. Projection - Methods 1 and 2'!J$10))</f>
        <v/>
      </c>
      <c r="K20" t="str">
        <f>IF($A20+K$10&gt;Latest_Year,"",SUMIFS(Table1[Non-zero? (1=Yes)],Table1[Policy Year],"="&amp;'3. Projection - Methods 1 and 2'!$A20,Table1[Delay (years)],"="&amp;'3. Projection - Methods 1 and 2'!K$10))</f>
        <v/>
      </c>
    </row>
    <row r="23" spans="1:24" ht="15.75">
      <c r="A23" s="24" t="s">
        <v>3516</v>
      </c>
      <c r="N23" s="24" t="s">
        <v>3516</v>
      </c>
    </row>
    <row r="24" spans="1:24" ht="15.75">
      <c r="B24" s="24"/>
    </row>
    <row r="25" spans="1:24">
      <c r="F25" s="22" t="s">
        <v>3513</v>
      </c>
      <c r="S25" s="22" t="s">
        <v>3513</v>
      </c>
    </row>
    <row r="26" spans="1:24">
      <c r="A26" s="72" t="s">
        <v>114</v>
      </c>
      <c r="B26" s="72">
        <v>0</v>
      </c>
      <c r="C26" s="72">
        <v>1</v>
      </c>
      <c r="D26" s="72">
        <v>2</v>
      </c>
      <c r="E26" s="72">
        <v>3</v>
      </c>
      <c r="F26" s="72">
        <v>4</v>
      </c>
      <c r="G26" s="72">
        <v>5</v>
      </c>
      <c r="H26" s="72">
        <v>6</v>
      </c>
      <c r="I26" s="72">
        <v>7</v>
      </c>
      <c r="J26" s="72">
        <v>8</v>
      </c>
      <c r="K26" s="72">
        <v>9</v>
      </c>
      <c r="L26" s="72" t="s">
        <v>3520</v>
      </c>
      <c r="N26" s="72" t="s">
        <v>114</v>
      </c>
      <c r="O26" s="72">
        <v>0</v>
      </c>
      <c r="P26" s="72">
        <v>1</v>
      </c>
      <c r="Q26" s="72">
        <v>2</v>
      </c>
      <c r="R26" s="72">
        <v>3</v>
      </c>
      <c r="S26" s="72">
        <v>4</v>
      </c>
      <c r="T26" s="72">
        <v>5</v>
      </c>
      <c r="U26" s="72">
        <v>6</v>
      </c>
      <c r="V26" s="72">
        <v>7</v>
      </c>
      <c r="W26" s="72">
        <v>8</v>
      </c>
      <c r="X26" s="72">
        <v>9</v>
      </c>
    </row>
    <row r="27" spans="1:24" ht="13.15">
      <c r="A27" s="21">
        <f>A11</f>
        <v>2005</v>
      </c>
      <c r="B27">
        <f>B11</f>
        <v>50</v>
      </c>
      <c r="C27">
        <f t="shared" ref="C27:K27" si="1">IF($A27+C$26&gt;Latest_Year,"",C11+B27)</f>
        <v>76</v>
      </c>
      <c r="D27">
        <f t="shared" si="1"/>
        <v>81</v>
      </c>
      <c r="E27">
        <f t="shared" si="1"/>
        <v>84</v>
      </c>
      <c r="F27">
        <f t="shared" si="1"/>
        <v>86</v>
      </c>
      <c r="G27">
        <f t="shared" si="1"/>
        <v>86</v>
      </c>
      <c r="H27">
        <f t="shared" si="1"/>
        <v>86</v>
      </c>
      <c r="I27">
        <f t="shared" si="1"/>
        <v>86</v>
      </c>
      <c r="J27">
        <f t="shared" si="1"/>
        <v>86</v>
      </c>
      <c r="K27">
        <f t="shared" si="1"/>
        <v>86</v>
      </c>
      <c r="N27" s="21">
        <f>A27</f>
        <v>2005</v>
      </c>
      <c r="O27">
        <f>B11</f>
        <v>50</v>
      </c>
      <c r="P27">
        <f t="shared" ref="P27:P35" si="2">IF($A27+P$26&gt;Latest_Year-1,"",C11+O27)</f>
        <v>76</v>
      </c>
      <c r="Q27">
        <f t="shared" ref="Q27:Q35" si="3">IF($A27+Q$26&gt;Latest_Year-1,"",D11+P27)</f>
        <v>81</v>
      </c>
      <c r="R27">
        <f t="shared" ref="R27:R35" si="4">IF($A27+R$26&gt;Latest_Year-1,"",E11+Q27)</f>
        <v>84</v>
      </c>
      <c r="S27">
        <f t="shared" ref="S27:S35" si="5">IF($A27+S$26&gt;Latest_Year-1,"",F11+R27)</f>
        <v>86</v>
      </c>
      <c r="T27">
        <f t="shared" ref="T27:T35" si="6">IF($A27+T$26&gt;Latest_Year-1,"",G11+S27)</f>
        <v>86</v>
      </c>
      <c r="U27">
        <f t="shared" ref="U27:U35" si="7">IF($A27+U$26&gt;Latest_Year-1,"",H11+T27)</f>
        <v>86</v>
      </c>
      <c r="V27">
        <f t="shared" ref="V27:V35" si="8">IF($A27+V$26&gt;Latest_Year-1,"",I11+U27)</f>
        <v>86</v>
      </c>
      <c r="W27">
        <f t="shared" ref="W27:W35" si="9">IF($A27+W$26&gt;Latest_Year-1,"",J11+V27)</f>
        <v>86</v>
      </c>
    </row>
    <row r="28" spans="1:24" ht="13.15">
      <c r="A28" s="21">
        <f t="shared" ref="A28:A36" si="10">A12</f>
        <v>2006</v>
      </c>
      <c r="B28">
        <f t="shared" ref="B28:B36" si="11">B12</f>
        <v>41</v>
      </c>
      <c r="C28">
        <f t="shared" ref="C28:K28" si="12">IF($A28+C$26&gt;Latest_Year,"",C12+B28)</f>
        <v>69</v>
      </c>
      <c r="D28">
        <f t="shared" si="12"/>
        <v>82</v>
      </c>
      <c r="E28">
        <f t="shared" si="12"/>
        <v>88</v>
      </c>
      <c r="F28">
        <f t="shared" si="12"/>
        <v>92</v>
      </c>
      <c r="G28">
        <f t="shared" si="12"/>
        <v>92</v>
      </c>
      <c r="H28">
        <f t="shared" si="12"/>
        <v>92</v>
      </c>
      <c r="I28">
        <f t="shared" si="12"/>
        <v>92</v>
      </c>
      <c r="J28">
        <f t="shared" si="12"/>
        <v>92</v>
      </c>
      <c r="K28" t="str">
        <f t="shared" si="12"/>
        <v/>
      </c>
      <c r="N28" s="21">
        <f t="shared" ref="N28:N35" si="13">A28</f>
        <v>2006</v>
      </c>
      <c r="O28">
        <f t="shared" ref="O28:O35" si="14">B12</f>
        <v>41</v>
      </c>
      <c r="P28">
        <f t="shared" si="2"/>
        <v>69</v>
      </c>
      <c r="Q28">
        <f t="shared" si="3"/>
        <v>82</v>
      </c>
      <c r="R28">
        <f t="shared" si="4"/>
        <v>88</v>
      </c>
      <c r="S28">
        <f t="shared" si="5"/>
        <v>92</v>
      </c>
      <c r="T28">
        <f t="shared" si="6"/>
        <v>92</v>
      </c>
      <c r="U28">
        <f t="shared" si="7"/>
        <v>92</v>
      </c>
      <c r="V28">
        <f t="shared" si="8"/>
        <v>92</v>
      </c>
      <c r="W28" t="str">
        <f t="shared" si="9"/>
        <v/>
      </c>
    </row>
    <row r="29" spans="1:24" ht="13.15">
      <c r="A29" s="21">
        <f t="shared" si="10"/>
        <v>2007</v>
      </c>
      <c r="B29">
        <f t="shared" si="11"/>
        <v>65</v>
      </c>
      <c r="C29">
        <f t="shared" ref="C29:K29" si="15">IF($A29+C$26&gt;Latest_Year,"",C13+B29)</f>
        <v>98</v>
      </c>
      <c r="D29">
        <f t="shared" si="15"/>
        <v>108</v>
      </c>
      <c r="E29">
        <f t="shared" si="15"/>
        <v>110</v>
      </c>
      <c r="F29">
        <f t="shared" si="15"/>
        <v>110</v>
      </c>
      <c r="G29">
        <f t="shared" si="15"/>
        <v>110</v>
      </c>
      <c r="H29">
        <f t="shared" si="15"/>
        <v>110</v>
      </c>
      <c r="I29">
        <f t="shared" si="15"/>
        <v>110</v>
      </c>
      <c r="J29" t="str">
        <f t="shared" si="15"/>
        <v/>
      </c>
      <c r="K29" t="str">
        <f t="shared" si="15"/>
        <v/>
      </c>
      <c r="N29" s="21">
        <f t="shared" si="13"/>
        <v>2007</v>
      </c>
      <c r="O29">
        <f t="shared" si="14"/>
        <v>65</v>
      </c>
      <c r="P29">
        <f t="shared" si="2"/>
        <v>98</v>
      </c>
      <c r="Q29">
        <f t="shared" si="3"/>
        <v>108</v>
      </c>
      <c r="R29">
        <f t="shared" si="4"/>
        <v>110</v>
      </c>
      <c r="S29">
        <f t="shared" si="5"/>
        <v>110</v>
      </c>
      <c r="T29">
        <f t="shared" si="6"/>
        <v>110</v>
      </c>
      <c r="U29">
        <f t="shared" si="7"/>
        <v>110</v>
      </c>
      <c r="V29" t="str">
        <f t="shared" si="8"/>
        <v/>
      </c>
      <c r="W29" t="str">
        <f t="shared" si="9"/>
        <v/>
      </c>
    </row>
    <row r="30" spans="1:24" ht="13.15">
      <c r="A30" s="21">
        <f t="shared" si="10"/>
        <v>2008</v>
      </c>
      <c r="B30">
        <f t="shared" si="11"/>
        <v>83</v>
      </c>
      <c r="C30">
        <f t="shared" ref="C30:K30" si="16">IF($A30+C$26&gt;Latest_Year,"",C14+B30)</f>
        <v>130</v>
      </c>
      <c r="D30">
        <f t="shared" si="16"/>
        <v>138</v>
      </c>
      <c r="E30">
        <f t="shared" si="16"/>
        <v>144</v>
      </c>
      <c r="F30">
        <f t="shared" si="16"/>
        <v>145</v>
      </c>
      <c r="G30">
        <f t="shared" si="16"/>
        <v>145</v>
      </c>
      <c r="H30">
        <f t="shared" si="16"/>
        <v>146</v>
      </c>
      <c r="I30" t="str">
        <f t="shared" si="16"/>
        <v/>
      </c>
      <c r="J30" t="str">
        <f t="shared" si="16"/>
        <v/>
      </c>
      <c r="K30" t="str">
        <f t="shared" si="16"/>
        <v/>
      </c>
      <c r="N30" s="21">
        <f t="shared" si="13"/>
        <v>2008</v>
      </c>
      <c r="O30">
        <f t="shared" si="14"/>
        <v>83</v>
      </c>
      <c r="P30">
        <f t="shared" si="2"/>
        <v>130</v>
      </c>
      <c r="Q30">
        <f t="shared" si="3"/>
        <v>138</v>
      </c>
      <c r="R30">
        <f t="shared" si="4"/>
        <v>144</v>
      </c>
      <c r="S30">
        <f t="shared" si="5"/>
        <v>145</v>
      </c>
      <c r="T30">
        <f t="shared" si="6"/>
        <v>145</v>
      </c>
      <c r="U30" t="str">
        <f t="shared" si="7"/>
        <v/>
      </c>
      <c r="V30" t="str">
        <f t="shared" si="8"/>
        <v/>
      </c>
      <c r="W30" t="str">
        <f t="shared" si="9"/>
        <v/>
      </c>
    </row>
    <row r="31" spans="1:24" ht="13.15">
      <c r="A31" s="21">
        <f t="shared" si="10"/>
        <v>2009</v>
      </c>
      <c r="B31">
        <f t="shared" si="11"/>
        <v>120</v>
      </c>
      <c r="C31">
        <f t="shared" ref="C31:K31" si="17">IF($A31+C$26&gt;Latest_Year,"",C15+B31)</f>
        <v>165</v>
      </c>
      <c r="D31">
        <f t="shared" si="17"/>
        <v>181</v>
      </c>
      <c r="E31">
        <f t="shared" si="17"/>
        <v>190</v>
      </c>
      <c r="F31">
        <f t="shared" si="17"/>
        <v>192</v>
      </c>
      <c r="G31">
        <f t="shared" si="17"/>
        <v>194</v>
      </c>
      <c r="H31" t="str">
        <f t="shared" si="17"/>
        <v/>
      </c>
      <c r="I31" t="str">
        <f t="shared" si="17"/>
        <v/>
      </c>
      <c r="J31" t="str">
        <f t="shared" si="17"/>
        <v/>
      </c>
      <c r="K31" t="str">
        <f t="shared" si="17"/>
        <v/>
      </c>
      <c r="N31" s="21">
        <f t="shared" si="13"/>
        <v>2009</v>
      </c>
      <c r="O31">
        <f t="shared" si="14"/>
        <v>120</v>
      </c>
      <c r="P31">
        <f t="shared" si="2"/>
        <v>165</v>
      </c>
      <c r="Q31">
        <f t="shared" si="3"/>
        <v>181</v>
      </c>
      <c r="R31">
        <f t="shared" si="4"/>
        <v>190</v>
      </c>
      <c r="S31">
        <f t="shared" si="5"/>
        <v>192</v>
      </c>
      <c r="T31" t="str">
        <f t="shared" si="6"/>
        <v/>
      </c>
      <c r="U31" t="str">
        <f t="shared" si="7"/>
        <v/>
      </c>
      <c r="V31" t="str">
        <f t="shared" si="8"/>
        <v/>
      </c>
      <c r="W31" t="str">
        <f t="shared" si="9"/>
        <v/>
      </c>
    </row>
    <row r="32" spans="1:24" ht="13.15">
      <c r="A32" s="21">
        <f t="shared" si="10"/>
        <v>2010</v>
      </c>
      <c r="B32">
        <f t="shared" si="11"/>
        <v>149</v>
      </c>
      <c r="C32">
        <f t="shared" ref="C32:K32" si="18">IF($A32+C$26&gt;Latest_Year,"",C16+B32)</f>
        <v>226</v>
      </c>
      <c r="D32">
        <f t="shared" si="18"/>
        <v>246</v>
      </c>
      <c r="E32">
        <f t="shared" si="18"/>
        <v>253</v>
      </c>
      <c r="F32">
        <f t="shared" si="18"/>
        <v>256</v>
      </c>
      <c r="G32" t="str">
        <f t="shared" si="18"/>
        <v/>
      </c>
      <c r="H32" t="str">
        <f t="shared" si="18"/>
        <v/>
      </c>
      <c r="I32" t="str">
        <f t="shared" si="18"/>
        <v/>
      </c>
      <c r="J32" t="str">
        <f t="shared" si="18"/>
        <v/>
      </c>
      <c r="K32" t="str">
        <f t="shared" si="18"/>
        <v/>
      </c>
      <c r="N32" s="21">
        <f t="shared" si="13"/>
        <v>2010</v>
      </c>
      <c r="O32">
        <f t="shared" si="14"/>
        <v>149</v>
      </c>
      <c r="P32">
        <f t="shared" si="2"/>
        <v>226</v>
      </c>
      <c r="Q32">
        <f t="shared" si="3"/>
        <v>246</v>
      </c>
      <c r="R32">
        <f t="shared" si="4"/>
        <v>253</v>
      </c>
      <c r="S32" t="str">
        <f t="shared" si="5"/>
        <v/>
      </c>
      <c r="T32" t="str">
        <f t="shared" si="6"/>
        <v/>
      </c>
      <c r="U32" t="str">
        <f t="shared" si="7"/>
        <v/>
      </c>
      <c r="V32" t="str">
        <f t="shared" si="8"/>
        <v/>
      </c>
      <c r="W32" t="str">
        <f t="shared" si="9"/>
        <v/>
      </c>
    </row>
    <row r="33" spans="1:25" ht="13.15">
      <c r="A33" s="21">
        <f t="shared" si="10"/>
        <v>2011</v>
      </c>
      <c r="B33">
        <f t="shared" si="11"/>
        <v>158</v>
      </c>
      <c r="C33">
        <f t="shared" ref="C33:K33" si="19">IF($A33+C$26&gt;Latest_Year,"",C17+B33)</f>
        <v>222</v>
      </c>
      <c r="D33">
        <f t="shared" si="19"/>
        <v>241</v>
      </c>
      <c r="E33">
        <f t="shared" si="19"/>
        <v>250</v>
      </c>
      <c r="F33" t="str">
        <f t="shared" si="19"/>
        <v/>
      </c>
      <c r="G33" t="str">
        <f t="shared" si="19"/>
        <v/>
      </c>
      <c r="H33" t="str">
        <f t="shared" si="19"/>
        <v/>
      </c>
      <c r="I33" t="str">
        <f t="shared" si="19"/>
        <v/>
      </c>
      <c r="J33" t="str">
        <f t="shared" si="19"/>
        <v/>
      </c>
      <c r="K33" t="str">
        <f t="shared" si="19"/>
        <v/>
      </c>
      <c r="N33" s="21">
        <f t="shared" si="13"/>
        <v>2011</v>
      </c>
      <c r="O33">
        <f t="shared" si="14"/>
        <v>158</v>
      </c>
      <c r="P33">
        <f t="shared" si="2"/>
        <v>222</v>
      </c>
      <c r="Q33">
        <f t="shared" si="3"/>
        <v>241</v>
      </c>
      <c r="R33" t="str">
        <f t="shared" si="4"/>
        <v/>
      </c>
      <c r="S33" t="str">
        <f t="shared" si="5"/>
        <v/>
      </c>
      <c r="T33" t="str">
        <f t="shared" si="6"/>
        <v/>
      </c>
      <c r="U33" t="str">
        <f t="shared" si="7"/>
        <v/>
      </c>
      <c r="V33" t="str">
        <f t="shared" si="8"/>
        <v/>
      </c>
      <c r="W33" t="str">
        <f t="shared" si="9"/>
        <v/>
      </c>
    </row>
    <row r="34" spans="1:25" ht="13.15">
      <c r="A34" s="21">
        <f t="shared" si="10"/>
        <v>2012</v>
      </c>
      <c r="B34">
        <f t="shared" si="11"/>
        <v>96</v>
      </c>
      <c r="C34">
        <f t="shared" ref="C34:K34" si="20">IF($A34+C$26&gt;Latest_Year,"",C18+B34)</f>
        <v>177</v>
      </c>
      <c r="D34">
        <f t="shared" si="20"/>
        <v>199</v>
      </c>
      <c r="E34" t="str">
        <f t="shared" si="20"/>
        <v/>
      </c>
      <c r="F34" t="str">
        <f t="shared" si="20"/>
        <v/>
      </c>
      <c r="G34" t="str">
        <f t="shared" si="20"/>
        <v/>
      </c>
      <c r="H34" t="str">
        <f t="shared" si="20"/>
        <v/>
      </c>
      <c r="I34" t="str">
        <f t="shared" si="20"/>
        <v/>
      </c>
      <c r="J34" t="str">
        <f t="shared" si="20"/>
        <v/>
      </c>
      <c r="K34" t="str">
        <f t="shared" si="20"/>
        <v/>
      </c>
      <c r="N34" s="21">
        <f t="shared" si="13"/>
        <v>2012</v>
      </c>
      <c r="O34">
        <f t="shared" si="14"/>
        <v>96</v>
      </c>
      <c r="P34">
        <f t="shared" si="2"/>
        <v>177</v>
      </c>
      <c r="Q34" t="str">
        <f t="shared" si="3"/>
        <v/>
      </c>
      <c r="R34" t="str">
        <f t="shared" si="4"/>
        <v/>
      </c>
      <c r="S34" t="str">
        <f t="shared" si="5"/>
        <v/>
      </c>
      <c r="T34" t="str">
        <f t="shared" si="6"/>
        <v/>
      </c>
      <c r="U34" t="str">
        <f t="shared" si="7"/>
        <v/>
      </c>
      <c r="V34" t="str">
        <f t="shared" si="8"/>
        <v/>
      </c>
      <c r="W34" t="str">
        <f t="shared" si="9"/>
        <v/>
      </c>
    </row>
    <row r="35" spans="1:25" ht="13.15">
      <c r="A35" s="21">
        <f t="shared" si="10"/>
        <v>2013</v>
      </c>
      <c r="B35">
        <f t="shared" si="11"/>
        <v>102</v>
      </c>
      <c r="C35">
        <f t="shared" ref="C35:K35" si="21">IF($A35+C$26&gt;Latest_Year,"",C19+B35)</f>
        <v>201</v>
      </c>
      <c r="D35" t="str">
        <f t="shared" si="21"/>
        <v/>
      </c>
      <c r="E35" t="str">
        <f t="shared" si="21"/>
        <v/>
      </c>
      <c r="F35" t="str">
        <f t="shared" si="21"/>
        <v/>
      </c>
      <c r="G35" t="str">
        <f t="shared" si="21"/>
        <v/>
      </c>
      <c r="H35" t="str">
        <f t="shared" si="21"/>
        <v/>
      </c>
      <c r="I35" t="str">
        <f t="shared" si="21"/>
        <v/>
      </c>
      <c r="J35" t="str">
        <f t="shared" si="21"/>
        <v/>
      </c>
      <c r="K35" t="str">
        <f t="shared" si="21"/>
        <v/>
      </c>
      <c r="N35" s="21">
        <f t="shared" si="13"/>
        <v>2013</v>
      </c>
      <c r="O35">
        <f t="shared" si="14"/>
        <v>102</v>
      </c>
      <c r="P35" t="str">
        <f t="shared" si="2"/>
        <v/>
      </c>
      <c r="Q35" t="str">
        <f t="shared" si="3"/>
        <v/>
      </c>
      <c r="R35" t="str">
        <f t="shared" si="4"/>
        <v/>
      </c>
      <c r="S35" t="str">
        <f t="shared" si="5"/>
        <v/>
      </c>
      <c r="T35" t="str">
        <f t="shared" si="6"/>
        <v/>
      </c>
      <c r="U35" t="str">
        <f t="shared" si="7"/>
        <v/>
      </c>
      <c r="V35" t="str">
        <f t="shared" si="8"/>
        <v/>
      </c>
      <c r="W35" t="str">
        <f t="shared" si="9"/>
        <v/>
      </c>
    </row>
    <row r="36" spans="1:25" ht="13.15">
      <c r="A36" s="21">
        <f t="shared" si="10"/>
        <v>2014</v>
      </c>
      <c r="B36">
        <f t="shared" si="11"/>
        <v>68</v>
      </c>
      <c r="C36" t="str">
        <f t="shared" ref="C36:K36" si="22">IF($A36+C$26&gt;Latest_Year,"",C20+B36)</f>
        <v/>
      </c>
      <c r="D36" t="str">
        <f t="shared" si="22"/>
        <v/>
      </c>
      <c r="E36" t="str">
        <f t="shared" si="22"/>
        <v/>
      </c>
      <c r="F36" t="str">
        <f t="shared" si="22"/>
        <v/>
      </c>
      <c r="G36" t="str">
        <f t="shared" si="22"/>
        <v/>
      </c>
      <c r="H36" t="str">
        <f t="shared" si="22"/>
        <v/>
      </c>
      <c r="I36" t="str">
        <f t="shared" si="22"/>
        <v/>
      </c>
      <c r="J36" t="str">
        <f t="shared" si="22"/>
        <v/>
      </c>
      <c r="K36" t="str">
        <f t="shared" si="22"/>
        <v/>
      </c>
    </row>
    <row r="37" spans="1:25" ht="13.15">
      <c r="N37" s="21"/>
      <c r="P37" t="str">
        <f t="shared" ref="P37:V37" si="23">IF($A36+P$26&gt;2011,"",C20+O37)</f>
        <v/>
      </c>
      <c r="Q37" t="str">
        <f t="shared" si="23"/>
        <v/>
      </c>
      <c r="R37" t="str">
        <f t="shared" si="23"/>
        <v/>
      </c>
      <c r="S37" t="str">
        <f t="shared" si="23"/>
        <v/>
      </c>
      <c r="T37" t="str">
        <f t="shared" si="23"/>
        <v/>
      </c>
      <c r="U37" t="str">
        <f t="shared" si="23"/>
        <v/>
      </c>
      <c r="V37" t="str">
        <f t="shared" si="23"/>
        <v/>
      </c>
      <c r="W37" s="2" t="s">
        <v>3536</v>
      </c>
    </row>
    <row r="38" spans="1:25">
      <c r="B38" s="22" t="s">
        <v>3519</v>
      </c>
      <c r="C38" s="23">
        <f>SUM(C27:C36)/SUMIF(C27:C36,"&gt;0",B27:B36)</f>
        <v>1.5787037037037037</v>
      </c>
      <c r="D38" s="23">
        <f>SUM(D27:D36)/SUMIF(D27:D36,"&gt;0",C27:C36)</f>
        <v>1.0971625107480654</v>
      </c>
      <c r="E38" s="23">
        <f t="shared" ref="E38:K38" si="24">SUM(E27:E36)/SUMIF(E27:E36,"&gt;0",D27:D36)</f>
        <v>1.0389972144846797</v>
      </c>
      <c r="F38" s="23">
        <f t="shared" si="24"/>
        <v>1.0138089758342923</v>
      </c>
      <c r="G38" s="23">
        <f t="shared" si="24"/>
        <v>1.0032000000000001</v>
      </c>
      <c r="H38" s="23">
        <f t="shared" si="24"/>
        <v>1.002309468822171</v>
      </c>
      <c r="I38" s="23">
        <f t="shared" si="24"/>
        <v>1</v>
      </c>
      <c r="J38" s="23">
        <f t="shared" si="24"/>
        <v>1</v>
      </c>
      <c r="K38" s="23">
        <f t="shared" si="24"/>
        <v>1</v>
      </c>
      <c r="L38" s="23"/>
      <c r="N38" s="2" t="s">
        <v>3519</v>
      </c>
      <c r="O38" s="23">
        <f t="shared" ref="O38:V38" si="25">SUM(P27:P37)/SUMIF(P27:P37,"&gt;0",O27:O37)</f>
        <v>1.526246719160105</v>
      </c>
      <c r="P38" s="23">
        <f t="shared" si="25"/>
        <v>1.0922920892494929</v>
      </c>
      <c r="Q38" s="23">
        <f t="shared" si="25"/>
        <v>1.0394736842105263</v>
      </c>
      <c r="R38" s="23">
        <f t="shared" si="25"/>
        <v>1.0146103896103895</v>
      </c>
      <c r="S38" s="23">
        <f t="shared" si="25"/>
        <v>1</v>
      </c>
      <c r="T38" s="23">
        <f t="shared" si="25"/>
        <v>1</v>
      </c>
      <c r="U38" s="23">
        <f t="shared" si="25"/>
        <v>1</v>
      </c>
      <c r="V38" s="23">
        <f t="shared" si="25"/>
        <v>1</v>
      </c>
      <c r="W38" s="41">
        <v>1</v>
      </c>
      <c r="X38" s="23"/>
    </row>
    <row r="39" spans="1:25">
      <c r="B39" s="22"/>
      <c r="C39" s="23"/>
      <c r="D39" s="23"/>
      <c r="E39" s="23"/>
      <c r="F39" s="23"/>
      <c r="G39" s="23"/>
      <c r="H39" s="23"/>
      <c r="I39" s="23"/>
      <c r="J39" s="23"/>
      <c r="K39" s="23"/>
      <c r="L39" s="23"/>
      <c r="N39" s="2" t="s">
        <v>3522</v>
      </c>
      <c r="O39" s="40">
        <f>O38*P39</f>
        <v>1.7582326313245529</v>
      </c>
      <c r="P39" s="40">
        <f t="shared" ref="P39" si="26">P38*Q39</f>
        <v>1.1519976483828971</v>
      </c>
      <c r="Q39" s="40">
        <f t="shared" ref="Q39" si="27">Q38*R39</f>
        <v>1.0546607997265891</v>
      </c>
      <c r="R39" s="40">
        <f t="shared" ref="R39" si="28">R38*S39</f>
        <v>1.0146103896103895</v>
      </c>
      <c r="S39" s="40">
        <f t="shared" ref="S39" si="29">S38*T39</f>
        <v>1</v>
      </c>
      <c r="T39" s="40">
        <f t="shared" ref="T39" si="30">T38*U39</f>
        <v>1</v>
      </c>
      <c r="U39" s="40">
        <f t="shared" ref="U39" si="31">U38*V39</f>
        <v>1</v>
      </c>
      <c r="V39" s="40">
        <f>V38</f>
        <v>1</v>
      </c>
      <c r="W39" s="42">
        <v>1</v>
      </c>
      <c r="X39" s="25"/>
    </row>
    <row r="41" spans="1:25" ht="15.75">
      <c r="A41" s="24" t="s">
        <v>3517</v>
      </c>
      <c r="N41" s="24" t="s">
        <v>3530</v>
      </c>
    </row>
    <row r="42" spans="1:25" ht="15.75">
      <c r="F42" s="24" t="s">
        <v>3513</v>
      </c>
      <c r="S42" s="22" t="s">
        <v>3513</v>
      </c>
    </row>
    <row r="43" spans="1:25" ht="13.15">
      <c r="A43" s="39"/>
      <c r="B43" s="20">
        <v>0</v>
      </c>
      <c r="C43" s="20">
        <v>1</v>
      </c>
      <c r="D43" s="20">
        <v>2</v>
      </c>
      <c r="E43" s="20">
        <v>3</v>
      </c>
      <c r="F43" s="20">
        <v>4</v>
      </c>
      <c r="G43" s="20">
        <v>5</v>
      </c>
      <c r="H43" s="20">
        <v>6</v>
      </c>
      <c r="I43" s="20">
        <v>7</v>
      </c>
      <c r="J43" s="20">
        <v>8</v>
      </c>
      <c r="K43" s="20">
        <v>9</v>
      </c>
      <c r="L43" s="21"/>
      <c r="N43" s="72" t="s">
        <v>114</v>
      </c>
      <c r="O43" s="72">
        <v>0</v>
      </c>
      <c r="P43" s="72">
        <v>1</v>
      </c>
      <c r="Q43" s="72">
        <v>2</v>
      </c>
      <c r="R43" s="72">
        <v>3</v>
      </c>
      <c r="S43" s="72">
        <v>4</v>
      </c>
      <c r="T43" s="72">
        <v>5</v>
      </c>
      <c r="U43" s="72">
        <v>6</v>
      </c>
      <c r="V43" s="72">
        <v>7</v>
      </c>
      <c r="W43" s="72">
        <v>8</v>
      </c>
      <c r="X43" s="72">
        <v>9</v>
      </c>
      <c r="Y43" s="20"/>
    </row>
    <row r="44" spans="1:25" ht="13.15">
      <c r="A44" s="21">
        <f>A27</f>
        <v>2005</v>
      </c>
      <c r="B44">
        <f t="shared" ref="B44:J44" si="32">B11</f>
        <v>50</v>
      </c>
      <c r="C44">
        <f t="shared" si="32"/>
        <v>26</v>
      </c>
      <c r="D44">
        <f t="shared" si="32"/>
        <v>5</v>
      </c>
      <c r="E44">
        <f t="shared" si="32"/>
        <v>3</v>
      </c>
      <c r="F44">
        <f t="shared" si="32"/>
        <v>2</v>
      </c>
      <c r="G44">
        <f t="shared" si="32"/>
        <v>0</v>
      </c>
      <c r="H44">
        <f t="shared" si="32"/>
        <v>0</v>
      </c>
      <c r="I44">
        <f t="shared" si="32"/>
        <v>0</v>
      </c>
      <c r="J44">
        <f t="shared" si="32"/>
        <v>0</v>
      </c>
      <c r="K44" s="34">
        <f>K11*1.5</f>
        <v>0</v>
      </c>
      <c r="L44" s="22"/>
      <c r="N44" s="21">
        <f>N27</f>
        <v>2005</v>
      </c>
      <c r="O44">
        <f>IF(ISNUMBER(O27),O27,"")</f>
        <v>50</v>
      </c>
      <c r="P44">
        <f t="shared" ref="P44:W44" si="33">IF(ISNUMBER(P27),P27,"")</f>
        <v>76</v>
      </c>
      <c r="Q44">
        <f t="shared" si="33"/>
        <v>81</v>
      </c>
      <c r="R44">
        <f t="shared" si="33"/>
        <v>84</v>
      </c>
      <c r="S44">
        <f t="shared" si="33"/>
        <v>86</v>
      </c>
      <c r="T44">
        <f t="shared" si="33"/>
        <v>86</v>
      </c>
      <c r="U44">
        <f t="shared" si="33"/>
        <v>86</v>
      </c>
      <c r="V44">
        <f t="shared" si="33"/>
        <v>86</v>
      </c>
      <c r="W44">
        <f t="shared" si="33"/>
        <v>86</v>
      </c>
      <c r="X44" s="28">
        <f>W44*W$39</f>
        <v>86</v>
      </c>
      <c r="Y44" s="29"/>
    </row>
    <row r="45" spans="1:25" ht="13.15">
      <c r="A45" s="21">
        <f t="shared" ref="A45:A53" si="34">A28</f>
        <v>2006</v>
      </c>
      <c r="B45">
        <f t="shared" ref="B45:I45" si="35">B12</f>
        <v>41</v>
      </c>
      <c r="C45">
        <f t="shared" si="35"/>
        <v>28</v>
      </c>
      <c r="D45">
        <f t="shared" si="35"/>
        <v>13</v>
      </c>
      <c r="E45">
        <f t="shared" si="35"/>
        <v>6</v>
      </c>
      <c r="F45">
        <f t="shared" si="35"/>
        <v>4</v>
      </c>
      <c r="G45">
        <f t="shared" si="35"/>
        <v>0</v>
      </c>
      <c r="H45">
        <f t="shared" si="35"/>
        <v>0</v>
      </c>
      <c r="I45">
        <f t="shared" si="35"/>
        <v>0</v>
      </c>
      <c r="J45" s="34">
        <f>J12*1.5</f>
        <v>0</v>
      </c>
      <c r="K45" t="str">
        <f t="shared" ref="K45:K53" si="36">K12</f>
        <v/>
      </c>
      <c r="N45" s="21">
        <f t="shared" ref="N45:N52" si="37">N28</f>
        <v>2006</v>
      </c>
      <c r="O45">
        <f t="shared" ref="O45:V45" si="38">IF(ISNUMBER(O28),O28,"")</f>
        <v>41</v>
      </c>
      <c r="P45">
        <f t="shared" si="38"/>
        <v>69</v>
      </c>
      <c r="Q45">
        <f t="shared" si="38"/>
        <v>82</v>
      </c>
      <c r="R45">
        <f t="shared" si="38"/>
        <v>88</v>
      </c>
      <c r="S45">
        <f t="shared" si="38"/>
        <v>92</v>
      </c>
      <c r="T45">
        <f t="shared" si="38"/>
        <v>92</v>
      </c>
      <c r="U45">
        <f t="shared" si="38"/>
        <v>92</v>
      </c>
      <c r="V45">
        <f t="shared" si="38"/>
        <v>92</v>
      </c>
      <c r="W45" s="30"/>
      <c r="X45" s="28">
        <f>V45*V$39</f>
        <v>92</v>
      </c>
      <c r="Y45" s="29"/>
    </row>
    <row r="46" spans="1:25" ht="13.15">
      <c r="A46" s="21">
        <f t="shared" si="34"/>
        <v>2007</v>
      </c>
      <c r="B46">
        <f t="shared" ref="B46:H46" si="39">B13</f>
        <v>65</v>
      </c>
      <c r="C46">
        <f t="shared" si="39"/>
        <v>33</v>
      </c>
      <c r="D46">
        <f t="shared" si="39"/>
        <v>10</v>
      </c>
      <c r="E46">
        <f t="shared" si="39"/>
        <v>2</v>
      </c>
      <c r="F46">
        <f t="shared" si="39"/>
        <v>0</v>
      </c>
      <c r="G46">
        <f t="shared" si="39"/>
        <v>0</v>
      </c>
      <c r="H46">
        <f t="shared" si="39"/>
        <v>0</v>
      </c>
      <c r="I46" s="34">
        <f>I13*1.5</f>
        <v>0</v>
      </c>
      <c r="J46" t="str">
        <f t="shared" ref="J46:J53" si="40">J13</f>
        <v/>
      </c>
      <c r="K46" t="str">
        <f t="shared" si="36"/>
        <v/>
      </c>
      <c r="N46" s="21">
        <f t="shared" si="37"/>
        <v>2007</v>
      </c>
      <c r="O46">
        <f t="shared" ref="O46:U46" si="41">IF(ISNUMBER(O29),O29,"")</f>
        <v>65</v>
      </c>
      <c r="P46">
        <f t="shared" si="41"/>
        <v>98</v>
      </c>
      <c r="Q46">
        <f t="shared" si="41"/>
        <v>108</v>
      </c>
      <c r="R46">
        <f t="shared" si="41"/>
        <v>110</v>
      </c>
      <c r="S46">
        <f t="shared" si="41"/>
        <v>110</v>
      </c>
      <c r="T46">
        <f t="shared" si="41"/>
        <v>110</v>
      </c>
      <c r="U46">
        <f t="shared" si="41"/>
        <v>110</v>
      </c>
      <c r="V46" s="30"/>
      <c r="W46" s="30"/>
      <c r="X46" s="28">
        <f>U46*U$39</f>
        <v>110</v>
      </c>
      <c r="Y46" s="29"/>
    </row>
    <row r="47" spans="1:25" ht="13.15">
      <c r="A47" s="21">
        <f t="shared" si="34"/>
        <v>2008</v>
      </c>
      <c r="B47">
        <f t="shared" ref="B47:G47" si="42">B14</f>
        <v>83</v>
      </c>
      <c r="C47">
        <f t="shared" si="42"/>
        <v>47</v>
      </c>
      <c r="D47">
        <f t="shared" si="42"/>
        <v>8</v>
      </c>
      <c r="E47">
        <f t="shared" si="42"/>
        <v>6</v>
      </c>
      <c r="F47">
        <f t="shared" si="42"/>
        <v>1</v>
      </c>
      <c r="G47">
        <f t="shared" si="42"/>
        <v>0</v>
      </c>
      <c r="H47" s="34">
        <f>H14*1.5</f>
        <v>1.5</v>
      </c>
      <c r="I47" t="str">
        <f t="shared" ref="I47:I53" si="43">I14</f>
        <v/>
      </c>
      <c r="J47" t="str">
        <f t="shared" si="40"/>
        <v/>
      </c>
      <c r="K47" t="str">
        <f t="shared" si="36"/>
        <v/>
      </c>
      <c r="N47" s="21">
        <f t="shared" si="37"/>
        <v>2008</v>
      </c>
      <c r="O47">
        <f t="shared" ref="O47:T47" si="44">IF(ISNUMBER(O30),O30,"")</f>
        <v>83</v>
      </c>
      <c r="P47">
        <f t="shared" si="44"/>
        <v>130</v>
      </c>
      <c r="Q47">
        <f t="shared" si="44"/>
        <v>138</v>
      </c>
      <c r="R47">
        <f t="shared" si="44"/>
        <v>144</v>
      </c>
      <c r="S47">
        <f t="shared" si="44"/>
        <v>145</v>
      </c>
      <c r="T47">
        <f t="shared" si="44"/>
        <v>145</v>
      </c>
      <c r="U47" s="30"/>
      <c r="V47" s="30"/>
      <c r="W47" s="30"/>
      <c r="X47" s="28">
        <f>T47*T$39</f>
        <v>145</v>
      </c>
      <c r="Y47" s="29"/>
    </row>
    <row r="48" spans="1:25" ht="13.15">
      <c r="A48" s="21">
        <f t="shared" si="34"/>
        <v>2009</v>
      </c>
      <c r="B48">
        <f>B15</f>
        <v>120</v>
      </c>
      <c r="C48">
        <f>C15</f>
        <v>45</v>
      </c>
      <c r="D48">
        <f>D15</f>
        <v>16</v>
      </c>
      <c r="E48">
        <f>E15</f>
        <v>9</v>
      </c>
      <c r="F48">
        <f>F15</f>
        <v>2</v>
      </c>
      <c r="G48" s="34">
        <f>G15*1.5</f>
        <v>3</v>
      </c>
      <c r="H48" t="str">
        <f t="shared" ref="H48:H53" si="45">H15</f>
        <v/>
      </c>
      <c r="I48" t="str">
        <f t="shared" si="43"/>
        <v/>
      </c>
      <c r="J48" t="str">
        <f t="shared" si="40"/>
        <v/>
      </c>
      <c r="K48" t="str">
        <f t="shared" si="36"/>
        <v/>
      </c>
      <c r="N48" s="21">
        <f t="shared" si="37"/>
        <v>2009</v>
      </c>
      <c r="O48">
        <f t="shared" ref="O48:S48" si="46">IF(ISNUMBER(O31),O31,"")</f>
        <v>120</v>
      </c>
      <c r="P48">
        <f t="shared" si="46"/>
        <v>165</v>
      </c>
      <c r="Q48">
        <f t="shared" si="46"/>
        <v>181</v>
      </c>
      <c r="R48">
        <f t="shared" si="46"/>
        <v>190</v>
      </c>
      <c r="S48">
        <f t="shared" si="46"/>
        <v>192</v>
      </c>
      <c r="T48" s="30"/>
      <c r="U48" s="30"/>
      <c r="V48" s="30"/>
      <c r="W48" s="30"/>
      <c r="X48" s="28">
        <f>S48*S$39</f>
        <v>192</v>
      </c>
      <c r="Y48" s="29"/>
    </row>
    <row r="49" spans="1:25" ht="13.15">
      <c r="A49" s="21">
        <f t="shared" si="34"/>
        <v>2010</v>
      </c>
      <c r="B49">
        <f>B16</f>
        <v>149</v>
      </c>
      <c r="C49">
        <f>C16</f>
        <v>77</v>
      </c>
      <c r="D49">
        <f>D16</f>
        <v>20</v>
      </c>
      <c r="E49">
        <f>E16</f>
        <v>7</v>
      </c>
      <c r="F49" s="34">
        <f>F16*1.5</f>
        <v>4.5</v>
      </c>
      <c r="G49" t="str">
        <f>G16</f>
        <v/>
      </c>
      <c r="H49" t="str">
        <f t="shared" si="45"/>
        <v/>
      </c>
      <c r="I49" t="str">
        <f t="shared" si="43"/>
        <v/>
      </c>
      <c r="J49" t="str">
        <f t="shared" si="40"/>
        <v/>
      </c>
      <c r="K49" t="str">
        <f t="shared" si="36"/>
        <v/>
      </c>
      <c r="N49" s="21">
        <f t="shared" si="37"/>
        <v>2010</v>
      </c>
      <c r="O49">
        <f t="shared" ref="O49:R49" si="47">IF(ISNUMBER(O32),O32,"")</f>
        <v>149</v>
      </c>
      <c r="P49">
        <f t="shared" si="47"/>
        <v>226</v>
      </c>
      <c r="Q49">
        <f t="shared" si="47"/>
        <v>246</v>
      </c>
      <c r="R49">
        <f t="shared" si="47"/>
        <v>253</v>
      </c>
      <c r="S49" s="30"/>
      <c r="T49" s="30"/>
      <c r="U49" s="30"/>
      <c r="V49" s="30"/>
      <c r="W49" s="30"/>
      <c r="X49" s="28">
        <f>R49*R$39</f>
        <v>256.69642857142856</v>
      </c>
      <c r="Y49" s="29"/>
    </row>
    <row r="50" spans="1:25" ht="13.15">
      <c r="A50" s="21">
        <f t="shared" si="34"/>
        <v>2011</v>
      </c>
      <c r="B50">
        <f>B17</f>
        <v>158</v>
      </c>
      <c r="C50">
        <f>C17</f>
        <v>64</v>
      </c>
      <c r="D50">
        <f>D17</f>
        <v>19</v>
      </c>
      <c r="E50" s="34">
        <f>E17*1.5</f>
        <v>13.5</v>
      </c>
      <c r="F50" t="str">
        <f>F17</f>
        <v/>
      </c>
      <c r="G50" t="str">
        <f>G17</f>
        <v/>
      </c>
      <c r="H50" t="str">
        <f t="shared" si="45"/>
        <v/>
      </c>
      <c r="I50" t="str">
        <f t="shared" si="43"/>
        <v/>
      </c>
      <c r="J50" t="str">
        <f t="shared" si="40"/>
        <v/>
      </c>
      <c r="K50" t="str">
        <f t="shared" si="36"/>
        <v/>
      </c>
      <c r="N50" s="21">
        <f t="shared" si="37"/>
        <v>2011</v>
      </c>
      <c r="O50">
        <f t="shared" ref="O50:Q50" si="48">IF(ISNUMBER(O33),O33,"")</f>
        <v>158</v>
      </c>
      <c r="P50">
        <f t="shared" si="48"/>
        <v>222</v>
      </c>
      <c r="Q50">
        <f t="shared" si="48"/>
        <v>241</v>
      </c>
      <c r="R50" s="30"/>
      <c r="S50" s="30"/>
      <c r="T50" s="30"/>
      <c r="U50" s="30"/>
      <c r="V50" s="30"/>
      <c r="W50" s="30"/>
      <c r="X50" s="28">
        <f>Q50*Q$39</f>
        <v>254.17325273410796</v>
      </c>
      <c r="Y50" s="29"/>
    </row>
    <row r="51" spans="1:25" ht="13.5">
      <c r="A51" s="21">
        <f t="shared" si="34"/>
        <v>2012</v>
      </c>
      <c r="B51">
        <f>B18</f>
        <v>96</v>
      </c>
      <c r="C51">
        <f>C18</f>
        <v>81</v>
      </c>
      <c r="D51" s="34">
        <f>D18*1.5</f>
        <v>33</v>
      </c>
      <c r="E51" t="str">
        <f>E18</f>
        <v/>
      </c>
      <c r="F51" t="str">
        <f>F18</f>
        <v/>
      </c>
      <c r="G51" s="112" t="s">
        <v>3606</v>
      </c>
      <c r="H51" t="str">
        <f t="shared" si="45"/>
        <v/>
      </c>
      <c r="I51" t="str">
        <f t="shared" si="43"/>
        <v/>
      </c>
      <c r="J51" t="str">
        <f t="shared" si="40"/>
        <v/>
      </c>
      <c r="K51" t="str">
        <f t="shared" si="36"/>
        <v/>
      </c>
      <c r="N51" s="21">
        <f t="shared" si="37"/>
        <v>2012</v>
      </c>
      <c r="O51">
        <f t="shared" ref="O51:P51" si="49">IF(ISNUMBER(O34),O34,"")</f>
        <v>96</v>
      </c>
      <c r="P51">
        <f t="shared" si="49"/>
        <v>177</v>
      </c>
      <c r="Q51" s="30"/>
      <c r="R51" s="30"/>
      <c r="S51" s="30"/>
      <c r="T51" s="30"/>
      <c r="U51" s="30"/>
      <c r="V51" s="30"/>
      <c r="W51" s="30"/>
      <c r="X51" s="28">
        <f>P51*P$39</f>
        <v>203.90358376377279</v>
      </c>
    </row>
    <row r="52" spans="1:25" ht="13.15">
      <c r="A52" s="21">
        <f t="shared" si="34"/>
        <v>2013</v>
      </c>
      <c r="B52">
        <f>B19</f>
        <v>102</v>
      </c>
      <c r="C52" s="34">
        <f>C19*1.5</f>
        <v>148.5</v>
      </c>
      <c r="D52" t="str">
        <f>D19</f>
        <v/>
      </c>
      <c r="E52" t="str">
        <f>E19</f>
        <v/>
      </c>
      <c r="F52" t="str">
        <f>F19</f>
        <v/>
      </c>
      <c r="G52" t="str">
        <f>G19</f>
        <v/>
      </c>
      <c r="H52" t="str">
        <f t="shared" si="45"/>
        <v/>
      </c>
      <c r="I52" t="str">
        <f t="shared" si="43"/>
        <v/>
      </c>
      <c r="J52" t="str">
        <f t="shared" si="40"/>
        <v/>
      </c>
      <c r="K52" t="str">
        <f t="shared" si="36"/>
        <v/>
      </c>
      <c r="N52" s="21">
        <f t="shared" si="37"/>
        <v>2013</v>
      </c>
      <c r="O52">
        <f t="shared" ref="O52" si="50">IF(ISNUMBER(O35),O35,"")</f>
        <v>102</v>
      </c>
      <c r="P52" s="30"/>
      <c r="Q52" s="30"/>
      <c r="R52" s="30"/>
      <c r="S52" s="30"/>
      <c r="T52" s="30"/>
      <c r="U52" s="30"/>
      <c r="V52" s="30"/>
      <c r="W52" s="30"/>
      <c r="X52" s="28">
        <f>O52*O$39</f>
        <v>179.3397283951044</v>
      </c>
      <c r="Y52" s="29"/>
    </row>
    <row r="53" spans="1:25" ht="13.15">
      <c r="A53" s="21">
        <f t="shared" si="34"/>
        <v>2014</v>
      </c>
      <c r="B53" s="34">
        <f>B20*1.5</f>
        <v>102</v>
      </c>
      <c r="C53" t="str">
        <f>C20</f>
        <v/>
      </c>
      <c r="D53" t="str">
        <f>D20</f>
        <v/>
      </c>
      <c r="E53" t="str">
        <f>E20</f>
        <v/>
      </c>
      <c r="F53" t="str">
        <f>F20</f>
        <v/>
      </c>
      <c r="G53" t="str">
        <f>G20</f>
        <v/>
      </c>
      <c r="H53" t="str">
        <f t="shared" si="45"/>
        <v/>
      </c>
      <c r="I53" t="str">
        <f t="shared" si="43"/>
        <v/>
      </c>
      <c r="J53" t="str">
        <f t="shared" si="40"/>
        <v/>
      </c>
      <c r="K53" t="str">
        <f t="shared" si="36"/>
        <v/>
      </c>
      <c r="N53" s="21"/>
      <c r="O53" t="str">
        <f>IF(ISNUMBER(O37),O37,"")</f>
        <v/>
      </c>
      <c r="P53" s="27"/>
      <c r="Q53" s="27"/>
      <c r="R53" s="27"/>
      <c r="S53" s="27"/>
      <c r="T53" s="27"/>
      <c r="U53" s="27"/>
      <c r="V53" s="27"/>
      <c r="W53" s="27"/>
      <c r="X53" s="27"/>
      <c r="Y53" s="29"/>
    </row>
    <row r="57" spans="1:25" ht="15.75">
      <c r="A57" s="24" t="s">
        <v>3518</v>
      </c>
    </row>
    <row r="58" spans="1:25">
      <c r="F58" t="s">
        <v>3513</v>
      </c>
    </row>
    <row r="59" spans="1:25" ht="13.15">
      <c r="A59" s="39"/>
      <c r="B59" s="20">
        <v>0</v>
      </c>
      <c r="C59" s="20">
        <v>1</v>
      </c>
      <c r="D59" s="20">
        <v>2</v>
      </c>
      <c r="E59" s="20">
        <v>3</v>
      </c>
      <c r="F59" s="20">
        <v>4</v>
      </c>
      <c r="G59" s="20">
        <v>5</v>
      </c>
      <c r="H59" s="20">
        <v>6</v>
      </c>
      <c r="I59" s="20">
        <v>7</v>
      </c>
      <c r="J59" s="20">
        <v>8</v>
      </c>
      <c r="K59" s="20">
        <v>9</v>
      </c>
      <c r="L59" s="21"/>
    </row>
    <row r="60" spans="1:25" ht="13.15">
      <c r="A60" s="21">
        <f>A44</f>
        <v>2005</v>
      </c>
      <c r="B60">
        <f>B44</f>
        <v>50</v>
      </c>
      <c r="C60">
        <f t="shared" ref="C60:K60" si="51">IF($A60+C$26&gt;Latest_Year,"",C44+B60)</f>
        <v>76</v>
      </c>
      <c r="D60">
        <f t="shared" si="51"/>
        <v>81</v>
      </c>
      <c r="E60">
        <f t="shared" si="51"/>
        <v>84</v>
      </c>
      <c r="F60">
        <f t="shared" si="51"/>
        <v>86</v>
      </c>
      <c r="G60">
        <f t="shared" si="51"/>
        <v>86</v>
      </c>
      <c r="H60">
        <f t="shared" si="51"/>
        <v>86</v>
      </c>
      <c r="I60">
        <f t="shared" si="51"/>
        <v>86</v>
      </c>
      <c r="J60">
        <f t="shared" si="51"/>
        <v>86</v>
      </c>
      <c r="K60">
        <f t="shared" si="51"/>
        <v>86</v>
      </c>
    </row>
    <row r="61" spans="1:25" ht="13.15">
      <c r="A61" s="21">
        <f t="shared" ref="A61:A69" si="52">A45</f>
        <v>2006</v>
      </c>
      <c r="B61">
        <f t="shared" ref="B61:B69" si="53">B45</f>
        <v>41</v>
      </c>
      <c r="C61">
        <f t="shared" ref="C61:K61" si="54">IF($A61+C$26&gt;Latest_Year,"",C45+B61)</f>
        <v>69</v>
      </c>
      <c r="D61">
        <f t="shared" si="54"/>
        <v>82</v>
      </c>
      <c r="E61">
        <f t="shared" si="54"/>
        <v>88</v>
      </c>
      <c r="F61">
        <f t="shared" si="54"/>
        <v>92</v>
      </c>
      <c r="G61">
        <f t="shared" si="54"/>
        <v>92</v>
      </c>
      <c r="H61">
        <f t="shared" si="54"/>
        <v>92</v>
      </c>
      <c r="I61">
        <f t="shared" si="54"/>
        <v>92</v>
      </c>
      <c r="J61">
        <f t="shared" si="54"/>
        <v>92</v>
      </c>
      <c r="K61" t="str">
        <f t="shared" si="54"/>
        <v/>
      </c>
    </row>
    <row r="62" spans="1:25" ht="13.15">
      <c r="A62" s="21">
        <f t="shared" si="52"/>
        <v>2007</v>
      </c>
      <c r="B62">
        <f t="shared" si="53"/>
        <v>65</v>
      </c>
      <c r="C62">
        <f t="shared" ref="C62:K62" si="55">IF($A62+C$26&gt;Latest_Year,"",C46+B62)</f>
        <v>98</v>
      </c>
      <c r="D62">
        <f t="shared" si="55"/>
        <v>108</v>
      </c>
      <c r="E62">
        <f t="shared" si="55"/>
        <v>110</v>
      </c>
      <c r="F62">
        <f t="shared" si="55"/>
        <v>110</v>
      </c>
      <c r="G62">
        <f t="shared" si="55"/>
        <v>110</v>
      </c>
      <c r="H62">
        <f t="shared" si="55"/>
        <v>110</v>
      </c>
      <c r="I62">
        <f t="shared" si="55"/>
        <v>110</v>
      </c>
      <c r="J62" t="str">
        <f t="shared" si="55"/>
        <v/>
      </c>
      <c r="K62" t="str">
        <f t="shared" si="55"/>
        <v/>
      </c>
    </row>
    <row r="63" spans="1:25" ht="13.15">
      <c r="A63" s="21">
        <f t="shared" si="52"/>
        <v>2008</v>
      </c>
      <c r="B63">
        <f t="shared" si="53"/>
        <v>83</v>
      </c>
      <c r="C63">
        <f t="shared" ref="C63:K63" si="56">IF($A63+C$26&gt;Latest_Year,"",C47+B63)</f>
        <v>130</v>
      </c>
      <c r="D63">
        <f t="shared" si="56"/>
        <v>138</v>
      </c>
      <c r="E63">
        <f t="shared" si="56"/>
        <v>144</v>
      </c>
      <c r="F63">
        <f t="shared" si="56"/>
        <v>145</v>
      </c>
      <c r="G63">
        <f t="shared" si="56"/>
        <v>145</v>
      </c>
      <c r="H63">
        <f t="shared" si="56"/>
        <v>146.5</v>
      </c>
      <c r="I63" t="str">
        <f t="shared" si="56"/>
        <v/>
      </c>
      <c r="J63" t="str">
        <f t="shared" si="56"/>
        <v/>
      </c>
      <c r="K63" t="str">
        <f t="shared" si="56"/>
        <v/>
      </c>
    </row>
    <row r="64" spans="1:25" ht="13.15">
      <c r="A64" s="21">
        <f t="shared" si="52"/>
        <v>2009</v>
      </c>
      <c r="B64">
        <f t="shared" si="53"/>
        <v>120</v>
      </c>
      <c r="C64">
        <f t="shared" ref="C64:K64" si="57">IF($A64+C$26&gt;Latest_Year,"",C48+B64)</f>
        <v>165</v>
      </c>
      <c r="D64">
        <f t="shared" si="57"/>
        <v>181</v>
      </c>
      <c r="E64">
        <f t="shared" si="57"/>
        <v>190</v>
      </c>
      <c r="F64">
        <f t="shared" si="57"/>
        <v>192</v>
      </c>
      <c r="G64">
        <f t="shared" si="57"/>
        <v>195</v>
      </c>
      <c r="H64" t="str">
        <f t="shared" si="57"/>
        <v/>
      </c>
      <c r="I64" t="str">
        <f t="shared" si="57"/>
        <v/>
      </c>
      <c r="J64" t="str">
        <f t="shared" si="57"/>
        <v/>
      </c>
      <c r="K64" t="str">
        <f t="shared" si="57"/>
        <v/>
      </c>
    </row>
    <row r="65" spans="1:22" ht="13.15">
      <c r="A65" s="21">
        <f t="shared" si="52"/>
        <v>2010</v>
      </c>
      <c r="B65">
        <f t="shared" si="53"/>
        <v>149</v>
      </c>
      <c r="C65">
        <f t="shared" ref="C65:K65" si="58">IF($A65+C$26&gt;Latest_Year,"",C49+B65)</f>
        <v>226</v>
      </c>
      <c r="D65">
        <f t="shared" si="58"/>
        <v>246</v>
      </c>
      <c r="E65">
        <f t="shared" si="58"/>
        <v>253</v>
      </c>
      <c r="F65">
        <f t="shared" si="58"/>
        <v>257.5</v>
      </c>
      <c r="G65" t="str">
        <f t="shared" si="58"/>
        <v/>
      </c>
      <c r="H65" t="str">
        <f t="shared" si="58"/>
        <v/>
      </c>
      <c r="I65" t="str">
        <f t="shared" si="58"/>
        <v/>
      </c>
      <c r="J65" t="str">
        <f t="shared" si="58"/>
        <v/>
      </c>
      <c r="K65" t="str">
        <f t="shared" si="58"/>
        <v/>
      </c>
    </row>
    <row r="66" spans="1:22" ht="13.15">
      <c r="A66" s="21">
        <f t="shared" si="52"/>
        <v>2011</v>
      </c>
      <c r="B66">
        <f t="shared" si="53"/>
        <v>158</v>
      </c>
      <c r="C66">
        <f t="shared" ref="C66:K66" si="59">IF($A66+C$26&gt;Latest_Year,"",C50+B66)</f>
        <v>222</v>
      </c>
      <c r="D66">
        <f t="shared" si="59"/>
        <v>241</v>
      </c>
      <c r="E66">
        <f t="shared" si="59"/>
        <v>254.5</v>
      </c>
      <c r="F66" t="str">
        <f t="shared" si="59"/>
        <v/>
      </c>
      <c r="G66" t="str">
        <f t="shared" si="59"/>
        <v/>
      </c>
      <c r="H66" t="str">
        <f t="shared" si="59"/>
        <v/>
      </c>
      <c r="I66" t="str">
        <f t="shared" si="59"/>
        <v/>
      </c>
      <c r="J66" t="str">
        <f t="shared" si="59"/>
        <v/>
      </c>
      <c r="K66" t="str">
        <f t="shared" si="59"/>
        <v/>
      </c>
    </row>
    <row r="67" spans="1:22" ht="13.15">
      <c r="A67" s="21">
        <f t="shared" si="52"/>
        <v>2012</v>
      </c>
      <c r="B67">
        <f t="shared" si="53"/>
        <v>96</v>
      </c>
      <c r="C67">
        <f t="shared" ref="C67:K67" si="60">IF($A67+C$26&gt;Latest_Year,"",C51+B67)</f>
        <v>177</v>
      </c>
      <c r="D67">
        <f t="shared" si="60"/>
        <v>210</v>
      </c>
      <c r="E67" t="str">
        <f t="shared" si="60"/>
        <v/>
      </c>
      <c r="F67" t="str">
        <f t="shared" si="60"/>
        <v/>
      </c>
      <c r="G67" t="str">
        <f t="shared" si="60"/>
        <v/>
      </c>
      <c r="H67" t="str">
        <f t="shared" si="60"/>
        <v/>
      </c>
      <c r="I67" t="str">
        <f t="shared" si="60"/>
        <v/>
      </c>
      <c r="J67" t="str">
        <f t="shared" si="60"/>
        <v/>
      </c>
      <c r="K67" t="str">
        <f t="shared" si="60"/>
        <v/>
      </c>
    </row>
    <row r="68" spans="1:22" ht="13.15">
      <c r="A68" s="21">
        <f t="shared" si="52"/>
        <v>2013</v>
      </c>
      <c r="B68">
        <f t="shared" si="53"/>
        <v>102</v>
      </c>
      <c r="C68">
        <f t="shared" ref="C68:K68" si="61">IF($A68+C$26&gt;Latest_Year,"",C52+B68)</f>
        <v>250.5</v>
      </c>
      <c r="D68" t="str">
        <f t="shared" si="61"/>
        <v/>
      </c>
      <c r="E68" t="str">
        <f t="shared" si="61"/>
        <v/>
      </c>
      <c r="F68" t="str">
        <f t="shared" si="61"/>
        <v/>
      </c>
      <c r="G68" t="str">
        <f t="shared" si="61"/>
        <v/>
      </c>
      <c r="H68" t="str">
        <f t="shared" si="61"/>
        <v/>
      </c>
      <c r="I68" t="str">
        <f t="shared" si="61"/>
        <v/>
      </c>
      <c r="J68" t="str">
        <f t="shared" si="61"/>
        <v/>
      </c>
      <c r="K68" t="str">
        <f t="shared" si="61"/>
        <v/>
      </c>
    </row>
    <row r="69" spans="1:22" ht="13.15">
      <c r="A69" s="21">
        <f t="shared" si="52"/>
        <v>2014</v>
      </c>
      <c r="B69">
        <f t="shared" si="53"/>
        <v>102</v>
      </c>
      <c r="C69" t="str">
        <f t="shared" ref="C69:K69" si="62">IF($A69+C$26&gt;Latest_Year,"",C53+B69)</f>
        <v/>
      </c>
      <c r="D69" t="str">
        <f t="shared" si="62"/>
        <v/>
      </c>
      <c r="E69" t="str">
        <f t="shared" si="62"/>
        <v/>
      </c>
      <c r="F69" t="str">
        <f t="shared" si="62"/>
        <v/>
      </c>
      <c r="G69" t="str">
        <f t="shared" si="62"/>
        <v/>
      </c>
      <c r="H69" t="str">
        <f t="shared" si="62"/>
        <v/>
      </c>
      <c r="I69" t="str">
        <f t="shared" si="62"/>
        <v/>
      </c>
      <c r="J69" t="str">
        <f t="shared" si="62"/>
        <v/>
      </c>
      <c r="K69" t="str">
        <f t="shared" si="62"/>
        <v/>
      </c>
    </row>
    <row r="70" spans="1:22">
      <c r="K70" s="2" t="s">
        <v>3537</v>
      </c>
    </row>
    <row r="71" spans="1:22">
      <c r="A71" s="22" t="s">
        <v>3519</v>
      </c>
      <c r="B71" s="23">
        <f t="shared" ref="B71:J71" si="63">SUM(C60:C69)/SUMIF(C60:C69,"&gt;0",B60:B69)</f>
        <v>1.6359953703703705</v>
      </c>
      <c r="C71" s="23">
        <f t="shared" si="63"/>
        <v>1.1066208082545141</v>
      </c>
      <c r="D71" s="23">
        <f t="shared" si="63"/>
        <v>1.0431754874651811</v>
      </c>
      <c r="E71" s="23">
        <f t="shared" si="63"/>
        <v>1.0155350978135789</v>
      </c>
      <c r="F71" s="23">
        <f t="shared" si="63"/>
        <v>1.0047999999999999</v>
      </c>
      <c r="G71" s="23">
        <f t="shared" si="63"/>
        <v>1.0034642032332564</v>
      </c>
      <c r="H71" s="23">
        <f t="shared" si="63"/>
        <v>1</v>
      </c>
      <c r="I71" s="23">
        <f t="shared" si="63"/>
        <v>1</v>
      </c>
      <c r="J71" s="23">
        <f t="shared" si="63"/>
        <v>1</v>
      </c>
      <c r="K71" s="43">
        <v>1</v>
      </c>
      <c r="L71" s="23"/>
    </row>
    <row r="72" spans="1:22">
      <c r="A72" s="22" t="s">
        <v>3522</v>
      </c>
      <c r="B72" s="40">
        <f>B71*C72</f>
        <v>1.9338141086415646</v>
      </c>
      <c r="C72" s="40">
        <f t="shared" ref="C72:I72" si="64">C71*D72</f>
        <v>1.1820413087133439</v>
      </c>
      <c r="D72" s="40">
        <f t="shared" si="64"/>
        <v>1.0681538788140008</v>
      </c>
      <c r="E72" s="40">
        <f t="shared" si="64"/>
        <v>1.0239445727482679</v>
      </c>
      <c r="F72" s="40">
        <f t="shared" si="64"/>
        <v>1.0082808314087759</v>
      </c>
      <c r="G72" s="40">
        <f t="shared" si="64"/>
        <v>1.0034642032332564</v>
      </c>
      <c r="H72" s="40">
        <f t="shared" si="64"/>
        <v>1</v>
      </c>
      <c r="I72" s="40">
        <f t="shared" si="64"/>
        <v>1</v>
      </c>
      <c r="J72" s="40">
        <f>J71</f>
        <v>1</v>
      </c>
      <c r="K72" s="44">
        <v>1</v>
      </c>
    </row>
    <row r="73" spans="1:22">
      <c r="L73" s="37"/>
    </row>
    <row r="74" spans="1:22" ht="15.75">
      <c r="A74" s="24" t="s">
        <v>3521</v>
      </c>
    </row>
    <row r="75" spans="1:22">
      <c r="F75" t="s">
        <v>3513</v>
      </c>
    </row>
    <row r="76" spans="1:22" ht="13.15">
      <c r="A76" s="72" t="s">
        <v>114</v>
      </c>
      <c r="B76" s="72">
        <v>0</v>
      </c>
      <c r="C76" s="72">
        <v>1</v>
      </c>
      <c r="D76" s="72">
        <v>2</v>
      </c>
      <c r="E76" s="72">
        <v>3</v>
      </c>
      <c r="F76" s="72">
        <v>4</v>
      </c>
      <c r="G76" s="72">
        <v>5</v>
      </c>
      <c r="H76" s="72">
        <v>6</v>
      </c>
      <c r="I76" s="72">
        <v>7</v>
      </c>
      <c r="J76" s="72">
        <v>8</v>
      </c>
      <c r="K76" s="72">
        <v>9</v>
      </c>
      <c r="L76" s="20" t="s">
        <v>3520</v>
      </c>
      <c r="V76" s="29"/>
    </row>
    <row r="77" spans="1:22" ht="13.15">
      <c r="A77" s="21">
        <f>A60</f>
        <v>2005</v>
      </c>
      <c r="B77">
        <f>IF(ISNUMBER(B60),B60,"")</f>
        <v>50</v>
      </c>
      <c r="C77">
        <f t="shared" ref="C77:K77" si="65">IF(ISNUMBER(C60),C60,"")</f>
        <v>76</v>
      </c>
      <c r="D77">
        <f t="shared" si="65"/>
        <v>81</v>
      </c>
      <c r="E77">
        <f t="shared" si="65"/>
        <v>84</v>
      </c>
      <c r="F77">
        <f t="shared" si="65"/>
        <v>86</v>
      </c>
      <c r="G77">
        <f t="shared" si="65"/>
        <v>86</v>
      </c>
      <c r="H77">
        <f t="shared" si="65"/>
        <v>86</v>
      </c>
      <c r="I77">
        <f t="shared" si="65"/>
        <v>86</v>
      </c>
      <c r="J77">
        <f t="shared" si="65"/>
        <v>86</v>
      </c>
      <c r="K77">
        <f t="shared" si="65"/>
        <v>86</v>
      </c>
      <c r="L77" s="29">
        <f>K77*K$72</f>
        <v>86</v>
      </c>
    </row>
    <row r="78" spans="1:22" ht="13.15">
      <c r="A78" s="21">
        <f t="shared" ref="A78:A86" si="66">A61</f>
        <v>2006</v>
      </c>
      <c r="B78">
        <f t="shared" ref="B78:J86" si="67">IF(ISNUMBER(B61),B61,"")</f>
        <v>41</v>
      </c>
      <c r="C78">
        <f t="shared" si="67"/>
        <v>69</v>
      </c>
      <c r="D78">
        <f t="shared" si="67"/>
        <v>82</v>
      </c>
      <c r="E78">
        <f t="shared" si="67"/>
        <v>88</v>
      </c>
      <c r="F78">
        <f t="shared" si="67"/>
        <v>92</v>
      </c>
      <c r="G78">
        <f t="shared" si="67"/>
        <v>92</v>
      </c>
      <c r="H78">
        <f t="shared" si="67"/>
        <v>92</v>
      </c>
      <c r="I78">
        <f t="shared" si="67"/>
        <v>92</v>
      </c>
      <c r="J78">
        <f t="shared" si="67"/>
        <v>92</v>
      </c>
      <c r="K78" s="27"/>
      <c r="L78" s="29">
        <f>J78*J$72</f>
        <v>92</v>
      </c>
      <c r="M78" s="26"/>
      <c r="N78" s="26"/>
      <c r="O78" s="26"/>
      <c r="P78" s="26"/>
      <c r="Q78" s="26"/>
      <c r="R78" s="26"/>
    </row>
    <row r="79" spans="1:22" ht="13.15">
      <c r="A79" s="21">
        <f t="shared" si="66"/>
        <v>2007</v>
      </c>
      <c r="B79">
        <f t="shared" si="67"/>
        <v>65</v>
      </c>
      <c r="C79">
        <f t="shared" si="67"/>
        <v>98</v>
      </c>
      <c r="D79">
        <f t="shared" si="67"/>
        <v>108</v>
      </c>
      <c r="E79">
        <f t="shared" si="67"/>
        <v>110</v>
      </c>
      <c r="F79">
        <f t="shared" si="67"/>
        <v>110</v>
      </c>
      <c r="G79">
        <f t="shared" si="67"/>
        <v>110</v>
      </c>
      <c r="H79">
        <f t="shared" si="67"/>
        <v>110</v>
      </c>
      <c r="I79">
        <f t="shared" si="67"/>
        <v>110</v>
      </c>
      <c r="J79" s="27"/>
      <c r="K79" s="27"/>
      <c r="L79" s="29">
        <f>I79*I$72</f>
        <v>110</v>
      </c>
      <c r="M79" s="26"/>
      <c r="N79" s="26"/>
      <c r="O79" s="26"/>
      <c r="P79" s="26"/>
      <c r="Q79" s="26"/>
    </row>
    <row r="80" spans="1:22" ht="13.15">
      <c r="A80" s="21">
        <f t="shared" si="66"/>
        <v>2008</v>
      </c>
      <c r="B80">
        <f t="shared" si="67"/>
        <v>83</v>
      </c>
      <c r="C80">
        <f t="shared" si="67"/>
        <v>130</v>
      </c>
      <c r="D80">
        <f t="shared" si="67"/>
        <v>138</v>
      </c>
      <c r="E80">
        <f t="shared" si="67"/>
        <v>144</v>
      </c>
      <c r="F80">
        <f t="shared" si="67"/>
        <v>145</v>
      </c>
      <c r="G80">
        <f t="shared" si="67"/>
        <v>145</v>
      </c>
      <c r="H80">
        <f t="shared" si="67"/>
        <v>146.5</v>
      </c>
      <c r="I80" s="27"/>
      <c r="J80" s="27"/>
      <c r="K80" s="27"/>
      <c r="L80" s="29">
        <f>H80*H$72</f>
        <v>146.5</v>
      </c>
      <c r="M80" s="26"/>
      <c r="N80" s="26"/>
      <c r="O80" s="26"/>
      <c r="P80" s="26"/>
    </row>
    <row r="81" spans="1:15" ht="13.15">
      <c r="A81" s="21">
        <f t="shared" si="66"/>
        <v>2009</v>
      </c>
      <c r="B81">
        <f t="shared" si="67"/>
        <v>120</v>
      </c>
      <c r="C81">
        <f t="shared" si="67"/>
        <v>165</v>
      </c>
      <c r="D81">
        <f t="shared" si="67"/>
        <v>181</v>
      </c>
      <c r="E81">
        <f t="shared" si="67"/>
        <v>190</v>
      </c>
      <c r="F81">
        <f t="shared" si="67"/>
        <v>192</v>
      </c>
      <c r="G81">
        <f t="shared" si="67"/>
        <v>195</v>
      </c>
      <c r="H81" s="27"/>
      <c r="I81" s="27"/>
      <c r="J81" s="27"/>
      <c r="K81" s="27"/>
      <c r="L81" s="29">
        <f>G81*G$72</f>
        <v>195.67551963048498</v>
      </c>
      <c r="M81" s="26"/>
      <c r="N81" s="26"/>
      <c r="O81" s="26"/>
    </row>
    <row r="82" spans="1:15" ht="13.15">
      <c r="A82" s="21">
        <f t="shared" si="66"/>
        <v>2010</v>
      </c>
      <c r="B82">
        <f t="shared" si="67"/>
        <v>149</v>
      </c>
      <c r="C82">
        <f t="shared" si="67"/>
        <v>226</v>
      </c>
      <c r="D82">
        <f t="shared" si="67"/>
        <v>246</v>
      </c>
      <c r="E82">
        <f t="shared" si="67"/>
        <v>253</v>
      </c>
      <c r="F82">
        <f t="shared" si="67"/>
        <v>257.5</v>
      </c>
      <c r="G82" s="27"/>
      <c r="H82" s="27"/>
      <c r="I82" s="27"/>
      <c r="J82" s="27"/>
      <c r="K82" s="27"/>
      <c r="L82" s="29">
        <f>F82*F$72</f>
        <v>259.63231408775977</v>
      </c>
      <c r="M82" s="26"/>
      <c r="N82" s="26"/>
    </row>
    <row r="83" spans="1:15" ht="13.15">
      <c r="A83" s="21">
        <f t="shared" si="66"/>
        <v>2011</v>
      </c>
      <c r="B83">
        <f t="shared" si="67"/>
        <v>158</v>
      </c>
      <c r="C83">
        <f t="shared" si="67"/>
        <v>222</v>
      </c>
      <c r="D83">
        <f t="shared" si="67"/>
        <v>241</v>
      </c>
      <c r="E83">
        <f t="shared" si="67"/>
        <v>254.5</v>
      </c>
      <c r="F83" s="27"/>
      <c r="G83" s="27"/>
      <c r="H83" s="27"/>
      <c r="I83" s="27"/>
      <c r="J83" s="27"/>
      <c r="K83" s="27"/>
      <c r="L83" s="29">
        <f>E83*E$72</f>
        <v>260.5938937644342</v>
      </c>
      <c r="M83" s="26"/>
    </row>
    <row r="84" spans="1:15" ht="13.15">
      <c r="A84" s="21">
        <f t="shared" si="66"/>
        <v>2012</v>
      </c>
      <c r="B84">
        <f t="shared" si="67"/>
        <v>96</v>
      </c>
      <c r="C84">
        <f t="shared" si="67"/>
        <v>177</v>
      </c>
      <c r="D84">
        <f t="shared" si="67"/>
        <v>210</v>
      </c>
      <c r="E84" s="27"/>
      <c r="F84" s="27"/>
      <c r="G84" s="27"/>
      <c r="H84" s="27"/>
      <c r="I84" s="27"/>
      <c r="J84" s="27"/>
      <c r="K84" s="27"/>
      <c r="L84" s="29">
        <f>D84*D$72</f>
        <v>224.31231455094016</v>
      </c>
    </row>
    <row r="85" spans="1:15" ht="13.15">
      <c r="A85" s="21">
        <f t="shared" si="66"/>
        <v>2013</v>
      </c>
      <c r="B85">
        <f t="shared" si="67"/>
        <v>102</v>
      </c>
      <c r="C85">
        <f t="shared" si="67"/>
        <v>250.5</v>
      </c>
      <c r="D85" s="27"/>
      <c r="E85" s="27"/>
      <c r="F85" s="27"/>
      <c r="G85" s="27"/>
      <c r="H85" s="27"/>
      <c r="I85" s="27"/>
      <c r="J85" s="27"/>
      <c r="K85" s="27"/>
      <c r="L85" s="29">
        <f>C85*C$72</f>
        <v>296.10134783269262</v>
      </c>
    </row>
    <row r="86" spans="1:15" ht="13.15">
      <c r="A86" s="21">
        <f t="shared" si="66"/>
        <v>2014</v>
      </c>
      <c r="B86">
        <f t="shared" si="67"/>
        <v>102</v>
      </c>
      <c r="C86" s="27"/>
      <c r="D86" s="27"/>
      <c r="E86" s="27"/>
      <c r="F86" s="27"/>
      <c r="G86" s="27"/>
      <c r="H86" s="27"/>
      <c r="I86" s="27"/>
      <c r="J86" s="27"/>
      <c r="K86" s="27"/>
      <c r="L86" s="29">
        <f>B86*B$72</f>
        <v>197.24903908143958</v>
      </c>
    </row>
    <row r="88" spans="1:15">
      <c r="B88" s="22"/>
      <c r="C88" s="25"/>
      <c r="D88" s="25"/>
      <c r="E88" s="25"/>
      <c r="F88" s="25"/>
      <c r="G88" s="25"/>
      <c r="H88" s="25"/>
      <c r="I88" s="25"/>
      <c r="J88" s="25"/>
      <c r="K88" s="25"/>
    </row>
  </sheetData>
  <phoneticPr fontId="76"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AR130"/>
  <sheetViews>
    <sheetView showGridLines="0" topLeftCell="A19" workbookViewId="0">
      <selection activeCell="D9" sqref="D9"/>
    </sheetView>
  </sheetViews>
  <sheetFormatPr defaultRowHeight="12.75"/>
  <cols>
    <col min="1" max="1" width="15.33203125" customWidth="1"/>
    <col min="2" max="2" width="14.1328125" bestFit="1" customWidth="1"/>
    <col min="3" max="3" width="18.33203125" bestFit="1" customWidth="1"/>
    <col min="4" max="4" width="22" bestFit="1" customWidth="1"/>
    <col min="5" max="5" width="10.6640625" bestFit="1" customWidth="1"/>
    <col min="6" max="6" width="17.53125" bestFit="1" customWidth="1"/>
    <col min="7" max="7" width="11.1328125" bestFit="1" customWidth="1"/>
    <col min="8" max="8" width="29" bestFit="1" customWidth="1"/>
    <col min="9" max="9" width="4.86328125" bestFit="1" customWidth="1"/>
    <col min="10" max="10" width="30.53125" bestFit="1" customWidth="1"/>
    <col min="11" max="11" width="4.86328125" bestFit="1" customWidth="1"/>
    <col min="12" max="22" width="4.6640625" customWidth="1"/>
    <col min="23" max="23" width="5.1328125" customWidth="1"/>
    <col min="24" max="24" width="7.86328125" bestFit="1" customWidth="1"/>
  </cols>
  <sheetData>
    <row r="1" spans="1:36" ht="13.9">
      <c r="E1" s="105" t="s">
        <v>3607</v>
      </c>
    </row>
    <row r="2" spans="1:36" ht="18.399999999999999">
      <c r="A2" s="73" t="s">
        <v>3580</v>
      </c>
      <c r="B2" s="73"/>
    </row>
    <row r="5" spans="1:36" ht="15.75">
      <c r="A5" s="24" t="s">
        <v>3515</v>
      </c>
      <c r="G5">
        <f>SUMIF('2. Claims data'!$X$14:$X$1730,"="&amp;$C9,'2. Claims data'!$O$13:$O$1730)</f>
        <v>27</v>
      </c>
    </row>
    <row r="7" spans="1:36">
      <c r="H7" t="s">
        <v>3526</v>
      </c>
    </row>
    <row r="8" spans="1:36" ht="13.15">
      <c r="A8" s="72" t="s">
        <v>114</v>
      </c>
      <c r="B8" s="36" t="s">
        <v>3528</v>
      </c>
      <c r="C8" s="36" t="s">
        <v>3535</v>
      </c>
      <c r="D8" s="72">
        <v>0</v>
      </c>
      <c r="E8" s="72">
        <v>1</v>
      </c>
      <c r="F8" s="72">
        <v>2</v>
      </c>
      <c r="G8" s="72">
        <v>3</v>
      </c>
      <c r="H8" s="72">
        <v>4</v>
      </c>
      <c r="I8" s="72">
        <v>5</v>
      </c>
      <c r="J8" s="72">
        <v>6</v>
      </c>
      <c r="K8" s="72">
        <v>7</v>
      </c>
      <c r="L8" s="72">
        <v>8</v>
      </c>
      <c r="M8" s="72">
        <v>9</v>
      </c>
      <c r="N8" s="72">
        <v>10</v>
      </c>
      <c r="O8" s="72">
        <v>11</v>
      </c>
      <c r="P8" s="72">
        <v>12</v>
      </c>
      <c r="Q8" s="72">
        <v>13</v>
      </c>
      <c r="R8" s="72">
        <v>14</v>
      </c>
      <c r="S8" s="72">
        <v>15</v>
      </c>
      <c r="T8" s="72">
        <v>16</v>
      </c>
      <c r="U8" s="72">
        <v>17</v>
      </c>
      <c r="V8" s="72">
        <v>18</v>
      </c>
      <c r="W8" s="72">
        <v>19</v>
      </c>
      <c r="X8" s="72">
        <v>20</v>
      </c>
      <c r="Y8" s="72">
        <v>21</v>
      </c>
      <c r="Z8" s="72">
        <v>22</v>
      </c>
      <c r="AA8" s="72">
        <v>23</v>
      </c>
      <c r="AB8" s="72">
        <v>24</v>
      </c>
      <c r="AC8" s="72">
        <v>25</v>
      </c>
      <c r="AD8" s="72">
        <v>26</v>
      </c>
      <c r="AE8" s="72">
        <v>27</v>
      </c>
      <c r="AF8" s="72">
        <v>28</v>
      </c>
      <c r="AG8" s="20"/>
      <c r="AJ8" t="s">
        <v>3532</v>
      </c>
    </row>
    <row r="9" spans="1:36" ht="13.15">
      <c r="A9">
        <v>2005</v>
      </c>
      <c r="B9">
        <v>0</v>
      </c>
      <c r="C9" s="21">
        <v>0</v>
      </c>
      <c r="D9">
        <f>IF($C9+D$8&gt;Latest_Third,"",SUMIFS(Table1[Non-zero? (1=Yes)],Table1[Policy third],"="&amp;$C9,Table1[Delay (thirds)],"="&amp;D$8))</f>
        <v>8</v>
      </c>
      <c r="E9">
        <f>IF($C9+E$8&gt;Latest_Third,"",SUMIFS(Table1[Non-zero? (1=Yes)],Table1[Policy third],"="&amp;$C9,Table1[Delay (thirds)],"="&amp;E$8))</f>
        <v>6</v>
      </c>
      <c r="F9">
        <f>IF($C9+F$8&gt;Latest_Third,"",SUMIFS(Table1[Non-zero? (1=Yes)],Table1[Policy third],"="&amp;$C9,Table1[Delay (thirds)],"="&amp;F$8))</f>
        <v>4</v>
      </c>
      <c r="G9">
        <f>IF($C9+G$8&gt;Latest_Third,"",SUMIFS(Table1[Non-zero? (1=Yes)],Table1[Policy third],"="&amp;$C9,Table1[Delay (thirds)],"="&amp;G$8))</f>
        <v>5</v>
      </c>
      <c r="H9">
        <f>IF($C9+H$8&gt;Latest_Third,"",SUMIFS(Table1[Non-zero? (1=Yes)],Table1[Policy third],"="&amp;$C9,Table1[Delay (thirds)],"="&amp;H$8))</f>
        <v>1</v>
      </c>
      <c r="I9">
        <f>IF($C9+I$8&gt;Latest_Third,"",SUMIFS(Table1[Non-zero? (1=Yes)],Table1[Policy third],"="&amp;$C9,Table1[Delay (thirds)],"="&amp;I$8))</f>
        <v>1</v>
      </c>
      <c r="J9">
        <f>IF($C9+J$8&gt;Latest_Third,"",SUMIFS(Table1[Non-zero? (1=Yes)],Table1[Policy third],"="&amp;$C9,Table1[Delay (thirds)],"="&amp;J$8))</f>
        <v>0</v>
      </c>
      <c r="K9">
        <f>IF($C9+K$8&gt;Latest_Third,"",SUMIFS(Table1[Non-zero? (1=Yes)],Table1[Policy third],"="&amp;$C9,Table1[Delay (thirds)],"="&amp;K$8))</f>
        <v>1</v>
      </c>
      <c r="L9">
        <f>IF($C9+L$8&gt;Latest_Third,"",SUMIFS(Table1[Non-zero? (1=Yes)],Table1[Policy third],"="&amp;$C9,Table1[Delay (thirds)],"="&amp;L$8))</f>
        <v>1</v>
      </c>
      <c r="M9">
        <f>IF($C9+M$8&gt;Latest_Third,"",SUMIFS(Table1[Non-zero? (1=Yes)],Table1[Policy third],"="&amp;$C9,Table1[Delay (thirds)],"="&amp;M$8))</f>
        <v>0</v>
      </c>
      <c r="N9">
        <f>IF($C9+N$8&gt;Latest_Third,"",SUMIFS(Table1[Non-zero? (1=Yes)],Table1[Policy third],"="&amp;$C9,Table1[Delay (thirds)],"="&amp;N$8))</f>
        <v>0</v>
      </c>
      <c r="O9">
        <f>IF($C9+O$8&gt;Latest_Third,"",SUMIFS(Table1[Non-zero? (1=Yes)],Table1[Policy third],"="&amp;$C9,Table1[Delay (thirds)],"="&amp;O$8))</f>
        <v>0</v>
      </c>
      <c r="P9">
        <f>IF($C9+P$8&gt;Latest_Third,"",SUMIFS(Table1[Non-zero? (1=Yes)],Table1[Policy third],"="&amp;$C9,Table1[Delay (thirds)],"="&amp;P$8))</f>
        <v>0</v>
      </c>
      <c r="Q9">
        <f>IF($C9+Q$8&gt;Latest_Third,"",SUMIFS(Table1[Non-zero? (1=Yes)],Table1[Policy third],"="&amp;$C9,Table1[Delay (thirds)],"="&amp;Q$8))</f>
        <v>1</v>
      </c>
      <c r="R9">
        <f>IF($C9+R$8&gt;Latest_Third,"",SUMIFS(Table1[Non-zero? (1=Yes)],Table1[Policy third],"="&amp;$C9,Table1[Delay (thirds)],"="&amp;R$8))</f>
        <v>0</v>
      </c>
      <c r="S9">
        <f>IF($C9+S$8&gt;Latest_Third,"",SUMIFS(Table1[Non-zero? (1=Yes)],Table1[Policy third],"="&amp;$C9,Table1[Delay (thirds)],"="&amp;S$8))</f>
        <v>0</v>
      </c>
      <c r="T9">
        <f>IF($C9+T$8&gt;Latest_Third,"",SUMIFS(Table1[Non-zero? (1=Yes)],Table1[Policy third],"="&amp;$C9,Table1[Delay (thirds)],"="&amp;T$8))</f>
        <v>0</v>
      </c>
      <c r="U9">
        <f>IF($C9+U$8&gt;Latest_Third,"",SUMIFS(Table1[Non-zero? (1=Yes)],Table1[Policy third],"="&amp;$C9,Table1[Delay (thirds)],"="&amp;U$8))</f>
        <v>0</v>
      </c>
      <c r="V9">
        <f>IF($C9+V$8&gt;Latest_Third,"",SUMIFS(Table1[Non-zero? (1=Yes)],Table1[Policy third],"="&amp;$C9,Table1[Delay (thirds)],"="&amp;V$8))</f>
        <v>0</v>
      </c>
      <c r="W9">
        <f>IF($C9+W$8&gt;Latest_Third,"",SUMIFS(Table1[Non-zero? (1=Yes)],Table1[Policy third],"="&amp;$C9,Table1[Delay (thirds)],"="&amp;W$8))</f>
        <v>0</v>
      </c>
      <c r="X9">
        <f>IF($C9+X$8&gt;Latest_Third,"",SUMIFS(Table1[Non-zero? (1=Yes)],Table1[Policy third],"="&amp;$C9,Table1[Delay (thirds)],"="&amp;X$8))</f>
        <v>0</v>
      </c>
      <c r="Y9">
        <f>IF($C9+Y$8&gt;Latest_Third,"",SUMIFS(Table1[Non-zero? (1=Yes)],Table1[Policy third],"="&amp;$C9,Table1[Delay (thirds)],"="&amp;Y$8))</f>
        <v>0</v>
      </c>
      <c r="Z9">
        <f>IF($C9+Z$8&gt;Latest_Third,"",SUMIFS(Table1[Non-zero? (1=Yes)],Table1[Policy third],"="&amp;$C9,Table1[Delay (thirds)],"="&amp;Z$8))</f>
        <v>0</v>
      </c>
      <c r="AA9">
        <f>IF($C9+AA$8&gt;Latest_Third,"",SUMIFS(Table1[Non-zero? (1=Yes)],Table1[Policy third],"="&amp;$C9,Table1[Delay (thirds)],"="&amp;AA$8))</f>
        <v>0</v>
      </c>
      <c r="AB9">
        <f>IF($C9+AB$8&gt;Latest_Third,"",SUMIFS(Table1[Non-zero? (1=Yes)],Table1[Policy third],"="&amp;$C9,Table1[Delay (thirds)],"="&amp;AB$8))</f>
        <v>0</v>
      </c>
      <c r="AC9">
        <f>IF($C9+AC$8&gt;Latest_Third,"",SUMIFS(Table1[Non-zero? (1=Yes)],Table1[Policy third],"="&amp;$C9,Table1[Delay (thirds)],"="&amp;AC$8))</f>
        <v>0</v>
      </c>
      <c r="AD9">
        <f>IF($C9+AD$8&gt;Latest_Third,"",SUMIFS(Table1[Non-zero? (1=Yes)],Table1[Policy third],"="&amp;$C9,Table1[Delay (thirds)],"="&amp;AD$8))</f>
        <v>0</v>
      </c>
      <c r="AE9">
        <f>IF($C9+AE$8&gt;Latest_Third,"",SUMIFS(Table1[Non-zero? (1=Yes)],Table1[Policy third],"="&amp;$C9,Table1[Delay (thirds)],"="&amp;AE$8))</f>
        <v>0</v>
      </c>
      <c r="AF9">
        <f>IF($C9+AF$8&gt;Latest_Third,"",SUMIFS(Table1[Non-zero? (1=Yes)],Table1[Policy third],"="&amp;$C9,Table1[Delay (thirds)],"="&amp;AF$8))</f>
        <v>0</v>
      </c>
      <c r="AJ9">
        <f t="shared" ref="AJ9:AJ37" si="0">SUM(D9:W9)</f>
        <v>28</v>
      </c>
    </row>
    <row r="10" spans="1:36" ht="13.15">
      <c r="A10">
        <f>A9</f>
        <v>2005</v>
      </c>
      <c r="B10">
        <v>1</v>
      </c>
      <c r="C10" s="21">
        <v>1</v>
      </c>
      <c r="D10">
        <f>IF($C10+D$8&gt;Latest_Third,"",SUMIFS(Table1[Non-zero? (1=Yes)],Table1[Policy third],"="&amp;$C10,Table1[Delay (thirds)],"="&amp;D$8))</f>
        <v>10</v>
      </c>
      <c r="E10">
        <f>IF($C10+E$8&gt;Latest_Third,"",SUMIFS(Table1[Non-zero? (1=Yes)],Table1[Policy third],"="&amp;$C10,Table1[Delay (thirds)],"="&amp;E$8))</f>
        <v>4</v>
      </c>
      <c r="F10">
        <f>IF($C10+F$8&gt;Latest_Third,"",SUMIFS(Table1[Non-zero? (1=Yes)],Table1[Policy third],"="&amp;$C10,Table1[Delay (thirds)],"="&amp;F$8))</f>
        <v>3</v>
      </c>
      <c r="G10">
        <f>IF($C10+G$8&gt;Latest_Third,"",SUMIFS(Table1[Non-zero? (1=Yes)],Table1[Policy third],"="&amp;$C10,Table1[Delay (thirds)],"="&amp;G$8))</f>
        <v>1</v>
      </c>
      <c r="H10">
        <f>IF($C10+H$8&gt;Latest_Third,"",SUMIFS(Table1[Non-zero? (1=Yes)],Table1[Policy third],"="&amp;$C10,Table1[Delay (thirds)],"="&amp;H$8))</f>
        <v>0</v>
      </c>
      <c r="I10">
        <f>IF($C10+I$8&gt;Latest_Third,"",SUMIFS(Table1[Non-zero? (1=Yes)],Table1[Policy third],"="&amp;$C10,Table1[Delay (thirds)],"="&amp;I$8))</f>
        <v>1</v>
      </c>
      <c r="J10">
        <f>IF($C10+J$8&gt;Latest_Third,"",SUMIFS(Table1[Non-zero? (1=Yes)],Table1[Policy third],"="&amp;$C10,Table1[Delay (thirds)],"="&amp;J$8))</f>
        <v>0</v>
      </c>
      <c r="K10">
        <f>IF($C10+K$8&gt;Latest_Third,"",SUMIFS(Table1[Non-zero? (1=Yes)],Table1[Policy third],"="&amp;$C10,Table1[Delay (thirds)],"="&amp;K$8))</f>
        <v>0</v>
      </c>
      <c r="L10">
        <f>IF($C10+L$8&gt;Latest_Third,"",SUMIFS(Table1[Non-zero? (1=Yes)],Table1[Policy third],"="&amp;$C10,Table1[Delay (thirds)],"="&amp;L$8))</f>
        <v>0</v>
      </c>
      <c r="M10">
        <f>IF($C10+M$8&gt;Latest_Third,"",SUMIFS(Table1[Non-zero? (1=Yes)],Table1[Policy third],"="&amp;$C10,Table1[Delay (thirds)],"="&amp;M$8))</f>
        <v>1</v>
      </c>
      <c r="N10">
        <f>IF($C10+N$8&gt;Latest_Third,"",SUMIFS(Table1[Non-zero? (1=Yes)],Table1[Policy third],"="&amp;$C10,Table1[Delay (thirds)],"="&amp;N$8))</f>
        <v>0</v>
      </c>
      <c r="O10">
        <f>IF($C10+O$8&gt;Latest_Third,"",SUMIFS(Table1[Non-zero? (1=Yes)],Table1[Policy third],"="&amp;$C10,Table1[Delay (thirds)],"="&amp;O$8))</f>
        <v>0</v>
      </c>
      <c r="P10">
        <f>IF($C10+P$8&gt;Latest_Third,"",SUMIFS(Table1[Non-zero? (1=Yes)],Table1[Policy third],"="&amp;$C10,Table1[Delay (thirds)],"="&amp;P$8))</f>
        <v>0</v>
      </c>
      <c r="Q10">
        <f>IF($C10+Q$8&gt;Latest_Third,"",SUMIFS(Table1[Non-zero? (1=Yes)],Table1[Policy third],"="&amp;$C10,Table1[Delay (thirds)],"="&amp;Q$8))</f>
        <v>0</v>
      </c>
      <c r="R10">
        <f>IF($C10+R$8&gt;Latest_Third,"",SUMIFS(Table1[Non-zero? (1=Yes)],Table1[Policy third],"="&amp;$C10,Table1[Delay (thirds)],"="&amp;R$8))</f>
        <v>0</v>
      </c>
      <c r="S10">
        <f>IF($C10+S$8&gt;Latest_Third,"",SUMIFS(Table1[Non-zero? (1=Yes)],Table1[Policy third],"="&amp;$C10,Table1[Delay (thirds)],"="&amp;S$8))</f>
        <v>0</v>
      </c>
      <c r="T10">
        <f>IF($C10+T$8&gt;Latest_Third,"",SUMIFS(Table1[Non-zero? (1=Yes)],Table1[Policy third],"="&amp;$C10,Table1[Delay (thirds)],"="&amp;T$8))</f>
        <v>0</v>
      </c>
      <c r="U10">
        <f>IF($C10+U$8&gt;Latest_Third,"",SUMIFS(Table1[Non-zero? (1=Yes)],Table1[Policy third],"="&amp;$C10,Table1[Delay (thirds)],"="&amp;U$8))</f>
        <v>0</v>
      </c>
      <c r="V10">
        <f>IF($C10+V$8&gt;Latest_Third,"",SUMIFS(Table1[Non-zero? (1=Yes)],Table1[Policy third],"="&amp;$C10,Table1[Delay (thirds)],"="&amp;V$8))</f>
        <v>0</v>
      </c>
      <c r="W10">
        <f>IF($C10+W$8&gt;Latest_Third,"",SUMIFS(Table1[Non-zero? (1=Yes)],Table1[Policy third],"="&amp;$C10,Table1[Delay (thirds)],"="&amp;W$8))</f>
        <v>0</v>
      </c>
      <c r="X10">
        <f>IF($C10+X$8&gt;Latest_Third,"",SUMIFS(Table1[Non-zero? (1=Yes)],Table1[Policy third],"="&amp;$C10,Table1[Delay (thirds)],"="&amp;X$8))</f>
        <v>0</v>
      </c>
      <c r="Y10">
        <f>IF($C10+Y$8&gt;Latest_Third,"",SUMIFS(Table1[Non-zero? (1=Yes)],Table1[Policy third],"="&amp;$C10,Table1[Delay (thirds)],"="&amp;Y$8))</f>
        <v>0</v>
      </c>
      <c r="Z10">
        <f>IF($C10+Z$8&gt;Latest_Third,"",SUMIFS(Table1[Non-zero? (1=Yes)],Table1[Policy third],"="&amp;$C10,Table1[Delay (thirds)],"="&amp;Z$8))</f>
        <v>0</v>
      </c>
      <c r="AA10">
        <f>IF($C10+AA$8&gt;Latest_Third,"",SUMIFS(Table1[Non-zero? (1=Yes)],Table1[Policy third],"="&amp;$C10,Table1[Delay (thirds)],"="&amp;AA$8))</f>
        <v>0</v>
      </c>
      <c r="AB10">
        <f>IF($C10+AB$8&gt;Latest_Third,"",SUMIFS(Table1[Non-zero? (1=Yes)],Table1[Policy third],"="&amp;$C10,Table1[Delay (thirds)],"="&amp;AB$8))</f>
        <v>0</v>
      </c>
      <c r="AC10">
        <f>IF($C10+AC$8&gt;Latest_Third,"",SUMIFS(Table1[Non-zero? (1=Yes)],Table1[Policy third],"="&amp;$C10,Table1[Delay (thirds)],"="&amp;AC$8))</f>
        <v>0</v>
      </c>
      <c r="AD10">
        <f>IF($C10+AD$8&gt;Latest_Third,"",SUMIFS(Table1[Non-zero? (1=Yes)],Table1[Policy third],"="&amp;$C10,Table1[Delay (thirds)],"="&amp;AD$8))</f>
        <v>0</v>
      </c>
      <c r="AE10">
        <f>IF($C10+AE$8&gt;Latest_Third,"",SUMIFS(Table1[Non-zero? (1=Yes)],Table1[Policy third],"="&amp;$C10,Table1[Delay (thirds)],"="&amp;AE$8))</f>
        <v>0</v>
      </c>
      <c r="AF10" t="str">
        <f>IF($C10+AF$8&gt;Latest_Third,"",SUMIFS(Table1[Non-zero? (1=Yes)],Table1[Policy third],"="&amp;$C10,Table1[Delay (thirds)],"="&amp;AF$8))</f>
        <v/>
      </c>
      <c r="AJ10">
        <f t="shared" si="0"/>
        <v>20</v>
      </c>
    </row>
    <row r="11" spans="1:36" ht="13.15">
      <c r="A11">
        <f>A9</f>
        <v>2005</v>
      </c>
      <c r="B11">
        <v>2</v>
      </c>
      <c r="C11" s="21">
        <v>2</v>
      </c>
      <c r="D11">
        <f>IF($C11+D$8&gt;Latest_Third,"",SUMIFS(Table1[Non-zero? (1=Yes)],Table1[Policy third],"="&amp;$C11,Table1[Delay (thirds)],"="&amp;D$8))</f>
        <v>18</v>
      </c>
      <c r="E11">
        <f>IF($C11+E$8&gt;Latest_Third,"",SUMIFS(Table1[Non-zero? (1=Yes)],Table1[Policy third],"="&amp;$C11,Table1[Delay (thirds)],"="&amp;E$8))</f>
        <v>8</v>
      </c>
      <c r="F11">
        <f>IF($C11+F$8&gt;Latest_Third,"",SUMIFS(Table1[Non-zero? (1=Yes)],Table1[Policy third],"="&amp;$C11,Table1[Delay (thirds)],"="&amp;F$8))</f>
        <v>4</v>
      </c>
      <c r="G11">
        <f>IF($C11+G$8&gt;Latest_Third,"",SUMIFS(Table1[Non-zero? (1=Yes)],Table1[Policy third],"="&amp;$C11,Table1[Delay (thirds)],"="&amp;G$8))</f>
        <v>3</v>
      </c>
      <c r="H11">
        <f>IF($C11+H$8&gt;Latest_Third,"",SUMIFS(Table1[Non-zero? (1=Yes)],Table1[Policy third],"="&amp;$C11,Table1[Delay (thirds)],"="&amp;H$8))</f>
        <v>1</v>
      </c>
      <c r="I11">
        <f>IF($C11+I$8&gt;Latest_Third,"",SUMIFS(Table1[Non-zero? (1=Yes)],Table1[Policy third],"="&amp;$C11,Table1[Delay (thirds)],"="&amp;I$8))</f>
        <v>1</v>
      </c>
      <c r="J11">
        <f>IF($C11+J$8&gt;Latest_Third,"",SUMIFS(Table1[Non-zero? (1=Yes)],Table1[Policy third],"="&amp;$C11,Table1[Delay (thirds)],"="&amp;J$8))</f>
        <v>0</v>
      </c>
      <c r="K11">
        <f>IF($C11+K$8&gt;Latest_Third,"",SUMIFS(Table1[Non-zero? (1=Yes)],Table1[Policy third],"="&amp;$C11,Table1[Delay (thirds)],"="&amp;K$8))</f>
        <v>2</v>
      </c>
      <c r="L11">
        <f>IF($C11+L$8&gt;Latest_Third,"",SUMIFS(Table1[Non-zero? (1=Yes)],Table1[Policy third],"="&amp;$C11,Table1[Delay (thirds)],"="&amp;L$8))</f>
        <v>0</v>
      </c>
      <c r="M11">
        <f>IF($C11+M$8&gt;Latest_Third,"",SUMIFS(Table1[Non-zero? (1=Yes)],Table1[Policy third],"="&amp;$C11,Table1[Delay (thirds)],"="&amp;M$8))</f>
        <v>0</v>
      </c>
      <c r="N11">
        <f>IF($C11+N$8&gt;Latest_Third,"",SUMIFS(Table1[Non-zero? (1=Yes)],Table1[Policy third],"="&amp;$C11,Table1[Delay (thirds)],"="&amp;N$8))</f>
        <v>1</v>
      </c>
      <c r="O11">
        <f>IF($C11+O$8&gt;Latest_Third,"",SUMIFS(Table1[Non-zero? (1=Yes)],Table1[Policy third],"="&amp;$C11,Table1[Delay (thirds)],"="&amp;O$8))</f>
        <v>0</v>
      </c>
      <c r="P11">
        <f>IF($C11+P$8&gt;Latest_Third,"",SUMIFS(Table1[Non-zero? (1=Yes)],Table1[Policy third],"="&amp;$C11,Table1[Delay (thirds)],"="&amp;P$8))</f>
        <v>0</v>
      </c>
      <c r="Q11">
        <f>IF($C11+Q$8&gt;Latest_Third,"",SUMIFS(Table1[Non-zero? (1=Yes)],Table1[Policy third],"="&amp;$C11,Table1[Delay (thirds)],"="&amp;Q$8))</f>
        <v>0</v>
      </c>
      <c r="R11">
        <f>IF($C11+R$8&gt;Latest_Third,"",SUMIFS(Table1[Non-zero? (1=Yes)],Table1[Policy third],"="&amp;$C11,Table1[Delay (thirds)],"="&amp;R$8))</f>
        <v>0</v>
      </c>
      <c r="S11">
        <f>IF($C11+S$8&gt;Latest_Third,"",SUMIFS(Table1[Non-zero? (1=Yes)],Table1[Policy third],"="&amp;$C11,Table1[Delay (thirds)],"="&amp;S$8))</f>
        <v>0</v>
      </c>
      <c r="T11">
        <f>IF($C11+T$8&gt;Latest_Third,"",SUMIFS(Table1[Non-zero? (1=Yes)],Table1[Policy third],"="&amp;$C11,Table1[Delay (thirds)],"="&amp;T$8))</f>
        <v>0</v>
      </c>
      <c r="U11">
        <f>IF($C11+U$8&gt;Latest_Third,"",SUMIFS(Table1[Non-zero? (1=Yes)],Table1[Policy third],"="&amp;$C11,Table1[Delay (thirds)],"="&amp;U$8))</f>
        <v>0</v>
      </c>
      <c r="V11">
        <f>IF($C11+V$8&gt;Latest_Third,"",SUMIFS(Table1[Non-zero? (1=Yes)],Table1[Policy third],"="&amp;$C11,Table1[Delay (thirds)],"="&amp;V$8))</f>
        <v>0</v>
      </c>
      <c r="W11">
        <f>IF($C11+W$8&gt;Latest_Third,"",SUMIFS(Table1[Non-zero? (1=Yes)],Table1[Policy third],"="&amp;$C11,Table1[Delay (thirds)],"="&amp;W$8))</f>
        <v>0</v>
      </c>
      <c r="X11">
        <f>IF($C11+X$8&gt;Latest_Third,"",SUMIFS(Table1[Non-zero? (1=Yes)],Table1[Policy third],"="&amp;$C11,Table1[Delay (thirds)],"="&amp;X$8))</f>
        <v>0</v>
      </c>
      <c r="Y11">
        <f>IF($C11+Y$8&gt;Latest_Third,"",SUMIFS(Table1[Non-zero? (1=Yes)],Table1[Policy third],"="&amp;$C11,Table1[Delay (thirds)],"="&amp;Y$8))</f>
        <v>0</v>
      </c>
      <c r="Z11">
        <f>IF($C11+Z$8&gt;Latest_Third,"",SUMIFS(Table1[Non-zero? (1=Yes)],Table1[Policy third],"="&amp;$C11,Table1[Delay (thirds)],"="&amp;Z$8))</f>
        <v>0</v>
      </c>
      <c r="AA11">
        <f>IF($C11+AA$8&gt;Latest_Third,"",SUMIFS(Table1[Non-zero? (1=Yes)],Table1[Policy third],"="&amp;$C11,Table1[Delay (thirds)],"="&amp;AA$8))</f>
        <v>0</v>
      </c>
      <c r="AB11">
        <f>IF($C11+AB$8&gt;Latest_Third,"",SUMIFS(Table1[Non-zero? (1=Yes)],Table1[Policy third],"="&amp;$C11,Table1[Delay (thirds)],"="&amp;AB$8))</f>
        <v>0</v>
      </c>
      <c r="AC11">
        <f>IF($C11+AC$8&gt;Latest_Third,"",SUMIFS(Table1[Non-zero? (1=Yes)],Table1[Policy third],"="&amp;$C11,Table1[Delay (thirds)],"="&amp;AC$8))</f>
        <v>0</v>
      </c>
      <c r="AD11">
        <f>IF($C11+AD$8&gt;Latest_Third,"",SUMIFS(Table1[Non-zero? (1=Yes)],Table1[Policy third],"="&amp;$C11,Table1[Delay (thirds)],"="&amp;AD$8))</f>
        <v>0</v>
      </c>
      <c r="AE11" t="str">
        <f>IF($C11+AE$8&gt;Latest_Third,"",SUMIFS(Table1[Non-zero? (1=Yes)],Table1[Policy third],"="&amp;$C11,Table1[Delay (thirds)],"="&amp;AE$8))</f>
        <v/>
      </c>
      <c r="AF11" t="str">
        <f>IF($C11+AF$8&gt;Latest_Third,"",SUMIFS(Table1[Non-zero? (1=Yes)],Table1[Policy third],"="&amp;$C11,Table1[Delay (thirds)],"="&amp;AF$8))</f>
        <v/>
      </c>
      <c r="AJ11">
        <f t="shared" si="0"/>
        <v>38</v>
      </c>
    </row>
    <row r="12" spans="1:36" ht="13.15">
      <c r="A12">
        <f>A9+1</f>
        <v>2006</v>
      </c>
      <c r="B12">
        <v>0</v>
      </c>
      <c r="C12" s="21">
        <v>3</v>
      </c>
      <c r="D12">
        <f>IF($C12+D$8&gt;Latest_Third,"",SUMIFS(Table1[Non-zero? (1=Yes)],Table1[Policy third],"="&amp;$C12,Table1[Delay (thirds)],"="&amp;D$8))</f>
        <v>4</v>
      </c>
      <c r="E12">
        <f>IF($C12+E$8&gt;Latest_Third,"",SUMIFS(Table1[Non-zero? (1=Yes)],Table1[Policy third],"="&amp;$C12,Table1[Delay (thirds)],"="&amp;E$8))</f>
        <v>4</v>
      </c>
      <c r="F12">
        <f>IF($C12+F$8&gt;Latest_Third,"",SUMIFS(Table1[Non-zero? (1=Yes)],Table1[Policy third],"="&amp;$C12,Table1[Delay (thirds)],"="&amp;F$8))</f>
        <v>3</v>
      </c>
      <c r="G12">
        <f>IF($C12+G$8&gt;Latest_Third,"",SUMIFS(Table1[Non-zero? (1=Yes)],Table1[Policy third],"="&amp;$C12,Table1[Delay (thirds)],"="&amp;G$8))</f>
        <v>2</v>
      </c>
      <c r="H12">
        <f>IF($C12+H$8&gt;Latest_Third,"",SUMIFS(Table1[Non-zero? (1=Yes)],Table1[Policy third],"="&amp;$C12,Table1[Delay (thirds)],"="&amp;H$8))</f>
        <v>0</v>
      </c>
      <c r="I12">
        <f>IF($C12+I$8&gt;Latest_Third,"",SUMIFS(Table1[Non-zero? (1=Yes)],Table1[Policy third],"="&amp;$C12,Table1[Delay (thirds)],"="&amp;I$8))</f>
        <v>1</v>
      </c>
      <c r="J12">
        <f>IF($C12+J$8&gt;Latest_Third,"",SUMIFS(Table1[Non-zero? (1=Yes)],Table1[Policy third],"="&amp;$C12,Table1[Delay (thirds)],"="&amp;J$8))</f>
        <v>1</v>
      </c>
      <c r="K12">
        <f>IF($C12+K$8&gt;Latest_Third,"",SUMIFS(Table1[Non-zero? (1=Yes)],Table1[Policy third],"="&amp;$C12,Table1[Delay (thirds)],"="&amp;K$8))</f>
        <v>0</v>
      </c>
      <c r="L12">
        <f>IF($C12+L$8&gt;Latest_Third,"",SUMIFS(Table1[Non-zero? (1=Yes)],Table1[Policy third],"="&amp;$C12,Table1[Delay (thirds)],"="&amp;L$8))</f>
        <v>1</v>
      </c>
      <c r="M12">
        <f>IF($C12+M$8&gt;Latest_Third,"",SUMIFS(Table1[Non-zero? (1=Yes)],Table1[Policy third],"="&amp;$C12,Table1[Delay (thirds)],"="&amp;M$8))</f>
        <v>0</v>
      </c>
      <c r="N12">
        <f>IF($C12+N$8&gt;Latest_Third,"",SUMIFS(Table1[Non-zero? (1=Yes)],Table1[Policy third],"="&amp;$C12,Table1[Delay (thirds)],"="&amp;N$8))</f>
        <v>1</v>
      </c>
      <c r="O12">
        <f>IF($C12+O$8&gt;Latest_Third,"",SUMIFS(Table1[Non-zero? (1=Yes)],Table1[Policy third],"="&amp;$C12,Table1[Delay (thirds)],"="&amp;O$8))</f>
        <v>0</v>
      </c>
      <c r="P12">
        <f>IF($C12+P$8&gt;Latest_Third,"",SUMIFS(Table1[Non-zero? (1=Yes)],Table1[Policy third],"="&amp;$C12,Table1[Delay (thirds)],"="&amp;P$8))</f>
        <v>0</v>
      </c>
      <c r="Q12">
        <f>IF($C12+Q$8&gt;Latest_Third,"",SUMIFS(Table1[Non-zero? (1=Yes)],Table1[Policy third],"="&amp;$C12,Table1[Delay (thirds)],"="&amp;Q$8))</f>
        <v>0</v>
      </c>
      <c r="R12">
        <f>IF($C12+R$8&gt;Latest_Third,"",SUMIFS(Table1[Non-zero? (1=Yes)],Table1[Policy third],"="&amp;$C12,Table1[Delay (thirds)],"="&amp;R$8))</f>
        <v>0</v>
      </c>
      <c r="S12">
        <f>IF($C12+S$8&gt;Latest_Third,"",SUMIFS(Table1[Non-zero? (1=Yes)],Table1[Policy third],"="&amp;$C12,Table1[Delay (thirds)],"="&amp;S$8))</f>
        <v>0</v>
      </c>
      <c r="T12">
        <f>IF($C12+T$8&gt;Latest_Third,"",SUMIFS(Table1[Non-zero? (1=Yes)],Table1[Policy third],"="&amp;$C12,Table1[Delay (thirds)],"="&amp;T$8))</f>
        <v>0</v>
      </c>
      <c r="U12">
        <f>IF($C12+U$8&gt;Latest_Third,"",SUMIFS(Table1[Non-zero? (1=Yes)],Table1[Policy third],"="&amp;$C12,Table1[Delay (thirds)],"="&amp;U$8))</f>
        <v>0</v>
      </c>
      <c r="V12">
        <f>IF($C12+V$8&gt;Latest_Third,"",SUMIFS(Table1[Non-zero? (1=Yes)],Table1[Policy third],"="&amp;$C12,Table1[Delay (thirds)],"="&amp;V$8))</f>
        <v>0</v>
      </c>
      <c r="W12">
        <f>IF($C12+W$8&gt;Latest_Third,"",SUMIFS(Table1[Non-zero? (1=Yes)],Table1[Policy third],"="&amp;$C12,Table1[Delay (thirds)],"="&amp;W$8))</f>
        <v>0</v>
      </c>
      <c r="X12">
        <f>IF($C12+X$8&gt;Latest_Third,"",SUMIFS(Table1[Non-zero? (1=Yes)],Table1[Policy third],"="&amp;$C12,Table1[Delay (thirds)],"="&amp;X$8))</f>
        <v>0</v>
      </c>
      <c r="Y12">
        <f>IF($C12+Y$8&gt;Latest_Third,"",SUMIFS(Table1[Non-zero? (1=Yes)],Table1[Policy third],"="&amp;$C12,Table1[Delay (thirds)],"="&amp;Y$8))</f>
        <v>0</v>
      </c>
      <c r="Z12">
        <f>IF($C12+Z$8&gt;Latest_Third,"",SUMIFS(Table1[Non-zero? (1=Yes)],Table1[Policy third],"="&amp;$C12,Table1[Delay (thirds)],"="&amp;Z$8))</f>
        <v>0</v>
      </c>
      <c r="AA12">
        <f>IF($C12+AA$8&gt;Latest_Third,"",SUMIFS(Table1[Non-zero? (1=Yes)],Table1[Policy third],"="&amp;$C12,Table1[Delay (thirds)],"="&amp;AA$8))</f>
        <v>0</v>
      </c>
      <c r="AB12">
        <f>IF($C12+AB$8&gt;Latest_Third,"",SUMIFS(Table1[Non-zero? (1=Yes)],Table1[Policy third],"="&amp;$C12,Table1[Delay (thirds)],"="&amp;AB$8))</f>
        <v>0</v>
      </c>
      <c r="AC12">
        <f>IF($C12+AC$8&gt;Latest_Third,"",SUMIFS(Table1[Non-zero? (1=Yes)],Table1[Policy third],"="&amp;$C12,Table1[Delay (thirds)],"="&amp;AC$8))</f>
        <v>0</v>
      </c>
      <c r="AD12" t="str">
        <f>IF($C12+AD$8&gt;Latest_Third,"",SUMIFS(Table1[Non-zero? (1=Yes)],Table1[Policy third],"="&amp;$C12,Table1[Delay (thirds)],"="&amp;AD$8))</f>
        <v/>
      </c>
      <c r="AE12" t="str">
        <f>IF($C12+AE$8&gt;Latest_Third,"",SUMIFS(Table1[Non-zero? (1=Yes)],Table1[Policy third],"="&amp;$C12,Table1[Delay (thirds)],"="&amp;AE$8))</f>
        <v/>
      </c>
      <c r="AF12" t="str">
        <f>IF($C12+AF$8&gt;Latest_Third,"",SUMIFS(Table1[Non-zero? (1=Yes)],Table1[Policy third],"="&amp;$C12,Table1[Delay (thirds)],"="&amp;AF$8))</f>
        <v/>
      </c>
      <c r="AJ12">
        <f t="shared" si="0"/>
        <v>17</v>
      </c>
    </row>
    <row r="13" spans="1:36" ht="13.15">
      <c r="A13">
        <f>A10+1</f>
        <v>2006</v>
      </c>
      <c r="B13">
        <v>1</v>
      </c>
      <c r="C13" s="21">
        <v>4</v>
      </c>
      <c r="D13">
        <f>IF($C13+D$8&gt;Latest_Third,"",SUMIFS(Table1[Non-zero? (1=Yes)],Table1[Policy third],"="&amp;$C13,Table1[Delay (thirds)],"="&amp;D$8))</f>
        <v>13</v>
      </c>
      <c r="E13">
        <f>IF($C13+E$8&gt;Latest_Third,"",SUMIFS(Table1[Non-zero? (1=Yes)],Table1[Policy third],"="&amp;$C13,Table1[Delay (thirds)],"="&amp;E$8))</f>
        <v>8</v>
      </c>
      <c r="F13">
        <f>IF($C13+F$8&gt;Latest_Third,"",SUMIFS(Table1[Non-zero? (1=Yes)],Table1[Policy third],"="&amp;$C13,Table1[Delay (thirds)],"="&amp;F$8))</f>
        <v>2</v>
      </c>
      <c r="G13">
        <f>IF($C13+G$8&gt;Latest_Third,"",SUMIFS(Table1[Non-zero? (1=Yes)],Table1[Policy third],"="&amp;$C13,Table1[Delay (thirds)],"="&amp;G$8))</f>
        <v>3</v>
      </c>
      <c r="H13">
        <f>IF($C13+H$8&gt;Latest_Third,"",SUMIFS(Table1[Non-zero? (1=Yes)],Table1[Policy third],"="&amp;$C13,Table1[Delay (thirds)],"="&amp;H$8))</f>
        <v>1</v>
      </c>
      <c r="I13">
        <f>IF($C13+I$8&gt;Latest_Third,"",SUMIFS(Table1[Non-zero? (1=Yes)],Table1[Policy third],"="&amp;$C13,Table1[Delay (thirds)],"="&amp;I$8))</f>
        <v>1</v>
      </c>
      <c r="J13">
        <f>IF($C13+J$8&gt;Latest_Third,"",SUMIFS(Table1[Non-zero? (1=Yes)],Table1[Policy third],"="&amp;$C13,Table1[Delay (thirds)],"="&amp;J$8))</f>
        <v>2</v>
      </c>
      <c r="K13">
        <f>IF($C13+K$8&gt;Latest_Third,"",SUMIFS(Table1[Non-zero? (1=Yes)],Table1[Policy third],"="&amp;$C13,Table1[Delay (thirds)],"="&amp;K$8))</f>
        <v>0</v>
      </c>
      <c r="L13">
        <f>IF($C13+L$8&gt;Latest_Third,"",SUMIFS(Table1[Non-zero? (1=Yes)],Table1[Policy third],"="&amp;$C13,Table1[Delay (thirds)],"="&amp;L$8))</f>
        <v>0</v>
      </c>
      <c r="M13">
        <f>IF($C13+M$8&gt;Latest_Third,"",SUMIFS(Table1[Non-zero? (1=Yes)],Table1[Policy third],"="&amp;$C13,Table1[Delay (thirds)],"="&amp;M$8))</f>
        <v>3</v>
      </c>
      <c r="N13">
        <f>IF($C13+N$8&gt;Latest_Third,"",SUMIFS(Table1[Non-zero? (1=Yes)],Table1[Policy third],"="&amp;$C13,Table1[Delay (thirds)],"="&amp;N$8))</f>
        <v>1</v>
      </c>
      <c r="O13">
        <f>IF($C13+O$8&gt;Latest_Third,"",SUMIFS(Table1[Non-zero? (1=Yes)],Table1[Policy third],"="&amp;$C13,Table1[Delay (thirds)],"="&amp;O$8))</f>
        <v>1</v>
      </c>
      <c r="P13">
        <f>IF($C13+P$8&gt;Latest_Third,"",SUMIFS(Table1[Non-zero? (1=Yes)],Table1[Policy third],"="&amp;$C13,Table1[Delay (thirds)],"="&amp;P$8))</f>
        <v>0</v>
      </c>
      <c r="Q13">
        <f>IF($C13+Q$8&gt;Latest_Third,"",SUMIFS(Table1[Non-zero? (1=Yes)],Table1[Policy third],"="&amp;$C13,Table1[Delay (thirds)],"="&amp;Q$8))</f>
        <v>0</v>
      </c>
      <c r="R13">
        <f>IF($C13+R$8&gt;Latest_Third,"",SUMIFS(Table1[Non-zero? (1=Yes)],Table1[Policy third],"="&amp;$C13,Table1[Delay (thirds)],"="&amp;R$8))</f>
        <v>0</v>
      </c>
      <c r="S13">
        <f>IF($C13+S$8&gt;Latest_Third,"",SUMIFS(Table1[Non-zero? (1=Yes)],Table1[Policy third],"="&amp;$C13,Table1[Delay (thirds)],"="&amp;S$8))</f>
        <v>0</v>
      </c>
      <c r="T13">
        <f>IF($C13+T$8&gt;Latest_Third,"",SUMIFS(Table1[Non-zero? (1=Yes)],Table1[Policy third],"="&amp;$C13,Table1[Delay (thirds)],"="&amp;T$8))</f>
        <v>0</v>
      </c>
      <c r="U13">
        <f>IF($C13+U$8&gt;Latest_Third,"",SUMIFS(Table1[Non-zero? (1=Yes)],Table1[Policy third],"="&amp;$C13,Table1[Delay (thirds)],"="&amp;U$8))</f>
        <v>0</v>
      </c>
      <c r="V13">
        <f>IF($C13+V$8&gt;Latest_Third,"",SUMIFS(Table1[Non-zero? (1=Yes)],Table1[Policy third],"="&amp;$C13,Table1[Delay (thirds)],"="&amp;V$8))</f>
        <v>0</v>
      </c>
      <c r="W13">
        <f>IF($C13+W$8&gt;Latest_Third,"",SUMIFS(Table1[Non-zero? (1=Yes)],Table1[Policy third],"="&amp;$C13,Table1[Delay (thirds)],"="&amp;W$8))</f>
        <v>0</v>
      </c>
      <c r="X13">
        <f>IF($C13+X$8&gt;Latest_Third,"",SUMIFS(Table1[Non-zero? (1=Yes)],Table1[Policy third],"="&amp;$C13,Table1[Delay (thirds)],"="&amp;X$8))</f>
        <v>0</v>
      </c>
      <c r="Y13">
        <f>IF($C13+Y$8&gt;Latest_Third,"",SUMIFS(Table1[Non-zero? (1=Yes)],Table1[Policy third],"="&amp;$C13,Table1[Delay (thirds)],"="&amp;Y$8))</f>
        <v>0</v>
      </c>
      <c r="Z13">
        <f>IF($C13+Z$8&gt;Latest_Third,"",SUMIFS(Table1[Non-zero? (1=Yes)],Table1[Policy third],"="&amp;$C13,Table1[Delay (thirds)],"="&amp;Z$8))</f>
        <v>0</v>
      </c>
      <c r="AA13">
        <f>IF($C13+AA$8&gt;Latest_Third,"",SUMIFS(Table1[Non-zero? (1=Yes)],Table1[Policy third],"="&amp;$C13,Table1[Delay (thirds)],"="&amp;AA$8))</f>
        <v>0</v>
      </c>
      <c r="AB13">
        <f>IF($C13+AB$8&gt;Latest_Third,"",SUMIFS(Table1[Non-zero? (1=Yes)],Table1[Policy third],"="&amp;$C13,Table1[Delay (thirds)],"="&amp;AB$8))</f>
        <v>0</v>
      </c>
      <c r="AC13" t="str">
        <f>IF($C13+AC$8&gt;Latest_Third,"",SUMIFS(Table1[Non-zero? (1=Yes)],Table1[Policy third],"="&amp;$C13,Table1[Delay (thirds)],"="&amp;AC$8))</f>
        <v/>
      </c>
      <c r="AD13" t="str">
        <f>IF($C13+AD$8&gt;Latest_Third,"",SUMIFS(Table1[Non-zero? (1=Yes)],Table1[Policy third],"="&amp;$C13,Table1[Delay (thirds)],"="&amp;AD$8))</f>
        <v/>
      </c>
      <c r="AE13" t="str">
        <f>IF($C13+AE$8&gt;Latest_Third,"",SUMIFS(Table1[Non-zero? (1=Yes)],Table1[Policy third],"="&amp;$C13,Table1[Delay (thirds)],"="&amp;AE$8))</f>
        <v/>
      </c>
      <c r="AF13" t="str">
        <f>IF($C13+AF$8&gt;Latest_Third,"",SUMIFS(Table1[Non-zero? (1=Yes)],Table1[Policy third],"="&amp;$C13,Table1[Delay (thirds)],"="&amp;AF$8))</f>
        <v/>
      </c>
      <c r="AJ13">
        <f t="shared" si="0"/>
        <v>35</v>
      </c>
    </row>
    <row r="14" spans="1:36" ht="13.15">
      <c r="A14">
        <f>A11+1</f>
        <v>2006</v>
      </c>
      <c r="B14">
        <v>2</v>
      </c>
      <c r="C14" s="21">
        <v>5</v>
      </c>
      <c r="D14">
        <f>IF($C14+D$8&gt;Latest_Third,"",SUMIFS(Table1[Non-zero? (1=Yes)],Table1[Policy third],"="&amp;$C14,Table1[Delay (thirds)],"="&amp;D$8))</f>
        <v>9</v>
      </c>
      <c r="E14">
        <f>IF($C14+E$8&gt;Latest_Third,"",SUMIFS(Table1[Non-zero? (1=Yes)],Table1[Policy third],"="&amp;$C14,Table1[Delay (thirds)],"="&amp;E$8))</f>
        <v>10</v>
      </c>
      <c r="F14">
        <f>IF($C14+F$8&gt;Latest_Third,"",SUMIFS(Table1[Non-zero? (1=Yes)],Table1[Policy third],"="&amp;$C14,Table1[Delay (thirds)],"="&amp;F$8))</f>
        <v>8</v>
      </c>
      <c r="G14">
        <f>IF($C14+G$8&gt;Latest_Third,"",SUMIFS(Table1[Non-zero? (1=Yes)],Table1[Policy third],"="&amp;$C14,Table1[Delay (thirds)],"="&amp;G$8))</f>
        <v>1</v>
      </c>
      <c r="H14">
        <f>IF($C14+H$8&gt;Latest_Third,"",SUMIFS(Table1[Non-zero? (1=Yes)],Table1[Policy third],"="&amp;$C14,Table1[Delay (thirds)],"="&amp;H$8))</f>
        <v>4</v>
      </c>
      <c r="I14">
        <f>IF($C14+I$8&gt;Latest_Third,"",SUMIFS(Table1[Non-zero? (1=Yes)],Table1[Policy third],"="&amp;$C14,Table1[Delay (thirds)],"="&amp;I$8))</f>
        <v>3</v>
      </c>
      <c r="J14">
        <f>IF($C14+J$8&gt;Latest_Third,"",SUMIFS(Table1[Non-zero? (1=Yes)],Table1[Policy third],"="&amp;$C14,Table1[Delay (thirds)],"="&amp;J$8))</f>
        <v>1</v>
      </c>
      <c r="K14">
        <f>IF($C14+K$8&gt;Latest_Third,"",SUMIFS(Table1[Non-zero? (1=Yes)],Table1[Policy third],"="&amp;$C14,Table1[Delay (thirds)],"="&amp;K$8))</f>
        <v>0</v>
      </c>
      <c r="L14">
        <f>IF($C14+L$8&gt;Latest_Third,"",SUMIFS(Table1[Non-zero? (1=Yes)],Table1[Policy third],"="&amp;$C14,Table1[Delay (thirds)],"="&amp;L$8))</f>
        <v>0</v>
      </c>
      <c r="M14">
        <f>IF($C14+M$8&gt;Latest_Third,"",SUMIFS(Table1[Non-zero? (1=Yes)],Table1[Policy third],"="&amp;$C14,Table1[Delay (thirds)],"="&amp;M$8))</f>
        <v>1</v>
      </c>
      <c r="N14">
        <f>IF($C14+N$8&gt;Latest_Third,"",SUMIFS(Table1[Non-zero? (1=Yes)],Table1[Policy third],"="&amp;$C14,Table1[Delay (thirds)],"="&amp;N$8))</f>
        <v>3</v>
      </c>
      <c r="O14">
        <f>IF($C14+O$8&gt;Latest_Third,"",SUMIFS(Table1[Non-zero? (1=Yes)],Table1[Policy third],"="&amp;$C14,Table1[Delay (thirds)],"="&amp;O$8))</f>
        <v>0</v>
      </c>
      <c r="P14">
        <f>IF($C14+P$8&gt;Latest_Third,"",SUMIFS(Table1[Non-zero? (1=Yes)],Table1[Policy third],"="&amp;$C14,Table1[Delay (thirds)],"="&amp;P$8))</f>
        <v>0</v>
      </c>
      <c r="Q14">
        <f>IF($C14+Q$8&gt;Latest_Third,"",SUMIFS(Table1[Non-zero? (1=Yes)],Table1[Policy third],"="&amp;$C14,Table1[Delay (thirds)],"="&amp;Q$8))</f>
        <v>0</v>
      </c>
      <c r="R14">
        <f>IF($C14+R$8&gt;Latest_Third,"",SUMIFS(Table1[Non-zero? (1=Yes)],Table1[Policy third],"="&amp;$C14,Table1[Delay (thirds)],"="&amp;R$8))</f>
        <v>0</v>
      </c>
      <c r="S14">
        <f>IF($C14+S$8&gt;Latest_Third,"",SUMIFS(Table1[Non-zero? (1=Yes)],Table1[Policy third],"="&amp;$C14,Table1[Delay (thirds)],"="&amp;S$8))</f>
        <v>0</v>
      </c>
      <c r="T14">
        <f>IF($C14+T$8&gt;Latest_Third,"",SUMIFS(Table1[Non-zero? (1=Yes)],Table1[Policy third],"="&amp;$C14,Table1[Delay (thirds)],"="&amp;T$8))</f>
        <v>0</v>
      </c>
      <c r="U14">
        <f>IF($C14+U$8&gt;Latest_Third,"",SUMIFS(Table1[Non-zero? (1=Yes)],Table1[Policy third],"="&amp;$C14,Table1[Delay (thirds)],"="&amp;U$8))</f>
        <v>0</v>
      </c>
      <c r="V14">
        <f>IF($C14+V$8&gt;Latest_Third,"",SUMIFS(Table1[Non-zero? (1=Yes)],Table1[Policy third],"="&amp;$C14,Table1[Delay (thirds)],"="&amp;V$8))</f>
        <v>0</v>
      </c>
      <c r="W14">
        <f>IF($C14+W$8&gt;Latest_Third,"",SUMIFS(Table1[Non-zero? (1=Yes)],Table1[Policy third],"="&amp;$C14,Table1[Delay (thirds)],"="&amp;W$8))</f>
        <v>0</v>
      </c>
      <c r="X14">
        <f>IF($C14+X$8&gt;Latest_Third,"",SUMIFS(Table1[Non-zero? (1=Yes)],Table1[Policy third],"="&amp;$C14,Table1[Delay (thirds)],"="&amp;X$8))</f>
        <v>0</v>
      </c>
      <c r="Y14">
        <f>IF($C14+Y$8&gt;Latest_Third,"",SUMIFS(Table1[Non-zero? (1=Yes)],Table1[Policy third],"="&amp;$C14,Table1[Delay (thirds)],"="&amp;Y$8))</f>
        <v>0</v>
      </c>
      <c r="Z14">
        <f>IF($C14+Z$8&gt;Latest_Third,"",SUMIFS(Table1[Non-zero? (1=Yes)],Table1[Policy third],"="&amp;$C14,Table1[Delay (thirds)],"="&amp;Z$8))</f>
        <v>0</v>
      </c>
      <c r="AA14">
        <f>IF($C14+AA$8&gt;Latest_Third,"",SUMIFS(Table1[Non-zero? (1=Yes)],Table1[Policy third],"="&amp;$C14,Table1[Delay (thirds)],"="&amp;AA$8))</f>
        <v>0</v>
      </c>
      <c r="AB14" t="str">
        <f>IF($C14+AB$8&gt;Latest_Third,"",SUMIFS(Table1[Non-zero? (1=Yes)],Table1[Policy third],"="&amp;$C14,Table1[Delay (thirds)],"="&amp;AB$8))</f>
        <v/>
      </c>
      <c r="AC14" t="str">
        <f>IF($C14+AC$8&gt;Latest_Third,"",SUMIFS(Table1[Non-zero? (1=Yes)],Table1[Policy third],"="&amp;$C14,Table1[Delay (thirds)],"="&amp;AC$8))</f>
        <v/>
      </c>
      <c r="AD14" t="str">
        <f>IF($C14+AD$8&gt;Latest_Third,"",SUMIFS(Table1[Non-zero? (1=Yes)],Table1[Policy third],"="&amp;$C14,Table1[Delay (thirds)],"="&amp;AD$8))</f>
        <v/>
      </c>
      <c r="AE14" t="str">
        <f>IF($C14+AE$8&gt;Latest_Third,"",SUMIFS(Table1[Non-zero? (1=Yes)],Table1[Policy third],"="&amp;$C14,Table1[Delay (thirds)],"="&amp;AE$8))</f>
        <v/>
      </c>
      <c r="AF14" t="str">
        <f>IF($C14+AF$8&gt;Latest_Third,"",SUMIFS(Table1[Non-zero? (1=Yes)],Table1[Policy third],"="&amp;$C14,Table1[Delay (thirds)],"="&amp;AF$8))</f>
        <v/>
      </c>
      <c r="AJ14">
        <f t="shared" si="0"/>
        <v>40</v>
      </c>
    </row>
    <row r="15" spans="1:36" ht="13.15">
      <c r="A15">
        <f t="shared" ref="A15:A37" si="1">A12+1</f>
        <v>2007</v>
      </c>
      <c r="B15">
        <v>0</v>
      </c>
      <c r="C15" s="21">
        <v>6</v>
      </c>
      <c r="D15">
        <f>IF($C15+D$8&gt;Latest_Third,"",SUMIFS(Table1[Non-zero? (1=Yes)],Table1[Policy third],"="&amp;$C15,Table1[Delay (thirds)],"="&amp;D$8))</f>
        <v>20</v>
      </c>
      <c r="E15">
        <f>IF($C15+E$8&gt;Latest_Third,"",SUMIFS(Table1[Non-zero? (1=Yes)],Table1[Policy third],"="&amp;$C15,Table1[Delay (thirds)],"="&amp;E$8))</f>
        <v>7</v>
      </c>
      <c r="F15">
        <f>IF($C15+F$8&gt;Latest_Third,"",SUMIFS(Table1[Non-zero? (1=Yes)],Table1[Policy third],"="&amp;$C15,Table1[Delay (thirds)],"="&amp;F$8))</f>
        <v>5</v>
      </c>
      <c r="G15">
        <f>IF($C15+G$8&gt;Latest_Third,"",SUMIFS(Table1[Non-zero? (1=Yes)],Table1[Policy third],"="&amp;$C15,Table1[Delay (thirds)],"="&amp;G$8))</f>
        <v>3</v>
      </c>
      <c r="H15">
        <f>IF($C15+H$8&gt;Latest_Third,"",SUMIFS(Table1[Non-zero? (1=Yes)],Table1[Policy third],"="&amp;$C15,Table1[Delay (thirds)],"="&amp;H$8))</f>
        <v>4</v>
      </c>
      <c r="I15">
        <f>IF($C15+I$8&gt;Latest_Third,"",SUMIFS(Table1[Non-zero? (1=Yes)],Table1[Policy third],"="&amp;$C15,Table1[Delay (thirds)],"="&amp;I$8))</f>
        <v>1</v>
      </c>
      <c r="J15">
        <f>IF($C15+J$8&gt;Latest_Third,"",SUMIFS(Table1[Non-zero? (1=Yes)],Table1[Policy third],"="&amp;$C15,Table1[Delay (thirds)],"="&amp;J$8))</f>
        <v>3</v>
      </c>
      <c r="K15">
        <f>IF($C15+K$8&gt;Latest_Third,"",SUMIFS(Table1[Non-zero? (1=Yes)],Table1[Policy third],"="&amp;$C15,Table1[Delay (thirds)],"="&amp;K$8))</f>
        <v>1</v>
      </c>
      <c r="L15">
        <f>IF($C15+L$8&gt;Latest_Third,"",SUMIFS(Table1[Non-zero? (1=Yes)],Table1[Policy third],"="&amp;$C15,Table1[Delay (thirds)],"="&amp;L$8))</f>
        <v>1</v>
      </c>
      <c r="M15">
        <f>IF($C15+M$8&gt;Latest_Third,"",SUMIFS(Table1[Non-zero? (1=Yes)],Table1[Policy third],"="&amp;$C15,Table1[Delay (thirds)],"="&amp;M$8))</f>
        <v>0</v>
      </c>
      <c r="N15">
        <f>IF($C15+N$8&gt;Latest_Third,"",SUMIFS(Table1[Non-zero? (1=Yes)],Table1[Policy third],"="&amp;$C15,Table1[Delay (thirds)],"="&amp;N$8))</f>
        <v>1</v>
      </c>
      <c r="O15">
        <f>IF($C15+O$8&gt;Latest_Third,"",SUMIFS(Table1[Non-zero? (1=Yes)],Table1[Policy third],"="&amp;$C15,Table1[Delay (thirds)],"="&amp;O$8))</f>
        <v>0</v>
      </c>
      <c r="P15">
        <f>IF($C15+P$8&gt;Latest_Third,"",SUMIFS(Table1[Non-zero? (1=Yes)],Table1[Policy third],"="&amp;$C15,Table1[Delay (thirds)],"="&amp;P$8))</f>
        <v>0</v>
      </c>
      <c r="Q15">
        <f>IF($C15+Q$8&gt;Latest_Third,"",SUMIFS(Table1[Non-zero? (1=Yes)],Table1[Policy third],"="&amp;$C15,Table1[Delay (thirds)],"="&amp;Q$8))</f>
        <v>0</v>
      </c>
      <c r="R15">
        <f>IF($C15+R$8&gt;Latest_Third,"",SUMIFS(Table1[Non-zero? (1=Yes)],Table1[Policy third],"="&amp;$C15,Table1[Delay (thirds)],"="&amp;R$8))</f>
        <v>0</v>
      </c>
      <c r="S15">
        <f>IF($C15+S$8&gt;Latest_Third,"",SUMIFS(Table1[Non-zero? (1=Yes)],Table1[Policy third],"="&amp;$C15,Table1[Delay (thirds)],"="&amp;S$8))</f>
        <v>0</v>
      </c>
      <c r="T15">
        <f>IF($C15+T$8&gt;Latest_Third,"",SUMIFS(Table1[Non-zero? (1=Yes)],Table1[Policy third],"="&amp;$C15,Table1[Delay (thirds)],"="&amp;T$8))</f>
        <v>0</v>
      </c>
      <c r="U15">
        <f>IF($C15+U$8&gt;Latest_Third,"",SUMIFS(Table1[Non-zero? (1=Yes)],Table1[Policy third],"="&amp;$C15,Table1[Delay (thirds)],"="&amp;U$8))</f>
        <v>0</v>
      </c>
      <c r="V15">
        <f>IF($C15+V$8&gt;Latest_Third,"",SUMIFS(Table1[Non-zero? (1=Yes)],Table1[Policy third],"="&amp;$C15,Table1[Delay (thirds)],"="&amp;V$8))</f>
        <v>0</v>
      </c>
      <c r="W15">
        <f>IF($C15+W$8&gt;Latest_Third,"",SUMIFS(Table1[Non-zero? (1=Yes)],Table1[Policy third],"="&amp;$C15,Table1[Delay (thirds)],"="&amp;W$8))</f>
        <v>0</v>
      </c>
      <c r="X15">
        <f>IF($C15+X$8&gt;Latest_Third,"",SUMIFS(Table1[Non-zero? (1=Yes)],Table1[Policy third],"="&amp;$C15,Table1[Delay (thirds)],"="&amp;X$8))</f>
        <v>0</v>
      </c>
      <c r="Y15">
        <f>IF($C15+Y$8&gt;Latest_Third,"",SUMIFS(Table1[Non-zero? (1=Yes)],Table1[Policy third],"="&amp;$C15,Table1[Delay (thirds)],"="&amp;Y$8))</f>
        <v>0</v>
      </c>
      <c r="Z15">
        <f>IF($C15+Z$8&gt;Latest_Third,"",SUMIFS(Table1[Non-zero? (1=Yes)],Table1[Policy third],"="&amp;$C15,Table1[Delay (thirds)],"="&amp;Z$8))</f>
        <v>0</v>
      </c>
      <c r="AA15" t="str">
        <f>IF($C15+AA$8&gt;Latest_Third,"",SUMIFS(Table1[Non-zero? (1=Yes)],Table1[Policy third],"="&amp;$C15,Table1[Delay (thirds)],"="&amp;AA$8))</f>
        <v/>
      </c>
      <c r="AB15" t="str">
        <f>IF($C15+AB$8&gt;Latest_Third,"",SUMIFS(Table1[Non-zero? (1=Yes)],Table1[Policy third],"="&amp;$C15,Table1[Delay (thirds)],"="&amp;AB$8))</f>
        <v/>
      </c>
      <c r="AC15" t="str">
        <f>IF($C15+AC$8&gt;Latest_Third,"",SUMIFS(Table1[Non-zero? (1=Yes)],Table1[Policy third],"="&amp;$C15,Table1[Delay (thirds)],"="&amp;AC$8))</f>
        <v/>
      </c>
      <c r="AD15" t="str">
        <f>IF($C15+AD$8&gt;Latest_Third,"",SUMIFS(Table1[Non-zero? (1=Yes)],Table1[Policy third],"="&amp;$C15,Table1[Delay (thirds)],"="&amp;AD$8))</f>
        <v/>
      </c>
      <c r="AE15" t="str">
        <f>IF($C15+AE$8&gt;Latest_Third,"",SUMIFS(Table1[Non-zero? (1=Yes)],Table1[Policy third],"="&amp;$C15,Table1[Delay (thirds)],"="&amp;AE$8))</f>
        <v/>
      </c>
      <c r="AF15" t="str">
        <f>IF($C15+AF$8&gt;Latest_Third,"",SUMIFS(Table1[Non-zero? (1=Yes)],Table1[Policy third],"="&amp;$C15,Table1[Delay (thirds)],"="&amp;AF$8))</f>
        <v/>
      </c>
      <c r="AJ15">
        <f t="shared" si="0"/>
        <v>46</v>
      </c>
    </row>
    <row r="16" spans="1:36" ht="13.15">
      <c r="A16">
        <f t="shared" si="1"/>
        <v>2007</v>
      </c>
      <c r="B16">
        <v>1</v>
      </c>
      <c r="C16" s="21">
        <v>7</v>
      </c>
      <c r="D16">
        <f>IF($C16+D$8&gt;Latest_Third,"",SUMIFS(Table1[Non-zero? (1=Yes)],Table1[Policy third],"="&amp;$C16,Table1[Delay (thirds)],"="&amp;D$8))</f>
        <v>18</v>
      </c>
      <c r="E16">
        <f>IF($C16+E$8&gt;Latest_Third,"",SUMIFS(Table1[Non-zero? (1=Yes)],Table1[Policy third],"="&amp;$C16,Table1[Delay (thirds)],"="&amp;E$8))</f>
        <v>8</v>
      </c>
      <c r="F16">
        <f>IF($C16+F$8&gt;Latest_Third,"",SUMIFS(Table1[Non-zero? (1=Yes)],Table1[Policy third],"="&amp;$C16,Table1[Delay (thirds)],"="&amp;F$8))</f>
        <v>5</v>
      </c>
      <c r="G16">
        <f>IF($C16+G$8&gt;Latest_Third,"",SUMIFS(Table1[Non-zero? (1=Yes)],Table1[Policy third],"="&amp;$C16,Table1[Delay (thirds)],"="&amp;G$8))</f>
        <v>2</v>
      </c>
      <c r="H16">
        <f>IF($C16+H$8&gt;Latest_Third,"",SUMIFS(Table1[Non-zero? (1=Yes)],Table1[Policy third],"="&amp;$C16,Table1[Delay (thirds)],"="&amp;H$8))</f>
        <v>3</v>
      </c>
      <c r="I16">
        <f>IF($C16+I$8&gt;Latest_Third,"",SUMIFS(Table1[Non-zero? (1=Yes)],Table1[Policy third],"="&amp;$C16,Table1[Delay (thirds)],"="&amp;I$8))</f>
        <v>0</v>
      </c>
      <c r="J16">
        <f>IF($C16+J$8&gt;Latest_Third,"",SUMIFS(Table1[Non-zero? (1=Yes)],Table1[Policy third],"="&amp;$C16,Table1[Delay (thirds)],"="&amp;J$8))</f>
        <v>3</v>
      </c>
      <c r="K16">
        <f>IF($C16+K$8&gt;Latest_Third,"",SUMIFS(Table1[Non-zero? (1=Yes)],Table1[Policy third],"="&amp;$C16,Table1[Delay (thirds)],"="&amp;K$8))</f>
        <v>0</v>
      </c>
      <c r="L16">
        <f>IF($C16+L$8&gt;Latest_Third,"",SUMIFS(Table1[Non-zero? (1=Yes)],Table1[Policy third],"="&amp;$C16,Table1[Delay (thirds)],"="&amp;L$8))</f>
        <v>0</v>
      </c>
      <c r="M16">
        <f>IF($C16+M$8&gt;Latest_Third,"",SUMIFS(Table1[Non-zero? (1=Yes)],Table1[Policy third],"="&amp;$C16,Table1[Delay (thirds)],"="&amp;M$8))</f>
        <v>0</v>
      </c>
      <c r="N16">
        <f>IF($C16+N$8&gt;Latest_Third,"",SUMIFS(Table1[Non-zero? (1=Yes)],Table1[Policy third],"="&amp;$C16,Table1[Delay (thirds)],"="&amp;N$8))</f>
        <v>0</v>
      </c>
      <c r="O16">
        <f>IF($C16+O$8&gt;Latest_Third,"",SUMIFS(Table1[Non-zero? (1=Yes)],Table1[Policy third],"="&amp;$C16,Table1[Delay (thirds)],"="&amp;O$8))</f>
        <v>0</v>
      </c>
      <c r="P16">
        <f>IF($C16+P$8&gt;Latest_Third,"",SUMIFS(Table1[Non-zero? (1=Yes)],Table1[Policy third],"="&amp;$C16,Table1[Delay (thirds)],"="&amp;P$8))</f>
        <v>0</v>
      </c>
      <c r="Q16">
        <f>IF($C16+Q$8&gt;Latest_Third,"",SUMIFS(Table1[Non-zero? (1=Yes)],Table1[Policy third],"="&amp;$C16,Table1[Delay (thirds)],"="&amp;Q$8))</f>
        <v>0</v>
      </c>
      <c r="R16">
        <f>IF($C16+R$8&gt;Latest_Third,"",SUMIFS(Table1[Non-zero? (1=Yes)],Table1[Policy third],"="&amp;$C16,Table1[Delay (thirds)],"="&amp;R$8))</f>
        <v>0</v>
      </c>
      <c r="S16">
        <f>IF($C16+S$8&gt;Latest_Third,"",SUMIFS(Table1[Non-zero? (1=Yes)],Table1[Policy third],"="&amp;$C16,Table1[Delay (thirds)],"="&amp;S$8))</f>
        <v>0</v>
      </c>
      <c r="T16">
        <f>IF($C16+T$8&gt;Latest_Third,"",SUMIFS(Table1[Non-zero? (1=Yes)],Table1[Policy third],"="&amp;$C16,Table1[Delay (thirds)],"="&amp;T$8))</f>
        <v>0</v>
      </c>
      <c r="U16">
        <f>IF($C16+U$8&gt;Latest_Third,"",SUMIFS(Table1[Non-zero? (1=Yes)],Table1[Policy third],"="&amp;$C16,Table1[Delay (thirds)],"="&amp;U$8))</f>
        <v>0</v>
      </c>
      <c r="V16">
        <f>IF($C16+V$8&gt;Latest_Third,"",SUMIFS(Table1[Non-zero? (1=Yes)],Table1[Policy third],"="&amp;$C16,Table1[Delay (thirds)],"="&amp;V$8))</f>
        <v>0</v>
      </c>
      <c r="W16">
        <f>IF($C16+W$8&gt;Latest_Third,"",SUMIFS(Table1[Non-zero? (1=Yes)],Table1[Policy third],"="&amp;$C16,Table1[Delay (thirds)],"="&amp;W$8))</f>
        <v>0</v>
      </c>
      <c r="X16">
        <f>IF($C16+X$8&gt;Latest_Third,"",SUMIFS(Table1[Non-zero? (1=Yes)],Table1[Policy third],"="&amp;$C16,Table1[Delay (thirds)],"="&amp;X$8))</f>
        <v>0</v>
      </c>
      <c r="Y16">
        <f>IF($C16+Y$8&gt;Latest_Third,"",SUMIFS(Table1[Non-zero? (1=Yes)],Table1[Policy third],"="&amp;$C16,Table1[Delay (thirds)],"="&amp;Y$8))</f>
        <v>0</v>
      </c>
      <c r="Z16" t="str">
        <f>IF($C16+Z$8&gt;Latest_Third,"",SUMIFS(Table1[Non-zero? (1=Yes)],Table1[Policy third],"="&amp;$C16,Table1[Delay (thirds)],"="&amp;Z$8))</f>
        <v/>
      </c>
      <c r="AA16" t="str">
        <f>IF($C16+AA$8&gt;Latest_Third,"",SUMIFS(Table1[Non-zero? (1=Yes)],Table1[Policy third],"="&amp;$C16,Table1[Delay (thirds)],"="&amp;AA$8))</f>
        <v/>
      </c>
      <c r="AB16" t="str">
        <f>IF($C16+AB$8&gt;Latest_Third,"",SUMIFS(Table1[Non-zero? (1=Yes)],Table1[Policy third],"="&amp;$C16,Table1[Delay (thirds)],"="&amp;AB$8))</f>
        <v/>
      </c>
      <c r="AC16" t="str">
        <f>IF($C16+AC$8&gt;Latest_Third,"",SUMIFS(Table1[Non-zero? (1=Yes)],Table1[Policy third],"="&amp;$C16,Table1[Delay (thirds)],"="&amp;AC$8))</f>
        <v/>
      </c>
      <c r="AD16" t="str">
        <f>IF($C16+AD$8&gt;Latest_Third,"",SUMIFS(Table1[Non-zero? (1=Yes)],Table1[Policy third],"="&amp;$C16,Table1[Delay (thirds)],"="&amp;AD$8))</f>
        <v/>
      </c>
      <c r="AE16" t="str">
        <f>IF($C16+AE$8&gt;Latest_Third,"",SUMIFS(Table1[Non-zero? (1=Yes)],Table1[Policy third],"="&amp;$C16,Table1[Delay (thirds)],"="&amp;AE$8))</f>
        <v/>
      </c>
      <c r="AF16" t="str">
        <f>IF($C16+AF$8&gt;Latest_Third,"",SUMIFS(Table1[Non-zero? (1=Yes)],Table1[Policy third],"="&amp;$C16,Table1[Delay (thirds)],"="&amp;AF$8))</f>
        <v/>
      </c>
      <c r="AJ16">
        <f t="shared" si="0"/>
        <v>39</v>
      </c>
    </row>
    <row r="17" spans="1:36" ht="13.15">
      <c r="A17">
        <f t="shared" si="1"/>
        <v>2007</v>
      </c>
      <c r="B17">
        <v>2</v>
      </c>
      <c r="C17" s="21">
        <v>8</v>
      </c>
      <c r="D17">
        <f>IF($C17+D$8&gt;Latest_Third,"",SUMIFS(Table1[Non-zero? (1=Yes)],Table1[Policy third],"="&amp;$C17,Table1[Delay (thirds)],"="&amp;D$8))</f>
        <v>7</v>
      </c>
      <c r="E17">
        <f>IF($C17+E$8&gt;Latest_Third,"",SUMIFS(Table1[Non-zero? (1=Yes)],Table1[Policy third],"="&amp;$C17,Table1[Delay (thirds)],"="&amp;E$8))</f>
        <v>8</v>
      </c>
      <c r="F17">
        <f>IF($C17+F$8&gt;Latest_Third,"",SUMIFS(Table1[Non-zero? (1=Yes)],Table1[Policy third],"="&amp;$C17,Table1[Delay (thirds)],"="&amp;F$8))</f>
        <v>4</v>
      </c>
      <c r="G17">
        <f>IF($C17+G$8&gt;Latest_Third,"",SUMIFS(Table1[Non-zero? (1=Yes)],Table1[Policy third],"="&amp;$C17,Table1[Delay (thirds)],"="&amp;G$8))</f>
        <v>3</v>
      </c>
      <c r="H17">
        <f>IF($C17+H$8&gt;Latest_Third,"",SUMIFS(Table1[Non-zero? (1=Yes)],Table1[Policy third],"="&amp;$C17,Table1[Delay (thirds)],"="&amp;H$8))</f>
        <v>2</v>
      </c>
      <c r="I17">
        <f>IF($C17+I$8&gt;Latest_Third,"",SUMIFS(Table1[Non-zero? (1=Yes)],Table1[Policy third],"="&amp;$C17,Table1[Delay (thirds)],"="&amp;I$8))</f>
        <v>0</v>
      </c>
      <c r="J17">
        <f>IF($C17+J$8&gt;Latest_Third,"",SUMIFS(Table1[Non-zero? (1=Yes)],Table1[Policy third],"="&amp;$C17,Table1[Delay (thirds)],"="&amp;J$8))</f>
        <v>0</v>
      </c>
      <c r="K17">
        <f>IF($C17+K$8&gt;Latest_Third,"",SUMIFS(Table1[Non-zero? (1=Yes)],Table1[Policy third],"="&amp;$C17,Table1[Delay (thirds)],"="&amp;K$8))</f>
        <v>0</v>
      </c>
      <c r="L17">
        <f>IF($C17+L$8&gt;Latest_Third,"",SUMIFS(Table1[Non-zero? (1=Yes)],Table1[Policy third],"="&amp;$C17,Table1[Delay (thirds)],"="&amp;L$8))</f>
        <v>0</v>
      </c>
      <c r="M17">
        <f>IF($C17+M$8&gt;Latest_Third,"",SUMIFS(Table1[Non-zero? (1=Yes)],Table1[Policy third],"="&amp;$C17,Table1[Delay (thirds)],"="&amp;M$8))</f>
        <v>1</v>
      </c>
      <c r="N17">
        <f>IF($C17+N$8&gt;Latest_Third,"",SUMIFS(Table1[Non-zero? (1=Yes)],Table1[Policy third],"="&amp;$C17,Table1[Delay (thirds)],"="&amp;N$8))</f>
        <v>0</v>
      </c>
      <c r="O17">
        <f>IF($C17+O$8&gt;Latest_Third,"",SUMIFS(Table1[Non-zero? (1=Yes)],Table1[Policy third],"="&amp;$C17,Table1[Delay (thirds)],"="&amp;O$8))</f>
        <v>0</v>
      </c>
      <c r="P17">
        <f>IF($C17+P$8&gt;Latest_Third,"",SUMIFS(Table1[Non-zero? (1=Yes)],Table1[Policy third],"="&amp;$C17,Table1[Delay (thirds)],"="&amp;P$8))</f>
        <v>0</v>
      </c>
      <c r="Q17">
        <f>IF($C17+Q$8&gt;Latest_Third,"",SUMIFS(Table1[Non-zero? (1=Yes)],Table1[Policy third],"="&amp;$C17,Table1[Delay (thirds)],"="&amp;Q$8))</f>
        <v>0</v>
      </c>
      <c r="R17">
        <f>IF($C17+R$8&gt;Latest_Third,"",SUMIFS(Table1[Non-zero? (1=Yes)],Table1[Policy third],"="&amp;$C17,Table1[Delay (thirds)],"="&amp;R$8))</f>
        <v>0</v>
      </c>
      <c r="S17">
        <f>IF($C17+S$8&gt;Latest_Third,"",SUMIFS(Table1[Non-zero? (1=Yes)],Table1[Policy third],"="&amp;$C17,Table1[Delay (thirds)],"="&amp;S$8))</f>
        <v>0</v>
      </c>
      <c r="T17">
        <f>IF($C17+T$8&gt;Latest_Third,"",SUMIFS(Table1[Non-zero? (1=Yes)],Table1[Policy third],"="&amp;$C17,Table1[Delay (thirds)],"="&amp;T$8))</f>
        <v>0</v>
      </c>
      <c r="U17">
        <f>IF($C17+U$8&gt;Latest_Third,"",SUMIFS(Table1[Non-zero? (1=Yes)],Table1[Policy third],"="&amp;$C17,Table1[Delay (thirds)],"="&amp;U$8))</f>
        <v>0</v>
      </c>
      <c r="V17">
        <f>IF($C17+V$8&gt;Latest_Third,"",SUMIFS(Table1[Non-zero? (1=Yes)],Table1[Policy third],"="&amp;$C17,Table1[Delay (thirds)],"="&amp;V$8))</f>
        <v>0</v>
      </c>
      <c r="W17">
        <f>IF($C17+W$8&gt;Latest_Third,"",SUMIFS(Table1[Non-zero? (1=Yes)],Table1[Policy third],"="&amp;$C17,Table1[Delay (thirds)],"="&amp;W$8))</f>
        <v>0</v>
      </c>
      <c r="X17">
        <f>IF($C17+X$8&gt;Latest_Third,"",SUMIFS(Table1[Non-zero? (1=Yes)],Table1[Policy third],"="&amp;$C17,Table1[Delay (thirds)],"="&amp;X$8))</f>
        <v>0</v>
      </c>
      <c r="Y17" t="str">
        <f>IF($C17+Y$8&gt;Latest_Third,"",SUMIFS(Table1[Non-zero? (1=Yes)],Table1[Policy third],"="&amp;$C17,Table1[Delay (thirds)],"="&amp;Y$8))</f>
        <v/>
      </c>
      <c r="Z17" t="str">
        <f>IF($C17+Z$8&gt;Latest_Third,"",SUMIFS(Table1[Non-zero? (1=Yes)],Table1[Policy third],"="&amp;$C17,Table1[Delay (thirds)],"="&amp;Z$8))</f>
        <v/>
      </c>
      <c r="AA17" t="str">
        <f>IF($C17+AA$8&gt;Latest_Third,"",SUMIFS(Table1[Non-zero? (1=Yes)],Table1[Policy third],"="&amp;$C17,Table1[Delay (thirds)],"="&amp;AA$8))</f>
        <v/>
      </c>
      <c r="AB17" t="str">
        <f>IF($C17+AB$8&gt;Latest_Third,"",SUMIFS(Table1[Non-zero? (1=Yes)],Table1[Policy third],"="&amp;$C17,Table1[Delay (thirds)],"="&amp;AB$8))</f>
        <v/>
      </c>
      <c r="AC17" t="str">
        <f>IF($C17+AC$8&gt;Latest_Third,"",SUMIFS(Table1[Non-zero? (1=Yes)],Table1[Policy third],"="&amp;$C17,Table1[Delay (thirds)],"="&amp;AC$8))</f>
        <v/>
      </c>
      <c r="AD17" t="str">
        <f>IF($C17+AD$8&gt;Latest_Third,"",SUMIFS(Table1[Non-zero? (1=Yes)],Table1[Policy third],"="&amp;$C17,Table1[Delay (thirds)],"="&amp;AD$8))</f>
        <v/>
      </c>
      <c r="AE17" t="str">
        <f>IF($C17+AE$8&gt;Latest_Third,"",SUMIFS(Table1[Non-zero? (1=Yes)],Table1[Policy third],"="&amp;$C17,Table1[Delay (thirds)],"="&amp;AE$8))</f>
        <v/>
      </c>
      <c r="AF17" t="str">
        <f>IF($C17+AF$8&gt;Latest_Third,"",SUMIFS(Table1[Non-zero? (1=Yes)],Table1[Policy third],"="&amp;$C17,Table1[Delay (thirds)],"="&amp;AF$8))</f>
        <v/>
      </c>
      <c r="AJ17">
        <f t="shared" si="0"/>
        <v>25</v>
      </c>
    </row>
    <row r="18" spans="1:36" ht="13.15">
      <c r="A18">
        <f t="shared" si="1"/>
        <v>2008</v>
      </c>
      <c r="B18">
        <v>0</v>
      </c>
      <c r="C18" s="21">
        <v>9</v>
      </c>
      <c r="D18">
        <f>IF($C18+D$8&gt;Latest_Third,"",SUMIFS(Table1[Non-zero? (1=Yes)],Table1[Policy third],"="&amp;$C18,Table1[Delay (thirds)],"="&amp;D$8))</f>
        <v>13</v>
      </c>
      <c r="E18">
        <f>IF($C18+E$8&gt;Latest_Third,"",SUMIFS(Table1[Non-zero? (1=Yes)],Table1[Policy third],"="&amp;$C18,Table1[Delay (thirds)],"="&amp;E$8))</f>
        <v>11</v>
      </c>
      <c r="F18">
        <f>IF($C18+F$8&gt;Latest_Third,"",SUMIFS(Table1[Non-zero? (1=Yes)],Table1[Policy third],"="&amp;$C18,Table1[Delay (thirds)],"="&amp;F$8))</f>
        <v>5</v>
      </c>
      <c r="G18">
        <f>IF($C18+G$8&gt;Latest_Third,"",SUMIFS(Table1[Non-zero? (1=Yes)],Table1[Policy third],"="&amp;$C18,Table1[Delay (thirds)],"="&amp;G$8))</f>
        <v>5</v>
      </c>
      <c r="H18">
        <f>IF($C18+H$8&gt;Latest_Third,"",SUMIFS(Table1[Non-zero? (1=Yes)],Table1[Policy third],"="&amp;$C18,Table1[Delay (thirds)],"="&amp;H$8))</f>
        <v>1</v>
      </c>
      <c r="I18">
        <f>IF($C18+I$8&gt;Latest_Third,"",SUMIFS(Table1[Non-zero? (1=Yes)],Table1[Policy third],"="&amp;$C18,Table1[Delay (thirds)],"="&amp;I$8))</f>
        <v>2</v>
      </c>
      <c r="J18">
        <f>IF($C18+J$8&gt;Latest_Third,"",SUMIFS(Table1[Non-zero? (1=Yes)],Table1[Policy third],"="&amp;$C18,Table1[Delay (thirds)],"="&amp;J$8))</f>
        <v>0</v>
      </c>
      <c r="K18">
        <f>IF($C18+K$8&gt;Latest_Third,"",SUMIFS(Table1[Non-zero? (1=Yes)],Table1[Policy third],"="&amp;$C18,Table1[Delay (thirds)],"="&amp;K$8))</f>
        <v>0</v>
      </c>
      <c r="L18">
        <f>IF($C18+L$8&gt;Latest_Third,"",SUMIFS(Table1[Non-zero? (1=Yes)],Table1[Policy third],"="&amp;$C18,Table1[Delay (thirds)],"="&amp;L$8))</f>
        <v>0</v>
      </c>
      <c r="M18">
        <f>IF($C18+M$8&gt;Latest_Third,"",SUMIFS(Table1[Non-zero? (1=Yes)],Table1[Policy third],"="&amp;$C18,Table1[Delay (thirds)],"="&amp;M$8))</f>
        <v>2</v>
      </c>
      <c r="N18">
        <f>IF($C18+N$8&gt;Latest_Third,"",SUMIFS(Table1[Non-zero? (1=Yes)],Table1[Policy third],"="&amp;$C18,Table1[Delay (thirds)],"="&amp;N$8))</f>
        <v>0</v>
      </c>
      <c r="O18">
        <f>IF($C18+O$8&gt;Latest_Third,"",SUMIFS(Table1[Non-zero? (1=Yes)],Table1[Policy third],"="&amp;$C18,Table1[Delay (thirds)],"="&amp;O$8))</f>
        <v>0</v>
      </c>
      <c r="P18">
        <f>IF($C18+P$8&gt;Latest_Third,"",SUMIFS(Table1[Non-zero? (1=Yes)],Table1[Policy third],"="&amp;$C18,Table1[Delay (thirds)],"="&amp;P$8))</f>
        <v>0</v>
      </c>
      <c r="Q18">
        <f>IF($C18+Q$8&gt;Latest_Third,"",SUMIFS(Table1[Non-zero? (1=Yes)],Table1[Policy third],"="&amp;$C18,Table1[Delay (thirds)],"="&amp;Q$8))</f>
        <v>0</v>
      </c>
      <c r="R18">
        <f>IF($C18+R$8&gt;Latest_Third,"",SUMIFS(Table1[Non-zero? (1=Yes)],Table1[Policy third],"="&amp;$C18,Table1[Delay (thirds)],"="&amp;R$8))</f>
        <v>0</v>
      </c>
      <c r="S18">
        <f>IF($C18+S$8&gt;Latest_Third,"",SUMIFS(Table1[Non-zero? (1=Yes)],Table1[Policy third],"="&amp;$C18,Table1[Delay (thirds)],"="&amp;S$8))</f>
        <v>0</v>
      </c>
      <c r="T18">
        <f>IF($C18+T$8&gt;Latest_Third,"",SUMIFS(Table1[Non-zero? (1=Yes)],Table1[Policy third],"="&amp;$C18,Table1[Delay (thirds)],"="&amp;T$8))</f>
        <v>0</v>
      </c>
      <c r="U18">
        <f>IF($C18+U$8&gt;Latest_Third,"",SUMIFS(Table1[Non-zero? (1=Yes)],Table1[Policy third],"="&amp;$C18,Table1[Delay (thirds)],"="&amp;U$8))</f>
        <v>0</v>
      </c>
      <c r="V18">
        <f>IF($C18+V$8&gt;Latest_Third,"",SUMIFS(Table1[Non-zero? (1=Yes)],Table1[Policy third],"="&amp;$C18,Table1[Delay (thirds)],"="&amp;V$8))</f>
        <v>0</v>
      </c>
      <c r="W18">
        <f>IF($C18+W$8&gt;Latest_Third,"",SUMIFS(Table1[Non-zero? (1=Yes)],Table1[Policy third],"="&amp;$C18,Table1[Delay (thirds)],"="&amp;W$8))</f>
        <v>1</v>
      </c>
      <c r="X18" t="str">
        <f>IF($C18+X$8&gt;Latest_Third,"",SUMIFS(Table1[Non-zero? (1=Yes)],Table1[Policy third],"="&amp;$C18,Table1[Delay (thirds)],"="&amp;X$8))</f>
        <v/>
      </c>
      <c r="Y18" t="str">
        <f>IF($C18+Y$8&gt;Latest_Third,"",SUMIFS(Table1[Non-zero? (1=Yes)],Table1[Policy third],"="&amp;$C18,Table1[Delay (thirds)],"="&amp;Y$8))</f>
        <v/>
      </c>
      <c r="Z18" t="str">
        <f>IF($C18+Z$8&gt;Latest_Third,"",SUMIFS(Table1[Non-zero? (1=Yes)],Table1[Policy third],"="&amp;$C18,Table1[Delay (thirds)],"="&amp;Z$8))</f>
        <v/>
      </c>
      <c r="AA18" t="str">
        <f>IF($C18+AA$8&gt;Latest_Third,"",SUMIFS(Table1[Non-zero? (1=Yes)],Table1[Policy third],"="&amp;$C18,Table1[Delay (thirds)],"="&amp;AA$8))</f>
        <v/>
      </c>
      <c r="AB18" t="str">
        <f>IF($C18+AB$8&gt;Latest_Third,"",SUMIFS(Table1[Non-zero? (1=Yes)],Table1[Policy third],"="&amp;$C18,Table1[Delay (thirds)],"="&amp;AB$8))</f>
        <v/>
      </c>
      <c r="AC18" t="str">
        <f>IF($C18+AC$8&gt;Latest_Third,"",SUMIFS(Table1[Non-zero? (1=Yes)],Table1[Policy third],"="&amp;$C18,Table1[Delay (thirds)],"="&amp;AC$8))</f>
        <v/>
      </c>
      <c r="AD18" t="str">
        <f>IF($C18+AD$8&gt;Latest_Third,"",SUMIFS(Table1[Non-zero? (1=Yes)],Table1[Policy third],"="&amp;$C18,Table1[Delay (thirds)],"="&amp;AD$8))</f>
        <v/>
      </c>
      <c r="AE18" t="str">
        <f>IF($C18+AE$8&gt;Latest_Third,"",SUMIFS(Table1[Non-zero? (1=Yes)],Table1[Policy third],"="&amp;$C18,Table1[Delay (thirds)],"="&amp;AE$8))</f>
        <v/>
      </c>
      <c r="AF18" t="str">
        <f>IF($C18+AF$8&gt;Latest_Third,"",SUMIFS(Table1[Non-zero? (1=Yes)],Table1[Policy third],"="&amp;$C18,Table1[Delay (thirds)],"="&amp;AF$8))</f>
        <v/>
      </c>
      <c r="AJ18">
        <f t="shared" si="0"/>
        <v>40</v>
      </c>
    </row>
    <row r="19" spans="1:36" ht="13.15">
      <c r="A19">
        <f t="shared" si="1"/>
        <v>2008</v>
      </c>
      <c r="B19">
        <v>1</v>
      </c>
      <c r="C19" s="21">
        <v>10</v>
      </c>
      <c r="D19">
        <f>IF($C19+D$8&gt;Latest_Third,"",SUMIFS(Table1[Non-zero? (1=Yes)],Table1[Policy third],"="&amp;$C19,Table1[Delay (thirds)],"="&amp;D$8))</f>
        <v>29</v>
      </c>
      <c r="E19">
        <f>IF($C19+E$8&gt;Latest_Third,"",SUMIFS(Table1[Non-zero? (1=Yes)],Table1[Policy third],"="&amp;$C19,Table1[Delay (thirds)],"="&amp;E$8))</f>
        <v>8</v>
      </c>
      <c r="F19">
        <f>IF($C19+F$8&gt;Latest_Third,"",SUMIFS(Table1[Non-zero? (1=Yes)],Table1[Policy third],"="&amp;$C19,Table1[Delay (thirds)],"="&amp;F$8))</f>
        <v>13</v>
      </c>
      <c r="G19">
        <f>IF($C19+G$8&gt;Latest_Third,"",SUMIFS(Table1[Non-zero? (1=Yes)],Table1[Policy third],"="&amp;$C19,Table1[Delay (thirds)],"="&amp;G$8))</f>
        <v>4</v>
      </c>
      <c r="H19">
        <f>IF($C19+H$8&gt;Latest_Third,"",SUMIFS(Table1[Non-zero? (1=Yes)],Table1[Policy third],"="&amp;$C19,Table1[Delay (thirds)],"="&amp;H$8))</f>
        <v>3</v>
      </c>
      <c r="I19">
        <f>IF($C19+I$8&gt;Latest_Third,"",SUMIFS(Table1[Non-zero? (1=Yes)],Table1[Policy third],"="&amp;$C19,Table1[Delay (thirds)],"="&amp;I$8))</f>
        <v>3</v>
      </c>
      <c r="J19">
        <f>IF($C19+J$8&gt;Latest_Third,"",SUMIFS(Table1[Non-zero? (1=Yes)],Table1[Policy third],"="&amp;$C19,Table1[Delay (thirds)],"="&amp;J$8))</f>
        <v>0</v>
      </c>
      <c r="K19">
        <f>IF($C19+K$8&gt;Latest_Third,"",SUMIFS(Table1[Non-zero? (1=Yes)],Table1[Policy third],"="&amp;$C19,Table1[Delay (thirds)],"="&amp;K$8))</f>
        <v>0</v>
      </c>
      <c r="L19">
        <f>IF($C19+L$8&gt;Latest_Third,"",SUMIFS(Table1[Non-zero? (1=Yes)],Table1[Policy third],"="&amp;$C19,Table1[Delay (thirds)],"="&amp;L$8))</f>
        <v>0</v>
      </c>
      <c r="M19">
        <f>IF($C19+M$8&gt;Latest_Third,"",SUMIFS(Table1[Non-zero? (1=Yes)],Table1[Policy third],"="&amp;$C19,Table1[Delay (thirds)],"="&amp;M$8))</f>
        <v>1</v>
      </c>
      <c r="N19">
        <f>IF($C19+N$8&gt;Latest_Third,"",SUMIFS(Table1[Non-zero? (1=Yes)],Table1[Policy third],"="&amp;$C19,Table1[Delay (thirds)],"="&amp;N$8))</f>
        <v>2</v>
      </c>
      <c r="O19">
        <f>IF($C19+O$8&gt;Latest_Third,"",SUMIFS(Table1[Non-zero? (1=Yes)],Table1[Policy third],"="&amp;$C19,Table1[Delay (thirds)],"="&amp;O$8))</f>
        <v>1</v>
      </c>
      <c r="P19">
        <f>IF($C19+P$8&gt;Latest_Third,"",SUMIFS(Table1[Non-zero? (1=Yes)],Table1[Policy third],"="&amp;$C19,Table1[Delay (thirds)],"="&amp;P$8))</f>
        <v>0</v>
      </c>
      <c r="Q19">
        <f>IF($C19+Q$8&gt;Latest_Third,"",SUMIFS(Table1[Non-zero? (1=Yes)],Table1[Policy third],"="&amp;$C19,Table1[Delay (thirds)],"="&amp;Q$8))</f>
        <v>0</v>
      </c>
      <c r="R19">
        <f>IF($C19+R$8&gt;Latest_Third,"",SUMIFS(Table1[Non-zero? (1=Yes)],Table1[Policy third],"="&amp;$C19,Table1[Delay (thirds)],"="&amp;R$8))</f>
        <v>0</v>
      </c>
      <c r="S19">
        <f>IF($C19+S$8&gt;Latest_Third,"",SUMIFS(Table1[Non-zero? (1=Yes)],Table1[Policy third],"="&amp;$C19,Table1[Delay (thirds)],"="&amp;S$8))</f>
        <v>0</v>
      </c>
      <c r="T19">
        <f>IF($C19+T$8&gt;Latest_Third,"",SUMIFS(Table1[Non-zero? (1=Yes)],Table1[Policy third],"="&amp;$C19,Table1[Delay (thirds)],"="&amp;T$8))</f>
        <v>0</v>
      </c>
      <c r="U19">
        <f>IF($C19+U$8&gt;Latest_Third,"",SUMIFS(Table1[Non-zero? (1=Yes)],Table1[Policy third],"="&amp;$C19,Table1[Delay (thirds)],"="&amp;U$8))</f>
        <v>0</v>
      </c>
      <c r="V19">
        <f>IF($C19+V$8&gt;Latest_Third,"",SUMIFS(Table1[Non-zero? (1=Yes)],Table1[Policy third],"="&amp;$C19,Table1[Delay (thirds)],"="&amp;V$8))</f>
        <v>0</v>
      </c>
      <c r="W19" t="str">
        <f>IF($C19+W$8&gt;Latest_Third,"",SUMIFS(Table1[Non-zero? (1=Yes)],Table1[Policy third],"="&amp;$C19,Table1[Delay (thirds)],"="&amp;W$8))</f>
        <v/>
      </c>
      <c r="X19" t="str">
        <f>IF($C19+X$8&gt;Latest_Third,"",SUMIFS(Table1[Non-zero? (1=Yes)],Table1[Policy third],"="&amp;$C19,Table1[Delay (thirds)],"="&amp;X$8))</f>
        <v/>
      </c>
      <c r="Y19" t="str">
        <f>IF($C19+Y$8&gt;Latest_Third,"",SUMIFS(Table1[Non-zero? (1=Yes)],Table1[Policy third],"="&amp;$C19,Table1[Delay (thirds)],"="&amp;Y$8))</f>
        <v/>
      </c>
      <c r="Z19" t="str">
        <f>IF($C19+Z$8&gt;Latest_Third,"",SUMIFS(Table1[Non-zero? (1=Yes)],Table1[Policy third],"="&amp;$C19,Table1[Delay (thirds)],"="&amp;Z$8))</f>
        <v/>
      </c>
      <c r="AA19" t="str">
        <f>IF($C19+AA$8&gt;Latest_Third,"",SUMIFS(Table1[Non-zero? (1=Yes)],Table1[Policy third],"="&amp;$C19,Table1[Delay (thirds)],"="&amp;AA$8))</f>
        <v/>
      </c>
      <c r="AB19" t="str">
        <f>IF($C19+AB$8&gt;Latest_Third,"",SUMIFS(Table1[Non-zero? (1=Yes)],Table1[Policy third],"="&amp;$C19,Table1[Delay (thirds)],"="&amp;AB$8))</f>
        <v/>
      </c>
      <c r="AC19" t="str">
        <f>IF($C19+AC$8&gt;Latest_Third,"",SUMIFS(Table1[Non-zero? (1=Yes)],Table1[Policy third],"="&amp;$C19,Table1[Delay (thirds)],"="&amp;AC$8))</f>
        <v/>
      </c>
      <c r="AD19" t="str">
        <f>IF($C19+AD$8&gt;Latest_Third,"",SUMIFS(Table1[Non-zero? (1=Yes)],Table1[Policy third],"="&amp;$C19,Table1[Delay (thirds)],"="&amp;AD$8))</f>
        <v/>
      </c>
      <c r="AE19" t="str">
        <f>IF($C19+AE$8&gt;Latest_Third,"",SUMIFS(Table1[Non-zero? (1=Yes)],Table1[Policy third],"="&amp;$C19,Table1[Delay (thirds)],"="&amp;AE$8))</f>
        <v/>
      </c>
      <c r="AF19" t="str">
        <f>IF($C19+AF$8&gt;Latest_Third,"",SUMIFS(Table1[Non-zero? (1=Yes)],Table1[Policy third],"="&amp;$C19,Table1[Delay (thirds)],"="&amp;AF$8))</f>
        <v/>
      </c>
      <c r="AJ19">
        <f t="shared" si="0"/>
        <v>64</v>
      </c>
    </row>
    <row r="20" spans="1:36" ht="13.15">
      <c r="A20">
        <f t="shared" si="1"/>
        <v>2008</v>
      </c>
      <c r="B20">
        <v>2</v>
      </c>
      <c r="C20" s="21">
        <v>11</v>
      </c>
      <c r="D20">
        <f>IF($C20+D$8&gt;Latest_Third,"",SUMIFS(Table1[Non-zero? (1=Yes)],Table1[Policy third],"="&amp;$C20,Table1[Delay (thirds)],"="&amp;D$8))</f>
        <v>17</v>
      </c>
      <c r="E20">
        <f>IF($C20+E$8&gt;Latest_Third,"",SUMIFS(Table1[Non-zero? (1=Yes)],Table1[Policy third],"="&amp;$C20,Table1[Delay (thirds)],"="&amp;E$8))</f>
        <v>8</v>
      </c>
      <c r="F20">
        <f>IF($C20+F$8&gt;Latest_Third,"",SUMIFS(Table1[Non-zero? (1=Yes)],Table1[Policy third],"="&amp;$C20,Table1[Delay (thirds)],"="&amp;F$8))</f>
        <v>7</v>
      </c>
      <c r="G20">
        <f>IF($C20+G$8&gt;Latest_Third,"",SUMIFS(Table1[Non-zero? (1=Yes)],Table1[Policy third],"="&amp;$C20,Table1[Delay (thirds)],"="&amp;G$8))</f>
        <v>4</v>
      </c>
      <c r="H20">
        <f>IF($C20+H$8&gt;Latest_Third,"",SUMIFS(Table1[Non-zero? (1=Yes)],Table1[Policy third],"="&amp;$C20,Table1[Delay (thirds)],"="&amp;H$8))</f>
        <v>4</v>
      </c>
      <c r="I20">
        <f>IF($C20+I$8&gt;Latest_Third,"",SUMIFS(Table1[Non-zero? (1=Yes)],Table1[Policy third],"="&amp;$C20,Table1[Delay (thirds)],"="&amp;I$8))</f>
        <v>0</v>
      </c>
      <c r="J20">
        <f>IF($C20+J$8&gt;Latest_Third,"",SUMIFS(Table1[Non-zero? (1=Yes)],Table1[Policy third],"="&amp;$C20,Table1[Delay (thirds)],"="&amp;J$8))</f>
        <v>1</v>
      </c>
      <c r="K20">
        <f>IF($C20+K$8&gt;Latest_Third,"",SUMIFS(Table1[Non-zero? (1=Yes)],Table1[Policy third],"="&amp;$C20,Table1[Delay (thirds)],"="&amp;K$8))</f>
        <v>1</v>
      </c>
      <c r="L20">
        <f>IF($C20+L$8&gt;Latest_Third,"",SUMIFS(Table1[Non-zero? (1=Yes)],Table1[Policy third],"="&amp;$C20,Table1[Delay (thirds)],"="&amp;L$8))</f>
        <v>0</v>
      </c>
      <c r="M20">
        <f>IF($C20+M$8&gt;Latest_Third,"",SUMIFS(Table1[Non-zero? (1=Yes)],Table1[Policy third],"="&amp;$C20,Table1[Delay (thirds)],"="&amp;M$8))</f>
        <v>0</v>
      </c>
      <c r="N20">
        <f>IF($C20+N$8&gt;Latest_Third,"",SUMIFS(Table1[Non-zero? (1=Yes)],Table1[Policy third],"="&amp;$C20,Table1[Delay (thirds)],"="&amp;N$8))</f>
        <v>0</v>
      </c>
      <c r="O20">
        <f>IF($C20+O$8&gt;Latest_Third,"",SUMIFS(Table1[Non-zero? (1=Yes)],Table1[Policy third],"="&amp;$C20,Table1[Delay (thirds)],"="&amp;O$8))</f>
        <v>0</v>
      </c>
      <c r="P20">
        <f>IF($C20+P$8&gt;Latest_Third,"",SUMIFS(Table1[Non-zero? (1=Yes)],Table1[Policy third],"="&amp;$C20,Table1[Delay (thirds)],"="&amp;P$8))</f>
        <v>0</v>
      </c>
      <c r="Q20">
        <f>IF($C20+Q$8&gt;Latest_Third,"",SUMIFS(Table1[Non-zero? (1=Yes)],Table1[Policy third],"="&amp;$C20,Table1[Delay (thirds)],"="&amp;Q$8))</f>
        <v>0</v>
      </c>
      <c r="R20">
        <f>IF($C20+R$8&gt;Latest_Third,"",SUMIFS(Table1[Non-zero? (1=Yes)],Table1[Policy third],"="&amp;$C20,Table1[Delay (thirds)],"="&amp;R$8))</f>
        <v>0</v>
      </c>
      <c r="S20">
        <f>IF($C20+S$8&gt;Latest_Third,"",SUMIFS(Table1[Non-zero? (1=Yes)],Table1[Policy third],"="&amp;$C20,Table1[Delay (thirds)],"="&amp;S$8))</f>
        <v>0</v>
      </c>
      <c r="T20">
        <f>IF($C20+T$8&gt;Latest_Third,"",SUMIFS(Table1[Non-zero? (1=Yes)],Table1[Policy third],"="&amp;$C20,Table1[Delay (thirds)],"="&amp;T$8))</f>
        <v>0</v>
      </c>
      <c r="U20">
        <f>IF($C20+U$8&gt;Latest_Third,"",SUMIFS(Table1[Non-zero? (1=Yes)],Table1[Policy third],"="&amp;$C20,Table1[Delay (thirds)],"="&amp;U$8))</f>
        <v>0</v>
      </c>
      <c r="V20" t="str">
        <f>IF($C20+V$8&gt;Latest_Third,"",SUMIFS(Table1[Non-zero? (1=Yes)],Table1[Policy third],"="&amp;$C20,Table1[Delay (thirds)],"="&amp;V$8))</f>
        <v/>
      </c>
      <c r="W20" t="str">
        <f>IF($C20+W$8&gt;Latest_Third,"",SUMIFS(Table1[Non-zero? (1=Yes)],Table1[Policy third],"="&amp;$C20,Table1[Delay (thirds)],"="&amp;W$8))</f>
        <v/>
      </c>
      <c r="X20" t="str">
        <f>IF($C20+X$8&gt;Latest_Third,"",SUMIFS(Table1[Non-zero? (1=Yes)],Table1[Policy third],"="&amp;$C20,Table1[Delay (thirds)],"="&amp;X$8))</f>
        <v/>
      </c>
      <c r="Y20" t="str">
        <f>IF($C20+Y$8&gt;Latest_Third,"",SUMIFS(Table1[Non-zero? (1=Yes)],Table1[Policy third],"="&amp;$C20,Table1[Delay (thirds)],"="&amp;Y$8))</f>
        <v/>
      </c>
      <c r="Z20" t="str">
        <f>IF($C20+Z$8&gt;Latest_Third,"",SUMIFS(Table1[Non-zero? (1=Yes)],Table1[Policy third],"="&amp;$C20,Table1[Delay (thirds)],"="&amp;Z$8))</f>
        <v/>
      </c>
      <c r="AA20" t="str">
        <f>IF($C20+AA$8&gt;Latest_Third,"",SUMIFS(Table1[Non-zero? (1=Yes)],Table1[Policy third],"="&amp;$C20,Table1[Delay (thirds)],"="&amp;AA$8))</f>
        <v/>
      </c>
      <c r="AB20" t="str">
        <f>IF($C20+AB$8&gt;Latest_Third,"",SUMIFS(Table1[Non-zero? (1=Yes)],Table1[Policy third],"="&amp;$C20,Table1[Delay (thirds)],"="&amp;AB$8))</f>
        <v/>
      </c>
      <c r="AC20" t="str">
        <f>IF($C20+AC$8&gt;Latest_Third,"",SUMIFS(Table1[Non-zero? (1=Yes)],Table1[Policy third],"="&amp;$C20,Table1[Delay (thirds)],"="&amp;AC$8))</f>
        <v/>
      </c>
      <c r="AD20" t="str">
        <f>IF($C20+AD$8&gt;Latest_Third,"",SUMIFS(Table1[Non-zero? (1=Yes)],Table1[Policy third],"="&amp;$C20,Table1[Delay (thirds)],"="&amp;AD$8))</f>
        <v/>
      </c>
      <c r="AE20" t="str">
        <f>IF($C20+AE$8&gt;Latest_Third,"",SUMIFS(Table1[Non-zero? (1=Yes)],Table1[Policy third],"="&amp;$C20,Table1[Delay (thirds)],"="&amp;AE$8))</f>
        <v/>
      </c>
      <c r="AF20" t="str">
        <f>IF($C20+AF$8&gt;Latest_Third,"",SUMIFS(Table1[Non-zero? (1=Yes)],Table1[Policy third],"="&amp;$C20,Table1[Delay (thirds)],"="&amp;AF$8))</f>
        <v/>
      </c>
      <c r="AJ20">
        <f t="shared" si="0"/>
        <v>42</v>
      </c>
    </row>
    <row r="21" spans="1:36" ht="13.15">
      <c r="A21">
        <f t="shared" si="1"/>
        <v>2009</v>
      </c>
      <c r="B21">
        <v>0</v>
      </c>
      <c r="C21" s="21">
        <v>12</v>
      </c>
      <c r="D21">
        <f>IF($C21+D$8&gt;Latest_Third,"",SUMIFS(Table1[Non-zero? (1=Yes)],Table1[Policy third],"="&amp;$C21,Table1[Delay (thirds)],"="&amp;D$8))</f>
        <v>29</v>
      </c>
      <c r="E21">
        <f>IF($C21+E$8&gt;Latest_Third,"",SUMIFS(Table1[Non-zero? (1=Yes)],Table1[Policy third],"="&amp;$C21,Table1[Delay (thirds)],"="&amp;E$8))</f>
        <v>11</v>
      </c>
      <c r="F21">
        <f>IF($C21+F$8&gt;Latest_Third,"",SUMIFS(Table1[Non-zero? (1=Yes)],Table1[Policy third],"="&amp;$C21,Table1[Delay (thirds)],"="&amp;F$8))</f>
        <v>5</v>
      </c>
      <c r="G21">
        <f>IF($C21+G$8&gt;Latest_Third,"",SUMIFS(Table1[Non-zero? (1=Yes)],Table1[Policy third],"="&amp;$C21,Table1[Delay (thirds)],"="&amp;G$8))</f>
        <v>4</v>
      </c>
      <c r="H21">
        <f>IF($C21+H$8&gt;Latest_Third,"",SUMIFS(Table1[Non-zero? (1=Yes)],Table1[Policy third],"="&amp;$C21,Table1[Delay (thirds)],"="&amp;H$8))</f>
        <v>2</v>
      </c>
      <c r="I21">
        <f>IF($C21+I$8&gt;Latest_Third,"",SUMIFS(Table1[Non-zero? (1=Yes)],Table1[Policy third],"="&amp;$C21,Table1[Delay (thirds)],"="&amp;I$8))</f>
        <v>3</v>
      </c>
      <c r="J21">
        <f>IF($C21+J$8&gt;Latest_Third,"",SUMIFS(Table1[Non-zero? (1=Yes)],Table1[Policy third],"="&amp;$C21,Table1[Delay (thirds)],"="&amp;J$8))</f>
        <v>0</v>
      </c>
      <c r="K21">
        <f>IF($C21+K$8&gt;Latest_Third,"",SUMIFS(Table1[Non-zero? (1=Yes)],Table1[Policy third],"="&amp;$C21,Table1[Delay (thirds)],"="&amp;K$8))</f>
        <v>0</v>
      </c>
      <c r="L21">
        <f>IF($C21+L$8&gt;Latest_Third,"",SUMIFS(Table1[Non-zero? (1=Yes)],Table1[Policy third],"="&amp;$C21,Table1[Delay (thirds)],"="&amp;L$8))</f>
        <v>0</v>
      </c>
      <c r="M21">
        <f>IF($C21+M$8&gt;Latest_Third,"",SUMIFS(Table1[Non-zero? (1=Yes)],Table1[Policy third],"="&amp;$C21,Table1[Delay (thirds)],"="&amp;M$8))</f>
        <v>0</v>
      </c>
      <c r="N21">
        <f>IF($C21+N$8&gt;Latest_Third,"",SUMIFS(Table1[Non-zero? (1=Yes)],Table1[Policy third],"="&amp;$C21,Table1[Delay (thirds)],"="&amp;N$8))</f>
        <v>1</v>
      </c>
      <c r="O21">
        <f>IF($C21+O$8&gt;Latest_Third,"",SUMIFS(Table1[Non-zero? (1=Yes)],Table1[Policy third],"="&amp;$C21,Table1[Delay (thirds)],"="&amp;O$8))</f>
        <v>0</v>
      </c>
      <c r="P21">
        <f>IF($C21+P$8&gt;Latest_Third,"",SUMIFS(Table1[Non-zero? (1=Yes)],Table1[Policy third],"="&amp;$C21,Table1[Delay (thirds)],"="&amp;P$8))</f>
        <v>0</v>
      </c>
      <c r="Q21">
        <f>IF($C21+Q$8&gt;Latest_Third,"",SUMIFS(Table1[Non-zero? (1=Yes)],Table1[Policy third],"="&amp;$C21,Table1[Delay (thirds)],"="&amp;Q$8))</f>
        <v>0</v>
      </c>
      <c r="R21">
        <f>IF($C21+R$8&gt;Latest_Third,"",SUMIFS(Table1[Non-zero? (1=Yes)],Table1[Policy third],"="&amp;$C21,Table1[Delay (thirds)],"="&amp;R$8))</f>
        <v>0</v>
      </c>
      <c r="S21">
        <f>IF($C21+S$8&gt;Latest_Third,"",SUMIFS(Table1[Non-zero? (1=Yes)],Table1[Policy third],"="&amp;$C21,Table1[Delay (thirds)],"="&amp;S$8))</f>
        <v>0</v>
      </c>
      <c r="T21">
        <f>IF($C21+T$8&gt;Latest_Third,"",SUMIFS(Table1[Non-zero? (1=Yes)],Table1[Policy third],"="&amp;$C21,Table1[Delay (thirds)],"="&amp;T$8))</f>
        <v>0</v>
      </c>
      <c r="U21" t="str">
        <f>IF($C21+U$8&gt;Latest_Third,"",SUMIFS(Table1[Non-zero? (1=Yes)],Table1[Policy third],"="&amp;$C21,Table1[Delay (thirds)],"="&amp;U$8))</f>
        <v/>
      </c>
      <c r="V21" t="str">
        <f>IF($C21+V$8&gt;Latest_Third,"",SUMIFS(Table1[Non-zero? (1=Yes)],Table1[Policy third],"="&amp;$C21,Table1[Delay (thirds)],"="&amp;V$8))</f>
        <v/>
      </c>
      <c r="W21" t="str">
        <f>IF($C21+W$8&gt;Latest_Third,"",SUMIFS(Table1[Non-zero? (1=Yes)],Table1[Policy third],"="&amp;$C21,Table1[Delay (thirds)],"="&amp;W$8))</f>
        <v/>
      </c>
      <c r="X21" t="str">
        <f>IF($C21+X$8&gt;Latest_Third,"",SUMIFS(Table1[Non-zero? (1=Yes)],Table1[Policy third],"="&amp;$C21,Table1[Delay (thirds)],"="&amp;X$8))</f>
        <v/>
      </c>
      <c r="Y21" t="str">
        <f>IF($C21+Y$8&gt;Latest_Third,"",SUMIFS(Table1[Non-zero? (1=Yes)],Table1[Policy third],"="&amp;$C21,Table1[Delay (thirds)],"="&amp;Y$8))</f>
        <v/>
      </c>
      <c r="Z21" t="str">
        <f>IF($C21+Z$8&gt;Latest_Third,"",SUMIFS(Table1[Non-zero? (1=Yes)],Table1[Policy third],"="&amp;$C21,Table1[Delay (thirds)],"="&amp;Z$8))</f>
        <v/>
      </c>
      <c r="AA21" t="str">
        <f>IF($C21+AA$8&gt;Latest_Third,"",SUMIFS(Table1[Non-zero? (1=Yes)],Table1[Policy third],"="&amp;$C21,Table1[Delay (thirds)],"="&amp;AA$8))</f>
        <v/>
      </c>
      <c r="AB21" t="str">
        <f>IF($C21+AB$8&gt;Latest_Third,"",SUMIFS(Table1[Non-zero? (1=Yes)],Table1[Policy third],"="&amp;$C21,Table1[Delay (thirds)],"="&amp;AB$8))</f>
        <v/>
      </c>
      <c r="AC21" t="str">
        <f>IF($C21+AC$8&gt;Latest_Third,"",SUMIFS(Table1[Non-zero? (1=Yes)],Table1[Policy third],"="&amp;$C21,Table1[Delay (thirds)],"="&amp;AC$8))</f>
        <v/>
      </c>
      <c r="AD21" t="str">
        <f>IF($C21+AD$8&gt;Latest_Third,"",SUMIFS(Table1[Non-zero? (1=Yes)],Table1[Policy third],"="&amp;$C21,Table1[Delay (thirds)],"="&amp;AD$8))</f>
        <v/>
      </c>
      <c r="AE21" t="str">
        <f>IF($C21+AE$8&gt;Latest_Third,"",SUMIFS(Table1[Non-zero? (1=Yes)],Table1[Policy third],"="&amp;$C21,Table1[Delay (thirds)],"="&amp;AE$8))</f>
        <v/>
      </c>
      <c r="AF21" t="str">
        <f>IF($C21+AF$8&gt;Latest_Third,"",SUMIFS(Table1[Non-zero? (1=Yes)],Table1[Policy third],"="&amp;$C21,Table1[Delay (thirds)],"="&amp;AF$8))</f>
        <v/>
      </c>
      <c r="AJ21">
        <f t="shared" si="0"/>
        <v>55</v>
      </c>
    </row>
    <row r="22" spans="1:36" ht="13.15">
      <c r="A22">
        <f t="shared" si="1"/>
        <v>2009</v>
      </c>
      <c r="B22">
        <v>1</v>
      </c>
      <c r="C22" s="21">
        <v>13</v>
      </c>
      <c r="D22">
        <f>IF($C22+D$8&gt;Latest_Third,"",SUMIFS(Table1[Non-zero? (1=Yes)],Table1[Policy third],"="&amp;$C22,Table1[Delay (thirds)],"="&amp;D$8))</f>
        <v>33</v>
      </c>
      <c r="E22">
        <f>IF($C22+E$8&gt;Latest_Third,"",SUMIFS(Table1[Non-zero? (1=Yes)],Table1[Policy third],"="&amp;$C22,Table1[Delay (thirds)],"="&amp;E$8))</f>
        <v>16</v>
      </c>
      <c r="F22">
        <f>IF($C22+F$8&gt;Latest_Third,"",SUMIFS(Table1[Non-zero? (1=Yes)],Table1[Policy third],"="&amp;$C22,Table1[Delay (thirds)],"="&amp;F$8))</f>
        <v>5</v>
      </c>
      <c r="G22">
        <f>IF($C22+G$8&gt;Latest_Third,"",SUMIFS(Table1[Non-zero? (1=Yes)],Table1[Policy third],"="&amp;$C22,Table1[Delay (thirds)],"="&amp;G$8))</f>
        <v>7</v>
      </c>
      <c r="H22">
        <f>IF($C22+H$8&gt;Latest_Third,"",SUMIFS(Table1[Non-zero? (1=Yes)],Table1[Policy third],"="&amp;$C22,Table1[Delay (thirds)],"="&amp;H$8))</f>
        <v>2</v>
      </c>
      <c r="I22">
        <f>IF($C22+I$8&gt;Latest_Third,"",SUMIFS(Table1[Non-zero? (1=Yes)],Table1[Policy third],"="&amp;$C22,Table1[Delay (thirds)],"="&amp;I$8))</f>
        <v>6</v>
      </c>
      <c r="J22">
        <f>IF($C22+J$8&gt;Latest_Third,"",SUMIFS(Table1[Non-zero? (1=Yes)],Table1[Policy third],"="&amp;$C22,Table1[Delay (thirds)],"="&amp;J$8))</f>
        <v>1</v>
      </c>
      <c r="K22">
        <f>IF($C22+K$8&gt;Latest_Third,"",SUMIFS(Table1[Non-zero? (1=Yes)],Table1[Policy third],"="&amp;$C22,Table1[Delay (thirds)],"="&amp;K$8))</f>
        <v>1</v>
      </c>
      <c r="L22">
        <f>IF($C22+L$8&gt;Latest_Third,"",SUMIFS(Table1[Non-zero? (1=Yes)],Table1[Policy third],"="&amp;$C22,Table1[Delay (thirds)],"="&amp;L$8))</f>
        <v>0</v>
      </c>
      <c r="M22">
        <f>IF($C22+M$8&gt;Latest_Third,"",SUMIFS(Table1[Non-zero? (1=Yes)],Table1[Policy third],"="&amp;$C22,Table1[Delay (thirds)],"="&amp;M$8))</f>
        <v>2</v>
      </c>
      <c r="N22">
        <f>IF($C22+N$8&gt;Latest_Third,"",SUMIFS(Table1[Non-zero? (1=Yes)],Table1[Policy third],"="&amp;$C22,Table1[Delay (thirds)],"="&amp;N$8))</f>
        <v>3</v>
      </c>
      <c r="O22">
        <f>IF($C22+O$8&gt;Latest_Third,"",SUMIFS(Table1[Non-zero? (1=Yes)],Table1[Policy third],"="&amp;$C22,Table1[Delay (thirds)],"="&amp;O$8))</f>
        <v>1</v>
      </c>
      <c r="P22">
        <f>IF($C22+P$8&gt;Latest_Third,"",SUMIFS(Table1[Non-zero? (1=Yes)],Table1[Policy third],"="&amp;$C22,Table1[Delay (thirds)],"="&amp;P$8))</f>
        <v>0</v>
      </c>
      <c r="Q22">
        <f>IF($C22+Q$8&gt;Latest_Third,"",SUMIFS(Table1[Non-zero? (1=Yes)],Table1[Policy third],"="&amp;$C22,Table1[Delay (thirds)],"="&amp;Q$8))</f>
        <v>0</v>
      </c>
      <c r="R22">
        <f>IF($C22+R$8&gt;Latest_Third,"",SUMIFS(Table1[Non-zero? (1=Yes)],Table1[Policy third],"="&amp;$C22,Table1[Delay (thirds)],"="&amp;R$8))</f>
        <v>0</v>
      </c>
      <c r="S22">
        <f>IF($C22+S$8&gt;Latest_Third,"",SUMIFS(Table1[Non-zero? (1=Yes)],Table1[Policy third],"="&amp;$C22,Table1[Delay (thirds)],"="&amp;S$8))</f>
        <v>0</v>
      </c>
      <c r="T22" t="str">
        <f>IF($C22+T$8&gt;Latest_Third,"",SUMIFS(Table1[Non-zero? (1=Yes)],Table1[Policy third],"="&amp;$C22,Table1[Delay (thirds)],"="&amp;T$8))</f>
        <v/>
      </c>
      <c r="U22" t="str">
        <f>IF($C22+U$8&gt;Latest_Third,"",SUMIFS(Table1[Non-zero? (1=Yes)],Table1[Policy third],"="&amp;$C22,Table1[Delay (thirds)],"="&amp;U$8))</f>
        <v/>
      </c>
      <c r="V22" t="str">
        <f>IF($C22+V$8&gt;Latest_Third,"",SUMIFS(Table1[Non-zero? (1=Yes)],Table1[Policy third],"="&amp;$C22,Table1[Delay (thirds)],"="&amp;V$8))</f>
        <v/>
      </c>
      <c r="W22" t="str">
        <f>IF($C22+W$8&gt;Latest_Third,"",SUMIFS(Table1[Non-zero? (1=Yes)],Table1[Policy third],"="&amp;$C22,Table1[Delay (thirds)],"="&amp;W$8))</f>
        <v/>
      </c>
      <c r="X22" t="str">
        <f>IF($C22+X$8&gt;Latest_Third,"",SUMIFS(Table1[Non-zero? (1=Yes)],Table1[Policy third],"="&amp;$C22,Table1[Delay (thirds)],"="&amp;X$8))</f>
        <v/>
      </c>
      <c r="Y22" t="str">
        <f>IF($C22+Y$8&gt;Latest_Third,"",SUMIFS(Table1[Non-zero? (1=Yes)],Table1[Policy third],"="&amp;$C22,Table1[Delay (thirds)],"="&amp;Y$8))</f>
        <v/>
      </c>
      <c r="Z22" t="str">
        <f>IF($C22+Z$8&gt;Latest_Third,"",SUMIFS(Table1[Non-zero? (1=Yes)],Table1[Policy third],"="&amp;$C22,Table1[Delay (thirds)],"="&amp;Z$8))</f>
        <v/>
      </c>
      <c r="AA22" t="str">
        <f>IF($C22+AA$8&gt;Latest_Third,"",SUMIFS(Table1[Non-zero? (1=Yes)],Table1[Policy third],"="&amp;$C22,Table1[Delay (thirds)],"="&amp;AA$8))</f>
        <v/>
      </c>
      <c r="AB22" t="str">
        <f>IF($C22+AB$8&gt;Latest_Third,"",SUMIFS(Table1[Non-zero? (1=Yes)],Table1[Policy third],"="&amp;$C22,Table1[Delay (thirds)],"="&amp;AB$8))</f>
        <v/>
      </c>
      <c r="AC22" t="str">
        <f>IF($C22+AC$8&gt;Latest_Third,"",SUMIFS(Table1[Non-zero? (1=Yes)],Table1[Policy third],"="&amp;$C22,Table1[Delay (thirds)],"="&amp;AC$8))</f>
        <v/>
      </c>
      <c r="AD22" t="str">
        <f>IF($C22+AD$8&gt;Latest_Third,"",SUMIFS(Table1[Non-zero? (1=Yes)],Table1[Policy third],"="&amp;$C22,Table1[Delay (thirds)],"="&amp;AD$8))</f>
        <v/>
      </c>
      <c r="AE22" t="str">
        <f>IF($C22+AE$8&gt;Latest_Third,"",SUMIFS(Table1[Non-zero? (1=Yes)],Table1[Policy third],"="&amp;$C22,Table1[Delay (thirds)],"="&amp;AE$8))</f>
        <v/>
      </c>
      <c r="AF22" t="str">
        <f>IF($C22+AF$8&gt;Latest_Third,"",SUMIFS(Table1[Non-zero? (1=Yes)],Table1[Policy third],"="&amp;$C22,Table1[Delay (thirds)],"="&amp;AF$8))</f>
        <v/>
      </c>
      <c r="AJ22">
        <f t="shared" si="0"/>
        <v>77</v>
      </c>
    </row>
    <row r="23" spans="1:36" ht="13.15">
      <c r="A23">
        <f t="shared" si="1"/>
        <v>2009</v>
      </c>
      <c r="B23">
        <v>2</v>
      </c>
      <c r="C23" s="21">
        <v>14</v>
      </c>
      <c r="D23">
        <f>IF($C23+D$8&gt;Latest_Third,"",SUMIFS(Table1[Non-zero? (1=Yes)],Table1[Policy third],"="&amp;$C23,Table1[Delay (thirds)],"="&amp;D$8))</f>
        <v>26</v>
      </c>
      <c r="E23">
        <f>IF($C23+E$8&gt;Latest_Third,"",SUMIFS(Table1[Non-zero? (1=Yes)],Table1[Policy third],"="&amp;$C23,Table1[Delay (thirds)],"="&amp;E$8))</f>
        <v>11</v>
      </c>
      <c r="F23">
        <f>IF($C23+F$8&gt;Latest_Third,"",SUMIFS(Table1[Non-zero? (1=Yes)],Table1[Policy third],"="&amp;$C23,Table1[Delay (thirds)],"="&amp;F$8))</f>
        <v>9</v>
      </c>
      <c r="G23">
        <f>IF($C23+G$8&gt;Latest_Third,"",SUMIFS(Table1[Non-zero? (1=Yes)],Table1[Policy third],"="&amp;$C23,Table1[Delay (thirds)],"="&amp;G$8))</f>
        <v>2</v>
      </c>
      <c r="H23">
        <f>IF($C23+H$8&gt;Latest_Third,"",SUMIFS(Table1[Non-zero? (1=Yes)],Table1[Policy third],"="&amp;$C23,Table1[Delay (thirds)],"="&amp;H$8))</f>
        <v>3</v>
      </c>
      <c r="I23">
        <f>IF($C23+I$8&gt;Latest_Third,"",SUMIFS(Table1[Non-zero? (1=Yes)],Table1[Policy third],"="&amp;$C23,Table1[Delay (thirds)],"="&amp;I$8))</f>
        <v>0</v>
      </c>
      <c r="J23">
        <f>IF($C23+J$8&gt;Latest_Third,"",SUMIFS(Table1[Non-zero? (1=Yes)],Table1[Policy third],"="&amp;$C23,Table1[Delay (thirds)],"="&amp;J$8))</f>
        <v>5</v>
      </c>
      <c r="K23">
        <f>IF($C23+K$8&gt;Latest_Third,"",SUMIFS(Table1[Non-zero? (1=Yes)],Table1[Policy third],"="&amp;$C23,Table1[Delay (thirds)],"="&amp;K$8))</f>
        <v>1</v>
      </c>
      <c r="L23">
        <f>IF($C23+L$8&gt;Latest_Third,"",SUMIFS(Table1[Non-zero? (1=Yes)],Table1[Policy third],"="&amp;$C23,Table1[Delay (thirds)],"="&amp;L$8))</f>
        <v>1</v>
      </c>
      <c r="M23">
        <f>IF($C23+M$8&gt;Latest_Third,"",SUMIFS(Table1[Non-zero? (1=Yes)],Table1[Policy third],"="&amp;$C23,Table1[Delay (thirds)],"="&amp;M$8))</f>
        <v>1</v>
      </c>
      <c r="N23">
        <f>IF($C23+N$8&gt;Latest_Third,"",SUMIFS(Table1[Non-zero? (1=Yes)],Table1[Policy third],"="&amp;$C23,Table1[Delay (thirds)],"="&amp;N$8))</f>
        <v>1</v>
      </c>
      <c r="O23">
        <f>IF($C23+O$8&gt;Latest_Third,"",SUMIFS(Table1[Non-zero? (1=Yes)],Table1[Policy third],"="&amp;$C23,Table1[Delay (thirds)],"="&amp;O$8))</f>
        <v>0</v>
      </c>
      <c r="P23">
        <f>IF($C23+P$8&gt;Latest_Third,"",SUMIFS(Table1[Non-zero? (1=Yes)],Table1[Policy third],"="&amp;$C23,Table1[Delay (thirds)],"="&amp;P$8))</f>
        <v>0</v>
      </c>
      <c r="Q23">
        <f>IF($C23+Q$8&gt;Latest_Third,"",SUMIFS(Table1[Non-zero? (1=Yes)],Table1[Policy third],"="&amp;$C23,Table1[Delay (thirds)],"="&amp;Q$8))</f>
        <v>1</v>
      </c>
      <c r="R23">
        <f>IF($C23+R$8&gt;Latest_Third,"",SUMIFS(Table1[Non-zero? (1=Yes)],Table1[Policy third],"="&amp;$C23,Table1[Delay (thirds)],"="&amp;R$8))</f>
        <v>1</v>
      </c>
      <c r="S23" t="str">
        <f>IF($C23+S$8&gt;Latest_Third,"",SUMIFS(Table1[Non-zero? (1=Yes)],Table1[Policy third],"="&amp;$C23,Table1[Delay (thirds)],"="&amp;S$8))</f>
        <v/>
      </c>
      <c r="T23" t="str">
        <f>IF($C23+T$8&gt;Latest_Third,"",SUMIFS(Table1[Non-zero? (1=Yes)],Table1[Policy third],"="&amp;$C23,Table1[Delay (thirds)],"="&amp;T$8))</f>
        <v/>
      </c>
      <c r="U23" t="str">
        <f>IF($C23+U$8&gt;Latest_Third,"",SUMIFS(Table1[Non-zero? (1=Yes)],Table1[Policy third],"="&amp;$C23,Table1[Delay (thirds)],"="&amp;U$8))</f>
        <v/>
      </c>
      <c r="V23" t="str">
        <f>IF($C23+V$8&gt;Latest_Third,"",SUMIFS(Table1[Non-zero? (1=Yes)],Table1[Policy third],"="&amp;$C23,Table1[Delay (thirds)],"="&amp;V$8))</f>
        <v/>
      </c>
      <c r="W23" t="str">
        <f>IF($C23+W$8&gt;Latest_Third,"",SUMIFS(Table1[Non-zero? (1=Yes)],Table1[Policy third],"="&amp;$C23,Table1[Delay (thirds)],"="&amp;W$8))</f>
        <v/>
      </c>
      <c r="X23" t="str">
        <f>IF($C23+X$8&gt;Latest_Third,"",SUMIFS(Table1[Non-zero? (1=Yes)],Table1[Policy third],"="&amp;$C23,Table1[Delay (thirds)],"="&amp;X$8))</f>
        <v/>
      </c>
      <c r="Y23" t="str">
        <f>IF($C23+Y$8&gt;Latest_Third,"",SUMIFS(Table1[Non-zero? (1=Yes)],Table1[Policy third],"="&amp;$C23,Table1[Delay (thirds)],"="&amp;Y$8))</f>
        <v/>
      </c>
      <c r="Z23" t="str">
        <f>IF($C23+Z$8&gt;Latest_Third,"",SUMIFS(Table1[Non-zero? (1=Yes)],Table1[Policy third],"="&amp;$C23,Table1[Delay (thirds)],"="&amp;Z$8))</f>
        <v/>
      </c>
      <c r="AA23" t="str">
        <f>IF($C23+AA$8&gt;Latest_Third,"",SUMIFS(Table1[Non-zero? (1=Yes)],Table1[Policy third],"="&amp;$C23,Table1[Delay (thirds)],"="&amp;AA$8))</f>
        <v/>
      </c>
      <c r="AB23" t="str">
        <f>IF($C23+AB$8&gt;Latest_Third,"",SUMIFS(Table1[Non-zero? (1=Yes)],Table1[Policy third],"="&amp;$C23,Table1[Delay (thirds)],"="&amp;AB$8))</f>
        <v/>
      </c>
      <c r="AC23" t="str">
        <f>IF($C23+AC$8&gt;Latest_Third,"",SUMIFS(Table1[Non-zero? (1=Yes)],Table1[Policy third],"="&amp;$C23,Table1[Delay (thirds)],"="&amp;AC$8))</f>
        <v/>
      </c>
      <c r="AD23" t="str">
        <f>IF($C23+AD$8&gt;Latest_Third,"",SUMIFS(Table1[Non-zero? (1=Yes)],Table1[Policy third],"="&amp;$C23,Table1[Delay (thirds)],"="&amp;AD$8))</f>
        <v/>
      </c>
      <c r="AE23" t="str">
        <f>IF($C23+AE$8&gt;Latest_Third,"",SUMIFS(Table1[Non-zero? (1=Yes)],Table1[Policy third],"="&amp;$C23,Table1[Delay (thirds)],"="&amp;AE$8))</f>
        <v/>
      </c>
      <c r="AF23" t="str">
        <f>IF($C23+AF$8&gt;Latest_Third,"",SUMIFS(Table1[Non-zero? (1=Yes)],Table1[Policy third],"="&amp;$C23,Table1[Delay (thirds)],"="&amp;AF$8))</f>
        <v/>
      </c>
      <c r="AJ23">
        <f t="shared" si="0"/>
        <v>62</v>
      </c>
    </row>
    <row r="24" spans="1:36" ht="13.15">
      <c r="A24">
        <f t="shared" si="1"/>
        <v>2010</v>
      </c>
      <c r="B24">
        <v>0</v>
      </c>
      <c r="C24" s="21">
        <v>15</v>
      </c>
      <c r="D24">
        <f>IF($C24+D$8&gt;Latest_Third,"",SUMIFS(Table1[Non-zero? (1=Yes)],Table1[Policy third],"="&amp;$C24,Table1[Delay (thirds)],"="&amp;D$8))</f>
        <v>26</v>
      </c>
      <c r="E24">
        <f>IF($C24+E$8&gt;Latest_Third,"",SUMIFS(Table1[Non-zero? (1=Yes)],Table1[Policy third],"="&amp;$C24,Table1[Delay (thirds)],"="&amp;E$8))</f>
        <v>13</v>
      </c>
      <c r="F24">
        <f>IF($C24+F$8&gt;Latest_Third,"",SUMIFS(Table1[Non-zero? (1=Yes)],Table1[Policy third],"="&amp;$C24,Table1[Delay (thirds)],"="&amp;F$8))</f>
        <v>9</v>
      </c>
      <c r="G24">
        <f>IF($C24+G$8&gt;Latest_Third,"",SUMIFS(Table1[Non-zero? (1=Yes)],Table1[Policy third],"="&amp;$C24,Table1[Delay (thirds)],"="&amp;G$8))</f>
        <v>5</v>
      </c>
      <c r="H24">
        <f>IF($C24+H$8&gt;Latest_Third,"",SUMIFS(Table1[Non-zero? (1=Yes)],Table1[Policy third],"="&amp;$C24,Table1[Delay (thirds)],"="&amp;H$8))</f>
        <v>7</v>
      </c>
      <c r="I24">
        <f>IF($C24+I$8&gt;Latest_Third,"",SUMIFS(Table1[Non-zero? (1=Yes)],Table1[Policy third],"="&amp;$C24,Table1[Delay (thirds)],"="&amp;I$8))</f>
        <v>3</v>
      </c>
      <c r="J24">
        <f>IF($C24+J$8&gt;Latest_Third,"",SUMIFS(Table1[Non-zero? (1=Yes)],Table1[Policy third],"="&amp;$C24,Table1[Delay (thirds)],"="&amp;J$8))</f>
        <v>1</v>
      </c>
      <c r="K24">
        <f>IF($C24+K$8&gt;Latest_Third,"",SUMIFS(Table1[Non-zero? (1=Yes)],Table1[Policy third],"="&amp;$C24,Table1[Delay (thirds)],"="&amp;K$8))</f>
        <v>0</v>
      </c>
      <c r="L24">
        <f>IF($C24+L$8&gt;Latest_Third,"",SUMIFS(Table1[Non-zero? (1=Yes)],Table1[Policy third],"="&amp;$C24,Table1[Delay (thirds)],"="&amp;L$8))</f>
        <v>2</v>
      </c>
      <c r="M24">
        <f>IF($C24+M$8&gt;Latest_Third,"",SUMIFS(Table1[Non-zero? (1=Yes)],Table1[Policy third],"="&amp;$C24,Table1[Delay (thirds)],"="&amp;M$8))</f>
        <v>0</v>
      </c>
      <c r="N24">
        <f>IF($C24+N$8&gt;Latest_Third,"",SUMIFS(Table1[Non-zero? (1=Yes)],Table1[Policy third],"="&amp;$C24,Table1[Delay (thirds)],"="&amp;N$8))</f>
        <v>0</v>
      </c>
      <c r="O24">
        <f>IF($C24+O$8&gt;Latest_Third,"",SUMIFS(Table1[Non-zero? (1=Yes)],Table1[Policy third],"="&amp;$C24,Table1[Delay (thirds)],"="&amp;O$8))</f>
        <v>0</v>
      </c>
      <c r="P24">
        <f>IF($C24+P$8&gt;Latest_Third,"",SUMIFS(Table1[Non-zero? (1=Yes)],Table1[Policy third],"="&amp;$C24,Table1[Delay (thirds)],"="&amp;P$8))</f>
        <v>0</v>
      </c>
      <c r="Q24">
        <f>IF($C24+Q$8&gt;Latest_Third,"",SUMIFS(Table1[Non-zero? (1=Yes)],Table1[Policy third],"="&amp;$C24,Table1[Delay (thirds)],"="&amp;Q$8))</f>
        <v>0</v>
      </c>
      <c r="R24" t="str">
        <f>IF($C24+R$8&gt;Latest_Third,"",SUMIFS(Table1[Non-zero? (1=Yes)],Table1[Policy third],"="&amp;$C24,Table1[Delay (thirds)],"="&amp;R$8))</f>
        <v/>
      </c>
      <c r="S24" t="str">
        <f>IF($C24+S$8&gt;Latest_Third,"",SUMIFS(Table1[Non-zero? (1=Yes)],Table1[Policy third],"="&amp;$C24,Table1[Delay (thirds)],"="&amp;S$8))</f>
        <v/>
      </c>
      <c r="T24" t="str">
        <f>IF($C24+T$8&gt;Latest_Third,"",SUMIFS(Table1[Non-zero? (1=Yes)],Table1[Policy third],"="&amp;$C24,Table1[Delay (thirds)],"="&amp;T$8))</f>
        <v/>
      </c>
      <c r="U24" t="str">
        <f>IF($C24+U$8&gt;Latest_Third,"",SUMIFS(Table1[Non-zero? (1=Yes)],Table1[Policy third],"="&amp;$C24,Table1[Delay (thirds)],"="&amp;U$8))</f>
        <v/>
      </c>
      <c r="V24" t="str">
        <f>IF($C24+V$8&gt;Latest_Third,"",SUMIFS(Table1[Non-zero? (1=Yes)],Table1[Policy third],"="&amp;$C24,Table1[Delay (thirds)],"="&amp;V$8))</f>
        <v/>
      </c>
      <c r="W24" t="str">
        <f>IF($C24+W$8&gt;Latest_Third,"",SUMIFS(Table1[Non-zero? (1=Yes)],Table1[Policy third],"="&amp;$C24,Table1[Delay (thirds)],"="&amp;W$8))</f>
        <v/>
      </c>
      <c r="X24" t="str">
        <f>IF($C24+X$8&gt;Latest_Third,"",SUMIFS(Table1[Non-zero? (1=Yes)],Table1[Policy third],"="&amp;$C24,Table1[Delay (thirds)],"="&amp;X$8))</f>
        <v/>
      </c>
      <c r="Y24" t="str">
        <f>IF($C24+Y$8&gt;Latest_Third,"",SUMIFS(Table1[Non-zero? (1=Yes)],Table1[Policy third],"="&amp;$C24,Table1[Delay (thirds)],"="&amp;Y$8))</f>
        <v/>
      </c>
      <c r="Z24" t="str">
        <f>IF($C24+Z$8&gt;Latest_Third,"",SUMIFS(Table1[Non-zero? (1=Yes)],Table1[Policy third],"="&amp;$C24,Table1[Delay (thirds)],"="&amp;Z$8))</f>
        <v/>
      </c>
      <c r="AA24" t="str">
        <f>IF($C24+AA$8&gt;Latest_Third,"",SUMIFS(Table1[Non-zero? (1=Yes)],Table1[Policy third],"="&amp;$C24,Table1[Delay (thirds)],"="&amp;AA$8))</f>
        <v/>
      </c>
      <c r="AB24" t="str">
        <f>IF($C24+AB$8&gt;Latest_Third,"",SUMIFS(Table1[Non-zero? (1=Yes)],Table1[Policy third],"="&amp;$C24,Table1[Delay (thirds)],"="&amp;AB$8))</f>
        <v/>
      </c>
      <c r="AC24" t="str">
        <f>IF($C24+AC$8&gt;Latest_Third,"",SUMIFS(Table1[Non-zero? (1=Yes)],Table1[Policy third],"="&amp;$C24,Table1[Delay (thirds)],"="&amp;AC$8))</f>
        <v/>
      </c>
      <c r="AD24" t="str">
        <f>IF($C24+AD$8&gt;Latest_Third,"",SUMIFS(Table1[Non-zero? (1=Yes)],Table1[Policy third],"="&amp;$C24,Table1[Delay (thirds)],"="&amp;AD$8))</f>
        <v/>
      </c>
      <c r="AE24" t="str">
        <f>IF($C24+AE$8&gt;Latest_Third,"",SUMIFS(Table1[Non-zero? (1=Yes)],Table1[Policy third],"="&amp;$C24,Table1[Delay (thirds)],"="&amp;AE$8))</f>
        <v/>
      </c>
      <c r="AF24" t="str">
        <f>IF($C24+AF$8&gt;Latest_Third,"",SUMIFS(Table1[Non-zero? (1=Yes)],Table1[Policy third],"="&amp;$C24,Table1[Delay (thirds)],"="&amp;AF$8))</f>
        <v/>
      </c>
      <c r="AJ24">
        <f t="shared" si="0"/>
        <v>66</v>
      </c>
    </row>
    <row r="25" spans="1:36" ht="13.15">
      <c r="A25">
        <f t="shared" si="1"/>
        <v>2010</v>
      </c>
      <c r="B25">
        <v>1</v>
      </c>
      <c r="C25" s="21">
        <v>16</v>
      </c>
      <c r="D25">
        <f>IF($C25+D$8&gt;Latest_Third,"",SUMIFS(Table1[Non-zero? (1=Yes)],Table1[Policy third],"="&amp;$C25,Table1[Delay (thirds)],"="&amp;D$8))</f>
        <v>34</v>
      </c>
      <c r="E25">
        <f>IF($C25+E$8&gt;Latest_Third,"",SUMIFS(Table1[Non-zero? (1=Yes)],Table1[Policy third],"="&amp;$C25,Table1[Delay (thirds)],"="&amp;E$8))</f>
        <v>24</v>
      </c>
      <c r="F25">
        <f>IF($C25+F$8&gt;Latest_Third,"",SUMIFS(Table1[Non-zero? (1=Yes)],Table1[Policy third],"="&amp;$C25,Table1[Delay (thirds)],"="&amp;F$8))</f>
        <v>8</v>
      </c>
      <c r="G25">
        <f>IF($C25+G$8&gt;Latest_Third,"",SUMIFS(Table1[Non-zero? (1=Yes)],Table1[Policy third],"="&amp;$C25,Table1[Delay (thirds)],"="&amp;G$8))</f>
        <v>7</v>
      </c>
      <c r="H25">
        <f>IF($C25+H$8&gt;Latest_Third,"",SUMIFS(Table1[Non-zero? (1=Yes)],Table1[Policy third],"="&amp;$C25,Table1[Delay (thirds)],"="&amp;H$8))</f>
        <v>5</v>
      </c>
      <c r="I25">
        <f>IF($C25+I$8&gt;Latest_Third,"",SUMIFS(Table1[Non-zero? (1=Yes)],Table1[Policy third],"="&amp;$C25,Table1[Delay (thirds)],"="&amp;I$8))</f>
        <v>1</v>
      </c>
      <c r="J25">
        <f>IF($C25+J$8&gt;Latest_Third,"",SUMIFS(Table1[Non-zero? (1=Yes)],Table1[Policy third],"="&amp;$C25,Table1[Delay (thirds)],"="&amp;J$8))</f>
        <v>2</v>
      </c>
      <c r="K25">
        <f>IF($C25+K$8&gt;Latest_Third,"",SUMIFS(Table1[Non-zero? (1=Yes)],Table1[Policy third],"="&amp;$C25,Table1[Delay (thirds)],"="&amp;K$8))</f>
        <v>1</v>
      </c>
      <c r="L25">
        <f>IF($C25+L$8&gt;Latest_Third,"",SUMIFS(Table1[Non-zero? (1=Yes)],Table1[Policy third],"="&amp;$C25,Table1[Delay (thirds)],"="&amp;L$8))</f>
        <v>1</v>
      </c>
      <c r="M25">
        <f>IF($C25+M$8&gt;Latest_Third,"",SUMIFS(Table1[Non-zero? (1=Yes)],Table1[Policy third],"="&amp;$C25,Table1[Delay (thirds)],"="&amp;M$8))</f>
        <v>1</v>
      </c>
      <c r="N25">
        <f>IF($C25+N$8&gt;Latest_Third,"",SUMIFS(Table1[Non-zero? (1=Yes)],Table1[Policy third],"="&amp;$C25,Table1[Delay (thirds)],"="&amp;N$8))</f>
        <v>0</v>
      </c>
      <c r="O25">
        <f>IF($C25+O$8&gt;Latest_Third,"",SUMIFS(Table1[Non-zero? (1=Yes)],Table1[Policy third],"="&amp;$C25,Table1[Delay (thirds)],"="&amp;O$8))</f>
        <v>1</v>
      </c>
      <c r="P25">
        <f>IF($C25+P$8&gt;Latest_Third,"",SUMIFS(Table1[Non-zero? (1=Yes)],Table1[Policy third],"="&amp;$C25,Table1[Delay (thirds)],"="&amp;P$8))</f>
        <v>1</v>
      </c>
      <c r="Q25" t="str">
        <f>IF($C25+Q$8&gt;Latest_Third,"",SUMIFS(Table1[Non-zero? (1=Yes)],Table1[Policy third],"="&amp;$C25,Table1[Delay (thirds)],"="&amp;Q$8))</f>
        <v/>
      </c>
      <c r="R25" t="str">
        <f>IF($C25+R$8&gt;Latest_Third,"",SUMIFS(Table1[Non-zero? (1=Yes)],Table1[Policy third],"="&amp;$C25,Table1[Delay (thirds)],"="&amp;R$8))</f>
        <v/>
      </c>
      <c r="S25" t="str">
        <f>IF($C25+S$8&gt;Latest_Third,"",SUMIFS(Table1[Non-zero? (1=Yes)],Table1[Policy third],"="&amp;$C25,Table1[Delay (thirds)],"="&amp;S$8))</f>
        <v/>
      </c>
      <c r="T25" t="str">
        <f>IF($C25+T$8&gt;Latest_Third,"",SUMIFS(Table1[Non-zero? (1=Yes)],Table1[Policy third],"="&amp;$C25,Table1[Delay (thirds)],"="&amp;T$8))</f>
        <v/>
      </c>
      <c r="U25" t="str">
        <f>IF($C25+U$8&gt;Latest_Third,"",SUMIFS(Table1[Non-zero? (1=Yes)],Table1[Policy third],"="&amp;$C25,Table1[Delay (thirds)],"="&amp;U$8))</f>
        <v/>
      </c>
      <c r="V25" t="str">
        <f>IF($C25+V$8&gt;Latest_Third,"",SUMIFS(Table1[Non-zero? (1=Yes)],Table1[Policy third],"="&amp;$C25,Table1[Delay (thirds)],"="&amp;V$8))</f>
        <v/>
      </c>
      <c r="W25" t="str">
        <f>IF($C25+W$8&gt;Latest_Third,"",SUMIFS(Table1[Non-zero? (1=Yes)],Table1[Policy third],"="&amp;$C25,Table1[Delay (thirds)],"="&amp;W$8))</f>
        <v/>
      </c>
      <c r="X25" t="str">
        <f>IF($C25+X$8&gt;Latest_Third,"",SUMIFS(Table1[Non-zero? (1=Yes)],Table1[Policy third],"="&amp;$C25,Table1[Delay (thirds)],"="&amp;X$8))</f>
        <v/>
      </c>
      <c r="Y25" t="str">
        <f>IF($C25+Y$8&gt;Latest_Third,"",SUMIFS(Table1[Non-zero? (1=Yes)],Table1[Policy third],"="&amp;$C25,Table1[Delay (thirds)],"="&amp;Y$8))</f>
        <v/>
      </c>
      <c r="Z25" t="str">
        <f>IF($C25+Z$8&gt;Latest_Third,"",SUMIFS(Table1[Non-zero? (1=Yes)],Table1[Policy third],"="&amp;$C25,Table1[Delay (thirds)],"="&amp;Z$8))</f>
        <v/>
      </c>
      <c r="AA25" t="str">
        <f>IF($C25+AA$8&gt;Latest_Third,"",SUMIFS(Table1[Non-zero? (1=Yes)],Table1[Policy third],"="&amp;$C25,Table1[Delay (thirds)],"="&amp;AA$8))</f>
        <v/>
      </c>
      <c r="AB25" t="str">
        <f>IF($C25+AB$8&gt;Latest_Third,"",SUMIFS(Table1[Non-zero? (1=Yes)],Table1[Policy third],"="&amp;$C25,Table1[Delay (thirds)],"="&amp;AB$8))</f>
        <v/>
      </c>
      <c r="AC25" t="str">
        <f>IF($C25+AC$8&gt;Latest_Third,"",SUMIFS(Table1[Non-zero? (1=Yes)],Table1[Policy third],"="&amp;$C25,Table1[Delay (thirds)],"="&amp;AC$8))</f>
        <v/>
      </c>
      <c r="AD25" t="str">
        <f>IF($C25+AD$8&gt;Latest_Third,"",SUMIFS(Table1[Non-zero? (1=Yes)],Table1[Policy third],"="&amp;$C25,Table1[Delay (thirds)],"="&amp;AD$8))</f>
        <v/>
      </c>
      <c r="AE25" t="str">
        <f>IF($C25+AE$8&gt;Latest_Third,"",SUMIFS(Table1[Non-zero? (1=Yes)],Table1[Policy third],"="&amp;$C25,Table1[Delay (thirds)],"="&amp;AE$8))</f>
        <v/>
      </c>
      <c r="AF25" t="str">
        <f>IF($C25+AF$8&gt;Latest_Third,"",SUMIFS(Table1[Non-zero? (1=Yes)],Table1[Policy third],"="&amp;$C25,Table1[Delay (thirds)],"="&amp;AF$8))</f>
        <v/>
      </c>
      <c r="AJ25">
        <f t="shared" si="0"/>
        <v>86</v>
      </c>
    </row>
    <row r="26" spans="1:36" ht="13.15">
      <c r="A26">
        <f t="shared" si="1"/>
        <v>2010</v>
      </c>
      <c r="B26">
        <v>2</v>
      </c>
      <c r="C26" s="21">
        <v>17</v>
      </c>
      <c r="D26">
        <f>IF($C26+D$8&gt;Latest_Third,"",SUMIFS(Table1[Non-zero? (1=Yes)],Table1[Policy third],"="&amp;$C26,Table1[Delay (thirds)],"="&amp;D$8))</f>
        <v>43</v>
      </c>
      <c r="E26">
        <f>IF($C26+E$8&gt;Latest_Third,"",SUMIFS(Table1[Non-zero? (1=Yes)],Table1[Policy third],"="&amp;$C26,Table1[Delay (thirds)],"="&amp;E$8))</f>
        <v>27</v>
      </c>
      <c r="F26">
        <f>IF($C26+F$8&gt;Latest_Third,"",SUMIFS(Table1[Non-zero? (1=Yes)],Table1[Policy third],"="&amp;$C26,Table1[Delay (thirds)],"="&amp;F$8))</f>
        <v>9</v>
      </c>
      <c r="G26">
        <f>IF($C26+G$8&gt;Latest_Third,"",SUMIFS(Table1[Non-zero? (1=Yes)],Table1[Policy third],"="&amp;$C26,Table1[Delay (thirds)],"="&amp;G$8))</f>
        <v>6</v>
      </c>
      <c r="H26">
        <f>IF($C26+H$8&gt;Latest_Third,"",SUMIFS(Table1[Non-zero? (1=Yes)],Table1[Policy third],"="&amp;$C26,Table1[Delay (thirds)],"="&amp;H$8))</f>
        <v>7</v>
      </c>
      <c r="I26">
        <f>IF($C26+I$8&gt;Latest_Third,"",SUMIFS(Table1[Non-zero? (1=Yes)],Table1[Policy third],"="&amp;$C26,Table1[Delay (thirds)],"="&amp;I$8))</f>
        <v>4</v>
      </c>
      <c r="J26">
        <f>IF($C26+J$8&gt;Latest_Third,"",SUMIFS(Table1[Non-zero? (1=Yes)],Table1[Policy third],"="&amp;$C26,Table1[Delay (thirds)],"="&amp;J$8))</f>
        <v>2</v>
      </c>
      <c r="K26">
        <f>IF($C26+K$8&gt;Latest_Third,"",SUMIFS(Table1[Non-zero? (1=Yes)],Table1[Policy third],"="&amp;$C26,Table1[Delay (thirds)],"="&amp;K$8))</f>
        <v>1</v>
      </c>
      <c r="L26">
        <f>IF($C26+L$8&gt;Latest_Third,"",SUMIFS(Table1[Non-zero? (1=Yes)],Table1[Policy third],"="&amp;$C26,Table1[Delay (thirds)],"="&amp;L$8))</f>
        <v>0</v>
      </c>
      <c r="M26">
        <f>IF($C26+M$8&gt;Latest_Third,"",SUMIFS(Table1[Non-zero? (1=Yes)],Table1[Policy third],"="&amp;$C26,Table1[Delay (thirds)],"="&amp;M$8))</f>
        <v>4</v>
      </c>
      <c r="N26">
        <f>IF($C26+N$8&gt;Latest_Third,"",SUMIFS(Table1[Non-zero? (1=Yes)],Table1[Policy third],"="&amp;$C26,Table1[Delay (thirds)],"="&amp;N$8))</f>
        <v>1</v>
      </c>
      <c r="O26">
        <f>IF($C26+O$8&gt;Latest_Third,"",SUMIFS(Table1[Non-zero? (1=Yes)],Table1[Policy third],"="&amp;$C26,Table1[Delay (thirds)],"="&amp;O$8))</f>
        <v>0</v>
      </c>
      <c r="P26" t="str">
        <f>IF($C26+P$8&gt;Latest_Third,"",SUMIFS(Table1[Non-zero? (1=Yes)],Table1[Policy third],"="&amp;$C26,Table1[Delay (thirds)],"="&amp;P$8))</f>
        <v/>
      </c>
      <c r="Q26" t="str">
        <f>IF($C26+Q$8&gt;Latest_Third,"",SUMIFS(Table1[Non-zero? (1=Yes)],Table1[Policy third],"="&amp;$C26,Table1[Delay (thirds)],"="&amp;Q$8))</f>
        <v/>
      </c>
      <c r="R26" t="str">
        <f>IF($C26+R$8&gt;Latest_Third,"",SUMIFS(Table1[Non-zero? (1=Yes)],Table1[Policy third],"="&amp;$C26,Table1[Delay (thirds)],"="&amp;R$8))</f>
        <v/>
      </c>
      <c r="S26" t="str">
        <f>IF($C26+S$8&gt;Latest_Third,"",SUMIFS(Table1[Non-zero? (1=Yes)],Table1[Policy third],"="&amp;$C26,Table1[Delay (thirds)],"="&amp;S$8))</f>
        <v/>
      </c>
      <c r="T26" t="str">
        <f>IF($C26+T$8&gt;Latest_Third,"",SUMIFS(Table1[Non-zero? (1=Yes)],Table1[Policy third],"="&amp;$C26,Table1[Delay (thirds)],"="&amp;T$8))</f>
        <v/>
      </c>
      <c r="U26" t="str">
        <f>IF($C26+U$8&gt;Latest_Third,"",SUMIFS(Table1[Non-zero? (1=Yes)],Table1[Policy third],"="&amp;$C26,Table1[Delay (thirds)],"="&amp;U$8))</f>
        <v/>
      </c>
      <c r="V26" t="str">
        <f>IF($C26+V$8&gt;Latest_Third,"",SUMIFS(Table1[Non-zero? (1=Yes)],Table1[Policy third],"="&amp;$C26,Table1[Delay (thirds)],"="&amp;V$8))</f>
        <v/>
      </c>
      <c r="W26" t="str">
        <f>IF($C26+W$8&gt;Latest_Third,"",SUMIFS(Table1[Non-zero? (1=Yes)],Table1[Policy third],"="&amp;$C26,Table1[Delay (thirds)],"="&amp;W$8))</f>
        <v/>
      </c>
      <c r="X26" t="str">
        <f>IF($C26+X$8&gt;Latest_Third,"",SUMIFS(Table1[Non-zero? (1=Yes)],Table1[Policy third],"="&amp;$C26,Table1[Delay (thirds)],"="&amp;X$8))</f>
        <v/>
      </c>
      <c r="Y26" t="str">
        <f>IF($C26+Y$8&gt;Latest_Third,"",SUMIFS(Table1[Non-zero? (1=Yes)],Table1[Policy third],"="&amp;$C26,Table1[Delay (thirds)],"="&amp;Y$8))</f>
        <v/>
      </c>
      <c r="Z26" t="str">
        <f>IF($C26+Z$8&gt;Latest_Third,"",SUMIFS(Table1[Non-zero? (1=Yes)],Table1[Policy third],"="&amp;$C26,Table1[Delay (thirds)],"="&amp;Z$8))</f>
        <v/>
      </c>
      <c r="AA26" t="str">
        <f>IF($C26+AA$8&gt;Latest_Third,"",SUMIFS(Table1[Non-zero? (1=Yes)],Table1[Policy third],"="&amp;$C26,Table1[Delay (thirds)],"="&amp;AA$8))</f>
        <v/>
      </c>
      <c r="AB26" t="str">
        <f>IF($C26+AB$8&gt;Latest_Third,"",SUMIFS(Table1[Non-zero? (1=Yes)],Table1[Policy third],"="&amp;$C26,Table1[Delay (thirds)],"="&amp;AB$8))</f>
        <v/>
      </c>
      <c r="AC26" t="str">
        <f>IF($C26+AC$8&gt;Latest_Third,"",SUMIFS(Table1[Non-zero? (1=Yes)],Table1[Policy third],"="&amp;$C26,Table1[Delay (thirds)],"="&amp;AC$8))</f>
        <v/>
      </c>
      <c r="AD26" t="str">
        <f>IF($C26+AD$8&gt;Latest_Third,"",SUMIFS(Table1[Non-zero? (1=Yes)],Table1[Policy third],"="&amp;$C26,Table1[Delay (thirds)],"="&amp;AD$8))</f>
        <v/>
      </c>
      <c r="AE26" t="str">
        <f>IF($C26+AE$8&gt;Latest_Third,"",SUMIFS(Table1[Non-zero? (1=Yes)],Table1[Policy third],"="&amp;$C26,Table1[Delay (thirds)],"="&amp;AE$8))</f>
        <v/>
      </c>
      <c r="AF26" t="str">
        <f>IF($C26+AF$8&gt;Latest_Third,"",SUMIFS(Table1[Non-zero? (1=Yes)],Table1[Policy third],"="&amp;$C26,Table1[Delay (thirds)],"="&amp;AF$8))</f>
        <v/>
      </c>
      <c r="AJ26">
        <f t="shared" si="0"/>
        <v>104</v>
      </c>
    </row>
    <row r="27" spans="1:36" ht="13.15">
      <c r="A27">
        <f t="shared" si="1"/>
        <v>2011</v>
      </c>
      <c r="B27">
        <v>0</v>
      </c>
      <c r="C27" s="21">
        <v>18</v>
      </c>
      <c r="D27">
        <f>IF($C27+D$8&gt;Latest_Third,"",SUMIFS(Table1[Non-zero? (1=Yes)],Table1[Policy third],"="&amp;$C27,Table1[Delay (thirds)],"="&amp;D$8))</f>
        <v>36</v>
      </c>
      <c r="E27">
        <f>IF($C27+E$8&gt;Latest_Third,"",SUMIFS(Table1[Non-zero? (1=Yes)],Table1[Policy third],"="&amp;$C27,Table1[Delay (thirds)],"="&amp;E$8))</f>
        <v>17</v>
      </c>
      <c r="F27">
        <f>IF($C27+F$8&gt;Latest_Third,"",SUMIFS(Table1[Non-zero? (1=Yes)],Table1[Policy third],"="&amp;$C27,Table1[Delay (thirds)],"="&amp;F$8))</f>
        <v>16</v>
      </c>
      <c r="G27">
        <f>IF($C27+G$8&gt;Latest_Third,"",SUMIFS(Table1[Non-zero? (1=Yes)],Table1[Policy third],"="&amp;$C27,Table1[Delay (thirds)],"="&amp;G$8))</f>
        <v>6</v>
      </c>
      <c r="H27">
        <f>IF($C27+H$8&gt;Latest_Third,"",SUMIFS(Table1[Non-zero? (1=Yes)],Table1[Policy third],"="&amp;$C27,Table1[Delay (thirds)],"="&amp;H$8))</f>
        <v>4</v>
      </c>
      <c r="I27">
        <f>IF($C27+I$8&gt;Latest_Third,"",SUMIFS(Table1[Non-zero? (1=Yes)],Table1[Policy third],"="&amp;$C27,Table1[Delay (thirds)],"="&amp;I$8))</f>
        <v>2</v>
      </c>
      <c r="J27">
        <f>IF($C27+J$8&gt;Latest_Third,"",SUMIFS(Table1[Non-zero? (1=Yes)],Table1[Policy third],"="&amp;$C27,Table1[Delay (thirds)],"="&amp;J$8))</f>
        <v>1</v>
      </c>
      <c r="K27">
        <f>IF($C27+K$8&gt;Latest_Third,"",SUMIFS(Table1[Non-zero? (1=Yes)],Table1[Policy third],"="&amp;$C27,Table1[Delay (thirds)],"="&amp;K$8))</f>
        <v>0</v>
      </c>
      <c r="L27">
        <f>IF($C27+L$8&gt;Latest_Third,"",SUMIFS(Table1[Non-zero? (1=Yes)],Table1[Policy third],"="&amp;$C27,Table1[Delay (thirds)],"="&amp;L$8))</f>
        <v>2</v>
      </c>
      <c r="M27">
        <f>IF($C27+M$8&gt;Latest_Third,"",SUMIFS(Table1[Non-zero? (1=Yes)],Table1[Policy third],"="&amp;$C27,Table1[Delay (thirds)],"="&amp;M$8))</f>
        <v>2</v>
      </c>
      <c r="N27">
        <f>IF($C27+N$8&gt;Latest_Third,"",SUMIFS(Table1[Non-zero? (1=Yes)],Table1[Policy third],"="&amp;$C27,Table1[Delay (thirds)],"="&amp;N$8))</f>
        <v>1</v>
      </c>
      <c r="O27" t="str">
        <f>IF($C27+O$8&gt;Latest_Third,"",SUMIFS(Table1[Non-zero? (1=Yes)],Table1[Policy third],"="&amp;$C27,Table1[Delay (thirds)],"="&amp;O$8))</f>
        <v/>
      </c>
      <c r="P27" t="str">
        <f>IF($C27+P$8&gt;Latest_Third,"",SUMIFS(Table1[Non-zero? (1=Yes)],Table1[Policy third],"="&amp;$C27,Table1[Delay (thirds)],"="&amp;P$8))</f>
        <v/>
      </c>
      <c r="Q27" t="str">
        <f>IF($C27+Q$8&gt;Latest_Third,"",SUMIFS(Table1[Non-zero? (1=Yes)],Table1[Policy third],"="&amp;$C27,Table1[Delay (thirds)],"="&amp;Q$8))</f>
        <v/>
      </c>
      <c r="R27" t="str">
        <f>IF($C27+R$8&gt;Latest_Third,"",SUMIFS(Table1[Non-zero? (1=Yes)],Table1[Policy third],"="&amp;$C27,Table1[Delay (thirds)],"="&amp;R$8))</f>
        <v/>
      </c>
      <c r="S27" t="str">
        <f>IF($C27+S$8&gt;Latest_Third,"",SUMIFS(Table1[Non-zero? (1=Yes)],Table1[Policy third],"="&amp;$C27,Table1[Delay (thirds)],"="&amp;S$8))</f>
        <v/>
      </c>
      <c r="T27" t="str">
        <f>IF($C27+T$8&gt;Latest_Third,"",SUMIFS(Table1[Non-zero? (1=Yes)],Table1[Policy third],"="&amp;$C27,Table1[Delay (thirds)],"="&amp;T$8))</f>
        <v/>
      </c>
      <c r="U27" t="str">
        <f>IF($C27+U$8&gt;Latest_Third,"",SUMIFS(Table1[Non-zero? (1=Yes)],Table1[Policy third],"="&amp;$C27,Table1[Delay (thirds)],"="&amp;U$8))</f>
        <v/>
      </c>
      <c r="V27" t="str">
        <f>IF($C27+V$8&gt;Latest_Third,"",SUMIFS(Table1[Non-zero? (1=Yes)],Table1[Policy third],"="&amp;$C27,Table1[Delay (thirds)],"="&amp;V$8))</f>
        <v/>
      </c>
      <c r="W27" t="str">
        <f>IF($C27+W$8&gt;Latest_Third,"",SUMIFS(Table1[Non-zero? (1=Yes)],Table1[Policy third],"="&amp;$C27,Table1[Delay (thirds)],"="&amp;W$8))</f>
        <v/>
      </c>
      <c r="X27" t="str">
        <f>IF($C27+X$8&gt;Latest_Third,"",SUMIFS(Table1[Non-zero? (1=Yes)],Table1[Policy third],"="&amp;$C27,Table1[Delay (thirds)],"="&amp;X$8))</f>
        <v/>
      </c>
      <c r="Y27" t="str">
        <f>IF($C27+Y$8&gt;Latest_Third,"",SUMIFS(Table1[Non-zero? (1=Yes)],Table1[Policy third],"="&amp;$C27,Table1[Delay (thirds)],"="&amp;Y$8))</f>
        <v/>
      </c>
      <c r="Z27" t="str">
        <f>IF($C27+Z$8&gt;Latest_Third,"",SUMIFS(Table1[Non-zero? (1=Yes)],Table1[Policy third],"="&amp;$C27,Table1[Delay (thirds)],"="&amp;Z$8))</f>
        <v/>
      </c>
      <c r="AA27" t="str">
        <f>IF($C27+AA$8&gt;Latest_Third,"",SUMIFS(Table1[Non-zero? (1=Yes)],Table1[Policy third],"="&amp;$C27,Table1[Delay (thirds)],"="&amp;AA$8))</f>
        <v/>
      </c>
      <c r="AB27" t="str">
        <f>IF($C27+AB$8&gt;Latest_Third,"",SUMIFS(Table1[Non-zero? (1=Yes)],Table1[Policy third],"="&amp;$C27,Table1[Delay (thirds)],"="&amp;AB$8))</f>
        <v/>
      </c>
      <c r="AC27" t="str">
        <f>IF($C27+AC$8&gt;Latest_Third,"",SUMIFS(Table1[Non-zero? (1=Yes)],Table1[Policy third],"="&amp;$C27,Table1[Delay (thirds)],"="&amp;AC$8))</f>
        <v/>
      </c>
      <c r="AD27" t="str">
        <f>IF($C27+AD$8&gt;Latest_Third,"",SUMIFS(Table1[Non-zero? (1=Yes)],Table1[Policy third],"="&amp;$C27,Table1[Delay (thirds)],"="&amp;AD$8))</f>
        <v/>
      </c>
      <c r="AE27" t="str">
        <f>IF($C27+AE$8&gt;Latest_Third,"",SUMIFS(Table1[Non-zero? (1=Yes)],Table1[Policy third],"="&amp;$C27,Table1[Delay (thirds)],"="&amp;AE$8))</f>
        <v/>
      </c>
      <c r="AF27" t="str">
        <f>IF($C27+AF$8&gt;Latest_Third,"",SUMIFS(Table1[Non-zero? (1=Yes)],Table1[Policy third],"="&amp;$C27,Table1[Delay (thirds)],"="&amp;AF$8))</f>
        <v/>
      </c>
      <c r="AJ27">
        <f t="shared" si="0"/>
        <v>87</v>
      </c>
    </row>
    <row r="28" spans="1:36" ht="13.15">
      <c r="A28">
        <f t="shared" si="1"/>
        <v>2011</v>
      </c>
      <c r="B28">
        <v>1</v>
      </c>
      <c r="C28" s="21">
        <v>19</v>
      </c>
      <c r="D28">
        <f>IF($C28+D$8&gt;Latest_Third,"",SUMIFS(Table1[Non-zero? (1=Yes)],Table1[Policy third],"="&amp;$C28,Table1[Delay (thirds)],"="&amp;D$8))</f>
        <v>37</v>
      </c>
      <c r="E28">
        <f>IF($C28+E$8&gt;Latest_Third,"",SUMIFS(Table1[Non-zero? (1=Yes)],Table1[Policy third],"="&amp;$C28,Table1[Delay (thirds)],"="&amp;E$8))</f>
        <v>20</v>
      </c>
      <c r="F28">
        <f>IF($C28+F$8&gt;Latest_Third,"",SUMIFS(Table1[Non-zero? (1=Yes)],Table1[Policy third],"="&amp;$C28,Table1[Delay (thirds)],"="&amp;F$8))</f>
        <v>7</v>
      </c>
      <c r="G28">
        <f>IF($C28+G$8&gt;Latest_Third,"",SUMIFS(Table1[Non-zero? (1=Yes)],Table1[Policy third],"="&amp;$C28,Table1[Delay (thirds)],"="&amp;G$8))</f>
        <v>5</v>
      </c>
      <c r="H28">
        <f>IF($C28+H$8&gt;Latest_Third,"",SUMIFS(Table1[Non-zero? (1=Yes)],Table1[Policy third],"="&amp;$C28,Table1[Delay (thirds)],"="&amp;H$8))</f>
        <v>3</v>
      </c>
      <c r="I28">
        <f>IF($C28+I$8&gt;Latest_Third,"",SUMIFS(Table1[Non-zero? (1=Yes)],Table1[Policy third],"="&amp;$C28,Table1[Delay (thirds)],"="&amp;I$8))</f>
        <v>2</v>
      </c>
      <c r="J28">
        <f>IF($C28+J$8&gt;Latest_Third,"",SUMIFS(Table1[Non-zero? (1=Yes)],Table1[Policy third],"="&amp;$C28,Table1[Delay (thirds)],"="&amp;J$8))</f>
        <v>2</v>
      </c>
      <c r="K28">
        <f>IF($C28+K$8&gt;Latest_Third,"",SUMIFS(Table1[Non-zero? (1=Yes)],Table1[Policy third],"="&amp;$C28,Table1[Delay (thirds)],"="&amp;K$8))</f>
        <v>0</v>
      </c>
      <c r="L28">
        <f>IF($C28+L$8&gt;Latest_Third,"",SUMIFS(Table1[Non-zero? (1=Yes)],Table1[Policy third],"="&amp;$C28,Table1[Delay (thirds)],"="&amp;L$8))</f>
        <v>0</v>
      </c>
      <c r="M28">
        <f>IF($C28+M$8&gt;Latest_Third,"",SUMIFS(Table1[Non-zero? (1=Yes)],Table1[Policy third],"="&amp;$C28,Table1[Delay (thirds)],"="&amp;M$8))</f>
        <v>1</v>
      </c>
      <c r="N28" t="str">
        <f>IF($C28+N$8&gt;Latest_Third,"",SUMIFS(Table1[Non-zero? (1=Yes)],Table1[Policy third],"="&amp;$C28,Table1[Delay (thirds)],"="&amp;N$8))</f>
        <v/>
      </c>
      <c r="O28" t="str">
        <f>IF($C28+O$8&gt;Latest_Third,"",SUMIFS(Table1[Non-zero? (1=Yes)],Table1[Policy third],"="&amp;$C28,Table1[Delay (thirds)],"="&amp;O$8))</f>
        <v/>
      </c>
      <c r="P28" t="str">
        <f>IF($C28+P$8&gt;Latest_Third,"",SUMIFS(Table1[Non-zero? (1=Yes)],Table1[Policy third],"="&amp;$C28,Table1[Delay (thirds)],"="&amp;P$8))</f>
        <v/>
      </c>
      <c r="Q28" t="str">
        <f>IF($C28+Q$8&gt;Latest_Third,"",SUMIFS(Table1[Non-zero? (1=Yes)],Table1[Policy third],"="&amp;$C28,Table1[Delay (thirds)],"="&amp;Q$8))</f>
        <v/>
      </c>
      <c r="R28" t="str">
        <f>IF($C28+R$8&gt;Latest_Third,"",SUMIFS(Table1[Non-zero? (1=Yes)],Table1[Policy third],"="&amp;$C28,Table1[Delay (thirds)],"="&amp;R$8))</f>
        <v/>
      </c>
      <c r="S28" t="str">
        <f>IF($C28+S$8&gt;Latest_Third,"",SUMIFS(Table1[Non-zero? (1=Yes)],Table1[Policy third],"="&amp;$C28,Table1[Delay (thirds)],"="&amp;S$8))</f>
        <v/>
      </c>
      <c r="T28" t="str">
        <f>IF($C28+T$8&gt;Latest_Third,"",SUMIFS(Table1[Non-zero? (1=Yes)],Table1[Policy third],"="&amp;$C28,Table1[Delay (thirds)],"="&amp;T$8))</f>
        <v/>
      </c>
      <c r="U28" t="str">
        <f>IF($C28+U$8&gt;Latest_Third,"",SUMIFS(Table1[Non-zero? (1=Yes)],Table1[Policy third],"="&amp;$C28,Table1[Delay (thirds)],"="&amp;U$8))</f>
        <v/>
      </c>
      <c r="V28" t="str">
        <f>IF($C28+V$8&gt;Latest_Third,"",SUMIFS(Table1[Non-zero? (1=Yes)],Table1[Policy third],"="&amp;$C28,Table1[Delay (thirds)],"="&amp;V$8))</f>
        <v/>
      </c>
      <c r="W28" t="str">
        <f>IF($C28+W$8&gt;Latest_Third,"",SUMIFS(Table1[Non-zero? (1=Yes)],Table1[Policy third],"="&amp;$C28,Table1[Delay (thirds)],"="&amp;W$8))</f>
        <v/>
      </c>
      <c r="X28" t="str">
        <f>IF($C28+X$8&gt;Latest_Third,"",SUMIFS(Table1[Non-zero? (1=Yes)],Table1[Policy third],"="&amp;$C28,Table1[Delay (thirds)],"="&amp;X$8))</f>
        <v/>
      </c>
      <c r="Y28" t="str">
        <f>IF($C28+Y$8&gt;Latest_Third,"",SUMIFS(Table1[Non-zero? (1=Yes)],Table1[Policy third],"="&amp;$C28,Table1[Delay (thirds)],"="&amp;Y$8))</f>
        <v/>
      </c>
      <c r="Z28" t="str">
        <f>IF($C28+Z$8&gt;Latest_Third,"",SUMIFS(Table1[Non-zero? (1=Yes)],Table1[Policy third],"="&amp;$C28,Table1[Delay (thirds)],"="&amp;Z$8))</f>
        <v/>
      </c>
      <c r="AA28" t="str">
        <f>IF($C28+AA$8&gt;Latest_Third,"",SUMIFS(Table1[Non-zero? (1=Yes)],Table1[Policy third],"="&amp;$C28,Table1[Delay (thirds)],"="&amp;AA$8))</f>
        <v/>
      </c>
      <c r="AB28" t="str">
        <f>IF($C28+AB$8&gt;Latest_Third,"",SUMIFS(Table1[Non-zero? (1=Yes)],Table1[Policy third],"="&amp;$C28,Table1[Delay (thirds)],"="&amp;AB$8))</f>
        <v/>
      </c>
      <c r="AC28" t="str">
        <f>IF($C28+AC$8&gt;Latest_Third,"",SUMIFS(Table1[Non-zero? (1=Yes)],Table1[Policy third],"="&amp;$C28,Table1[Delay (thirds)],"="&amp;AC$8))</f>
        <v/>
      </c>
      <c r="AD28" t="str">
        <f>IF($C28+AD$8&gt;Latest_Third,"",SUMIFS(Table1[Non-zero? (1=Yes)],Table1[Policy third],"="&amp;$C28,Table1[Delay (thirds)],"="&amp;AD$8))</f>
        <v/>
      </c>
      <c r="AE28" t="str">
        <f>IF($C28+AE$8&gt;Latest_Third,"",SUMIFS(Table1[Non-zero? (1=Yes)],Table1[Policy third],"="&amp;$C28,Table1[Delay (thirds)],"="&amp;AE$8))</f>
        <v/>
      </c>
      <c r="AF28" t="str">
        <f>IF($C28+AF$8&gt;Latest_Third,"",SUMIFS(Table1[Non-zero? (1=Yes)],Table1[Policy third],"="&amp;$C28,Table1[Delay (thirds)],"="&amp;AF$8))</f>
        <v/>
      </c>
      <c r="AJ28">
        <f t="shared" si="0"/>
        <v>77</v>
      </c>
    </row>
    <row r="29" spans="1:36" ht="13.15">
      <c r="A29">
        <f t="shared" si="1"/>
        <v>2011</v>
      </c>
      <c r="B29">
        <v>2</v>
      </c>
      <c r="C29" s="21">
        <v>20</v>
      </c>
      <c r="D29">
        <f>IF($C29+D$8&gt;Latest_Third,"",SUMIFS(Table1[Non-zero? (1=Yes)],Table1[Policy third],"="&amp;$C29,Table1[Delay (thirds)],"="&amp;D$8))</f>
        <v>32</v>
      </c>
      <c r="E29">
        <f>IF($C29+E$8&gt;Latest_Third,"",SUMIFS(Table1[Non-zero? (1=Yes)],Table1[Policy third],"="&amp;$C29,Table1[Delay (thirds)],"="&amp;E$8))</f>
        <v>23</v>
      </c>
      <c r="F29">
        <f>IF($C29+F$8&gt;Latest_Third,"",SUMIFS(Table1[Non-zero? (1=Yes)],Table1[Policy third],"="&amp;$C29,Table1[Delay (thirds)],"="&amp;F$8))</f>
        <v>9</v>
      </c>
      <c r="G29">
        <f>IF($C29+G$8&gt;Latest_Third,"",SUMIFS(Table1[Non-zero? (1=Yes)],Table1[Policy third],"="&amp;$C29,Table1[Delay (thirds)],"="&amp;G$8))</f>
        <v>5</v>
      </c>
      <c r="H29">
        <f>IF($C29+H$8&gt;Latest_Third,"",SUMIFS(Table1[Non-zero? (1=Yes)],Table1[Policy third],"="&amp;$C29,Table1[Delay (thirds)],"="&amp;H$8))</f>
        <v>6</v>
      </c>
      <c r="I29">
        <f>IF($C29+I$8&gt;Latest_Third,"",SUMIFS(Table1[Non-zero? (1=Yes)],Table1[Policy third],"="&amp;$C29,Table1[Delay (thirds)],"="&amp;I$8))</f>
        <v>4</v>
      </c>
      <c r="J29">
        <f>IF($C29+J$8&gt;Latest_Third,"",SUMIFS(Table1[Non-zero? (1=Yes)],Table1[Policy third],"="&amp;$C29,Table1[Delay (thirds)],"="&amp;J$8))</f>
        <v>2</v>
      </c>
      <c r="K29">
        <f>IF($C29+K$8&gt;Latest_Third,"",SUMIFS(Table1[Non-zero? (1=Yes)],Table1[Policy third],"="&amp;$C29,Table1[Delay (thirds)],"="&amp;K$8))</f>
        <v>3</v>
      </c>
      <c r="L29">
        <f>IF($C29+L$8&gt;Latest_Third,"",SUMIFS(Table1[Non-zero? (1=Yes)],Table1[Policy third],"="&amp;$C29,Table1[Delay (thirds)],"="&amp;L$8))</f>
        <v>2</v>
      </c>
      <c r="M29" t="str">
        <f>IF($C29+M$8&gt;Latest_Third,"",SUMIFS(Table1[Non-zero? (1=Yes)],Table1[Policy third],"="&amp;$C29,Table1[Delay (thirds)],"="&amp;M$8))</f>
        <v/>
      </c>
      <c r="N29" t="str">
        <f>IF($C29+N$8&gt;Latest_Third,"",SUMIFS(Table1[Non-zero? (1=Yes)],Table1[Policy third],"="&amp;$C29,Table1[Delay (thirds)],"="&amp;N$8))</f>
        <v/>
      </c>
      <c r="O29" t="str">
        <f>IF($C29+O$8&gt;Latest_Third,"",SUMIFS(Table1[Non-zero? (1=Yes)],Table1[Policy third],"="&amp;$C29,Table1[Delay (thirds)],"="&amp;O$8))</f>
        <v/>
      </c>
      <c r="P29" t="str">
        <f>IF($C29+P$8&gt;Latest_Third,"",SUMIFS(Table1[Non-zero? (1=Yes)],Table1[Policy third],"="&amp;$C29,Table1[Delay (thirds)],"="&amp;P$8))</f>
        <v/>
      </c>
      <c r="Q29" t="str">
        <f>IF($C29+Q$8&gt;Latest_Third,"",SUMIFS(Table1[Non-zero? (1=Yes)],Table1[Policy third],"="&amp;$C29,Table1[Delay (thirds)],"="&amp;Q$8))</f>
        <v/>
      </c>
      <c r="R29" t="str">
        <f>IF($C29+R$8&gt;Latest_Third,"",SUMIFS(Table1[Non-zero? (1=Yes)],Table1[Policy third],"="&amp;$C29,Table1[Delay (thirds)],"="&amp;R$8))</f>
        <v/>
      </c>
      <c r="S29" t="str">
        <f>IF($C29+S$8&gt;Latest_Third,"",SUMIFS(Table1[Non-zero? (1=Yes)],Table1[Policy third],"="&amp;$C29,Table1[Delay (thirds)],"="&amp;S$8))</f>
        <v/>
      </c>
      <c r="T29" t="str">
        <f>IF($C29+T$8&gt;Latest_Third,"",SUMIFS(Table1[Non-zero? (1=Yes)],Table1[Policy third],"="&amp;$C29,Table1[Delay (thirds)],"="&amp;T$8))</f>
        <v/>
      </c>
      <c r="U29" t="str">
        <f>IF($C29+U$8&gt;Latest_Third,"",SUMIFS(Table1[Non-zero? (1=Yes)],Table1[Policy third],"="&amp;$C29,Table1[Delay (thirds)],"="&amp;U$8))</f>
        <v/>
      </c>
      <c r="V29" t="str">
        <f>IF($C29+V$8&gt;Latest_Third,"",SUMIFS(Table1[Non-zero? (1=Yes)],Table1[Policy third],"="&amp;$C29,Table1[Delay (thirds)],"="&amp;V$8))</f>
        <v/>
      </c>
      <c r="W29" t="str">
        <f>IF($C29+W$8&gt;Latest_Third,"",SUMIFS(Table1[Non-zero? (1=Yes)],Table1[Policy third],"="&amp;$C29,Table1[Delay (thirds)],"="&amp;W$8))</f>
        <v/>
      </c>
      <c r="X29" t="str">
        <f>IF($C29+X$8&gt;Latest_Third,"",SUMIFS(Table1[Non-zero? (1=Yes)],Table1[Policy third],"="&amp;$C29,Table1[Delay (thirds)],"="&amp;X$8))</f>
        <v/>
      </c>
      <c r="Y29" t="str">
        <f>IF($C29+Y$8&gt;Latest_Third,"",SUMIFS(Table1[Non-zero? (1=Yes)],Table1[Policy third],"="&amp;$C29,Table1[Delay (thirds)],"="&amp;Y$8))</f>
        <v/>
      </c>
      <c r="Z29" t="str">
        <f>IF($C29+Z$8&gt;Latest_Third,"",SUMIFS(Table1[Non-zero? (1=Yes)],Table1[Policy third],"="&amp;$C29,Table1[Delay (thirds)],"="&amp;Z$8))</f>
        <v/>
      </c>
      <c r="AA29" t="str">
        <f>IF($C29+AA$8&gt;Latest_Third,"",SUMIFS(Table1[Non-zero? (1=Yes)],Table1[Policy third],"="&amp;$C29,Table1[Delay (thirds)],"="&amp;AA$8))</f>
        <v/>
      </c>
      <c r="AB29" t="str">
        <f>IF($C29+AB$8&gt;Latest_Third,"",SUMIFS(Table1[Non-zero? (1=Yes)],Table1[Policy third],"="&amp;$C29,Table1[Delay (thirds)],"="&amp;AB$8))</f>
        <v/>
      </c>
      <c r="AC29" t="str">
        <f>IF($C29+AC$8&gt;Latest_Third,"",SUMIFS(Table1[Non-zero? (1=Yes)],Table1[Policy third],"="&amp;$C29,Table1[Delay (thirds)],"="&amp;AC$8))</f>
        <v/>
      </c>
      <c r="AD29" t="str">
        <f>IF($C29+AD$8&gt;Latest_Third,"",SUMIFS(Table1[Non-zero? (1=Yes)],Table1[Policy third],"="&amp;$C29,Table1[Delay (thirds)],"="&amp;AD$8))</f>
        <v/>
      </c>
      <c r="AE29" t="str">
        <f>IF($C29+AE$8&gt;Latest_Third,"",SUMIFS(Table1[Non-zero? (1=Yes)],Table1[Policy third],"="&amp;$C29,Table1[Delay (thirds)],"="&amp;AE$8))</f>
        <v/>
      </c>
      <c r="AF29" t="str">
        <f>IF($C29+AF$8&gt;Latest_Third,"",SUMIFS(Table1[Non-zero? (1=Yes)],Table1[Policy third],"="&amp;$C29,Table1[Delay (thirds)],"="&amp;AF$8))</f>
        <v/>
      </c>
      <c r="AJ29">
        <f t="shared" si="0"/>
        <v>86</v>
      </c>
    </row>
    <row r="30" spans="1:36" ht="13.15">
      <c r="A30">
        <f t="shared" si="1"/>
        <v>2012</v>
      </c>
      <c r="B30">
        <v>0</v>
      </c>
      <c r="C30" s="21">
        <v>21</v>
      </c>
      <c r="D30">
        <f>IF($C30+D$8&gt;Latest_Third,"",SUMIFS(Table1[Non-zero? (1=Yes)],Table1[Policy third],"="&amp;$C30,Table1[Delay (thirds)],"="&amp;D$8))</f>
        <v>18</v>
      </c>
      <c r="E30">
        <f>IF($C30+E$8&gt;Latest_Third,"",SUMIFS(Table1[Non-zero? (1=Yes)],Table1[Policy third],"="&amp;$C30,Table1[Delay (thirds)],"="&amp;E$8))</f>
        <v>16</v>
      </c>
      <c r="F30">
        <f>IF($C30+F$8&gt;Latest_Third,"",SUMIFS(Table1[Non-zero? (1=Yes)],Table1[Policy third],"="&amp;$C30,Table1[Delay (thirds)],"="&amp;F$8))</f>
        <v>9</v>
      </c>
      <c r="G30">
        <f>IF($C30+G$8&gt;Latest_Third,"",SUMIFS(Table1[Non-zero? (1=Yes)],Table1[Policy third],"="&amp;$C30,Table1[Delay (thirds)],"="&amp;G$8))</f>
        <v>7</v>
      </c>
      <c r="H30">
        <f>IF($C30+H$8&gt;Latest_Third,"",SUMIFS(Table1[Non-zero? (1=Yes)],Table1[Policy third],"="&amp;$C30,Table1[Delay (thirds)],"="&amp;H$8))</f>
        <v>4</v>
      </c>
      <c r="I30">
        <f>IF($C30+I$8&gt;Latest_Third,"",SUMIFS(Table1[Non-zero? (1=Yes)],Table1[Policy third],"="&amp;$C30,Table1[Delay (thirds)],"="&amp;I$8))</f>
        <v>2</v>
      </c>
      <c r="J30">
        <f>IF($C30+J$8&gt;Latest_Third,"",SUMIFS(Table1[Non-zero? (1=Yes)],Table1[Policy third],"="&amp;$C30,Table1[Delay (thirds)],"="&amp;J$8))</f>
        <v>3</v>
      </c>
      <c r="K30">
        <f>IF($C30+K$8&gt;Latest_Third,"",SUMIFS(Table1[Non-zero? (1=Yes)],Table1[Policy third],"="&amp;$C30,Table1[Delay (thirds)],"="&amp;K$8))</f>
        <v>0</v>
      </c>
      <c r="L30" t="str">
        <f>IF($C30+L$8&gt;Latest_Third,"",SUMIFS(Table1[Non-zero? (1=Yes)],Table1[Policy third],"="&amp;$C30,Table1[Delay (thirds)],"="&amp;L$8))</f>
        <v/>
      </c>
      <c r="M30" t="str">
        <f>IF($C30+M$8&gt;Latest_Third,"",SUMIFS(Table1[Non-zero? (1=Yes)],Table1[Policy third],"="&amp;$C30,Table1[Delay (thirds)],"="&amp;M$8))</f>
        <v/>
      </c>
      <c r="N30" t="str">
        <f>IF($C30+N$8&gt;Latest_Third,"",SUMIFS(Table1[Non-zero? (1=Yes)],Table1[Policy third],"="&amp;$C30,Table1[Delay (thirds)],"="&amp;N$8))</f>
        <v/>
      </c>
      <c r="O30" t="str">
        <f>IF($C30+O$8&gt;Latest_Third,"",SUMIFS(Table1[Non-zero? (1=Yes)],Table1[Policy third],"="&amp;$C30,Table1[Delay (thirds)],"="&amp;O$8))</f>
        <v/>
      </c>
      <c r="P30" t="str">
        <f>IF($C30+P$8&gt;Latest_Third,"",SUMIFS(Table1[Non-zero? (1=Yes)],Table1[Policy third],"="&amp;$C30,Table1[Delay (thirds)],"="&amp;P$8))</f>
        <v/>
      </c>
      <c r="Q30" t="str">
        <f>IF($C30+Q$8&gt;Latest_Third,"",SUMIFS(Table1[Non-zero? (1=Yes)],Table1[Policy third],"="&amp;$C30,Table1[Delay (thirds)],"="&amp;Q$8))</f>
        <v/>
      </c>
      <c r="R30" t="str">
        <f>IF($C30+R$8&gt;Latest_Third,"",SUMIFS(Table1[Non-zero? (1=Yes)],Table1[Policy third],"="&amp;$C30,Table1[Delay (thirds)],"="&amp;R$8))</f>
        <v/>
      </c>
      <c r="S30" t="str">
        <f>IF($C30+S$8&gt;Latest_Third,"",SUMIFS(Table1[Non-zero? (1=Yes)],Table1[Policy third],"="&amp;$C30,Table1[Delay (thirds)],"="&amp;S$8))</f>
        <v/>
      </c>
      <c r="T30" t="str">
        <f>IF($C30+T$8&gt;Latest_Third,"",SUMIFS(Table1[Non-zero? (1=Yes)],Table1[Policy third],"="&amp;$C30,Table1[Delay (thirds)],"="&amp;T$8))</f>
        <v/>
      </c>
      <c r="U30" t="str">
        <f>IF($C30+U$8&gt;Latest_Third,"",SUMIFS(Table1[Non-zero? (1=Yes)],Table1[Policy third],"="&amp;$C30,Table1[Delay (thirds)],"="&amp;U$8))</f>
        <v/>
      </c>
      <c r="V30" t="str">
        <f>IF($C30+V$8&gt;Latest_Third,"",SUMIFS(Table1[Non-zero? (1=Yes)],Table1[Policy third],"="&amp;$C30,Table1[Delay (thirds)],"="&amp;V$8))</f>
        <v/>
      </c>
      <c r="W30" t="str">
        <f>IF($C30+W$8&gt;Latest_Third,"",SUMIFS(Table1[Non-zero? (1=Yes)],Table1[Policy third],"="&amp;$C30,Table1[Delay (thirds)],"="&amp;W$8))</f>
        <v/>
      </c>
      <c r="X30" t="str">
        <f>IF($C30+X$8&gt;Latest_Third,"",SUMIFS(Table1[Non-zero? (1=Yes)],Table1[Policy third],"="&amp;$C30,Table1[Delay (thirds)],"="&amp;X$8))</f>
        <v/>
      </c>
      <c r="Y30" t="str">
        <f>IF($C30+Y$8&gt;Latest_Third,"",SUMIFS(Table1[Non-zero? (1=Yes)],Table1[Policy third],"="&amp;$C30,Table1[Delay (thirds)],"="&amp;Y$8))</f>
        <v/>
      </c>
      <c r="Z30" t="str">
        <f>IF($C30+Z$8&gt;Latest_Third,"",SUMIFS(Table1[Non-zero? (1=Yes)],Table1[Policy third],"="&amp;$C30,Table1[Delay (thirds)],"="&amp;Z$8))</f>
        <v/>
      </c>
      <c r="AA30" t="str">
        <f>IF($C30+AA$8&gt;Latest_Third,"",SUMIFS(Table1[Non-zero? (1=Yes)],Table1[Policy third],"="&amp;$C30,Table1[Delay (thirds)],"="&amp;AA$8))</f>
        <v/>
      </c>
      <c r="AB30" t="str">
        <f>IF($C30+AB$8&gt;Latest_Third,"",SUMIFS(Table1[Non-zero? (1=Yes)],Table1[Policy third],"="&amp;$C30,Table1[Delay (thirds)],"="&amp;AB$8))</f>
        <v/>
      </c>
      <c r="AC30" t="str">
        <f>IF($C30+AC$8&gt;Latest_Third,"",SUMIFS(Table1[Non-zero? (1=Yes)],Table1[Policy third],"="&amp;$C30,Table1[Delay (thirds)],"="&amp;AC$8))</f>
        <v/>
      </c>
      <c r="AD30" t="str">
        <f>IF($C30+AD$8&gt;Latest_Third,"",SUMIFS(Table1[Non-zero? (1=Yes)],Table1[Policy third],"="&amp;$C30,Table1[Delay (thirds)],"="&amp;AD$8))</f>
        <v/>
      </c>
      <c r="AE30" t="str">
        <f>IF($C30+AE$8&gt;Latest_Third,"",SUMIFS(Table1[Non-zero? (1=Yes)],Table1[Policy third],"="&amp;$C30,Table1[Delay (thirds)],"="&amp;AE$8))</f>
        <v/>
      </c>
      <c r="AF30" t="str">
        <f>IF($C30+AF$8&gt;Latest_Third,"",SUMIFS(Table1[Non-zero? (1=Yes)],Table1[Policy third],"="&amp;$C30,Table1[Delay (thirds)],"="&amp;AF$8))</f>
        <v/>
      </c>
      <c r="AJ30">
        <f t="shared" si="0"/>
        <v>59</v>
      </c>
    </row>
    <row r="31" spans="1:36" ht="13.15">
      <c r="A31">
        <f t="shared" si="1"/>
        <v>2012</v>
      </c>
      <c r="B31">
        <v>1</v>
      </c>
      <c r="C31" s="21">
        <v>22</v>
      </c>
      <c r="D31">
        <f>IF($C31+D$8&gt;Latest_Third,"",SUMIFS(Table1[Non-zero? (1=Yes)],Table1[Policy third],"="&amp;$C31,Table1[Delay (thirds)],"="&amp;D$8))</f>
        <v>18</v>
      </c>
      <c r="E31">
        <f>IF($C31+E$8&gt;Latest_Third,"",SUMIFS(Table1[Non-zero? (1=Yes)],Table1[Policy third],"="&amp;$C31,Table1[Delay (thirds)],"="&amp;E$8))</f>
        <v>18</v>
      </c>
      <c r="F31">
        <f>IF($C31+F$8&gt;Latest_Third,"",SUMIFS(Table1[Non-zero? (1=Yes)],Table1[Policy third],"="&amp;$C31,Table1[Delay (thirds)],"="&amp;F$8))</f>
        <v>8</v>
      </c>
      <c r="G31">
        <f>IF($C31+G$8&gt;Latest_Third,"",SUMIFS(Table1[Non-zero? (1=Yes)],Table1[Policy third],"="&amp;$C31,Table1[Delay (thirds)],"="&amp;G$8))</f>
        <v>7</v>
      </c>
      <c r="H31">
        <f>IF($C31+H$8&gt;Latest_Third,"",SUMIFS(Table1[Non-zero? (1=Yes)],Table1[Policy third],"="&amp;$C31,Table1[Delay (thirds)],"="&amp;H$8))</f>
        <v>7</v>
      </c>
      <c r="I31">
        <f>IF($C31+I$8&gt;Latest_Third,"",SUMIFS(Table1[Non-zero? (1=Yes)],Table1[Policy third],"="&amp;$C31,Table1[Delay (thirds)],"="&amp;I$8))</f>
        <v>5</v>
      </c>
      <c r="J31">
        <f>IF($C31+J$8&gt;Latest_Third,"",SUMIFS(Table1[Non-zero? (1=Yes)],Table1[Policy third],"="&amp;$C31,Table1[Delay (thirds)],"="&amp;J$8))</f>
        <v>2</v>
      </c>
      <c r="K31" t="str">
        <f>IF($C31+K$8&gt;Latest_Third,"",SUMIFS(Table1[Non-zero? (1=Yes)],Table1[Policy third],"="&amp;$C31,Table1[Delay (thirds)],"="&amp;K$8))</f>
        <v/>
      </c>
      <c r="L31" t="str">
        <f>IF($C31+L$8&gt;Latest_Third,"",SUMIFS(Table1[Non-zero? (1=Yes)],Table1[Policy third],"="&amp;$C31,Table1[Delay (thirds)],"="&amp;L$8))</f>
        <v/>
      </c>
      <c r="M31" t="str">
        <f>IF($C31+M$8&gt;Latest_Third,"",SUMIFS(Table1[Non-zero? (1=Yes)],Table1[Policy third],"="&amp;$C31,Table1[Delay (thirds)],"="&amp;M$8))</f>
        <v/>
      </c>
      <c r="N31" t="str">
        <f>IF($C31+N$8&gt;Latest_Third,"",SUMIFS(Table1[Non-zero? (1=Yes)],Table1[Policy third],"="&amp;$C31,Table1[Delay (thirds)],"="&amp;N$8))</f>
        <v/>
      </c>
      <c r="O31" t="str">
        <f>IF($C31+O$8&gt;Latest_Third,"",SUMIFS(Table1[Non-zero? (1=Yes)],Table1[Policy third],"="&amp;$C31,Table1[Delay (thirds)],"="&amp;O$8))</f>
        <v/>
      </c>
      <c r="P31" t="str">
        <f>IF($C31+P$8&gt;Latest_Third,"",SUMIFS(Table1[Non-zero? (1=Yes)],Table1[Policy third],"="&amp;$C31,Table1[Delay (thirds)],"="&amp;P$8))</f>
        <v/>
      </c>
      <c r="Q31" t="str">
        <f>IF($C31+Q$8&gt;Latest_Third,"",SUMIFS(Table1[Non-zero? (1=Yes)],Table1[Policy third],"="&amp;$C31,Table1[Delay (thirds)],"="&amp;Q$8))</f>
        <v/>
      </c>
      <c r="R31" t="str">
        <f>IF($C31+R$8&gt;Latest_Third,"",SUMIFS(Table1[Non-zero? (1=Yes)],Table1[Policy third],"="&amp;$C31,Table1[Delay (thirds)],"="&amp;R$8))</f>
        <v/>
      </c>
      <c r="S31" t="str">
        <f>IF($C31+S$8&gt;Latest_Third,"",SUMIFS(Table1[Non-zero? (1=Yes)],Table1[Policy third],"="&amp;$C31,Table1[Delay (thirds)],"="&amp;S$8))</f>
        <v/>
      </c>
      <c r="T31" t="str">
        <f>IF($C31+T$8&gt;Latest_Third,"",SUMIFS(Table1[Non-zero? (1=Yes)],Table1[Policy third],"="&amp;$C31,Table1[Delay (thirds)],"="&amp;T$8))</f>
        <v/>
      </c>
      <c r="U31" t="str">
        <f>IF($C31+U$8&gt;Latest_Third,"",SUMIFS(Table1[Non-zero? (1=Yes)],Table1[Policy third],"="&amp;$C31,Table1[Delay (thirds)],"="&amp;U$8))</f>
        <v/>
      </c>
      <c r="V31" t="str">
        <f>IF($C31+V$8&gt;Latest_Third,"",SUMIFS(Table1[Non-zero? (1=Yes)],Table1[Policy third],"="&amp;$C31,Table1[Delay (thirds)],"="&amp;V$8))</f>
        <v/>
      </c>
      <c r="W31" t="str">
        <f>IF($C31+W$8&gt;Latest_Third,"",SUMIFS(Table1[Non-zero? (1=Yes)],Table1[Policy third],"="&amp;$C31,Table1[Delay (thirds)],"="&amp;W$8))</f>
        <v/>
      </c>
      <c r="X31" t="str">
        <f>IF($C31+X$8&gt;Latest_Third,"",SUMIFS(Table1[Non-zero? (1=Yes)],Table1[Policy third],"="&amp;$C31,Table1[Delay (thirds)],"="&amp;X$8))</f>
        <v/>
      </c>
      <c r="Y31" t="str">
        <f>IF($C31+Y$8&gt;Latest_Third,"",SUMIFS(Table1[Non-zero? (1=Yes)],Table1[Policy third],"="&amp;$C31,Table1[Delay (thirds)],"="&amp;Y$8))</f>
        <v/>
      </c>
      <c r="Z31" t="str">
        <f>IF($C31+Z$8&gt;Latest_Third,"",SUMIFS(Table1[Non-zero? (1=Yes)],Table1[Policy third],"="&amp;$C31,Table1[Delay (thirds)],"="&amp;Z$8))</f>
        <v/>
      </c>
      <c r="AA31" t="str">
        <f>IF($C31+AA$8&gt;Latest_Third,"",SUMIFS(Table1[Non-zero? (1=Yes)],Table1[Policy third],"="&amp;$C31,Table1[Delay (thirds)],"="&amp;AA$8))</f>
        <v/>
      </c>
      <c r="AB31" t="str">
        <f>IF($C31+AB$8&gt;Latest_Third,"",SUMIFS(Table1[Non-zero? (1=Yes)],Table1[Policy third],"="&amp;$C31,Table1[Delay (thirds)],"="&amp;AB$8))</f>
        <v/>
      </c>
      <c r="AC31" t="str">
        <f>IF($C31+AC$8&gt;Latest_Third,"",SUMIFS(Table1[Non-zero? (1=Yes)],Table1[Policy third],"="&amp;$C31,Table1[Delay (thirds)],"="&amp;AC$8))</f>
        <v/>
      </c>
      <c r="AD31" t="str">
        <f>IF($C31+AD$8&gt;Latest_Third,"",SUMIFS(Table1[Non-zero? (1=Yes)],Table1[Policy third],"="&amp;$C31,Table1[Delay (thirds)],"="&amp;AD$8))</f>
        <v/>
      </c>
      <c r="AE31" t="str">
        <f>IF($C31+AE$8&gt;Latest_Third,"",SUMIFS(Table1[Non-zero? (1=Yes)],Table1[Policy third],"="&amp;$C31,Table1[Delay (thirds)],"="&amp;AE$8))</f>
        <v/>
      </c>
      <c r="AF31" t="str">
        <f>IF($C31+AF$8&gt;Latest_Third,"",SUMIFS(Table1[Non-zero? (1=Yes)],Table1[Policy third],"="&amp;$C31,Table1[Delay (thirds)],"="&amp;AF$8))</f>
        <v/>
      </c>
      <c r="AJ31">
        <f t="shared" si="0"/>
        <v>65</v>
      </c>
    </row>
    <row r="32" spans="1:36" ht="13.15">
      <c r="A32">
        <f t="shared" si="1"/>
        <v>2012</v>
      </c>
      <c r="B32">
        <v>2</v>
      </c>
      <c r="C32" s="21">
        <v>23</v>
      </c>
      <c r="D32">
        <f>IF($C32+D$8&gt;Latest_Third,"",SUMIFS(Table1[Non-zero? (1=Yes)],Table1[Policy third],"="&amp;$C32,Table1[Delay (thirds)],"="&amp;D$8))</f>
        <v>17</v>
      </c>
      <c r="E32">
        <f>IF($C32+E$8&gt;Latest_Third,"",SUMIFS(Table1[Non-zero? (1=Yes)],Table1[Policy third],"="&amp;$C32,Table1[Delay (thirds)],"="&amp;E$8))</f>
        <v>26</v>
      </c>
      <c r="F32">
        <f>IF($C32+F$8&gt;Latest_Third,"",SUMIFS(Table1[Non-zero? (1=Yes)],Table1[Policy third],"="&amp;$C32,Table1[Delay (thirds)],"="&amp;F$8))</f>
        <v>11</v>
      </c>
      <c r="G32">
        <f>IF($C32+G$8&gt;Latest_Third,"",SUMIFS(Table1[Non-zero? (1=Yes)],Table1[Policy third],"="&amp;$C32,Table1[Delay (thirds)],"="&amp;G$8))</f>
        <v>9</v>
      </c>
      <c r="H32">
        <f>IF($C32+H$8&gt;Latest_Third,"",SUMIFS(Table1[Non-zero? (1=Yes)],Table1[Policy third],"="&amp;$C32,Table1[Delay (thirds)],"="&amp;H$8))</f>
        <v>9</v>
      </c>
      <c r="I32">
        <f>IF($C32+I$8&gt;Latest_Third,"",SUMIFS(Table1[Non-zero? (1=Yes)],Table1[Policy third],"="&amp;$C32,Table1[Delay (thirds)],"="&amp;I$8))</f>
        <v>3</v>
      </c>
      <c r="J32" t="str">
        <f>IF($C32+J$8&gt;Latest_Third,"",SUMIFS(Table1[Non-zero? (1=Yes)],Table1[Policy third],"="&amp;$C32,Table1[Delay (thirds)],"="&amp;J$8))</f>
        <v/>
      </c>
      <c r="K32" t="str">
        <f>IF($C32+K$8&gt;Latest_Third,"",SUMIFS(Table1[Non-zero? (1=Yes)],Table1[Policy third],"="&amp;$C32,Table1[Delay (thirds)],"="&amp;K$8))</f>
        <v/>
      </c>
      <c r="L32" t="str">
        <f>IF($C32+L$8&gt;Latest_Third,"",SUMIFS(Table1[Non-zero? (1=Yes)],Table1[Policy third],"="&amp;$C32,Table1[Delay (thirds)],"="&amp;L$8))</f>
        <v/>
      </c>
      <c r="M32" t="str">
        <f>IF($C32+M$8&gt;Latest_Third,"",SUMIFS(Table1[Non-zero? (1=Yes)],Table1[Policy third],"="&amp;$C32,Table1[Delay (thirds)],"="&amp;M$8))</f>
        <v/>
      </c>
      <c r="N32" t="str">
        <f>IF($C32+N$8&gt;Latest_Third,"",SUMIFS(Table1[Non-zero? (1=Yes)],Table1[Policy third],"="&amp;$C32,Table1[Delay (thirds)],"="&amp;N$8))</f>
        <v/>
      </c>
      <c r="O32" t="str">
        <f>IF($C32+O$8&gt;Latest_Third,"",SUMIFS(Table1[Non-zero? (1=Yes)],Table1[Policy third],"="&amp;$C32,Table1[Delay (thirds)],"="&amp;O$8))</f>
        <v/>
      </c>
      <c r="P32" t="str">
        <f>IF($C32+P$8&gt;Latest_Third,"",SUMIFS(Table1[Non-zero? (1=Yes)],Table1[Policy third],"="&amp;$C32,Table1[Delay (thirds)],"="&amp;P$8))</f>
        <v/>
      </c>
      <c r="Q32" t="str">
        <f>IF($C32+Q$8&gt;Latest_Third,"",SUMIFS(Table1[Non-zero? (1=Yes)],Table1[Policy third],"="&amp;$C32,Table1[Delay (thirds)],"="&amp;Q$8))</f>
        <v/>
      </c>
      <c r="R32" t="str">
        <f>IF($C32+R$8&gt;Latest_Third,"",SUMIFS(Table1[Non-zero? (1=Yes)],Table1[Policy third],"="&amp;$C32,Table1[Delay (thirds)],"="&amp;R$8))</f>
        <v/>
      </c>
      <c r="S32" t="str">
        <f>IF($C32+S$8&gt;Latest_Third,"",SUMIFS(Table1[Non-zero? (1=Yes)],Table1[Policy third],"="&amp;$C32,Table1[Delay (thirds)],"="&amp;S$8))</f>
        <v/>
      </c>
      <c r="T32" t="str">
        <f>IF($C32+T$8&gt;Latest_Third,"",SUMIFS(Table1[Non-zero? (1=Yes)],Table1[Policy third],"="&amp;$C32,Table1[Delay (thirds)],"="&amp;T$8))</f>
        <v/>
      </c>
      <c r="U32" t="str">
        <f>IF($C32+U$8&gt;Latest_Third,"",SUMIFS(Table1[Non-zero? (1=Yes)],Table1[Policy third],"="&amp;$C32,Table1[Delay (thirds)],"="&amp;U$8))</f>
        <v/>
      </c>
      <c r="V32" t="str">
        <f>IF($C32+V$8&gt;Latest_Third,"",SUMIFS(Table1[Non-zero? (1=Yes)],Table1[Policy third],"="&amp;$C32,Table1[Delay (thirds)],"="&amp;V$8))</f>
        <v/>
      </c>
      <c r="W32" t="str">
        <f>IF($C32+W$8&gt;Latest_Third,"",SUMIFS(Table1[Non-zero? (1=Yes)],Table1[Policy third],"="&amp;$C32,Table1[Delay (thirds)],"="&amp;W$8))</f>
        <v/>
      </c>
      <c r="X32" t="str">
        <f>IF($C32+X$8&gt;Latest_Third,"",SUMIFS(Table1[Non-zero? (1=Yes)],Table1[Policy third],"="&amp;$C32,Table1[Delay (thirds)],"="&amp;X$8))</f>
        <v/>
      </c>
      <c r="Y32" t="str">
        <f>IF($C32+Y$8&gt;Latest_Third,"",SUMIFS(Table1[Non-zero? (1=Yes)],Table1[Policy third],"="&amp;$C32,Table1[Delay (thirds)],"="&amp;Y$8))</f>
        <v/>
      </c>
      <c r="Z32" t="str">
        <f>IF($C32+Z$8&gt;Latest_Third,"",SUMIFS(Table1[Non-zero? (1=Yes)],Table1[Policy third],"="&amp;$C32,Table1[Delay (thirds)],"="&amp;Z$8))</f>
        <v/>
      </c>
      <c r="AA32" t="str">
        <f>IF($C32+AA$8&gt;Latest_Third,"",SUMIFS(Table1[Non-zero? (1=Yes)],Table1[Policy third],"="&amp;$C32,Table1[Delay (thirds)],"="&amp;AA$8))</f>
        <v/>
      </c>
      <c r="AB32" t="str">
        <f>IF($C32+AB$8&gt;Latest_Third,"",SUMIFS(Table1[Non-zero? (1=Yes)],Table1[Policy third],"="&amp;$C32,Table1[Delay (thirds)],"="&amp;AB$8))</f>
        <v/>
      </c>
      <c r="AC32" t="str">
        <f>IF($C32+AC$8&gt;Latest_Third,"",SUMIFS(Table1[Non-zero? (1=Yes)],Table1[Policy third],"="&amp;$C32,Table1[Delay (thirds)],"="&amp;AC$8))</f>
        <v/>
      </c>
      <c r="AD32" t="str">
        <f>IF($C32+AD$8&gt;Latest_Third,"",SUMIFS(Table1[Non-zero? (1=Yes)],Table1[Policy third],"="&amp;$C32,Table1[Delay (thirds)],"="&amp;AD$8))</f>
        <v/>
      </c>
      <c r="AE32" t="str">
        <f>IF($C32+AE$8&gt;Latest_Third,"",SUMIFS(Table1[Non-zero? (1=Yes)],Table1[Policy third],"="&amp;$C32,Table1[Delay (thirds)],"="&amp;AE$8))</f>
        <v/>
      </c>
      <c r="AF32" t="str">
        <f>IF($C32+AF$8&gt;Latest_Third,"",SUMIFS(Table1[Non-zero? (1=Yes)],Table1[Policy third],"="&amp;$C32,Table1[Delay (thirds)],"="&amp;AF$8))</f>
        <v/>
      </c>
      <c r="AJ32">
        <f t="shared" si="0"/>
        <v>75</v>
      </c>
    </row>
    <row r="33" spans="1:36" ht="13.15">
      <c r="A33">
        <f t="shared" si="1"/>
        <v>2013</v>
      </c>
      <c r="B33">
        <v>0</v>
      </c>
      <c r="C33" s="21">
        <v>24</v>
      </c>
      <c r="D33">
        <f>IF($C33+D$8&gt;Latest_Third,"",SUMIFS(Table1[Non-zero? (1=Yes)],Table1[Policy third],"="&amp;$C33,Table1[Delay (thirds)],"="&amp;D$8))</f>
        <v>16</v>
      </c>
      <c r="E33">
        <f>IF($C33+E$8&gt;Latest_Third,"",SUMIFS(Table1[Non-zero? (1=Yes)],Table1[Policy third],"="&amp;$C33,Table1[Delay (thirds)],"="&amp;E$8))</f>
        <v>13</v>
      </c>
      <c r="F33">
        <f>IF($C33+F$8&gt;Latest_Third,"",SUMIFS(Table1[Non-zero? (1=Yes)],Table1[Policy third],"="&amp;$C33,Table1[Delay (thirds)],"="&amp;F$8))</f>
        <v>21</v>
      </c>
      <c r="G33">
        <f>IF($C33+G$8&gt;Latest_Third,"",SUMIFS(Table1[Non-zero? (1=Yes)],Table1[Policy third],"="&amp;$C33,Table1[Delay (thirds)],"="&amp;G$8))</f>
        <v>10</v>
      </c>
      <c r="H33">
        <f>IF($C33+H$8&gt;Latest_Third,"",SUMIFS(Table1[Non-zero? (1=Yes)],Table1[Policy third],"="&amp;$C33,Table1[Delay (thirds)],"="&amp;H$8))</f>
        <v>2</v>
      </c>
      <c r="I33" t="str">
        <f>IF($C33+I$8&gt;Latest_Third,"",SUMIFS(Table1[Non-zero? (1=Yes)],Table1[Policy third],"="&amp;$C33,Table1[Delay (thirds)],"="&amp;I$8))</f>
        <v/>
      </c>
      <c r="J33" t="str">
        <f>IF($C33+J$8&gt;Latest_Third,"",SUMIFS(Table1[Non-zero? (1=Yes)],Table1[Policy third],"="&amp;$C33,Table1[Delay (thirds)],"="&amp;J$8))</f>
        <v/>
      </c>
      <c r="K33" t="str">
        <f>IF($C33+K$8&gt;Latest_Third,"",SUMIFS(Table1[Non-zero? (1=Yes)],Table1[Policy third],"="&amp;$C33,Table1[Delay (thirds)],"="&amp;K$8))</f>
        <v/>
      </c>
      <c r="L33" t="str">
        <f>IF($C33+L$8&gt;Latest_Third,"",SUMIFS(Table1[Non-zero? (1=Yes)],Table1[Policy third],"="&amp;$C33,Table1[Delay (thirds)],"="&amp;L$8))</f>
        <v/>
      </c>
      <c r="M33" t="str">
        <f>IF($C33+M$8&gt;Latest_Third,"",SUMIFS(Table1[Non-zero? (1=Yes)],Table1[Policy third],"="&amp;$C33,Table1[Delay (thirds)],"="&amp;M$8))</f>
        <v/>
      </c>
      <c r="N33" t="str">
        <f>IF($C33+N$8&gt;Latest_Third,"",SUMIFS(Table1[Non-zero? (1=Yes)],Table1[Policy third],"="&amp;$C33,Table1[Delay (thirds)],"="&amp;N$8))</f>
        <v/>
      </c>
      <c r="O33" t="str">
        <f>IF($C33+O$8&gt;Latest_Third,"",SUMIFS(Table1[Non-zero? (1=Yes)],Table1[Policy third],"="&amp;$C33,Table1[Delay (thirds)],"="&amp;O$8))</f>
        <v/>
      </c>
      <c r="P33" t="str">
        <f>IF($C33+P$8&gt;Latest_Third,"",SUMIFS(Table1[Non-zero? (1=Yes)],Table1[Policy third],"="&amp;$C33,Table1[Delay (thirds)],"="&amp;P$8))</f>
        <v/>
      </c>
      <c r="Q33" t="str">
        <f>IF($C33+Q$8&gt;Latest_Third,"",SUMIFS(Table1[Non-zero? (1=Yes)],Table1[Policy third],"="&amp;$C33,Table1[Delay (thirds)],"="&amp;Q$8))</f>
        <v/>
      </c>
      <c r="R33" t="str">
        <f>IF($C33+R$8&gt;Latest_Third,"",SUMIFS(Table1[Non-zero? (1=Yes)],Table1[Policy third],"="&amp;$C33,Table1[Delay (thirds)],"="&amp;R$8))</f>
        <v/>
      </c>
      <c r="S33" t="str">
        <f>IF($C33+S$8&gt;Latest_Third,"",SUMIFS(Table1[Non-zero? (1=Yes)],Table1[Policy third],"="&amp;$C33,Table1[Delay (thirds)],"="&amp;S$8))</f>
        <v/>
      </c>
      <c r="T33" t="str">
        <f>IF($C33+T$8&gt;Latest_Third,"",SUMIFS(Table1[Non-zero? (1=Yes)],Table1[Policy third],"="&amp;$C33,Table1[Delay (thirds)],"="&amp;T$8))</f>
        <v/>
      </c>
      <c r="U33" t="str">
        <f>IF($C33+U$8&gt;Latest_Third,"",SUMIFS(Table1[Non-zero? (1=Yes)],Table1[Policy third],"="&amp;$C33,Table1[Delay (thirds)],"="&amp;U$8))</f>
        <v/>
      </c>
      <c r="V33" t="str">
        <f>IF($C33+V$8&gt;Latest_Third,"",SUMIFS(Table1[Non-zero? (1=Yes)],Table1[Policy third],"="&amp;$C33,Table1[Delay (thirds)],"="&amp;V$8))</f>
        <v/>
      </c>
      <c r="W33" t="str">
        <f>IF($C33+W$8&gt;Latest_Third,"",SUMIFS(Table1[Non-zero? (1=Yes)],Table1[Policy third],"="&amp;$C33,Table1[Delay (thirds)],"="&amp;W$8))</f>
        <v/>
      </c>
      <c r="X33" t="str">
        <f>IF($C33+X$8&gt;Latest_Third,"",SUMIFS(Table1[Non-zero? (1=Yes)],Table1[Policy third],"="&amp;$C33,Table1[Delay (thirds)],"="&amp;X$8))</f>
        <v/>
      </c>
      <c r="Y33" t="str">
        <f>IF($C33+Y$8&gt;Latest_Third,"",SUMIFS(Table1[Non-zero? (1=Yes)],Table1[Policy third],"="&amp;$C33,Table1[Delay (thirds)],"="&amp;Y$8))</f>
        <v/>
      </c>
      <c r="Z33" t="str">
        <f>IF($C33+Z$8&gt;Latest_Third,"",SUMIFS(Table1[Non-zero? (1=Yes)],Table1[Policy third],"="&amp;$C33,Table1[Delay (thirds)],"="&amp;Z$8))</f>
        <v/>
      </c>
      <c r="AA33" t="str">
        <f>IF($C33+AA$8&gt;Latest_Third,"",SUMIFS(Table1[Non-zero? (1=Yes)],Table1[Policy third],"="&amp;$C33,Table1[Delay (thirds)],"="&amp;AA$8))</f>
        <v/>
      </c>
      <c r="AB33" t="str">
        <f>IF($C33+AB$8&gt;Latest_Third,"",SUMIFS(Table1[Non-zero? (1=Yes)],Table1[Policy third],"="&amp;$C33,Table1[Delay (thirds)],"="&amp;AB$8))</f>
        <v/>
      </c>
      <c r="AC33" t="str">
        <f>IF($C33+AC$8&gt;Latest_Third,"",SUMIFS(Table1[Non-zero? (1=Yes)],Table1[Policy third],"="&amp;$C33,Table1[Delay (thirds)],"="&amp;AC$8))</f>
        <v/>
      </c>
      <c r="AD33" t="str">
        <f>IF($C33+AD$8&gt;Latest_Third,"",SUMIFS(Table1[Non-zero? (1=Yes)],Table1[Policy third],"="&amp;$C33,Table1[Delay (thirds)],"="&amp;AD$8))</f>
        <v/>
      </c>
      <c r="AE33" t="str">
        <f>IF($C33+AE$8&gt;Latest_Third,"",SUMIFS(Table1[Non-zero? (1=Yes)],Table1[Policy third],"="&amp;$C33,Table1[Delay (thirds)],"="&amp;AE$8))</f>
        <v/>
      </c>
      <c r="AF33" t="str">
        <f>IF($C33+AF$8&gt;Latest_Third,"",SUMIFS(Table1[Non-zero? (1=Yes)],Table1[Policy third],"="&amp;$C33,Table1[Delay (thirds)],"="&amp;AF$8))</f>
        <v/>
      </c>
      <c r="AJ33">
        <f t="shared" si="0"/>
        <v>62</v>
      </c>
    </row>
    <row r="34" spans="1:36" ht="13.15">
      <c r="A34">
        <f t="shared" si="1"/>
        <v>2013</v>
      </c>
      <c r="B34">
        <v>1</v>
      </c>
      <c r="C34" s="21">
        <v>25</v>
      </c>
      <c r="D34">
        <f>IF($C34+D$8&gt;Latest_Third,"",SUMIFS(Table1[Non-zero? (1=Yes)],Table1[Policy third],"="&amp;$C34,Table1[Delay (thirds)],"="&amp;D$8))</f>
        <v>12</v>
      </c>
      <c r="E34">
        <f>IF($C34+E$8&gt;Latest_Third,"",SUMIFS(Table1[Non-zero? (1=Yes)],Table1[Policy third],"="&amp;$C34,Table1[Delay (thirds)],"="&amp;E$8))</f>
        <v>25</v>
      </c>
      <c r="F34">
        <f>IF($C34+F$8&gt;Latest_Third,"",SUMIFS(Table1[Non-zero? (1=Yes)],Table1[Policy third],"="&amp;$C34,Table1[Delay (thirds)],"="&amp;F$8))</f>
        <v>21</v>
      </c>
      <c r="G34">
        <f>IF($C34+G$8&gt;Latest_Third,"",SUMIFS(Table1[Non-zero? (1=Yes)],Table1[Policy third],"="&amp;$C34,Table1[Delay (thirds)],"="&amp;G$8))</f>
        <v>13</v>
      </c>
      <c r="H34" t="str">
        <f>IF($C34+H$8&gt;Latest_Third,"",SUMIFS(Table1[Non-zero? (1=Yes)],Table1[Policy third],"="&amp;$C34,Table1[Delay (thirds)],"="&amp;H$8))</f>
        <v/>
      </c>
      <c r="I34" t="str">
        <f>IF($C34+I$8&gt;Latest_Third,"",SUMIFS(Table1[Non-zero? (1=Yes)],Table1[Policy third],"="&amp;$C34,Table1[Delay (thirds)],"="&amp;I$8))</f>
        <v/>
      </c>
      <c r="J34" t="str">
        <f>IF($C34+J$8&gt;Latest_Third,"",SUMIFS(Table1[Non-zero? (1=Yes)],Table1[Policy third],"="&amp;$C34,Table1[Delay (thirds)],"="&amp;J$8))</f>
        <v/>
      </c>
      <c r="K34" t="str">
        <f>IF($C34+K$8&gt;Latest_Third,"",SUMIFS(Table1[Non-zero? (1=Yes)],Table1[Policy third],"="&amp;$C34,Table1[Delay (thirds)],"="&amp;K$8))</f>
        <v/>
      </c>
      <c r="L34" t="str">
        <f>IF($C34+L$8&gt;Latest_Third,"",SUMIFS(Table1[Non-zero? (1=Yes)],Table1[Policy third],"="&amp;$C34,Table1[Delay (thirds)],"="&amp;L$8))</f>
        <v/>
      </c>
      <c r="M34" t="str">
        <f>IF($C34+M$8&gt;Latest_Third,"",SUMIFS(Table1[Non-zero? (1=Yes)],Table1[Policy third],"="&amp;$C34,Table1[Delay (thirds)],"="&amp;M$8))</f>
        <v/>
      </c>
      <c r="N34" t="str">
        <f>IF($C34+N$8&gt;Latest_Third,"",SUMIFS(Table1[Non-zero? (1=Yes)],Table1[Policy third],"="&amp;$C34,Table1[Delay (thirds)],"="&amp;N$8))</f>
        <v/>
      </c>
      <c r="O34" t="str">
        <f>IF($C34+O$8&gt;Latest_Third,"",SUMIFS(Table1[Non-zero? (1=Yes)],Table1[Policy third],"="&amp;$C34,Table1[Delay (thirds)],"="&amp;O$8))</f>
        <v/>
      </c>
      <c r="P34" t="str">
        <f>IF($C34+P$8&gt;Latest_Third,"",SUMIFS(Table1[Non-zero? (1=Yes)],Table1[Policy third],"="&amp;$C34,Table1[Delay (thirds)],"="&amp;P$8))</f>
        <v/>
      </c>
      <c r="Q34" t="str">
        <f>IF($C34+Q$8&gt;Latest_Third,"",SUMIFS(Table1[Non-zero? (1=Yes)],Table1[Policy third],"="&amp;$C34,Table1[Delay (thirds)],"="&amp;Q$8))</f>
        <v/>
      </c>
      <c r="R34" t="str">
        <f>IF($C34+R$8&gt;Latest_Third,"",SUMIFS(Table1[Non-zero? (1=Yes)],Table1[Policy third],"="&amp;$C34,Table1[Delay (thirds)],"="&amp;R$8))</f>
        <v/>
      </c>
      <c r="S34" t="str">
        <f>IF($C34+S$8&gt;Latest_Third,"",SUMIFS(Table1[Non-zero? (1=Yes)],Table1[Policy third],"="&amp;$C34,Table1[Delay (thirds)],"="&amp;S$8))</f>
        <v/>
      </c>
      <c r="T34" t="str">
        <f>IF($C34+T$8&gt;Latest_Third,"",SUMIFS(Table1[Non-zero? (1=Yes)],Table1[Policy third],"="&amp;$C34,Table1[Delay (thirds)],"="&amp;T$8))</f>
        <v/>
      </c>
      <c r="U34" t="str">
        <f>IF($C34+U$8&gt;Latest_Third,"",SUMIFS(Table1[Non-zero? (1=Yes)],Table1[Policy third],"="&amp;$C34,Table1[Delay (thirds)],"="&amp;U$8))</f>
        <v/>
      </c>
      <c r="V34" t="str">
        <f>IF($C34+V$8&gt;Latest_Third,"",SUMIFS(Table1[Non-zero? (1=Yes)],Table1[Policy third],"="&amp;$C34,Table1[Delay (thirds)],"="&amp;V$8))</f>
        <v/>
      </c>
      <c r="W34" t="str">
        <f>IF($C34+W$8&gt;Latest_Third,"",SUMIFS(Table1[Non-zero? (1=Yes)],Table1[Policy third],"="&amp;$C34,Table1[Delay (thirds)],"="&amp;W$8))</f>
        <v/>
      </c>
      <c r="X34" t="str">
        <f>IF($C34+X$8&gt;Latest_Third,"",SUMIFS(Table1[Non-zero? (1=Yes)],Table1[Policy third],"="&amp;$C34,Table1[Delay (thirds)],"="&amp;X$8))</f>
        <v/>
      </c>
      <c r="Y34" t="str">
        <f>IF($C34+Y$8&gt;Latest_Third,"",SUMIFS(Table1[Non-zero? (1=Yes)],Table1[Policy third],"="&amp;$C34,Table1[Delay (thirds)],"="&amp;Y$8))</f>
        <v/>
      </c>
      <c r="Z34" t="str">
        <f>IF($C34+Z$8&gt;Latest_Third,"",SUMIFS(Table1[Non-zero? (1=Yes)],Table1[Policy third],"="&amp;$C34,Table1[Delay (thirds)],"="&amp;Z$8))</f>
        <v/>
      </c>
      <c r="AA34" t="str">
        <f>IF($C34+AA$8&gt;Latest_Third,"",SUMIFS(Table1[Non-zero? (1=Yes)],Table1[Policy third],"="&amp;$C34,Table1[Delay (thirds)],"="&amp;AA$8))</f>
        <v/>
      </c>
      <c r="AB34" t="str">
        <f>IF($C34+AB$8&gt;Latest_Third,"",SUMIFS(Table1[Non-zero? (1=Yes)],Table1[Policy third],"="&amp;$C34,Table1[Delay (thirds)],"="&amp;AB$8))</f>
        <v/>
      </c>
      <c r="AC34" t="str">
        <f>IF($C34+AC$8&gt;Latest_Third,"",SUMIFS(Table1[Non-zero? (1=Yes)],Table1[Policy third],"="&amp;$C34,Table1[Delay (thirds)],"="&amp;AC$8))</f>
        <v/>
      </c>
      <c r="AD34" t="str">
        <f>IF($C34+AD$8&gt;Latest_Third,"",SUMIFS(Table1[Non-zero? (1=Yes)],Table1[Policy third],"="&amp;$C34,Table1[Delay (thirds)],"="&amp;AD$8))</f>
        <v/>
      </c>
      <c r="AE34" t="str">
        <f>IF($C34+AE$8&gt;Latest_Third,"",SUMIFS(Table1[Non-zero? (1=Yes)],Table1[Policy third],"="&amp;$C34,Table1[Delay (thirds)],"="&amp;AE$8))</f>
        <v/>
      </c>
      <c r="AF34" t="str">
        <f>IF($C34+AF$8&gt;Latest_Third,"",SUMIFS(Table1[Non-zero? (1=Yes)],Table1[Policy third],"="&amp;$C34,Table1[Delay (thirds)],"="&amp;AF$8))</f>
        <v/>
      </c>
      <c r="AJ34">
        <f t="shared" si="0"/>
        <v>71</v>
      </c>
    </row>
    <row r="35" spans="1:36" ht="13.15">
      <c r="A35">
        <f t="shared" si="1"/>
        <v>2013</v>
      </c>
      <c r="B35">
        <v>2</v>
      </c>
      <c r="C35" s="21">
        <v>26</v>
      </c>
      <c r="D35">
        <f>IF($C35+D$8&gt;Latest_Third,"",SUMIFS(Table1[Non-zero? (1=Yes)],Table1[Policy third],"="&amp;$C35,Table1[Delay (thirds)],"="&amp;D$8))</f>
        <v>15</v>
      </c>
      <c r="E35">
        <f>IF($C35+E$8&gt;Latest_Third,"",SUMIFS(Table1[Non-zero? (1=Yes)],Table1[Policy third],"="&amp;$C35,Table1[Delay (thirds)],"="&amp;E$8))</f>
        <v>35</v>
      </c>
      <c r="F35">
        <f>IF($C35+F$8&gt;Latest_Third,"",SUMIFS(Table1[Non-zero? (1=Yes)],Table1[Policy third],"="&amp;$C35,Table1[Delay (thirds)],"="&amp;F$8))</f>
        <v>18</v>
      </c>
      <c r="G35" t="str">
        <f>IF($C35+G$8&gt;Latest_Third,"",SUMIFS(Table1[Non-zero? (1=Yes)],Table1[Policy third],"="&amp;$C35,Table1[Delay (thirds)],"="&amp;G$8))</f>
        <v/>
      </c>
      <c r="H35" t="str">
        <f>IF($C35+H$8&gt;Latest_Third,"",SUMIFS(Table1[Non-zero? (1=Yes)],Table1[Policy third],"="&amp;$C35,Table1[Delay (thirds)],"="&amp;H$8))</f>
        <v/>
      </c>
      <c r="I35" t="str">
        <f>IF($C35+I$8&gt;Latest_Third,"",SUMIFS(Table1[Non-zero? (1=Yes)],Table1[Policy third],"="&amp;$C35,Table1[Delay (thirds)],"="&amp;I$8))</f>
        <v/>
      </c>
      <c r="J35" t="str">
        <f>IF($C35+J$8&gt;Latest_Third,"",SUMIFS(Table1[Non-zero? (1=Yes)],Table1[Policy third],"="&amp;$C35,Table1[Delay (thirds)],"="&amp;J$8))</f>
        <v/>
      </c>
      <c r="K35" t="str">
        <f>IF($C35+K$8&gt;Latest_Third,"",SUMIFS(Table1[Non-zero? (1=Yes)],Table1[Policy third],"="&amp;$C35,Table1[Delay (thirds)],"="&amp;K$8))</f>
        <v/>
      </c>
      <c r="L35" t="str">
        <f>IF($C35+L$8&gt;Latest_Third,"",SUMIFS(Table1[Non-zero? (1=Yes)],Table1[Policy third],"="&amp;$C35,Table1[Delay (thirds)],"="&amp;L$8))</f>
        <v/>
      </c>
      <c r="M35" t="str">
        <f>IF($C35+M$8&gt;Latest_Third,"",SUMIFS(Table1[Non-zero? (1=Yes)],Table1[Policy third],"="&amp;$C35,Table1[Delay (thirds)],"="&amp;M$8))</f>
        <v/>
      </c>
      <c r="N35" t="str">
        <f>IF($C35+N$8&gt;Latest_Third,"",SUMIFS(Table1[Non-zero? (1=Yes)],Table1[Policy third],"="&amp;$C35,Table1[Delay (thirds)],"="&amp;N$8))</f>
        <v/>
      </c>
      <c r="O35" t="str">
        <f>IF($C35+O$8&gt;Latest_Third,"",SUMIFS(Table1[Non-zero? (1=Yes)],Table1[Policy third],"="&amp;$C35,Table1[Delay (thirds)],"="&amp;O$8))</f>
        <v/>
      </c>
      <c r="P35" t="str">
        <f>IF($C35+P$8&gt;Latest_Third,"",SUMIFS(Table1[Non-zero? (1=Yes)],Table1[Policy third],"="&amp;$C35,Table1[Delay (thirds)],"="&amp;P$8))</f>
        <v/>
      </c>
      <c r="Q35" t="str">
        <f>IF($C35+Q$8&gt;Latest_Third,"",SUMIFS(Table1[Non-zero? (1=Yes)],Table1[Policy third],"="&amp;$C35,Table1[Delay (thirds)],"="&amp;Q$8))</f>
        <v/>
      </c>
      <c r="R35" t="str">
        <f>IF($C35+R$8&gt;Latest_Third,"",SUMIFS(Table1[Non-zero? (1=Yes)],Table1[Policy third],"="&amp;$C35,Table1[Delay (thirds)],"="&amp;R$8))</f>
        <v/>
      </c>
      <c r="S35" t="str">
        <f>IF($C35+S$8&gt;Latest_Third,"",SUMIFS(Table1[Non-zero? (1=Yes)],Table1[Policy third],"="&amp;$C35,Table1[Delay (thirds)],"="&amp;S$8))</f>
        <v/>
      </c>
      <c r="T35" t="str">
        <f>IF($C35+T$8&gt;Latest_Third,"",SUMIFS(Table1[Non-zero? (1=Yes)],Table1[Policy third],"="&amp;$C35,Table1[Delay (thirds)],"="&amp;T$8))</f>
        <v/>
      </c>
      <c r="U35" t="str">
        <f>IF($C35+U$8&gt;Latest_Third,"",SUMIFS(Table1[Non-zero? (1=Yes)],Table1[Policy third],"="&amp;$C35,Table1[Delay (thirds)],"="&amp;U$8))</f>
        <v/>
      </c>
      <c r="V35" t="str">
        <f>IF($C35+V$8&gt;Latest_Third,"",SUMIFS(Table1[Non-zero? (1=Yes)],Table1[Policy third],"="&amp;$C35,Table1[Delay (thirds)],"="&amp;V$8))</f>
        <v/>
      </c>
      <c r="W35" t="str">
        <f>IF($C35+W$8&gt;Latest_Third,"",SUMIFS(Table1[Non-zero? (1=Yes)],Table1[Policy third],"="&amp;$C35,Table1[Delay (thirds)],"="&amp;W$8))</f>
        <v/>
      </c>
      <c r="X35" t="str">
        <f>IF($C35+X$8&gt;Latest_Third,"",SUMIFS(Table1[Non-zero? (1=Yes)],Table1[Policy third],"="&amp;$C35,Table1[Delay (thirds)],"="&amp;X$8))</f>
        <v/>
      </c>
      <c r="Y35" t="str">
        <f>IF($C35+Y$8&gt;Latest_Third,"",SUMIFS(Table1[Non-zero? (1=Yes)],Table1[Policy third],"="&amp;$C35,Table1[Delay (thirds)],"="&amp;Y$8))</f>
        <v/>
      </c>
      <c r="Z35" t="str">
        <f>IF($C35+Z$8&gt;Latest_Third,"",SUMIFS(Table1[Non-zero? (1=Yes)],Table1[Policy third],"="&amp;$C35,Table1[Delay (thirds)],"="&amp;Z$8))</f>
        <v/>
      </c>
      <c r="AA35" t="str">
        <f>IF($C35+AA$8&gt;Latest_Third,"",SUMIFS(Table1[Non-zero? (1=Yes)],Table1[Policy third],"="&amp;$C35,Table1[Delay (thirds)],"="&amp;AA$8))</f>
        <v/>
      </c>
      <c r="AB35" t="str">
        <f>IF($C35+AB$8&gt;Latest_Third,"",SUMIFS(Table1[Non-zero? (1=Yes)],Table1[Policy third],"="&amp;$C35,Table1[Delay (thirds)],"="&amp;AB$8))</f>
        <v/>
      </c>
      <c r="AC35" t="str">
        <f>IF($C35+AC$8&gt;Latest_Third,"",SUMIFS(Table1[Non-zero? (1=Yes)],Table1[Policy third],"="&amp;$C35,Table1[Delay (thirds)],"="&amp;AC$8))</f>
        <v/>
      </c>
      <c r="AD35" t="str">
        <f>IF($C35+AD$8&gt;Latest_Third,"",SUMIFS(Table1[Non-zero? (1=Yes)],Table1[Policy third],"="&amp;$C35,Table1[Delay (thirds)],"="&amp;AD$8))</f>
        <v/>
      </c>
      <c r="AE35" t="str">
        <f>IF($C35+AE$8&gt;Latest_Third,"",SUMIFS(Table1[Non-zero? (1=Yes)],Table1[Policy third],"="&amp;$C35,Table1[Delay (thirds)],"="&amp;AE$8))</f>
        <v/>
      </c>
      <c r="AF35" t="str">
        <f>IF($C35+AF$8&gt;Latest_Third,"",SUMIFS(Table1[Non-zero? (1=Yes)],Table1[Policy third],"="&amp;$C35,Table1[Delay (thirds)],"="&amp;AF$8))</f>
        <v/>
      </c>
      <c r="AJ35">
        <f t="shared" si="0"/>
        <v>68</v>
      </c>
    </row>
    <row r="36" spans="1:36" ht="13.15">
      <c r="A36">
        <f t="shared" si="1"/>
        <v>2014</v>
      </c>
      <c r="B36">
        <v>0</v>
      </c>
      <c r="C36" s="21">
        <v>27</v>
      </c>
      <c r="D36">
        <f>IF($C36+D$8&gt;Latest_Third,"",SUMIFS(Table1[Non-zero? (1=Yes)],Table1[Policy third],"="&amp;$C36,Table1[Delay (thirds)],"="&amp;D$8))</f>
        <v>23</v>
      </c>
      <c r="E36">
        <f>IF($C36+E$8&gt;Latest_Third,"",SUMIFS(Table1[Non-zero? (1=Yes)],Table1[Policy third],"="&amp;$C36,Table1[Delay (thirds)],"="&amp;E$8))</f>
        <v>26</v>
      </c>
      <c r="F36" t="str">
        <f>IF($C36+F$8&gt;Latest_Third,"",SUMIFS(Table1[Non-zero? (1=Yes)],Table1[Policy third],"="&amp;$C36,Table1[Delay (thirds)],"="&amp;F$8))</f>
        <v/>
      </c>
      <c r="G36" t="str">
        <f>IF($C36+G$8&gt;Latest_Third,"",SUMIFS(Table1[Non-zero? (1=Yes)],Table1[Policy third],"="&amp;$C36,Table1[Delay (thirds)],"="&amp;G$8))</f>
        <v/>
      </c>
      <c r="H36" t="str">
        <f>IF($C36+H$8&gt;Latest_Third,"",SUMIFS(Table1[Non-zero? (1=Yes)],Table1[Policy third],"="&amp;$C36,Table1[Delay (thirds)],"="&amp;H$8))</f>
        <v/>
      </c>
      <c r="I36" t="str">
        <f>IF($C36+I$8&gt;Latest_Third,"",SUMIFS(Table1[Non-zero? (1=Yes)],Table1[Policy third],"="&amp;$C36,Table1[Delay (thirds)],"="&amp;I$8))</f>
        <v/>
      </c>
      <c r="J36" t="str">
        <f>IF($C36+J$8&gt;Latest_Third,"",SUMIFS(Table1[Non-zero? (1=Yes)],Table1[Policy third],"="&amp;$C36,Table1[Delay (thirds)],"="&amp;J$8))</f>
        <v/>
      </c>
      <c r="K36" t="str">
        <f>IF($C36+K$8&gt;Latest_Third,"",SUMIFS(Table1[Non-zero? (1=Yes)],Table1[Policy third],"="&amp;$C36,Table1[Delay (thirds)],"="&amp;K$8))</f>
        <v/>
      </c>
      <c r="L36" t="str">
        <f>IF($C36+L$8&gt;Latest_Third,"",SUMIFS(Table1[Non-zero? (1=Yes)],Table1[Policy third],"="&amp;$C36,Table1[Delay (thirds)],"="&amp;L$8))</f>
        <v/>
      </c>
      <c r="M36" t="str">
        <f>IF($C36+M$8&gt;Latest_Third,"",SUMIFS(Table1[Non-zero? (1=Yes)],Table1[Policy third],"="&amp;$C36,Table1[Delay (thirds)],"="&amp;M$8))</f>
        <v/>
      </c>
      <c r="N36" t="str">
        <f>IF($C36+N$8&gt;Latest_Third,"",SUMIFS(Table1[Non-zero? (1=Yes)],Table1[Policy third],"="&amp;$C36,Table1[Delay (thirds)],"="&amp;N$8))</f>
        <v/>
      </c>
      <c r="O36" t="str">
        <f>IF($C36+O$8&gt;Latest_Third,"",SUMIFS(Table1[Non-zero? (1=Yes)],Table1[Policy third],"="&amp;$C36,Table1[Delay (thirds)],"="&amp;O$8))</f>
        <v/>
      </c>
      <c r="P36" t="str">
        <f>IF($C36+P$8&gt;Latest_Third,"",SUMIFS(Table1[Non-zero? (1=Yes)],Table1[Policy third],"="&amp;$C36,Table1[Delay (thirds)],"="&amp;P$8))</f>
        <v/>
      </c>
      <c r="Q36" t="str">
        <f>IF($C36+Q$8&gt;Latest_Third,"",SUMIFS(Table1[Non-zero? (1=Yes)],Table1[Policy third],"="&amp;$C36,Table1[Delay (thirds)],"="&amp;Q$8))</f>
        <v/>
      </c>
      <c r="R36" t="str">
        <f>IF($C36+R$8&gt;Latest_Third,"",SUMIFS(Table1[Non-zero? (1=Yes)],Table1[Policy third],"="&amp;$C36,Table1[Delay (thirds)],"="&amp;R$8))</f>
        <v/>
      </c>
      <c r="S36" t="str">
        <f>IF($C36+S$8&gt;Latest_Third,"",SUMIFS(Table1[Non-zero? (1=Yes)],Table1[Policy third],"="&amp;$C36,Table1[Delay (thirds)],"="&amp;S$8))</f>
        <v/>
      </c>
      <c r="T36" t="str">
        <f>IF($C36+T$8&gt;Latest_Third,"",SUMIFS(Table1[Non-zero? (1=Yes)],Table1[Policy third],"="&amp;$C36,Table1[Delay (thirds)],"="&amp;T$8))</f>
        <v/>
      </c>
      <c r="U36" t="str">
        <f>IF($C36+U$8&gt;Latest_Third,"",SUMIFS(Table1[Non-zero? (1=Yes)],Table1[Policy third],"="&amp;$C36,Table1[Delay (thirds)],"="&amp;U$8))</f>
        <v/>
      </c>
      <c r="V36" t="str">
        <f>IF($C36+V$8&gt;Latest_Third,"",SUMIFS(Table1[Non-zero? (1=Yes)],Table1[Policy third],"="&amp;$C36,Table1[Delay (thirds)],"="&amp;V$8))</f>
        <v/>
      </c>
      <c r="W36" t="str">
        <f>IF($C36+W$8&gt;Latest_Third,"",SUMIFS(Table1[Non-zero? (1=Yes)],Table1[Policy third],"="&amp;$C36,Table1[Delay (thirds)],"="&amp;W$8))</f>
        <v/>
      </c>
      <c r="X36" t="str">
        <f>IF($C36+X$8&gt;Latest_Third,"",SUMIFS(Table1[Non-zero? (1=Yes)],Table1[Policy third],"="&amp;$C36,Table1[Delay (thirds)],"="&amp;X$8))</f>
        <v/>
      </c>
      <c r="Y36" t="str">
        <f>IF($C36+Y$8&gt;Latest_Third,"",SUMIFS(Table1[Non-zero? (1=Yes)],Table1[Policy third],"="&amp;$C36,Table1[Delay (thirds)],"="&amp;Y$8))</f>
        <v/>
      </c>
      <c r="Z36" t="str">
        <f>IF($C36+Z$8&gt;Latest_Third,"",SUMIFS(Table1[Non-zero? (1=Yes)],Table1[Policy third],"="&amp;$C36,Table1[Delay (thirds)],"="&amp;Z$8))</f>
        <v/>
      </c>
      <c r="AA36" t="str">
        <f>IF($C36+AA$8&gt;Latest_Third,"",SUMIFS(Table1[Non-zero? (1=Yes)],Table1[Policy third],"="&amp;$C36,Table1[Delay (thirds)],"="&amp;AA$8))</f>
        <v/>
      </c>
      <c r="AB36" t="str">
        <f>IF($C36+AB$8&gt;Latest_Third,"",SUMIFS(Table1[Non-zero? (1=Yes)],Table1[Policy third],"="&amp;$C36,Table1[Delay (thirds)],"="&amp;AB$8))</f>
        <v/>
      </c>
      <c r="AC36" t="str">
        <f>IF($C36+AC$8&gt;Latest_Third,"",SUMIFS(Table1[Non-zero? (1=Yes)],Table1[Policy third],"="&amp;$C36,Table1[Delay (thirds)],"="&amp;AC$8))</f>
        <v/>
      </c>
      <c r="AD36" t="str">
        <f>IF($C36+AD$8&gt;Latest_Third,"",SUMIFS(Table1[Non-zero? (1=Yes)],Table1[Policy third],"="&amp;$C36,Table1[Delay (thirds)],"="&amp;AD$8))</f>
        <v/>
      </c>
      <c r="AE36" t="str">
        <f>IF($C36+AE$8&gt;Latest_Third,"",SUMIFS(Table1[Non-zero? (1=Yes)],Table1[Policy third],"="&amp;$C36,Table1[Delay (thirds)],"="&amp;AE$8))</f>
        <v/>
      </c>
      <c r="AF36" t="str">
        <f>IF($C36+AF$8&gt;Latest_Third,"",SUMIFS(Table1[Non-zero? (1=Yes)],Table1[Policy third],"="&amp;$C36,Table1[Delay (thirds)],"="&amp;AF$8))</f>
        <v/>
      </c>
      <c r="AJ36">
        <f t="shared" si="0"/>
        <v>49</v>
      </c>
    </row>
    <row r="37" spans="1:36" ht="13.15">
      <c r="A37">
        <f t="shared" si="1"/>
        <v>2014</v>
      </c>
      <c r="B37">
        <v>1</v>
      </c>
      <c r="C37" s="21">
        <v>28</v>
      </c>
      <c r="D37">
        <f>IF($C37+D$8&gt;Latest_Third,"",SUMIFS(Table1[Non-zero? (1=Yes)],Table1[Policy third],"="&amp;$C37,Table1[Delay (thirds)],"="&amp;D$8))</f>
        <v>19</v>
      </c>
      <c r="E37" t="str">
        <f>IF($C37+E$8&gt;Latest_Third,"",SUMIFS(Table1[Non-zero? (1=Yes)],Table1[Policy third],"="&amp;$C37,Table1[Delay (thirds)],"="&amp;E$8))</f>
        <v/>
      </c>
      <c r="F37" t="str">
        <f>IF($C37+F$8&gt;Latest_Third,"",SUMIFS(Table1[Non-zero? (1=Yes)],Table1[Policy third],"="&amp;$C37,Table1[Delay (thirds)],"="&amp;F$8))</f>
        <v/>
      </c>
      <c r="G37" t="str">
        <f>IF($C37+G$8&gt;Latest_Third,"",SUMIFS(Table1[Non-zero? (1=Yes)],Table1[Policy third],"="&amp;$C37,Table1[Delay (thirds)],"="&amp;G$8))</f>
        <v/>
      </c>
      <c r="H37" t="str">
        <f>IF($C37+H$8&gt;Latest_Third,"",SUMIFS(Table1[Non-zero? (1=Yes)],Table1[Policy third],"="&amp;$C37,Table1[Delay (thirds)],"="&amp;H$8))</f>
        <v/>
      </c>
      <c r="I37" t="str">
        <f>IF($C37+I$8&gt;Latest_Third,"",SUMIFS(Table1[Non-zero? (1=Yes)],Table1[Policy third],"="&amp;$C37,Table1[Delay (thirds)],"="&amp;I$8))</f>
        <v/>
      </c>
      <c r="J37" t="str">
        <f>IF($C37+J$8&gt;Latest_Third,"",SUMIFS(Table1[Non-zero? (1=Yes)],Table1[Policy third],"="&amp;$C37,Table1[Delay (thirds)],"="&amp;J$8))</f>
        <v/>
      </c>
      <c r="K37" t="str">
        <f>IF($C37+K$8&gt;Latest_Third,"",SUMIFS(Table1[Non-zero? (1=Yes)],Table1[Policy third],"="&amp;$C37,Table1[Delay (thirds)],"="&amp;K$8))</f>
        <v/>
      </c>
      <c r="L37" t="str">
        <f>IF($C37+L$8&gt;Latest_Third,"",SUMIFS(Table1[Non-zero? (1=Yes)],Table1[Policy third],"="&amp;$C37,Table1[Delay (thirds)],"="&amp;L$8))</f>
        <v/>
      </c>
      <c r="M37" t="str">
        <f>IF($C37+M$8&gt;Latest_Third,"",SUMIFS(Table1[Non-zero? (1=Yes)],Table1[Policy third],"="&amp;$C37,Table1[Delay (thirds)],"="&amp;M$8))</f>
        <v/>
      </c>
      <c r="N37" t="str">
        <f>IF($C37+N$8&gt;Latest_Third,"",SUMIFS(Table1[Non-zero? (1=Yes)],Table1[Policy third],"="&amp;$C37,Table1[Delay (thirds)],"="&amp;N$8))</f>
        <v/>
      </c>
      <c r="O37" t="str">
        <f>IF($C37+O$8&gt;Latest_Third,"",SUMIFS(Table1[Non-zero? (1=Yes)],Table1[Policy third],"="&amp;$C37,Table1[Delay (thirds)],"="&amp;O$8))</f>
        <v/>
      </c>
      <c r="P37" t="str">
        <f>IF($C37+P$8&gt;Latest_Third,"",SUMIFS(Table1[Non-zero? (1=Yes)],Table1[Policy third],"="&amp;$C37,Table1[Delay (thirds)],"="&amp;P$8))</f>
        <v/>
      </c>
      <c r="Q37" t="str">
        <f>IF($C37+Q$8&gt;Latest_Third,"",SUMIFS(Table1[Non-zero? (1=Yes)],Table1[Policy third],"="&amp;$C37,Table1[Delay (thirds)],"="&amp;Q$8))</f>
        <v/>
      </c>
      <c r="R37" t="str">
        <f>IF($C37+R$8&gt;Latest_Third,"",SUMIFS(Table1[Non-zero? (1=Yes)],Table1[Policy third],"="&amp;$C37,Table1[Delay (thirds)],"="&amp;R$8))</f>
        <v/>
      </c>
      <c r="S37" t="str">
        <f>IF($C37+S$8&gt;Latest_Third,"",SUMIFS(Table1[Non-zero? (1=Yes)],Table1[Policy third],"="&amp;$C37,Table1[Delay (thirds)],"="&amp;S$8))</f>
        <v/>
      </c>
      <c r="T37" t="str">
        <f>IF($C37+T$8&gt;Latest_Third,"",SUMIFS(Table1[Non-zero? (1=Yes)],Table1[Policy third],"="&amp;$C37,Table1[Delay (thirds)],"="&amp;T$8))</f>
        <v/>
      </c>
      <c r="U37" t="str">
        <f>IF($C37+U$8&gt;Latest_Third,"",SUMIFS(Table1[Non-zero? (1=Yes)],Table1[Policy third],"="&amp;$C37,Table1[Delay (thirds)],"="&amp;U$8))</f>
        <v/>
      </c>
      <c r="V37" t="str">
        <f>IF($C37+V$8&gt;Latest_Third,"",SUMIFS(Table1[Non-zero? (1=Yes)],Table1[Policy third],"="&amp;$C37,Table1[Delay (thirds)],"="&amp;V$8))</f>
        <v/>
      </c>
      <c r="W37" t="str">
        <f>IF($C37+W$8&gt;Latest_Third,"",SUMIFS(Table1[Non-zero? (1=Yes)],Table1[Policy third],"="&amp;$C37,Table1[Delay (thirds)],"="&amp;W$8))</f>
        <v/>
      </c>
      <c r="X37" t="str">
        <f>IF($C37+X$8&gt;Latest_Third,"",SUMIFS(Table1[Non-zero? (1=Yes)],Table1[Policy third],"="&amp;$C37,Table1[Delay (thirds)],"="&amp;X$8))</f>
        <v/>
      </c>
      <c r="Y37" t="str">
        <f>IF($C37+Y$8&gt;Latest_Third,"",SUMIFS(Table1[Non-zero? (1=Yes)],Table1[Policy third],"="&amp;$C37,Table1[Delay (thirds)],"="&amp;Y$8))</f>
        <v/>
      </c>
      <c r="Z37" t="str">
        <f>IF($C37+Z$8&gt;Latest_Third,"",SUMIFS(Table1[Non-zero? (1=Yes)],Table1[Policy third],"="&amp;$C37,Table1[Delay (thirds)],"="&amp;Z$8))</f>
        <v/>
      </c>
      <c r="AA37" t="str">
        <f>IF($C37+AA$8&gt;Latest_Third,"",SUMIFS(Table1[Non-zero? (1=Yes)],Table1[Policy third],"="&amp;$C37,Table1[Delay (thirds)],"="&amp;AA$8))</f>
        <v/>
      </c>
      <c r="AB37" t="str">
        <f>IF($C37+AB$8&gt;Latest_Third,"",SUMIFS(Table1[Non-zero? (1=Yes)],Table1[Policy third],"="&amp;$C37,Table1[Delay (thirds)],"="&amp;AB$8))</f>
        <v/>
      </c>
      <c r="AC37" t="str">
        <f>IF($C37+AC$8&gt;Latest_Third,"",SUMIFS(Table1[Non-zero? (1=Yes)],Table1[Policy third],"="&amp;$C37,Table1[Delay (thirds)],"="&amp;AC$8))</f>
        <v/>
      </c>
      <c r="AD37" t="str">
        <f>IF($C37+AD$8&gt;Latest_Third,"",SUMIFS(Table1[Non-zero? (1=Yes)],Table1[Policy third],"="&amp;$C37,Table1[Delay (thirds)],"="&amp;AD$8))</f>
        <v/>
      </c>
      <c r="AE37" t="str">
        <f>IF($C37+AE$8&gt;Latest_Third,"",SUMIFS(Table1[Non-zero? (1=Yes)],Table1[Policy third],"="&amp;$C37,Table1[Delay (thirds)],"="&amp;AE$8))</f>
        <v/>
      </c>
      <c r="AF37" t="str">
        <f>IF($C37+AF$8&gt;Latest_Third,"",SUMIFS(Table1[Non-zero? (1=Yes)],Table1[Policy third],"="&amp;$C37,Table1[Delay (thirds)],"="&amp;AF$8))</f>
        <v/>
      </c>
      <c r="AJ37">
        <f t="shared" si="0"/>
        <v>19</v>
      </c>
    </row>
    <row r="38" spans="1:36" ht="13.15">
      <c r="C38" s="21"/>
    </row>
    <row r="41" spans="1:36" ht="15.75">
      <c r="A41" s="24" t="s">
        <v>3516</v>
      </c>
    </row>
    <row r="42" spans="1:36" ht="15.75">
      <c r="D42" s="24"/>
    </row>
    <row r="43" spans="1:36">
      <c r="H43" t="s">
        <v>3526</v>
      </c>
    </row>
    <row r="44" spans="1:36">
      <c r="A44" s="36" t="s">
        <v>3527</v>
      </c>
      <c r="B44" s="36" t="s">
        <v>3577</v>
      </c>
      <c r="C44" s="36" t="s">
        <v>3535</v>
      </c>
      <c r="D44" s="36">
        <v>0</v>
      </c>
      <c r="E44" s="36">
        <v>1</v>
      </c>
      <c r="F44" s="36">
        <v>2</v>
      </c>
      <c r="G44" s="36">
        <v>3</v>
      </c>
      <c r="H44" s="36">
        <v>4</v>
      </c>
      <c r="I44" s="36">
        <v>5</v>
      </c>
      <c r="J44" s="36">
        <v>6</v>
      </c>
      <c r="K44" s="36">
        <v>7</v>
      </c>
      <c r="L44" s="36">
        <v>8</v>
      </c>
      <c r="M44" s="36">
        <v>9</v>
      </c>
      <c r="N44" s="36">
        <v>10</v>
      </c>
      <c r="O44" s="36">
        <v>11</v>
      </c>
      <c r="P44" s="36">
        <v>12</v>
      </c>
      <c r="Q44" s="36">
        <v>13</v>
      </c>
      <c r="R44" s="36">
        <v>14</v>
      </c>
      <c r="S44" s="36">
        <v>15</v>
      </c>
      <c r="T44" s="36">
        <v>16</v>
      </c>
      <c r="U44" s="36">
        <v>17</v>
      </c>
      <c r="V44" s="36">
        <v>18</v>
      </c>
      <c r="W44" s="36">
        <v>19</v>
      </c>
    </row>
    <row r="45" spans="1:36" ht="13.15">
      <c r="A45">
        <f>A9</f>
        <v>2005</v>
      </c>
      <c r="B45">
        <v>0</v>
      </c>
      <c r="C45" s="21">
        <v>0</v>
      </c>
      <c r="D45">
        <f t="shared" ref="D45:W45" si="2">IF(D$44=0,D9,IF($C45+D$44&gt;Latest_Third,"",D9+C45))</f>
        <v>8</v>
      </c>
      <c r="E45">
        <f t="shared" si="2"/>
        <v>14</v>
      </c>
      <c r="F45">
        <f t="shared" si="2"/>
        <v>18</v>
      </c>
      <c r="G45">
        <f t="shared" si="2"/>
        <v>23</v>
      </c>
      <c r="H45">
        <f t="shared" si="2"/>
        <v>24</v>
      </c>
      <c r="I45">
        <f t="shared" si="2"/>
        <v>25</v>
      </c>
      <c r="J45">
        <f t="shared" si="2"/>
        <v>25</v>
      </c>
      <c r="K45">
        <f t="shared" si="2"/>
        <v>26</v>
      </c>
      <c r="L45">
        <f t="shared" si="2"/>
        <v>27</v>
      </c>
      <c r="M45">
        <f t="shared" si="2"/>
        <v>27</v>
      </c>
      <c r="N45">
        <f t="shared" si="2"/>
        <v>27</v>
      </c>
      <c r="O45">
        <f t="shared" si="2"/>
        <v>27</v>
      </c>
      <c r="P45">
        <f t="shared" si="2"/>
        <v>27</v>
      </c>
      <c r="Q45">
        <f t="shared" si="2"/>
        <v>28</v>
      </c>
      <c r="R45">
        <f t="shared" si="2"/>
        <v>28</v>
      </c>
      <c r="S45">
        <f t="shared" si="2"/>
        <v>28</v>
      </c>
      <c r="T45">
        <f t="shared" si="2"/>
        <v>28</v>
      </c>
      <c r="U45">
        <f t="shared" si="2"/>
        <v>28</v>
      </c>
      <c r="V45">
        <f t="shared" si="2"/>
        <v>28</v>
      </c>
      <c r="W45">
        <f t="shared" si="2"/>
        <v>28</v>
      </c>
    </row>
    <row r="46" spans="1:36" ht="13.15">
      <c r="A46">
        <f t="shared" ref="A46:A73" si="3">A10</f>
        <v>2005</v>
      </c>
      <c r="B46">
        <v>1</v>
      </c>
      <c r="C46" s="21">
        <v>1</v>
      </c>
      <c r="D46">
        <f t="shared" ref="D46:W46" si="4">IF(D$44=0,D10,IF($C46+D$44&gt;Latest_Third,"",D10+C46))</f>
        <v>10</v>
      </c>
      <c r="E46">
        <f t="shared" si="4"/>
        <v>14</v>
      </c>
      <c r="F46">
        <f t="shared" si="4"/>
        <v>17</v>
      </c>
      <c r="G46">
        <f t="shared" si="4"/>
        <v>18</v>
      </c>
      <c r="H46">
        <f t="shared" si="4"/>
        <v>18</v>
      </c>
      <c r="I46">
        <f t="shared" si="4"/>
        <v>19</v>
      </c>
      <c r="J46">
        <f t="shared" si="4"/>
        <v>19</v>
      </c>
      <c r="K46">
        <f t="shared" si="4"/>
        <v>19</v>
      </c>
      <c r="L46">
        <f t="shared" si="4"/>
        <v>19</v>
      </c>
      <c r="M46">
        <f t="shared" si="4"/>
        <v>20</v>
      </c>
      <c r="N46">
        <f t="shared" si="4"/>
        <v>20</v>
      </c>
      <c r="O46">
        <f t="shared" si="4"/>
        <v>20</v>
      </c>
      <c r="P46">
        <f t="shared" si="4"/>
        <v>20</v>
      </c>
      <c r="Q46">
        <f t="shared" si="4"/>
        <v>20</v>
      </c>
      <c r="R46">
        <f t="shared" si="4"/>
        <v>20</v>
      </c>
      <c r="S46">
        <f t="shared" si="4"/>
        <v>20</v>
      </c>
      <c r="T46">
        <f t="shared" si="4"/>
        <v>20</v>
      </c>
      <c r="U46">
        <f t="shared" si="4"/>
        <v>20</v>
      </c>
      <c r="V46">
        <f t="shared" si="4"/>
        <v>20</v>
      </c>
      <c r="W46">
        <f t="shared" si="4"/>
        <v>20</v>
      </c>
    </row>
    <row r="47" spans="1:36" ht="13.15">
      <c r="A47">
        <f t="shared" si="3"/>
        <v>2005</v>
      </c>
      <c r="B47">
        <v>2</v>
      </c>
      <c r="C47" s="21">
        <v>2</v>
      </c>
      <c r="D47">
        <f t="shared" ref="D47:W47" si="5">IF(D$44=0,D11,IF($C47+D$44&gt;Latest_Third,"",D11+C47))</f>
        <v>18</v>
      </c>
      <c r="E47">
        <f t="shared" si="5"/>
        <v>26</v>
      </c>
      <c r="F47">
        <f t="shared" si="5"/>
        <v>30</v>
      </c>
      <c r="G47">
        <f t="shared" si="5"/>
        <v>33</v>
      </c>
      <c r="H47">
        <f t="shared" si="5"/>
        <v>34</v>
      </c>
      <c r="I47">
        <f t="shared" si="5"/>
        <v>35</v>
      </c>
      <c r="J47">
        <f t="shared" si="5"/>
        <v>35</v>
      </c>
      <c r="K47">
        <f t="shared" si="5"/>
        <v>37</v>
      </c>
      <c r="L47">
        <f t="shared" si="5"/>
        <v>37</v>
      </c>
      <c r="M47">
        <f t="shared" si="5"/>
        <v>37</v>
      </c>
      <c r="N47">
        <f t="shared" si="5"/>
        <v>38</v>
      </c>
      <c r="O47">
        <f t="shared" si="5"/>
        <v>38</v>
      </c>
      <c r="P47">
        <f t="shared" si="5"/>
        <v>38</v>
      </c>
      <c r="Q47">
        <f t="shared" si="5"/>
        <v>38</v>
      </c>
      <c r="R47">
        <f t="shared" si="5"/>
        <v>38</v>
      </c>
      <c r="S47">
        <f t="shared" si="5"/>
        <v>38</v>
      </c>
      <c r="T47">
        <f t="shared" si="5"/>
        <v>38</v>
      </c>
      <c r="U47">
        <f t="shared" si="5"/>
        <v>38</v>
      </c>
      <c r="V47">
        <f t="shared" si="5"/>
        <v>38</v>
      </c>
      <c r="W47">
        <f t="shared" si="5"/>
        <v>38</v>
      </c>
    </row>
    <row r="48" spans="1:36" ht="13.15">
      <c r="A48">
        <f t="shared" si="3"/>
        <v>2006</v>
      </c>
      <c r="B48">
        <v>0</v>
      </c>
      <c r="C48" s="21">
        <v>3</v>
      </c>
      <c r="D48">
        <f t="shared" ref="D48:W48" si="6">IF(D$44=0,D12,IF($C48+D$44&gt;Latest_Third,"",D12+C48))</f>
        <v>4</v>
      </c>
      <c r="E48">
        <f t="shared" si="6"/>
        <v>8</v>
      </c>
      <c r="F48">
        <f t="shared" si="6"/>
        <v>11</v>
      </c>
      <c r="G48">
        <f t="shared" si="6"/>
        <v>13</v>
      </c>
      <c r="H48">
        <f t="shared" si="6"/>
        <v>13</v>
      </c>
      <c r="I48">
        <f t="shared" si="6"/>
        <v>14</v>
      </c>
      <c r="J48">
        <f t="shared" si="6"/>
        <v>15</v>
      </c>
      <c r="K48">
        <f t="shared" si="6"/>
        <v>15</v>
      </c>
      <c r="L48">
        <f t="shared" si="6"/>
        <v>16</v>
      </c>
      <c r="M48">
        <f t="shared" si="6"/>
        <v>16</v>
      </c>
      <c r="N48">
        <f t="shared" si="6"/>
        <v>17</v>
      </c>
      <c r="O48">
        <f t="shared" si="6"/>
        <v>17</v>
      </c>
      <c r="P48">
        <f t="shared" si="6"/>
        <v>17</v>
      </c>
      <c r="Q48">
        <f t="shared" si="6"/>
        <v>17</v>
      </c>
      <c r="R48">
        <f t="shared" si="6"/>
        <v>17</v>
      </c>
      <c r="S48">
        <f t="shared" si="6"/>
        <v>17</v>
      </c>
      <c r="T48">
        <f t="shared" si="6"/>
        <v>17</v>
      </c>
      <c r="U48">
        <f t="shared" si="6"/>
        <v>17</v>
      </c>
      <c r="V48">
        <f t="shared" si="6"/>
        <v>17</v>
      </c>
      <c r="W48">
        <f t="shared" si="6"/>
        <v>17</v>
      </c>
    </row>
    <row r="49" spans="1:23" ht="13.15">
      <c r="A49">
        <f t="shared" si="3"/>
        <v>2006</v>
      </c>
      <c r="B49">
        <v>1</v>
      </c>
      <c r="C49" s="21">
        <v>4</v>
      </c>
      <c r="D49">
        <f t="shared" ref="D49:W49" si="7">IF(D$44=0,D13,IF($C49+D$44&gt;Latest_Third,"",D13+C49))</f>
        <v>13</v>
      </c>
      <c r="E49">
        <f t="shared" si="7"/>
        <v>21</v>
      </c>
      <c r="F49">
        <f t="shared" si="7"/>
        <v>23</v>
      </c>
      <c r="G49">
        <f t="shared" si="7"/>
        <v>26</v>
      </c>
      <c r="H49">
        <f t="shared" si="7"/>
        <v>27</v>
      </c>
      <c r="I49">
        <f t="shared" si="7"/>
        <v>28</v>
      </c>
      <c r="J49">
        <f t="shared" si="7"/>
        <v>30</v>
      </c>
      <c r="K49">
        <f t="shared" si="7"/>
        <v>30</v>
      </c>
      <c r="L49">
        <f t="shared" si="7"/>
        <v>30</v>
      </c>
      <c r="M49">
        <f t="shared" si="7"/>
        <v>33</v>
      </c>
      <c r="N49">
        <f t="shared" si="7"/>
        <v>34</v>
      </c>
      <c r="O49">
        <f t="shared" si="7"/>
        <v>35</v>
      </c>
      <c r="P49">
        <f t="shared" si="7"/>
        <v>35</v>
      </c>
      <c r="Q49">
        <f t="shared" si="7"/>
        <v>35</v>
      </c>
      <c r="R49">
        <f t="shared" si="7"/>
        <v>35</v>
      </c>
      <c r="S49">
        <f t="shared" si="7"/>
        <v>35</v>
      </c>
      <c r="T49">
        <f t="shared" si="7"/>
        <v>35</v>
      </c>
      <c r="U49">
        <f t="shared" si="7"/>
        <v>35</v>
      </c>
      <c r="V49">
        <f t="shared" si="7"/>
        <v>35</v>
      </c>
      <c r="W49">
        <f t="shared" si="7"/>
        <v>35</v>
      </c>
    </row>
    <row r="50" spans="1:23" ht="13.15">
      <c r="A50">
        <f t="shared" si="3"/>
        <v>2006</v>
      </c>
      <c r="B50">
        <v>2</v>
      </c>
      <c r="C50" s="21">
        <v>5</v>
      </c>
      <c r="D50">
        <f t="shared" ref="D50:W50" si="8">IF(D$44=0,D14,IF($C50+D$44&gt;Latest_Third,"",D14+C50))</f>
        <v>9</v>
      </c>
      <c r="E50">
        <f t="shared" si="8"/>
        <v>19</v>
      </c>
      <c r="F50">
        <f t="shared" si="8"/>
        <v>27</v>
      </c>
      <c r="G50">
        <f t="shared" si="8"/>
        <v>28</v>
      </c>
      <c r="H50">
        <f t="shared" si="8"/>
        <v>32</v>
      </c>
      <c r="I50">
        <f t="shared" si="8"/>
        <v>35</v>
      </c>
      <c r="J50">
        <f t="shared" si="8"/>
        <v>36</v>
      </c>
      <c r="K50">
        <f t="shared" si="8"/>
        <v>36</v>
      </c>
      <c r="L50">
        <f t="shared" si="8"/>
        <v>36</v>
      </c>
      <c r="M50">
        <f t="shared" si="8"/>
        <v>37</v>
      </c>
      <c r="N50">
        <f t="shared" si="8"/>
        <v>40</v>
      </c>
      <c r="O50">
        <f t="shared" si="8"/>
        <v>40</v>
      </c>
      <c r="P50">
        <f t="shared" si="8"/>
        <v>40</v>
      </c>
      <c r="Q50">
        <f t="shared" si="8"/>
        <v>40</v>
      </c>
      <c r="R50">
        <f t="shared" si="8"/>
        <v>40</v>
      </c>
      <c r="S50">
        <f t="shared" si="8"/>
        <v>40</v>
      </c>
      <c r="T50">
        <f t="shared" si="8"/>
        <v>40</v>
      </c>
      <c r="U50">
        <f t="shared" si="8"/>
        <v>40</v>
      </c>
      <c r="V50">
        <f t="shared" si="8"/>
        <v>40</v>
      </c>
      <c r="W50">
        <f t="shared" si="8"/>
        <v>40</v>
      </c>
    </row>
    <row r="51" spans="1:23" ht="13.15">
      <c r="A51">
        <f t="shared" si="3"/>
        <v>2007</v>
      </c>
      <c r="B51">
        <v>0</v>
      </c>
      <c r="C51" s="21">
        <v>6</v>
      </c>
      <c r="D51">
        <f t="shared" ref="D51:W51" si="9">IF(D$44=0,D15,IF($C51+D$44&gt;Latest_Third,"",D15+C51))</f>
        <v>20</v>
      </c>
      <c r="E51">
        <f t="shared" si="9"/>
        <v>27</v>
      </c>
      <c r="F51">
        <f t="shared" si="9"/>
        <v>32</v>
      </c>
      <c r="G51">
        <f t="shared" si="9"/>
        <v>35</v>
      </c>
      <c r="H51">
        <f t="shared" si="9"/>
        <v>39</v>
      </c>
      <c r="I51">
        <f t="shared" si="9"/>
        <v>40</v>
      </c>
      <c r="J51">
        <f t="shared" si="9"/>
        <v>43</v>
      </c>
      <c r="K51">
        <f t="shared" si="9"/>
        <v>44</v>
      </c>
      <c r="L51">
        <f t="shared" si="9"/>
        <v>45</v>
      </c>
      <c r="M51">
        <f t="shared" si="9"/>
        <v>45</v>
      </c>
      <c r="N51">
        <f t="shared" si="9"/>
        <v>46</v>
      </c>
      <c r="O51">
        <f t="shared" si="9"/>
        <v>46</v>
      </c>
      <c r="P51">
        <f t="shared" si="9"/>
        <v>46</v>
      </c>
      <c r="Q51">
        <f t="shared" si="9"/>
        <v>46</v>
      </c>
      <c r="R51">
        <f t="shared" si="9"/>
        <v>46</v>
      </c>
      <c r="S51">
        <f t="shared" si="9"/>
        <v>46</v>
      </c>
      <c r="T51">
        <f t="shared" si="9"/>
        <v>46</v>
      </c>
      <c r="U51">
        <f t="shared" si="9"/>
        <v>46</v>
      </c>
      <c r="V51">
        <f t="shared" si="9"/>
        <v>46</v>
      </c>
      <c r="W51">
        <f t="shared" si="9"/>
        <v>46</v>
      </c>
    </row>
    <row r="52" spans="1:23" ht="13.15">
      <c r="A52">
        <f t="shared" si="3"/>
        <v>2007</v>
      </c>
      <c r="B52">
        <v>1</v>
      </c>
      <c r="C52" s="21">
        <v>7</v>
      </c>
      <c r="D52">
        <f t="shared" ref="D52:W52" si="10">IF(D$44=0,D16,IF($C52+D$44&gt;Latest_Third,"",D16+C52))</f>
        <v>18</v>
      </c>
      <c r="E52">
        <f t="shared" si="10"/>
        <v>26</v>
      </c>
      <c r="F52">
        <f t="shared" si="10"/>
        <v>31</v>
      </c>
      <c r="G52">
        <f t="shared" si="10"/>
        <v>33</v>
      </c>
      <c r="H52">
        <f t="shared" si="10"/>
        <v>36</v>
      </c>
      <c r="I52">
        <f t="shared" si="10"/>
        <v>36</v>
      </c>
      <c r="J52">
        <f t="shared" si="10"/>
        <v>39</v>
      </c>
      <c r="K52">
        <f t="shared" si="10"/>
        <v>39</v>
      </c>
      <c r="L52">
        <f t="shared" si="10"/>
        <v>39</v>
      </c>
      <c r="M52">
        <f t="shared" si="10"/>
        <v>39</v>
      </c>
      <c r="N52">
        <f t="shared" si="10"/>
        <v>39</v>
      </c>
      <c r="O52">
        <f t="shared" si="10"/>
        <v>39</v>
      </c>
      <c r="P52">
        <f t="shared" si="10"/>
        <v>39</v>
      </c>
      <c r="Q52">
        <f t="shared" si="10"/>
        <v>39</v>
      </c>
      <c r="R52">
        <f t="shared" si="10"/>
        <v>39</v>
      </c>
      <c r="S52">
        <f t="shared" si="10"/>
        <v>39</v>
      </c>
      <c r="T52">
        <f t="shared" si="10"/>
        <v>39</v>
      </c>
      <c r="U52">
        <f t="shared" si="10"/>
        <v>39</v>
      </c>
      <c r="V52">
        <f t="shared" si="10"/>
        <v>39</v>
      </c>
      <c r="W52">
        <f t="shared" si="10"/>
        <v>39</v>
      </c>
    </row>
    <row r="53" spans="1:23" ht="13.15">
      <c r="A53">
        <f t="shared" si="3"/>
        <v>2007</v>
      </c>
      <c r="B53">
        <v>2</v>
      </c>
      <c r="C53" s="21">
        <v>8</v>
      </c>
      <c r="D53">
        <f t="shared" ref="D53:W53" si="11">IF(D$44=0,D17,IF($C53+D$44&gt;Latest_Third,"",D17+C53))</f>
        <v>7</v>
      </c>
      <c r="E53">
        <f t="shared" si="11"/>
        <v>15</v>
      </c>
      <c r="F53">
        <f t="shared" si="11"/>
        <v>19</v>
      </c>
      <c r="G53">
        <f t="shared" si="11"/>
        <v>22</v>
      </c>
      <c r="H53">
        <f t="shared" si="11"/>
        <v>24</v>
      </c>
      <c r="I53">
        <f t="shared" si="11"/>
        <v>24</v>
      </c>
      <c r="J53">
        <f t="shared" si="11"/>
        <v>24</v>
      </c>
      <c r="K53">
        <f t="shared" si="11"/>
        <v>24</v>
      </c>
      <c r="L53">
        <f t="shared" si="11"/>
        <v>24</v>
      </c>
      <c r="M53">
        <f t="shared" si="11"/>
        <v>25</v>
      </c>
      <c r="N53">
        <f t="shared" si="11"/>
        <v>25</v>
      </c>
      <c r="O53">
        <f t="shared" si="11"/>
        <v>25</v>
      </c>
      <c r="P53">
        <f t="shared" si="11"/>
        <v>25</v>
      </c>
      <c r="Q53">
        <f t="shared" si="11"/>
        <v>25</v>
      </c>
      <c r="R53">
        <f t="shared" si="11"/>
        <v>25</v>
      </c>
      <c r="S53">
        <f t="shared" si="11"/>
        <v>25</v>
      </c>
      <c r="T53">
        <f t="shared" si="11"/>
        <v>25</v>
      </c>
      <c r="U53">
        <f t="shared" si="11"/>
        <v>25</v>
      </c>
      <c r="V53">
        <f t="shared" si="11"/>
        <v>25</v>
      </c>
      <c r="W53">
        <f t="shared" si="11"/>
        <v>25</v>
      </c>
    </row>
    <row r="54" spans="1:23" ht="13.15">
      <c r="A54">
        <f t="shared" si="3"/>
        <v>2008</v>
      </c>
      <c r="B54">
        <v>0</v>
      </c>
      <c r="C54" s="21">
        <v>9</v>
      </c>
      <c r="D54">
        <f t="shared" ref="D54:W54" si="12">IF(D$44=0,D18,IF($C54+D$44&gt;Latest_Third,"",D18+C54))</f>
        <v>13</v>
      </c>
      <c r="E54">
        <f t="shared" si="12"/>
        <v>24</v>
      </c>
      <c r="F54">
        <f t="shared" si="12"/>
        <v>29</v>
      </c>
      <c r="G54">
        <f t="shared" si="12"/>
        <v>34</v>
      </c>
      <c r="H54">
        <f t="shared" si="12"/>
        <v>35</v>
      </c>
      <c r="I54">
        <f t="shared" si="12"/>
        <v>37</v>
      </c>
      <c r="J54">
        <f t="shared" si="12"/>
        <v>37</v>
      </c>
      <c r="K54">
        <f t="shared" si="12"/>
        <v>37</v>
      </c>
      <c r="L54">
        <f t="shared" si="12"/>
        <v>37</v>
      </c>
      <c r="M54">
        <f t="shared" si="12"/>
        <v>39</v>
      </c>
      <c r="N54">
        <f t="shared" si="12"/>
        <v>39</v>
      </c>
      <c r="O54">
        <f t="shared" si="12"/>
        <v>39</v>
      </c>
      <c r="P54">
        <f t="shared" si="12"/>
        <v>39</v>
      </c>
      <c r="Q54">
        <f t="shared" si="12"/>
        <v>39</v>
      </c>
      <c r="R54">
        <f t="shared" si="12"/>
        <v>39</v>
      </c>
      <c r="S54">
        <f t="shared" si="12"/>
        <v>39</v>
      </c>
      <c r="T54">
        <f t="shared" si="12"/>
        <v>39</v>
      </c>
      <c r="U54">
        <f t="shared" si="12"/>
        <v>39</v>
      </c>
      <c r="V54">
        <f t="shared" si="12"/>
        <v>39</v>
      </c>
      <c r="W54">
        <f t="shared" si="12"/>
        <v>40</v>
      </c>
    </row>
    <row r="55" spans="1:23" ht="13.15">
      <c r="A55">
        <f t="shared" si="3"/>
        <v>2008</v>
      </c>
      <c r="B55">
        <v>1</v>
      </c>
      <c r="C55" s="21">
        <v>10</v>
      </c>
      <c r="D55">
        <f t="shared" ref="D55:W55" si="13">IF(D$44=0,D19,IF($C55+D$44&gt;Latest_Third,"",D19+C55))</f>
        <v>29</v>
      </c>
      <c r="E55">
        <f t="shared" si="13"/>
        <v>37</v>
      </c>
      <c r="F55">
        <f t="shared" si="13"/>
        <v>50</v>
      </c>
      <c r="G55">
        <f t="shared" si="13"/>
        <v>54</v>
      </c>
      <c r="H55">
        <f t="shared" si="13"/>
        <v>57</v>
      </c>
      <c r="I55">
        <f t="shared" si="13"/>
        <v>60</v>
      </c>
      <c r="J55">
        <f t="shared" si="13"/>
        <v>60</v>
      </c>
      <c r="K55">
        <f t="shared" si="13"/>
        <v>60</v>
      </c>
      <c r="L55">
        <f t="shared" si="13"/>
        <v>60</v>
      </c>
      <c r="M55">
        <f t="shared" si="13"/>
        <v>61</v>
      </c>
      <c r="N55">
        <f t="shared" si="13"/>
        <v>63</v>
      </c>
      <c r="O55">
        <f t="shared" si="13"/>
        <v>64</v>
      </c>
      <c r="P55">
        <f t="shared" si="13"/>
        <v>64</v>
      </c>
      <c r="Q55">
        <f t="shared" si="13"/>
        <v>64</v>
      </c>
      <c r="R55">
        <f t="shared" si="13"/>
        <v>64</v>
      </c>
      <c r="S55">
        <f t="shared" si="13"/>
        <v>64</v>
      </c>
      <c r="T55">
        <f t="shared" si="13"/>
        <v>64</v>
      </c>
      <c r="U55">
        <f t="shared" si="13"/>
        <v>64</v>
      </c>
      <c r="V55">
        <f t="shared" si="13"/>
        <v>64</v>
      </c>
      <c r="W55" t="str">
        <f t="shared" si="13"/>
        <v/>
      </c>
    </row>
    <row r="56" spans="1:23" ht="13.15">
      <c r="A56">
        <f t="shared" si="3"/>
        <v>2008</v>
      </c>
      <c r="B56">
        <v>2</v>
      </c>
      <c r="C56" s="21">
        <v>11</v>
      </c>
      <c r="D56">
        <f t="shared" ref="D56:W56" si="14">IF(D$44=0,D20,IF($C56+D$44&gt;Latest_Third,"",D20+C56))</f>
        <v>17</v>
      </c>
      <c r="E56">
        <f t="shared" si="14"/>
        <v>25</v>
      </c>
      <c r="F56">
        <f t="shared" si="14"/>
        <v>32</v>
      </c>
      <c r="G56">
        <f t="shared" si="14"/>
        <v>36</v>
      </c>
      <c r="H56">
        <f t="shared" si="14"/>
        <v>40</v>
      </c>
      <c r="I56">
        <f t="shared" si="14"/>
        <v>40</v>
      </c>
      <c r="J56">
        <f t="shared" si="14"/>
        <v>41</v>
      </c>
      <c r="K56">
        <f t="shared" si="14"/>
        <v>42</v>
      </c>
      <c r="L56">
        <f t="shared" si="14"/>
        <v>42</v>
      </c>
      <c r="M56">
        <f t="shared" si="14"/>
        <v>42</v>
      </c>
      <c r="N56">
        <f t="shared" si="14"/>
        <v>42</v>
      </c>
      <c r="O56">
        <f t="shared" si="14"/>
        <v>42</v>
      </c>
      <c r="P56">
        <f t="shared" si="14"/>
        <v>42</v>
      </c>
      <c r="Q56">
        <f t="shared" si="14"/>
        <v>42</v>
      </c>
      <c r="R56">
        <f t="shared" si="14"/>
        <v>42</v>
      </c>
      <c r="S56">
        <f t="shared" si="14"/>
        <v>42</v>
      </c>
      <c r="T56">
        <f t="shared" si="14"/>
        <v>42</v>
      </c>
      <c r="U56">
        <f t="shared" si="14"/>
        <v>42</v>
      </c>
      <c r="V56" t="str">
        <f t="shared" si="14"/>
        <v/>
      </c>
      <c r="W56" t="str">
        <f t="shared" si="14"/>
        <v/>
      </c>
    </row>
    <row r="57" spans="1:23" ht="13.15">
      <c r="A57">
        <f t="shared" si="3"/>
        <v>2009</v>
      </c>
      <c r="B57">
        <v>0</v>
      </c>
      <c r="C57" s="21">
        <v>12</v>
      </c>
      <c r="D57">
        <f t="shared" ref="D57:W57" si="15">IF(D$44=0,D21,IF($C57+D$44&gt;Latest_Third,"",D21+C57))</f>
        <v>29</v>
      </c>
      <c r="E57">
        <f t="shared" si="15"/>
        <v>40</v>
      </c>
      <c r="F57">
        <f t="shared" si="15"/>
        <v>45</v>
      </c>
      <c r="G57">
        <f t="shared" si="15"/>
        <v>49</v>
      </c>
      <c r="H57">
        <f t="shared" si="15"/>
        <v>51</v>
      </c>
      <c r="I57">
        <f t="shared" si="15"/>
        <v>54</v>
      </c>
      <c r="J57">
        <f t="shared" si="15"/>
        <v>54</v>
      </c>
      <c r="K57">
        <f t="shared" si="15"/>
        <v>54</v>
      </c>
      <c r="L57">
        <f t="shared" si="15"/>
        <v>54</v>
      </c>
      <c r="M57">
        <f t="shared" si="15"/>
        <v>54</v>
      </c>
      <c r="N57">
        <f t="shared" si="15"/>
        <v>55</v>
      </c>
      <c r="O57">
        <f t="shared" si="15"/>
        <v>55</v>
      </c>
      <c r="P57">
        <f t="shared" si="15"/>
        <v>55</v>
      </c>
      <c r="Q57">
        <f t="shared" si="15"/>
        <v>55</v>
      </c>
      <c r="R57">
        <f t="shared" si="15"/>
        <v>55</v>
      </c>
      <c r="S57">
        <f t="shared" si="15"/>
        <v>55</v>
      </c>
      <c r="T57">
        <f t="shared" si="15"/>
        <v>55</v>
      </c>
      <c r="U57" t="str">
        <f t="shared" si="15"/>
        <v/>
      </c>
      <c r="V57" t="str">
        <f t="shared" si="15"/>
        <v/>
      </c>
      <c r="W57" t="str">
        <f t="shared" si="15"/>
        <v/>
      </c>
    </row>
    <row r="58" spans="1:23" ht="13.15">
      <c r="A58">
        <f t="shared" si="3"/>
        <v>2009</v>
      </c>
      <c r="B58">
        <v>1</v>
      </c>
      <c r="C58" s="21">
        <v>13</v>
      </c>
      <c r="D58">
        <f t="shared" ref="D58:W58" si="16">IF(D$44=0,D22,IF($C58+D$44&gt;Latest_Third,"",D22+C58))</f>
        <v>33</v>
      </c>
      <c r="E58">
        <f t="shared" si="16"/>
        <v>49</v>
      </c>
      <c r="F58">
        <f t="shared" si="16"/>
        <v>54</v>
      </c>
      <c r="G58">
        <f t="shared" si="16"/>
        <v>61</v>
      </c>
      <c r="H58">
        <f t="shared" si="16"/>
        <v>63</v>
      </c>
      <c r="I58">
        <f t="shared" si="16"/>
        <v>69</v>
      </c>
      <c r="J58">
        <f t="shared" si="16"/>
        <v>70</v>
      </c>
      <c r="K58">
        <f t="shared" si="16"/>
        <v>71</v>
      </c>
      <c r="L58">
        <f t="shared" si="16"/>
        <v>71</v>
      </c>
      <c r="M58">
        <f t="shared" si="16"/>
        <v>73</v>
      </c>
      <c r="N58">
        <f t="shared" si="16"/>
        <v>76</v>
      </c>
      <c r="O58">
        <f t="shared" si="16"/>
        <v>77</v>
      </c>
      <c r="P58">
        <f t="shared" si="16"/>
        <v>77</v>
      </c>
      <c r="Q58">
        <f t="shared" si="16"/>
        <v>77</v>
      </c>
      <c r="R58">
        <f t="shared" si="16"/>
        <v>77</v>
      </c>
      <c r="S58">
        <f t="shared" si="16"/>
        <v>77</v>
      </c>
      <c r="T58" t="str">
        <f t="shared" si="16"/>
        <v/>
      </c>
      <c r="U58" t="str">
        <f t="shared" si="16"/>
        <v/>
      </c>
      <c r="V58" t="str">
        <f t="shared" si="16"/>
        <v/>
      </c>
      <c r="W58" t="str">
        <f t="shared" si="16"/>
        <v/>
      </c>
    </row>
    <row r="59" spans="1:23" ht="13.15">
      <c r="A59">
        <f t="shared" si="3"/>
        <v>2009</v>
      </c>
      <c r="B59">
        <v>2</v>
      </c>
      <c r="C59" s="21">
        <v>14</v>
      </c>
      <c r="D59">
        <f t="shared" ref="D59:W59" si="17">IF(D$44=0,D23,IF($C59+D$44&gt;Latest_Third,"",D23+C59))</f>
        <v>26</v>
      </c>
      <c r="E59">
        <f t="shared" si="17"/>
        <v>37</v>
      </c>
      <c r="F59">
        <f t="shared" si="17"/>
        <v>46</v>
      </c>
      <c r="G59">
        <f t="shared" si="17"/>
        <v>48</v>
      </c>
      <c r="H59">
        <f t="shared" si="17"/>
        <v>51</v>
      </c>
      <c r="I59">
        <f t="shared" si="17"/>
        <v>51</v>
      </c>
      <c r="J59">
        <f t="shared" si="17"/>
        <v>56</v>
      </c>
      <c r="K59">
        <f t="shared" si="17"/>
        <v>57</v>
      </c>
      <c r="L59">
        <f t="shared" si="17"/>
        <v>58</v>
      </c>
      <c r="M59">
        <f t="shared" si="17"/>
        <v>59</v>
      </c>
      <c r="N59">
        <f t="shared" si="17"/>
        <v>60</v>
      </c>
      <c r="O59">
        <f t="shared" si="17"/>
        <v>60</v>
      </c>
      <c r="P59">
        <f t="shared" si="17"/>
        <v>60</v>
      </c>
      <c r="Q59">
        <f t="shared" si="17"/>
        <v>61</v>
      </c>
      <c r="R59">
        <f t="shared" si="17"/>
        <v>62</v>
      </c>
      <c r="S59" t="str">
        <f t="shared" si="17"/>
        <v/>
      </c>
      <c r="T59" t="str">
        <f t="shared" si="17"/>
        <v/>
      </c>
      <c r="U59" t="str">
        <f t="shared" si="17"/>
        <v/>
      </c>
      <c r="V59" t="str">
        <f t="shared" si="17"/>
        <v/>
      </c>
      <c r="W59" t="str">
        <f t="shared" si="17"/>
        <v/>
      </c>
    </row>
    <row r="60" spans="1:23" ht="13.15">
      <c r="A60">
        <f t="shared" si="3"/>
        <v>2010</v>
      </c>
      <c r="B60">
        <v>0</v>
      </c>
      <c r="C60" s="21">
        <v>15</v>
      </c>
      <c r="D60">
        <f t="shared" ref="D60:W60" si="18">IF(D$44=0,D24,IF($C60+D$44&gt;Latest_Third,"",D24+C60))</f>
        <v>26</v>
      </c>
      <c r="E60">
        <f t="shared" si="18"/>
        <v>39</v>
      </c>
      <c r="F60">
        <f t="shared" si="18"/>
        <v>48</v>
      </c>
      <c r="G60">
        <f t="shared" si="18"/>
        <v>53</v>
      </c>
      <c r="H60">
        <f t="shared" si="18"/>
        <v>60</v>
      </c>
      <c r="I60">
        <f t="shared" si="18"/>
        <v>63</v>
      </c>
      <c r="J60">
        <f t="shared" si="18"/>
        <v>64</v>
      </c>
      <c r="K60">
        <f t="shared" si="18"/>
        <v>64</v>
      </c>
      <c r="L60">
        <f t="shared" si="18"/>
        <v>66</v>
      </c>
      <c r="M60">
        <f t="shared" si="18"/>
        <v>66</v>
      </c>
      <c r="N60">
        <f t="shared" si="18"/>
        <v>66</v>
      </c>
      <c r="O60">
        <f t="shared" si="18"/>
        <v>66</v>
      </c>
      <c r="P60">
        <f t="shared" si="18"/>
        <v>66</v>
      </c>
      <c r="Q60">
        <f t="shared" si="18"/>
        <v>66</v>
      </c>
      <c r="R60" t="str">
        <f t="shared" si="18"/>
        <v/>
      </c>
      <c r="S60" t="str">
        <f t="shared" si="18"/>
        <v/>
      </c>
      <c r="T60" t="str">
        <f t="shared" si="18"/>
        <v/>
      </c>
      <c r="U60" t="str">
        <f t="shared" si="18"/>
        <v/>
      </c>
      <c r="V60" t="str">
        <f t="shared" si="18"/>
        <v/>
      </c>
      <c r="W60" t="str">
        <f t="shared" si="18"/>
        <v/>
      </c>
    </row>
    <row r="61" spans="1:23" ht="13.15">
      <c r="A61">
        <f t="shared" si="3"/>
        <v>2010</v>
      </c>
      <c r="B61">
        <v>1</v>
      </c>
      <c r="C61" s="21">
        <v>16</v>
      </c>
      <c r="D61">
        <f t="shared" ref="D61:W61" si="19">IF(D$44=0,D25,IF($C61+D$44&gt;Latest_Third,"",D25+C61))</f>
        <v>34</v>
      </c>
      <c r="E61">
        <f t="shared" si="19"/>
        <v>58</v>
      </c>
      <c r="F61">
        <f t="shared" si="19"/>
        <v>66</v>
      </c>
      <c r="G61">
        <f t="shared" si="19"/>
        <v>73</v>
      </c>
      <c r="H61">
        <f t="shared" si="19"/>
        <v>78</v>
      </c>
      <c r="I61">
        <f t="shared" si="19"/>
        <v>79</v>
      </c>
      <c r="J61">
        <f t="shared" si="19"/>
        <v>81</v>
      </c>
      <c r="K61">
        <f t="shared" si="19"/>
        <v>82</v>
      </c>
      <c r="L61">
        <f t="shared" si="19"/>
        <v>83</v>
      </c>
      <c r="M61">
        <f t="shared" si="19"/>
        <v>84</v>
      </c>
      <c r="N61">
        <f t="shared" si="19"/>
        <v>84</v>
      </c>
      <c r="O61">
        <f t="shared" si="19"/>
        <v>85</v>
      </c>
      <c r="P61">
        <f t="shared" si="19"/>
        <v>86</v>
      </c>
      <c r="Q61" t="str">
        <f t="shared" si="19"/>
        <v/>
      </c>
      <c r="R61" t="str">
        <f t="shared" si="19"/>
        <v/>
      </c>
      <c r="S61" t="str">
        <f t="shared" si="19"/>
        <v/>
      </c>
      <c r="T61" t="str">
        <f t="shared" si="19"/>
        <v/>
      </c>
      <c r="U61" t="str">
        <f t="shared" si="19"/>
        <v/>
      </c>
      <c r="V61" t="str">
        <f t="shared" si="19"/>
        <v/>
      </c>
      <c r="W61" t="str">
        <f t="shared" si="19"/>
        <v/>
      </c>
    </row>
    <row r="62" spans="1:23" ht="13.15">
      <c r="A62">
        <f t="shared" si="3"/>
        <v>2010</v>
      </c>
      <c r="B62">
        <v>2</v>
      </c>
      <c r="C62" s="21">
        <v>17</v>
      </c>
      <c r="D62">
        <f t="shared" ref="D62:W62" si="20">IF(D$44=0,D26,IF($C62+D$44&gt;Latest_Third,"",D26+C62))</f>
        <v>43</v>
      </c>
      <c r="E62">
        <f t="shared" si="20"/>
        <v>70</v>
      </c>
      <c r="F62">
        <f t="shared" si="20"/>
        <v>79</v>
      </c>
      <c r="G62">
        <f t="shared" si="20"/>
        <v>85</v>
      </c>
      <c r="H62">
        <f t="shared" si="20"/>
        <v>92</v>
      </c>
      <c r="I62">
        <f t="shared" si="20"/>
        <v>96</v>
      </c>
      <c r="J62">
        <f t="shared" si="20"/>
        <v>98</v>
      </c>
      <c r="K62">
        <f t="shared" si="20"/>
        <v>99</v>
      </c>
      <c r="L62">
        <f t="shared" si="20"/>
        <v>99</v>
      </c>
      <c r="M62">
        <f t="shared" si="20"/>
        <v>103</v>
      </c>
      <c r="N62">
        <f t="shared" si="20"/>
        <v>104</v>
      </c>
      <c r="O62">
        <f t="shared" si="20"/>
        <v>104</v>
      </c>
      <c r="P62" t="str">
        <f t="shared" si="20"/>
        <v/>
      </c>
      <c r="Q62" t="str">
        <f t="shared" si="20"/>
        <v/>
      </c>
      <c r="R62" t="str">
        <f t="shared" si="20"/>
        <v/>
      </c>
      <c r="S62" t="str">
        <f t="shared" si="20"/>
        <v/>
      </c>
      <c r="T62" t="str">
        <f t="shared" si="20"/>
        <v/>
      </c>
      <c r="U62" t="str">
        <f t="shared" si="20"/>
        <v/>
      </c>
      <c r="V62" t="str">
        <f t="shared" si="20"/>
        <v/>
      </c>
      <c r="W62" t="str">
        <f t="shared" si="20"/>
        <v/>
      </c>
    </row>
    <row r="63" spans="1:23" ht="13.15">
      <c r="A63">
        <f t="shared" si="3"/>
        <v>2011</v>
      </c>
      <c r="B63">
        <v>0</v>
      </c>
      <c r="C63" s="21">
        <v>18</v>
      </c>
      <c r="D63">
        <f t="shared" ref="D63:W63" si="21">IF(D$44=0,D27,IF($C63+D$44&gt;Latest_Third,"",D27+C63))</f>
        <v>36</v>
      </c>
      <c r="E63">
        <f t="shared" si="21"/>
        <v>53</v>
      </c>
      <c r="F63">
        <f t="shared" si="21"/>
        <v>69</v>
      </c>
      <c r="G63">
        <f t="shared" si="21"/>
        <v>75</v>
      </c>
      <c r="H63">
        <f t="shared" si="21"/>
        <v>79</v>
      </c>
      <c r="I63">
        <f t="shared" si="21"/>
        <v>81</v>
      </c>
      <c r="J63">
        <f t="shared" si="21"/>
        <v>82</v>
      </c>
      <c r="K63">
        <f t="shared" si="21"/>
        <v>82</v>
      </c>
      <c r="L63">
        <f t="shared" si="21"/>
        <v>84</v>
      </c>
      <c r="M63">
        <f t="shared" si="21"/>
        <v>86</v>
      </c>
      <c r="N63">
        <f t="shared" si="21"/>
        <v>87</v>
      </c>
      <c r="O63" t="str">
        <f t="shared" si="21"/>
        <v/>
      </c>
      <c r="P63" t="str">
        <f t="shared" si="21"/>
        <v/>
      </c>
      <c r="Q63" t="str">
        <f t="shared" si="21"/>
        <v/>
      </c>
      <c r="R63" t="str">
        <f t="shared" si="21"/>
        <v/>
      </c>
      <c r="S63" t="str">
        <f t="shared" si="21"/>
        <v/>
      </c>
      <c r="T63" t="str">
        <f t="shared" si="21"/>
        <v/>
      </c>
      <c r="U63" t="str">
        <f t="shared" si="21"/>
        <v/>
      </c>
      <c r="V63" t="str">
        <f t="shared" si="21"/>
        <v/>
      </c>
      <c r="W63" t="str">
        <f t="shared" si="21"/>
        <v/>
      </c>
    </row>
    <row r="64" spans="1:23" ht="13.15">
      <c r="A64">
        <f t="shared" si="3"/>
        <v>2011</v>
      </c>
      <c r="B64">
        <v>1</v>
      </c>
      <c r="C64" s="21">
        <v>19</v>
      </c>
      <c r="D64">
        <f t="shared" ref="D64:W64" si="22">IF(D$44=0,D28,IF($C64+D$44&gt;Latest_Third,"",D28+C64))</f>
        <v>37</v>
      </c>
      <c r="E64">
        <f t="shared" si="22"/>
        <v>57</v>
      </c>
      <c r="F64">
        <f t="shared" si="22"/>
        <v>64</v>
      </c>
      <c r="G64">
        <f t="shared" si="22"/>
        <v>69</v>
      </c>
      <c r="H64">
        <f t="shared" si="22"/>
        <v>72</v>
      </c>
      <c r="I64">
        <f t="shared" si="22"/>
        <v>74</v>
      </c>
      <c r="J64">
        <f t="shared" si="22"/>
        <v>76</v>
      </c>
      <c r="K64">
        <f t="shared" si="22"/>
        <v>76</v>
      </c>
      <c r="L64">
        <f t="shared" si="22"/>
        <v>76</v>
      </c>
      <c r="M64">
        <f t="shared" si="22"/>
        <v>77</v>
      </c>
      <c r="N64" t="str">
        <f t="shared" si="22"/>
        <v/>
      </c>
      <c r="O64" t="str">
        <f t="shared" si="22"/>
        <v/>
      </c>
      <c r="P64" t="str">
        <f t="shared" si="22"/>
        <v/>
      </c>
      <c r="Q64" t="str">
        <f t="shared" si="22"/>
        <v/>
      </c>
      <c r="R64" t="str">
        <f t="shared" si="22"/>
        <v/>
      </c>
      <c r="S64" t="str">
        <f t="shared" si="22"/>
        <v/>
      </c>
      <c r="T64" t="str">
        <f t="shared" si="22"/>
        <v/>
      </c>
      <c r="U64" t="str">
        <f t="shared" si="22"/>
        <v/>
      </c>
      <c r="V64" t="str">
        <f t="shared" si="22"/>
        <v/>
      </c>
      <c r="W64" t="str">
        <f t="shared" si="22"/>
        <v/>
      </c>
    </row>
    <row r="65" spans="1:23" ht="13.15">
      <c r="A65">
        <f t="shared" si="3"/>
        <v>2011</v>
      </c>
      <c r="B65">
        <v>2</v>
      </c>
      <c r="C65" s="21">
        <v>20</v>
      </c>
      <c r="D65">
        <f t="shared" ref="D65:W65" si="23">IF(D$44=0,D29,IF($C65+D$44&gt;Latest_Third,"",D29+C65))</f>
        <v>32</v>
      </c>
      <c r="E65">
        <f t="shared" si="23"/>
        <v>55</v>
      </c>
      <c r="F65">
        <f t="shared" si="23"/>
        <v>64</v>
      </c>
      <c r="G65">
        <f t="shared" si="23"/>
        <v>69</v>
      </c>
      <c r="H65">
        <f t="shared" si="23"/>
        <v>75</v>
      </c>
      <c r="I65">
        <f t="shared" si="23"/>
        <v>79</v>
      </c>
      <c r="J65">
        <f t="shared" si="23"/>
        <v>81</v>
      </c>
      <c r="K65">
        <f t="shared" si="23"/>
        <v>84</v>
      </c>
      <c r="L65">
        <f t="shared" si="23"/>
        <v>86</v>
      </c>
      <c r="M65" t="str">
        <f t="shared" si="23"/>
        <v/>
      </c>
      <c r="N65" t="str">
        <f t="shared" si="23"/>
        <v/>
      </c>
      <c r="O65" t="str">
        <f t="shared" si="23"/>
        <v/>
      </c>
      <c r="P65" t="str">
        <f t="shared" si="23"/>
        <v/>
      </c>
      <c r="Q65" t="str">
        <f t="shared" si="23"/>
        <v/>
      </c>
      <c r="R65" t="str">
        <f t="shared" si="23"/>
        <v/>
      </c>
      <c r="S65" t="str">
        <f t="shared" si="23"/>
        <v/>
      </c>
      <c r="T65" t="str">
        <f t="shared" si="23"/>
        <v/>
      </c>
      <c r="U65" t="str">
        <f t="shared" si="23"/>
        <v/>
      </c>
      <c r="V65" t="str">
        <f t="shared" si="23"/>
        <v/>
      </c>
      <c r="W65" t="str">
        <f t="shared" si="23"/>
        <v/>
      </c>
    </row>
    <row r="66" spans="1:23" ht="13.15">
      <c r="A66">
        <f t="shared" si="3"/>
        <v>2012</v>
      </c>
      <c r="B66">
        <v>0</v>
      </c>
      <c r="C66" s="21">
        <v>21</v>
      </c>
      <c r="D66">
        <f t="shared" ref="D66:W66" si="24">IF(D$44=0,D30,IF($C66+D$44&gt;Latest_Third,"",D30+C66))</f>
        <v>18</v>
      </c>
      <c r="E66">
        <f t="shared" si="24"/>
        <v>34</v>
      </c>
      <c r="F66">
        <f t="shared" si="24"/>
        <v>43</v>
      </c>
      <c r="G66">
        <f t="shared" si="24"/>
        <v>50</v>
      </c>
      <c r="H66">
        <f t="shared" si="24"/>
        <v>54</v>
      </c>
      <c r="I66">
        <f t="shared" si="24"/>
        <v>56</v>
      </c>
      <c r="J66">
        <f t="shared" si="24"/>
        <v>59</v>
      </c>
      <c r="K66">
        <f t="shared" si="24"/>
        <v>59</v>
      </c>
      <c r="L66" t="str">
        <f t="shared" si="24"/>
        <v/>
      </c>
      <c r="M66" t="str">
        <f t="shared" si="24"/>
        <v/>
      </c>
      <c r="N66" t="str">
        <f t="shared" si="24"/>
        <v/>
      </c>
      <c r="O66" t="str">
        <f t="shared" si="24"/>
        <v/>
      </c>
      <c r="P66" t="str">
        <f t="shared" si="24"/>
        <v/>
      </c>
      <c r="Q66" t="str">
        <f t="shared" si="24"/>
        <v/>
      </c>
      <c r="R66" t="str">
        <f t="shared" si="24"/>
        <v/>
      </c>
      <c r="S66" t="str">
        <f t="shared" si="24"/>
        <v/>
      </c>
      <c r="T66" t="str">
        <f t="shared" si="24"/>
        <v/>
      </c>
      <c r="U66" t="str">
        <f t="shared" si="24"/>
        <v/>
      </c>
      <c r="V66" t="str">
        <f t="shared" si="24"/>
        <v/>
      </c>
      <c r="W66" t="str">
        <f t="shared" si="24"/>
        <v/>
      </c>
    </row>
    <row r="67" spans="1:23" ht="13.15">
      <c r="A67">
        <f t="shared" si="3"/>
        <v>2012</v>
      </c>
      <c r="B67">
        <v>1</v>
      </c>
      <c r="C67" s="21">
        <v>22</v>
      </c>
      <c r="D67">
        <f t="shared" ref="D67:W67" si="25">IF(D$44=0,D31,IF($C67+D$44&gt;Latest_Third,"",D31+C67))</f>
        <v>18</v>
      </c>
      <c r="E67">
        <f t="shared" si="25"/>
        <v>36</v>
      </c>
      <c r="F67">
        <f t="shared" si="25"/>
        <v>44</v>
      </c>
      <c r="G67">
        <f t="shared" si="25"/>
        <v>51</v>
      </c>
      <c r="H67">
        <f t="shared" si="25"/>
        <v>58</v>
      </c>
      <c r="I67">
        <f t="shared" si="25"/>
        <v>63</v>
      </c>
      <c r="J67">
        <f t="shared" si="25"/>
        <v>65</v>
      </c>
      <c r="K67" t="str">
        <f t="shared" si="25"/>
        <v/>
      </c>
      <c r="L67" t="str">
        <f t="shared" si="25"/>
        <v/>
      </c>
      <c r="M67" t="str">
        <f t="shared" si="25"/>
        <v/>
      </c>
      <c r="N67" t="str">
        <f t="shared" si="25"/>
        <v/>
      </c>
      <c r="O67" t="str">
        <f t="shared" si="25"/>
        <v/>
      </c>
      <c r="P67" t="str">
        <f t="shared" si="25"/>
        <v/>
      </c>
      <c r="Q67" t="str">
        <f t="shared" si="25"/>
        <v/>
      </c>
      <c r="R67" t="str">
        <f t="shared" si="25"/>
        <v/>
      </c>
      <c r="S67" t="str">
        <f t="shared" si="25"/>
        <v/>
      </c>
      <c r="T67" t="str">
        <f t="shared" si="25"/>
        <v/>
      </c>
      <c r="U67" t="str">
        <f t="shared" si="25"/>
        <v/>
      </c>
      <c r="V67" t="str">
        <f t="shared" si="25"/>
        <v/>
      </c>
      <c r="W67" t="str">
        <f t="shared" si="25"/>
        <v/>
      </c>
    </row>
    <row r="68" spans="1:23" ht="13.15">
      <c r="A68">
        <f t="shared" si="3"/>
        <v>2012</v>
      </c>
      <c r="B68">
        <v>2</v>
      </c>
      <c r="C68" s="21">
        <v>23</v>
      </c>
      <c r="D68">
        <f t="shared" ref="D68:W68" si="26">IF(D$44=0,D32,IF($C68+D$44&gt;Latest_Third,"",D32+C68))</f>
        <v>17</v>
      </c>
      <c r="E68">
        <f t="shared" si="26"/>
        <v>43</v>
      </c>
      <c r="F68">
        <f t="shared" si="26"/>
        <v>54</v>
      </c>
      <c r="G68">
        <f t="shared" si="26"/>
        <v>63</v>
      </c>
      <c r="H68">
        <f t="shared" si="26"/>
        <v>72</v>
      </c>
      <c r="I68">
        <f t="shared" si="26"/>
        <v>75</v>
      </c>
      <c r="J68" t="str">
        <f t="shared" si="26"/>
        <v/>
      </c>
      <c r="K68" t="str">
        <f t="shared" si="26"/>
        <v/>
      </c>
      <c r="L68" t="str">
        <f t="shared" si="26"/>
        <v/>
      </c>
      <c r="M68" t="str">
        <f t="shared" si="26"/>
        <v/>
      </c>
      <c r="N68" t="str">
        <f t="shared" si="26"/>
        <v/>
      </c>
      <c r="O68" t="str">
        <f t="shared" si="26"/>
        <v/>
      </c>
      <c r="P68" t="str">
        <f t="shared" si="26"/>
        <v/>
      </c>
      <c r="Q68" t="str">
        <f t="shared" si="26"/>
        <v/>
      </c>
      <c r="R68" t="str">
        <f t="shared" si="26"/>
        <v/>
      </c>
      <c r="S68" t="str">
        <f t="shared" si="26"/>
        <v/>
      </c>
      <c r="T68" t="str">
        <f t="shared" si="26"/>
        <v/>
      </c>
      <c r="U68" t="str">
        <f t="shared" si="26"/>
        <v/>
      </c>
      <c r="V68" t="str">
        <f t="shared" si="26"/>
        <v/>
      </c>
      <c r="W68" t="str">
        <f t="shared" si="26"/>
        <v/>
      </c>
    </row>
    <row r="69" spans="1:23" ht="13.15">
      <c r="A69">
        <f t="shared" si="3"/>
        <v>2013</v>
      </c>
      <c r="B69">
        <v>0</v>
      </c>
      <c r="C69" s="21">
        <v>24</v>
      </c>
      <c r="D69">
        <f t="shared" ref="D69:W69" si="27">IF(D$44=0,D33,IF($C69+D$44&gt;Latest_Third,"",D33+C69))</f>
        <v>16</v>
      </c>
      <c r="E69">
        <f t="shared" si="27"/>
        <v>29</v>
      </c>
      <c r="F69">
        <f t="shared" si="27"/>
        <v>50</v>
      </c>
      <c r="G69">
        <f t="shared" si="27"/>
        <v>60</v>
      </c>
      <c r="H69">
        <f t="shared" si="27"/>
        <v>62</v>
      </c>
      <c r="I69" t="str">
        <f t="shared" si="27"/>
        <v/>
      </c>
      <c r="J69" t="str">
        <f t="shared" si="27"/>
        <v/>
      </c>
      <c r="K69" t="str">
        <f t="shared" si="27"/>
        <v/>
      </c>
      <c r="L69" t="str">
        <f t="shared" si="27"/>
        <v/>
      </c>
      <c r="M69" t="str">
        <f t="shared" si="27"/>
        <v/>
      </c>
      <c r="N69" t="str">
        <f t="shared" si="27"/>
        <v/>
      </c>
      <c r="O69" t="str">
        <f t="shared" si="27"/>
        <v/>
      </c>
      <c r="P69" t="str">
        <f t="shared" si="27"/>
        <v/>
      </c>
      <c r="Q69" t="str">
        <f t="shared" si="27"/>
        <v/>
      </c>
      <c r="R69" t="str">
        <f t="shared" si="27"/>
        <v/>
      </c>
      <c r="S69" t="str">
        <f t="shared" si="27"/>
        <v/>
      </c>
      <c r="T69" t="str">
        <f t="shared" si="27"/>
        <v/>
      </c>
      <c r="U69" t="str">
        <f t="shared" si="27"/>
        <v/>
      </c>
      <c r="V69" t="str">
        <f t="shared" si="27"/>
        <v/>
      </c>
      <c r="W69" t="str">
        <f t="shared" si="27"/>
        <v/>
      </c>
    </row>
    <row r="70" spans="1:23" ht="13.15">
      <c r="A70">
        <f t="shared" si="3"/>
        <v>2013</v>
      </c>
      <c r="B70">
        <v>1</v>
      </c>
      <c r="C70" s="21">
        <v>25</v>
      </c>
      <c r="D70">
        <f t="shared" ref="D70:W70" si="28">IF(D$44=0,D34,IF($C70+D$44&gt;Latest_Third,"",D34+C70))</f>
        <v>12</v>
      </c>
      <c r="E70">
        <f t="shared" si="28"/>
        <v>37</v>
      </c>
      <c r="F70">
        <f t="shared" si="28"/>
        <v>58</v>
      </c>
      <c r="G70">
        <f t="shared" si="28"/>
        <v>71</v>
      </c>
      <c r="H70" t="str">
        <f t="shared" si="28"/>
        <v/>
      </c>
      <c r="I70" t="str">
        <f t="shared" si="28"/>
        <v/>
      </c>
      <c r="J70" t="str">
        <f t="shared" si="28"/>
        <v/>
      </c>
      <c r="K70" t="str">
        <f t="shared" si="28"/>
        <v/>
      </c>
      <c r="L70" t="str">
        <f t="shared" si="28"/>
        <v/>
      </c>
      <c r="M70" t="str">
        <f t="shared" si="28"/>
        <v/>
      </c>
      <c r="N70" t="str">
        <f t="shared" si="28"/>
        <v/>
      </c>
      <c r="O70" t="str">
        <f t="shared" si="28"/>
        <v/>
      </c>
      <c r="P70" t="str">
        <f t="shared" si="28"/>
        <v/>
      </c>
      <c r="Q70" t="str">
        <f t="shared" si="28"/>
        <v/>
      </c>
      <c r="R70" t="str">
        <f t="shared" si="28"/>
        <v/>
      </c>
      <c r="S70" t="str">
        <f t="shared" si="28"/>
        <v/>
      </c>
      <c r="T70" t="str">
        <f t="shared" si="28"/>
        <v/>
      </c>
      <c r="U70" t="str">
        <f t="shared" si="28"/>
        <v/>
      </c>
      <c r="V70" t="str">
        <f t="shared" si="28"/>
        <v/>
      </c>
      <c r="W70" t="str">
        <f t="shared" si="28"/>
        <v/>
      </c>
    </row>
    <row r="71" spans="1:23" ht="13.15">
      <c r="A71">
        <f t="shared" si="3"/>
        <v>2013</v>
      </c>
      <c r="B71">
        <v>2</v>
      </c>
      <c r="C71" s="21">
        <v>26</v>
      </c>
      <c r="D71">
        <f t="shared" ref="D71:W71" si="29">IF(D$44=0,D35,IF($C71+D$44&gt;Latest_Third,"",D35+C71))</f>
        <v>15</v>
      </c>
      <c r="E71">
        <f t="shared" si="29"/>
        <v>50</v>
      </c>
      <c r="F71">
        <f t="shared" si="29"/>
        <v>68</v>
      </c>
      <c r="G71" t="str">
        <f t="shared" si="29"/>
        <v/>
      </c>
      <c r="H71" t="str">
        <f t="shared" si="29"/>
        <v/>
      </c>
      <c r="I71" t="str">
        <f t="shared" si="29"/>
        <v/>
      </c>
      <c r="J71" t="str">
        <f t="shared" si="29"/>
        <v/>
      </c>
      <c r="K71" t="str">
        <f t="shared" si="29"/>
        <v/>
      </c>
      <c r="L71" t="str">
        <f t="shared" si="29"/>
        <v/>
      </c>
      <c r="M71" t="str">
        <f t="shared" si="29"/>
        <v/>
      </c>
      <c r="N71" t="str">
        <f t="shared" si="29"/>
        <v/>
      </c>
      <c r="O71" t="str">
        <f t="shared" si="29"/>
        <v/>
      </c>
      <c r="P71" t="str">
        <f t="shared" si="29"/>
        <v/>
      </c>
      <c r="Q71" t="str">
        <f t="shared" si="29"/>
        <v/>
      </c>
      <c r="R71" t="str">
        <f t="shared" si="29"/>
        <v/>
      </c>
      <c r="S71" t="str">
        <f t="shared" si="29"/>
        <v/>
      </c>
      <c r="T71" t="str">
        <f t="shared" si="29"/>
        <v/>
      </c>
      <c r="U71" t="str">
        <f t="shared" si="29"/>
        <v/>
      </c>
      <c r="V71" t="str">
        <f t="shared" si="29"/>
        <v/>
      </c>
      <c r="W71" t="str">
        <f t="shared" si="29"/>
        <v/>
      </c>
    </row>
    <row r="72" spans="1:23" ht="13.15">
      <c r="A72">
        <f t="shared" si="3"/>
        <v>2014</v>
      </c>
      <c r="B72">
        <v>0</v>
      </c>
      <c r="C72" s="21">
        <v>27</v>
      </c>
      <c r="D72">
        <f t="shared" ref="D72:W72" si="30">IF(D$44=0,D36,IF($C72+D$44&gt;Latest_Third,"",D36+C72))</f>
        <v>23</v>
      </c>
      <c r="E72">
        <f t="shared" si="30"/>
        <v>49</v>
      </c>
      <c r="F72" t="str">
        <f t="shared" si="30"/>
        <v/>
      </c>
      <c r="G72" t="str">
        <f t="shared" si="30"/>
        <v/>
      </c>
      <c r="H72" t="str">
        <f t="shared" si="30"/>
        <v/>
      </c>
      <c r="I72" t="str">
        <f t="shared" si="30"/>
        <v/>
      </c>
      <c r="J72" t="str">
        <f t="shared" si="30"/>
        <v/>
      </c>
      <c r="K72" t="str">
        <f t="shared" si="30"/>
        <v/>
      </c>
      <c r="L72" t="str">
        <f t="shared" si="30"/>
        <v/>
      </c>
      <c r="M72" t="str">
        <f t="shared" si="30"/>
        <v/>
      </c>
      <c r="N72" t="str">
        <f t="shared" si="30"/>
        <v/>
      </c>
      <c r="O72" t="str">
        <f t="shared" si="30"/>
        <v/>
      </c>
      <c r="P72" t="str">
        <f t="shared" si="30"/>
        <v/>
      </c>
      <c r="Q72" t="str">
        <f t="shared" si="30"/>
        <v/>
      </c>
      <c r="R72" t="str">
        <f t="shared" si="30"/>
        <v/>
      </c>
      <c r="S72" t="str">
        <f t="shared" si="30"/>
        <v/>
      </c>
      <c r="T72" t="str">
        <f t="shared" si="30"/>
        <v/>
      </c>
      <c r="U72" t="str">
        <f t="shared" si="30"/>
        <v/>
      </c>
      <c r="V72" t="str">
        <f t="shared" si="30"/>
        <v/>
      </c>
      <c r="W72" t="str">
        <f t="shared" si="30"/>
        <v/>
      </c>
    </row>
    <row r="73" spans="1:23" ht="13.15">
      <c r="A73">
        <f t="shared" si="3"/>
        <v>2014</v>
      </c>
      <c r="B73">
        <v>1</v>
      </c>
      <c r="C73" s="21">
        <v>28</v>
      </c>
      <c r="D73">
        <f t="shared" ref="D73:W73" si="31">IF(D$44=0,D37,IF($C73+D$44&gt;Latest_Third,"",D37+C73))</f>
        <v>19</v>
      </c>
      <c r="E73" t="str">
        <f t="shared" si="31"/>
        <v/>
      </c>
      <c r="F73" t="str">
        <f t="shared" si="31"/>
        <v/>
      </c>
      <c r="G73" t="str">
        <f t="shared" si="31"/>
        <v/>
      </c>
      <c r="H73" t="str">
        <f t="shared" si="31"/>
        <v/>
      </c>
      <c r="I73" t="str">
        <f t="shared" si="31"/>
        <v/>
      </c>
      <c r="J73" t="str">
        <f t="shared" si="31"/>
        <v/>
      </c>
      <c r="K73" t="str">
        <f t="shared" si="31"/>
        <v/>
      </c>
      <c r="L73" t="str">
        <f t="shared" si="31"/>
        <v/>
      </c>
      <c r="M73" t="str">
        <f t="shared" si="31"/>
        <v/>
      </c>
      <c r="N73" t="str">
        <f t="shared" si="31"/>
        <v/>
      </c>
      <c r="O73" t="str">
        <f t="shared" si="31"/>
        <v/>
      </c>
      <c r="P73" t="str">
        <f t="shared" si="31"/>
        <v/>
      </c>
      <c r="Q73" t="str">
        <f t="shared" si="31"/>
        <v/>
      </c>
      <c r="R73" t="str">
        <f t="shared" si="31"/>
        <v/>
      </c>
      <c r="S73" t="str">
        <f t="shared" si="31"/>
        <v/>
      </c>
      <c r="T73" t="str">
        <f t="shared" si="31"/>
        <v/>
      </c>
      <c r="U73" t="str">
        <f t="shared" si="31"/>
        <v/>
      </c>
      <c r="V73" t="str">
        <f t="shared" si="31"/>
        <v/>
      </c>
      <c r="W73" t="str">
        <f t="shared" si="31"/>
        <v/>
      </c>
    </row>
    <row r="74" spans="1:23" ht="13.15">
      <c r="C74" s="21"/>
    </row>
    <row r="75" spans="1:23" ht="13.5">
      <c r="C75" s="21"/>
      <c r="W75" s="54" t="s">
        <v>3537</v>
      </c>
    </row>
    <row r="76" spans="1:23" ht="13.15">
      <c r="C76" s="54" t="s">
        <v>3519</v>
      </c>
      <c r="D76" s="53">
        <f t="shared" ref="D76:V76" si="32">SUM(E45:E74)/SUMIF(E45:E74,"&gt;0",D45:D74)</f>
        <v>1.7074010327022375</v>
      </c>
      <c r="E76" s="53">
        <f t="shared" si="32"/>
        <v>1.2417815482502652</v>
      </c>
      <c r="F76" s="53">
        <f t="shared" si="32"/>
        <v>1.1169537624660018</v>
      </c>
      <c r="G76" s="53">
        <f t="shared" si="32"/>
        <v>1.0732127476313522</v>
      </c>
      <c r="H76" s="53">
        <f t="shared" si="32"/>
        <v>1.0413851351351351</v>
      </c>
      <c r="I76" s="53">
        <f t="shared" si="32"/>
        <v>1.0276338514680483</v>
      </c>
      <c r="J76" s="53">
        <f t="shared" si="32"/>
        <v>1.0106666666666666</v>
      </c>
      <c r="K76" s="53">
        <f t="shared" si="32"/>
        <v>1.010204081632653</v>
      </c>
      <c r="L76" s="53">
        <f t="shared" si="32"/>
        <v>1.0199401794616152</v>
      </c>
      <c r="M76" s="53">
        <f t="shared" si="32"/>
        <v>1.0169133192389006</v>
      </c>
      <c r="N76" s="53">
        <f t="shared" si="32"/>
        <v>1.0045714285714287</v>
      </c>
      <c r="O76" s="53">
        <f t="shared" si="32"/>
        <v>1.0012903225806451</v>
      </c>
      <c r="P76" s="53">
        <f t="shared" si="32"/>
        <v>1.0028985507246377</v>
      </c>
      <c r="Q76" s="53">
        <f t="shared" si="32"/>
        <v>1.0015974440894568</v>
      </c>
      <c r="R76" s="53">
        <f t="shared" si="32"/>
        <v>1</v>
      </c>
      <c r="S76" s="53">
        <f t="shared" si="32"/>
        <v>1</v>
      </c>
      <c r="T76" s="53">
        <f t="shared" si="32"/>
        <v>1</v>
      </c>
      <c r="U76" s="53">
        <f t="shared" si="32"/>
        <v>1</v>
      </c>
      <c r="V76" s="53">
        <f t="shared" si="32"/>
        <v>1.0030581039755351</v>
      </c>
      <c r="W76" s="55">
        <v>1</v>
      </c>
    </row>
    <row r="77" spans="1:23" ht="13.15">
      <c r="C77" s="54" t="s">
        <v>3529</v>
      </c>
      <c r="D77" s="56">
        <f>D76*E77</f>
        <v>2.9190691084081295</v>
      </c>
      <c r="E77" s="56">
        <f t="shared" ref="E77:U77" si="33">E76*F77</f>
        <v>1.7096564032108097</v>
      </c>
      <c r="F77" s="56">
        <f t="shared" si="33"/>
        <v>1.3767771035250158</v>
      </c>
      <c r="G77" s="56">
        <f t="shared" si="33"/>
        <v>1.2326178126526726</v>
      </c>
      <c r="H77" s="56">
        <f t="shared" si="33"/>
        <v>1.1485307227044566</v>
      </c>
      <c r="I77" s="56">
        <f t="shared" si="33"/>
        <v>1.1028875715183104</v>
      </c>
      <c r="J77" s="56">
        <f t="shared" si="33"/>
        <v>1.0732300906035324</v>
      </c>
      <c r="K77" s="56">
        <f t="shared" si="33"/>
        <v>1.0619031239480863</v>
      </c>
      <c r="L77" s="56">
        <f t="shared" si="33"/>
        <v>1.0511768297667925</v>
      </c>
      <c r="M77" s="56">
        <f t="shared" si="33"/>
        <v>1.030625963104685</v>
      </c>
      <c r="N77" s="56">
        <f t="shared" si="33"/>
        <v>1.0134845749449397</v>
      </c>
      <c r="O77" s="56">
        <f t="shared" si="33"/>
        <v>1.0088725859804575</v>
      </c>
      <c r="P77" s="56">
        <f t="shared" si="33"/>
        <v>1.007572492441823</v>
      </c>
      <c r="Q77" s="56">
        <f t="shared" si="33"/>
        <v>1.0046604332151126</v>
      </c>
      <c r="R77" s="56">
        <f t="shared" si="33"/>
        <v>1.0030581039755351</v>
      </c>
      <c r="S77" s="56">
        <f t="shared" si="33"/>
        <v>1.0030581039755351</v>
      </c>
      <c r="T77" s="56">
        <f t="shared" si="33"/>
        <v>1.0030581039755351</v>
      </c>
      <c r="U77" s="56">
        <f t="shared" si="33"/>
        <v>1.0030581039755351</v>
      </c>
      <c r="V77" s="56">
        <f>V76</f>
        <v>1.0030581039755351</v>
      </c>
      <c r="W77" s="57">
        <v>1</v>
      </c>
    </row>
    <row r="80" spans="1:23" ht="15.75">
      <c r="A80" s="24" t="s">
        <v>3576</v>
      </c>
    </row>
    <row r="82" spans="1:44" ht="15.75" hidden="1">
      <c r="D82" s="24" t="s">
        <v>3530</v>
      </c>
    </row>
    <row r="83" spans="1:44" ht="13.15">
      <c r="A83" s="48"/>
      <c r="B83" s="48"/>
      <c r="C83" s="48"/>
      <c r="D83" s="48"/>
      <c r="E83" s="48"/>
      <c r="F83" s="48"/>
      <c r="G83" s="48"/>
      <c r="H83" s="48" t="s">
        <v>3549</v>
      </c>
      <c r="I83" s="48"/>
      <c r="J83" s="48"/>
      <c r="K83" s="48"/>
      <c r="L83" s="48"/>
      <c r="M83" s="48"/>
      <c r="N83" s="48"/>
      <c r="O83" s="48"/>
      <c r="P83" s="48"/>
      <c r="Q83" s="48"/>
      <c r="R83" s="48"/>
      <c r="S83" s="48"/>
      <c r="T83" s="48"/>
      <c r="U83" s="48"/>
      <c r="V83" s="48"/>
      <c r="W83" s="48"/>
      <c r="X83" s="48"/>
      <c r="Y83" s="30"/>
    </row>
    <row r="84" spans="1:44" ht="13.15">
      <c r="A84" s="74" t="s">
        <v>3527</v>
      </c>
      <c r="B84" s="36" t="s">
        <v>3577</v>
      </c>
      <c r="C84" s="59" t="s">
        <v>3535</v>
      </c>
      <c r="D84" s="51">
        <v>0</v>
      </c>
      <c r="E84" s="51">
        <v>1</v>
      </c>
      <c r="F84" s="51">
        <v>2</v>
      </c>
      <c r="G84" s="51">
        <v>3</v>
      </c>
      <c r="H84" s="51">
        <v>4</v>
      </c>
      <c r="I84" s="51">
        <v>5</v>
      </c>
      <c r="J84" s="51">
        <v>6</v>
      </c>
      <c r="K84" s="51">
        <v>7</v>
      </c>
      <c r="L84" s="51">
        <v>8</v>
      </c>
      <c r="M84" s="51">
        <v>9</v>
      </c>
      <c r="N84" s="51">
        <v>10</v>
      </c>
      <c r="O84" s="51">
        <v>11</v>
      </c>
      <c r="P84" s="51">
        <v>12</v>
      </c>
      <c r="Q84" s="51">
        <v>13</v>
      </c>
      <c r="R84" s="51">
        <v>14</v>
      </c>
      <c r="S84" s="51">
        <v>15</v>
      </c>
      <c r="T84" s="51">
        <v>16</v>
      </c>
      <c r="U84" s="51">
        <v>17</v>
      </c>
      <c r="V84" s="51">
        <v>18</v>
      </c>
      <c r="W84" s="51">
        <v>19</v>
      </c>
      <c r="X84" s="51" t="s">
        <v>3520</v>
      </c>
      <c r="Y84" s="30"/>
    </row>
    <row r="85" spans="1:44" ht="13.15">
      <c r="A85" s="48">
        <f>A45</f>
        <v>2005</v>
      </c>
      <c r="B85" s="48">
        <v>0</v>
      </c>
      <c r="C85" s="58" t="str">
        <f>A85&amp;"-"&amp;B85</f>
        <v>2005-0</v>
      </c>
      <c r="D85" s="48">
        <f>D45</f>
        <v>8</v>
      </c>
      <c r="E85" s="48">
        <f t="shared" ref="E85:W85" si="34">E45</f>
        <v>14</v>
      </c>
      <c r="F85" s="48">
        <f t="shared" si="34"/>
        <v>18</v>
      </c>
      <c r="G85" s="48">
        <f t="shared" si="34"/>
        <v>23</v>
      </c>
      <c r="H85" s="48">
        <f t="shared" si="34"/>
        <v>24</v>
      </c>
      <c r="I85" s="48">
        <f t="shared" si="34"/>
        <v>25</v>
      </c>
      <c r="J85" s="48">
        <f t="shared" si="34"/>
        <v>25</v>
      </c>
      <c r="K85" s="48">
        <f t="shared" si="34"/>
        <v>26</v>
      </c>
      <c r="L85" s="48">
        <f t="shared" si="34"/>
        <v>27</v>
      </c>
      <c r="M85" s="48">
        <f t="shared" si="34"/>
        <v>27</v>
      </c>
      <c r="N85" s="48">
        <f t="shared" si="34"/>
        <v>27</v>
      </c>
      <c r="O85" s="48">
        <f t="shared" si="34"/>
        <v>27</v>
      </c>
      <c r="P85" s="48">
        <f t="shared" si="34"/>
        <v>27</v>
      </c>
      <c r="Q85" s="48">
        <f t="shared" si="34"/>
        <v>28</v>
      </c>
      <c r="R85" s="48">
        <f t="shared" si="34"/>
        <v>28</v>
      </c>
      <c r="S85" s="48">
        <f t="shared" si="34"/>
        <v>28</v>
      </c>
      <c r="T85" s="48">
        <f t="shared" si="34"/>
        <v>28</v>
      </c>
      <c r="U85" s="48">
        <f t="shared" si="34"/>
        <v>28</v>
      </c>
      <c r="V85" s="48">
        <f t="shared" si="34"/>
        <v>28</v>
      </c>
      <c r="W85" s="48">
        <f t="shared" si="34"/>
        <v>28</v>
      </c>
      <c r="X85" s="52">
        <f>W85</f>
        <v>28</v>
      </c>
      <c r="Y85" s="30"/>
      <c r="Z85" s="30"/>
    </row>
    <row r="86" spans="1:44" ht="13.15">
      <c r="A86" s="48">
        <f t="shared" ref="A86:A113" si="35">A46</f>
        <v>2005</v>
      </c>
      <c r="B86" s="48">
        <v>1</v>
      </c>
      <c r="C86" s="58" t="str">
        <f t="shared" ref="C86:C113" si="36">A86&amp;"-"&amp;B86</f>
        <v>2005-1</v>
      </c>
      <c r="D86" s="48">
        <f t="shared" ref="D86:W86" si="37">D46</f>
        <v>10</v>
      </c>
      <c r="E86" s="48">
        <f t="shared" si="37"/>
        <v>14</v>
      </c>
      <c r="F86" s="48">
        <f t="shared" si="37"/>
        <v>17</v>
      </c>
      <c r="G86" s="48">
        <f t="shared" si="37"/>
        <v>18</v>
      </c>
      <c r="H86" s="48">
        <f t="shared" si="37"/>
        <v>18</v>
      </c>
      <c r="I86" s="48">
        <f t="shared" si="37"/>
        <v>19</v>
      </c>
      <c r="J86" s="48">
        <f t="shared" si="37"/>
        <v>19</v>
      </c>
      <c r="K86" s="48">
        <f t="shared" si="37"/>
        <v>19</v>
      </c>
      <c r="L86" s="48">
        <f t="shared" si="37"/>
        <v>19</v>
      </c>
      <c r="M86" s="48">
        <f t="shared" si="37"/>
        <v>20</v>
      </c>
      <c r="N86" s="48">
        <f t="shared" si="37"/>
        <v>20</v>
      </c>
      <c r="O86" s="48">
        <f t="shared" si="37"/>
        <v>20</v>
      </c>
      <c r="P86" s="48">
        <f t="shared" si="37"/>
        <v>20</v>
      </c>
      <c r="Q86" s="48">
        <f t="shared" si="37"/>
        <v>20</v>
      </c>
      <c r="R86" s="48">
        <f t="shared" si="37"/>
        <v>20</v>
      </c>
      <c r="S86" s="48">
        <f t="shared" si="37"/>
        <v>20</v>
      </c>
      <c r="T86" s="48">
        <f t="shared" si="37"/>
        <v>20</v>
      </c>
      <c r="U86" s="48">
        <f t="shared" si="37"/>
        <v>20</v>
      </c>
      <c r="V86" s="48">
        <f t="shared" si="37"/>
        <v>20</v>
      </c>
      <c r="W86" s="48">
        <f t="shared" si="37"/>
        <v>20</v>
      </c>
      <c r="X86" s="52">
        <f t="shared" ref="X86:X94" si="38">W86</f>
        <v>20</v>
      </c>
      <c r="Z86" s="30"/>
    </row>
    <row r="87" spans="1:44" ht="13.15">
      <c r="A87" s="48">
        <f t="shared" si="35"/>
        <v>2005</v>
      </c>
      <c r="B87" s="48">
        <v>2</v>
      </c>
      <c r="C87" s="58" t="str">
        <f t="shared" si="36"/>
        <v>2005-2</v>
      </c>
      <c r="D87" s="48">
        <f t="shared" ref="D87:W87" si="39">D47</f>
        <v>18</v>
      </c>
      <c r="E87" s="48">
        <f t="shared" si="39"/>
        <v>26</v>
      </c>
      <c r="F87" s="48">
        <f t="shared" si="39"/>
        <v>30</v>
      </c>
      <c r="G87" s="48">
        <f t="shared" si="39"/>
        <v>33</v>
      </c>
      <c r="H87" s="48">
        <f t="shared" si="39"/>
        <v>34</v>
      </c>
      <c r="I87" s="48">
        <f t="shared" si="39"/>
        <v>35</v>
      </c>
      <c r="J87" s="48">
        <f t="shared" si="39"/>
        <v>35</v>
      </c>
      <c r="K87" s="48">
        <f t="shared" si="39"/>
        <v>37</v>
      </c>
      <c r="L87" s="48">
        <f t="shared" si="39"/>
        <v>37</v>
      </c>
      <c r="M87" s="48">
        <f t="shared" si="39"/>
        <v>37</v>
      </c>
      <c r="N87" s="48">
        <f t="shared" si="39"/>
        <v>38</v>
      </c>
      <c r="O87" s="48">
        <f t="shared" si="39"/>
        <v>38</v>
      </c>
      <c r="P87" s="48">
        <f t="shared" si="39"/>
        <v>38</v>
      </c>
      <c r="Q87" s="48">
        <f t="shared" si="39"/>
        <v>38</v>
      </c>
      <c r="R87" s="48">
        <f t="shared" si="39"/>
        <v>38</v>
      </c>
      <c r="S87" s="48">
        <f t="shared" si="39"/>
        <v>38</v>
      </c>
      <c r="T87" s="48">
        <f t="shared" si="39"/>
        <v>38</v>
      </c>
      <c r="U87" s="48">
        <f t="shared" si="39"/>
        <v>38</v>
      </c>
      <c r="V87" s="48">
        <f t="shared" si="39"/>
        <v>38</v>
      </c>
      <c r="W87" s="48">
        <f t="shared" si="39"/>
        <v>38</v>
      </c>
      <c r="X87" s="52">
        <f t="shared" si="38"/>
        <v>38</v>
      </c>
      <c r="Z87" s="30"/>
    </row>
    <row r="88" spans="1:44" ht="13.15">
      <c r="A88" s="48">
        <f t="shared" si="35"/>
        <v>2006</v>
      </c>
      <c r="B88" s="48">
        <v>0</v>
      </c>
      <c r="C88" s="58" t="str">
        <f t="shared" si="36"/>
        <v>2006-0</v>
      </c>
      <c r="D88" s="48">
        <f t="shared" ref="D88:W88" si="40">D48</f>
        <v>4</v>
      </c>
      <c r="E88" s="48">
        <f t="shared" si="40"/>
        <v>8</v>
      </c>
      <c r="F88" s="48">
        <f t="shared" si="40"/>
        <v>11</v>
      </c>
      <c r="G88" s="48">
        <f t="shared" si="40"/>
        <v>13</v>
      </c>
      <c r="H88" s="48">
        <f t="shared" si="40"/>
        <v>13</v>
      </c>
      <c r="I88" s="48">
        <f t="shared" si="40"/>
        <v>14</v>
      </c>
      <c r="J88" s="48">
        <f t="shared" si="40"/>
        <v>15</v>
      </c>
      <c r="K88" s="48">
        <f t="shared" si="40"/>
        <v>15</v>
      </c>
      <c r="L88" s="48">
        <f t="shared" si="40"/>
        <v>16</v>
      </c>
      <c r="M88" s="48">
        <f t="shared" si="40"/>
        <v>16</v>
      </c>
      <c r="N88" s="48">
        <f t="shared" si="40"/>
        <v>17</v>
      </c>
      <c r="O88" s="48">
        <f t="shared" si="40"/>
        <v>17</v>
      </c>
      <c r="P88" s="48">
        <f t="shared" si="40"/>
        <v>17</v>
      </c>
      <c r="Q88" s="48">
        <f t="shared" si="40"/>
        <v>17</v>
      </c>
      <c r="R88" s="48">
        <f t="shared" si="40"/>
        <v>17</v>
      </c>
      <c r="S88" s="48">
        <f t="shared" si="40"/>
        <v>17</v>
      </c>
      <c r="T88" s="48">
        <f t="shared" si="40"/>
        <v>17</v>
      </c>
      <c r="U88" s="48">
        <f t="shared" si="40"/>
        <v>17</v>
      </c>
      <c r="V88" s="48">
        <f t="shared" si="40"/>
        <v>17</v>
      </c>
      <c r="W88" s="48">
        <f t="shared" si="40"/>
        <v>17</v>
      </c>
      <c r="X88" s="52">
        <f t="shared" si="38"/>
        <v>17</v>
      </c>
      <c r="Z88" s="30"/>
    </row>
    <row r="89" spans="1:44" ht="13.15">
      <c r="A89" s="48">
        <f t="shared" si="35"/>
        <v>2006</v>
      </c>
      <c r="B89" s="48">
        <v>1</v>
      </c>
      <c r="C89" s="58" t="str">
        <f t="shared" si="36"/>
        <v>2006-1</v>
      </c>
      <c r="D89" s="48">
        <f t="shared" ref="D89:W89" si="41">D49</f>
        <v>13</v>
      </c>
      <c r="E89" s="48">
        <f t="shared" si="41"/>
        <v>21</v>
      </c>
      <c r="F89" s="48">
        <f t="shared" si="41"/>
        <v>23</v>
      </c>
      <c r="G89" s="48">
        <f t="shared" si="41"/>
        <v>26</v>
      </c>
      <c r="H89" s="48">
        <f t="shared" si="41"/>
        <v>27</v>
      </c>
      <c r="I89" s="48">
        <f t="shared" si="41"/>
        <v>28</v>
      </c>
      <c r="J89" s="48">
        <f t="shared" si="41"/>
        <v>30</v>
      </c>
      <c r="K89" s="48">
        <f t="shared" si="41"/>
        <v>30</v>
      </c>
      <c r="L89" s="48">
        <f t="shared" si="41"/>
        <v>30</v>
      </c>
      <c r="M89" s="48">
        <f t="shared" si="41"/>
        <v>33</v>
      </c>
      <c r="N89" s="48">
        <f t="shared" si="41"/>
        <v>34</v>
      </c>
      <c r="O89" s="48">
        <f t="shared" si="41"/>
        <v>35</v>
      </c>
      <c r="P89" s="48">
        <f t="shared" si="41"/>
        <v>35</v>
      </c>
      <c r="Q89" s="48">
        <f t="shared" si="41"/>
        <v>35</v>
      </c>
      <c r="R89" s="48">
        <f t="shared" si="41"/>
        <v>35</v>
      </c>
      <c r="S89" s="48">
        <f t="shared" si="41"/>
        <v>35</v>
      </c>
      <c r="T89" s="48">
        <f t="shared" si="41"/>
        <v>35</v>
      </c>
      <c r="U89" s="48">
        <f t="shared" si="41"/>
        <v>35</v>
      </c>
      <c r="V89" s="48">
        <f t="shared" si="41"/>
        <v>35</v>
      </c>
      <c r="W89" s="48">
        <f t="shared" si="41"/>
        <v>35</v>
      </c>
      <c r="X89" s="52">
        <f t="shared" si="38"/>
        <v>35</v>
      </c>
      <c r="Z89" s="30"/>
    </row>
    <row r="90" spans="1:44" ht="13.15">
      <c r="A90" s="48">
        <f t="shared" si="35"/>
        <v>2006</v>
      </c>
      <c r="B90" s="48">
        <v>2</v>
      </c>
      <c r="C90" s="58" t="str">
        <f t="shared" si="36"/>
        <v>2006-2</v>
      </c>
      <c r="D90" s="48">
        <f t="shared" ref="D90:W90" si="42">D50</f>
        <v>9</v>
      </c>
      <c r="E90" s="48">
        <f t="shared" si="42"/>
        <v>19</v>
      </c>
      <c r="F90" s="48">
        <f t="shared" si="42"/>
        <v>27</v>
      </c>
      <c r="G90" s="48">
        <f t="shared" si="42"/>
        <v>28</v>
      </c>
      <c r="H90" s="48">
        <f t="shared" si="42"/>
        <v>32</v>
      </c>
      <c r="I90" s="48">
        <f t="shared" si="42"/>
        <v>35</v>
      </c>
      <c r="J90" s="48">
        <f t="shared" si="42"/>
        <v>36</v>
      </c>
      <c r="K90" s="48">
        <f t="shared" si="42"/>
        <v>36</v>
      </c>
      <c r="L90" s="48">
        <f t="shared" si="42"/>
        <v>36</v>
      </c>
      <c r="M90" s="48">
        <f t="shared" si="42"/>
        <v>37</v>
      </c>
      <c r="N90" s="48">
        <f t="shared" si="42"/>
        <v>40</v>
      </c>
      <c r="O90" s="48">
        <f t="shared" si="42"/>
        <v>40</v>
      </c>
      <c r="P90" s="48">
        <f t="shared" si="42"/>
        <v>40</v>
      </c>
      <c r="Q90" s="48">
        <f t="shared" si="42"/>
        <v>40</v>
      </c>
      <c r="R90" s="48">
        <f t="shared" si="42"/>
        <v>40</v>
      </c>
      <c r="S90" s="48">
        <f t="shared" si="42"/>
        <v>40</v>
      </c>
      <c r="T90" s="48">
        <f t="shared" si="42"/>
        <v>40</v>
      </c>
      <c r="U90" s="48">
        <f t="shared" si="42"/>
        <v>40</v>
      </c>
      <c r="V90" s="48">
        <f t="shared" si="42"/>
        <v>40</v>
      </c>
      <c r="W90" s="48">
        <f t="shared" si="42"/>
        <v>40</v>
      </c>
      <c r="X90" s="52">
        <f t="shared" si="38"/>
        <v>40</v>
      </c>
      <c r="Z90" s="30"/>
    </row>
    <row r="91" spans="1:44" ht="13.15">
      <c r="A91" s="48">
        <f t="shared" si="35"/>
        <v>2007</v>
      </c>
      <c r="B91" s="48">
        <v>0</v>
      </c>
      <c r="C91" s="58" t="str">
        <f t="shared" si="36"/>
        <v>2007-0</v>
      </c>
      <c r="D91" s="48">
        <f t="shared" ref="D91:W91" si="43">D51</f>
        <v>20</v>
      </c>
      <c r="E91" s="48">
        <f t="shared" si="43"/>
        <v>27</v>
      </c>
      <c r="F91" s="48">
        <f t="shared" si="43"/>
        <v>32</v>
      </c>
      <c r="G91" s="48">
        <f t="shared" si="43"/>
        <v>35</v>
      </c>
      <c r="H91" s="48">
        <f t="shared" si="43"/>
        <v>39</v>
      </c>
      <c r="I91" s="48">
        <f t="shared" si="43"/>
        <v>40</v>
      </c>
      <c r="J91" s="48">
        <f t="shared" si="43"/>
        <v>43</v>
      </c>
      <c r="K91" s="48">
        <f t="shared" si="43"/>
        <v>44</v>
      </c>
      <c r="L91" s="48">
        <f t="shared" si="43"/>
        <v>45</v>
      </c>
      <c r="M91" s="48">
        <f t="shared" si="43"/>
        <v>45</v>
      </c>
      <c r="N91" s="48">
        <f t="shared" si="43"/>
        <v>46</v>
      </c>
      <c r="O91" s="48">
        <f t="shared" si="43"/>
        <v>46</v>
      </c>
      <c r="P91" s="48">
        <f t="shared" si="43"/>
        <v>46</v>
      </c>
      <c r="Q91" s="48">
        <f t="shared" si="43"/>
        <v>46</v>
      </c>
      <c r="R91" s="48">
        <f t="shared" si="43"/>
        <v>46</v>
      </c>
      <c r="S91" s="48">
        <f t="shared" si="43"/>
        <v>46</v>
      </c>
      <c r="T91" s="48">
        <f t="shared" si="43"/>
        <v>46</v>
      </c>
      <c r="U91" s="48">
        <f t="shared" si="43"/>
        <v>46</v>
      </c>
      <c r="V91" s="48">
        <f t="shared" si="43"/>
        <v>46</v>
      </c>
      <c r="W91" s="48">
        <f t="shared" si="43"/>
        <v>46</v>
      </c>
      <c r="X91" s="52">
        <f t="shared" si="38"/>
        <v>46</v>
      </c>
      <c r="Z91" s="30"/>
    </row>
    <row r="92" spans="1:44" ht="13.15">
      <c r="A92" s="48">
        <f t="shared" si="35"/>
        <v>2007</v>
      </c>
      <c r="B92" s="48">
        <v>1</v>
      </c>
      <c r="C92" s="58" t="str">
        <f t="shared" si="36"/>
        <v>2007-1</v>
      </c>
      <c r="D92" s="48">
        <f t="shared" ref="D92:W92" si="44">D52</f>
        <v>18</v>
      </c>
      <c r="E92" s="48">
        <f t="shared" si="44"/>
        <v>26</v>
      </c>
      <c r="F92" s="48">
        <f t="shared" si="44"/>
        <v>31</v>
      </c>
      <c r="G92" s="48">
        <f t="shared" si="44"/>
        <v>33</v>
      </c>
      <c r="H92" s="48">
        <f t="shared" si="44"/>
        <v>36</v>
      </c>
      <c r="I92" s="48">
        <f t="shared" si="44"/>
        <v>36</v>
      </c>
      <c r="J92" s="48">
        <f t="shared" si="44"/>
        <v>39</v>
      </c>
      <c r="K92" s="48">
        <f t="shared" si="44"/>
        <v>39</v>
      </c>
      <c r="L92" s="48">
        <f t="shared" si="44"/>
        <v>39</v>
      </c>
      <c r="M92" s="48">
        <f t="shared" si="44"/>
        <v>39</v>
      </c>
      <c r="N92" s="48">
        <f t="shared" si="44"/>
        <v>39</v>
      </c>
      <c r="O92" s="48">
        <f t="shared" si="44"/>
        <v>39</v>
      </c>
      <c r="P92" s="48">
        <f t="shared" si="44"/>
        <v>39</v>
      </c>
      <c r="Q92" s="48">
        <f t="shared" si="44"/>
        <v>39</v>
      </c>
      <c r="R92" s="48">
        <f t="shared" si="44"/>
        <v>39</v>
      </c>
      <c r="S92" s="48">
        <f t="shared" si="44"/>
        <v>39</v>
      </c>
      <c r="T92" s="48">
        <f t="shared" si="44"/>
        <v>39</v>
      </c>
      <c r="U92" s="48">
        <f t="shared" si="44"/>
        <v>39</v>
      </c>
      <c r="V92" s="48">
        <f t="shared" si="44"/>
        <v>39</v>
      </c>
      <c r="W92" s="48">
        <f t="shared" si="44"/>
        <v>39</v>
      </c>
      <c r="X92" s="52">
        <f t="shared" si="38"/>
        <v>39</v>
      </c>
      <c r="Z92" s="30"/>
    </row>
    <row r="93" spans="1:44" ht="13.15">
      <c r="A93" s="48">
        <f t="shared" si="35"/>
        <v>2007</v>
      </c>
      <c r="B93" s="48">
        <v>2</v>
      </c>
      <c r="C93" s="58" t="str">
        <f t="shared" si="36"/>
        <v>2007-2</v>
      </c>
      <c r="D93" s="48">
        <f t="shared" ref="D93:W93" si="45">D53</f>
        <v>7</v>
      </c>
      <c r="E93" s="48">
        <f t="shared" si="45"/>
        <v>15</v>
      </c>
      <c r="F93" s="48">
        <f t="shared" si="45"/>
        <v>19</v>
      </c>
      <c r="G93" s="48">
        <f t="shared" si="45"/>
        <v>22</v>
      </c>
      <c r="H93" s="48">
        <f t="shared" si="45"/>
        <v>24</v>
      </c>
      <c r="I93" s="48">
        <f t="shared" si="45"/>
        <v>24</v>
      </c>
      <c r="J93" s="48">
        <f t="shared" si="45"/>
        <v>24</v>
      </c>
      <c r="K93" s="48">
        <f t="shared" si="45"/>
        <v>24</v>
      </c>
      <c r="L93" s="48">
        <f t="shared" si="45"/>
        <v>24</v>
      </c>
      <c r="M93" s="48">
        <f t="shared" si="45"/>
        <v>25</v>
      </c>
      <c r="N93" s="48">
        <f t="shared" si="45"/>
        <v>25</v>
      </c>
      <c r="O93" s="48">
        <f t="shared" si="45"/>
        <v>25</v>
      </c>
      <c r="P93" s="48">
        <f t="shared" si="45"/>
        <v>25</v>
      </c>
      <c r="Q93" s="48">
        <f t="shared" si="45"/>
        <v>25</v>
      </c>
      <c r="R93" s="48">
        <f t="shared" si="45"/>
        <v>25</v>
      </c>
      <c r="S93" s="48">
        <f t="shared" si="45"/>
        <v>25</v>
      </c>
      <c r="T93" s="48">
        <f t="shared" si="45"/>
        <v>25</v>
      </c>
      <c r="U93" s="48">
        <f t="shared" si="45"/>
        <v>25</v>
      </c>
      <c r="V93" s="48">
        <f t="shared" si="45"/>
        <v>25</v>
      </c>
      <c r="W93" s="48">
        <f t="shared" si="45"/>
        <v>25</v>
      </c>
      <c r="X93" s="52">
        <f t="shared" si="38"/>
        <v>25</v>
      </c>
      <c r="Z93" s="30"/>
      <c r="AR93" s="52">
        <f>X93*X$77</f>
        <v>0</v>
      </c>
    </row>
    <row r="94" spans="1:44" ht="13.15">
      <c r="A94" s="48">
        <f t="shared" si="35"/>
        <v>2008</v>
      </c>
      <c r="B94" s="48">
        <v>0</v>
      </c>
      <c r="C94" s="58" t="str">
        <f t="shared" si="36"/>
        <v>2008-0</v>
      </c>
      <c r="D94" s="48">
        <f t="shared" ref="D94:W94" si="46">D54</f>
        <v>13</v>
      </c>
      <c r="E94" s="48">
        <f t="shared" si="46"/>
        <v>24</v>
      </c>
      <c r="F94" s="48">
        <f t="shared" si="46"/>
        <v>29</v>
      </c>
      <c r="G94" s="48">
        <f t="shared" si="46"/>
        <v>34</v>
      </c>
      <c r="H94" s="48">
        <f t="shared" si="46"/>
        <v>35</v>
      </c>
      <c r="I94" s="48">
        <f t="shared" si="46"/>
        <v>37</v>
      </c>
      <c r="J94" s="48">
        <f t="shared" si="46"/>
        <v>37</v>
      </c>
      <c r="K94" s="48">
        <f t="shared" si="46"/>
        <v>37</v>
      </c>
      <c r="L94" s="48">
        <f t="shared" si="46"/>
        <v>37</v>
      </c>
      <c r="M94" s="48">
        <f t="shared" si="46"/>
        <v>39</v>
      </c>
      <c r="N94" s="48">
        <f t="shared" si="46"/>
        <v>39</v>
      </c>
      <c r="O94" s="48">
        <f t="shared" si="46"/>
        <v>39</v>
      </c>
      <c r="P94" s="48">
        <f t="shared" si="46"/>
        <v>39</v>
      </c>
      <c r="Q94" s="48">
        <f t="shared" si="46"/>
        <v>39</v>
      </c>
      <c r="R94" s="48">
        <f t="shared" si="46"/>
        <v>39</v>
      </c>
      <c r="S94" s="48">
        <f t="shared" si="46"/>
        <v>39</v>
      </c>
      <c r="T94" s="48">
        <f t="shared" si="46"/>
        <v>39</v>
      </c>
      <c r="U94" s="48">
        <f t="shared" si="46"/>
        <v>39</v>
      </c>
      <c r="V94" s="48">
        <f t="shared" si="46"/>
        <v>39</v>
      </c>
      <c r="W94" s="48">
        <f t="shared" si="46"/>
        <v>40</v>
      </c>
      <c r="X94" s="52">
        <f t="shared" si="38"/>
        <v>40</v>
      </c>
      <c r="Z94" s="30"/>
      <c r="AQ94" s="52">
        <f>W94*W$77</f>
        <v>40</v>
      </c>
    </row>
    <row r="95" spans="1:44" ht="13.15">
      <c r="A95" s="48">
        <f t="shared" si="35"/>
        <v>2008</v>
      </c>
      <c r="B95" s="48">
        <v>1</v>
      </c>
      <c r="C95" s="58" t="str">
        <f t="shared" si="36"/>
        <v>2008-1</v>
      </c>
      <c r="D95" s="48">
        <f t="shared" ref="D95:W95" si="47">D55</f>
        <v>29</v>
      </c>
      <c r="E95" s="48">
        <f t="shared" si="47"/>
        <v>37</v>
      </c>
      <c r="F95" s="48">
        <f t="shared" si="47"/>
        <v>50</v>
      </c>
      <c r="G95" s="48">
        <f t="shared" si="47"/>
        <v>54</v>
      </c>
      <c r="H95" s="48">
        <f t="shared" si="47"/>
        <v>57</v>
      </c>
      <c r="I95" s="48">
        <f t="shared" si="47"/>
        <v>60</v>
      </c>
      <c r="J95" s="48">
        <f t="shared" si="47"/>
        <v>60</v>
      </c>
      <c r="K95" s="48">
        <f t="shared" si="47"/>
        <v>60</v>
      </c>
      <c r="L95" s="48">
        <f t="shared" si="47"/>
        <v>60</v>
      </c>
      <c r="M95" s="48">
        <f t="shared" si="47"/>
        <v>61</v>
      </c>
      <c r="N95" s="48">
        <f t="shared" si="47"/>
        <v>63</v>
      </c>
      <c r="O95" s="48">
        <f t="shared" si="47"/>
        <v>64</v>
      </c>
      <c r="P95" s="48">
        <f t="shared" si="47"/>
        <v>64</v>
      </c>
      <c r="Q95" s="48">
        <f t="shared" si="47"/>
        <v>64</v>
      </c>
      <c r="R95" s="48">
        <f t="shared" si="47"/>
        <v>64</v>
      </c>
      <c r="S95" s="48">
        <f t="shared" si="47"/>
        <v>64</v>
      </c>
      <c r="T95" s="48">
        <f t="shared" si="47"/>
        <v>64</v>
      </c>
      <c r="U95" s="48">
        <f t="shared" si="47"/>
        <v>64</v>
      </c>
      <c r="V95" s="48">
        <f t="shared" si="47"/>
        <v>64</v>
      </c>
      <c r="W95" s="48" t="str">
        <f t="shared" si="47"/>
        <v/>
      </c>
      <c r="X95" s="52">
        <f>V95*V$77</f>
        <v>64.195718654434245</v>
      </c>
      <c r="Z95" s="30"/>
      <c r="AA95" s="30"/>
      <c r="AB95" s="30"/>
      <c r="AC95" s="30"/>
      <c r="AD95" s="30"/>
      <c r="AE95" s="30"/>
      <c r="AF95" s="30"/>
      <c r="AG95" s="30"/>
      <c r="AH95" s="30"/>
      <c r="AI95" s="30"/>
      <c r="AJ95" s="30"/>
      <c r="AK95" s="30"/>
      <c r="AL95" s="30"/>
      <c r="AM95" s="30"/>
      <c r="AP95" s="52">
        <f>V95*V$77</f>
        <v>64.195718654434245</v>
      </c>
    </row>
    <row r="96" spans="1:44" ht="13.15">
      <c r="A96" s="48">
        <f t="shared" si="35"/>
        <v>2008</v>
      </c>
      <c r="B96" s="48">
        <v>2</v>
      </c>
      <c r="C96" s="58" t="str">
        <f t="shared" si="36"/>
        <v>2008-2</v>
      </c>
      <c r="D96" s="48">
        <f t="shared" ref="D96:W96" si="48">D56</f>
        <v>17</v>
      </c>
      <c r="E96" s="48">
        <f t="shared" si="48"/>
        <v>25</v>
      </c>
      <c r="F96" s="48">
        <f t="shared" si="48"/>
        <v>32</v>
      </c>
      <c r="G96" s="48">
        <f t="shared" si="48"/>
        <v>36</v>
      </c>
      <c r="H96" s="48">
        <f t="shared" si="48"/>
        <v>40</v>
      </c>
      <c r="I96" s="48">
        <f t="shared" si="48"/>
        <v>40</v>
      </c>
      <c r="J96" s="48">
        <f t="shared" si="48"/>
        <v>41</v>
      </c>
      <c r="K96" s="48">
        <f t="shared" si="48"/>
        <v>42</v>
      </c>
      <c r="L96" s="48">
        <f t="shared" si="48"/>
        <v>42</v>
      </c>
      <c r="M96" s="48">
        <f t="shared" si="48"/>
        <v>42</v>
      </c>
      <c r="N96" s="48">
        <f t="shared" si="48"/>
        <v>42</v>
      </c>
      <c r="O96" s="48">
        <f t="shared" si="48"/>
        <v>42</v>
      </c>
      <c r="P96" s="48">
        <f t="shared" si="48"/>
        <v>42</v>
      </c>
      <c r="Q96" s="48">
        <f t="shared" si="48"/>
        <v>42</v>
      </c>
      <c r="R96" s="48">
        <f t="shared" si="48"/>
        <v>42</v>
      </c>
      <c r="S96" s="48">
        <f t="shared" si="48"/>
        <v>42</v>
      </c>
      <c r="T96" s="48">
        <f t="shared" si="48"/>
        <v>42</v>
      </c>
      <c r="U96" s="48">
        <f t="shared" si="48"/>
        <v>42</v>
      </c>
      <c r="V96" s="48" t="str">
        <f t="shared" si="48"/>
        <v/>
      </c>
      <c r="W96" s="48" t="str">
        <f t="shared" si="48"/>
        <v/>
      </c>
      <c r="X96" s="52">
        <f>U96*U$77</f>
        <v>42.12844036697247</v>
      </c>
      <c r="Y96" s="52"/>
      <c r="Z96" s="30"/>
    </row>
    <row r="97" spans="1:26" ht="13.15">
      <c r="A97" s="48">
        <f t="shared" si="35"/>
        <v>2009</v>
      </c>
      <c r="B97" s="48">
        <v>0</v>
      </c>
      <c r="C97" s="58" t="str">
        <f t="shared" si="36"/>
        <v>2009-0</v>
      </c>
      <c r="D97" s="48">
        <f t="shared" ref="D97:W97" si="49">D57</f>
        <v>29</v>
      </c>
      <c r="E97" s="48">
        <f t="shared" si="49"/>
        <v>40</v>
      </c>
      <c r="F97" s="48">
        <f t="shared" si="49"/>
        <v>45</v>
      </c>
      <c r="G97" s="48">
        <f t="shared" si="49"/>
        <v>49</v>
      </c>
      <c r="H97" s="48">
        <f t="shared" si="49"/>
        <v>51</v>
      </c>
      <c r="I97" s="48">
        <f t="shared" si="49"/>
        <v>54</v>
      </c>
      <c r="J97" s="48">
        <f t="shared" si="49"/>
        <v>54</v>
      </c>
      <c r="K97" s="48">
        <f t="shared" si="49"/>
        <v>54</v>
      </c>
      <c r="L97" s="48">
        <f t="shared" si="49"/>
        <v>54</v>
      </c>
      <c r="M97" s="48">
        <f t="shared" si="49"/>
        <v>54</v>
      </c>
      <c r="N97" s="48">
        <f t="shared" si="49"/>
        <v>55</v>
      </c>
      <c r="O97" s="48">
        <f t="shared" si="49"/>
        <v>55</v>
      </c>
      <c r="P97" s="48">
        <f t="shared" si="49"/>
        <v>55</v>
      </c>
      <c r="Q97" s="48">
        <f t="shared" si="49"/>
        <v>55</v>
      </c>
      <c r="R97" s="48">
        <f t="shared" si="49"/>
        <v>55</v>
      </c>
      <c r="S97" s="48">
        <f t="shared" si="49"/>
        <v>55</v>
      </c>
      <c r="T97" s="48">
        <f t="shared" si="49"/>
        <v>55</v>
      </c>
      <c r="U97" s="48" t="str">
        <f t="shared" si="49"/>
        <v/>
      </c>
      <c r="V97" s="48" t="str">
        <f t="shared" si="49"/>
        <v/>
      </c>
      <c r="W97" s="48" t="str">
        <f t="shared" si="49"/>
        <v/>
      </c>
      <c r="X97" s="52">
        <f>T97*T$77</f>
        <v>55.168195718654431</v>
      </c>
      <c r="Z97" s="30"/>
    </row>
    <row r="98" spans="1:26" ht="13.15">
      <c r="A98" s="48">
        <f t="shared" si="35"/>
        <v>2009</v>
      </c>
      <c r="B98" s="48">
        <v>1</v>
      </c>
      <c r="C98" s="58" t="str">
        <f t="shared" si="36"/>
        <v>2009-1</v>
      </c>
      <c r="D98" s="48">
        <f t="shared" ref="D98:W98" si="50">D58</f>
        <v>33</v>
      </c>
      <c r="E98" s="48">
        <f t="shared" si="50"/>
        <v>49</v>
      </c>
      <c r="F98" s="48">
        <f t="shared" si="50"/>
        <v>54</v>
      </c>
      <c r="G98" s="48">
        <f t="shared" si="50"/>
        <v>61</v>
      </c>
      <c r="H98" s="48">
        <f t="shared" si="50"/>
        <v>63</v>
      </c>
      <c r="I98" s="48">
        <f t="shared" si="50"/>
        <v>69</v>
      </c>
      <c r="J98" s="48">
        <f t="shared" si="50"/>
        <v>70</v>
      </c>
      <c r="K98" s="48">
        <f t="shared" si="50"/>
        <v>71</v>
      </c>
      <c r="L98" s="48">
        <f t="shared" si="50"/>
        <v>71</v>
      </c>
      <c r="M98" s="48">
        <f t="shared" si="50"/>
        <v>73</v>
      </c>
      <c r="N98" s="48">
        <f t="shared" si="50"/>
        <v>76</v>
      </c>
      <c r="O98" s="48">
        <f t="shared" si="50"/>
        <v>77</v>
      </c>
      <c r="P98" s="48">
        <f t="shared" si="50"/>
        <v>77</v>
      </c>
      <c r="Q98" s="48">
        <f t="shared" si="50"/>
        <v>77</v>
      </c>
      <c r="R98" s="48">
        <f t="shared" si="50"/>
        <v>77</v>
      </c>
      <c r="S98" s="48">
        <f t="shared" si="50"/>
        <v>77</v>
      </c>
      <c r="T98" s="48" t="str">
        <f t="shared" si="50"/>
        <v/>
      </c>
      <c r="U98" s="48" t="str">
        <f t="shared" si="50"/>
        <v/>
      </c>
      <c r="V98" s="48" t="str">
        <f t="shared" si="50"/>
        <v/>
      </c>
      <c r="W98" s="48" t="str">
        <f t="shared" si="50"/>
        <v/>
      </c>
      <c r="X98" s="52">
        <f>S98*S$77</f>
        <v>77.235474006116206</v>
      </c>
      <c r="Z98" s="30"/>
    </row>
    <row r="99" spans="1:26" ht="13.15">
      <c r="A99" s="48">
        <f t="shared" si="35"/>
        <v>2009</v>
      </c>
      <c r="B99" s="48">
        <v>2</v>
      </c>
      <c r="C99" s="58" t="str">
        <f t="shared" si="36"/>
        <v>2009-2</v>
      </c>
      <c r="D99" s="48">
        <f t="shared" ref="D99:W99" si="51">D59</f>
        <v>26</v>
      </c>
      <c r="E99" s="48">
        <f t="shared" si="51"/>
        <v>37</v>
      </c>
      <c r="F99" s="48">
        <f t="shared" si="51"/>
        <v>46</v>
      </c>
      <c r="G99" s="48">
        <f t="shared" si="51"/>
        <v>48</v>
      </c>
      <c r="H99" s="48">
        <f t="shared" si="51"/>
        <v>51</v>
      </c>
      <c r="I99" s="48">
        <f t="shared" si="51"/>
        <v>51</v>
      </c>
      <c r="J99" s="48">
        <f t="shared" si="51"/>
        <v>56</v>
      </c>
      <c r="K99" s="48">
        <f t="shared" si="51"/>
        <v>57</v>
      </c>
      <c r="L99" s="48">
        <f t="shared" si="51"/>
        <v>58</v>
      </c>
      <c r="M99" s="48">
        <f t="shared" si="51"/>
        <v>59</v>
      </c>
      <c r="N99" s="48">
        <f t="shared" si="51"/>
        <v>60</v>
      </c>
      <c r="O99" s="48">
        <f t="shared" si="51"/>
        <v>60</v>
      </c>
      <c r="P99" s="48">
        <f t="shared" si="51"/>
        <v>60</v>
      </c>
      <c r="Q99" s="48">
        <f t="shared" si="51"/>
        <v>61</v>
      </c>
      <c r="R99" s="48">
        <f t="shared" si="51"/>
        <v>62</v>
      </c>
      <c r="S99" s="48" t="str">
        <f t="shared" si="51"/>
        <v/>
      </c>
      <c r="T99" s="48" t="str">
        <f t="shared" si="51"/>
        <v/>
      </c>
      <c r="U99" s="48" t="str">
        <f t="shared" si="51"/>
        <v/>
      </c>
      <c r="V99" s="48" t="str">
        <f t="shared" si="51"/>
        <v/>
      </c>
      <c r="W99" s="48" t="str">
        <f t="shared" si="51"/>
        <v/>
      </c>
      <c r="X99" s="52">
        <f>R99*R$77</f>
        <v>62.189602446483178</v>
      </c>
      <c r="Z99" s="30"/>
    </row>
    <row r="100" spans="1:26" ht="13.15">
      <c r="A100" s="48">
        <f t="shared" si="35"/>
        <v>2010</v>
      </c>
      <c r="B100" s="48">
        <v>0</v>
      </c>
      <c r="C100" s="58" t="str">
        <f t="shared" si="36"/>
        <v>2010-0</v>
      </c>
      <c r="D100" s="48">
        <f t="shared" ref="D100:W100" si="52">D60</f>
        <v>26</v>
      </c>
      <c r="E100" s="48">
        <f t="shared" si="52"/>
        <v>39</v>
      </c>
      <c r="F100" s="48">
        <f t="shared" si="52"/>
        <v>48</v>
      </c>
      <c r="G100" s="48">
        <f t="shared" si="52"/>
        <v>53</v>
      </c>
      <c r="H100" s="48">
        <f t="shared" si="52"/>
        <v>60</v>
      </c>
      <c r="I100" s="48">
        <f t="shared" si="52"/>
        <v>63</v>
      </c>
      <c r="J100" s="48">
        <f t="shared" si="52"/>
        <v>64</v>
      </c>
      <c r="K100" s="48">
        <f t="shared" si="52"/>
        <v>64</v>
      </c>
      <c r="L100" s="48">
        <f t="shared" si="52"/>
        <v>66</v>
      </c>
      <c r="M100" s="48">
        <f t="shared" si="52"/>
        <v>66</v>
      </c>
      <c r="N100" s="48">
        <f t="shared" si="52"/>
        <v>66</v>
      </c>
      <c r="O100" s="48">
        <f t="shared" si="52"/>
        <v>66</v>
      </c>
      <c r="P100" s="48">
        <f t="shared" si="52"/>
        <v>66</v>
      </c>
      <c r="Q100" s="48">
        <f t="shared" si="52"/>
        <v>66</v>
      </c>
      <c r="R100" s="48" t="str">
        <f t="shared" si="52"/>
        <v/>
      </c>
      <c r="S100" s="48" t="str">
        <f t="shared" si="52"/>
        <v/>
      </c>
      <c r="T100" s="48" t="str">
        <f t="shared" si="52"/>
        <v/>
      </c>
      <c r="U100" s="48" t="str">
        <f t="shared" si="52"/>
        <v/>
      </c>
      <c r="V100" s="48" t="str">
        <f t="shared" si="52"/>
        <v/>
      </c>
      <c r="W100" s="48" t="str">
        <f t="shared" si="52"/>
        <v/>
      </c>
      <c r="X100" s="52">
        <f>Q100*Q$77</f>
        <v>66.307588592197433</v>
      </c>
      <c r="Z100" s="30"/>
    </row>
    <row r="101" spans="1:26" ht="13.15">
      <c r="A101" s="48">
        <f t="shared" si="35"/>
        <v>2010</v>
      </c>
      <c r="B101" s="48">
        <v>1</v>
      </c>
      <c r="C101" s="58" t="str">
        <f t="shared" si="36"/>
        <v>2010-1</v>
      </c>
      <c r="D101" s="48">
        <f t="shared" ref="D101:W101" si="53">D61</f>
        <v>34</v>
      </c>
      <c r="E101" s="48">
        <f t="shared" si="53"/>
        <v>58</v>
      </c>
      <c r="F101" s="48">
        <f t="shared" si="53"/>
        <v>66</v>
      </c>
      <c r="G101" s="48">
        <f t="shared" si="53"/>
        <v>73</v>
      </c>
      <c r="H101" s="48">
        <f t="shared" si="53"/>
        <v>78</v>
      </c>
      <c r="I101" s="48">
        <f t="shared" si="53"/>
        <v>79</v>
      </c>
      <c r="J101" s="48">
        <f t="shared" si="53"/>
        <v>81</v>
      </c>
      <c r="K101" s="48">
        <f t="shared" si="53"/>
        <v>82</v>
      </c>
      <c r="L101" s="48">
        <f t="shared" si="53"/>
        <v>83</v>
      </c>
      <c r="M101" s="48">
        <f t="shared" si="53"/>
        <v>84</v>
      </c>
      <c r="N101" s="48">
        <f t="shared" si="53"/>
        <v>84</v>
      </c>
      <c r="O101" s="48">
        <f t="shared" si="53"/>
        <v>85</v>
      </c>
      <c r="P101" s="48">
        <f t="shared" si="53"/>
        <v>86</v>
      </c>
      <c r="Q101" s="48" t="str">
        <f t="shared" si="53"/>
        <v/>
      </c>
      <c r="R101" s="48" t="str">
        <f t="shared" si="53"/>
        <v/>
      </c>
      <c r="S101" s="48" t="str">
        <f t="shared" si="53"/>
        <v/>
      </c>
      <c r="T101" s="48" t="str">
        <f t="shared" si="53"/>
        <v/>
      </c>
      <c r="U101" s="48" t="str">
        <f t="shared" si="53"/>
        <v/>
      </c>
      <c r="V101" s="48" t="str">
        <f t="shared" si="53"/>
        <v/>
      </c>
      <c r="W101" s="48" t="str">
        <f t="shared" si="53"/>
        <v/>
      </c>
      <c r="X101" s="52">
        <f>P101*P$77</f>
        <v>86.651234349996784</v>
      </c>
      <c r="Z101" s="30"/>
    </row>
    <row r="102" spans="1:26" ht="13.15">
      <c r="A102" s="48">
        <f t="shared" si="35"/>
        <v>2010</v>
      </c>
      <c r="B102" s="48">
        <v>2</v>
      </c>
      <c r="C102" s="58" t="str">
        <f t="shared" si="36"/>
        <v>2010-2</v>
      </c>
      <c r="D102" s="48">
        <f t="shared" ref="D102:W102" si="54">D62</f>
        <v>43</v>
      </c>
      <c r="E102" s="48">
        <f t="shared" si="54"/>
        <v>70</v>
      </c>
      <c r="F102" s="48">
        <f t="shared" si="54"/>
        <v>79</v>
      </c>
      <c r="G102" s="48">
        <f t="shared" si="54"/>
        <v>85</v>
      </c>
      <c r="H102" s="48">
        <f t="shared" si="54"/>
        <v>92</v>
      </c>
      <c r="I102" s="48">
        <f t="shared" si="54"/>
        <v>96</v>
      </c>
      <c r="J102" s="48">
        <f t="shared" si="54"/>
        <v>98</v>
      </c>
      <c r="K102" s="48">
        <f t="shared" si="54"/>
        <v>99</v>
      </c>
      <c r="L102" s="48">
        <f t="shared" si="54"/>
        <v>99</v>
      </c>
      <c r="M102" s="48">
        <f t="shared" si="54"/>
        <v>103</v>
      </c>
      <c r="N102" s="48">
        <f t="shared" si="54"/>
        <v>104</v>
      </c>
      <c r="O102" s="48">
        <f t="shared" si="54"/>
        <v>104</v>
      </c>
      <c r="P102" s="48" t="str">
        <f t="shared" si="54"/>
        <v/>
      </c>
      <c r="Q102" s="48" t="str">
        <f t="shared" si="54"/>
        <v/>
      </c>
      <c r="R102" s="48" t="str">
        <f t="shared" si="54"/>
        <v/>
      </c>
      <c r="S102" s="48" t="str">
        <f t="shared" si="54"/>
        <v/>
      </c>
      <c r="T102" s="48" t="str">
        <f t="shared" si="54"/>
        <v/>
      </c>
      <c r="U102" s="48" t="str">
        <f t="shared" si="54"/>
        <v/>
      </c>
      <c r="V102" s="48" t="str">
        <f t="shared" si="54"/>
        <v/>
      </c>
      <c r="W102" s="48" t="str">
        <f t="shared" si="54"/>
        <v/>
      </c>
      <c r="X102" s="52">
        <f>O102*O$77</f>
        <v>104.92274894196758</v>
      </c>
      <c r="Z102" s="30"/>
    </row>
    <row r="103" spans="1:26" ht="13.15">
      <c r="A103" s="48">
        <f t="shared" si="35"/>
        <v>2011</v>
      </c>
      <c r="B103" s="48">
        <v>0</v>
      </c>
      <c r="C103" s="58" t="str">
        <f t="shared" si="36"/>
        <v>2011-0</v>
      </c>
      <c r="D103" s="48">
        <f t="shared" ref="D103:W103" si="55">D63</f>
        <v>36</v>
      </c>
      <c r="E103" s="48">
        <f t="shared" si="55"/>
        <v>53</v>
      </c>
      <c r="F103" s="48">
        <f t="shared" si="55"/>
        <v>69</v>
      </c>
      <c r="G103" s="48">
        <f t="shared" si="55"/>
        <v>75</v>
      </c>
      <c r="H103" s="48">
        <f t="shared" si="55"/>
        <v>79</v>
      </c>
      <c r="I103" s="48">
        <f t="shared" si="55"/>
        <v>81</v>
      </c>
      <c r="J103" s="48">
        <f t="shared" si="55"/>
        <v>82</v>
      </c>
      <c r="K103" s="48">
        <f t="shared" si="55"/>
        <v>82</v>
      </c>
      <c r="L103" s="48">
        <f t="shared" si="55"/>
        <v>84</v>
      </c>
      <c r="M103" s="48">
        <f t="shared" si="55"/>
        <v>86</v>
      </c>
      <c r="N103" s="48">
        <f t="shared" si="55"/>
        <v>87</v>
      </c>
      <c r="O103" s="48" t="str">
        <f t="shared" si="55"/>
        <v/>
      </c>
      <c r="P103" s="48" t="str">
        <f t="shared" si="55"/>
        <v/>
      </c>
      <c r="Q103" s="48" t="str">
        <f t="shared" si="55"/>
        <v/>
      </c>
      <c r="R103" s="48" t="str">
        <f t="shared" si="55"/>
        <v/>
      </c>
      <c r="S103" s="48" t="str">
        <f t="shared" si="55"/>
        <v/>
      </c>
      <c r="T103" s="48" t="str">
        <f t="shared" si="55"/>
        <v/>
      </c>
      <c r="U103" s="48" t="str">
        <f t="shared" si="55"/>
        <v/>
      </c>
      <c r="V103" s="48" t="str">
        <f t="shared" si="55"/>
        <v/>
      </c>
      <c r="W103" s="48" t="str">
        <f t="shared" si="55"/>
        <v/>
      </c>
      <c r="X103" s="52">
        <f>N103*N$77</f>
        <v>88.173158020209755</v>
      </c>
      <c r="Z103" s="30"/>
    </row>
    <row r="104" spans="1:26" ht="13.15">
      <c r="A104" s="48">
        <f t="shared" si="35"/>
        <v>2011</v>
      </c>
      <c r="B104" s="48">
        <v>1</v>
      </c>
      <c r="C104" s="58" t="str">
        <f t="shared" si="36"/>
        <v>2011-1</v>
      </c>
      <c r="D104" s="48">
        <f t="shared" ref="D104:W104" si="56">D64</f>
        <v>37</v>
      </c>
      <c r="E104" s="48">
        <f t="shared" si="56"/>
        <v>57</v>
      </c>
      <c r="F104" s="48">
        <f t="shared" si="56"/>
        <v>64</v>
      </c>
      <c r="G104" s="48">
        <f t="shared" si="56"/>
        <v>69</v>
      </c>
      <c r="H104" s="48">
        <f t="shared" si="56"/>
        <v>72</v>
      </c>
      <c r="I104" s="48">
        <f t="shared" si="56"/>
        <v>74</v>
      </c>
      <c r="J104" s="48">
        <f t="shared" si="56"/>
        <v>76</v>
      </c>
      <c r="K104" s="48">
        <f t="shared" si="56"/>
        <v>76</v>
      </c>
      <c r="L104" s="48">
        <f t="shared" si="56"/>
        <v>76</v>
      </c>
      <c r="M104" s="48">
        <f t="shared" si="56"/>
        <v>77</v>
      </c>
      <c r="N104" s="48" t="str">
        <f t="shared" si="56"/>
        <v/>
      </c>
      <c r="O104" s="48" t="str">
        <f t="shared" si="56"/>
        <v/>
      </c>
      <c r="P104" s="48" t="str">
        <f t="shared" si="56"/>
        <v/>
      </c>
      <c r="Q104" s="48" t="str">
        <f t="shared" si="56"/>
        <v/>
      </c>
      <c r="R104" s="48" t="str">
        <f t="shared" si="56"/>
        <v/>
      </c>
      <c r="S104" s="48" t="str">
        <f t="shared" si="56"/>
        <v/>
      </c>
      <c r="T104" s="48" t="str">
        <f t="shared" si="56"/>
        <v/>
      </c>
      <c r="U104" s="48" t="str">
        <f t="shared" si="56"/>
        <v/>
      </c>
      <c r="V104" s="48" t="str">
        <f t="shared" si="56"/>
        <v/>
      </c>
      <c r="W104" s="48" t="str">
        <f t="shared" si="56"/>
        <v/>
      </c>
      <c r="X104" s="52">
        <f>M104*M$77</f>
        <v>79.358199159060746</v>
      </c>
      <c r="Z104" s="30"/>
    </row>
    <row r="105" spans="1:26" ht="13.15">
      <c r="A105" s="48">
        <f t="shared" si="35"/>
        <v>2011</v>
      </c>
      <c r="B105" s="48">
        <v>2</v>
      </c>
      <c r="C105" s="58" t="str">
        <f t="shared" si="36"/>
        <v>2011-2</v>
      </c>
      <c r="D105" s="48">
        <f t="shared" ref="D105:W105" si="57">D65</f>
        <v>32</v>
      </c>
      <c r="E105" s="48">
        <f t="shared" si="57"/>
        <v>55</v>
      </c>
      <c r="F105" s="48">
        <f t="shared" si="57"/>
        <v>64</v>
      </c>
      <c r="G105" s="48">
        <f t="shared" si="57"/>
        <v>69</v>
      </c>
      <c r="H105" s="48">
        <f t="shared" si="57"/>
        <v>75</v>
      </c>
      <c r="I105" s="48">
        <f t="shared" si="57"/>
        <v>79</v>
      </c>
      <c r="J105" s="48">
        <f t="shared" si="57"/>
        <v>81</v>
      </c>
      <c r="K105" s="48">
        <f t="shared" si="57"/>
        <v>84</v>
      </c>
      <c r="L105" s="48">
        <f t="shared" si="57"/>
        <v>86</v>
      </c>
      <c r="M105" s="48" t="str">
        <f t="shared" si="57"/>
        <v/>
      </c>
      <c r="N105" s="48" t="str">
        <f t="shared" si="57"/>
        <v/>
      </c>
      <c r="O105" s="48" t="str">
        <f t="shared" si="57"/>
        <v/>
      </c>
      <c r="P105" s="48" t="str">
        <f t="shared" si="57"/>
        <v/>
      </c>
      <c r="Q105" s="48" t="str">
        <f t="shared" si="57"/>
        <v/>
      </c>
      <c r="R105" s="48" t="str">
        <f t="shared" si="57"/>
        <v/>
      </c>
      <c r="S105" s="48" t="str">
        <f t="shared" si="57"/>
        <v/>
      </c>
      <c r="T105" s="48" t="str">
        <f t="shared" si="57"/>
        <v/>
      </c>
      <c r="U105" s="48" t="str">
        <f t="shared" si="57"/>
        <v/>
      </c>
      <c r="V105" s="48" t="str">
        <f t="shared" si="57"/>
        <v/>
      </c>
      <c r="W105" s="48" t="str">
        <f t="shared" si="57"/>
        <v/>
      </c>
      <c r="X105" s="52">
        <f>L105*L$77</f>
        <v>90.401207359944152</v>
      </c>
      <c r="Z105" s="30"/>
    </row>
    <row r="106" spans="1:26" ht="13.15">
      <c r="A106" s="48">
        <f t="shared" si="35"/>
        <v>2012</v>
      </c>
      <c r="B106" s="48">
        <v>0</v>
      </c>
      <c r="C106" s="58" t="str">
        <f t="shared" si="36"/>
        <v>2012-0</v>
      </c>
      <c r="D106" s="48">
        <f t="shared" ref="D106:W106" si="58">D66</f>
        <v>18</v>
      </c>
      <c r="E106" s="48">
        <f t="shared" si="58"/>
        <v>34</v>
      </c>
      <c r="F106" s="48">
        <f t="shared" si="58"/>
        <v>43</v>
      </c>
      <c r="G106" s="48">
        <f t="shared" si="58"/>
        <v>50</v>
      </c>
      <c r="H106" s="48">
        <f t="shared" si="58"/>
        <v>54</v>
      </c>
      <c r="I106" s="48">
        <f t="shared" si="58"/>
        <v>56</v>
      </c>
      <c r="J106" s="48">
        <f t="shared" si="58"/>
        <v>59</v>
      </c>
      <c r="K106" s="48">
        <f t="shared" si="58"/>
        <v>59</v>
      </c>
      <c r="L106" s="48" t="str">
        <f t="shared" si="58"/>
        <v/>
      </c>
      <c r="M106" s="48" t="str">
        <f t="shared" si="58"/>
        <v/>
      </c>
      <c r="N106" s="48" t="str">
        <f t="shared" si="58"/>
        <v/>
      </c>
      <c r="O106" s="48" t="str">
        <f t="shared" si="58"/>
        <v/>
      </c>
      <c r="P106" s="48" t="str">
        <f t="shared" si="58"/>
        <v/>
      </c>
      <c r="Q106" s="48" t="str">
        <f t="shared" si="58"/>
        <v/>
      </c>
      <c r="R106" s="48" t="str">
        <f t="shared" si="58"/>
        <v/>
      </c>
      <c r="S106" s="48" t="str">
        <f t="shared" si="58"/>
        <v/>
      </c>
      <c r="T106" s="48" t="str">
        <f t="shared" si="58"/>
        <v/>
      </c>
      <c r="U106" s="48" t="str">
        <f t="shared" si="58"/>
        <v/>
      </c>
      <c r="V106" s="48" t="str">
        <f t="shared" si="58"/>
        <v/>
      </c>
      <c r="W106" s="48" t="str">
        <f t="shared" si="58"/>
        <v/>
      </c>
      <c r="X106" s="52">
        <f>K106*K$77</f>
        <v>62.652284312937091</v>
      </c>
      <c r="Z106" s="30"/>
    </row>
    <row r="107" spans="1:26" ht="13.15">
      <c r="A107" s="48">
        <f t="shared" si="35"/>
        <v>2012</v>
      </c>
      <c r="B107" s="48">
        <v>1</v>
      </c>
      <c r="C107" s="58" t="str">
        <f t="shared" si="36"/>
        <v>2012-1</v>
      </c>
      <c r="D107" s="48">
        <f t="shared" ref="D107:W107" si="59">D67</f>
        <v>18</v>
      </c>
      <c r="E107" s="48">
        <f t="shared" si="59"/>
        <v>36</v>
      </c>
      <c r="F107" s="48">
        <f t="shared" si="59"/>
        <v>44</v>
      </c>
      <c r="G107" s="48">
        <f t="shared" si="59"/>
        <v>51</v>
      </c>
      <c r="H107" s="48">
        <f t="shared" si="59"/>
        <v>58</v>
      </c>
      <c r="I107" s="48">
        <f t="shared" si="59"/>
        <v>63</v>
      </c>
      <c r="J107" s="48">
        <f t="shared" si="59"/>
        <v>65</v>
      </c>
      <c r="K107" s="48" t="str">
        <f t="shared" si="59"/>
        <v/>
      </c>
      <c r="L107" s="48" t="str">
        <f t="shared" si="59"/>
        <v/>
      </c>
      <c r="M107" s="48" t="str">
        <f t="shared" si="59"/>
        <v/>
      </c>
      <c r="N107" s="48" t="str">
        <f t="shared" si="59"/>
        <v/>
      </c>
      <c r="O107" s="48" t="str">
        <f t="shared" si="59"/>
        <v/>
      </c>
      <c r="P107" s="48" t="str">
        <f t="shared" si="59"/>
        <v/>
      </c>
      <c r="Q107" s="48" t="str">
        <f t="shared" si="59"/>
        <v/>
      </c>
      <c r="R107" s="48" t="str">
        <f t="shared" si="59"/>
        <v/>
      </c>
      <c r="S107" s="48" t="str">
        <f t="shared" si="59"/>
        <v/>
      </c>
      <c r="T107" s="48" t="str">
        <f t="shared" si="59"/>
        <v/>
      </c>
      <c r="U107" s="48" t="str">
        <f t="shared" si="59"/>
        <v/>
      </c>
      <c r="V107" s="48" t="str">
        <f t="shared" si="59"/>
        <v/>
      </c>
      <c r="W107" s="48" t="str">
        <f t="shared" si="59"/>
        <v/>
      </c>
      <c r="X107" s="52">
        <f>J107*J$77</f>
        <v>69.759955889229602</v>
      </c>
      <c r="Z107" s="30"/>
    </row>
    <row r="108" spans="1:26" ht="13.15">
      <c r="A108" s="48">
        <f t="shared" si="35"/>
        <v>2012</v>
      </c>
      <c r="B108" s="48">
        <v>2</v>
      </c>
      <c r="C108" s="58" t="str">
        <f t="shared" si="36"/>
        <v>2012-2</v>
      </c>
      <c r="D108" s="48">
        <f t="shared" ref="D108:W108" si="60">D68</f>
        <v>17</v>
      </c>
      <c r="E108" s="48">
        <f t="shared" si="60"/>
        <v>43</v>
      </c>
      <c r="F108" s="48">
        <f t="shared" si="60"/>
        <v>54</v>
      </c>
      <c r="G108" s="48">
        <f t="shared" si="60"/>
        <v>63</v>
      </c>
      <c r="H108" s="48">
        <f t="shared" si="60"/>
        <v>72</v>
      </c>
      <c r="I108" s="48">
        <f t="shared" si="60"/>
        <v>75</v>
      </c>
      <c r="J108" s="48" t="str">
        <f t="shared" si="60"/>
        <v/>
      </c>
      <c r="K108" s="48" t="str">
        <f t="shared" si="60"/>
        <v/>
      </c>
      <c r="L108" s="48" t="str">
        <f t="shared" si="60"/>
        <v/>
      </c>
      <c r="M108" s="48" t="str">
        <f t="shared" si="60"/>
        <v/>
      </c>
      <c r="N108" s="48" t="str">
        <f t="shared" si="60"/>
        <v/>
      </c>
      <c r="O108" s="48" t="str">
        <f t="shared" si="60"/>
        <v/>
      </c>
      <c r="P108" s="48" t="str">
        <f t="shared" si="60"/>
        <v/>
      </c>
      <c r="Q108" s="48" t="str">
        <f t="shared" si="60"/>
        <v/>
      </c>
      <c r="R108" s="48" t="str">
        <f t="shared" si="60"/>
        <v/>
      </c>
      <c r="S108" s="48" t="str">
        <f t="shared" si="60"/>
        <v/>
      </c>
      <c r="T108" s="48" t="str">
        <f t="shared" si="60"/>
        <v/>
      </c>
      <c r="U108" s="48" t="str">
        <f t="shared" si="60"/>
        <v/>
      </c>
      <c r="V108" s="48" t="str">
        <f t="shared" si="60"/>
        <v/>
      </c>
      <c r="W108" s="48" t="str">
        <f t="shared" si="60"/>
        <v/>
      </c>
      <c r="X108" s="52">
        <f>I108*I$77</f>
        <v>82.71656786387328</v>
      </c>
      <c r="Z108" s="30"/>
    </row>
    <row r="109" spans="1:26" ht="13.15">
      <c r="A109" s="48">
        <f t="shared" si="35"/>
        <v>2013</v>
      </c>
      <c r="B109" s="48">
        <v>0</v>
      </c>
      <c r="C109" s="58" t="str">
        <f t="shared" si="36"/>
        <v>2013-0</v>
      </c>
      <c r="D109" s="48">
        <f t="shared" ref="D109:W109" si="61">D69</f>
        <v>16</v>
      </c>
      <c r="E109" s="48">
        <f t="shared" si="61"/>
        <v>29</v>
      </c>
      <c r="F109" s="48">
        <f t="shared" si="61"/>
        <v>50</v>
      </c>
      <c r="G109" s="48">
        <f t="shared" si="61"/>
        <v>60</v>
      </c>
      <c r="H109" s="48">
        <f t="shared" si="61"/>
        <v>62</v>
      </c>
      <c r="I109" s="48" t="str">
        <f t="shared" si="61"/>
        <v/>
      </c>
      <c r="J109" s="48" t="str">
        <f t="shared" si="61"/>
        <v/>
      </c>
      <c r="K109" s="48" t="str">
        <f t="shared" si="61"/>
        <v/>
      </c>
      <c r="L109" s="48" t="str">
        <f t="shared" si="61"/>
        <v/>
      </c>
      <c r="M109" s="48" t="str">
        <f t="shared" si="61"/>
        <v/>
      </c>
      <c r="N109" s="48" t="str">
        <f t="shared" si="61"/>
        <v/>
      </c>
      <c r="O109" s="48" t="str">
        <f t="shared" si="61"/>
        <v/>
      </c>
      <c r="P109" s="48" t="str">
        <f t="shared" si="61"/>
        <v/>
      </c>
      <c r="Q109" s="48" t="str">
        <f t="shared" si="61"/>
        <v/>
      </c>
      <c r="R109" s="48" t="str">
        <f t="shared" si="61"/>
        <v/>
      </c>
      <c r="S109" s="48" t="str">
        <f t="shared" si="61"/>
        <v/>
      </c>
      <c r="T109" s="48" t="str">
        <f t="shared" si="61"/>
        <v/>
      </c>
      <c r="U109" s="48" t="str">
        <f t="shared" si="61"/>
        <v/>
      </c>
      <c r="V109" s="48" t="str">
        <f t="shared" si="61"/>
        <v/>
      </c>
      <c r="W109" s="48" t="str">
        <f t="shared" si="61"/>
        <v/>
      </c>
      <c r="X109" s="52">
        <f>H109*H$77</f>
        <v>71.208904807676305</v>
      </c>
      <c r="Z109" s="30"/>
    </row>
    <row r="110" spans="1:26" ht="13.15">
      <c r="A110" s="48">
        <f t="shared" si="35"/>
        <v>2013</v>
      </c>
      <c r="B110" s="48">
        <v>1</v>
      </c>
      <c r="C110" s="58" t="str">
        <f t="shared" si="36"/>
        <v>2013-1</v>
      </c>
      <c r="D110" s="48">
        <f t="shared" ref="D110:W110" si="62">D70</f>
        <v>12</v>
      </c>
      <c r="E110" s="48">
        <f t="shared" si="62"/>
        <v>37</v>
      </c>
      <c r="F110" s="48">
        <f t="shared" si="62"/>
        <v>58</v>
      </c>
      <c r="G110" s="48">
        <f t="shared" si="62"/>
        <v>71</v>
      </c>
      <c r="H110" s="48" t="str">
        <f t="shared" si="62"/>
        <v/>
      </c>
      <c r="I110" s="48" t="str">
        <f t="shared" si="62"/>
        <v/>
      </c>
      <c r="J110" s="48" t="str">
        <f t="shared" si="62"/>
        <v/>
      </c>
      <c r="K110" s="48" t="str">
        <f t="shared" si="62"/>
        <v/>
      </c>
      <c r="L110" s="48" t="str">
        <f t="shared" si="62"/>
        <v/>
      </c>
      <c r="M110" s="48" t="str">
        <f t="shared" si="62"/>
        <v/>
      </c>
      <c r="N110" s="48" t="str">
        <f t="shared" si="62"/>
        <v/>
      </c>
      <c r="O110" s="48" t="str">
        <f t="shared" si="62"/>
        <v/>
      </c>
      <c r="P110" s="48" t="str">
        <f t="shared" si="62"/>
        <v/>
      </c>
      <c r="Q110" s="48" t="str">
        <f t="shared" si="62"/>
        <v/>
      </c>
      <c r="R110" s="48" t="str">
        <f t="shared" si="62"/>
        <v/>
      </c>
      <c r="S110" s="48" t="str">
        <f t="shared" si="62"/>
        <v/>
      </c>
      <c r="T110" s="48" t="str">
        <f t="shared" si="62"/>
        <v/>
      </c>
      <c r="U110" s="48" t="str">
        <f t="shared" si="62"/>
        <v/>
      </c>
      <c r="V110" s="48" t="str">
        <f t="shared" si="62"/>
        <v/>
      </c>
      <c r="W110" s="48" t="str">
        <f t="shared" si="62"/>
        <v/>
      </c>
      <c r="X110" s="52">
        <f>G110*G$77</f>
        <v>87.515864698339755</v>
      </c>
      <c r="Z110" s="30"/>
    </row>
    <row r="111" spans="1:26" ht="13.15">
      <c r="A111" s="48">
        <f t="shared" si="35"/>
        <v>2013</v>
      </c>
      <c r="B111" s="48">
        <v>2</v>
      </c>
      <c r="C111" s="58" t="str">
        <f t="shared" si="36"/>
        <v>2013-2</v>
      </c>
      <c r="D111" s="48">
        <f t="shared" ref="D111:W111" si="63">D71</f>
        <v>15</v>
      </c>
      <c r="E111" s="48">
        <f t="shared" si="63"/>
        <v>50</v>
      </c>
      <c r="F111" s="48">
        <f t="shared" si="63"/>
        <v>68</v>
      </c>
      <c r="G111" s="48" t="str">
        <f t="shared" si="63"/>
        <v/>
      </c>
      <c r="H111" s="48" t="str">
        <f t="shared" si="63"/>
        <v/>
      </c>
      <c r="I111" s="48" t="str">
        <f t="shared" si="63"/>
        <v/>
      </c>
      <c r="J111" s="48" t="str">
        <f t="shared" si="63"/>
        <v/>
      </c>
      <c r="K111" s="48" t="str">
        <f t="shared" si="63"/>
        <v/>
      </c>
      <c r="L111" s="48" t="str">
        <f t="shared" si="63"/>
        <v/>
      </c>
      <c r="M111" s="48" t="str">
        <f t="shared" si="63"/>
        <v/>
      </c>
      <c r="N111" s="48" t="str">
        <f t="shared" si="63"/>
        <v/>
      </c>
      <c r="O111" s="48" t="str">
        <f t="shared" si="63"/>
        <v/>
      </c>
      <c r="P111" s="48" t="str">
        <f t="shared" si="63"/>
        <v/>
      </c>
      <c r="Q111" s="48" t="str">
        <f t="shared" si="63"/>
        <v/>
      </c>
      <c r="R111" s="48" t="str">
        <f t="shared" si="63"/>
        <v/>
      </c>
      <c r="S111" s="48" t="str">
        <f t="shared" si="63"/>
        <v/>
      </c>
      <c r="T111" s="48" t="str">
        <f t="shared" si="63"/>
        <v/>
      </c>
      <c r="U111" s="48" t="str">
        <f t="shared" si="63"/>
        <v/>
      </c>
      <c r="V111" s="48" t="str">
        <f t="shared" si="63"/>
        <v/>
      </c>
      <c r="W111" s="48" t="str">
        <f t="shared" si="63"/>
        <v/>
      </c>
      <c r="X111" s="52">
        <f>F111*F$77</f>
        <v>93.620843039701072</v>
      </c>
      <c r="Z111" s="30"/>
    </row>
    <row r="112" spans="1:26" ht="13.15">
      <c r="A112" s="48">
        <f t="shared" si="35"/>
        <v>2014</v>
      </c>
      <c r="B112" s="48">
        <v>0</v>
      </c>
      <c r="C112" s="58" t="str">
        <f t="shared" si="36"/>
        <v>2014-0</v>
      </c>
      <c r="D112" s="48">
        <f t="shared" ref="D112:W112" si="64">D72</f>
        <v>23</v>
      </c>
      <c r="E112" s="48">
        <f t="shared" si="64"/>
        <v>49</v>
      </c>
      <c r="F112" s="48" t="str">
        <f t="shared" si="64"/>
        <v/>
      </c>
      <c r="G112" s="48" t="str">
        <f t="shared" si="64"/>
        <v/>
      </c>
      <c r="H112" s="48" t="str">
        <f t="shared" si="64"/>
        <v/>
      </c>
      <c r="I112" s="48" t="str">
        <f t="shared" si="64"/>
        <v/>
      </c>
      <c r="J112" s="48" t="str">
        <f t="shared" si="64"/>
        <v/>
      </c>
      <c r="K112" s="48" t="str">
        <f t="shared" si="64"/>
        <v/>
      </c>
      <c r="L112" s="48" t="str">
        <f t="shared" si="64"/>
        <v/>
      </c>
      <c r="M112" s="48" t="str">
        <f t="shared" si="64"/>
        <v/>
      </c>
      <c r="N112" s="48" t="str">
        <f t="shared" si="64"/>
        <v/>
      </c>
      <c r="O112" s="48" t="str">
        <f t="shared" si="64"/>
        <v/>
      </c>
      <c r="P112" s="48" t="str">
        <f t="shared" si="64"/>
        <v/>
      </c>
      <c r="Q112" s="48" t="str">
        <f t="shared" si="64"/>
        <v/>
      </c>
      <c r="R112" s="48" t="str">
        <f t="shared" si="64"/>
        <v/>
      </c>
      <c r="S112" s="48" t="str">
        <f t="shared" si="64"/>
        <v/>
      </c>
      <c r="T112" s="48" t="str">
        <f t="shared" si="64"/>
        <v/>
      </c>
      <c r="U112" s="48" t="str">
        <f t="shared" si="64"/>
        <v/>
      </c>
      <c r="V112" s="48" t="str">
        <f t="shared" si="64"/>
        <v/>
      </c>
      <c r="W112" s="48" t="str">
        <f t="shared" si="64"/>
        <v/>
      </c>
      <c r="X112" s="52">
        <f>E112*E$77</f>
        <v>83.773163757329669</v>
      </c>
      <c r="Z112" s="30"/>
    </row>
    <row r="113" spans="1:26" ht="13.15">
      <c r="A113" s="48">
        <f t="shared" si="35"/>
        <v>2014</v>
      </c>
      <c r="B113" s="48">
        <v>1</v>
      </c>
      <c r="C113" s="58" t="str">
        <f t="shared" si="36"/>
        <v>2014-1</v>
      </c>
      <c r="D113" s="48">
        <f t="shared" ref="D113:W113" si="65">D73</f>
        <v>19</v>
      </c>
      <c r="E113" s="48" t="str">
        <f t="shared" si="65"/>
        <v/>
      </c>
      <c r="F113" s="48" t="str">
        <f t="shared" si="65"/>
        <v/>
      </c>
      <c r="G113" s="48" t="str">
        <f t="shared" si="65"/>
        <v/>
      </c>
      <c r="H113" s="48" t="str">
        <f t="shared" si="65"/>
        <v/>
      </c>
      <c r="I113" s="48" t="str">
        <f t="shared" si="65"/>
        <v/>
      </c>
      <c r="J113" s="48" t="str">
        <f t="shared" si="65"/>
        <v/>
      </c>
      <c r="K113" s="48" t="str">
        <f t="shared" si="65"/>
        <v/>
      </c>
      <c r="L113" s="48" t="str">
        <f t="shared" si="65"/>
        <v/>
      </c>
      <c r="M113" s="48" t="str">
        <f t="shared" si="65"/>
        <v/>
      </c>
      <c r="N113" s="48" t="str">
        <f t="shared" si="65"/>
        <v/>
      </c>
      <c r="O113" s="48" t="str">
        <f t="shared" si="65"/>
        <v/>
      </c>
      <c r="P113" s="48" t="str">
        <f t="shared" si="65"/>
        <v/>
      </c>
      <c r="Q113" s="48" t="str">
        <f t="shared" si="65"/>
        <v/>
      </c>
      <c r="R113" s="48" t="str">
        <f t="shared" si="65"/>
        <v/>
      </c>
      <c r="S113" s="48" t="str">
        <f t="shared" si="65"/>
        <v/>
      </c>
      <c r="T113" s="48" t="str">
        <f t="shared" si="65"/>
        <v/>
      </c>
      <c r="U113" s="48" t="str">
        <f t="shared" si="65"/>
        <v/>
      </c>
      <c r="V113" s="48" t="str">
        <f t="shared" si="65"/>
        <v/>
      </c>
      <c r="W113" s="48" t="str">
        <f t="shared" si="65"/>
        <v/>
      </c>
      <c r="X113" s="52">
        <f>D113*D$77</f>
        <v>55.462313059754457</v>
      </c>
      <c r="Z113" s="30"/>
    </row>
    <row r="114" spans="1:26" ht="13.15">
      <c r="C114" s="21"/>
      <c r="E114" s="32"/>
      <c r="F114" s="32"/>
      <c r="G114" s="32"/>
      <c r="H114" s="32"/>
      <c r="I114" s="32"/>
      <c r="J114" s="32"/>
      <c r="K114" s="32"/>
      <c r="L114" s="32"/>
      <c r="M114" s="32"/>
      <c r="N114" s="32"/>
      <c r="O114" s="32"/>
      <c r="P114" s="32"/>
      <c r="Q114" s="32"/>
      <c r="R114" s="32"/>
      <c r="S114" s="32"/>
      <c r="T114" s="32"/>
      <c r="U114" s="32"/>
      <c r="V114" s="32"/>
      <c r="W114" s="32"/>
      <c r="X114" s="28"/>
    </row>
    <row r="115" spans="1:26" ht="13.15">
      <c r="C115" s="21"/>
    </row>
    <row r="117" spans="1:26" ht="15.75">
      <c r="A117" s="24" t="s">
        <v>3578</v>
      </c>
      <c r="D117" s="2" t="s">
        <v>3579</v>
      </c>
      <c r="E117" s="75">
        <v>8</v>
      </c>
    </row>
    <row r="120" spans="1:26" s="22" customFormat="1">
      <c r="A120" s="72"/>
      <c r="B120" s="36" t="s">
        <v>114</v>
      </c>
      <c r="C120" s="36" t="s">
        <v>3531</v>
      </c>
      <c r="D120" s="36" t="s">
        <v>3520</v>
      </c>
      <c r="E120" s="36" t="s">
        <v>3546</v>
      </c>
      <c r="F120"/>
      <c r="G120"/>
      <c r="H120"/>
    </row>
    <row r="121" spans="1:26">
      <c r="B121" s="1">
        <v>2005</v>
      </c>
      <c r="C121" s="1">
        <f t="shared" ref="C121:C130" si="66">SUMIF($A$9:$A$37,"="&amp;$B121,$AJ$9:$AJ$37)</f>
        <v>86</v>
      </c>
      <c r="D121" s="33">
        <f t="shared" ref="D121:D130" si="67">SUMIF($A$9:$A$37,"="&amp;$B121,$X$85:$X$113)</f>
        <v>86</v>
      </c>
      <c r="E121" s="33">
        <f t="shared" ref="E121:E130" si="68">IF(B121=Latest_Year,D121*12/$E$117,D121)</f>
        <v>86</v>
      </c>
    </row>
    <row r="122" spans="1:26">
      <c r="B122" s="1">
        <f>B121+1</f>
        <v>2006</v>
      </c>
      <c r="C122" s="1">
        <f t="shared" si="66"/>
        <v>92</v>
      </c>
      <c r="D122" s="33">
        <f t="shared" si="67"/>
        <v>92</v>
      </c>
      <c r="E122" s="33">
        <f t="shared" si="68"/>
        <v>92</v>
      </c>
    </row>
    <row r="123" spans="1:26">
      <c r="B123" s="1">
        <f t="shared" ref="B123:B130" si="69">B122+1</f>
        <v>2007</v>
      </c>
      <c r="C123" s="1">
        <f t="shared" si="66"/>
        <v>110</v>
      </c>
      <c r="D123" s="33">
        <f t="shared" si="67"/>
        <v>110</v>
      </c>
      <c r="E123" s="33">
        <f t="shared" si="68"/>
        <v>110</v>
      </c>
    </row>
    <row r="124" spans="1:26">
      <c r="B124" s="1">
        <f t="shared" si="69"/>
        <v>2008</v>
      </c>
      <c r="C124" s="1">
        <f t="shared" si="66"/>
        <v>146</v>
      </c>
      <c r="D124" s="33">
        <f t="shared" si="67"/>
        <v>146.32415902140673</v>
      </c>
      <c r="E124" s="33">
        <f t="shared" si="68"/>
        <v>146.32415902140673</v>
      </c>
    </row>
    <row r="125" spans="1:26">
      <c r="B125" s="1">
        <f t="shared" si="69"/>
        <v>2009</v>
      </c>
      <c r="C125" s="1">
        <f t="shared" si="66"/>
        <v>194</v>
      </c>
      <c r="D125" s="33">
        <f t="shared" si="67"/>
        <v>194.5932721712538</v>
      </c>
      <c r="E125" s="33">
        <f t="shared" si="68"/>
        <v>194.5932721712538</v>
      </c>
    </row>
    <row r="126" spans="1:26">
      <c r="B126" s="1">
        <f t="shared" si="69"/>
        <v>2010</v>
      </c>
      <c r="C126" s="1">
        <f t="shared" si="66"/>
        <v>256</v>
      </c>
      <c r="D126" s="33">
        <f t="shared" si="67"/>
        <v>257.88157188416181</v>
      </c>
      <c r="E126" s="33">
        <f t="shared" si="68"/>
        <v>257.88157188416181</v>
      </c>
    </row>
    <row r="127" spans="1:26">
      <c r="B127" s="1">
        <f t="shared" si="69"/>
        <v>2011</v>
      </c>
      <c r="C127" s="1">
        <f t="shared" si="66"/>
        <v>250</v>
      </c>
      <c r="D127" s="33">
        <f t="shared" si="67"/>
        <v>257.9325645392147</v>
      </c>
      <c r="E127" s="33">
        <f t="shared" si="68"/>
        <v>257.9325645392147</v>
      </c>
    </row>
    <row r="128" spans="1:26">
      <c r="B128" s="1">
        <f t="shared" si="69"/>
        <v>2012</v>
      </c>
      <c r="C128" s="1">
        <f t="shared" si="66"/>
        <v>199</v>
      </c>
      <c r="D128" s="33">
        <f t="shared" si="67"/>
        <v>215.12880806603997</v>
      </c>
      <c r="E128" s="33">
        <f t="shared" si="68"/>
        <v>215.12880806603997</v>
      </c>
    </row>
    <row r="129" spans="1:5">
      <c r="B129" s="1">
        <f t="shared" si="69"/>
        <v>2013</v>
      </c>
      <c r="C129" s="1">
        <f t="shared" si="66"/>
        <v>201</v>
      </c>
      <c r="D129" s="33">
        <f t="shared" si="67"/>
        <v>252.34561254571713</v>
      </c>
      <c r="E129" s="33">
        <f t="shared" si="68"/>
        <v>252.34561254571713</v>
      </c>
    </row>
    <row r="130" spans="1:5">
      <c r="A130" s="1" t="s">
        <v>3533</v>
      </c>
      <c r="B130" s="1">
        <f t="shared" si="69"/>
        <v>2014</v>
      </c>
      <c r="C130" s="1">
        <f t="shared" si="66"/>
        <v>68</v>
      </c>
      <c r="D130" s="33">
        <f t="shared" si="67"/>
        <v>139.23547681708413</v>
      </c>
      <c r="E130" s="33">
        <f t="shared" si="68"/>
        <v>208.8532152256262</v>
      </c>
    </row>
  </sheetData>
  <phoneticPr fontId="76"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F84"/>
  <sheetViews>
    <sheetView showGridLines="0" tabSelected="1" topLeftCell="A7" workbookViewId="0">
      <selection activeCell="E29" sqref="E29"/>
    </sheetView>
  </sheetViews>
  <sheetFormatPr defaultRowHeight="12.75"/>
  <cols>
    <col min="2" max="2" width="16.86328125" customWidth="1"/>
    <col min="3" max="3" width="14.1328125" customWidth="1"/>
    <col min="15" max="15" width="9.46484375" customWidth="1"/>
    <col min="16" max="16" width="10.6640625" bestFit="1" customWidth="1"/>
    <col min="17" max="18" width="9.46484375" customWidth="1"/>
    <col min="19" max="19" width="7.53125" bestFit="1" customWidth="1"/>
    <col min="20" max="20" width="5.53125" customWidth="1"/>
    <col min="21" max="24" width="9.46484375" customWidth="1"/>
    <col min="25" max="25" width="8.6640625" customWidth="1"/>
    <col min="26" max="26" width="9.46484375" customWidth="1"/>
    <col min="27" max="28" width="10" customWidth="1"/>
    <col min="29" max="29" width="10.6640625" customWidth="1"/>
  </cols>
  <sheetData>
    <row r="2" spans="1:14" ht="18.399999999999999">
      <c r="A2" s="73" t="s">
        <v>3584</v>
      </c>
      <c r="B2" s="73"/>
      <c r="E2" t="s">
        <v>3608</v>
      </c>
    </row>
    <row r="4" spans="1:14" ht="15.75">
      <c r="A4" s="24" t="s">
        <v>3515</v>
      </c>
      <c r="B4" s="24"/>
    </row>
    <row r="6" spans="1:14" ht="13.9">
      <c r="A6" s="80"/>
      <c r="B6" s="80"/>
      <c r="C6" s="80"/>
      <c r="D6" s="80"/>
      <c r="E6" s="80"/>
      <c r="F6" s="80"/>
      <c r="G6" s="81" t="s">
        <v>3513</v>
      </c>
      <c r="H6" s="80"/>
      <c r="I6" s="80"/>
      <c r="J6" s="80"/>
      <c r="K6" s="80"/>
      <c r="L6" s="80"/>
    </row>
    <row r="7" spans="1:14" ht="14.25">
      <c r="A7" s="80"/>
      <c r="B7" s="82" t="s">
        <v>3572</v>
      </c>
      <c r="C7" s="82">
        <v>0</v>
      </c>
      <c r="D7" s="82">
        <v>1</v>
      </c>
      <c r="E7" s="82">
        <v>2</v>
      </c>
      <c r="F7" s="82">
        <v>3</v>
      </c>
      <c r="G7" s="82">
        <v>4</v>
      </c>
      <c r="H7" s="82">
        <v>5</v>
      </c>
      <c r="I7" s="82">
        <v>6</v>
      </c>
      <c r="J7" s="82">
        <v>7</v>
      </c>
      <c r="K7" s="82">
        <v>8</v>
      </c>
      <c r="L7" s="82">
        <v>9</v>
      </c>
      <c r="M7" s="21"/>
      <c r="N7" s="21"/>
    </row>
    <row r="8" spans="1:14" ht="13.9">
      <c r="A8" s="80"/>
      <c r="B8" s="83">
        <f>Earliest_Year_Shifted</f>
        <v>2004</v>
      </c>
      <c r="C8" s="80">
        <f>IF($B8+C$7&gt;Latest_Year_Shifted,"",SUMIFS(Table1[Non-zero? (1=Yes)],Table1[Policy Year (shifted)],"="&amp;'5. Projection - Method 4'!$B8,Table1[Delay (shifted)],"="&amp;'5. Projection - Method 4'!C$7))</f>
        <v>24</v>
      </c>
      <c r="D8" s="80">
        <f>IF($B8+D$7&gt;Latest_Year_Shifted,"",SUMIFS(Table1[Non-zero? (1=Yes)],Table1[Policy Year (shifted)],"="&amp;'5. Projection - Method 4'!$B8,Table1[Delay (shifted)],"="&amp;'5. Projection - Method 4'!D$7))</f>
        <v>18</v>
      </c>
      <c r="E8" s="80">
        <f>IF($B8+E$7&gt;Latest_Year_Shifted,"",SUMIFS(Table1[Non-zero? (1=Yes)],Table1[Policy Year (shifted)],"="&amp;'5. Projection - Method 4'!$B8,Table1[Delay (shifted)],"="&amp;'5. Projection - Method 4'!E$7))</f>
        <v>3</v>
      </c>
      <c r="F8" s="80">
        <f>IF($B8+F$7&gt;Latest_Year_Shifted,"",SUMIFS(Table1[Non-zero? (1=Yes)],Table1[Policy Year (shifted)],"="&amp;'5. Projection - Method 4'!$B8,Table1[Delay (shifted)],"="&amp;'5. Projection - Method 4'!F$7))</f>
        <v>2</v>
      </c>
      <c r="G8" s="80">
        <f>IF($B8+G$7&gt;Latest_Year_Shifted,"",SUMIFS(Table1[Non-zero? (1=Yes)],Table1[Policy Year (shifted)],"="&amp;'5. Projection - Method 4'!$B8,Table1[Delay (shifted)],"="&amp;'5. Projection - Method 4'!G$7))</f>
        <v>1</v>
      </c>
      <c r="H8" s="80">
        <f>IF($B8+H$7&gt;Latest_Year_Shifted,"",SUMIFS(Table1[Non-zero? (1=Yes)],Table1[Policy Year (shifted)],"="&amp;'5. Projection - Method 4'!$B8,Table1[Delay (shifted)],"="&amp;'5. Projection - Method 4'!H$7))</f>
        <v>0</v>
      </c>
      <c r="I8" s="80">
        <f>IF($B8+I$7&gt;Latest_Year_Shifted,"",SUMIFS(Table1[Non-zero? (1=Yes)],Table1[Policy Year (shifted)],"="&amp;'5. Projection - Method 4'!$B8,Table1[Delay (shifted)],"="&amp;'5. Projection - Method 4'!I$7))</f>
        <v>0</v>
      </c>
      <c r="J8" s="80">
        <f>IF($B8+J$7&gt;Latest_Year_Shifted,"",SUMIFS(Table1[Non-zero? (1=Yes)],Table1[Policy Year (shifted)],"="&amp;'5. Projection - Method 4'!$B8,Table1[Delay (shifted)],"="&amp;'5. Projection - Method 4'!J$7))</f>
        <v>0</v>
      </c>
      <c r="K8" s="80">
        <f>IF($B8+K$7&gt;Latest_Year_Shifted,"",SUMIFS(Table1[Non-zero? (1=Yes)],Table1[Policy Year (shifted)],"="&amp;'5. Projection - Method 4'!$B8,Table1[Delay (shifted)],"="&amp;'5. Projection - Method 4'!K$7))</f>
        <v>0</v>
      </c>
      <c r="L8" s="80">
        <f>IF($B8+L$7&gt;Latest_Year_Shifted,"",SUMIFS(Table1[Non-zero? (1=Yes)],Table1[Policy Year (shifted)],"="&amp;'5. Projection - Method 4'!$B8,Table1[Delay (shifted)],"="&amp;'5. Projection - Method 4'!L$7))</f>
        <v>0</v>
      </c>
    </row>
    <row r="9" spans="1:14" ht="13.9">
      <c r="A9" s="80"/>
      <c r="B9" s="83">
        <f>B8+1</f>
        <v>2005</v>
      </c>
      <c r="C9" s="80">
        <f>IF($B9+C$7&gt;Latest_Year_Shifted,"",SUMIFS(Table1[Non-zero? (1=Yes)],Table1[Policy Year (shifted)],"="&amp;'5. Projection - Method 4'!$B9,Table1[Delay (shifted)],"="&amp;'5. Projection - Method 4'!C$7))</f>
        <v>51</v>
      </c>
      <c r="D9" s="80">
        <f>IF($B9+D$7&gt;Latest_Year_Shifted,"",SUMIFS(Table1[Non-zero? (1=Yes)],Table1[Policy Year (shifted)],"="&amp;'5. Projection - Method 4'!$B9,Table1[Delay (shifted)],"="&amp;'5. Projection - Method 4'!D$7))</f>
        <v>23</v>
      </c>
      <c r="E9" s="80">
        <f>IF($B9+E$7&gt;Latest_Year_Shifted,"",SUMIFS(Table1[Non-zero? (1=Yes)],Table1[Policy Year (shifted)],"="&amp;'5. Projection - Method 4'!$B9,Table1[Delay (shifted)],"="&amp;'5. Projection - Method 4'!E$7))</f>
        <v>8</v>
      </c>
      <c r="F9" s="80">
        <f>IF($B9+F$7&gt;Latest_Year_Shifted,"",SUMIFS(Table1[Non-zero? (1=Yes)],Table1[Policy Year (shifted)],"="&amp;'5. Projection - Method 4'!$B9,Table1[Delay (shifted)],"="&amp;'5. Projection - Method 4'!F$7))</f>
        <v>6</v>
      </c>
      <c r="G9" s="80">
        <f>IF($B9+G$7&gt;Latest_Year_Shifted,"",SUMIFS(Table1[Non-zero? (1=Yes)],Table1[Policy Year (shifted)],"="&amp;'5. Projection - Method 4'!$B9,Table1[Delay (shifted)],"="&amp;'5. Projection - Method 4'!G$7))</f>
        <v>2</v>
      </c>
      <c r="H9" s="80">
        <f>IF($B9+H$7&gt;Latest_Year_Shifted,"",SUMIFS(Table1[Non-zero? (1=Yes)],Table1[Policy Year (shifted)],"="&amp;'5. Projection - Method 4'!$B9,Table1[Delay (shifted)],"="&amp;'5. Projection - Method 4'!H$7))</f>
        <v>0</v>
      </c>
      <c r="I9" s="80">
        <f>IF($B9+I$7&gt;Latest_Year_Shifted,"",SUMIFS(Table1[Non-zero? (1=Yes)],Table1[Policy Year (shifted)],"="&amp;'5. Projection - Method 4'!$B9,Table1[Delay (shifted)],"="&amp;'5. Projection - Method 4'!I$7))</f>
        <v>0</v>
      </c>
      <c r="J9" s="80">
        <f>IF($B9+J$7&gt;Latest_Year_Shifted,"",SUMIFS(Table1[Non-zero? (1=Yes)],Table1[Policy Year (shifted)],"="&amp;'5. Projection - Method 4'!$B9,Table1[Delay (shifted)],"="&amp;'5. Projection - Method 4'!J$7))</f>
        <v>0</v>
      </c>
      <c r="K9" s="80">
        <f>IF($B9+K$7&gt;Latest_Year_Shifted,"",SUMIFS(Table1[Non-zero? (1=Yes)],Table1[Policy Year (shifted)],"="&amp;'5. Projection - Method 4'!$B9,Table1[Delay (shifted)],"="&amp;'5. Projection - Method 4'!K$7))</f>
        <v>0</v>
      </c>
      <c r="L9" s="80" t="str">
        <f>IF($B9+L$7&gt;Latest_Year_Shifted,"",SUMIFS(Table1[Non-zero? (1=Yes)],Table1[Policy Year (shifted)],"="&amp;'5. Projection - Method 4'!$B9,Table1[Delay (shifted)],"="&amp;'5. Projection - Method 4'!L$7))</f>
        <v/>
      </c>
    </row>
    <row r="10" spans="1:14" ht="13.9">
      <c r="A10" s="80"/>
      <c r="B10" s="83">
        <f t="shared" ref="B10:B17" si="0">B9+1</f>
        <v>2006</v>
      </c>
      <c r="C10" s="80">
        <f>IF($B10+C$7&gt;Latest_Year_Shifted,"",SUMIFS(Table1[Non-zero? (1=Yes)],Table1[Policy Year (shifted)],"="&amp;'5. Projection - Method 4'!$B10,Table1[Delay (shifted)],"="&amp;'5. Projection - Method 4'!C$7))</f>
        <v>72</v>
      </c>
      <c r="D10" s="80">
        <f>IF($B10+D$7&gt;Latest_Year_Shifted,"",SUMIFS(Table1[Non-zero? (1=Yes)],Table1[Policy Year (shifted)],"="&amp;'5. Projection - Method 4'!$B10,Table1[Delay (shifted)],"="&amp;'5. Projection - Method 4'!D$7))</f>
        <v>35</v>
      </c>
      <c r="E10" s="80">
        <f>IF($B10+E$7&gt;Latest_Year_Shifted,"",SUMIFS(Table1[Non-zero? (1=Yes)],Table1[Policy Year (shifted)],"="&amp;'5. Projection - Method 4'!$B10,Table1[Delay (shifted)],"="&amp;'5. Projection - Method 4'!E$7))</f>
        <v>12</v>
      </c>
      <c r="F10" s="80">
        <f>IF($B10+F$7&gt;Latest_Year_Shifted,"",SUMIFS(Table1[Non-zero? (1=Yes)],Table1[Policy Year (shifted)],"="&amp;'5. Projection - Method 4'!$B10,Table1[Delay (shifted)],"="&amp;'5. Projection - Method 4'!F$7))</f>
        <v>6</v>
      </c>
      <c r="G10" s="80">
        <f>IF($B10+G$7&gt;Latest_Year_Shifted,"",SUMIFS(Table1[Non-zero? (1=Yes)],Table1[Policy Year (shifted)],"="&amp;'5. Projection - Method 4'!$B10,Table1[Delay (shifted)],"="&amp;'5. Projection - Method 4'!G$7))</f>
        <v>0</v>
      </c>
      <c r="H10" s="80">
        <f>IF($B10+H$7&gt;Latest_Year_Shifted,"",SUMIFS(Table1[Non-zero? (1=Yes)],Table1[Policy Year (shifted)],"="&amp;'5. Projection - Method 4'!$B10,Table1[Delay (shifted)],"="&amp;'5. Projection - Method 4'!H$7))</f>
        <v>0</v>
      </c>
      <c r="I10" s="80">
        <f>IF($B10+I$7&gt;Latest_Year_Shifted,"",SUMIFS(Table1[Non-zero? (1=Yes)],Table1[Policy Year (shifted)],"="&amp;'5. Projection - Method 4'!$B10,Table1[Delay (shifted)],"="&amp;'5. Projection - Method 4'!I$7))</f>
        <v>0</v>
      </c>
      <c r="J10" s="80">
        <f>IF($B10+J$7&gt;Latest_Year_Shifted,"",SUMIFS(Table1[Non-zero? (1=Yes)],Table1[Policy Year (shifted)],"="&amp;'5. Projection - Method 4'!$B10,Table1[Delay (shifted)],"="&amp;'5. Projection - Method 4'!J$7))</f>
        <v>0</v>
      </c>
      <c r="K10" s="80" t="str">
        <f>IF($B10+K$7&gt;Latest_Year_Shifted,"",SUMIFS(Table1[Non-zero? (1=Yes)],Table1[Policy Year (shifted)],"="&amp;'5. Projection - Method 4'!$B10,Table1[Delay (shifted)],"="&amp;'5. Projection - Method 4'!K$7))</f>
        <v/>
      </c>
      <c r="L10" s="80" t="str">
        <f>IF($B10+L$7&gt;Latest_Year_Shifted,"",SUMIFS(Table1[Non-zero? (1=Yes)],Table1[Policy Year (shifted)],"="&amp;'5. Projection - Method 4'!$B10,Table1[Delay (shifted)],"="&amp;'5. Projection - Method 4'!L$7))</f>
        <v/>
      </c>
    </row>
    <row r="11" spans="1:14" ht="13.9">
      <c r="A11" s="80"/>
      <c r="B11" s="83">
        <f t="shared" si="0"/>
        <v>2007</v>
      </c>
      <c r="C11" s="80">
        <f>IF($B11+C$7&gt;Latest_Year_Shifted,"",SUMIFS(Table1[Non-zero? (1=Yes)],Table1[Policy Year (shifted)],"="&amp;'5. Projection - Method 4'!$B11,Table1[Delay (shifted)],"="&amp;'5. Projection - Method 4'!C$7))</f>
        <v>72</v>
      </c>
      <c r="D11" s="80">
        <f>IF($B11+D$7&gt;Latest_Year_Shifted,"",SUMIFS(Table1[Non-zero? (1=Yes)],Table1[Policy Year (shifted)],"="&amp;'5. Projection - Method 4'!$B11,Table1[Delay (shifted)],"="&amp;'5. Projection - Method 4'!D$7))</f>
        <v>41</v>
      </c>
      <c r="E11" s="80">
        <f>IF($B11+E$7&gt;Latest_Year_Shifted,"",SUMIFS(Table1[Non-zero? (1=Yes)],Table1[Policy Year (shifted)],"="&amp;'5. Projection - Method 4'!$B11,Table1[Delay (shifted)],"="&amp;'5. Projection - Method 4'!E$7))</f>
        <v>8</v>
      </c>
      <c r="F11" s="80">
        <f>IF($B11+F$7&gt;Latest_Year_Shifted,"",SUMIFS(Table1[Non-zero? (1=Yes)],Table1[Policy Year (shifted)],"="&amp;'5. Projection - Method 4'!$B11,Table1[Delay (shifted)],"="&amp;'5. Projection - Method 4'!F$7))</f>
        <v>4</v>
      </c>
      <c r="G11" s="80">
        <f>IF($B11+G$7&gt;Latest_Year_Shifted,"",SUMIFS(Table1[Non-zero? (1=Yes)],Table1[Policy Year (shifted)],"="&amp;'5. Projection - Method 4'!$B11,Table1[Delay (shifted)],"="&amp;'5. Projection - Method 4'!G$7))</f>
        <v>3</v>
      </c>
      <c r="H11" s="80">
        <f>IF($B11+H$7&gt;Latest_Year_Shifted,"",SUMIFS(Table1[Non-zero? (1=Yes)],Table1[Policy Year (shifted)],"="&amp;'5. Projection - Method 4'!$B11,Table1[Delay (shifted)],"="&amp;'5. Projection - Method 4'!H$7))</f>
        <v>0</v>
      </c>
      <c r="I11" s="80">
        <f>IF($B11+I$7&gt;Latest_Year_Shifted,"",SUMIFS(Table1[Non-zero? (1=Yes)],Table1[Policy Year (shifted)],"="&amp;'5. Projection - Method 4'!$B11,Table1[Delay (shifted)],"="&amp;'5. Projection - Method 4'!I$7))</f>
        <v>1</v>
      </c>
      <c r="J11" s="80" t="str">
        <f>IF($B11+J$7&gt;Latest_Year_Shifted,"",SUMIFS(Table1[Non-zero? (1=Yes)],Table1[Policy Year (shifted)],"="&amp;'5. Projection - Method 4'!$B11,Table1[Delay (shifted)],"="&amp;'5. Projection - Method 4'!J$7))</f>
        <v/>
      </c>
      <c r="K11" s="80" t="str">
        <f>IF($B11+K$7&gt;Latest_Year_Shifted,"",SUMIFS(Table1[Non-zero? (1=Yes)],Table1[Policy Year (shifted)],"="&amp;'5. Projection - Method 4'!$B11,Table1[Delay (shifted)],"="&amp;'5. Projection - Method 4'!K$7))</f>
        <v/>
      </c>
      <c r="L11" s="80" t="str">
        <f>IF($B11+L$7&gt;Latest_Year_Shifted,"",SUMIFS(Table1[Non-zero? (1=Yes)],Table1[Policy Year (shifted)],"="&amp;'5. Projection - Method 4'!$B11,Table1[Delay (shifted)],"="&amp;'5. Projection - Method 4'!L$7))</f>
        <v/>
      </c>
    </row>
    <row r="12" spans="1:14" ht="13.9">
      <c r="A12" s="80"/>
      <c r="B12" s="83">
        <f t="shared" si="0"/>
        <v>2008</v>
      </c>
      <c r="C12" s="80">
        <f>IF($B12+C$7&gt;Latest_Year_Shifted,"",SUMIFS(Table1[Non-zero? (1=Yes)],Table1[Policy Year (shifted)],"="&amp;'5. Projection - Method 4'!$B12,Table1[Delay (shifted)],"="&amp;'5. Projection - Method 4'!C$7))</f>
        <v>105</v>
      </c>
      <c r="D12" s="80">
        <f>IF($B12+D$7&gt;Latest_Year_Shifted,"",SUMIFS(Table1[Non-zero? (1=Yes)],Table1[Policy Year (shifted)],"="&amp;'5. Projection - Method 4'!$B12,Table1[Delay (shifted)],"="&amp;'5. Projection - Method 4'!D$7))</f>
        <v>47</v>
      </c>
      <c r="E12" s="80">
        <f>IF($B12+E$7&gt;Latest_Year_Shifted,"",SUMIFS(Table1[Non-zero? (1=Yes)],Table1[Policy Year (shifted)],"="&amp;'5. Projection - Method 4'!$B12,Table1[Delay (shifted)],"="&amp;'5. Projection - Method 4'!E$7))</f>
        <v>14</v>
      </c>
      <c r="F12" s="80">
        <f>IF($B12+F$7&gt;Latest_Year_Shifted,"",SUMIFS(Table1[Non-zero? (1=Yes)],Table1[Policy Year (shifted)],"="&amp;'5. Projection - Method 4'!$B12,Table1[Delay (shifted)],"="&amp;'5. Projection - Method 4'!F$7))</f>
        <v>4</v>
      </c>
      <c r="G12" s="80">
        <f>IF($B12+G$7&gt;Latest_Year_Shifted,"",SUMIFS(Table1[Non-zero? (1=Yes)],Table1[Policy Year (shifted)],"="&amp;'5. Projection - Method 4'!$B12,Table1[Delay (shifted)],"="&amp;'5. Projection - Method 4'!G$7))</f>
        <v>4</v>
      </c>
      <c r="H12" s="80">
        <f>IF($B12+H$7&gt;Latest_Year_Shifted,"",SUMIFS(Table1[Non-zero? (1=Yes)],Table1[Policy Year (shifted)],"="&amp;'5. Projection - Method 4'!$B12,Table1[Delay (shifted)],"="&amp;'5. Projection - Method 4'!H$7))</f>
        <v>0</v>
      </c>
      <c r="I12" s="80" t="str">
        <f>IF($B12+I$7&gt;Latest_Year_Shifted,"",SUMIFS(Table1[Non-zero? (1=Yes)],Table1[Policy Year (shifted)],"="&amp;'5. Projection - Method 4'!$B12,Table1[Delay (shifted)],"="&amp;'5. Projection - Method 4'!I$7))</f>
        <v/>
      </c>
      <c r="J12" s="80" t="str">
        <f>IF($B12+J$7&gt;Latest_Year_Shifted,"",SUMIFS(Table1[Non-zero? (1=Yes)],Table1[Policy Year (shifted)],"="&amp;'5. Projection - Method 4'!$B12,Table1[Delay (shifted)],"="&amp;'5. Projection - Method 4'!J$7))</f>
        <v/>
      </c>
      <c r="K12" s="80" t="str">
        <f>IF($B12+K$7&gt;Latest_Year_Shifted,"",SUMIFS(Table1[Non-zero? (1=Yes)],Table1[Policy Year (shifted)],"="&amp;'5. Projection - Method 4'!$B12,Table1[Delay (shifted)],"="&amp;'5. Projection - Method 4'!K$7))</f>
        <v/>
      </c>
      <c r="L12" s="80" t="str">
        <f>IF($B12+L$7&gt;Latest_Year_Shifted,"",SUMIFS(Table1[Non-zero? (1=Yes)],Table1[Policy Year (shifted)],"="&amp;'5. Projection - Method 4'!$B12,Table1[Delay (shifted)],"="&amp;'5. Projection - Method 4'!L$7))</f>
        <v/>
      </c>
    </row>
    <row r="13" spans="1:14" ht="13.9">
      <c r="A13" s="80"/>
      <c r="B13" s="83">
        <f t="shared" si="0"/>
        <v>2009</v>
      </c>
      <c r="C13" s="80">
        <f>IF($B13+C$7&gt;Latest_Year_Shifted,"",SUMIFS(Table1[Non-zero? (1=Yes)],Table1[Policy Year (shifted)],"="&amp;'5. Projection - Method 4'!$B13,Table1[Delay (shifted)],"="&amp;'5. Projection - Method 4'!C$7))</f>
        <v>119</v>
      </c>
      <c r="D13" s="80">
        <f>IF($B13+D$7&gt;Latest_Year_Shifted,"",SUMIFS(Table1[Non-zero? (1=Yes)],Table1[Policy Year (shifted)],"="&amp;'5. Projection - Method 4'!$B13,Table1[Delay (shifted)],"="&amp;'5. Projection - Method 4'!D$7))</f>
        <v>65</v>
      </c>
      <c r="E13" s="80">
        <f>IF($B13+E$7&gt;Latest_Year_Shifted,"",SUMIFS(Table1[Non-zero? (1=Yes)],Table1[Policy Year (shifted)],"="&amp;'5. Projection - Method 4'!$B13,Table1[Delay (shifted)],"="&amp;'5. Projection - Method 4'!E$7))</f>
        <v>19</v>
      </c>
      <c r="F13" s="80">
        <f>IF($B13+F$7&gt;Latest_Year_Shifted,"",SUMIFS(Table1[Non-zero? (1=Yes)],Table1[Policy Year (shifted)],"="&amp;'5. Projection - Method 4'!$B13,Table1[Delay (shifted)],"="&amp;'5. Projection - Method 4'!F$7))</f>
        <v>7</v>
      </c>
      <c r="G13" s="80">
        <f>IF($B13+G$7&gt;Latest_Year_Shifted,"",SUMIFS(Table1[Non-zero? (1=Yes)],Table1[Policy Year (shifted)],"="&amp;'5. Projection - Method 4'!$B13,Table1[Delay (shifted)],"="&amp;'5. Projection - Method 4'!G$7))</f>
        <v>4</v>
      </c>
      <c r="H13" s="80" t="str">
        <f>IF($B13+H$7&gt;Latest_Year_Shifted,"",SUMIFS(Table1[Non-zero? (1=Yes)],Table1[Policy Year (shifted)],"="&amp;'5. Projection - Method 4'!$B13,Table1[Delay (shifted)],"="&amp;'5. Projection - Method 4'!H$7))</f>
        <v/>
      </c>
      <c r="I13" s="80" t="str">
        <f>IF($B13+I$7&gt;Latest_Year_Shifted,"",SUMIFS(Table1[Non-zero? (1=Yes)],Table1[Policy Year (shifted)],"="&amp;'5. Projection - Method 4'!$B13,Table1[Delay (shifted)],"="&amp;'5. Projection - Method 4'!I$7))</f>
        <v/>
      </c>
      <c r="J13" s="80" t="str">
        <f>IF($B13+J$7&gt;Latest_Year_Shifted,"",SUMIFS(Table1[Non-zero? (1=Yes)],Table1[Policy Year (shifted)],"="&amp;'5. Projection - Method 4'!$B13,Table1[Delay (shifted)],"="&amp;'5. Projection - Method 4'!J$7))</f>
        <v/>
      </c>
      <c r="K13" s="80" t="str">
        <f>IF($B13+K$7&gt;Latest_Year_Shifted,"",SUMIFS(Table1[Non-zero? (1=Yes)],Table1[Policy Year (shifted)],"="&amp;'5. Projection - Method 4'!$B13,Table1[Delay (shifted)],"="&amp;'5. Projection - Method 4'!K$7))</f>
        <v/>
      </c>
      <c r="L13" s="80" t="str">
        <f>IF($B13+L$7&gt;Latest_Year_Shifted,"",SUMIFS(Table1[Non-zero? (1=Yes)],Table1[Policy Year (shifted)],"="&amp;'5. Projection - Method 4'!$B13,Table1[Delay (shifted)],"="&amp;'5. Projection - Method 4'!L$7))</f>
        <v/>
      </c>
    </row>
    <row r="14" spans="1:14" ht="13.9">
      <c r="A14" s="80"/>
      <c r="B14" s="83">
        <f t="shared" si="0"/>
        <v>2010</v>
      </c>
      <c r="C14" s="80">
        <f>IF($B14+C$7&gt;Latest_Year_Shifted,"",SUMIFS(Table1[Non-zero? (1=Yes)],Table1[Policy Year (shifted)],"="&amp;'5. Projection - Method 4'!$B14,Table1[Delay (shifted)],"="&amp;'5. Projection - Method 4'!C$7))</f>
        <v>169</v>
      </c>
      <c r="D14" s="80">
        <f>IF($B14+D$7&gt;Latest_Year_Shifted,"",SUMIFS(Table1[Non-zero? (1=Yes)],Table1[Policy Year (shifted)],"="&amp;'5. Projection - Method 4'!$B14,Table1[Delay (shifted)],"="&amp;'5. Projection - Method 4'!D$7))</f>
        <v>75</v>
      </c>
      <c r="E14" s="80">
        <f>IF($B14+E$7&gt;Latest_Year_Shifted,"",SUMIFS(Table1[Non-zero? (1=Yes)],Table1[Policy Year (shifted)],"="&amp;'5. Projection - Method 4'!$B14,Table1[Delay (shifted)],"="&amp;'5. Projection - Method 4'!E$7))</f>
        <v>13</v>
      </c>
      <c r="F14" s="80">
        <f>IF($B14+F$7&gt;Latest_Year_Shifted,"",SUMIFS(Table1[Non-zero? (1=Yes)],Table1[Policy Year (shifted)],"="&amp;'5. Projection - Method 4'!$B14,Table1[Delay (shifted)],"="&amp;'5. Projection - Method 4'!F$7))</f>
        <v>11</v>
      </c>
      <c r="G14" s="80" t="str">
        <f>IF($B14+G$7&gt;Latest_Year_Shifted,"",SUMIFS(Table1[Non-zero? (1=Yes)],Table1[Policy Year (shifted)],"="&amp;'5. Projection - Method 4'!$B14,Table1[Delay (shifted)],"="&amp;'5. Projection - Method 4'!G$7))</f>
        <v/>
      </c>
      <c r="H14" s="80" t="str">
        <f>IF($B14+H$7&gt;Latest_Year_Shifted,"",SUMIFS(Table1[Non-zero? (1=Yes)],Table1[Policy Year (shifted)],"="&amp;'5. Projection - Method 4'!$B14,Table1[Delay (shifted)],"="&amp;'5. Projection - Method 4'!H$7))</f>
        <v/>
      </c>
      <c r="I14" s="80" t="str">
        <f>IF($B14+I$7&gt;Latest_Year_Shifted,"",SUMIFS(Table1[Non-zero? (1=Yes)],Table1[Policy Year (shifted)],"="&amp;'5. Projection - Method 4'!$B14,Table1[Delay (shifted)],"="&amp;'5. Projection - Method 4'!I$7))</f>
        <v/>
      </c>
      <c r="J14" s="80" t="str">
        <f>IF($B14+J$7&gt;Latest_Year_Shifted,"",SUMIFS(Table1[Non-zero? (1=Yes)],Table1[Policy Year (shifted)],"="&amp;'5. Projection - Method 4'!$B14,Table1[Delay (shifted)],"="&amp;'5. Projection - Method 4'!J$7))</f>
        <v/>
      </c>
      <c r="K14" s="80" t="str">
        <f>IF($B14+K$7&gt;Latest_Year_Shifted,"",SUMIFS(Table1[Non-zero? (1=Yes)],Table1[Policy Year (shifted)],"="&amp;'5. Projection - Method 4'!$B14,Table1[Delay (shifted)],"="&amp;'5. Projection - Method 4'!K$7))</f>
        <v/>
      </c>
      <c r="L14" s="80" t="str">
        <f>IF($B14+L$7&gt;Latest_Year_Shifted,"",SUMIFS(Table1[Non-zero? (1=Yes)],Table1[Policy Year (shifted)],"="&amp;'5. Projection - Method 4'!$B14,Table1[Delay (shifted)],"="&amp;'5. Projection - Method 4'!L$7))</f>
        <v/>
      </c>
    </row>
    <row r="15" spans="1:14" ht="13.9">
      <c r="A15" s="80"/>
      <c r="B15" s="83">
        <f t="shared" si="0"/>
        <v>2011</v>
      </c>
      <c r="C15" s="80">
        <f>IF($B15+C$7&gt;Latest_Year_Shifted,"",SUMIFS(Table1[Non-zero? (1=Yes)],Table1[Policy Year (shifted)],"="&amp;'5. Projection - Method 4'!$B15,Table1[Delay (shifted)],"="&amp;'5. Projection - Method 4'!C$7))</f>
        <v>116</v>
      </c>
      <c r="D15" s="80">
        <f>IF($B15+D$7&gt;Latest_Year_Shifted,"",SUMIFS(Table1[Non-zero? (1=Yes)],Table1[Policy Year (shifted)],"="&amp;'5. Projection - Method 4'!$B15,Table1[Delay (shifted)],"="&amp;'5. Projection - Method 4'!D$7))</f>
        <v>68</v>
      </c>
      <c r="E15" s="80">
        <f>IF($B15+E$7&gt;Latest_Year_Shifted,"",SUMIFS(Table1[Non-zero? (1=Yes)],Table1[Policy Year (shifted)],"="&amp;'5. Projection - Method 4'!$B15,Table1[Delay (shifted)],"="&amp;'5. Projection - Method 4'!E$7))</f>
        <v>26</v>
      </c>
      <c r="F15" s="80" t="str">
        <f>IF($B15+F$7&gt;Latest_Year_Shifted,"",SUMIFS(Table1[Non-zero? (1=Yes)],Table1[Policy Year (shifted)],"="&amp;'5. Projection - Method 4'!$B15,Table1[Delay (shifted)],"="&amp;'5. Projection - Method 4'!F$7))</f>
        <v/>
      </c>
      <c r="G15" s="80" t="str">
        <f>IF($B15+G$7&gt;Latest_Year_Shifted,"",SUMIFS(Table1[Non-zero? (1=Yes)],Table1[Policy Year (shifted)],"="&amp;'5. Projection - Method 4'!$B15,Table1[Delay (shifted)],"="&amp;'5. Projection - Method 4'!G$7))</f>
        <v/>
      </c>
      <c r="H15" s="80" t="str">
        <f>IF($B15+H$7&gt;Latest_Year_Shifted,"",SUMIFS(Table1[Non-zero? (1=Yes)],Table1[Policy Year (shifted)],"="&amp;'5. Projection - Method 4'!$B15,Table1[Delay (shifted)],"="&amp;'5. Projection - Method 4'!H$7))</f>
        <v/>
      </c>
      <c r="I15" s="80" t="str">
        <f>IF($B15+I$7&gt;Latest_Year_Shifted,"",SUMIFS(Table1[Non-zero? (1=Yes)],Table1[Policy Year (shifted)],"="&amp;'5. Projection - Method 4'!$B15,Table1[Delay (shifted)],"="&amp;'5. Projection - Method 4'!I$7))</f>
        <v/>
      </c>
      <c r="J15" s="80" t="str">
        <f>IF($B15+J$7&gt;Latest_Year_Shifted,"",SUMIFS(Table1[Non-zero? (1=Yes)],Table1[Policy Year (shifted)],"="&amp;'5. Projection - Method 4'!$B15,Table1[Delay (shifted)],"="&amp;'5. Projection - Method 4'!J$7))</f>
        <v/>
      </c>
      <c r="K15" s="80" t="str">
        <f>IF($B15+K$7&gt;Latest_Year_Shifted,"",SUMIFS(Table1[Non-zero? (1=Yes)],Table1[Policy Year (shifted)],"="&amp;'5. Projection - Method 4'!$B15,Table1[Delay (shifted)],"="&amp;'5. Projection - Method 4'!K$7))</f>
        <v/>
      </c>
      <c r="L15" s="80" t="str">
        <f>IF($B15+L$7&gt;Latest_Year_Shifted,"",SUMIFS(Table1[Non-zero? (1=Yes)],Table1[Policy Year (shifted)],"="&amp;'5. Projection - Method 4'!$B15,Table1[Delay (shifted)],"="&amp;'5. Projection - Method 4'!L$7))</f>
        <v/>
      </c>
    </row>
    <row r="16" spans="1:14" ht="13.9">
      <c r="A16" s="80"/>
      <c r="B16" s="83">
        <f t="shared" si="0"/>
        <v>2012</v>
      </c>
      <c r="C16" s="80">
        <f>IF($B16+C$7&gt;Latest_Year_Shifted,"",SUMIFS(Table1[Non-zero? (1=Yes)],Table1[Policy Year (shifted)],"="&amp;'5. Projection - Method 4'!$B16,Table1[Delay (shifted)],"="&amp;'5. Projection - Method 4'!C$7))</f>
        <v>95</v>
      </c>
      <c r="D16" s="80">
        <f>IF($B16+D$7&gt;Latest_Year_Shifted,"",SUMIFS(Table1[Non-zero? (1=Yes)],Table1[Policy Year (shifted)],"="&amp;'5. Projection - Method 4'!$B16,Table1[Delay (shifted)],"="&amp;'5. Projection - Method 4'!D$7))</f>
        <v>113</v>
      </c>
      <c r="E16" s="80" t="str">
        <f>IF($B16+E$7&gt;Latest_Year_Shifted,"",SUMIFS(Table1[Non-zero? (1=Yes)],Table1[Policy Year (shifted)],"="&amp;'5. Projection - Method 4'!$B16,Table1[Delay (shifted)],"="&amp;'5. Projection - Method 4'!E$7))</f>
        <v/>
      </c>
      <c r="F16" s="80" t="str">
        <f>IF($B16+F$7&gt;Latest_Year_Shifted,"",SUMIFS(Table1[Non-zero? (1=Yes)],Table1[Policy Year (shifted)],"="&amp;'5. Projection - Method 4'!$B16,Table1[Delay (shifted)],"="&amp;'5. Projection - Method 4'!F$7))</f>
        <v/>
      </c>
      <c r="G16" s="80" t="str">
        <f>IF($B16+G$7&gt;Latest_Year_Shifted,"",SUMIFS(Table1[Non-zero? (1=Yes)],Table1[Policy Year (shifted)],"="&amp;'5. Projection - Method 4'!$B16,Table1[Delay (shifted)],"="&amp;'5. Projection - Method 4'!G$7))</f>
        <v/>
      </c>
      <c r="H16" s="80" t="str">
        <f>IF($B16+H$7&gt;Latest_Year_Shifted,"",SUMIFS(Table1[Non-zero? (1=Yes)],Table1[Policy Year (shifted)],"="&amp;'5. Projection - Method 4'!$B16,Table1[Delay (shifted)],"="&amp;'5. Projection - Method 4'!H$7))</f>
        <v/>
      </c>
      <c r="I16" s="80" t="str">
        <f>IF($B16+I$7&gt;Latest_Year_Shifted,"",SUMIFS(Table1[Non-zero? (1=Yes)],Table1[Policy Year (shifted)],"="&amp;'5. Projection - Method 4'!$B16,Table1[Delay (shifted)],"="&amp;'5. Projection - Method 4'!I$7))</f>
        <v/>
      </c>
      <c r="J16" s="80" t="str">
        <f>IF($B16+J$7&gt;Latest_Year_Shifted,"",SUMIFS(Table1[Non-zero? (1=Yes)],Table1[Policy Year (shifted)],"="&amp;'5. Projection - Method 4'!$B16,Table1[Delay (shifted)],"="&amp;'5. Projection - Method 4'!J$7))</f>
        <v/>
      </c>
      <c r="K16" s="80" t="str">
        <f>IF($B16+K$7&gt;Latest_Year_Shifted,"",SUMIFS(Table1[Non-zero? (1=Yes)],Table1[Policy Year (shifted)],"="&amp;'5. Projection - Method 4'!$B16,Table1[Delay (shifted)],"="&amp;'5. Projection - Method 4'!K$7))</f>
        <v/>
      </c>
      <c r="L16" s="80" t="str">
        <f>IF($B16+L$7&gt;Latest_Year_Shifted,"",SUMIFS(Table1[Non-zero? (1=Yes)],Table1[Policy Year (shifted)],"="&amp;'5. Projection - Method 4'!$B16,Table1[Delay (shifted)],"="&amp;'5. Projection - Method 4'!L$7))</f>
        <v/>
      </c>
    </row>
    <row r="17" spans="1:14" ht="13.9">
      <c r="A17" s="80"/>
      <c r="B17" s="83">
        <f t="shared" si="0"/>
        <v>2013</v>
      </c>
      <c r="C17" s="80">
        <f>IF($B17+C$7&gt;Latest_Year_Shifted,"",SUMIFS(Table1[Non-zero? (1=Yes)],Table1[Policy Year (shifted)],"="&amp;'5. Projection - Method 4'!$B17,Table1[Delay (shifted)],"="&amp;'5. Projection - Method 4'!C$7))</f>
        <v>136</v>
      </c>
      <c r="D17" s="80" t="str">
        <f>IF($B17+D$7&gt;Latest_Year_Shifted,"",SUMIFS(Table1[Non-zero? (1=Yes)],Table1[Policy Year (shifted)],"="&amp;'5. Projection - Method 4'!$B17,Table1[Delay (shifted)],"="&amp;'5. Projection - Method 4'!D$7))</f>
        <v/>
      </c>
      <c r="E17" s="80" t="str">
        <f>IF($B17+E$7&gt;Latest_Year_Shifted,"",SUMIFS(Table1[Non-zero? (1=Yes)],Table1[Policy Year (shifted)],"="&amp;'5. Projection - Method 4'!$B17,Table1[Delay (shifted)],"="&amp;'5. Projection - Method 4'!E$7))</f>
        <v/>
      </c>
      <c r="F17" s="80" t="str">
        <f>IF($B17+F$7&gt;Latest_Year_Shifted,"",SUMIFS(Table1[Non-zero? (1=Yes)],Table1[Policy Year (shifted)],"="&amp;'5. Projection - Method 4'!$B17,Table1[Delay (shifted)],"="&amp;'5. Projection - Method 4'!F$7))</f>
        <v/>
      </c>
      <c r="G17" s="80" t="str">
        <f>IF($B17+G$7&gt;Latest_Year_Shifted,"",SUMIFS(Table1[Non-zero? (1=Yes)],Table1[Policy Year (shifted)],"="&amp;'5. Projection - Method 4'!$B17,Table1[Delay (shifted)],"="&amp;'5. Projection - Method 4'!G$7))</f>
        <v/>
      </c>
      <c r="H17" s="80" t="str">
        <f>IF($B17+H$7&gt;Latest_Year_Shifted,"",SUMIFS(Table1[Non-zero? (1=Yes)],Table1[Policy Year (shifted)],"="&amp;'5. Projection - Method 4'!$B17,Table1[Delay (shifted)],"="&amp;'5. Projection - Method 4'!H$7))</f>
        <v/>
      </c>
      <c r="I17" s="80" t="str">
        <f>IF($B17+I$7&gt;Latest_Year_Shifted,"",SUMIFS(Table1[Non-zero? (1=Yes)],Table1[Policy Year (shifted)],"="&amp;'5. Projection - Method 4'!$B17,Table1[Delay (shifted)],"="&amp;'5. Projection - Method 4'!I$7))</f>
        <v/>
      </c>
      <c r="J17" s="80" t="str">
        <f>IF($B17+J$7&gt;Latest_Year_Shifted,"",SUMIFS(Table1[Non-zero? (1=Yes)],Table1[Policy Year (shifted)],"="&amp;'5. Projection - Method 4'!$B17,Table1[Delay (shifted)],"="&amp;'5. Projection - Method 4'!J$7))</f>
        <v/>
      </c>
      <c r="K17" s="80" t="str">
        <f>IF($B17+K$7&gt;Latest_Year_Shifted,"",SUMIFS(Table1[Non-zero? (1=Yes)],Table1[Policy Year (shifted)],"="&amp;'5. Projection - Method 4'!$B17,Table1[Delay (shifted)],"="&amp;'5. Projection - Method 4'!K$7))</f>
        <v/>
      </c>
      <c r="L17" s="80" t="str">
        <f>IF($B17+L$7&gt;Latest_Year_Shifted,"",SUMIFS(Table1[Non-zero? (1=Yes)],Table1[Policy Year (shifted)],"="&amp;'5. Projection - Method 4'!$B17,Table1[Delay (shifted)],"="&amp;'5. Projection - Method 4'!L$7))</f>
        <v/>
      </c>
    </row>
    <row r="18" spans="1:14" ht="13.15">
      <c r="B18" s="21"/>
    </row>
    <row r="20" spans="1:14" ht="15.75">
      <c r="A20" s="24" t="s">
        <v>3516</v>
      </c>
      <c r="B20" s="24"/>
    </row>
    <row r="21" spans="1:14" ht="15.75">
      <c r="C21" s="24"/>
    </row>
    <row r="22" spans="1:14" ht="13.9">
      <c r="A22" s="80"/>
      <c r="B22" s="80"/>
      <c r="C22" s="80"/>
      <c r="D22" s="80"/>
      <c r="E22" s="80"/>
      <c r="F22" s="80"/>
      <c r="G22" s="81" t="s">
        <v>3513</v>
      </c>
      <c r="H22" s="80"/>
      <c r="I22" s="80"/>
      <c r="J22" s="80"/>
      <c r="K22" s="80"/>
      <c r="L22" s="80"/>
      <c r="M22" s="48"/>
    </row>
    <row r="23" spans="1:14" ht="14.25">
      <c r="A23" s="82" t="s">
        <v>3572</v>
      </c>
      <c r="B23" s="82"/>
      <c r="C23" s="82">
        <v>0</v>
      </c>
      <c r="D23" s="82">
        <v>1</v>
      </c>
      <c r="E23" s="82">
        <v>2</v>
      </c>
      <c r="F23" s="82">
        <v>3</v>
      </c>
      <c r="G23" s="82">
        <v>4</v>
      </c>
      <c r="H23" s="82">
        <v>5</v>
      </c>
      <c r="I23" s="82">
        <v>6</v>
      </c>
      <c r="J23" s="82">
        <v>7</v>
      </c>
      <c r="K23" s="82">
        <v>8</v>
      </c>
      <c r="L23" s="82">
        <v>9</v>
      </c>
      <c r="M23" s="48"/>
      <c r="N23" s="21"/>
    </row>
    <row r="24" spans="1:14" ht="13.9">
      <c r="A24" s="84" t="str">
        <f t="shared" ref="A24:A33" si="1">B24 &amp; "/" &amp;B24+1</f>
        <v>2004/2005</v>
      </c>
      <c r="B24" s="80">
        <f t="shared" ref="B24:C33" si="2">B8</f>
        <v>2004</v>
      </c>
      <c r="C24" s="80">
        <f t="shared" si="2"/>
        <v>24</v>
      </c>
      <c r="D24" s="80">
        <f t="shared" ref="D24:L24" si="3">IF($B24+D$23&gt;Latest_Year_Shifted,"",D8+C24)</f>
        <v>42</v>
      </c>
      <c r="E24" s="80">
        <f t="shared" si="3"/>
        <v>45</v>
      </c>
      <c r="F24" s="80">
        <f t="shared" si="3"/>
        <v>47</v>
      </c>
      <c r="G24" s="80">
        <f t="shared" si="3"/>
        <v>48</v>
      </c>
      <c r="H24" s="80">
        <f t="shared" si="3"/>
        <v>48</v>
      </c>
      <c r="I24" s="80">
        <f t="shared" si="3"/>
        <v>48</v>
      </c>
      <c r="J24" s="80">
        <f t="shared" si="3"/>
        <v>48</v>
      </c>
      <c r="K24" s="80">
        <f t="shared" si="3"/>
        <v>48</v>
      </c>
      <c r="L24" s="80">
        <f t="shared" si="3"/>
        <v>48</v>
      </c>
      <c r="M24" s="48"/>
    </row>
    <row r="25" spans="1:14" ht="13.9">
      <c r="A25" s="84" t="str">
        <f t="shared" si="1"/>
        <v>2005/2006</v>
      </c>
      <c r="B25" s="80">
        <f t="shared" si="2"/>
        <v>2005</v>
      </c>
      <c r="C25" s="80">
        <f t="shared" si="2"/>
        <v>51</v>
      </c>
      <c r="D25" s="80">
        <f t="shared" ref="D25:L25" si="4">IF($B25+D$23&gt;Latest_Year_Shifted,"",D9+C25)</f>
        <v>74</v>
      </c>
      <c r="E25" s="80">
        <f t="shared" si="4"/>
        <v>82</v>
      </c>
      <c r="F25" s="80">
        <f t="shared" si="4"/>
        <v>88</v>
      </c>
      <c r="G25" s="80">
        <f t="shared" si="4"/>
        <v>90</v>
      </c>
      <c r="H25" s="80">
        <f t="shared" si="4"/>
        <v>90</v>
      </c>
      <c r="I25" s="80">
        <f t="shared" si="4"/>
        <v>90</v>
      </c>
      <c r="J25" s="80">
        <f t="shared" si="4"/>
        <v>90</v>
      </c>
      <c r="K25" s="80">
        <f t="shared" si="4"/>
        <v>90</v>
      </c>
      <c r="L25" s="80" t="str">
        <f t="shared" si="4"/>
        <v/>
      </c>
      <c r="M25" s="48"/>
    </row>
    <row r="26" spans="1:14" ht="13.9">
      <c r="A26" s="84" t="str">
        <f t="shared" si="1"/>
        <v>2006/2007</v>
      </c>
      <c r="B26" s="80">
        <f t="shared" si="2"/>
        <v>2006</v>
      </c>
      <c r="C26" s="80">
        <f t="shared" si="2"/>
        <v>72</v>
      </c>
      <c r="D26" s="80">
        <f t="shared" ref="D26:L26" si="5">IF($B26+D$23&gt;Latest_Year_Shifted,"",D10+C26)</f>
        <v>107</v>
      </c>
      <c r="E26" s="80">
        <f t="shared" si="5"/>
        <v>119</v>
      </c>
      <c r="F26" s="80">
        <f t="shared" si="5"/>
        <v>125</v>
      </c>
      <c r="G26" s="80">
        <f t="shared" si="5"/>
        <v>125</v>
      </c>
      <c r="H26" s="80">
        <f t="shared" si="5"/>
        <v>125</v>
      </c>
      <c r="I26" s="80">
        <f t="shared" si="5"/>
        <v>125</v>
      </c>
      <c r="J26" s="80">
        <f t="shared" si="5"/>
        <v>125</v>
      </c>
      <c r="K26" s="80" t="str">
        <f t="shared" si="5"/>
        <v/>
      </c>
      <c r="L26" s="80" t="str">
        <f t="shared" si="5"/>
        <v/>
      </c>
      <c r="M26" s="48"/>
    </row>
    <row r="27" spans="1:14" ht="13.9">
      <c r="A27" s="84" t="str">
        <f t="shared" si="1"/>
        <v>2007/2008</v>
      </c>
      <c r="B27" s="80">
        <f t="shared" si="2"/>
        <v>2007</v>
      </c>
      <c r="C27" s="80">
        <f t="shared" si="2"/>
        <v>72</v>
      </c>
      <c r="D27" s="80">
        <f t="shared" ref="D27:L27" si="6">IF($B27+D$23&gt;Latest_Year_Shifted,"",D11+C27)</f>
        <v>113</v>
      </c>
      <c r="E27" s="80">
        <f t="shared" si="6"/>
        <v>121</v>
      </c>
      <c r="F27" s="80">
        <f t="shared" si="6"/>
        <v>125</v>
      </c>
      <c r="G27" s="80">
        <f t="shared" si="6"/>
        <v>128</v>
      </c>
      <c r="H27" s="80">
        <f t="shared" si="6"/>
        <v>128</v>
      </c>
      <c r="I27" s="80">
        <f t="shared" si="6"/>
        <v>129</v>
      </c>
      <c r="J27" s="80" t="str">
        <f t="shared" si="6"/>
        <v/>
      </c>
      <c r="K27" s="80" t="str">
        <f t="shared" si="6"/>
        <v/>
      </c>
      <c r="L27" s="80" t="str">
        <f t="shared" si="6"/>
        <v/>
      </c>
      <c r="M27" s="48"/>
    </row>
    <row r="28" spans="1:14" ht="13.9">
      <c r="A28" s="84" t="str">
        <f t="shared" si="1"/>
        <v>2008/2009</v>
      </c>
      <c r="B28" s="80">
        <f t="shared" si="2"/>
        <v>2008</v>
      </c>
      <c r="C28" s="80">
        <f t="shared" si="2"/>
        <v>105</v>
      </c>
      <c r="D28" s="80">
        <f t="shared" ref="D28:L28" si="7">IF($B28+D$23&gt;Latest_Year_Shifted,"",D12+C28)</f>
        <v>152</v>
      </c>
      <c r="E28" s="80">
        <f t="shared" si="7"/>
        <v>166</v>
      </c>
      <c r="F28" s="80">
        <f t="shared" si="7"/>
        <v>170</v>
      </c>
      <c r="G28" s="80">
        <f t="shared" si="7"/>
        <v>174</v>
      </c>
      <c r="H28" s="80">
        <f t="shared" si="7"/>
        <v>174</v>
      </c>
      <c r="I28" s="80" t="str">
        <f t="shared" si="7"/>
        <v/>
      </c>
      <c r="J28" s="80" t="str">
        <f t="shared" si="7"/>
        <v/>
      </c>
      <c r="K28" s="80" t="str">
        <f t="shared" si="7"/>
        <v/>
      </c>
      <c r="L28" s="80" t="str">
        <f t="shared" si="7"/>
        <v/>
      </c>
      <c r="M28" s="48"/>
    </row>
    <row r="29" spans="1:14" ht="13.9">
      <c r="A29" s="84" t="str">
        <f t="shared" si="1"/>
        <v>2009/2010</v>
      </c>
      <c r="B29" s="80">
        <f t="shared" si="2"/>
        <v>2009</v>
      </c>
      <c r="C29" s="80">
        <f t="shared" si="2"/>
        <v>119</v>
      </c>
      <c r="D29" s="80">
        <f t="shared" ref="D29:L29" si="8">IF($B29+D$23&gt;Latest_Year_Shifted,"",D13+C29)</f>
        <v>184</v>
      </c>
      <c r="E29" s="80">
        <f>IF($B29+E$23&gt;Latest_Year_Shifted,"",E13+D29)</f>
        <v>203</v>
      </c>
      <c r="F29" s="80">
        <f t="shared" si="8"/>
        <v>210</v>
      </c>
      <c r="G29" s="80">
        <f t="shared" si="8"/>
        <v>214</v>
      </c>
      <c r="H29" s="80" t="str">
        <f t="shared" si="8"/>
        <v/>
      </c>
      <c r="I29" s="80" t="str">
        <f t="shared" si="8"/>
        <v/>
      </c>
      <c r="J29" s="80" t="str">
        <f t="shared" si="8"/>
        <v/>
      </c>
      <c r="K29" s="80" t="str">
        <f t="shared" si="8"/>
        <v/>
      </c>
      <c r="L29" s="80" t="str">
        <f t="shared" si="8"/>
        <v/>
      </c>
      <c r="M29" s="48"/>
    </row>
    <row r="30" spans="1:14" ht="13.9">
      <c r="A30" s="84" t="str">
        <f t="shared" si="1"/>
        <v>2010/2011</v>
      </c>
      <c r="B30" s="80">
        <f t="shared" si="2"/>
        <v>2010</v>
      </c>
      <c r="C30" s="80">
        <f t="shared" si="2"/>
        <v>169</v>
      </c>
      <c r="D30" s="80">
        <f t="shared" ref="D30:L30" si="9">IF($B30+D$23&gt;Latest_Year_Shifted,"",D14+C30)</f>
        <v>244</v>
      </c>
      <c r="E30" s="80">
        <f t="shared" si="9"/>
        <v>257</v>
      </c>
      <c r="F30" s="80">
        <f t="shared" si="9"/>
        <v>268</v>
      </c>
      <c r="G30" s="80" t="str">
        <f t="shared" si="9"/>
        <v/>
      </c>
      <c r="H30" s="80" t="str">
        <f t="shared" si="9"/>
        <v/>
      </c>
      <c r="I30" s="80" t="str">
        <f t="shared" si="9"/>
        <v/>
      </c>
      <c r="J30" s="80" t="str">
        <f t="shared" si="9"/>
        <v/>
      </c>
      <c r="K30" s="80" t="str">
        <f t="shared" si="9"/>
        <v/>
      </c>
      <c r="L30" s="80" t="str">
        <f t="shared" si="9"/>
        <v/>
      </c>
      <c r="M30" s="48"/>
    </row>
    <row r="31" spans="1:14" ht="13.9">
      <c r="A31" s="84" t="str">
        <f t="shared" si="1"/>
        <v>2011/2012</v>
      </c>
      <c r="B31" s="80">
        <f t="shared" si="2"/>
        <v>2011</v>
      </c>
      <c r="C31" s="80">
        <f t="shared" si="2"/>
        <v>116</v>
      </c>
      <c r="D31" s="80">
        <f t="shared" ref="D31:L31" si="10">IF($B31+D$23&gt;Latest_Year_Shifted,"",D15+C31)</f>
        <v>184</v>
      </c>
      <c r="E31" s="80">
        <f t="shared" si="10"/>
        <v>210</v>
      </c>
      <c r="F31" s="80" t="str">
        <f t="shared" si="10"/>
        <v/>
      </c>
      <c r="G31" s="80" t="str">
        <f t="shared" si="10"/>
        <v/>
      </c>
      <c r="H31" s="80" t="str">
        <f t="shared" si="10"/>
        <v/>
      </c>
      <c r="I31" s="80" t="str">
        <f t="shared" si="10"/>
        <v/>
      </c>
      <c r="J31" s="80" t="str">
        <f t="shared" si="10"/>
        <v/>
      </c>
      <c r="K31" s="80" t="str">
        <f t="shared" si="10"/>
        <v/>
      </c>
      <c r="L31" s="80" t="str">
        <f t="shared" si="10"/>
        <v/>
      </c>
      <c r="M31" s="48"/>
    </row>
    <row r="32" spans="1:14" ht="13.9">
      <c r="A32" s="84" t="str">
        <f t="shared" si="1"/>
        <v>2012/2013</v>
      </c>
      <c r="B32" s="80">
        <f t="shared" si="2"/>
        <v>2012</v>
      </c>
      <c r="C32" s="80">
        <f t="shared" si="2"/>
        <v>95</v>
      </c>
      <c r="D32" s="80">
        <f t="shared" ref="D32:L32" si="11">IF($B32+D$23&gt;Latest_Year_Shifted,"",D16+C32)</f>
        <v>208</v>
      </c>
      <c r="E32" s="80" t="str">
        <f t="shared" si="11"/>
        <v/>
      </c>
      <c r="F32" s="80" t="str">
        <f t="shared" si="11"/>
        <v/>
      </c>
      <c r="G32" s="80" t="str">
        <f t="shared" si="11"/>
        <v/>
      </c>
      <c r="H32" s="80" t="str">
        <f t="shared" si="11"/>
        <v/>
      </c>
      <c r="I32" s="80" t="str">
        <f t="shared" si="11"/>
        <v/>
      </c>
      <c r="J32" s="80" t="str">
        <f t="shared" si="11"/>
        <v/>
      </c>
      <c r="K32" s="80" t="str">
        <f t="shared" si="11"/>
        <v/>
      </c>
      <c r="L32" s="80" t="str">
        <f t="shared" si="11"/>
        <v/>
      </c>
      <c r="M32" s="48"/>
    </row>
    <row r="33" spans="1:17" ht="13.9">
      <c r="A33" s="84" t="str">
        <f t="shared" si="1"/>
        <v>2013/2014</v>
      </c>
      <c r="B33" s="80">
        <f t="shared" si="2"/>
        <v>2013</v>
      </c>
      <c r="C33" s="80">
        <f t="shared" si="2"/>
        <v>136</v>
      </c>
      <c r="D33" s="80" t="str">
        <f t="shared" ref="D33:L33" si="12">IF($B33+D$23&gt;Latest_Year_Shifted,"",D17+C33)</f>
        <v/>
      </c>
      <c r="E33" s="80" t="str">
        <f t="shared" si="12"/>
        <v/>
      </c>
      <c r="F33" s="80" t="str">
        <f t="shared" si="12"/>
        <v/>
      </c>
      <c r="G33" s="80" t="str">
        <f t="shared" si="12"/>
        <v/>
      </c>
      <c r="H33" s="80" t="str">
        <f t="shared" si="12"/>
        <v/>
      </c>
      <c r="I33" s="80" t="str">
        <f t="shared" si="12"/>
        <v/>
      </c>
      <c r="J33" s="80" t="str">
        <f t="shared" si="12"/>
        <v/>
      </c>
      <c r="K33" s="80" t="str">
        <f t="shared" si="12"/>
        <v/>
      </c>
      <c r="L33" s="80" t="str">
        <f t="shared" si="12"/>
        <v/>
      </c>
      <c r="M33" s="48"/>
    </row>
    <row r="34" spans="1:17" ht="13.15">
      <c r="A34" s="48"/>
      <c r="B34" s="48"/>
      <c r="C34" s="48"/>
      <c r="D34" s="48"/>
      <c r="E34" s="48"/>
      <c r="F34" s="48"/>
      <c r="G34" s="48"/>
      <c r="H34" s="48"/>
      <c r="I34" s="48"/>
      <c r="J34" s="48"/>
      <c r="K34" s="48"/>
      <c r="L34" s="54" t="s">
        <v>3537</v>
      </c>
      <c r="M34" s="48"/>
    </row>
    <row r="35" spans="1:17" ht="13.15">
      <c r="A35" s="54" t="s">
        <v>3519</v>
      </c>
      <c r="B35" s="54" t="s">
        <v>3519</v>
      </c>
      <c r="C35" s="76">
        <f t="shared" ref="C35:I35" si="13">SUM(D25:D33)/SUMIF(D25:D33,"&gt;0",C25:C33)</f>
        <v>1.5844806007509387</v>
      </c>
      <c r="D35" s="76">
        <f t="shared" si="13"/>
        <v>1.0945179584120983</v>
      </c>
      <c r="E35" s="76">
        <f t="shared" si="13"/>
        <v>1.0400843881856541</v>
      </c>
      <c r="F35" s="76">
        <f t="shared" si="13"/>
        <v>1.0181058495821727</v>
      </c>
      <c r="G35" s="76">
        <f t="shared" si="13"/>
        <v>1</v>
      </c>
      <c r="H35" s="76">
        <f t="shared" si="13"/>
        <v>1.0029154518950438</v>
      </c>
      <c r="I35" s="76">
        <f t="shared" si="13"/>
        <v>1</v>
      </c>
      <c r="J35" s="76">
        <f>SUM(K24:K33)/SUMIF(K24:K33,"&gt;0",J24:J33)</f>
        <v>1</v>
      </c>
      <c r="K35" s="76">
        <f t="shared" ref="K35" si="14">SUM(L24:L33)/SUMIF(L24:L33,"&gt;0",K24:K33)</f>
        <v>1</v>
      </c>
      <c r="L35" s="77">
        <v>1</v>
      </c>
      <c r="M35" s="48"/>
      <c r="N35" s="23"/>
    </row>
    <row r="36" spans="1:17" ht="13.15">
      <c r="A36" s="54" t="s">
        <v>3522</v>
      </c>
      <c r="B36" s="54" t="s">
        <v>3522</v>
      </c>
      <c r="C36" s="78">
        <f t="shared" ref="C36:I36" si="15">C35*D36</f>
        <v>1.8417710869212653</v>
      </c>
      <c r="D36" s="78">
        <f t="shared" si="15"/>
        <v>1.1623815943523625</v>
      </c>
      <c r="E36" s="78">
        <f t="shared" si="15"/>
        <v>1.0620032183288424</v>
      </c>
      <c r="F36" s="78">
        <f t="shared" si="15"/>
        <v>1.0210740882106921</v>
      </c>
      <c r="G36" s="78">
        <f t="shared" si="15"/>
        <v>1.0029154518950438</v>
      </c>
      <c r="H36" s="78">
        <f t="shared" si="15"/>
        <v>1.0029154518950438</v>
      </c>
      <c r="I36" s="78">
        <f t="shared" si="15"/>
        <v>1</v>
      </c>
      <c r="J36" s="78">
        <f>J35</f>
        <v>1</v>
      </c>
      <c r="K36" s="78">
        <f>K35</f>
        <v>1</v>
      </c>
      <c r="L36" s="79">
        <v>1</v>
      </c>
      <c r="M36" s="76"/>
      <c r="N36" s="23"/>
    </row>
    <row r="37" spans="1:17">
      <c r="A37" s="2"/>
      <c r="B37" s="2"/>
      <c r="C37" s="40"/>
      <c r="D37" s="40"/>
      <c r="E37" s="40"/>
      <c r="F37" s="40"/>
      <c r="G37" s="40"/>
      <c r="H37" s="40"/>
      <c r="I37" s="40"/>
      <c r="J37" s="40"/>
      <c r="K37" s="40"/>
      <c r="L37" s="42"/>
      <c r="M37" s="23"/>
      <c r="N37" s="23"/>
    </row>
    <row r="39" spans="1:17" ht="15.75">
      <c r="A39" s="24" t="s">
        <v>3573</v>
      </c>
      <c r="B39" s="24"/>
    </row>
    <row r="40" spans="1:17" ht="13.9">
      <c r="A40" s="80"/>
      <c r="B40" s="80"/>
      <c r="C40" s="80"/>
      <c r="D40" s="80"/>
      <c r="E40" s="80"/>
      <c r="F40" s="80"/>
      <c r="G40" s="80"/>
      <c r="H40" s="81" t="s">
        <v>3513</v>
      </c>
      <c r="I40" s="80"/>
      <c r="J40" s="80"/>
      <c r="K40" s="80"/>
      <c r="L40" s="80"/>
      <c r="M40" s="80"/>
      <c r="N40" s="80"/>
      <c r="O40" s="80"/>
    </row>
    <row r="41" spans="1:17" ht="13.9">
      <c r="A41" s="104"/>
      <c r="B41" s="82"/>
      <c r="C41" s="82"/>
      <c r="D41" s="82">
        <v>0</v>
      </c>
      <c r="E41" s="82">
        <v>1</v>
      </c>
      <c r="F41" s="82">
        <v>2</v>
      </c>
      <c r="G41" s="82">
        <v>3</v>
      </c>
      <c r="H41" s="82">
        <v>4</v>
      </c>
      <c r="I41" s="82">
        <v>5</v>
      </c>
      <c r="J41" s="82">
        <v>6</v>
      </c>
      <c r="K41" s="82">
        <v>7</v>
      </c>
      <c r="L41" s="82">
        <v>8</v>
      </c>
      <c r="M41" s="82">
        <v>9</v>
      </c>
      <c r="N41" s="85" t="s">
        <v>3520</v>
      </c>
      <c r="O41" s="85" t="s">
        <v>3542</v>
      </c>
    </row>
    <row r="42" spans="1:17" ht="13.9">
      <c r="A42" s="86"/>
      <c r="B42" s="87" t="str">
        <f>C42 &amp; "/" &amp;C42+1</f>
        <v>2004/2005</v>
      </c>
      <c r="C42" s="83">
        <f t="shared" ref="C42:C51" si="16">B8</f>
        <v>2004</v>
      </c>
      <c r="D42" s="80">
        <f t="shared" ref="D42:M42" si="17">IF(ISNUMBER(C24),C24,"")</f>
        <v>24</v>
      </c>
      <c r="E42" s="80">
        <f t="shared" si="17"/>
        <v>42</v>
      </c>
      <c r="F42" s="80">
        <f t="shared" si="17"/>
        <v>45</v>
      </c>
      <c r="G42" s="80">
        <f t="shared" si="17"/>
        <v>47</v>
      </c>
      <c r="H42" s="80">
        <f t="shared" si="17"/>
        <v>48</v>
      </c>
      <c r="I42" s="80">
        <f t="shared" si="17"/>
        <v>48</v>
      </c>
      <c r="J42" s="80">
        <f t="shared" si="17"/>
        <v>48</v>
      </c>
      <c r="K42" s="80">
        <f t="shared" si="17"/>
        <v>48</v>
      </c>
      <c r="L42" s="80">
        <f t="shared" si="17"/>
        <v>48</v>
      </c>
      <c r="M42" s="80">
        <f t="shared" si="17"/>
        <v>48</v>
      </c>
      <c r="N42" s="88">
        <f>M42*L$36</f>
        <v>48</v>
      </c>
      <c r="O42" s="88">
        <f>N42-MAX(D42:M42)</f>
        <v>0</v>
      </c>
    </row>
    <row r="43" spans="1:17" ht="13.9">
      <c r="A43" s="83"/>
      <c r="B43" s="87" t="str">
        <f t="shared" ref="B43:B51" si="18">C43 &amp; "/" &amp;C43+1</f>
        <v>2005/2006</v>
      </c>
      <c r="C43" s="83">
        <f t="shared" si="16"/>
        <v>2005</v>
      </c>
      <c r="D43" s="80">
        <f t="shared" ref="D43:M43" si="19">IF(ISNUMBER(C25),C25,"")</f>
        <v>51</v>
      </c>
      <c r="E43" s="80">
        <f t="shared" si="19"/>
        <v>74</v>
      </c>
      <c r="F43" s="80">
        <f t="shared" si="19"/>
        <v>82</v>
      </c>
      <c r="G43" s="80">
        <f t="shared" si="19"/>
        <v>88</v>
      </c>
      <c r="H43" s="80">
        <f t="shared" si="19"/>
        <v>90</v>
      </c>
      <c r="I43" s="80">
        <f t="shared" si="19"/>
        <v>90</v>
      </c>
      <c r="J43" s="80">
        <f t="shared" si="19"/>
        <v>90</v>
      </c>
      <c r="K43" s="80">
        <f t="shared" si="19"/>
        <v>90</v>
      </c>
      <c r="L43" s="80">
        <f t="shared" si="19"/>
        <v>90</v>
      </c>
      <c r="M43" s="80" t="str">
        <f t="shared" si="19"/>
        <v/>
      </c>
      <c r="N43" s="88">
        <f>L43*K$36</f>
        <v>90</v>
      </c>
      <c r="O43" s="88">
        <f t="shared" ref="O43:O51" si="20">N43-MAX(D43:M43)</f>
        <v>0</v>
      </c>
    </row>
    <row r="44" spans="1:17" ht="13.9">
      <c r="A44" s="83"/>
      <c r="B44" s="87" t="str">
        <f t="shared" si="18"/>
        <v>2006/2007</v>
      </c>
      <c r="C44" s="83">
        <f t="shared" si="16"/>
        <v>2006</v>
      </c>
      <c r="D44" s="80">
        <f t="shared" ref="D44:M44" si="21">IF(ISNUMBER(C26),C26,"")</f>
        <v>72</v>
      </c>
      <c r="E44" s="80">
        <f t="shared" si="21"/>
        <v>107</v>
      </c>
      <c r="F44" s="80">
        <f t="shared" si="21"/>
        <v>119</v>
      </c>
      <c r="G44" s="80">
        <f t="shared" si="21"/>
        <v>125</v>
      </c>
      <c r="H44" s="80">
        <f t="shared" si="21"/>
        <v>125</v>
      </c>
      <c r="I44" s="80">
        <f t="shared" si="21"/>
        <v>125</v>
      </c>
      <c r="J44" s="80">
        <f t="shared" si="21"/>
        <v>125</v>
      </c>
      <c r="K44" s="80">
        <f t="shared" si="21"/>
        <v>125</v>
      </c>
      <c r="L44" s="80" t="str">
        <f t="shared" si="21"/>
        <v/>
      </c>
      <c r="M44" s="80" t="str">
        <f t="shared" si="21"/>
        <v/>
      </c>
      <c r="N44" s="88">
        <f>K44*J$36</f>
        <v>125</v>
      </c>
      <c r="O44" s="88">
        <f t="shared" si="20"/>
        <v>0</v>
      </c>
    </row>
    <row r="45" spans="1:17" ht="13.9">
      <c r="A45" s="83"/>
      <c r="B45" s="87" t="str">
        <f t="shared" si="18"/>
        <v>2007/2008</v>
      </c>
      <c r="C45" s="83">
        <f t="shared" si="16"/>
        <v>2007</v>
      </c>
      <c r="D45" s="80">
        <f t="shared" ref="D45:M45" si="22">IF(ISNUMBER(C27),C27,"")</f>
        <v>72</v>
      </c>
      <c r="E45" s="80">
        <f t="shared" si="22"/>
        <v>113</v>
      </c>
      <c r="F45" s="80">
        <f t="shared" si="22"/>
        <v>121</v>
      </c>
      <c r="G45" s="80">
        <f t="shared" si="22"/>
        <v>125</v>
      </c>
      <c r="H45" s="80">
        <f t="shared" si="22"/>
        <v>128</v>
      </c>
      <c r="I45" s="80">
        <f t="shared" si="22"/>
        <v>128</v>
      </c>
      <c r="J45" s="80">
        <f t="shared" si="22"/>
        <v>129</v>
      </c>
      <c r="K45" s="80" t="str">
        <f t="shared" si="22"/>
        <v/>
      </c>
      <c r="L45" s="80" t="str">
        <f t="shared" si="22"/>
        <v/>
      </c>
      <c r="M45" s="80" t="str">
        <f t="shared" si="22"/>
        <v/>
      </c>
      <c r="N45" s="88">
        <f>J45*I$36</f>
        <v>129</v>
      </c>
      <c r="O45" s="88">
        <f t="shared" si="20"/>
        <v>0</v>
      </c>
    </row>
    <row r="46" spans="1:17" ht="13.9">
      <c r="A46" s="83"/>
      <c r="B46" s="87" t="str">
        <f t="shared" si="18"/>
        <v>2008/2009</v>
      </c>
      <c r="C46" s="83">
        <f t="shared" si="16"/>
        <v>2008</v>
      </c>
      <c r="D46" s="80">
        <f t="shared" ref="D46:M46" si="23">IF(ISNUMBER(C28),C28,"")</f>
        <v>105</v>
      </c>
      <c r="E46" s="80">
        <f t="shared" si="23"/>
        <v>152</v>
      </c>
      <c r="F46" s="80">
        <f t="shared" si="23"/>
        <v>166</v>
      </c>
      <c r="G46" s="80">
        <f t="shared" si="23"/>
        <v>170</v>
      </c>
      <c r="H46" s="80">
        <f t="shared" si="23"/>
        <v>174</v>
      </c>
      <c r="I46" s="80">
        <f t="shared" si="23"/>
        <v>174</v>
      </c>
      <c r="J46" s="80" t="str">
        <f t="shared" si="23"/>
        <v/>
      </c>
      <c r="K46" s="80" t="str">
        <f t="shared" si="23"/>
        <v/>
      </c>
      <c r="L46" s="80" t="str">
        <f t="shared" si="23"/>
        <v/>
      </c>
      <c r="M46" s="80" t="str">
        <f t="shared" si="23"/>
        <v/>
      </c>
      <c r="N46" s="88">
        <f>I46*H$36</f>
        <v>174.50728862973762</v>
      </c>
      <c r="O46" s="88">
        <f t="shared" si="20"/>
        <v>0.50728862973761579</v>
      </c>
    </row>
    <row r="47" spans="1:17" ht="13.9">
      <c r="A47" s="83"/>
      <c r="B47" s="87" t="str">
        <f t="shared" si="18"/>
        <v>2009/2010</v>
      </c>
      <c r="C47" s="83">
        <f t="shared" si="16"/>
        <v>2009</v>
      </c>
      <c r="D47" s="80">
        <f t="shared" ref="D47:M47" si="24">IF(ISNUMBER(C29),C29,"")</f>
        <v>119</v>
      </c>
      <c r="E47" s="80">
        <f t="shared" si="24"/>
        <v>184</v>
      </c>
      <c r="F47" s="80">
        <f t="shared" si="24"/>
        <v>203</v>
      </c>
      <c r="G47" s="80">
        <f t="shared" si="24"/>
        <v>210</v>
      </c>
      <c r="H47" s="80">
        <f t="shared" si="24"/>
        <v>214</v>
      </c>
      <c r="I47" s="80" t="str">
        <f t="shared" si="24"/>
        <v/>
      </c>
      <c r="J47" s="80" t="str">
        <f t="shared" si="24"/>
        <v/>
      </c>
      <c r="K47" s="80" t="str">
        <f t="shared" si="24"/>
        <v/>
      </c>
      <c r="L47" s="80" t="str">
        <f t="shared" si="24"/>
        <v/>
      </c>
      <c r="M47" s="80" t="str">
        <f t="shared" si="24"/>
        <v/>
      </c>
      <c r="N47" s="88">
        <f>H47*G$36</f>
        <v>214.62390670553938</v>
      </c>
      <c r="O47" s="88">
        <f t="shared" si="20"/>
        <v>0.62390670553938321</v>
      </c>
    </row>
    <row r="48" spans="1:17" ht="13.9">
      <c r="A48" s="83"/>
      <c r="B48" s="87" t="str">
        <f t="shared" si="18"/>
        <v>2010/2011</v>
      </c>
      <c r="C48" s="83">
        <f t="shared" si="16"/>
        <v>2010</v>
      </c>
      <c r="D48" s="80">
        <f t="shared" ref="D48:M48" si="25">IF(ISNUMBER(C30),C30,"")</f>
        <v>169</v>
      </c>
      <c r="E48" s="80">
        <f t="shared" si="25"/>
        <v>244</v>
      </c>
      <c r="F48" s="80">
        <f t="shared" si="25"/>
        <v>257</v>
      </c>
      <c r="G48" s="80">
        <f t="shared" si="25"/>
        <v>268</v>
      </c>
      <c r="H48" s="80" t="str">
        <f t="shared" si="25"/>
        <v/>
      </c>
      <c r="I48" s="80" t="str">
        <f t="shared" si="25"/>
        <v/>
      </c>
      <c r="J48" s="80" t="str">
        <f t="shared" si="25"/>
        <v/>
      </c>
      <c r="K48" s="80" t="str">
        <f t="shared" si="25"/>
        <v/>
      </c>
      <c r="L48" s="80" t="str">
        <f t="shared" si="25"/>
        <v/>
      </c>
      <c r="M48" s="80" t="str">
        <f t="shared" si="25"/>
        <v/>
      </c>
      <c r="N48" s="88">
        <f>G48*F$36</f>
        <v>273.64785564046548</v>
      </c>
      <c r="O48" s="88">
        <f t="shared" si="20"/>
        <v>5.6478556404654796</v>
      </c>
      <c r="Q48">
        <v>177</v>
      </c>
    </row>
    <row r="49" spans="1:28" ht="13.9">
      <c r="A49" s="83"/>
      <c r="B49" s="87" t="str">
        <f t="shared" si="18"/>
        <v>2011/2012</v>
      </c>
      <c r="C49" s="83">
        <f t="shared" si="16"/>
        <v>2011</v>
      </c>
      <c r="D49" s="80">
        <f t="shared" ref="D49:M49" si="26">IF(ISNUMBER(C31),C31,"")</f>
        <v>116</v>
      </c>
      <c r="E49" s="80">
        <f t="shared" si="26"/>
        <v>184</v>
      </c>
      <c r="F49" s="80">
        <f t="shared" si="26"/>
        <v>210</v>
      </c>
      <c r="G49" s="80" t="str">
        <f t="shared" si="26"/>
        <v/>
      </c>
      <c r="H49" s="80" t="str">
        <f t="shared" si="26"/>
        <v/>
      </c>
      <c r="I49" s="80" t="str">
        <f t="shared" si="26"/>
        <v/>
      </c>
      <c r="J49" s="80" t="str">
        <f t="shared" si="26"/>
        <v/>
      </c>
      <c r="K49" s="80" t="str">
        <f t="shared" si="26"/>
        <v/>
      </c>
      <c r="L49" s="80" t="str">
        <f t="shared" si="26"/>
        <v/>
      </c>
      <c r="M49" s="80" t="str">
        <f t="shared" si="26"/>
        <v/>
      </c>
      <c r="N49" s="88">
        <f>F49*E$36</f>
        <v>223.02067584905689</v>
      </c>
      <c r="O49" s="88">
        <f t="shared" si="20"/>
        <v>13.020675849056886</v>
      </c>
      <c r="Q49" s="30">
        <f>O49/3+O50*2/3</f>
        <v>26.857139699879895</v>
      </c>
    </row>
    <row r="50" spans="1:28" ht="13.9">
      <c r="A50" s="83"/>
      <c r="B50" s="87" t="str">
        <f t="shared" si="18"/>
        <v>2012/2013</v>
      </c>
      <c r="C50" s="83">
        <f t="shared" si="16"/>
        <v>2012</v>
      </c>
      <c r="D50" s="80">
        <f t="shared" ref="D50:M50" si="27">IF(ISNUMBER(C32),C32,"")</f>
        <v>95</v>
      </c>
      <c r="E50" s="80">
        <f t="shared" si="27"/>
        <v>208</v>
      </c>
      <c r="F50" s="80" t="str">
        <f t="shared" si="27"/>
        <v/>
      </c>
      <c r="G50" s="80" t="str">
        <f t="shared" si="27"/>
        <v/>
      </c>
      <c r="H50" s="80" t="str">
        <f t="shared" si="27"/>
        <v/>
      </c>
      <c r="I50" s="80" t="str">
        <f t="shared" si="27"/>
        <v/>
      </c>
      <c r="J50" s="80" t="str">
        <f t="shared" si="27"/>
        <v/>
      </c>
      <c r="K50" s="80" t="str">
        <f t="shared" si="27"/>
        <v/>
      </c>
      <c r="L50" s="80" t="str">
        <f t="shared" si="27"/>
        <v/>
      </c>
      <c r="M50" s="80" t="str">
        <f t="shared" si="27"/>
        <v/>
      </c>
      <c r="N50" s="88">
        <f>E50*D$36</f>
        <v>241.7753716252914</v>
      </c>
      <c r="O50" s="88">
        <f t="shared" si="20"/>
        <v>33.775371625291399</v>
      </c>
      <c r="Q50" s="30">
        <f>Q48+Q49</f>
        <v>203.85713969987989</v>
      </c>
    </row>
    <row r="51" spans="1:28" ht="13.9">
      <c r="A51" s="83"/>
      <c r="B51" s="87" t="str">
        <f t="shared" si="18"/>
        <v>2013/2014</v>
      </c>
      <c r="C51" s="83">
        <f t="shared" si="16"/>
        <v>2013</v>
      </c>
      <c r="D51" s="80">
        <f t="shared" ref="D51:M51" si="28">IF(ISNUMBER(C33),C33,"")</f>
        <v>136</v>
      </c>
      <c r="E51" s="80" t="str">
        <f t="shared" si="28"/>
        <v/>
      </c>
      <c r="F51" s="80" t="str">
        <f t="shared" si="28"/>
        <v/>
      </c>
      <c r="G51" s="80" t="str">
        <f t="shared" si="28"/>
        <v/>
      </c>
      <c r="H51" s="80" t="str">
        <f t="shared" si="28"/>
        <v/>
      </c>
      <c r="I51" s="80" t="str">
        <f t="shared" si="28"/>
        <v/>
      </c>
      <c r="J51" s="80" t="str">
        <f t="shared" si="28"/>
        <v/>
      </c>
      <c r="K51" s="80" t="str">
        <f t="shared" si="28"/>
        <v/>
      </c>
      <c r="L51" s="80" t="str">
        <f t="shared" si="28"/>
        <v/>
      </c>
      <c r="M51" s="80" t="str">
        <f t="shared" si="28"/>
        <v/>
      </c>
      <c r="N51" s="88">
        <f>D51*C$36</f>
        <v>250.48086782129209</v>
      </c>
      <c r="O51" s="88">
        <f t="shared" si="20"/>
        <v>114.48086782129209</v>
      </c>
    </row>
    <row r="52" spans="1:28" ht="13.15">
      <c r="A52" s="48"/>
      <c r="B52" s="48"/>
      <c r="C52" s="48"/>
      <c r="D52" s="48"/>
      <c r="E52" s="48"/>
      <c r="F52" s="48"/>
      <c r="G52" s="48"/>
      <c r="H52" s="48"/>
      <c r="I52" s="48"/>
      <c r="J52" s="48"/>
      <c r="K52" s="48"/>
      <c r="L52" s="48"/>
      <c r="M52" s="48"/>
      <c r="N52" s="48"/>
      <c r="O52" s="48"/>
    </row>
    <row r="53" spans="1:28" ht="13.15">
      <c r="A53" s="48"/>
      <c r="B53" s="48"/>
      <c r="C53" s="48"/>
      <c r="D53" s="48"/>
      <c r="E53" s="48"/>
      <c r="F53" s="48"/>
      <c r="G53" s="48"/>
      <c r="H53" s="48"/>
      <c r="I53" s="48"/>
      <c r="J53" s="48"/>
      <c r="K53" s="48"/>
      <c r="L53" s="48"/>
      <c r="M53" s="48"/>
      <c r="N53" s="48"/>
      <c r="O53" s="48"/>
    </row>
    <row r="54" spans="1:28" ht="15.75">
      <c r="A54" s="24" t="s">
        <v>3574</v>
      </c>
      <c r="B54" s="48"/>
      <c r="C54" s="48"/>
      <c r="D54" s="48"/>
      <c r="E54" s="48"/>
      <c r="F54" s="48"/>
      <c r="G54" s="48"/>
      <c r="H54" s="48"/>
      <c r="I54" s="48"/>
      <c r="J54" s="48"/>
      <c r="K54" s="48"/>
      <c r="L54" s="48"/>
      <c r="M54" s="48"/>
      <c r="N54" s="48"/>
      <c r="O54" s="48"/>
    </row>
    <row r="55" spans="1:28" s="18" customFormat="1" ht="47.25" customHeight="1">
      <c r="A55" s="113" t="s">
        <v>3547</v>
      </c>
      <c r="B55" s="113"/>
      <c r="C55" s="113"/>
      <c r="D55" s="113"/>
      <c r="F55" s="113" t="s">
        <v>3548</v>
      </c>
      <c r="G55" s="113"/>
      <c r="H55" s="113"/>
      <c r="I55" s="113"/>
      <c r="J55"/>
      <c r="K55"/>
      <c r="L55"/>
      <c r="M55"/>
    </row>
    <row r="56" spans="1:28" ht="38.65">
      <c r="A56" s="45" t="s">
        <v>3543</v>
      </c>
      <c r="B56" s="45" t="s">
        <v>3531</v>
      </c>
      <c r="C56" s="45" t="s">
        <v>3520</v>
      </c>
      <c r="D56" s="45" t="s">
        <v>3542</v>
      </c>
      <c r="E56" s="46"/>
      <c r="F56" s="45" t="s">
        <v>3541</v>
      </c>
      <c r="G56" s="45" t="s">
        <v>3531</v>
      </c>
      <c r="H56" s="45" t="s">
        <v>3545</v>
      </c>
      <c r="I56" s="45" t="s">
        <v>3544</v>
      </c>
    </row>
    <row r="57" spans="1:28" ht="13.5">
      <c r="A57" s="47" t="str">
        <f t="shared" ref="A57:A66" si="29">B42</f>
        <v>2004/2005</v>
      </c>
      <c r="B57" s="60">
        <f t="shared" ref="B57:B66" si="30">MAX(D42:M42)</f>
        <v>48</v>
      </c>
      <c r="C57" s="49">
        <f t="shared" ref="C57:C66" si="31">N42</f>
        <v>48</v>
      </c>
      <c r="D57" s="49">
        <f t="shared" ref="D57:D66" si="32">O42</f>
        <v>0</v>
      </c>
      <c r="E57" s="48"/>
      <c r="F57" s="47">
        <f>Earliest_Year</f>
        <v>2005</v>
      </c>
      <c r="G57" s="50">
        <f>MAX('3. Projection - Methods 1 and 2'!O44:W44)</f>
        <v>86</v>
      </c>
      <c r="H57" s="49">
        <f t="shared" ref="H57:H65" si="33">4/12*D57+8/12*D58</f>
        <v>0</v>
      </c>
      <c r="I57" s="50">
        <f>SUM(G57:H57)</f>
        <v>86</v>
      </c>
      <c r="N57" s="21"/>
    </row>
    <row r="58" spans="1:28" ht="13.15">
      <c r="A58" s="47" t="str">
        <f t="shared" si="29"/>
        <v>2005/2006</v>
      </c>
      <c r="B58" s="60">
        <f t="shared" si="30"/>
        <v>90</v>
      </c>
      <c r="C58" s="49">
        <f t="shared" si="31"/>
        <v>90</v>
      </c>
      <c r="D58" s="49">
        <f t="shared" si="32"/>
        <v>0</v>
      </c>
      <c r="E58" s="48"/>
      <c r="F58" s="47">
        <f>F57+1</f>
        <v>2006</v>
      </c>
      <c r="G58" s="50">
        <f>MAX('3. Projection - Methods 1 and 2'!O45:W45)</f>
        <v>92</v>
      </c>
      <c r="H58" s="49">
        <f t="shared" si="33"/>
        <v>0</v>
      </c>
      <c r="I58" s="50">
        <f t="shared" ref="I58:I65" si="34">SUM(G58:H58)</f>
        <v>92</v>
      </c>
    </row>
    <row r="59" spans="1:28" ht="13.15">
      <c r="A59" s="47" t="str">
        <f t="shared" si="29"/>
        <v>2006/2007</v>
      </c>
      <c r="B59" s="60">
        <f t="shared" si="30"/>
        <v>125</v>
      </c>
      <c r="C59" s="49">
        <f t="shared" si="31"/>
        <v>125</v>
      </c>
      <c r="D59" s="49">
        <f t="shared" si="32"/>
        <v>0</v>
      </c>
      <c r="E59" s="48"/>
      <c r="F59" s="47">
        <f t="shared" ref="F59:F65" si="35">F58+1</f>
        <v>2007</v>
      </c>
      <c r="G59" s="50">
        <f>MAX('3. Projection - Methods 1 and 2'!O46:W46)</f>
        <v>110</v>
      </c>
      <c r="H59" s="49">
        <f>4/12*D59+8/12*D60</f>
        <v>0</v>
      </c>
      <c r="I59" s="50">
        <f t="shared" si="34"/>
        <v>110</v>
      </c>
    </row>
    <row r="60" spans="1:28" ht="13.15">
      <c r="A60" s="47" t="str">
        <f t="shared" si="29"/>
        <v>2007/2008</v>
      </c>
      <c r="B60" s="60">
        <f t="shared" si="30"/>
        <v>129</v>
      </c>
      <c r="C60" s="49">
        <f t="shared" si="31"/>
        <v>129</v>
      </c>
      <c r="D60" s="49">
        <f t="shared" si="32"/>
        <v>0</v>
      </c>
      <c r="E60" s="48"/>
      <c r="F60" s="47">
        <f t="shared" si="35"/>
        <v>2008</v>
      </c>
      <c r="G60" s="50">
        <f>MAX('3. Projection - Methods 1 and 2'!O47:W47)</f>
        <v>145</v>
      </c>
      <c r="H60" s="49">
        <f t="shared" si="33"/>
        <v>0.3381924198250772</v>
      </c>
      <c r="I60" s="50">
        <f t="shared" si="34"/>
        <v>145.33819241982508</v>
      </c>
      <c r="AB60">
        <f>24/55</f>
        <v>0.43636363636363634</v>
      </c>
    </row>
    <row r="61" spans="1:28" ht="13.15">
      <c r="A61" s="47" t="str">
        <f t="shared" si="29"/>
        <v>2008/2009</v>
      </c>
      <c r="B61" s="60">
        <f t="shared" si="30"/>
        <v>174</v>
      </c>
      <c r="C61" s="49">
        <f t="shared" si="31"/>
        <v>174.50728862973762</v>
      </c>
      <c r="D61" s="49">
        <f t="shared" si="32"/>
        <v>0.50728862973761579</v>
      </c>
      <c r="E61" s="48"/>
      <c r="F61" s="47">
        <f t="shared" si="35"/>
        <v>2009</v>
      </c>
      <c r="G61" s="50">
        <f>MAX('3. Projection - Methods 1 and 2'!O48:W48)</f>
        <v>192</v>
      </c>
      <c r="H61" s="49">
        <f t="shared" si="33"/>
        <v>0.5850340136054607</v>
      </c>
      <c r="I61" s="50">
        <f t="shared" si="34"/>
        <v>192.58503401360545</v>
      </c>
      <c r="AB61">
        <f>293/568</f>
        <v>0.51584507042253525</v>
      </c>
    </row>
    <row r="62" spans="1:28" ht="13.15">
      <c r="A62" s="47" t="str">
        <f t="shared" si="29"/>
        <v>2009/2010</v>
      </c>
      <c r="B62" s="60">
        <f t="shared" si="30"/>
        <v>214</v>
      </c>
      <c r="C62" s="49">
        <f t="shared" si="31"/>
        <v>214.62390670553938</v>
      </c>
      <c r="D62" s="49">
        <f t="shared" si="32"/>
        <v>0.62390670553938321</v>
      </c>
      <c r="E62" s="48"/>
      <c r="F62" s="47">
        <f t="shared" si="35"/>
        <v>2010</v>
      </c>
      <c r="G62" s="50">
        <f>MAX('3. Projection - Methods 1 and 2'!O49:W49)</f>
        <v>253</v>
      </c>
      <c r="H62" s="49">
        <f t="shared" si="33"/>
        <v>3.973205995490114</v>
      </c>
      <c r="I62" s="50">
        <f t="shared" si="34"/>
        <v>256.9732059954901</v>
      </c>
    </row>
    <row r="63" spans="1:28" ht="13.15">
      <c r="A63" s="47" t="str">
        <f t="shared" si="29"/>
        <v>2010/2011</v>
      </c>
      <c r="B63" s="60">
        <f t="shared" si="30"/>
        <v>268</v>
      </c>
      <c r="C63" s="49">
        <f t="shared" si="31"/>
        <v>273.64785564046548</v>
      </c>
      <c r="D63" s="49">
        <f t="shared" si="32"/>
        <v>5.6478556404654796</v>
      </c>
      <c r="E63" s="48"/>
      <c r="F63" s="47">
        <f t="shared" si="35"/>
        <v>2011</v>
      </c>
      <c r="G63" s="50">
        <f>MAX('3. Projection - Methods 1 and 2'!O50:W50)</f>
        <v>241</v>
      </c>
      <c r="H63" s="49">
        <f t="shared" si="33"/>
        <v>10.563069112859749</v>
      </c>
      <c r="I63" s="50">
        <f t="shared" si="34"/>
        <v>251.56306911285975</v>
      </c>
    </row>
    <row r="64" spans="1:28" ht="13.15">
      <c r="A64" s="47" t="str">
        <f t="shared" si="29"/>
        <v>2011/2012</v>
      </c>
      <c r="B64" s="60">
        <f t="shared" si="30"/>
        <v>210</v>
      </c>
      <c r="C64" s="49">
        <f t="shared" si="31"/>
        <v>223.02067584905689</v>
      </c>
      <c r="D64" s="49">
        <f t="shared" si="32"/>
        <v>13.020675849056886</v>
      </c>
      <c r="E64" s="48"/>
      <c r="F64" s="47">
        <f t="shared" si="35"/>
        <v>2012</v>
      </c>
      <c r="G64" s="50">
        <f>MAX('3. Projection - Methods 1 and 2'!O51:W51)</f>
        <v>177</v>
      </c>
      <c r="H64" s="49">
        <f t="shared" si="33"/>
        <v>26.857139699879895</v>
      </c>
      <c r="I64" s="50">
        <f t="shared" si="34"/>
        <v>203.85713969987989</v>
      </c>
    </row>
    <row r="65" spans="1:32" ht="13.15">
      <c r="A65" s="47" t="str">
        <f t="shared" si="29"/>
        <v>2012/2013</v>
      </c>
      <c r="B65" s="60">
        <f t="shared" si="30"/>
        <v>208</v>
      </c>
      <c r="C65" s="49">
        <f t="shared" si="31"/>
        <v>241.7753716252914</v>
      </c>
      <c r="D65" s="49">
        <f t="shared" si="32"/>
        <v>33.775371625291399</v>
      </c>
      <c r="E65" s="48"/>
      <c r="F65" s="47">
        <f t="shared" si="35"/>
        <v>2013</v>
      </c>
      <c r="G65" s="50">
        <f>MAX('3. Projection - Methods 1 and 2'!O52:W52)</f>
        <v>102</v>
      </c>
      <c r="H65" s="49">
        <f t="shared" si="33"/>
        <v>87.579035755958529</v>
      </c>
      <c r="I65" s="50">
        <f t="shared" si="34"/>
        <v>189.57903575595853</v>
      </c>
      <c r="Y65" s="48"/>
      <c r="Z65" s="48"/>
    </row>
    <row r="66" spans="1:32" ht="13.15">
      <c r="A66" s="47" t="str">
        <f t="shared" si="29"/>
        <v>2013/2014</v>
      </c>
      <c r="B66" s="60">
        <f t="shared" si="30"/>
        <v>136</v>
      </c>
      <c r="C66" s="49">
        <f t="shared" si="31"/>
        <v>250.48086782129209</v>
      </c>
      <c r="D66" s="49">
        <f t="shared" si="32"/>
        <v>114.48086782129209</v>
      </c>
      <c r="E66" s="48"/>
      <c r="F66" s="47"/>
      <c r="G66" s="48"/>
      <c r="H66" s="49"/>
      <c r="I66" s="48"/>
    </row>
    <row r="67" spans="1:32" ht="15.75">
      <c r="Z67" s="114" t="s">
        <v>3554</v>
      </c>
      <c r="AA67" s="114"/>
      <c r="AB67" s="114"/>
      <c r="AC67" s="114"/>
    </row>
    <row r="68" spans="1:32" ht="64.150000000000006">
      <c r="Y68" s="45" t="s">
        <v>3541</v>
      </c>
      <c r="Z68" s="45" t="s">
        <v>3550</v>
      </c>
      <c r="AA68" s="45" t="s">
        <v>3551</v>
      </c>
      <c r="AB68" s="45" t="s">
        <v>3552</v>
      </c>
      <c r="AC68" s="45" t="s">
        <v>3553</v>
      </c>
    </row>
    <row r="69" spans="1:32" ht="13.15">
      <c r="N69" s="23"/>
      <c r="Y69" s="47">
        <v>2002</v>
      </c>
      <c r="Z69" s="50">
        <f t="shared" ref="Z69:Z77" si="36">G57+H57</f>
        <v>86</v>
      </c>
      <c r="AA69" s="50">
        <f>'3. Projection - Methods 1 and 2'!L77</f>
        <v>86</v>
      </c>
      <c r="AB69" s="50">
        <f>'4. Projection - Method 3'!E121</f>
        <v>86</v>
      </c>
      <c r="AC69" s="50">
        <f t="shared" ref="AC69:AC77" si="37">I57</f>
        <v>86</v>
      </c>
      <c r="AE69" s="30">
        <f>MAX(Z69:AC69)-MIN(Z69:AC69)</f>
        <v>0</v>
      </c>
      <c r="AF69" s="35">
        <f>AE69/MIN(Z69:AC69)</f>
        <v>0</v>
      </c>
    </row>
    <row r="70" spans="1:32" ht="13.15">
      <c r="Y70" s="47">
        <v>2003</v>
      </c>
      <c r="Z70" s="50">
        <f t="shared" si="36"/>
        <v>92</v>
      </c>
      <c r="AA70" s="50">
        <f>'3. Projection - Methods 1 and 2'!L78</f>
        <v>92</v>
      </c>
      <c r="AB70" s="50">
        <f>'4. Projection - Method 3'!E122</f>
        <v>92</v>
      </c>
      <c r="AC70" s="50">
        <f t="shared" si="37"/>
        <v>92</v>
      </c>
      <c r="AE70" s="30">
        <f t="shared" ref="AE70:AE77" si="38">MAX(Z70:AC70)-MIN(Z70:AC70)</f>
        <v>0</v>
      </c>
      <c r="AF70" s="35">
        <f t="shared" ref="AF70:AF77" si="39">AE70/MIN(Z70:AC70)</f>
        <v>0</v>
      </c>
    </row>
    <row r="71" spans="1:32" ht="13.15">
      <c r="N71" s="37"/>
      <c r="Y71" s="47">
        <v>2004</v>
      </c>
      <c r="Z71" s="50">
        <f t="shared" si="36"/>
        <v>110</v>
      </c>
      <c r="AA71" s="50">
        <f>'3. Projection - Methods 1 and 2'!L79</f>
        <v>110</v>
      </c>
      <c r="AB71" s="50">
        <f>'4. Projection - Method 3'!E123</f>
        <v>110</v>
      </c>
      <c r="AC71" s="50">
        <f t="shared" si="37"/>
        <v>110</v>
      </c>
      <c r="AE71" s="30">
        <f t="shared" si="38"/>
        <v>0</v>
      </c>
      <c r="AF71" s="35">
        <f t="shared" si="39"/>
        <v>0</v>
      </c>
    </row>
    <row r="72" spans="1:32" ht="13.15" hidden="1">
      <c r="Y72" s="47">
        <v>2005</v>
      </c>
      <c r="Z72" s="50">
        <f t="shared" si="36"/>
        <v>145.33819241982508</v>
      </c>
      <c r="AA72" s="50">
        <f>'3. Projection - Methods 1 and 2'!L80</f>
        <v>146.5</v>
      </c>
      <c r="AB72" s="50">
        <f>'4. Projection - Method 3'!E124</f>
        <v>146.32415902140673</v>
      </c>
      <c r="AC72" s="50">
        <f t="shared" si="37"/>
        <v>145.33819241982508</v>
      </c>
      <c r="AE72" s="30">
        <f t="shared" si="38"/>
        <v>1.1618075801749228</v>
      </c>
      <c r="AF72" s="35">
        <f t="shared" si="39"/>
        <v>7.9938215883332032E-3</v>
      </c>
    </row>
    <row r="73" spans="1:32" ht="13.15">
      <c r="Y73" s="47">
        <v>2006</v>
      </c>
      <c r="Z73" s="50">
        <f t="shared" si="36"/>
        <v>192.58503401360545</v>
      </c>
      <c r="AA73" s="50">
        <f>'3. Projection - Methods 1 and 2'!L81</f>
        <v>195.67551963048498</v>
      </c>
      <c r="AB73" s="50">
        <f>'4. Projection - Method 3'!E125</f>
        <v>194.5932721712538</v>
      </c>
      <c r="AC73" s="50">
        <f t="shared" si="37"/>
        <v>192.58503401360545</v>
      </c>
      <c r="AE73" s="30">
        <f t="shared" si="38"/>
        <v>3.0904856168795334</v>
      </c>
      <c r="AF73" s="35">
        <f t="shared" si="39"/>
        <v>1.6047382044552857E-2</v>
      </c>
    </row>
    <row r="74" spans="1:32" ht="13.5">
      <c r="N74" s="21"/>
      <c r="X74" s="29"/>
      <c r="Y74" s="47">
        <v>2007</v>
      </c>
      <c r="Z74" s="50">
        <f t="shared" si="36"/>
        <v>256.9732059954901</v>
      </c>
      <c r="AA74" s="50">
        <f>'3. Projection - Methods 1 and 2'!L82</f>
        <v>259.63231408775977</v>
      </c>
      <c r="AB74" s="50">
        <f>'4. Projection - Method 3'!E126</f>
        <v>257.88157188416181</v>
      </c>
      <c r="AC74" s="50">
        <f t="shared" si="37"/>
        <v>256.9732059954901</v>
      </c>
      <c r="AE74" s="30">
        <f t="shared" si="38"/>
        <v>2.6591080922696619</v>
      </c>
      <c r="AF74" s="35">
        <f t="shared" si="39"/>
        <v>1.034780292353254E-2</v>
      </c>
    </row>
    <row r="75" spans="1:32" ht="13.5">
      <c r="N75" s="29"/>
      <c r="Y75" s="47">
        <v>2008</v>
      </c>
      <c r="Z75" s="50">
        <f t="shared" si="36"/>
        <v>251.56306911285975</v>
      </c>
      <c r="AA75" s="50">
        <f>'3. Projection - Methods 1 and 2'!L83</f>
        <v>260.5938937644342</v>
      </c>
      <c r="AB75" s="50">
        <f>'4. Projection - Method 3'!E127</f>
        <v>257.9325645392147</v>
      </c>
      <c r="AC75" s="50">
        <f t="shared" si="37"/>
        <v>251.56306911285975</v>
      </c>
      <c r="AE75" s="30">
        <f t="shared" si="38"/>
        <v>9.0308246515744486</v>
      </c>
      <c r="AF75" s="35">
        <f t="shared" si="39"/>
        <v>3.5898849077576303E-2</v>
      </c>
    </row>
    <row r="76" spans="1:32" ht="13.5">
      <c r="N76" s="29"/>
      <c r="O76" s="26"/>
      <c r="P76" s="26"/>
      <c r="Q76" s="26"/>
      <c r="R76" s="26"/>
      <c r="S76" s="26"/>
      <c r="T76" s="26"/>
      <c r="Y76" s="47">
        <v>2009</v>
      </c>
      <c r="Z76" s="50">
        <f t="shared" si="36"/>
        <v>203.85713969987989</v>
      </c>
      <c r="AA76" s="50">
        <f>'3. Projection - Methods 1 and 2'!L84</f>
        <v>224.31231455094016</v>
      </c>
      <c r="AB76" s="50">
        <f>'4. Projection - Method 3'!E128</f>
        <v>215.12880806603997</v>
      </c>
      <c r="AC76" s="50">
        <f t="shared" si="37"/>
        <v>203.85713969987989</v>
      </c>
      <c r="AE76" s="30">
        <f t="shared" si="38"/>
        <v>20.455174851060264</v>
      </c>
      <c r="AF76" s="35">
        <f t="shared" si="39"/>
        <v>0.10034073312896735</v>
      </c>
    </row>
    <row r="77" spans="1:32" ht="13.5">
      <c r="N77" s="29"/>
      <c r="O77" s="26"/>
      <c r="P77" s="26"/>
      <c r="Q77" s="26"/>
      <c r="R77" s="26"/>
      <c r="S77" s="26"/>
      <c r="Y77" s="47">
        <v>2010</v>
      </c>
      <c r="Z77" s="50">
        <f t="shared" si="36"/>
        <v>189.57903575595853</v>
      </c>
      <c r="AA77" s="50">
        <f>'3. Projection - Methods 1 and 2'!L85</f>
        <v>296.10134783269262</v>
      </c>
      <c r="AB77" s="50">
        <f>'4. Projection - Method 3'!E129</f>
        <v>252.34561254571713</v>
      </c>
      <c r="AC77" s="50">
        <f t="shared" si="37"/>
        <v>189.57903575595853</v>
      </c>
      <c r="AE77" s="30">
        <f t="shared" si="38"/>
        <v>106.5223120767341</v>
      </c>
      <c r="AF77" s="35">
        <f t="shared" si="39"/>
        <v>0.56188866902909151</v>
      </c>
    </row>
    <row r="78" spans="1:32" ht="13.15">
      <c r="N78" s="29"/>
      <c r="O78" s="26"/>
      <c r="P78" s="26"/>
      <c r="Q78" s="26"/>
      <c r="R78" s="26"/>
    </row>
    <row r="79" spans="1:32" ht="13.15">
      <c r="N79" s="29"/>
      <c r="O79" s="26"/>
      <c r="P79" s="26"/>
      <c r="Q79" s="26"/>
    </row>
    <row r="80" spans="1:32" ht="13.15">
      <c r="N80" s="29"/>
      <c r="O80" s="26"/>
      <c r="P80" s="26"/>
    </row>
    <row r="81" spans="14:15" ht="13.15">
      <c r="N81" s="29"/>
      <c r="O81" s="26"/>
    </row>
    <row r="82" spans="14:15" ht="13.15">
      <c r="N82" s="29"/>
    </row>
    <row r="83" spans="14:15" ht="13.15">
      <c r="N83" s="29"/>
    </row>
    <row r="84" spans="14:15" ht="13.15">
      <c r="N84" s="29"/>
    </row>
  </sheetData>
  <mergeCells count="3">
    <mergeCell ref="A55:D55"/>
    <mergeCell ref="F55:I55"/>
    <mergeCell ref="Z67:AC67"/>
  </mergeCells>
  <phoneticPr fontId="76"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dimension ref="B4:P18"/>
  <sheetViews>
    <sheetView showGridLines="0" topLeftCell="A3" workbookViewId="0">
      <selection activeCell="C6" sqref="C6:H14"/>
    </sheetView>
  </sheetViews>
  <sheetFormatPr defaultRowHeight="12.75"/>
  <cols>
    <col min="3" max="3" width="11.1328125" bestFit="1" customWidth="1"/>
    <col min="5" max="5" width="13.53125" customWidth="1"/>
    <col min="6" max="6" width="10.53125" customWidth="1"/>
    <col min="7" max="7" width="12" customWidth="1"/>
    <col min="8" max="8" width="13.86328125" customWidth="1"/>
    <col min="10" max="10" width="9.6640625" customWidth="1"/>
    <col min="11" max="11" width="11.6640625" customWidth="1"/>
    <col min="14" max="14" width="11.1328125" customWidth="1"/>
  </cols>
  <sheetData>
    <row r="4" spans="3:16" ht="15">
      <c r="E4" s="115" t="s">
        <v>3588</v>
      </c>
      <c r="F4" s="115"/>
      <c r="G4" s="115"/>
      <c r="H4" s="115"/>
    </row>
    <row r="5" spans="3:16" s="18" customFormat="1" ht="67.5">
      <c r="C5" s="38" t="s">
        <v>114</v>
      </c>
      <c r="D5" s="38" t="s">
        <v>3531</v>
      </c>
      <c r="E5" s="38" t="s">
        <v>3589</v>
      </c>
      <c r="F5" s="38" t="s">
        <v>3585</v>
      </c>
      <c r="G5" s="38" t="s">
        <v>3586</v>
      </c>
      <c r="H5" s="38" t="s">
        <v>3587</v>
      </c>
      <c r="J5"/>
      <c r="K5"/>
      <c r="L5"/>
      <c r="M5"/>
      <c r="N5"/>
      <c r="O5"/>
      <c r="P5"/>
    </row>
    <row r="6" spans="3:16" ht="13.15">
      <c r="C6" s="48">
        <f>Earliest_Year</f>
        <v>2005</v>
      </c>
      <c r="D6" s="48">
        <f>SUMIFS(Table1[Non-zero? (1=Yes)],Table1[Policy Year],"="&amp;C6)</f>
        <v>86</v>
      </c>
      <c r="E6" s="49">
        <f>'3. Projection - Methods 1 and 2'!X44</f>
        <v>86</v>
      </c>
      <c r="F6" s="49">
        <f>'3. Projection - Methods 1 and 2'!L77</f>
        <v>86</v>
      </c>
      <c r="G6" s="49">
        <f>'4. Projection - Method 3'!E121</f>
        <v>86</v>
      </c>
      <c r="H6" s="49">
        <f>'5. Projection - Method 4'!I57</f>
        <v>86</v>
      </c>
    </row>
    <row r="7" spans="3:16" ht="13.15">
      <c r="C7" s="48">
        <f>C6+1</f>
        <v>2006</v>
      </c>
      <c r="D7" s="48">
        <f>SUMIFS(Table1[Non-zero? (1=Yes)],Table1[Policy Year],"="&amp;C7)</f>
        <v>92</v>
      </c>
      <c r="E7" s="49">
        <f>'3. Projection - Methods 1 and 2'!X45</f>
        <v>92</v>
      </c>
      <c r="F7" s="49">
        <f>'3. Projection - Methods 1 and 2'!L78</f>
        <v>92</v>
      </c>
      <c r="G7" s="49">
        <f>'4. Projection - Method 3'!E122</f>
        <v>92</v>
      </c>
      <c r="H7" s="49">
        <f>'5. Projection - Method 4'!I58</f>
        <v>92</v>
      </c>
    </row>
    <row r="8" spans="3:16" ht="13.15">
      <c r="C8" s="48">
        <f t="shared" ref="C8:C15" si="0">C7+1</f>
        <v>2007</v>
      </c>
      <c r="D8" s="48">
        <f>SUMIFS(Table1[Non-zero? (1=Yes)],Table1[Policy Year],"="&amp;C8)</f>
        <v>110</v>
      </c>
      <c r="E8" s="49">
        <f>'3. Projection - Methods 1 and 2'!X46</f>
        <v>110</v>
      </c>
      <c r="F8" s="49">
        <f>'3. Projection - Methods 1 and 2'!L79</f>
        <v>110</v>
      </c>
      <c r="G8" s="49">
        <f>'4. Projection - Method 3'!E123</f>
        <v>110</v>
      </c>
      <c r="H8" s="49">
        <f>'5. Projection - Method 4'!I59</f>
        <v>110</v>
      </c>
    </row>
    <row r="9" spans="3:16" ht="13.15">
      <c r="C9" s="48">
        <f t="shared" si="0"/>
        <v>2008</v>
      </c>
      <c r="D9" s="48">
        <f>SUMIFS(Table1[Non-zero? (1=Yes)],Table1[Policy Year],"="&amp;C9)</f>
        <v>146</v>
      </c>
      <c r="E9" s="49">
        <f>'3. Projection - Methods 1 and 2'!X47</f>
        <v>145</v>
      </c>
      <c r="F9" s="49">
        <f>'3. Projection - Methods 1 and 2'!L80</f>
        <v>146.5</v>
      </c>
      <c r="G9" s="49">
        <f>'4. Projection - Method 3'!E124</f>
        <v>146.32415902140673</v>
      </c>
      <c r="H9" s="49">
        <f>'5. Projection - Method 4'!I60</f>
        <v>145.33819241982508</v>
      </c>
    </row>
    <row r="10" spans="3:16" ht="13.15">
      <c r="C10" s="48">
        <f t="shared" si="0"/>
        <v>2009</v>
      </c>
      <c r="D10" s="48">
        <f>SUMIFS(Table1[Non-zero? (1=Yes)],Table1[Policy Year],"="&amp;C10)</f>
        <v>194</v>
      </c>
      <c r="E10" s="49">
        <f>'3. Projection - Methods 1 and 2'!X48</f>
        <v>192</v>
      </c>
      <c r="F10" s="49">
        <f>'3. Projection - Methods 1 and 2'!L81</f>
        <v>195.67551963048498</v>
      </c>
      <c r="G10" s="49">
        <f>'4. Projection - Method 3'!E125</f>
        <v>194.5932721712538</v>
      </c>
      <c r="H10" s="49">
        <f>'5. Projection - Method 4'!I61</f>
        <v>192.58503401360545</v>
      </c>
    </row>
    <row r="11" spans="3:16" ht="13.15">
      <c r="C11" s="48">
        <f t="shared" si="0"/>
        <v>2010</v>
      </c>
      <c r="D11" s="48">
        <f>SUMIFS(Table1[Non-zero? (1=Yes)],Table1[Policy Year],"="&amp;C11)</f>
        <v>256</v>
      </c>
      <c r="E11" s="49">
        <f>'3. Projection - Methods 1 and 2'!X49</f>
        <v>256.69642857142856</v>
      </c>
      <c r="F11" s="49">
        <f>'3. Projection - Methods 1 and 2'!L82</f>
        <v>259.63231408775977</v>
      </c>
      <c r="G11" s="49">
        <f>'4. Projection - Method 3'!E126</f>
        <v>257.88157188416181</v>
      </c>
      <c r="H11" s="49">
        <f>'5. Projection - Method 4'!I62</f>
        <v>256.9732059954901</v>
      </c>
    </row>
    <row r="12" spans="3:16" ht="13.15">
      <c r="C12" s="48">
        <f t="shared" si="0"/>
        <v>2011</v>
      </c>
      <c r="D12" s="48">
        <f>SUMIFS(Table1[Non-zero? (1=Yes)],Table1[Policy Year],"="&amp;C12)</f>
        <v>250</v>
      </c>
      <c r="E12" s="49">
        <f>'3. Projection - Methods 1 and 2'!X50</f>
        <v>254.17325273410796</v>
      </c>
      <c r="F12" s="49">
        <f>'3. Projection - Methods 1 and 2'!L83</f>
        <v>260.5938937644342</v>
      </c>
      <c r="G12" s="49">
        <f>'4. Projection - Method 3'!E127</f>
        <v>257.9325645392147</v>
      </c>
      <c r="H12" s="49">
        <f>'5. Projection - Method 4'!I63</f>
        <v>251.56306911285975</v>
      </c>
    </row>
    <row r="13" spans="3:16" ht="13.15">
      <c r="C13" s="48">
        <f t="shared" si="0"/>
        <v>2012</v>
      </c>
      <c r="D13" s="48">
        <f>SUMIFS(Table1[Non-zero? (1=Yes)],Table1[Policy Year],"="&amp;C13)</f>
        <v>199</v>
      </c>
      <c r="E13" s="49">
        <f>'3. Projection - Methods 1 and 2'!X51</f>
        <v>203.90358376377279</v>
      </c>
      <c r="F13" s="49">
        <f>'3. Projection - Methods 1 and 2'!L84</f>
        <v>224.31231455094016</v>
      </c>
      <c r="G13" s="49">
        <f>'4. Projection - Method 3'!E128</f>
        <v>215.12880806603997</v>
      </c>
      <c r="H13" s="49">
        <f>'5. Projection - Method 4'!I64</f>
        <v>203.85713969987989</v>
      </c>
    </row>
    <row r="14" spans="3:16" ht="13.15">
      <c r="C14" s="48">
        <f t="shared" si="0"/>
        <v>2013</v>
      </c>
      <c r="D14" s="48">
        <f>SUMIFS(Table1[Non-zero? (1=Yes)],Table1[Policy Year],"="&amp;C14)</f>
        <v>201</v>
      </c>
      <c r="E14" s="49">
        <f>'3. Projection - Methods 1 and 2'!X52</f>
        <v>179.3397283951044</v>
      </c>
      <c r="F14" s="49">
        <f>'3. Projection - Methods 1 and 2'!L85</f>
        <v>296.10134783269262</v>
      </c>
      <c r="G14" s="49">
        <f>'4. Projection - Method 3'!E129</f>
        <v>252.34561254571713</v>
      </c>
      <c r="H14" s="49">
        <f>'5. Projection - Method 4'!I65</f>
        <v>189.57903575595853</v>
      </c>
    </row>
    <row r="15" spans="3:16" ht="13.15">
      <c r="C15" s="48">
        <f t="shared" si="0"/>
        <v>2014</v>
      </c>
      <c r="D15" s="48">
        <f>SUMIFS(Table1[Non-zero? (1=Yes)],Table1[Policy Year],"="&amp;C15)</f>
        <v>68</v>
      </c>
      <c r="E15" s="49">
        <f>'3. Projection - Methods 1 and 2'!X53</f>
        <v>0</v>
      </c>
      <c r="F15" s="49">
        <f>'3. Projection - Methods 1 and 2'!L86</f>
        <v>197.24903908143958</v>
      </c>
      <c r="G15" s="49">
        <f>'4. Projection - Method 3'!E130</f>
        <v>208.8532152256262</v>
      </c>
      <c r="H15" s="49">
        <f>'5. Projection - Method 4'!I66</f>
        <v>0</v>
      </c>
    </row>
    <row r="18" spans="2:2">
      <c r="B18" s="30"/>
    </row>
  </sheetData>
  <mergeCells count="1">
    <mergeCell ref="E4:H4"/>
  </mergeCells>
  <phoneticPr fontId="76" type="noConversion"/>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13</vt:i4>
      </vt:variant>
    </vt:vector>
  </HeadingPairs>
  <TitlesOfParts>
    <vt:vector size="21" baseType="lpstr">
      <vt:lpstr>00. DISCLAIMER</vt:lpstr>
      <vt:lpstr>0. Disclaimer</vt:lpstr>
      <vt:lpstr>1. Exposure data</vt:lpstr>
      <vt:lpstr>2. Claims data</vt:lpstr>
      <vt:lpstr>3. Projection - Methods 1 and 2</vt:lpstr>
      <vt:lpstr>4. Projection - Method 3</vt:lpstr>
      <vt:lpstr>5. Projection - Method 4</vt:lpstr>
      <vt:lpstr>6. Comparison of methods</vt:lpstr>
      <vt:lpstr>Claims_Inflation</vt:lpstr>
      <vt:lpstr>Data_as_at_date</vt:lpstr>
      <vt:lpstr>Earliest_Month</vt:lpstr>
      <vt:lpstr>Earliest_Year</vt:lpstr>
      <vt:lpstr>Earliest_Year_Shifted</vt:lpstr>
      <vt:lpstr>Exchange_Rate</vt:lpstr>
      <vt:lpstr>exposure_table</vt:lpstr>
      <vt:lpstr>Latest_Third</vt:lpstr>
      <vt:lpstr>Latest_Year</vt:lpstr>
      <vt:lpstr>Latest_Year_Shifted</vt:lpstr>
      <vt:lpstr>Pol_Inc_Month_Shifted</vt:lpstr>
      <vt:lpstr>Policy_Inception_Month</vt:lpstr>
      <vt:lpstr>Revalue_at_date</vt:lpstr>
    </vt:vector>
  </TitlesOfParts>
  <Company>Willis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Cochrane</dc:creator>
  <cp:lastModifiedBy>xiao xiao</cp:lastModifiedBy>
  <dcterms:created xsi:type="dcterms:W3CDTF">2011-06-27T16:09:18Z</dcterms:created>
  <dcterms:modified xsi:type="dcterms:W3CDTF">2024-10-10T13:15:11Z</dcterms:modified>
</cp:coreProperties>
</file>